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ony Trotter\Desktop\MRED Project\"/>
    </mc:Choice>
  </mc:AlternateContent>
  <xr:revisionPtr revIDLastSave="0" documentId="13_ncr:1_{ECBFC182-13D5-4BA0-B1B7-6897F9941F87}" xr6:coauthVersionLast="47" xr6:coauthVersionMax="47" xr10:uidLastSave="{00000000-0000-0000-0000-000000000000}"/>
  <bookViews>
    <workbookView xWindow="-120" yWindow="-120" windowWidth="20730" windowHeight="11160" tabRatio="679" activeTab="2" xr2:uid="{5AA5F633-52E8-4F23-AAA5-C0416D777028}"/>
  </bookViews>
  <sheets>
    <sheet name="Scenarios" sheetId="3" r:id="rId1"/>
    <sheet name="KPIs" sheetId="9" r:id="rId2"/>
    <sheet name="YOC" sheetId="2" r:id="rId3"/>
    <sheet name="Cash Flow" sheetId="1" r:id="rId4"/>
    <sheet name="Development" sheetId="4" r:id="rId5"/>
    <sheet name="Operations" sheetId="5" r:id="rId6"/>
    <sheet name="Debt" sheetId="6" r:id="rId7"/>
    <sheet name="Waterfall (Single)" sheetId="7" r:id="rId8"/>
    <sheet name="Waterfall (Double)" sheetId="8" r:id="rId9"/>
    <sheet name="Sheet2" sheetId="11" r:id="rId10"/>
    <sheet name="Sheet3" sheetId="15" r:id="rId11"/>
    <sheet name="Sheet1" sheetId="17" r:id="rId12"/>
    <sheet name="Sheet4" sheetId="16" r:id="rId13"/>
  </sheets>
  <externalReferences>
    <externalReference r:id="rId14"/>
  </externalReferences>
  <definedNames>
    <definedName name="ScenarioColumn">Scenarios!$C$3:$J$3</definedName>
    <definedName name="ScenarioRow">Scenarios!$C$3:$C$17</definedName>
    <definedName name="ScenarioTable">Scenarios!$C$3:$J$17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" l="1"/>
  <c r="J10" i="4"/>
  <c r="K10" i="4"/>
  <c r="L10" i="4"/>
  <c r="M10" i="4"/>
  <c r="N10" i="4"/>
  <c r="E10" i="2"/>
  <c r="O15" i="2"/>
  <c r="R15" i="2"/>
  <c r="E6" i="2"/>
  <c r="S15" i="2"/>
  <c r="E11" i="2"/>
  <c r="O16" i="2"/>
  <c r="R16" i="2"/>
  <c r="E7" i="2"/>
  <c r="S16" i="2"/>
  <c r="E12" i="2"/>
  <c r="O17" i="2"/>
  <c r="R17" i="2"/>
  <c r="E8" i="2"/>
  <c r="S17" i="2"/>
  <c r="S19" i="2"/>
  <c r="S21" i="2"/>
  <c r="S22" i="2"/>
  <c r="S26" i="2"/>
  <c r="S27" i="2"/>
  <c r="S28" i="2"/>
  <c r="S29" i="2"/>
  <c r="V23" i="2"/>
  <c r="C10" i="4"/>
  <c r="D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F29" i="1"/>
  <c r="I12" i="4"/>
  <c r="I13" i="4"/>
  <c r="I14" i="4"/>
  <c r="D17" i="4"/>
  <c r="I17" i="4"/>
  <c r="I18" i="4"/>
  <c r="D20" i="4"/>
  <c r="I20" i="4"/>
  <c r="I21" i="4"/>
  <c r="I24" i="4"/>
  <c r="D12" i="4"/>
  <c r="J12" i="4"/>
  <c r="D13" i="4"/>
  <c r="J13" i="4"/>
  <c r="D14" i="4"/>
  <c r="J14" i="4"/>
  <c r="J17" i="4"/>
  <c r="J18" i="4"/>
  <c r="J20" i="4"/>
  <c r="J21" i="4"/>
  <c r="J24" i="4"/>
  <c r="K12" i="4"/>
  <c r="K13" i="4"/>
  <c r="K14" i="4"/>
  <c r="K17" i="4"/>
  <c r="K18" i="4"/>
  <c r="K20" i="4"/>
  <c r="K21" i="4"/>
  <c r="K24" i="4"/>
  <c r="L12" i="4"/>
  <c r="L13" i="4"/>
  <c r="L14" i="4"/>
  <c r="L17" i="4"/>
  <c r="D18" i="4"/>
  <c r="L18" i="4"/>
  <c r="L20" i="4"/>
  <c r="L21" i="4"/>
  <c r="L24" i="4"/>
  <c r="M12" i="4"/>
  <c r="M13" i="4"/>
  <c r="M14" i="4"/>
  <c r="M17" i="4"/>
  <c r="M18" i="4"/>
  <c r="M20" i="4"/>
  <c r="M21" i="4"/>
  <c r="M24" i="4"/>
  <c r="N12" i="4"/>
  <c r="N13" i="4"/>
  <c r="N14" i="4"/>
  <c r="N17" i="4"/>
  <c r="N18" i="4"/>
  <c r="N20" i="4"/>
  <c r="N21" i="4"/>
  <c r="N24" i="4"/>
  <c r="O12" i="4"/>
  <c r="O13" i="4"/>
  <c r="O14" i="4"/>
  <c r="O17" i="4"/>
  <c r="O18" i="4"/>
  <c r="O20" i="4"/>
  <c r="D21" i="4"/>
  <c r="O21" i="4"/>
  <c r="O24" i="4"/>
  <c r="P12" i="4"/>
  <c r="P13" i="4"/>
  <c r="P14" i="4"/>
  <c r="P17" i="4"/>
  <c r="P18" i="4"/>
  <c r="P20" i="4"/>
  <c r="P21" i="4"/>
  <c r="P24" i="4"/>
  <c r="Q12" i="4"/>
  <c r="Q13" i="4"/>
  <c r="Q14" i="4"/>
  <c r="Q17" i="4"/>
  <c r="Q18" i="4"/>
  <c r="Q20" i="4"/>
  <c r="Q21" i="4"/>
  <c r="Q24" i="4"/>
  <c r="R12" i="4"/>
  <c r="R13" i="4"/>
  <c r="R14" i="4"/>
  <c r="R17" i="4"/>
  <c r="R18" i="4"/>
  <c r="R20" i="4"/>
  <c r="R21" i="4"/>
  <c r="R24" i="4"/>
  <c r="S12" i="4"/>
  <c r="S13" i="4"/>
  <c r="S14" i="4"/>
  <c r="S17" i="4"/>
  <c r="S18" i="4"/>
  <c r="S20" i="4"/>
  <c r="S21" i="4"/>
  <c r="S24" i="4"/>
  <c r="T12" i="4"/>
  <c r="T13" i="4"/>
  <c r="T14" i="4"/>
  <c r="T17" i="4"/>
  <c r="T18" i="4"/>
  <c r="T20" i="4"/>
  <c r="T21" i="4"/>
  <c r="T24" i="4"/>
  <c r="U12" i="4"/>
  <c r="U13" i="4"/>
  <c r="U14" i="4"/>
  <c r="U17" i="4"/>
  <c r="U18" i="4"/>
  <c r="U20" i="4"/>
  <c r="U21" i="4"/>
  <c r="U24" i="4"/>
  <c r="V12" i="4"/>
  <c r="V13" i="4"/>
  <c r="V14" i="4"/>
  <c r="V17" i="4"/>
  <c r="V18" i="4"/>
  <c r="V20" i="4"/>
  <c r="V21" i="4"/>
  <c r="V24" i="4"/>
  <c r="W12" i="4"/>
  <c r="W13" i="4"/>
  <c r="W14" i="4"/>
  <c r="W17" i="4"/>
  <c r="W18" i="4"/>
  <c r="W20" i="4"/>
  <c r="W21" i="4"/>
  <c r="W24" i="4"/>
  <c r="X12" i="4"/>
  <c r="X13" i="4"/>
  <c r="X14" i="4"/>
  <c r="X17" i="4"/>
  <c r="X18" i="4"/>
  <c r="X20" i="4"/>
  <c r="X21" i="4"/>
  <c r="X24" i="4"/>
  <c r="Y12" i="4"/>
  <c r="Y13" i="4"/>
  <c r="Y14" i="4"/>
  <c r="Y17" i="4"/>
  <c r="Y18" i="4"/>
  <c r="Y20" i="4"/>
  <c r="Y21" i="4"/>
  <c r="Y24" i="4"/>
  <c r="Z12" i="4"/>
  <c r="Z13" i="4"/>
  <c r="Z14" i="4"/>
  <c r="Z17" i="4"/>
  <c r="Z18" i="4"/>
  <c r="Z20" i="4"/>
  <c r="Z21" i="4"/>
  <c r="Z24" i="4"/>
  <c r="AA12" i="4"/>
  <c r="AA13" i="4"/>
  <c r="AA14" i="4"/>
  <c r="AA17" i="4"/>
  <c r="AA18" i="4"/>
  <c r="AA20" i="4"/>
  <c r="AA21" i="4"/>
  <c r="AA24" i="4"/>
  <c r="AB12" i="4"/>
  <c r="AB13" i="4"/>
  <c r="AB14" i="4"/>
  <c r="AB17" i="4"/>
  <c r="AB18" i="4"/>
  <c r="AB20" i="4"/>
  <c r="AB21" i="4"/>
  <c r="AB24" i="4"/>
  <c r="AC12" i="4"/>
  <c r="AC13" i="4"/>
  <c r="AC14" i="4"/>
  <c r="AC17" i="4"/>
  <c r="AC18" i="4"/>
  <c r="AC20" i="4"/>
  <c r="AC21" i="4"/>
  <c r="AC24" i="4"/>
  <c r="AD12" i="4"/>
  <c r="AD13" i="4"/>
  <c r="AD14" i="4"/>
  <c r="AD17" i="4"/>
  <c r="AD18" i="4"/>
  <c r="AD20" i="4"/>
  <c r="AD21" i="4"/>
  <c r="AD24" i="4"/>
  <c r="AE12" i="4"/>
  <c r="AE13" i="4"/>
  <c r="AE14" i="4"/>
  <c r="AE17" i="4"/>
  <c r="AE18" i="4"/>
  <c r="AE20" i="4"/>
  <c r="AE21" i="4"/>
  <c r="AE24" i="4"/>
  <c r="AF12" i="4"/>
  <c r="AF13" i="4"/>
  <c r="AF14" i="4"/>
  <c r="AF17" i="4"/>
  <c r="AF18" i="4"/>
  <c r="AF20" i="4"/>
  <c r="AF21" i="4"/>
  <c r="AF24" i="4"/>
  <c r="F30" i="1"/>
  <c r="I28" i="4"/>
  <c r="I30" i="4"/>
  <c r="J28" i="4"/>
  <c r="J30" i="4"/>
  <c r="K28" i="4"/>
  <c r="K30" i="4"/>
  <c r="L28" i="4"/>
  <c r="L30" i="4"/>
  <c r="M28" i="4"/>
  <c r="M30" i="4"/>
  <c r="N28" i="4"/>
  <c r="N30" i="4"/>
  <c r="D24" i="4"/>
  <c r="D28" i="4"/>
  <c r="O28" i="4"/>
  <c r="O30" i="4"/>
  <c r="P28" i="4"/>
  <c r="P30" i="4"/>
  <c r="Q28" i="4"/>
  <c r="Q30" i="4"/>
  <c r="R28" i="4"/>
  <c r="R30" i="4"/>
  <c r="S28" i="4"/>
  <c r="S30" i="4"/>
  <c r="T28" i="4"/>
  <c r="T30" i="4"/>
  <c r="U28" i="4"/>
  <c r="U30" i="4"/>
  <c r="V28" i="4"/>
  <c r="V30" i="4"/>
  <c r="W28" i="4"/>
  <c r="W30" i="4"/>
  <c r="X28" i="4"/>
  <c r="X30" i="4"/>
  <c r="Y28" i="4"/>
  <c r="Y30" i="4"/>
  <c r="Z28" i="4"/>
  <c r="Z30" i="4"/>
  <c r="AA28" i="4"/>
  <c r="AA30" i="4"/>
  <c r="AB28" i="4"/>
  <c r="AB30" i="4"/>
  <c r="AC28" i="4"/>
  <c r="AC30" i="4"/>
  <c r="AD28" i="4"/>
  <c r="AD30" i="4"/>
  <c r="AE28" i="4"/>
  <c r="AE30" i="4"/>
  <c r="AF28" i="4"/>
  <c r="AF30" i="4"/>
  <c r="F31" i="1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F32" i="1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F33" i="1"/>
  <c r="F34" i="1"/>
  <c r="G29" i="1"/>
  <c r="N29" i="1"/>
  <c r="G12" i="1"/>
  <c r="G30" i="1"/>
  <c r="N30" i="1"/>
  <c r="G13" i="1"/>
  <c r="G31" i="1"/>
  <c r="N31" i="1"/>
  <c r="G14" i="1"/>
  <c r="G32" i="1"/>
  <c r="N32" i="1"/>
  <c r="G15" i="1"/>
  <c r="G33" i="1"/>
  <c r="N33" i="1"/>
  <c r="G16" i="1"/>
  <c r="G17" i="1"/>
  <c r="G8" i="1"/>
  <c r="S31" i="2"/>
  <c r="S33" i="2"/>
  <c r="S34" i="2"/>
  <c r="S35" i="2"/>
  <c r="S36" i="2"/>
  <c r="S37" i="2"/>
  <c r="E19" i="2"/>
  <c r="K22" i="2"/>
  <c r="E9" i="2"/>
  <c r="K24" i="2"/>
  <c r="K25" i="2"/>
  <c r="K26" i="2"/>
  <c r="K27" i="2"/>
  <c r="K28" i="2"/>
  <c r="K29" i="2"/>
  <c r="K30" i="2"/>
  <c r="K31" i="2"/>
  <c r="K38" i="2"/>
  <c r="K40" i="2"/>
  <c r="K43" i="2"/>
  <c r="S38" i="2"/>
  <c r="S39" i="2"/>
  <c r="S40" i="2"/>
  <c r="S41" i="2"/>
  <c r="S42" i="2"/>
  <c r="C12" i="1"/>
  <c r="C16" i="6"/>
  <c r="G6" i="1"/>
  <c r="G7" i="1"/>
  <c r="F59" i="1"/>
  <c r="F9" i="8"/>
  <c r="F10" i="8"/>
  <c r="F86" i="1"/>
  <c r="F66" i="1"/>
  <c r="F87" i="1"/>
  <c r="F92" i="1"/>
  <c r="F14" i="8"/>
  <c r="F15" i="8"/>
  <c r="F54" i="8"/>
  <c r="F11" i="8"/>
  <c r="F21" i="8"/>
  <c r="F16" i="8"/>
  <c r="F23" i="8"/>
  <c r="F26" i="8"/>
  <c r="F32" i="8"/>
  <c r="F35" i="8"/>
  <c r="F37" i="8"/>
  <c r="F55" i="8"/>
  <c r="F39" i="8"/>
  <c r="F41" i="8"/>
  <c r="F56" i="8"/>
  <c r="F57" i="8"/>
  <c r="G66" i="1"/>
  <c r="G87" i="1"/>
  <c r="G92" i="1"/>
  <c r="G14" i="8"/>
  <c r="G15" i="8"/>
  <c r="G54" i="8"/>
  <c r="F24" i="8"/>
  <c r="G20" i="8"/>
  <c r="G22" i="8"/>
  <c r="G16" i="8"/>
  <c r="G23" i="8"/>
  <c r="G26" i="8"/>
  <c r="G32" i="8"/>
  <c r="G35" i="8"/>
  <c r="G37" i="8"/>
  <c r="G55" i="8"/>
  <c r="G39" i="8"/>
  <c r="G41" i="8"/>
  <c r="G56" i="8"/>
  <c r="G57" i="8"/>
  <c r="I36" i="4"/>
  <c r="F9" i="6"/>
  <c r="F10" i="6"/>
  <c r="F11" i="6"/>
  <c r="F22" i="6"/>
  <c r="F25" i="6"/>
  <c r="G21" i="6"/>
  <c r="J36" i="4"/>
  <c r="G9" i="6"/>
  <c r="G10" i="6"/>
  <c r="G11" i="6"/>
  <c r="G22" i="6"/>
  <c r="G23" i="6"/>
  <c r="G25" i="6"/>
  <c r="H21" i="6"/>
  <c r="K36" i="4"/>
  <c r="H9" i="6"/>
  <c r="H10" i="6"/>
  <c r="H11" i="6"/>
  <c r="H22" i="6"/>
  <c r="H23" i="6"/>
  <c r="H25" i="6"/>
  <c r="I21" i="6"/>
  <c r="L36" i="4"/>
  <c r="I9" i="6"/>
  <c r="I10" i="6"/>
  <c r="I11" i="6"/>
  <c r="I22" i="6"/>
  <c r="I23" i="6"/>
  <c r="I25" i="6"/>
  <c r="J21" i="6"/>
  <c r="M36" i="4"/>
  <c r="J9" i="6"/>
  <c r="J10" i="6"/>
  <c r="J11" i="6"/>
  <c r="J22" i="6"/>
  <c r="J23" i="6"/>
  <c r="J25" i="6"/>
  <c r="K21" i="6"/>
  <c r="N36" i="4"/>
  <c r="K9" i="6"/>
  <c r="K10" i="6"/>
  <c r="K11" i="6"/>
  <c r="K22" i="6"/>
  <c r="K23" i="6"/>
  <c r="K25" i="6"/>
  <c r="L21" i="6"/>
  <c r="O36" i="4"/>
  <c r="L9" i="6"/>
  <c r="L10" i="6"/>
  <c r="L11" i="6"/>
  <c r="L22" i="6"/>
  <c r="L23" i="6"/>
  <c r="L25" i="6"/>
  <c r="M21" i="6"/>
  <c r="P36" i="4"/>
  <c r="M9" i="6"/>
  <c r="M10" i="6"/>
  <c r="M11" i="6"/>
  <c r="M22" i="6"/>
  <c r="M23" i="6"/>
  <c r="M25" i="6"/>
  <c r="N21" i="6"/>
  <c r="Q36" i="4"/>
  <c r="N9" i="6"/>
  <c r="N10" i="6"/>
  <c r="N11" i="6"/>
  <c r="N22" i="6"/>
  <c r="N23" i="6"/>
  <c r="N25" i="6"/>
  <c r="O21" i="6"/>
  <c r="R36" i="4"/>
  <c r="O9" i="6"/>
  <c r="O10" i="6"/>
  <c r="O11" i="6"/>
  <c r="O22" i="6"/>
  <c r="O23" i="6"/>
  <c r="O25" i="6"/>
  <c r="P21" i="6"/>
  <c r="S36" i="4"/>
  <c r="P9" i="6"/>
  <c r="P10" i="6"/>
  <c r="P11" i="6"/>
  <c r="P22" i="6"/>
  <c r="P23" i="6"/>
  <c r="P25" i="6"/>
  <c r="Q21" i="6"/>
  <c r="T36" i="4"/>
  <c r="Q9" i="6"/>
  <c r="Q10" i="6"/>
  <c r="Q11" i="6"/>
  <c r="Q22" i="6"/>
  <c r="Q23" i="6"/>
  <c r="Q25" i="6"/>
  <c r="R21" i="6"/>
  <c r="U36" i="4"/>
  <c r="R9" i="6"/>
  <c r="R10" i="6"/>
  <c r="R11" i="6"/>
  <c r="R22" i="6"/>
  <c r="R23" i="6"/>
  <c r="R25" i="6"/>
  <c r="S21" i="6"/>
  <c r="V36" i="4"/>
  <c r="S9" i="6"/>
  <c r="S10" i="6"/>
  <c r="S11" i="6"/>
  <c r="S22" i="6"/>
  <c r="S23" i="6"/>
  <c r="S25" i="6"/>
  <c r="T21" i="6"/>
  <c r="W36" i="4"/>
  <c r="T9" i="6"/>
  <c r="T10" i="6"/>
  <c r="T11" i="6"/>
  <c r="T22" i="6"/>
  <c r="T23" i="6"/>
  <c r="T25" i="6"/>
  <c r="U21" i="6"/>
  <c r="X36" i="4"/>
  <c r="U9" i="6"/>
  <c r="U10" i="6"/>
  <c r="U11" i="6"/>
  <c r="U22" i="6"/>
  <c r="U23" i="6"/>
  <c r="U25" i="6"/>
  <c r="V21" i="6"/>
  <c r="Y36" i="4"/>
  <c r="V9" i="6"/>
  <c r="V10" i="6"/>
  <c r="V11" i="6"/>
  <c r="V22" i="6"/>
  <c r="V23" i="6"/>
  <c r="V25" i="6"/>
  <c r="W21" i="6"/>
  <c r="Z36" i="4"/>
  <c r="W9" i="6"/>
  <c r="W10" i="6"/>
  <c r="W11" i="6"/>
  <c r="W22" i="6"/>
  <c r="W23" i="6"/>
  <c r="W25" i="6"/>
  <c r="X21" i="6"/>
  <c r="AA36" i="4"/>
  <c r="X9" i="6"/>
  <c r="X10" i="6"/>
  <c r="X11" i="6"/>
  <c r="X22" i="6"/>
  <c r="X23" i="6"/>
  <c r="X25" i="6"/>
  <c r="Y21" i="6"/>
  <c r="AB36" i="4"/>
  <c r="Y9" i="6"/>
  <c r="Y10" i="6"/>
  <c r="Y11" i="6"/>
  <c r="Y22" i="6"/>
  <c r="Y23" i="6"/>
  <c r="Y25" i="6"/>
  <c r="Z21" i="6"/>
  <c r="AC36" i="4"/>
  <c r="Z9" i="6"/>
  <c r="Z10" i="6"/>
  <c r="Z11" i="6"/>
  <c r="Z22" i="6"/>
  <c r="Z23" i="6"/>
  <c r="Z25" i="6"/>
  <c r="AA21" i="6"/>
  <c r="AD36" i="4"/>
  <c r="AA9" i="6"/>
  <c r="AA10" i="6"/>
  <c r="AA11" i="6"/>
  <c r="AA22" i="6"/>
  <c r="AA23" i="6"/>
  <c r="AA25" i="6"/>
  <c r="AB21" i="6"/>
  <c r="AE36" i="4"/>
  <c r="AB9" i="6"/>
  <c r="AB10" i="6"/>
  <c r="AB11" i="6"/>
  <c r="AB22" i="6"/>
  <c r="AB23" i="6"/>
  <c r="AB25" i="6"/>
  <c r="AC21" i="6"/>
  <c r="AF36" i="4"/>
  <c r="AC9" i="6"/>
  <c r="AC10" i="6"/>
  <c r="AC11" i="6"/>
  <c r="AC22" i="6"/>
  <c r="AC23" i="6"/>
  <c r="AC25" i="6"/>
  <c r="AD21" i="6"/>
  <c r="AD10" i="6"/>
  <c r="AD11" i="6"/>
  <c r="AD22" i="6"/>
  <c r="AD23" i="6"/>
  <c r="AD24" i="6"/>
  <c r="H66" i="1"/>
  <c r="H87" i="1"/>
  <c r="E18" i="2"/>
  <c r="C15" i="5"/>
  <c r="E13" i="2"/>
  <c r="C8" i="1"/>
  <c r="C7" i="1"/>
  <c r="K15" i="5"/>
  <c r="K17" i="5"/>
  <c r="K19" i="5"/>
  <c r="K20" i="5"/>
  <c r="K21" i="5"/>
  <c r="K22" i="5"/>
  <c r="K23" i="5"/>
  <c r="K24" i="5"/>
  <c r="K25" i="5"/>
  <c r="K26" i="5"/>
  <c r="K27" i="5"/>
  <c r="L40" i="1"/>
  <c r="K29" i="5"/>
  <c r="K30" i="5"/>
  <c r="K31" i="5"/>
  <c r="K32" i="5"/>
  <c r="K33" i="5"/>
  <c r="K34" i="5"/>
  <c r="K35" i="5"/>
  <c r="K36" i="5"/>
  <c r="K37" i="5"/>
  <c r="K38" i="5"/>
  <c r="K39" i="5"/>
  <c r="L41" i="1"/>
  <c r="L43" i="1"/>
  <c r="J5" i="1"/>
  <c r="L52" i="1"/>
  <c r="C16" i="1"/>
  <c r="C31" i="6"/>
  <c r="H15" i="5"/>
  <c r="H17" i="5"/>
  <c r="H19" i="5"/>
  <c r="H20" i="5"/>
  <c r="H21" i="5"/>
  <c r="H22" i="5"/>
  <c r="H23" i="5"/>
  <c r="H24" i="5"/>
  <c r="H25" i="5"/>
  <c r="H26" i="5"/>
  <c r="H27" i="5"/>
  <c r="H29" i="5"/>
  <c r="H30" i="5"/>
  <c r="H31" i="5"/>
  <c r="H32" i="5"/>
  <c r="H33" i="5"/>
  <c r="H34" i="5"/>
  <c r="H35" i="5"/>
  <c r="H36" i="5"/>
  <c r="H37" i="5"/>
  <c r="H38" i="5"/>
  <c r="H39" i="5"/>
  <c r="H41" i="5"/>
  <c r="C32" i="6"/>
  <c r="C33" i="6"/>
  <c r="H44" i="6"/>
  <c r="H69" i="1"/>
  <c r="H88" i="1"/>
  <c r="G15" i="5"/>
  <c r="G16" i="5"/>
  <c r="G18" i="5"/>
  <c r="G20" i="5"/>
  <c r="G21" i="5"/>
  <c r="G22" i="5"/>
  <c r="G23" i="5"/>
  <c r="G24" i="5"/>
  <c r="G25" i="5"/>
  <c r="G26" i="5"/>
  <c r="G27" i="5"/>
  <c r="H40" i="1"/>
  <c r="G29" i="5"/>
  <c r="G30" i="5"/>
  <c r="G31" i="5"/>
  <c r="G32" i="5"/>
  <c r="G33" i="5"/>
  <c r="G34" i="5"/>
  <c r="G35" i="5"/>
  <c r="G36" i="5"/>
  <c r="G37" i="5"/>
  <c r="G38" i="5"/>
  <c r="G39" i="5"/>
  <c r="H41" i="1"/>
  <c r="H43" i="1"/>
  <c r="H45" i="6"/>
  <c r="H45" i="1"/>
  <c r="H47" i="1"/>
  <c r="H89" i="1"/>
  <c r="H92" i="1"/>
  <c r="H14" i="8"/>
  <c r="H15" i="8"/>
  <c r="H54" i="8"/>
  <c r="G24" i="8"/>
  <c r="H20" i="8"/>
  <c r="H22" i="8"/>
  <c r="H16" i="8"/>
  <c r="H23" i="8"/>
  <c r="H26" i="8"/>
  <c r="H32" i="8"/>
  <c r="H35" i="8"/>
  <c r="H37" i="8"/>
  <c r="H55" i="8"/>
  <c r="H39" i="8"/>
  <c r="H41" i="8"/>
  <c r="H56" i="8"/>
  <c r="H57" i="8"/>
  <c r="I66" i="1"/>
  <c r="I87" i="1"/>
  <c r="I40" i="1"/>
  <c r="I41" i="1"/>
  <c r="I43" i="1"/>
  <c r="H46" i="6"/>
  <c r="H47" i="6"/>
  <c r="H49" i="6"/>
  <c r="I43" i="6"/>
  <c r="I45" i="6"/>
  <c r="I45" i="1"/>
  <c r="I47" i="1"/>
  <c r="I89" i="1"/>
  <c r="I92" i="1"/>
  <c r="I14" i="8"/>
  <c r="I15" i="8"/>
  <c r="I54" i="8"/>
  <c r="H24" i="8"/>
  <c r="I20" i="8"/>
  <c r="I22" i="8"/>
  <c r="I16" i="8"/>
  <c r="I23" i="8"/>
  <c r="I26" i="8"/>
  <c r="I32" i="8"/>
  <c r="I35" i="8"/>
  <c r="I37" i="8"/>
  <c r="I55" i="8"/>
  <c r="I39" i="8"/>
  <c r="I41" i="8"/>
  <c r="I56" i="8"/>
  <c r="I57" i="8"/>
  <c r="J66" i="1"/>
  <c r="J87" i="1"/>
  <c r="I15" i="5"/>
  <c r="I17" i="5"/>
  <c r="I19" i="5"/>
  <c r="I20" i="5"/>
  <c r="I21" i="5"/>
  <c r="I22" i="5"/>
  <c r="I23" i="5"/>
  <c r="I24" i="5"/>
  <c r="I25" i="5"/>
  <c r="I26" i="5"/>
  <c r="I27" i="5"/>
  <c r="J40" i="1"/>
  <c r="I29" i="5"/>
  <c r="I30" i="5"/>
  <c r="I31" i="5"/>
  <c r="I32" i="5"/>
  <c r="I33" i="5"/>
  <c r="I34" i="5"/>
  <c r="I35" i="5"/>
  <c r="I36" i="5"/>
  <c r="I37" i="5"/>
  <c r="I38" i="5"/>
  <c r="I39" i="5"/>
  <c r="J41" i="1"/>
  <c r="J43" i="1"/>
  <c r="J45" i="6"/>
  <c r="J45" i="1"/>
  <c r="J47" i="1"/>
  <c r="J89" i="1"/>
  <c r="J92" i="1"/>
  <c r="J14" i="8"/>
  <c r="J15" i="8"/>
  <c r="J54" i="8"/>
  <c r="I24" i="8"/>
  <c r="J20" i="8"/>
  <c r="J22" i="8"/>
  <c r="J16" i="8"/>
  <c r="J23" i="8"/>
  <c r="J26" i="8"/>
  <c r="J32" i="8"/>
  <c r="J35" i="8"/>
  <c r="J37" i="8"/>
  <c r="J55" i="8"/>
  <c r="J39" i="8"/>
  <c r="J41" i="8"/>
  <c r="J56" i="8"/>
  <c r="J57" i="8"/>
  <c r="K66" i="1"/>
  <c r="K87" i="1"/>
  <c r="J15" i="5"/>
  <c r="J17" i="5"/>
  <c r="J19" i="5"/>
  <c r="J20" i="5"/>
  <c r="J21" i="5"/>
  <c r="J22" i="5"/>
  <c r="J23" i="5"/>
  <c r="J24" i="5"/>
  <c r="J25" i="5"/>
  <c r="J26" i="5"/>
  <c r="J27" i="5"/>
  <c r="K40" i="1"/>
  <c r="J29" i="5"/>
  <c r="J30" i="5"/>
  <c r="J31" i="5"/>
  <c r="J32" i="5"/>
  <c r="J33" i="5"/>
  <c r="J34" i="5"/>
  <c r="J35" i="5"/>
  <c r="J36" i="5"/>
  <c r="J37" i="5"/>
  <c r="J38" i="5"/>
  <c r="J39" i="5"/>
  <c r="K41" i="1"/>
  <c r="K43" i="1"/>
  <c r="K45" i="6"/>
  <c r="K45" i="1"/>
  <c r="K47" i="1"/>
  <c r="K89" i="1"/>
  <c r="K92" i="1"/>
  <c r="K14" i="8"/>
  <c r="K15" i="8"/>
  <c r="K54" i="8"/>
  <c r="J24" i="8"/>
  <c r="K20" i="8"/>
  <c r="K22" i="8"/>
  <c r="K16" i="8"/>
  <c r="K23" i="8"/>
  <c r="K26" i="8"/>
  <c r="K32" i="8"/>
  <c r="K35" i="8"/>
  <c r="K37" i="8"/>
  <c r="K55" i="8"/>
  <c r="K39" i="8"/>
  <c r="K41" i="8"/>
  <c r="K56" i="8"/>
  <c r="K57" i="8"/>
  <c r="L66" i="1"/>
  <c r="L87" i="1"/>
  <c r="L45" i="6"/>
  <c r="L45" i="1"/>
  <c r="L47" i="1"/>
  <c r="L89" i="1"/>
  <c r="L53" i="1"/>
  <c r="L54" i="1"/>
  <c r="L90" i="1"/>
  <c r="I46" i="6"/>
  <c r="I47" i="6"/>
  <c r="I49" i="6"/>
  <c r="J43" i="6"/>
  <c r="J46" i="6"/>
  <c r="J47" i="6"/>
  <c r="J49" i="6"/>
  <c r="K43" i="6"/>
  <c r="K46" i="6"/>
  <c r="K47" i="6"/>
  <c r="K49" i="6"/>
  <c r="L43" i="6"/>
  <c r="L46" i="6"/>
  <c r="L47" i="6"/>
  <c r="L48" i="6"/>
  <c r="L70" i="1"/>
  <c r="L91" i="1"/>
  <c r="L92" i="1"/>
  <c r="L14" i="8"/>
  <c r="L15" i="8"/>
  <c r="L54" i="8"/>
  <c r="K24" i="8"/>
  <c r="L20" i="8"/>
  <c r="L22" i="8"/>
  <c r="L16" i="8"/>
  <c r="L23" i="8"/>
  <c r="L26" i="8"/>
  <c r="F30" i="8"/>
  <c r="F33" i="8"/>
  <c r="G29" i="8"/>
  <c r="G31" i="8"/>
  <c r="G33" i="8"/>
  <c r="H29" i="8"/>
  <c r="H31" i="8"/>
  <c r="H33" i="8"/>
  <c r="I29" i="8"/>
  <c r="I31" i="8"/>
  <c r="I33" i="8"/>
  <c r="J29" i="8"/>
  <c r="J31" i="8"/>
  <c r="J33" i="8"/>
  <c r="K29" i="8"/>
  <c r="K31" i="8"/>
  <c r="K33" i="8"/>
  <c r="L29" i="8"/>
  <c r="L31" i="8"/>
  <c r="L32" i="8"/>
  <c r="L35" i="8"/>
  <c r="L37" i="8"/>
  <c r="L55" i="8"/>
  <c r="L39" i="8"/>
  <c r="L41" i="8"/>
  <c r="L56" i="8"/>
  <c r="L57" i="8"/>
  <c r="K19" i="15"/>
  <c r="F45" i="8"/>
  <c r="F46" i="8"/>
  <c r="F36" i="8"/>
  <c r="F47" i="8"/>
  <c r="F40" i="8"/>
  <c r="F48" i="8"/>
  <c r="F49" i="8"/>
  <c r="G46" i="8"/>
  <c r="G36" i="8"/>
  <c r="G47" i="8"/>
  <c r="G40" i="8"/>
  <c r="G48" i="8"/>
  <c r="G49" i="8"/>
  <c r="H46" i="8"/>
  <c r="H36" i="8"/>
  <c r="H47" i="8"/>
  <c r="H40" i="8"/>
  <c r="H48" i="8"/>
  <c r="H49" i="8"/>
  <c r="I46" i="8"/>
  <c r="I36" i="8"/>
  <c r="I47" i="8"/>
  <c r="I40" i="8"/>
  <c r="I48" i="8"/>
  <c r="I49" i="8"/>
  <c r="J46" i="8"/>
  <c r="J36" i="8"/>
  <c r="J47" i="8"/>
  <c r="J40" i="8"/>
  <c r="J48" i="8"/>
  <c r="J49" i="8"/>
  <c r="K46" i="8"/>
  <c r="K36" i="8"/>
  <c r="K47" i="8"/>
  <c r="K40" i="8"/>
  <c r="K48" i="8"/>
  <c r="K49" i="8"/>
  <c r="L46" i="8"/>
  <c r="L36" i="8"/>
  <c r="L47" i="8"/>
  <c r="L40" i="8"/>
  <c r="L48" i="8"/>
  <c r="L49" i="8"/>
  <c r="K18" i="15"/>
  <c r="F9" i="7"/>
  <c r="F10" i="7"/>
  <c r="F13" i="7"/>
  <c r="F14" i="7"/>
  <c r="F41" i="7"/>
  <c r="F15" i="7"/>
  <c r="F11" i="7"/>
  <c r="F20" i="7"/>
  <c r="F22" i="7"/>
  <c r="F25" i="7"/>
  <c r="F29" i="7"/>
  <c r="F42" i="7"/>
  <c r="F43" i="7"/>
  <c r="G13" i="7"/>
  <c r="G14" i="7"/>
  <c r="G41" i="7"/>
  <c r="G15" i="7"/>
  <c r="F23" i="7"/>
  <c r="G19" i="7"/>
  <c r="G21" i="7"/>
  <c r="G22" i="7"/>
  <c r="G25" i="7"/>
  <c r="G29" i="7"/>
  <c r="G42" i="7"/>
  <c r="G43" i="7"/>
  <c r="H13" i="7"/>
  <c r="H14" i="7"/>
  <c r="H41" i="7"/>
  <c r="H15" i="7"/>
  <c r="G23" i="7"/>
  <c r="H19" i="7"/>
  <c r="H21" i="7"/>
  <c r="H22" i="7"/>
  <c r="H25" i="7"/>
  <c r="H29" i="7"/>
  <c r="H42" i="7"/>
  <c r="H43" i="7"/>
  <c r="I13" i="7"/>
  <c r="I14" i="7"/>
  <c r="I41" i="7"/>
  <c r="I15" i="7"/>
  <c r="H23" i="7"/>
  <c r="I19" i="7"/>
  <c r="I21" i="7"/>
  <c r="I22" i="7"/>
  <c r="I25" i="7"/>
  <c r="I29" i="7"/>
  <c r="I42" i="7"/>
  <c r="I43" i="7"/>
  <c r="J13" i="7"/>
  <c r="J14" i="7"/>
  <c r="J41" i="7"/>
  <c r="J15" i="7"/>
  <c r="I23" i="7"/>
  <c r="J19" i="7"/>
  <c r="J21" i="7"/>
  <c r="J22" i="7"/>
  <c r="J25" i="7"/>
  <c r="J29" i="7"/>
  <c r="J42" i="7"/>
  <c r="J43" i="7"/>
  <c r="K13" i="7"/>
  <c r="K14" i="7"/>
  <c r="K41" i="7"/>
  <c r="K15" i="7"/>
  <c r="J23" i="7"/>
  <c r="K19" i="7"/>
  <c r="K21" i="7"/>
  <c r="K22" i="7"/>
  <c r="K25" i="7"/>
  <c r="K29" i="7"/>
  <c r="K42" i="7"/>
  <c r="K43" i="7"/>
  <c r="L13" i="7"/>
  <c r="L14" i="7"/>
  <c r="L41" i="7"/>
  <c r="L15" i="7"/>
  <c r="K23" i="7"/>
  <c r="L19" i="7"/>
  <c r="L21" i="7"/>
  <c r="L22" i="7"/>
  <c r="L25" i="7"/>
  <c r="L29" i="7"/>
  <c r="L42" i="7"/>
  <c r="L43" i="7"/>
  <c r="K17" i="15"/>
  <c r="F33" i="7"/>
  <c r="F34" i="7"/>
  <c r="F28" i="7"/>
  <c r="F35" i="7"/>
  <c r="F36" i="7"/>
  <c r="G34" i="7"/>
  <c r="G28" i="7"/>
  <c r="G35" i="7"/>
  <c r="G36" i="7"/>
  <c r="H34" i="7"/>
  <c r="H28" i="7"/>
  <c r="H35" i="7"/>
  <c r="H36" i="7"/>
  <c r="I34" i="7"/>
  <c r="I28" i="7"/>
  <c r="I35" i="7"/>
  <c r="I36" i="7"/>
  <c r="J34" i="7"/>
  <c r="J28" i="7"/>
  <c r="J35" i="7"/>
  <c r="J36" i="7"/>
  <c r="K34" i="7"/>
  <c r="K28" i="7"/>
  <c r="K35" i="7"/>
  <c r="K36" i="7"/>
  <c r="L34" i="7"/>
  <c r="L28" i="7"/>
  <c r="L35" i="7"/>
  <c r="L36" i="7"/>
  <c r="K16" i="15"/>
  <c r="F76" i="1"/>
  <c r="F79" i="1"/>
  <c r="G34" i="1"/>
  <c r="G76" i="1"/>
  <c r="G79" i="1"/>
  <c r="H77" i="1"/>
  <c r="H79" i="1"/>
  <c r="I77" i="1"/>
  <c r="I79" i="1"/>
  <c r="J77" i="1"/>
  <c r="J79" i="1"/>
  <c r="K77" i="1"/>
  <c r="K79" i="1"/>
  <c r="L77" i="1"/>
  <c r="L78" i="1"/>
  <c r="L79" i="1"/>
  <c r="C81" i="1"/>
  <c r="J12" i="1"/>
  <c r="J12" i="15"/>
  <c r="C94" i="1"/>
  <c r="K12" i="1"/>
  <c r="K12" i="15"/>
  <c r="N77" i="1"/>
  <c r="N78" i="1"/>
  <c r="N76" i="1"/>
  <c r="C82" i="1"/>
  <c r="J13" i="1"/>
  <c r="J13" i="15"/>
  <c r="N87" i="1"/>
  <c r="N88" i="1"/>
  <c r="N89" i="1"/>
  <c r="N90" i="1"/>
  <c r="N91" i="1"/>
  <c r="N86" i="1"/>
  <c r="C95" i="1"/>
  <c r="K13" i="1"/>
  <c r="K13" i="15"/>
  <c r="N92" i="1"/>
  <c r="K11" i="1"/>
  <c r="K11" i="15"/>
  <c r="N79" i="1"/>
  <c r="J11" i="1"/>
  <c r="J11" i="15"/>
  <c r="E14" i="2"/>
  <c r="C9" i="1"/>
  <c r="C18" i="1"/>
  <c r="D19" i="15"/>
  <c r="C17" i="1"/>
  <c r="D18" i="15"/>
  <c r="N23" i="5"/>
  <c r="Q16" i="15"/>
  <c r="Q17" i="15"/>
  <c r="Q18" i="15"/>
  <c r="Q19" i="15"/>
  <c r="Q20" i="15"/>
  <c r="Q21" i="15"/>
  <c r="Q22" i="15"/>
  <c r="Q23" i="15"/>
  <c r="Q15" i="15"/>
  <c r="Q11" i="15"/>
  <c r="Q12" i="15"/>
  <c r="Q10" i="15"/>
  <c r="P47" i="1"/>
  <c r="F23" i="6"/>
  <c r="H93" i="1"/>
  <c r="I93" i="1"/>
  <c r="C27" i="6"/>
  <c r="H29" i="6"/>
  <c r="H70" i="1"/>
  <c r="H91" i="1"/>
  <c r="I69" i="1"/>
  <c r="I88" i="1"/>
  <c r="I70" i="1"/>
  <c r="I91" i="1"/>
  <c r="J69" i="1"/>
  <c r="J88" i="1"/>
  <c r="J70" i="1"/>
  <c r="J91" i="1"/>
  <c r="K69" i="1"/>
  <c r="K88" i="1"/>
  <c r="K70" i="1"/>
  <c r="K91" i="1"/>
  <c r="L69" i="1"/>
  <c r="L88" i="1"/>
  <c r="F69" i="1"/>
  <c r="F88" i="1"/>
  <c r="F70" i="1"/>
  <c r="F91" i="1"/>
  <c r="G69" i="1"/>
  <c r="G88" i="1"/>
  <c r="G70" i="1"/>
  <c r="G91" i="1"/>
  <c r="V10" i="16"/>
  <c r="V11" i="16"/>
  <c r="Z10" i="16"/>
  <c r="Z11" i="16"/>
  <c r="I4" i="16"/>
  <c r="AB10" i="16"/>
  <c r="G28" i="15"/>
  <c r="C8" i="4"/>
  <c r="D8" i="4"/>
  <c r="D30" i="4"/>
  <c r="D32" i="4"/>
  <c r="D34" i="4"/>
  <c r="B38" i="4"/>
  <c r="D36" i="4"/>
  <c r="I16" i="4"/>
  <c r="I15" i="4"/>
  <c r="I19" i="4"/>
  <c r="I22" i="4"/>
  <c r="I23" i="4"/>
  <c r="J16" i="4"/>
  <c r="J15" i="4"/>
  <c r="J19" i="4"/>
  <c r="J22" i="4"/>
  <c r="J23" i="4"/>
  <c r="K16" i="4"/>
  <c r="K15" i="4"/>
  <c r="K19" i="4"/>
  <c r="K22" i="4"/>
  <c r="K23" i="4"/>
  <c r="L16" i="4"/>
  <c r="L15" i="4"/>
  <c r="L19" i="4"/>
  <c r="L22" i="4"/>
  <c r="L23" i="4"/>
  <c r="M16" i="4"/>
  <c r="M15" i="4"/>
  <c r="M19" i="4"/>
  <c r="M22" i="4"/>
  <c r="M23" i="4"/>
  <c r="N16" i="4"/>
  <c r="N15" i="4"/>
  <c r="N19" i="4"/>
  <c r="N22" i="4"/>
  <c r="N23" i="4"/>
  <c r="O16" i="4"/>
  <c r="O15" i="4"/>
  <c r="O19" i="4"/>
  <c r="O22" i="4"/>
  <c r="O23" i="4"/>
  <c r="P16" i="4"/>
  <c r="P15" i="4"/>
  <c r="P19" i="4"/>
  <c r="P22" i="4"/>
  <c r="P23" i="4"/>
  <c r="Q16" i="4"/>
  <c r="Q15" i="4"/>
  <c r="Q19" i="4"/>
  <c r="Q22" i="4"/>
  <c r="Q23" i="4"/>
  <c r="R16" i="4"/>
  <c r="R15" i="4"/>
  <c r="R19" i="4"/>
  <c r="R22" i="4"/>
  <c r="R23" i="4"/>
  <c r="S16" i="4"/>
  <c r="S15" i="4"/>
  <c r="S19" i="4"/>
  <c r="S22" i="4"/>
  <c r="S23" i="4"/>
  <c r="T16" i="4"/>
  <c r="T15" i="4"/>
  <c r="T19" i="4"/>
  <c r="T22" i="4"/>
  <c r="T23" i="4"/>
  <c r="U16" i="4"/>
  <c r="U15" i="4"/>
  <c r="U19" i="4"/>
  <c r="U22" i="4"/>
  <c r="U23" i="4"/>
  <c r="V16" i="4"/>
  <c r="V15" i="4"/>
  <c r="V19" i="4"/>
  <c r="V22" i="4"/>
  <c r="V23" i="4"/>
  <c r="W16" i="4"/>
  <c r="W15" i="4"/>
  <c r="W19" i="4"/>
  <c r="W22" i="4"/>
  <c r="W23" i="4"/>
  <c r="X16" i="4"/>
  <c r="X15" i="4"/>
  <c r="X19" i="4"/>
  <c r="X22" i="4"/>
  <c r="X23" i="4"/>
  <c r="Y16" i="4"/>
  <c r="Y15" i="4"/>
  <c r="Y19" i="4"/>
  <c r="Y22" i="4"/>
  <c r="Y23" i="4"/>
  <c r="Z16" i="4"/>
  <c r="Z15" i="4"/>
  <c r="Z19" i="4"/>
  <c r="Z22" i="4"/>
  <c r="Z23" i="4"/>
  <c r="AA16" i="4"/>
  <c r="AA15" i="4"/>
  <c r="AA19" i="4"/>
  <c r="AA22" i="4"/>
  <c r="AA23" i="4"/>
  <c r="AB16" i="4"/>
  <c r="AB15" i="4"/>
  <c r="AB19" i="4"/>
  <c r="AB22" i="4"/>
  <c r="AB23" i="4"/>
  <c r="AC16" i="4"/>
  <c r="AC15" i="4"/>
  <c r="AC19" i="4"/>
  <c r="AC22" i="4"/>
  <c r="AC23" i="4"/>
  <c r="AD16" i="4"/>
  <c r="AD15" i="4"/>
  <c r="AD19" i="4"/>
  <c r="AD22" i="4"/>
  <c r="AD23" i="4"/>
  <c r="AE16" i="4"/>
  <c r="AE15" i="4"/>
  <c r="AE19" i="4"/>
  <c r="AE22" i="4"/>
  <c r="AE23" i="4"/>
  <c r="AF16" i="4"/>
  <c r="AF15" i="4"/>
  <c r="AF19" i="4"/>
  <c r="AF22" i="4"/>
  <c r="AF23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F28" i="1"/>
  <c r="G28" i="1"/>
  <c r="N34" i="1"/>
  <c r="J7" i="3"/>
  <c r="J16" i="3"/>
  <c r="J11" i="3"/>
  <c r="J12" i="3"/>
  <c r="N4" i="5"/>
  <c r="F7" i="11"/>
  <c r="F6" i="11"/>
  <c r="F11" i="11"/>
  <c r="E11" i="11"/>
  <c r="F10" i="11"/>
  <c r="E10" i="11"/>
  <c r="F9" i="11"/>
  <c r="E9" i="11"/>
  <c r="E7" i="11"/>
  <c r="E6" i="11"/>
  <c r="F5" i="11"/>
  <c r="E5" i="11"/>
  <c r="D11" i="11"/>
  <c r="G13" i="5"/>
  <c r="H13" i="5"/>
  <c r="G11" i="5"/>
  <c r="H11" i="5"/>
  <c r="H40" i="5"/>
  <c r="I13" i="5"/>
  <c r="I11" i="5"/>
  <c r="I40" i="5"/>
  <c r="J13" i="5"/>
  <c r="J11" i="5"/>
  <c r="J40" i="5"/>
  <c r="K13" i="5"/>
  <c r="K11" i="5"/>
  <c r="K40" i="5"/>
  <c r="G40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9" i="5"/>
  <c r="L30" i="5"/>
  <c r="L31" i="5"/>
  <c r="L32" i="5"/>
  <c r="L33" i="5"/>
  <c r="L34" i="5"/>
  <c r="L35" i="5"/>
  <c r="L36" i="5"/>
  <c r="L37" i="5"/>
  <c r="L38" i="5"/>
  <c r="L39" i="5"/>
  <c r="G41" i="5"/>
  <c r="I41" i="5"/>
  <c r="J41" i="5"/>
  <c r="K41" i="5"/>
  <c r="L41" i="5"/>
  <c r="G42" i="5"/>
  <c r="H42" i="5"/>
  <c r="I42" i="5"/>
  <c r="J42" i="5"/>
  <c r="K42" i="5"/>
  <c r="F18" i="2"/>
  <c r="R7" i="2"/>
  <c r="R6" i="2"/>
  <c r="R5" i="2"/>
  <c r="E15" i="2"/>
  <c r="E16" i="2"/>
  <c r="E17" i="2"/>
  <c r="H43" i="6"/>
  <c r="J17" i="3"/>
  <c r="I48" i="1"/>
  <c r="N40" i="1"/>
  <c r="D18" i="9"/>
  <c r="C3" i="9"/>
  <c r="D21" i="9"/>
  <c r="D20" i="9"/>
  <c r="R6" i="6"/>
  <c r="S6" i="6"/>
  <c r="T6" i="6"/>
  <c r="U6" i="6"/>
  <c r="V6" i="6"/>
  <c r="W6" i="6"/>
  <c r="X6" i="6"/>
  <c r="Y6" i="6"/>
  <c r="Z6" i="6"/>
  <c r="AA6" i="6"/>
  <c r="AB6" i="6"/>
  <c r="AC6" i="6"/>
  <c r="AD6" i="6"/>
  <c r="F21" i="6"/>
  <c r="AD9" i="6"/>
  <c r="K23" i="2"/>
  <c r="M6" i="3"/>
  <c r="M5" i="3"/>
  <c r="M4" i="3"/>
  <c r="K48" i="2"/>
  <c r="K52" i="2"/>
  <c r="K34" i="2"/>
  <c r="K35" i="2"/>
  <c r="T45" i="2"/>
  <c r="T47" i="2"/>
  <c r="T50" i="2"/>
  <c r="T53" i="2"/>
  <c r="D19" i="9"/>
  <c r="D17" i="9"/>
  <c r="K53" i="2"/>
  <c r="D16" i="9"/>
  <c r="K47" i="2"/>
  <c r="J47" i="2"/>
  <c r="D15" i="9"/>
  <c r="K54" i="2"/>
  <c r="D14" i="9"/>
  <c r="D13" i="9"/>
  <c r="D12" i="9"/>
  <c r="K45" i="2"/>
  <c r="T51" i="2"/>
  <c r="D11" i="9"/>
  <c r="T52" i="2"/>
  <c r="D10" i="9"/>
  <c r="C27" i="4"/>
  <c r="C29" i="4"/>
  <c r="C26" i="4"/>
  <c r="C22" i="4"/>
  <c r="C23" i="4"/>
  <c r="C19" i="4"/>
  <c r="C15" i="4"/>
  <c r="C16" i="4"/>
  <c r="V41" i="2"/>
  <c r="P15" i="2"/>
  <c r="S25" i="2"/>
  <c r="S23" i="2"/>
  <c r="H60" i="8"/>
  <c r="I60" i="8"/>
  <c r="J60" i="8"/>
  <c r="K60" i="8"/>
  <c r="L60" i="8"/>
  <c r="G9" i="8"/>
  <c r="I9" i="8"/>
  <c r="J9" i="8"/>
  <c r="K9" i="8"/>
  <c r="L9" i="8"/>
  <c r="H9" i="8"/>
  <c r="C15" i="8"/>
  <c r="F20" i="8"/>
  <c r="C11" i="8"/>
  <c r="F22" i="8"/>
  <c r="C16" i="8"/>
  <c r="C37" i="8"/>
  <c r="C41" i="8"/>
  <c r="G10" i="8"/>
  <c r="G11" i="8"/>
  <c r="G21" i="8"/>
  <c r="H10" i="8"/>
  <c r="H11" i="8"/>
  <c r="H21" i="8"/>
  <c r="I10" i="8"/>
  <c r="I11" i="8"/>
  <c r="I21" i="8"/>
  <c r="J10" i="8"/>
  <c r="J11" i="8"/>
  <c r="J21" i="8"/>
  <c r="K10" i="8"/>
  <c r="K11" i="8"/>
  <c r="K21" i="8"/>
  <c r="L10" i="8"/>
  <c r="L11" i="8"/>
  <c r="L21" i="8"/>
  <c r="F29" i="8"/>
  <c r="F31" i="8"/>
  <c r="G30" i="8"/>
  <c r="H30" i="8"/>
  <c r="I30" i="8"/>
  <c r="J30" i="8"/>
  <c r="K30" i="8"/>
  <c r="L30" i="8"/>
  <c r="G45" i="8"/>
  <c r="H45" i="8"/>
  <c r="I45" i="8"/>
  <c r="J45" i="8"/>
  <c r="K45" i="8"/>
  <c r="L45" i="8"/>
  <c r="G6" i="8"/>
  <c r="H6" i="8"/>
  <c r="I6" i="8"/>
  <c r="J6" i="8"/>
  <c r="K6" i="8"/>
  <c r="L6" i="8"/>
  <c r="H46" i="7"/>
  <c r="I46" i="7"/>
  <c r="J46" i="7"/>
  <c r="K46" i="7"/>
  <c r="L46" i="7"/>
  <c r="G9" i="7"/>
  <c r="G10" i="7"/>
  <c r="I9" i="7"/>
  <c r="I10" i="7"/>
  <c r="J9" i="7"/>
  <c r="J10" i="7"/>
  <c r="K9" i="7"/>
  <c r="K10" i="7"/>
  <c r="L9" i="7"/>
  <c r="L10" i="7"/>
  <c r="G11" i="7"/>
  <c r="H9" i="7"/>
  <c r="H11" i="7"/>
  <c r="I11" i="7"/>
  <c r="J11" i="7"/>
  <c r="K11" i="7"/>
  <c r="L11" i="7"/>
  <c r="H10" i="7"/>
  <c r="C14" i="7"/>
  <c r="C11" i="7"/>
  <c r="C15" i="7"/>
  <c r="F19" i="7"/>
  <c r="F21" i="7"/>
  <c r="C29" i="7"/>
  <c r="G20" i="7"/>
  <c r="H20" i="7"/>
  <c r="I20" i="7"/>
  <c r="J20" i="7"/>
  <c r="K20" i="7"/>
  <c r="L20" i="7"/>
  <c r="G33" i="7"/>
  <c r="H33" i="7"/>
  <c r="I33" i="7"/>
  <c r="J33" i="7"/>
  <c r="K33" i="7"/>
  <c r="L33" i="7"/>
  <c r="G6" i="7"/>
  <c r="H6" i="7"/>
  <c r="I6" i="7"/>
  <c r="J6" i="7"/>
  <c r="K6" i="7"/>
  <c r="L6" i="7"/>
  <c r="I65" i="1"/>
  <c r="J65" i="1"/>
  <c r="K65" i="1"/>
  <c r="L65" i="1"/>
  <c r="L49" i="6"/>
  <c r="G39" i="6"/>
  <c r="H39" i="6"/>
  <c r="I39" i="6"/>
  <c r="J39" i="6"/>
  <c r="K39" i="6"/>
  <c r="L39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F7" i="5"/>
  <c r="G7" i="5"/>
  <c r="H7" i="5"/>
  <c r="I7" i="5"/>
  <c r="J7" i="5"/>
  <c r="K7" i="5"/>
  <c r="I26" i="4"/>
  <c r="I27" i="4"/>
  <c r="I29" i="4"/>
  <c r="J5" i="4"/>
  <c r="J26" i="4"/>
  <c r="J27" i="4"/>
  <c r="J29" i="4"/>
  <c r="K5" i="4"/>
  <c r="K26" i="4"/>
  <c r="K27" i="4"/>
  <c r="K29" i="4"/>
  <c r="L5" i="4"/>
  <c r="L26" i="4"/>
  <c r="L27" i="4"/>
  <c r="L29" i="4"/>
  <c r="M5" i="4"/>
  <c r="M26" i="4"/>
  <c r="M27" i="4"/>
  <c r="M29" i="4"/>
  <c r="N5" i="4"/>
  <c r="N26" i="4"/>
  <c r="N27" i="4"/>
  <c r="N29" i="4"/>
  <c r="O5" i="4"/>
  <c r="O26" i="4"/>
  <c r="O27" i="4"/>
  <c r="O29" i="4"/>
  <c r="P5" i="4"/>
  <c r="P26" i="4"/>
  <c r="P27" i="4"/>
  <c r="P29" i="4"/>
  <c r="Q5" i="4"/>
  <c r="Q26" i="4"/>
  <c r="Q27" i="4"/>
  <c r="Q29" i="4"/>
  <c r="R5" i="4"/>
  <c r="R26" i="4"/>
  <c r="R27" i="4"/>
  <c r="R29" i="4"/>
  <c r="S5" i="4"/>
  <c r="S26" i="4"/>
  <c r="S27" i="4"/>
  <c r="S29" i="4"/>
  <c r="T5" i="4"/>
  <c r="T26" i="4"/>
  <c r="T27" i="4"/>
  <c r="T29" i="4"/>
  <c r="U5" i="4"/>
  <c r="U26" i="4"/>
  <c r="U27" i="4"/>
  <c r="U29" i="4"/>
  <c r="V5" i="4"/>
  <c r="V26" i="4"/>
  <c r="V27" i="4"/>
  <c r="V29" i="4"/>
  <c r="W5" i="4"/>
  <c r="W26" i="4"/>
  <c r="W27" i="4"/>
  <c r="W29" i="4"/>
  <c r="X5" i="4"/>
  <c r="X26" i="4"/>
  <c r="X27" i="4"/>
  <c r="X29" i="4"/>
  <c r="Y5" i="4"/>
  <c r="Y26" i="4"/>
  <c r="Y27" i="4"/>
  <c r="Y29" i="4"/>
  <c r="Z5" i="4"/>
  <c r="Z26" i="4"/>
  <c r="Z27" i="4"/>
  <c r="Z29" i="4"/>
  <c r="AA5" i="4"/>
  <c r="AA26" i="4"/>
  <c r="AA27" i="4"/>
  <c r="AA29" i="4"/>
  <c r="AB5" i="4"/>
  <c r="AB26" i="4"/>
  <c r="AB27" i="4"/>
  <c r="AB29" i="4"/>
  <c r="AC5" i="4"/>
  <c r="AC26" i="4"/>
  <c r="AC27" i="4"/>
  <c r="AC29" i="4"/>
  <c r="AD5" i="4"/>
  <c r="AD26" i="4"/>
  <c r="AD27" i="4"/>
  <c r="AD29" i="4"/>
  <c r="AE5" i="4"/>
  <c r="AE26" i="4"/>
  <c r="AE27" i="4"/>
  <c r="AE29" i="4"/>
  <c r="AF5" i="4"/>
  <c r="AF26" i="4"/>
  <c r="AF27" i="4"/>
  <c r="AF29" i="4"/>
  <c r="AH26" i="4"/>
  <c r="AH27" i="4"/>
  <c r="AH29" i="4"/>
  <c r="AH15" i="4"/>
  <c r="AH16" i="4"/>
  <c r="AH19" i="4"/>
  <c r="AH22" i="4"/>
  <c r="AH23" i="4"/>
  <c r="AH8" i="4"/>
  <c r="AF6" i="4"/>
  <c r="AE6" i="4"/>
  <c r="AD6" i="4"/>
  <c r="AC6" i="4"/>
  <c r="AB6" i="4"/>
  <c r="AA6" i="4"/>
  <c r="Z6" i="4"/>
  <c r="Y6" i="4"/>
  <c r="X6" i="4"/>
  <c r="W6" i="4"/>
  <c r="V6" i="4"/>
  <c r="U6" i="4"/>
  <c r="N28" i="1"/>
  <c r="G11" i="1"/>
  <c r="F89" i="1"/>
  <c r="G89" i="1"/>
  <c r="F90" i="1"/>
  <c r="G90" i="1"/>
  <c r="H90" i="1"/>
  <c r="I90" i="1"/>
  <c r="J90" i="1"/>
  <c r="K90" i="1"/>
  <c r="G86" i="1"/>
  <c r="H86" i="1"/>
  <c r="I86" i="1"/>
  <c r="J86" i="1"/>
  <c r="K86" i="1"/>
  <c r="L86" i="1"/>
  <c r="F77" i="1"/>
  <c r="G77" i="1"/>
  <c r="F78" i="1"/>
  <c r="G78" i="1"/>
  <c r="H78" i="1"/>
  <c r="I78" i="1"/>
  <c r="J78" i="1"/>
  <c r="K78" i="1"/>
  <c r="H76" i="1"/>
  <c r="I76" i="1"/>
  <c r="J76" i="1"/>
  <c r="K76" i="1"/>
  <c r="L76" i="1"/>
  <c r="N70" i="1"/>
  <c r="N69" i="1"/>
  <c r="N54" i="1"/>
  <c r="N53" i="1"/>
  <c r="N52" i="1"/>
  <c r="L48" i="1"/>
  <c r="K48" i="1"/>
  <c r="J48" i="1"/>
  <c r="N47" i="1"/>
  <c r="F45" i="1"/>
  <c r="G45" i="1"/>
  <c r="N45" i="1"/>
  <c r="N43" i="1"/>
  <c r="N41" i="1"/>
  <c r="I22" i="1"/>
  <c r="J22" i="1"/>
  <c r="K22" i="1"/>
  <c r="L22" i="1"/>
  <c r="F22" i="1"/>
  <c r="G21" i="1"/>
  <c r="H21" i="1"/>
  <c r="I21" i="1"/>
  <c r="J21" i="1"/>
  <c r="K21" i="1"/>
  <c r="L21" i="1"/>
  <c r="C14" i="1"/>
  <c r="C13" i="1"/>
  <c r="C10" i="1"/>
  <c r="Q23" i="2"/>
  <c r="S24" i="2"/>
  <c r="Q30" i="2"/>
  <c r="S30" i="2"/>
  <c r="K39" i="2"/>
  <c r="G9" i="2"/>
  <c r="T19" i="2"/>
  <c r="T16" i="2"/>
  <c r="T17" i="2"/>
  <c r="T15" i="2"/>
  <c r="P17" i="2"/>
  <c r="P16" i="2"/>
  <c r="G4" i="3"/>
  <c r="G17" i="3"/>
  <c r="G7" i="3"/>
  <c r="O19" i="2"/>
  <c r="G11" i="3"/>
  <c r="G12" i="3"/>
  <c r="G16" i="3"/>
  <c r="E4" i="3"/>
  <c r="E5" i="3"/>
  <c r="E6" i="3"/>
  <c r="I4" i="3"/>
  <c r="I13" i="3"/>
  <c r="I5" i="3"/>
  <c r="I14" i="3"/>
  <c r="I6" i="3"/>
  <c r="I15" i="3"/>
  <c r="I17" i="3"/>
  <c r="I11" i="3"/>
  <c r="I7" i="3"/>
  <c r="I12" i="3"/>
  <c r="I16" i="3"/>
  <c r="H7" i="3"/>
  <c r="H11" i="3"/>
  <c r="H12" i="3"/>
  <c r="H16" i="3"/>
  <c r="H17" i="3"/>
  <c r="F4" i="3"/>
  <c r="F6" i="3"/>
  <c r="F7" i="3"/>
  <c r="F11" i="3"/>
  <c r="F12" i="3"/>
  <c r="F16" i="3"/>
  <c r="F17" i="3"/>
  <c r="E17" i="3"/>
  <c r="E7" i="3"/>
  <c r="E16" i="3"/>
  <c r="E11" i="3"/>
  <c r="E12" i="3"/>
  <c r="D17" i="3"/>
  <c r="D7" i="3"/>
  <c r="D16" i="3"/>
  <c r="D11" i="3"/>
  <c r="D12" i="3"/>
  <c r="J40" i="2"/>
  <c r="T54" i="2"/>
  <c r="AC56" i="2"/>
  <c r="AC57" i="2"/>
  <c r="AC59" i="2"/>
  <c r="T48" i="2"/>
  <c r="T49" i="2"/>
  <c r="AC54" i="2"/>
  <c r="AC53" i="2"/>
  <c r="AC49" i="2"/>
  <c r="T42" i="2"/>
  <c r="T41" i="2"/>
  <c r="AC47" i="2"/>
  <c r="T40" i="2"/>
  <c r="AC46" i="2"/>
  <c r="T39" i="2"/>
  <c r="AC45" i="2"/>
  <c r="T38" i="2"/>
  <c r="AC44" i="2"/>
  <c r="T37" i="2"/>
  <c r="AC43" i="2"/>
  <c r="T36" i="2"/>
  <c r="AC42" i="2"/>
  <c r="T35" i="2"/>
  <c r="AC41" i="2"/>
  <c r="T34" i="2"/>
  <c r="AC40" i="2"/>
  <c r="T33" i="2"/>
  <c r="K32" i="2"/>
  <c r="K33" i="2"/>
  <c r="T31" i="2"/>
  <c r="AC37" i="2"/>
  <c r="T30" i="2"/>
  <c r="T29" i="2"/>
  <c r="AC35" i="2"/>
  <c r="T28" i="2"/>
  <c r="AC34" i="2"/>
  <c r="T27" i="2"/>
  <c r="AC33" i="2"/>
  <c r="T26" i="2"/>
  <c r="AC32" i="2"/>
  <c r="T25" i="2"/>
  <c r="AC31" i="2"/>
  <c r="T24" i="2"/>
  <c r="AC30" i="2"/>
  <c r="T23" i="2"/>
  <c r="AC29" i="2"/>
  <c r="T22" i="2"/>
  <c r="T21" i="2"/>
  <c r="T18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DB21" i="2"/>
  <c r="DC21" i="2"/>
  <c r="DD21" i="2"/>
  <c r="DE21" i="2"/>
  <c r="DF21" i="2"/>
  <c r="DG21" i="2"/>
  <c r="DH21" i="2"/>
  <c r="DI21" i="2"/>
  <c r="DJ21" i="2"/>
  <c r="DK21" i="2"/>
  <c r="DL21" i="2"/>
  <c r="DM21" i="2"/>
  <c r="DN21" i="2"/>
  <c r="DO21" i="2"/>
  <c r="DP21" i="2"/>
  <c r="DQ21" i="2"/>
  <c r="DR21" i="2"/>
  <c r="DS21" i="2"/>
  <c r="DT21" i="2"/>
  <c r="DU21" i="2"/>
  <c r="DV21" i="2"/>
  <c r="DW21" i="2"/>
  <c r="DX21" i="2"/>
  <c r="DY21" i="2"/>
  <c r="DZ21" i="2"/>
  <c r="EA21" i="2"/>
  <c r="EB21" i="2"/>
  <c r="EC21" i="2"/>
  <c r="ED21" i="2"/>
  <c r="EE21" i="2"/>
  <c r="EF21" i="2"/>
  <c r="EG21" i="2"/>
  <c r="EH21" i="2"/>
  <c r="EI21" i="2"/>
  <c r="EJ21" i="2"/>
  <c r="EK21" i="2"/>
  <c r="EL21" i="2"/>
  <c r="EM21" i="2"/>
  <c r="EN21" i="2"/>
  <c r="EO21" i="2"/>
  <c r="EP21" i="2"/>
  <c r="EQ21" i="2"/>
  <c r="ER21" i="2"/>
  <c r="ES21" i="2"/>
  <c r="ET21" i="2"/>
  <c r="EU21" i="2"/>
  <c r="EV21" i="2"/>
  <c r="EW21" i="2"/>
  <c r="EX21" i="2"/>
  <c r="EY21" i="2"/>
  <c r="EZ21" i="2"/>
  <c r="FA21" i="2"/>
  <c r="FB21" i="2"/>
  <c r="FC21" i="2"/>
  <c r="FD21" i="2"/>
  <c r="FE21" i="2"/>
  <c r="FF21" i="2"/>
  <c r="FG21" i="2"/>
  <c r="FH21" i="2"/>
  <c r="FI21" i="2"/>
  <c r="FJ21" i="2"/>
  <c r="FK21" i="2"/>
  <c r="FL21" i="2"/>
  <c r="FM21" i="2"/>
  <c r="FN21" i="2"/>
  <c r="FO21" i="2"/>
  <c r="FP21" i="2"/>
  <c r="FQ21" i="2"/>
  <c r="FR21" i="2"/>
  <c r="FS21" i="2"/>
  <c r="FT21" i="2"/>
  <c r="FU21" i="2"/>
  <c r="FV21" i="2"/>
  <c r="FW21" i="2"/>
  <c r="FX21" i="2"/>
  <c r="FY21" i="2"/>
  <c r="FZ21" i="2"/>
  <c r="GA21" i="2"/>
  <c r="GB21" i="2"/>
  <c r="GC21" i="2"/>
  <c r="GD21" i="2"/>
  <c r="GE21" i="2"/>
  <c r="GF21" i="2"/>
  <c r="GG21" i="2"/>
  <c r="GH21" i="2"/>
  <c r="GI21" i="2"/>
  <c r="GJ21" i="2"/>
  <c r="GK21" i="2"/>
  <c r="GL21" i="2"/>
  <c r="GM21" i="2"/>
  <c r="GN21" i="2"/>
  <c r="GO21" i="2"/>
  <c r="GP21" i="2"/>
  <c r="GQ21" i="2"/>
  <c r="GR21" i="2"/>
  <c r="GS21" i="2"/>
  <c r="GT21" i="2"/>
  <c r="GU21" i="2"/>
  <c r="GV21" i="2"/>
  <c r="GW21" i="2"/>
  <c r="GX21" i="2"/>
  <c r="GY21" i="2"/>
  <c r="GZ21" i="2"/>
  <c r="HA21" i="2"/>
  <c r="HB21" i="2"/>
  <c r="HC21" i="2"/>
  <c r="HD21" i="2"/>
  <c r="HD20" i="2"/>
  <c r="HC20" i="2"/>
  <c r="HB20" i="2"/>
  <c r="HA20" i="2"/>
  <c r="GZ20" i="2"/>
  <c r="GY20" i="2"/>
  <c r="GX20" i="2"/>
  <c r="GW20" i="2"/>
  <c r="GV20" i="2"/>
  <c r="GU20" i="2"/>
  <c r="GT20" i="2"/>
  <c r="GS20" i="2"/>
  <c r="GR20" i="2"/>
  <c r="GQ20" i="2"/>
  <c r="GP20" i="2"/>
  <c r="GO20" i="2"/>
  <c r="GN20" i="2"/>
  <c r="GM20" i="2"/>
  <c r="GL20" i="2"/>
  <c r="GK20" i="2"/>
  <c r="GJ20" i="2"/>
  <c r="GI20" i="2"/>
  <c r="GH20" i="2"/>
  <c r="GG20" i="2"/>
  <c r="GF20" i="2"/>
  <c r="GE20" i="2"/>
  <c r="GD20" i="2"/>
  <c r="GC20" i="2"/>
  <c r="GB20" i="2"/>
  <c r="GA20" i="2"/>
  <c r="FZ20" i="2"/>
  <c r="FY20" i="2"/>
  <c r="FX20" i="2"/>
  <c r="FW20" i="2"/>
  <c r="FV20" i="2"/>
  <c r="FU20" i="2"/>
  <c r="FT20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V20" i="2"/>
  <c r="DU20" i="2"/>
  <c r="DT20" i="2"/>
  <c r="DS20" i="2"/>
  <c r="DR20" i="2"/>
  <c r="DQ20" i="2"/>
  <c r="DP20" i="2"/>
  <c r="DO20" i="2"/>
  <c r="DN20" i="2"/>
  <c r="DM20" i="2"/>
  <c r="DL20" i="2"/>
  <c r="DK20" i="2"/>
  <c r="DJ20" i="2"/>
  <c r="DI20" i="2"/>
  <c r="DH20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HD16" i="2"/>
  <c r="HC16" i="2"/>
  <c r="HB16" i="2"/>
  <c r="HA16" i="2"/>
  <c r="GZ16" i="2"/>
  <c r="GY16" i="2"/>
  <c r="GX16" i="2"/>
  <c r="GW16" i="2"/>
  <c r="GV16" i="2"/>
  <c r="GU16" i="2"/>
  <c r="GT16" i="2"/>
  <c r="GS16" i="2"/>
  <c r="GR16" i="2"/>
  <c r="GQ16" i="2"/>
  <c r="GP16" i="2"/>
  <c r="GO16" i="2"/>
  <c r="GN16" i="2"/>
  <c r="GM16" i="2"/>
  <c r="GL16" i="2"/>
  <c r="GK16" i="2"/>
  <c r="GJ16" i="2"/>
  <c r="GI16" i="2"/>
  <c r="GH16" i="2"/>
  <c r="GG16" i="2"/>
  <c r="GF16" i="2"/>
  <c r="GE16" i="2"/>
  <c r="GD16" i="2"/>
  <c r="GC16" i="2"/>
  <c r="GB16" i="2"/>
  <c r="GA16" i="2"/>
  <c r="FZ16" i="2"/>
  <c r="FY16" i="2"/>
  <c r="FX16" i="2"/>
  <c r="FW16" i="2"/>
  <c r="FV16" i="2"/>
  <c r="FU16" i="2"/>
  <c r="FT16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V16" i="2"/>
  <c r="DU16" i="2"/>
  <c r="DT16" i="2"/>
  <c r="DS16" i="2"/>
  <c r="DR16" i="2"/>
  <c r="DQ16" i="2"/>
  <c r="DP16" i="2"/>
  <c r="DO16" i="2"/>
  <c r="DN16" i="2"/>
  <c r="DM16" i="2"/>
  <c r="DL16" i="2"/>
  <c r="DK16" i="2"/>
  <c r="DJ16" i="2"/>
  <c r="DI16" i="2"/>
  <c r="DH16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P34" i="1"/>
  <c r="D4" i="9"/>
  <c r="C83" i="1"/>
  <c r="D6" i="9"/>
  <c r="D8" i="9"/>
  <c r="J10" i="1"/>
  <c r="N59" i="1"/>
  <c r="F65" i="1"/>
  <c r="G65" i="1"/>
  <c r="H65" i="1"/>
  <c r="N65" i="1"/>
  <c r="N66" i="1"/>
  <c r="G80" i="1"/>
  <c r="J80" i="1"/>
  <c r="K80" i="1"/>
  <c r="L80" i="1"/>
  <c r="J93" i="1"/>
  <c r="K93" i="1"/>
  <c r="L93" i="1"/>
  <c r="F80" i="1"/>
  <c r="C12" i="4"/>
  <c r="C13" i="4"/>
  <c r="C14" i="4"/>
  <c r="C17" i="4"/>
  <c r="C18" i="4"/>
  <c r="C20" i="4"/>
  <c r="C21" i="4"/>
  <c r="C24" i="4"/>
  <c r="C28" i="4"/>
  <c r="C30" i="4"/>
  <c r="C32" i="4"/>
  <c r="C34" i="4"/>
  <c r="C36" i="4"/>
  <c r="AF9" i="6"/>
  <c r="AF10" i="6"/>
  <c r="AF11" i="6"/>
  <c r="AF22" i="6"/>
  <c r="AF23" i="6"/>
  <c r="AD25" i="6"/>
  <c r="L23" i="7"/>
  <c r="C37" i="7"/>
  <c r="D41" i="7"/>
  <c r="D43" i="7"/>
  <c r="C44" i="7"/>
  <c r="F46" i="7"/>
  <c r="G46" i="7"/>
  <c r="L24" i="8"/>
  <c r="L33" i="8"/>
  <c r="C50" i="8"/>
  <c r="D54" i="8"/>
  <c r="D57" i="8"/>
  <c r="C58" i="8"/>
  <c r="F60" i="8"/>
  <c r="G60" i="8"/>
  <c r="K10" i="1"/>
  <c r="I80" i="1"/>
  <c r="I81" i="1"/>
  <c r="D5" i="9"/>
  <c r="D9" i="9"/>
  <c r="C96" i="1"/>
  <c r="D7" i="9"/>
  <c r="H80" i="1"/>
  <c r="D38" i="4"/>
  <c r="AH36" i="4"/>
  <c r="AH34" i="4"/>
  <c r="AH32" i="4"/>
  <c r="AH28" i="4"/>
  <c r="AH30" i="4"/>
  <c r="AH12" i="4"/>
  <c r="AH13" i="4"/>
  <c r="AH14" i="4"/>
  <c r="AH17" i="4"/>
  <c r="AH18" i="4"/>
  <c r="AH20" i="4"/>
  <c r="AH21" i="4"/>
  <c r="AH24" i="4"/>
  <c r="AH10" i="4"/>
  <c r="AH37" i="4"/>
</calcChain>
</file>

<file path=xl/sharedStrings.xml><?xml version="1.0" encoding="utf-8"?>
<sst xmlns="http://schemas.openxmlformats.org/spreadsheetml/2006/main" count="586" uniqueCount="349">
  <si>
    <t>Location</t>
  </si>
  <si>
    <t>Asset Class</t>
  </si>
  <si>
    <t>Size</t>
  </si>
  <si>
    <t>Average SF</t>
  </si>
  <si>
    <t>Total SF</t>
  </si>
  <si>
    <t>Land Size</t>
  </si>
  <si>
    <t>Total Project Costs</t>
  </si>
  <si>
    <t>Total Cost Per Unit</t>
  </si>
  <si>
    <t xml:space="preserve">Total Cost Per SF </t>
  </si>
  <si>
    <t>Stabilized Project Value</t>
  </si>
  <si>
    <t>Total Value Per Unit</t>
  </si>
  <si>
    <t>Total Value Per SF</t>
  </si>
  <si>
    <t>units</t>
  </si>
  <si>
    <t>SF</t>
  </si>
  <si>
    <t>Sources</t>
  </si>
  <si>
    <t xml:space="preserve">Debt </t>
  </si>
  <si>
    <t>Equity</t>
  </si>
  <si>
    <t>Total Source</t>
  </si>
  <si>
    <t>Uses</t>
  </si>
  <si>
    <t>Land</t>
  </si>
  <si>
    <t>Hard Cost</t>
  </si>
  <si>
    <t>Soft Cost</t>
  </si>
  <si>
    <t>Financing Cost</t>
  </si>
  <si>
    <t>Developer Fee</t>
  </si>
  <si>
    <t>Contingency</t>
  </si>
  <si>
    <t>Total Use</t>
  </si>
  <si>
    <t>Name:</t>
  </si>
  <si>
    <t>MF Static</t>
  </si>
  <si>
    <t>Inflation</t>
  </si>
  <si>
    <t>Location:</t>
  </si>
  <si>
    <t>Start M</t>
  </si>
  <si>
    <t>Project Cost</t>
  </si>
  <si>
    <t>INCOME</t>
  </si>
  <si>
    <t>Draw Schedule</t>
  </si>
  <si>
    <t>Units</t>
  </si>
  <si>
    <t>Cost / Unit</t>
  </si>
  <si>
    <t>Cost / psf</t>
  </si>
  <si>
    <t>Other</t>
  </si>
  <si>
    <t>\ Total</t>
  </si>
  <si>
    <t>in $</t>
  </si>
  <si>
    <t>% COST</t>
  </si>
  <si>
    <t>Time</t>
  </si>
  <si>
    <t>End M</t>
  </si>
  <si>
    <t>Amount $</t>
  </si>
  <si>
    <t>% TOTAL COSTS</t>
  </si>
  <si>
    <t>Base Year Stabilized Cash Flow</t>
  </si>
  <si>
    <t>Total</t>
  </si>
  <si>
    <t>TOTAL BUILDING COSTS</t>
  </si>
  <si>
    <t>Potential Base Rent</t>
  </si>
  <si>
    <t>Building Cost Contingency</t>
  </si>
  <si>
    <t>Parking Income</t>
  </si>
  <si>
    <t>SITE WORK</t>
  </si>
  <si>
    <t>Resid. Ancillary Income</t>
  </si>
  <si>
    <t>Underground Parking</t>
  </si>
  <si>
    <t>Less:</t>
  </si>
  <si>
    <t>Vacancy - Overall</t>
  </si>
  <si>
    <t>Structured Parking</t>
  </si>
  <si>
    <t>EFFECTIVE RENTAL INCOME</t>
  </si>
  <si>
    <t>Bldg Permits &amp; Fees</t>
  </si>
  <si>
    <t>Operating Expenses</t>
  </si>
  <si>
    <t xml:space="preserve">Other  </t>
  </si>
  <si>
    <t>Management Fees (% of ERI)</t>
  </si>
  <si>
    <t>Site Work &amp; Parking Contingency</t>
  </si>
  <si>
    <t>Reserves (% of ERI)</t>
  </si>
  <si>
    <t>TOTAL CONSTRUCTION COSTS</t>
  </si>
  <si>
    <t>TOTAL EXPENSES</t>
  </si>
  <si>
    <t>LAND PURCHASE</t>
  </si>
  <si>
    <t>NET OPERATING INCOME</t>
  </si>
  <si>
    <t>TOTAL LAND &amp; CONSTRUCTION</t>
  </si>
  <si>
    <t>Construction Interest</t>
  </si>
  <si>
    <t>OTHER COSTS</t>
  </si>
  <si>
    <t>Construction Cash Flow</t>
  </si>
  <si>
    <t>Architects &amp; Engineers</t>
  </si>
  <si>
    <t>Long-Term Debt Service</t>
  </si>
  <si>
    <t>Legal &amp; Misc.</t>
  </si>
  <si>
    <t>Long-Term Cash Flow</t>
  </si>
  <si>
    <t>Furniture &amp; Fixtures</t>
  </si>
  <si>
    <t>Development Overhead</t>
  </si>
  <si>
    <t>PROJECT MARKET VALUE</t>
  </si>
  <si>
    <t>Leasing / Pre-Opening</t>
  </si>
  <si>
    <t>Market Value - Multifamily</t>
  </si>
  <si>
    <t>Construction Loan Fees / Costs</t>
  </si>
  <si>
    <t>Market Value - Other</t>
  </si>
  <si>
    <t>Interest Reserve (% Avg. Loan Bal)</t>
  </si>
  <si>
    <t>TOTAL MARKET VALUE</t>
  </si>
  <si>
    <t>Blend ---------</t>
  </si>
  <si>
    <t>Soft Cost Contingency</t>
  </si>
  <si>
    <t>Total Other Costs</t>
  </si>
  <si>
    <t>FINANCING</t>
  </si>
  <si>
    <t>TOTAL COSTS</t>
  </si>
  <si>
    <t>CONSTRUCTION LOAN</t>
  </si>
  <si>
    <t>Interest Rate</t>
  </si>
  <si>
    <t>INVESTMENT ANALYSIS</t>
  </si>
  <si>
    <t>Annual Construction Interest</t>
  </si>
  <si>
    <t>Const. Mos.</t>
  </si>
  <si>
    <t>TOTAL PROJECT COSTS</t>
  </si>
  <si>
    <t>Loan-to-Value (LTV)</t>
  </si>
  <si>
    <t>Less: Adjustments</t>
  </si>
  <si>
    <t>Debt Yield / Loan-to-Cost (LTC)</t>
  </si>
  <si>
    <t>ADJUSTED PROJECT COSTS</t>
  </si>
  <si>
    <t>PERM LOAN</t>
  </si>
  <si>
    <t>Construction Loan</t>
  </si>
  <si>
    <t>NET CAPITAL REQUIREMENT- Construction</t>
  </si>
  <si>
    <t>NET CAPITAL REQUIREMENT - Long term</t>
  </si>
  <si>
    <t>Amortization Period</t>
  </si>
  <si>
    <t>INCOME AS A PERCENTAGE OF COSTS (incl. Land)</t>
  </si>
  <si>
    <t>Annual Debt Service</t>
  </si>
  <si>
    <t>INCOME AS A PERCENTAGE OF COSTS (excl. Land)</t>
  </si>
  <si>
    <t>Loan Constant</t>
  </si>
  <si>
    <t>CASH-ON-CASH RETURN (FIRST YEAR - Long term Debt)</t>
  </si>
  <si>
    <t>Adj. Basis</t>
  </si>
  <si>
    <t>Debt Service Coverage Ratio (DSCR)</t>
  </si>
  <si>
    <t>PROFIT ON SALE</t>
  </si>
  <si>
    <t>(sales costs)</t>
  </si>
  <si>
    <t>Cedar City, UT</t>
  </si>
  <si>
    <t>Rentable SQ. Ft.</t>
  </si>
  <si>
    <t>2BR SQ FT</t>
  </si>
  <si>
    <t>3BR SQ FT</t>
  </si>
  <si>
    <t>1BR SQ FT</t>
  </si>
  <si>
    <t>Avg. Unit SQ. Ft</t>
  </si>
  <si>
    <t>Rent PSF/1BR</t>
  </si>
  <si>
    <t>Rent PSF/2BR</t>
  </si>
  <si>
    <t>Rent PSF/3BR</t>
  </si>
  <si>
    <t>Avg. Rent  PSF</t>
  </si>
  <si>
    <t>Total Rents</t>
  </si>
  <si>
    <t>Measure</t>
  </si>
  <si>
    <t>Scenario #1</t>
  </si>
  <si>
    <t>Scenario #2</t>
  </si>
  <si>
    <t>Scenario #3</t>
  </si>
  <si>
    <t>Scenario #4</t>
  </si>
  <si>
    <t>Scenario #5</t>
  </si>
  <si>
    <t>Scenario #6</t>
  </si>
  <si>
    <t>Scenario #7</t>
  </si>
  <si>
    <t>Scenario</t>
  </si>
  <si>
    <t>Cap Rate</t>
  </si>
  <si>
    <t>Changes in Yield on Cost across Cap Rate and Scenario</t>
  </si>
  <si>
    <t>Cedar City</t>
  </si>
  <si>
    <t>Multifamily</t>
  </si>
  <si>
    <t>PROGRAM</t>
  </si>
  <si>
    <t>SOURCES &amp; USES</t>
  </si>
  <si>
    <t>Period</t>
  </si>
  <si>
    <t>Developmet / Operations</t>
  </si>
  <si>
    <t>DEVELOPMENT</t>
  </si>
  <si>
    <t>Development</t>
  </si>
  <si>
    <t>Financing Costs</t>
  </si>
  <si>
    <t>Total Development</t>
  </si>
  <si>
    <t>OPERATIONS</t>
  </si>
  <si>
    <t>Lease-Up</t>
  </si>
  <si>
    <t>Operations</t>
  </si>
  <si>
    <t>Effective Gross Income</t>
  </si>
  <si>
    <t>Net Operating Income</t>
  </si>
  <si>
    <t>Debt Service</t>
  </si>
  <si>
    <t>Free Cash Flow</t>
  </si>
  <si>
    <t>SALE ASSUMPTIONS</t>
  </si>
  <si>
    <t>Sales Price</t>
  </si>
  <si>
    <t>Cost of Sale</t>
  </si>
  <si>
    <t>Net Sales Proceeds</t>
  </si>
  <si>
    <t>EXIT ASSUMPTIONS</t>
  </si>
  <si>
    <t>Exit Cap Rate</t>
  </si>
  <si>
    <t>Cost of Sales</t>
  </si>
  <si>
    <t>EQUITY</t>
  </si>
  <si>
    <t>DEBT</t>
  </si>
  <si>
    <t>Construction</t>
  </si>
  <si>
    <t>Constructions Draws</t>
  </si>
  <si>
    <t>Debt Repayment</t>
  </si>
  <si>
    <t>Permanent Loan</t>
  </si>
  <si>
    <t>Loan Takedown</t>
  </si>
  <si>
    <t>RETURNS</t>
  </si>
  <si>
    <t>Unlevered</t>
  </si>
  <si>
    <t>Total Unlevered</t>
  </si>
  <si>
    <t>Cash-on-Cash</t>
  </si>
  <si>
    <t>Internal Rate of Return (IRR)</t>
  </si>
  <si>
    <t>Multiple on Invested Capital (MOIC)</t>
  </si>
  <si>
    <t>Levered</t>
  </si>
  <si>
    <t>Invested Equity</t>
  </si>
  <si>
    <t>Construction Loan Repayment</t>
  </si>
  <si>
    <t>Permanent Loan Draw</t>
  </si>
  <si>
    <t>Permanent Debt Repayment</t>
  </si>
  <si>
    <t>Total Levered</t>
  </si>
  <si>
    <t>Period (Months)</t>
  </si>
  <si>
    <t>Cost Per SF</t>
  </si>
  <si>
    <t>Total Cost</t>
  </si>
  <si>
    <t>Start Date</t>
  </si>
  <si>
    <t>Duration</t>
  </si>
  <si>
    <t>Annual Indicator</t>
  </si>
  <si>
    <t>Architecture</t>
  </si>
  <si>
    <t>Engineering</t>
  </si>
  <si>
    <t>Environmental</t>
  </si>
  <si>
    <t>Geotech</t>
  </si>
  <si>
    <t>Permit &amp; entitlements</t>
  </si>
  <si>
    <t>Taxes</t>
  </si>
  <si>
    <t>Legal</t>
  </si>
  <si>
    <t>Insurance</t>
  </si>
  <si>
    <t>Misc/Contingency</t>
  </si>
  <si>
    <t>[Placeholder]</t>
  </si>
  <si>
    <t>Market Study</t>
  </si>
  <si>
    <t>Appraisal</t>
  </si>
  <si>
    <t>Origination Fee</t>
  </si>
  <si>
    <t>Lender Legal</t>
  </si>
  <si>
    <t>Revenue Escalation</t>
  </si>
  <si>
    <t>Revenue Escalation Factor</t>
  </si>
  <si>
    <t>Expense Escalation</t>
  </si>
  <si>
    <t>Expense Escalation Factor</t>
  </si>
  <si>
    <t>Gross Potential Rent (GPR)</t>
  </si>
  <si>
    <t>PSF</t>
  </si>
  <si>
    <t>Lease-Up Vacancy</t>
  </si>
  <si>
    <t>of GPR</t>
  </si>
  <si>
    <t>Stabilized Vacancy</t>
  </si>
  <si>
    <t>Lease-Up Concessions</t>
  </si>
  <si>
    <t>Stablized Concessions</t>
  </si>
  <si>
    <t>Bad Debt</t>
  </si>
  <si>
    <t>Net Rental Income (NRI)</t>
  </si>
  <si>
    <t>Garage/Covered Parking</t>
  </si>
  <si>
    <t>PUPM</t>
  </si>
  <si>
    <t>RUBS</t>
  </si>
  <si>
    <t>Application &amp; Other Fees</t>
  </si>
  <si>
    <t>Laundry</t>
  </si>
  <si>
    <t>Misc</t>
  </si>
  <si>
    <t>Effective Gross Income (EGI)</t>
  </si>
  <si>
    <t>Repairs &amp; Maintenance</t>
  </si>
  <si>
    <t>PUPY</t>
  </si>
  <si>
    <t>Contract Services</t>
  </si>
  <si>
    <t>Marketing</t>
  </si>
  <si>
    <t>Payroll</t>
  </si>
  <si>
    <t>General &amp; Adminstration</t>
  </si>
  <si>
    <t>Property Taxes</t>
  </si>
  <si>
    <t>Utilities</t>
  </si>
  <si>
    <t>Management Fee</t>
  </si>
  <si>
    <t>of EGI</t>
  </si>
  <si>
    <t>Capital Reserves</t>
  </si>
  <si>
    <t>Total Operating Expenses</t>
  </si>
  <si>
    <t>Per Unit OpEx</t>
  </si>
  <si>
    <t>Operating Margin</t>
  </si>
  <si>
    <t>Development Draws</t>
  </si>
  <si>
    <t>Loan-to-Cost (LTC)</t>
  </si>
  <si>
    <t>Loan</t>
  </si>
  <si>
    <t>Interest</t>
  </si>
  <si>
    <t>Term</t>
  </si>
  <si>
    <t>years</t>
  </si>
  <si>
    <t>Accrued Balance</t>
  </si>
  <si>
    <t>Accrued Interest</t>
  </si>
  <si>
    <t>Ending Balance</t>
  </si>
  <si>
    <t>Permanent Financing</t>
  </si>
  <si>
    <t>Minimum DSCR</t>
  </si>
  <si>
    <t>LTV Capacity</t>
  </si>
  <si>
    <t>DSCR Capacity</t>
  </si>
  <si>
    <t>Amortization</t>
  </si>
  <si>
    <t>Interest Only</t>
  </si>
  <si>
    <t>Period (Years)</t>
  </si>
  <si>
    <t>Operational Years</t>
  </si>
  <si>
    <t>Starting Balance</t>
  </si>
  <si>
    <t>Interest Payments</t>
  </si>
  <si>
    <t>Principal Payments</t>
  </si>
  <si>
    <t>Total Equity</t>
  </si>
  <si>
    <t>GP</t>
  </si>
  <si>
    <t>LP</t>
  </si>
  <si>
    <t>Net Cash Flow</t>
  </si>
  <si>
    <t>IRR Waterfall</t>
  </si>
  <si>
    <t>Beginning Balance</t>
  </si>
  <si>
    <t>Capital Investment</t>
  </si>
  <si>
    <t>Accrual</t>
  </si>
  <si>
    <t>Payment</t>
  </si>
  <si>
    <t>Tier 1 Free Cash Flow</t>
  </si>
  <si>
    <t>Tier 1</t>
  </si>
  <si>
    <t>Sponsor</t>
  </si>
  <si>
    <t>Total LP Return</t>
  </si>
  <si>
    <t>LP Initial Investment</t>
  </si>
  <si>
    <t>LP 12% Hurdle</t>
  </si>
  <si>
    <t>Tier 1 Split</t>
  </si>
  <si>
    <t>IRR</t>
  </si>
  <si>
    <t>GP/Sponsor</t>
  </si>
  <si>
    <t>Co-Invest</t>
  </si>
  <si>
    <t>Sponsor Promote</t>
  </si>
  <si>
    <t>Subtotal</t>
  </si>
  <si>
    <t>IRR Waterfall Tier 1</t>
  </si>
  <si>
    <t>Subtotal Cash Flow</t>
  </si>
  <si>
    <t>IRR Waterfall Tier 2</t>
  </si>
  <si>
    <t>Tier 1 Cash Flow</t>
  </si>
  <si>
    <t>Tier 2 Cash Flow</t>
  </si>
  <si>
    <t>Tier 2 Split</t>
  </si>
  <si>
    <t>Tier 1 Promote</t>
  </si>
  <si>
    <t>Tier 2 Promote</t>
  </si>
  <si>
    <t>KEY METRIC</t>
  </si>
  <si>
    <t>Profit</t>
  </si>
  <si>
    <t>MOIC</t>
  </si>
  <si>
    <t>&lt;---Scenarios</t>
  </si>
  <si>
    <t>NPV</t>
  </si>
  <si>
    <t>Loan to Cost</t>
  </si>
  <si>
    <t>Loan to Value</t>
  </si>
  <si>
    <t>Debt Service Coverage Ratio</t>
  </si>
  <si>
    <t>Debt Yield</t>
  </si>
  <si>
    <t>Mortgage Constant</t>
  </si>
  <si>
    <t>Operating Expense Ratio</t>
  </si>
  <si>
    <t>Net Income Ratio</t>
  </si>
  <si>
    <t>Equity Dividend Rate</t>
  </si>
  <si>
    <t>Break Even Ratio</t>
  </si>
  <si>
    <t>Unlevered IRR</t>
  </si>
  <si>
    <t>Levered IRR</t>
  </si>
  <si>
    <t>Unlevered Multiple On Invested Capital</t>
  </si>
  <si>
    <t>Levered Multiple on Invested Capital</t>
  </si>
  <si>
    <t>Yield on Cost -incl. land</t>
  </si>
  <si>
    <t>Yield on Cost -excl. land</t>
  </si>
  <si>
    <t>Unlevered NPV</t>
  </si>
  <si>
    <t>Levered NPV</t>
  </si>
  <si>
    <t>Breakeven Point</t>
  </si>
  <si>
    <t>Misc.</t>
  </si>
  <si>
    <t>Hard Costs</t>
  </si>
  <si>
    <t>Soft Costs</t>
  </si>
  <si>
    <t>Base Costs</t>
  </si>
  <si>
    <t>Optimistic</t>
  </si>
  <si>
    <t>Stress</t>
  </si>
  <si>
    <t>Developer Fee @ 4%</t>
  </si>
  <si>
    <t>Contingency @ 4%</t>
  </si>
  <si>
    <t>Dev</t>
  </si>
  <si>
    <t>1 Bed/1 Bath</t>
  </si>
  <si>
    <t>2 Bed/1 Bath</t>
  </si>
  <si>
    <t>3 Bed/1 Bath</t>
  </si>
  <si>
    <t>WATERFALL</t>
  </si>
  <si>
    <t>Single Net Proceeds to LP</t>
  </si>
  <si>
    <t>Single Net Proceeds to GP</t>
  </si>
  <si>
    <t>Double Net Proceeds to LP</t>
  </si>
  <si>
    <t>Double Net Proceeds to GP</t>
  </si>
  <si>
    <t xml:space="preserve">Weighted Average Cost of Capital -WACC </t>
  </si>
  <si>
    <t>Required Equity Return = Re = 15%</t>
  </si>
  <si>
    <t>Cost of Debt Capital = Rd = 6.5%</t>
  </si>
  <si>
    <t>WACC = Re X</t>
  </si>
  <si>
    <t xml:space="preserve">WACC </t>
  </si>
  <si>
    <t>=</t>
  </si>
  <si>
    <t>X</t>
  </si>
  <si>
    <t>Capital Stack</t>
  </si>
  <si>
    <t>Re</t>
  </si>
  <si>
    <t>+</t>
  </si>
  <si>
    <t>Rd</t>
  </si>
  <si>
    <t>Debt</t>
  </si>
  <si>
    <t>Permanent Loan Interest Rate</t>
  </si>
  <si>
    <t>Exit Cap</t>
  </si>
  <si>
    <t xml:space="preserve">Loan-to-Cost (LTC) </t>
  </si>
  <si>
    <t>PERMANENT LOAN</t>
  </si>
  <si>
    <t>Loan-to-Value</t>
  </si>
  <si>
    <t>Amortization (Years)</t>
  </si>
  <si>
    <t>Interest Only (Years)</t>
  </si>
  <si>
    <t>Iteration 1</t>
  </si>
  <si>
    <t>Rent p.s.f.</t>
  </si>
  <si>
    <t>Development Cost</t>
  </si>
  <si>
    <t>Levered MOIC</t>
  </si>
  <si>
    <t>Iteration 2</t>
  </si>
  <si>
    <t>Iteration 3</t>
  </si>
  <si>
    <t>Iteration 4</t>
  </si>
  <si>
    <t xml:space="preserve"> Scenario KPI's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</si>
</sst>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#,##0_);\(#,##0\);\-_);@_)"/>
    <numFmt numFmtId="167" formatCode="&quot;M&quot;0"/>
    <numFmt numFmtId="168" formatCode="0.00%_);\(0.00%\);@_)"/>
    <numFmt numFmtId="169" formatCode="#,##0.0000_);\(#,##0.0000\);\-_);@_)"/>
    <numFmt numFmtId="170" formatCode="0.00\x_);\(0.00\x\);@_)"/>
    <numFmt numFmtId="171" formatCode="&quot;$&quot;#,##0.00"/>
    <numFmt numFmtId="172" formatCode="&quot;Y&quot;0"/>
    <numFmt numFmtId="173" formatCode="#,##0.00_);\(#,##0.00\);\-_);@_)"/>
    <numFmt numFmtId="174" formatCode="0.0%_);\(0.0%\);\-_)"/>
    <numFmt numFmtId="175" formatCode="0.0%_);\(0.0%\);@_)"/>
    <numFmt numFmtId="176" formatCode="0%_);\(0%\);\-_)"/>
    <numFmt numFmtId="177" formatCode="#,##0_);\(#,##0\);\-_)"/>
    <numFmt numFmtId="178" formatCode="&quot;$&quot;#,##0.00_);\(&quot;$&quot;#,##0.00\);\-_);@_)"/>
    <numFmt numFmtId="179" formatCode="&quot;$&quot;#,##0_);\(&quot;$&quot;#,##0\);\-_);@_)"/>
    <numFmt numFmtId="180" formatCode="_(* #,##0.0%;_(* \(#,##0.0%\);_(* &quot;- %&quot;_);_(* @_%_)"/>
    <numFmt numFmtId="181" formatCode="#,##0.00_);\(#,##0.00\);\-_)"/>
    <numFmt numFmtId="182" formatCode="#,##0&quot; SF&quot;_);\(#,##0\)&quot; SF&quot;;\-_)"/>
    <numFmt numFmtId="183" formatCode="&quot;$&quot;#,##0.00_);\(&quot;$&quot;#,##0.00\);@_)"/>
    <numFmt numFmtId="184" formatCode="&quot;M&quot;\ #,##0_);\(&quot;M&quot;\ #,##0\)"/>
    <numFmt numFmtId="185" formatCode="0.00%_);\(0.00%\);\-_)"/>
    <numFmt numFmtId="186" formatCode="#,##0_);\(#,##0\);@_)"/>
    <numFmt numFmtId="187" formatCode="#,##0.00_);\(#,##0.00\);@_)"/>
    <numFmt numFmtId="188" formatCode="0.00%\ &quot;/&quot;_);\(0.00%\);\-_)"/>
    <numFmt numFmtId="189" formatCode="&quot;$&quot;#,##0"/>
    <numFmt numFmtId="190" formatCode="_(* #,##0_);_(* \(#,##0\);_(* &quot;-&quot;?_);_(@_)"/>
    <numFmt numFmtId="191" formatCode="_(* #,##0.0_);_(* \(#,##0.0\);_(* &quot;-&quot;??_);_(@_)"/>
    <numFmt numFmtId="192" formatCode="_(&quot;$&quot;* #,##0_);_(&quot;$&quot;* \(#,##0\);_(&quot;$&quot;* &quot;-&quot;??_);_(@_)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FF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theme="0"/>
      <name val="Calibri"/>
      <family val="2"/>
    </font>
    <font>
      <b/>
      <u val="singleAccounting"/>
      <sz val="11"/>
      <color theme="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indexed="8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3333FF"/>
      <name val="Calibri"/>
      <family val="2"/>
      <scheme val="minor"/>
    </font>
    <font>
      <sz val="11"/>
      <color rgb="FF3333F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gray0625">
        <bgColor theme="0" tint="-4.9989318521683403E-2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auto="1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hair">
        <color auto="1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otted">
        <color auto="1"/>
      </right>
      <top/>
      <bottom/>
      <diagonal/>
    </border>
    <border>
      <left style="dotted">
        <color auto="1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thin">
        <color auto="1"/>
      </right>
      <top/>
      <bottom/>
      <diagonal/>
    </border>
    <border>
      <left style="dashed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auto="1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91">
    <xf numFmtId="0" fontId="0" fillId="0" borderId="0" xfId="0"/>
    <xf numFmtId="0" fontId="3" fillId="0" borderId="0" xfId="0" applyFont="1"/>
    <xf numFmtId="0" fontId="3" fillId="0" borderId="1" xfId="0" applyFont="1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43" fontId="0" fillId="0" borderId="0" xfId="1" applyFont="1"/>
    <xf numFmtId="165" fontId="0" fillId="0" borderId="0" xfId="1" applyNumberFormat="1" applyFont="1"/>
    <xf numFmtId="0" fontId="5" fillId="0" borderId="0" xfId="0" applyFont="1"/>
    <xf numFmtId="0" fontId="1" fillId="0" borderId="0" xfId="0" applyFont="1"/>
    <xf numFmtId="166" fontId="6" fillId="0" borderId="0" xfId="0" applyNumberFormat="1" applyFont="1"/>
    <xf numFmtId="0" fontId="5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8" fillId="0" borderId="0" xfId="0" applyFont="1"/>
    <xf numFmtId="167" fontId="9" fillId="0" borderId="0" xfId="0" applyNumberFormat="1" applyFont="1" applyAlignment="1">
      <alignment horizontal="center"/>
    </xf>
    <xf numFmtId="0" fontId="0" fillId="0" borderId="0" xfId="0" applyAlignment="1">
      <alignment horizontal="right" indent="1"/>
    </xf>
    <xf numFmtId="168" fontId="9" fillId="0" borderId="0" xfId="0" applyNumberFormat="1" applyFont="1" applyAlignment="1">
      <alignment horizontal="left"/>
    </xf>
    <xf numFmtId="0" fontId="0" fillId="2" borderId="0" xfId="0" applyFill="1"/>
    <xf numFmtId="169" fontId="5" fillId="0" borderId="0" xfId="0" applyNumberFormat="1" applyFont="1" applyAlignment="1">
      <alignment horizontal="center"/>
    </xf>
    <xf numFmtId="10" fontId="5" fillId="0" borderId="0" xfId="0" applyNumberFormat="1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right" indent="1"/>
    </xf>
    <xf numFmtId="167" fontId="9" fillId="0" borderId="0" xfId="0" applyNumberFormat="1" applyFont="1" applyAlignment="1">
      <alignment horizontal="left"/>
    </xf>
    <xf numFmtId="166" fontId="9" fillId="0" borderId="0" xfId="0" applyNumberFormat="1" applyFont="1"/>
    <xf numFmtId="170" fontId="3" fillId="0" borderId="0" xfId="0" applyNumberFormat="1" applyFont="1"/>
    <xf numFmtId="0" fontId="11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0" borderId="0" xfId="0" applyFont="1"/>
    <xf numFmtId="0" fontId="13" fillId="4" borderId="1" xfId="0" applyFont="1" applyFill="1" applyBorder="1" applyAlignment="1">
      <alignment horizontal="centerContinuous"/>
    </xf>
    <xf numFmtId="0" fontId="13" fillId="4" borderId="7" xfId="0" applyFont="1" applyFill="1" applyBorder="1" applyAlignment="1">
      <alignment horizontal="centerContinuous"/>
    </xf>
    <xf numFmtId="0" fontId="13" fillId="4" borderId="7" xfId="0" applyFont="1" applyFill="1" applyBorder="1"/>
    <xf numFmtId="0" fontId="2" fillId="4" borderId="2" xfId="0" applyFont="1" applyFill="1" applyBorder="1" applyAlignment="1">
      <alignment horizontal="center"/>
    </xf>
    <xf numFmtId="0" fontId="2" fillId="0" borderId="0" xfId="0" applyFont="1"/>
    <xf numFmtId="0" fontId="14" fillId="0" borderId="8" xfId="0" applyFont="1" applyBorder="1" applyAlignment="1">
      <alignment horizontal="centerContinuous"/>
    </xf>
    <xf numFmtId="0" fontId="15" fillId="0" borderId="9" xfId="0" applyFont="1" applyBorder="1" applyAlignment="1">
      <alignment horizontal="centerContinuous"/>
    </xf>
    <xf numFmtId="0" fontId="7" fillId="0" borderId="9" xfId="0" applyFont="1" applyBorder="1" applyAlignment="1">
      <alignment horizontal="centerContinuous"/>
    </xf>
    <xf numFmtId="0" fontId="7" fillId="0" borderId="10" xfId="0" applyFont="1" applyBorder="1" applyAlignment="1">
      <alignment horizontal="centerContinuous"/>
    </xf>
    <xf numFmtId="0" fontId="3" fillId="0" borderId="0" xfId="0" applyFont="1" applyAlignment="1">
      <alignment horizontal="center"/>
    </xf>
    <xf numFmtId="172" fontId="5" fillId="0" borderId="7" xfId="0" applyNumberFormat="1" applyFont="1" applyBorder="1" applyAlignment="1">
      <alignment horizontal="center" vertical="center" wrapText="1"/>
    </xf>
    <xf numFmtId="0" fontId="12" fillId="4" borderId="11" xfId="0" applyFont="1" applyFill="1" applyBorder="1" applyAlignment="1">
      <alignment horizontal="center"/>
    </xf>
    <xf numFmtId="0" fontId="12" fillId="4" borderId="12" xfId="0" applyFont="1" applyFill="1" applyBorder="1" applyAlignment="1">
      <alignment horizontal="center"/>
    </xf>
    <xf numFmtId="0" fontId="12" fillId="4" borderId="14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167" fontId="9" fillId="0" borderId="18" xfId="0" applyNumberFormat="1" applyFont="1" applyBorder="1" applyAlignment="1">
      <alignment horizontal="center" vertical="center" wrapText="1"/>
    </xf>
    <xf numFmtId="167" fontId="15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/>
    </xf>
    <xf numFmtId="0" fontId="5" fillId="0" borderId="3" xfId="0" applyFont="1" applyBorder="1"/>
    <xf numFmtId="166" fontId="1" fillId="0" borderId="0" xfId="0" applyNumberFormat="1" applyFont="1"/>
    <xf numFmtId="166" fontId="9" fillId="0" borderId="3" xfId="0" applyNumberFormat="1" applyFont="1" applyBorder="1"/>
    <xf numFmtId="173" fontId="9" fillId="0" borderId="0" xfId="0" applyNumberFormat="1" applyFont="1"/>
    <xf numFmtId="166" fontId="16" fillId="0" borderId="19" xfId="0" applyNumberFormat="1" applyFont="1" applyBorder="1"/>
    <xf numFmtId="174" fontId="6" fillId="0" borderId="20" xfId="0" applyNumberFormat="1" applyFont="1" applyBorder="1"/>
    <xf numFmtId="175" fontId="17" fillId="0" borderId="0" xfId="0" applyNumberFormat="1" applyFont="1"/>
    <xf numFmtId="1" fontId="6" fillId="3" borderId="21" xfId="0" applyNumberFormat="1" applyFont="1" applyFill="1" applyBorder="1" applyAlignment="1">
      <alignment horizontal="center"/>
    </xf>
    <xf numFmtId="1" fontId="6" fillId="3" borderId="22" xfId="0" applyNumberFormat="1" applyFont="1" applyFill="1" applyBorder="1" applyAlignment="1">
      <alignment horizontal="center"/>
    </xf>
    <xf numFmtId="176" fontId="18" fillId="3" borderId="23" xfId="0" applyNumberFormat="1" applyFont="1" applyFill="1" applyBorder="1"/>
    <xf numFmtId="177" fontId="0" fillId="0" borderId="24" xfId="0" applyNumberFormat="1" applyBorder="1"/>
    <xf numFmtId="165" fontId="5" fillId="0" borderId="0" xfId="1" applyNumberFormat="1" applyFont="1"/>
    <xf numFmtId="173" fontId="9" fillId="0" borderId="3" xfId="0" applyNumberFormat="1" applyFont="1" applyBorder="1"/>
    <xf numFmtId="173" fontId="16" fillId="0" borderId="19" xfId="0" applyNumberFormat="1" applyFont="1" applyBorder="1"/>
    <xf numFmtId="165" fontId="5" fillId="0" borderId="0" xfId="0" applyNumberFormat="1" applyFont="1"/>
    <xf numFmtId="166" fontId="7" fillId="0" borderId="26" xfId="0" applyNumberFormat="1" applyFont="1" applyBorder="1"/>
    <xf numFmtId="179" fontId="19" fillId="0" borderId="27" xfId="0" applyNumberFormat="1" applyFont="1" applyBorder="1"/>
    <xf numFmtId="166" fontId="7" fillId="0" borderId="28" xfId="0" applyNumberFormat="1" applyFont="1" applyBorder="1"/>
    <xf numFmtId="173" fontId="7" fillId="0" borderId="26" xfId="0" applyNumberFormat="1" applyFont="1" applyBorder="1"/>
    <xf numFmtId="166" fontId="19" fillId="0" borderId="29" xfId="0" applyNumberFormat="1" applyFont="1" applyBorder="1"/>
    <xf numFmtId="179" fontId="19" fillId="0" borderId="26" xfId="0" applyNumberFormat="1" applyFont="1" applyBorder="1"/>
    <xf numFmtId="174" fontId="7" fillId="0" borderId="30" xfId="0" applyNumberFormat="1" applyFont="1" applyBorder="1"/>
    <xf numFmtId="1" fontId="9" fillId="3" borderId="21" xfId="0" applyNumberFormat="1" applyFont="1" applyFill="1" applyBorder="1" applyAlignment="1">
      <alignment horizontal="center"/>
    </xf>
    <xf numFmtId="1" fontId="9" fillId="3" borderId="22" xfId="0" applyNumberFormat="1" applyFont="1" applyFill="1" applyBorder="1" applyAlignment="1">
      <alignment horizontal="center"/>
    </xf>
    <xf numFmtId="179" fontId="5" fillId="0" borderId="0" xfId="0" applyNumberFormat="1" applyFont="1"/>
    <xf numFmtId="0" fontId="14" fillId="0" borderId="0" xfId="0" applyFont="1" applyAlignment="1">
      <alignment horizontal="right"/>
    </xf>
    <xf numFmtId="166" fontId="8" fillId="0" borderId="0" xfId="0" applyNumberFormat="1" applyFont="1"/>
    <xf numFmtId="0" fontId="2" fillId="4" borderId="28" xfId="0" applyFont="1" applyFill="1" applyBorder="1"/>
    <xf numFmtId="0" fontId="20" fillId="4" borderId="26" xfId="0" applyFont="1" applyFill="1" applyBorder="1"/>
    <xf numFmtId="166" fontId="2" fillId="4" borderId="26" xfId="0" applyNumberFormat="1" applyFont="1" applyFill="1" applyBorder="1"/>
    <xf numFmtId="0" fontId="12" fillId="4" borderId="26" xfId="0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179" fontId="2" fillId="4" borderId="31" xfId="0" applyNumberFormat="1" applyFont="1" applyFill="1" applyBorder="1" applyAlignment="1">
      <alignment horizontal="center"/>
    </xf>
    <xf numFmtId="0" fontId="1" fillId="0" borderId="7" xfId="0" applyFont="1" applyBorder="1"/>
    <xf numFmtId="166" fontId="19" fillId="0" borderId="7" xfId="0" applyNumberFormat="1" applyFont="1" applyBorder="1"/>
    <xf numFmtId="180" fontId="6" fillId="0" borderId="32" xfId="0" applyNumberFormat="1" applyFont="1" applyBorder="1"/>
    <xf numFmtId="164" fontId="9" fillId="0" borderId="0" xfId="0" applyNumberFormat="1" applyFont="1"/>
    <xf numFmtId="177" fontId="6" fillId="0" borderId="33" xfId="0" applyNumberFormat="1" applyFont="1" applyBorder="1"/>
    <xf numFmtId="164" fontId="18" fillId="0" borderId="0" xfId="0" applyNumberFormat="1" applyFont="1"/>
    <xf numFmtId="180" fontId="6" fillId="0" borderId="20" xfId="0" applyNumberFormat="1" applyFont="1" applyBorder="1"/>
    <xf numFmtId="173" fontId="3" fillId="0" borderId="0" xfId="0" applyNumberFormat="1" applyFont="1"/>
    <xf numFmtId="0" fontId="1" fillId="0" borderId="3" xfId="0" applyFont="1" applyBorder="1" applyAlignment="1">
      <alignment horizontal="left"/>
    </xf>
    <xf numFmtId="0" fontId="1" fillId="0" borderId="0" xfId="0" applyFont="1" applyAlignment="1">
      <alignment horizontal="left"/>
    </xf>
    <xf numFmtId="178" fontId="9" fillId="0" borderId="0" xfId="0" applyNumberFormat="1" applyFont="1"/>
    <xf numFmtId="181" fontId="9" fillId="0" borderId="0" xfId="0" applyNumberFormat="1" applyFont="1"/>
    <xf numFmtId="182" fontId="15" fillId="0" borderId="0" xfId="0" applyNumberFormat="1" applyFont="1" applyAlignment="1">
      <alignment horizontal="right"/>
    </xf>
    <xf numFmtId="173" fontId="1" fillId="0" borderId="0" xfId="0" applyNumberFormat="1" applyFont="1"/>
    <xf numFmtId="183" fontId="17" fillId="0" borderId="0" xfId="0" applyNumberFormat="1" applyFont="1"/>
    <xf numFmtId="0" fontId="1" fillId="0" borderId="3" xfId="0" applyFont="1" applyBorder="1" applyAlignment="1">
      <alignment horizontal="left" indent="1"/>
    </xf>
    <xf numFmtId="166" fontId="9" fillId="3" borderId="0" xfId="0" applyNumberFormat="1" applyFont="1" applyFill="1"/>
    <xf numFmtId="0" fontId="21" fillId="0" borderId="3" xfId="0" applyFont="1" applyBorder="1" applyAlignment="1">
      <alignment horizontal="left"/>
    </xf>
    <xf numFmtId="0" fontId="21" fillId="0" borderId="0" xfId="0" applyFont="1" applyAlignment="1">
      <alignment horizontal="left"/>
    </xf>
    <xf numFmtId="174" fontId="9" fillId="0" borderId="0" xfId="0" applyNumberFormat="1" applyFont="1"/>
    <xf numFmtId="177" fontId="16" fillId="0" borderId="34" xfId="0" applyNumberFormat="1" applyFont="1" applyBorder="1"/>
    <xf numFmtId="0" fontId="11" fillId="0" borderId="3" xfId="0" applyFont="1" applyBorder="1"/>
    <xf numFmtId="0" fontId="11" fillId="0" borderId="0" xfId="0" applyFont="1"/>
    <xf numFmtId="0" fontId="6" fillId="0" borderId="0" xfId="0" applyFont="1"/>
    <xf numFmtId="166" fontId="7" fillId="0" borderId="0" xfId="0" applyNumberFormat="1" applyFont="1"/>
    <xf numFmtId="177" fontId="7" fillId="0" borderId="33" xfId="0" applyNumberFormat="1" applyFont="1" applyBorder="1"/>
    <xf numFmtId="10" fontId="18" fillId="0" borderId="0" xfId="0" applyNumberFormat="1" applyFont="1"/>
    <xf numFmtId="177" fontId="16" fillId="0" borderId="33" xfId="0" applyNumberFormat="1" applyFont="1" applyBorder="1"/>
    <xf numFmtId="0" fontId="3" fillId="0" borderId="3" xfId="0" applyFont="1" applyBorder="1" applyAlignment="1">
      <alignment horizontal="left"/>
    </xf>
    <xf numFmtId="183" fontId="3" fillId="0" borderId="0" xfId="0" applyNumberFormat="1" applyFont="1"/>
    <xf numFmtId="166" fontId="3" fillId="0" borderId="7" xfId="0" applyNumberFormat="1" applyFont="1" applyBorder="1"/>
    <xf numFmtId="180" fontId="7" fillId="0" borderId="20" xfId="0" applyNumberFormat="1" applyFont="1" applyBorder="1"/>
    <xf numFmtId="184" fontId="0" fillId="0" borderId="0" xfId="0" applyNumberFormat="1"/>
    <xf numFmtId="0" fontId="21" fillId="0" borderId="0" xfId="0" applyFont="1"/>
    <xf numFmtId="176" fontId="6" fillId="0" borderId="0" xfId="0" applyNumberFormat="1" applyFont="1"/>
    <xf numFmtId="166" fontId="19" fillId="0" borderId="0" xfId="0" applyNumberFormat="1" applyFont="1"/>
    <xf numFmtId="177" fontId="19" fillId="0" borderId="31" xfId="0" applyNumberFormat="1" applyFont="1" applyBorder="1"/>
    <xf numFmtId="0" fontId="1" fillId="0" borderId="3" xfId="0" applyFont="1" applyBorder="1"/>
    <xf numFmtId="177" fontId="19" fillId="0" borderId="33" xfId="0" applyNumberFormat="1" applyFont="1" applyBorder="1"/>
    <xf numFmtId="0" fontId="21" fillId="0" borderId="3" xfId="0" applyFont="1" applyBorder="1"/>
    <xf numFmtId="173" fontId="22" fillId="0" borderId="0" xfId="0" applyNumberFormat="1" applyFont="1"/>
    <xf numFmtId="0" fontId="3" fillId="0" borderId="3" xfId="0" applyFont="1" applyBorder="1"/>
    <xf numFmtId="0" fontId="15" fillId="0" borderId="3" xfId="0" applyFont="1" applyBorder="1" applyAlignment="1">
      <alignment horizontal="left" indent="1"/>
    </xf>
    <xf numFmtId="10" fontId="9" fillId="0" borderId="0" xfId="0" applyNumberFormat="1" applyFont="1"/>
    <xf numFmtId="166" fontId="16" fillId="0" borderId="0" xfId="0" applyNumberFormat="1" applyFont="1"/>
    <xf numFmtId="0" fontId="11" fillId="0" borderId="5" xfId="0" applyFont="1" applyBorder="1"/>
    <xf numFmtId="0" fontId="11" fillId="0" borderId="25" xfId="0" applyFont="1" applyBorder="1"/>
    <xf numFmtId="0" fontId="6" fillId="0" borderId="25" xfId="0" applyFont="1" applyBorder="1"/>
    <xf numFmtId="0" fontId="1" fillId="0" borderId="25" xfId="0" applyFont="1" applyBorder="1"/>
    <xf numFmtId="166" fontId="6" fillId="0" borderId="25" xfId="0" applyNumberFormat="1" applyFont="1" applyBorder="1"/>
    <xf numFmtId="177" fontId="7" fillId="0" borderId="31" xfId="0" applyNumberFormat="1" applyFont="1" applyBorder="1"/>
    <xf numFmtId="0" fontId="20" fillId="4" borderId="1" xfId="0" applyFont="1" applyFill="1" applyBorder="1"/>
    <xf numFmtId="0" fontId="20" fillId="4" borderId="7" xfId="0" applyFont="1" applyFill="1" applyBorder="1"/>
    <xf numFmtId="0" fontId="20" fillId="4" borderId="0" xfId="0" applyFont="1" applyFill="1"/>
    <xf numFmtId="0" fontId="20" fillId="4" borderId="2" xfId="0" applyFont="1" applyFill="1" applyBorder="1"/>
    <xf numFmtId="0" fontId="12" fillId="4" borderId="5" xfId="0" applyFont="1" applyFill="1" applyBorder="1" applyAlignment="1">
      <alignment horizontal="centerContinuous"/>
    </xf>
    <xf numFmtId="0" fontId="12" fillId="4" borderId="25" xfId="0" applyFont="1" applyFill="1" applyBorder="1" applyAlignment="1">
      <alignment horizontal="centerContinuous"/>
    </xf>
    <xf numFmtId="0" fontId="12" fillId="4" borderId="6" xfId="0" applyFont="1" applyFill="1" applyBorder="1" applyAlignment="1">
      <alignment horizontal="centerContinuous"/>
    </xf>
    <xf numFmtId="0" fontId="5" fillId="0" borderId="3" xfId="0" applyFont="1" applyBorder="1" applyAlignment="1">
      <alignment horizontal="left" indent="1"/>
    </xf>
    <xf numFmtId="0" fontId="5" fillId="0" borderId="1" xfId="0" applyFont="1" applyBorder="1"/>
    <xf numFmtId="0" fontId="5" fillId="0" borderId="7" xfId="0" applyFont="1" applyBorder="1"/>
    <xf numFmtId="185" fontId="9" fillId="0" borderId="7" xfId="0" applyNumberFormat="1" applyFont="1" applyBorder="1"/>
    <xf numFmtId="166" fontId="6" fillId="0" borderId="2" xfId="0" applyNumberFormat="1" applyFont="1" applyBorder="1"/>
    <xf numFmtId="185" fontId="23" fillId="0" borderId="0" xfId="0" applyNumberFormat="1" applyFont="1"/>
    <xf numFmtId="166" fontId="16" fillId="0" borderId="4" xfId="0" applyNumberFormat="1" applyFont="1" applyBorder="1"/>
    <xf numFmtId="177" fontId="0" fillId="0" borderId="0" xfId="0" applyNumberFormat="1"/>
    <xf numFmtId="0" fontId="21" fillId="0" borderId="25" xfId="0" applyFont="1" applyBorder="1"/>
    <xf numFmtId="168" fontId="1" fillId="0" borderId="25" xfId="0" applyNumberFormat="1" applyFont="1" applyBorder="1" applyAlignment="1">
      <alignment horizontal="right"/>
    </xf>
    <xf numFmtId="185" fontId="7" fillId="0" borderId="26" xfId="0" applyNumberFormat="1" applyFont="1" applyBorder="1"/>
    <xf numFmtId="0" fontId="24" fillId="0" borderId="0" xfId="0" applyFont="1" applyAlignment="1">
      <alignment horizontal="right"/>
    </xf>
    <xf numFmtId="0" fontId="3" fillId="0" borderId="5" xfId="0" applyFont="1" applyBorder="1" applyAlignment="1">
      <alignment horizontal="left"/>
    </xf>
    <xf numFmtId="179" fontId="3" fillId="0" borderId="26" xfId="0" applyNumberFormat="1" applyFont="1" applyBorder="1"/>
    <xf numFmtId="180" fontId="7" fillId="0" borderId="30" xfId="0" applyNumberFormat="1" applyFont="1" applyBorder="1"/>
    <xf numFmtId="183" fontId="1" fillId="0" borderId="0" xfId="0" applyNumberFormat="1" applyFont="1"/>
    <xf numFmtId="177" fontId="3" fillId="0" borderId="35" xfId="0" applyNumberFormat="1" applyFont="1" applyBorder="1"/>
    <xf numFmtId="166" fontId="1" fillId="0" borderId="7" xfId="0" applyNumberFormat="1" applyFont="1" applyBorder="1"/>
    <xf numFmtId="0" fontId="14" fillId="0" borderId="3" xfId="0" applyFont="1" applyBorder="1"/>
    <xf numFmtId="0" fontId="14" fillId="0" borderId="0" xfId="0" applyFont="1"/>
    <xf numFmtId="0" fontId="15" fillId="0" borderId="0" xfId="0" applyFont="1"/>
    <xf numFmtId="179" fontId="19" fillId="0" borderId="4" xfId="0" applyNumberFormat="1" applyFont="1" applyBorder="1"/>
    <xf numFmtId="0" fontId="15" fillId="0" borderId="0" xfId="0" applyFont="1" applyAlignment="1">
      <alignment horizontal="left"/>
    </xf>
    <xf numFmtId="185" fontId="9" fillId="0" borderId="4" xfId="0" applyNumberFormat="1" applyFont="1" applyBorder="1"/>
    <xf numFmtId="0" fontId="2" fillId="0" borderId="0" xfId="0" applyFont="1" applyAlignment="1">
      <alignment horizontal="centerContinuous"/>
    </xf>
    <xf numFmtId="0" fontId="25" fillId="0" borderId="0" xfId="0" applyFont="1"/>
    <xf numFmtId="0" fontId="15" fillId="0" borderId="0" xfId="0" applyFont="1" applyAlignment="1">
      <alignment horizontal="right"/>
    </xf>
    <xf numFmtId="0" fontId="9" fillId="0" borderId="0" xfId="0" applyFont="1"/>
    <xf numFmtId="166" fontId="26" fillId="0" borderId="4" xfId="0" applyNumberFormat="1" applyFont="1" applyBorder="1"/>
    <xf numFmtId="186" fontId="3" fillId="0" borderId="2" xfId="0" applyNumberFormat="1" applyFont="1" applyBorder="1"/>
    <xf numFmtId="187" fontId="1" fillId="0" borderId="0" xfId="0" applyNumberFormat="1" applyFont="1"/>
    <xf numFmtId="176" fontId="9" fillId="0" borderId="4" xfId="0" applyNumberFormat="1" applyFont="1" applyBorder="1"/>
    <xf numFmtId="166" fontId="9" fillId="0" borderId="4" xfId="0" applyNumberFormat="1" applyFont="1" applyBorder="1"/>
    <xf numFmtId="0" fontId="5" fillId="0" borderId="5" xfId="0" applyFont="1" applyBorder="1"/>
    <xf numFmtId="0" fontId="15" fillId="0" borderId="25" xfId="0" applyFont="1" applyBorder="1" applyAlignment="1">
      <alignment horizontal="left"/>
    </xf>
    <xf numFmtId="0" fontId="15" fillId="0" borderId="25" xfId="0" applyFont="1" applyBorder="1"/>
    <xf numFmtId="188" fontId="6" fillId="0" borderId="0" xfId="0" applyNumberFormat="1" applyFont="1"/>
    <xf numFmtId="176" fontId="6" fillId="0" borderId="6" xfId="0" applyNumberFormat="1" applyFont="1" applyBorder="1"/>
    <xf numFmtId="179" fontId="3" fillId="0" borderId="2" xfId="0" applyNumberFormat="1" applyFont="1" applyBorder="1"/>
    <xf numFmtId="177" fontId="0" fillId="0" borderId="35" xfId="0" applyNumberFormat="1" applyBorder="1"/>
    <xf numFmtId="177" fontId="0" fillId="0" borderId="7" xfId="0" applyNumberFormat="1" applyBorder="1"/>
    <xf numFmtId="0" fontId="14" fillId="0" borderId="1" xfId="0" applyFont="1" applyBorder="1"/>
    <xf numFmtId="0" fontId="14" fillId="0" borderId="7" xfId="0" applyFont="1" applyBorder="1"/>
    <xf numFmtId="0" fontId="15" fillId="0" borderId="7" xfId="0" applyFont="1" applyBorder="1"/>
    <xf numFmtId="7" fontId="1" fillId="0" borderId="7" xfId="0" applyNumberFormat="1" applyFont="1" applyBorder="1"/>
    <xf numFmtId="179" fontId="19" fillId="0" borderId="2" xfId="0" applyNumberFormat="1" applyFont="1" applyBorder="1"/>
    <xf numFmtId="166" fontId="1" fillId="0" borderId="4" xfId="0" applyNumberFormat="1" applyFont="1" applyBorder="1"/>
    <xf numFmtId="175" fontId="1" fillId="0" borderId="0" xfId="0" applyNumberFormat="1" applyFont="1"/>
    <xf numFmtId="166" fontId="3" fillId="0" borderId="4" xfId="0" applyNumberFormat="1" applyFont="1" applyBorder="1"/>
    <xf numFmtId="166" fontId="5" fillId="0" borderId="0" xfId="0" applyNumberFormat="1" applyFont="1"/>
    <xf numFmtId="166" fontId="18" fillId="0" borderId="4" xfId="0" applyNumberFormat="1" applyFont="1" applyBorder="1" applyAlignment="1">
      <alignment horizontal="right"/>
    </xf>
    <xf numFmtId="185" fontId="7" fillId="3" borderId="4" xfId="0" applyNumberFormat="1" applyFont="1" applyFill="1" applyBorder="1"/>
    <xf numFmtId="166" fontId="15" fillId="0" borderId="4" xfId="0" applyNumberFormat="1" applyFont="1" applyBorder="1"/>
    <xf numFmtId="185" fontId="7" fillId="0" borderId="4" xfId="0" applyNumberFormat="1" applyFont="1" applyBorder="1"/>
    <xf numFmtId="1" fontId="9" fillId="0" borderId="36" xfId="0" applyNumberFormat="1" applyFont="1" applyBorder="1" applyAlignment="1">
      <alignment horizontal="center"/>
    </xf>
    <xf numFmtId="1" fontId="9" fillId="0" borderId="26" xfId="0" applyNumberFormat="1" applyFont="1" applyBorder="1" applyAlignment="1">
      <alignment horizontal="center"/>
    </xf>
    <xf numFmtId="176" fontId="18" fillId="0" borderId="26" xfId="0" applyNumberFormat="1" applyFont="1" applyBorder="1"/>
    <xf numFmtId="177" fontId="3" fillId="0" borderId="37" xfId="0" applyNumberFormat="1" applyFont="1" applyBorder="1"/>
    <xf numFmtId="177" fontId="3" fillId="0" borderId="7" xfId="0" applyNumberFormat="1" applyFont="1" applyBorder="1"/>
    <xf numFmtId="174" fontId="6" fillId="0" borderId="4" xfId="0" applyNumberFormat="1" applyFont="1" applyBorder="1"/>
    <xf numFmtId="0" fontId="27" fillId="0" borderId="0" xfId="0" applyFont="1" applyAlignment="1">
      <alignment horizontal="center"/>
    </xf>
    <xf numFmtId="0" fontId="14" fillId="0" borderId="25" xfId="0" applyFont="1" applyBorder="1" applyAlignment="1">
      <alignment horizontal="left"/>
    </xf>
    <xf numFmtId="170" fontId="28" fillId="0" borderId="6" xfId="0" applyNumberFormat="1" applyFont="1" applyBorder="1" applyAlignment="1">
      <alignment horizontal="right"/>
    </xf>
    <xf numFmtId="0" fontId="5" fillId="0" borderId="25" xfId="0" applyFont="1" applyBorder="1"/>
    <xf numFmtId="185" fontId="9" fillId="0" borderId="25" xfId="0" applyNumberFormat="1" applyFont="1" applyBorder="1"/>
    <xf numFmtId="0" fontId="5" fillId="0" borderId="25" xfId="0" applyFont="1" applyBorder="1" applyAlignment="1">
      <alignment horizontal="left"/>
    </xf>
    <xf numFmtId="179" fontId="3" fillId="0" borderId="38" xfId="0" applyNumberFormat="1" applyFont="1" applyBorder="1"/>
    <xf numFmtId="0" fontId="0" fillId="0" borderId="20" xfId="0" applyBorder="1"/>
    <xf numFmtId="165" fontId="0" fillId="0" borderId="0" xfId="0" applyNumberFormat="1"/>
    <xf numFmtId="165" fontId="0" fillId="0" borderId="0" xfId="1" applyNumberFormat="1" applyFont="1" applyBorder="1"/>
    <xf numFmtId="165" fontId="0" fillId="0" borderId="4" xfId="1" applyNumberFormat="1" applyFont="1" applyBorder="1"/>
    <xf numFmtId="7" fontId="0" fillId="0" borderId="4" xfId="1" applyNumberFormat="1" applyFont="1" applyBorder="1"/>
    <xf numFmtId="165" fontId="0" fillId="0" borderId="25" xfId="1" applyNumberFormat="1" applyFont="1" applyBorder="1"/>
    <xf numFmtId="165" fontId="0" fillId="0" borderId="6" xfId="1" applyNumberFormat="1" applyFont="1" applyBorder="1"/>
    <xf numFmtId="165" fontId="0" fillId="0" borderId="32" xfId="1" applyNumberFormat="1" applyFont="1" applyBorder="1"/>
    <xf numFmtId="165" fontId="0" fillId="0" borderId="20" xfId="1" applyNumberFormat="1" applyFont="1" applyBorder="1"/>
    <xf numFmtId="7" fontId="0" fillId="0" borderId="20" xfId="1" applyNumberFormat="1" applyFont="1" applyBorder="1"/>
    <xf numFmtId="165" fontId="0" fillId="0" borderId="30" xfId="1" applyNumberFormat="1" applyFont="1" applyBorder="1"/>
    <xf numFmtId="0" fontId="0" fillId="0" borderId="32" xfId="0" applyBorder="1"/>
    <xf numFmtId="165" fontId="0" fillId="0" borderId="32" xfId="0" applyNumberFormat="1" applyBorder="1"/>
    <xf numFmtId="165" fontId="0" fillId="0" borderId="20" xfId="0" applyNumberFormat="1" applyBorder="1"/>
    <xf numFmtId="7" fontId="0" fillId="0" borderId="20" xfId="0" applyNumberFormat="1" applyBorder="1"/>
    <xf numFmtId="0" fontId="2" fillId="4" borderId="39" xfId="0" applyFont="1" applyFill="1" applyBorder="1"/>
    <xf numFmtId="166" fontId="2" fillId="4" borderId="32" xfId="0" applyNumberFormat="1" applyFont="1" applyFill="1" applyBorder="1"/>
    <xf numFmtId="166" fontId="2" fillId="4" borderId="20" xfId="0" applyNumberFormat="1" applyFont="1" applyFill="1" applyBorder="1" applyAlignment="1">
      <alignment horizontal="left"/>
    </xf>
    <xf numFmtId="0" fontId="2" fillId="4" borderId="20" xfId="0" applyFont="1" applyFill="1" applyBorder="1"/>
    <xf numFmtId="0" fontId="2" fillId="4" borderId="30" xfId="0" applyFont="1" applyFill="1" applyBorder="1"/>
    <xf numFmtId="0" fontId="2" fillId="4" borderId="39" xfId="0" applyFont="1" applyFill="1" applyBorder="1" applyAlignment="1">
      <alignment horizontal="center"/>
    </xf>
    <xf numFmtId="171" fontId="5" fillId="0" borderId="20" xfId="0" applyNumberFormat="1" applyFont="1" applyBorder="1"/>
    <xf numFmtId="189" fontId="5" fillId="0" borderId="30" xfId="0" applyNumberFormat="1" applyFont="1" applyBorder="1"/>
    <xf numFmtId="165" fontId="0" fillId="0" borderId="20" xfId="1" applyNumberFormat="1" applyFont="1" applyBorder="1" applyAlignment="1">
      <alignment horizontal="right"/>
    </xf>
    <xf numFmtId="7" fontId="0" fillId="0" borderId="20" xfId="1" applyNumberFormat="1" applyFont="1" applyBorder="1" applyAlignment="1">
      <alignment horizontal="right"/>
    </xf>
    <xf numFmtId="37" fontId="5" fillId="0" borderId="32" xfId="1" applyNumberFormat="1" applyFont="1" applyBorder="1"/>
    <xf numFmtId="37" fontId="5" fillId="0" borderId="20" xfId="1" applyNumberFormat="1" applyFont="1" applyBorder="1"/>
    <xf numFmtId="10" fontId="5" fillId="0" borderId="0" xfId="2" applyNumberFormat="1" applyFont="1"/>
    <xf numFmtId="10" fontId="7" fillId="0" borderId="0" xfId="2" applyNumberFormat="1" applyFont="1" applyFill="1" applyBorder="1" applyAlignment="1">
      <alignment horizontal="center"/>
    </xf>
    <xf numFmtId="10" fontId="5" fillId="0" borderId="0" xfId="2" applyNumberFormat="1" applyFont="1" applyFill="1"/>
    <xf numFmtId="179" fontId="2" fillId="0" borderId="0" xfId="0" applyNumberFormat="1" applyFont="1" applyAlignment="1">
      <alignment horizontal="center"/>
    </xf>
    <xf numFmtId="177" fontId="6" fillId="0" borderId="0" xfId="0" applyNumberFormat="1" applyFont="1"/>
    <xf numFmtId="177" fontId="16" fillId="0" borderId="0" xfId="0" applyNumberFormat="1" applyFont="1"/>
    <xf numFmtId="177" fontId="7" fillId="0" borderId="0" xfId="0" applyNumberFormat="1" applyFont="1"/>
    <xf numFmtId="177" fontId="19" fillId="0" borderId="0" xfId="0" applyNumberFormat="1" applyFont="1"/>
    <xf numFmtId="0" fontId="20" fillId="0" borderId="0" xfId="0" applyFont="1"/>
    <xf numFmtId="0" fontId="12" fillId="0" borderId="0" xfId="0" applyFont="1" applyAlignment="1">
      <alignment horizontal="centerContinuous"/>
    </xf>
    <xf numFmtId="179" fontId="19" fillId="0" borderId="0" xfId="0" applyNumberFormat="1" applyFont="1"/>
    <xf numFmtId="185" fontId="9" fillId="0" borderId="0" xfId="0" applyNumberFormat="1" applyFont="1"/>
    <xf numFmtId="166" fontId="26" fillId="0" borderId="0" xfId="0" applyNumberFormat="1" applyFont="1"/>
    <xf numFmtId="176" fontId="9" fillId="0" borderId="0" xfId="0" applyNumberFormat="1" applyFont="1"/>
    <xf numFmtId="166" fontId="18" fillId="0" borderId="0" xfId="0" applyNumberFormat="1" applyFont="1" applyAlignment="1">
      <alignment horizontal="right"/>
    </xf>
    <xf numFmtId="166" fontId="15" fillId="0" borderId="0" xfId="0" applyNumberFormat="1" applyFont="1"/>
    <xf numFmtId="174" fontId="6" fillId="0" borderId="0" xfId="0" applyNumberFormat="1" applyFont="1"/>
    <xf numFmtId="170" fontId="28" fillId="0" borderId="0" xfId="0" applyNumberFormat="1" applyFont="1" applyAlignment="1">
      <alignment horizontal="right"/>
    </xf>
    <xf numFmtId="0" fontId="8" fillId="0" borderId="25" xfId="0" applyFont="1" applyBorder="1" applyAlignment="1">
      <alignment horizontal="centerContinuous"/>
    </xf>
    <xf numFmtId="0" fontId="30" fillId="0" borderId="0" xfId="0" applyFont="1" applyAlignment="1">
      <alignment horizontal="centerContinuous"/>
    </xf>
    <xf numFmtId="10" fontId="0" fillId="0" borderId="0" xfId="2" applyNumberFormat="1" applyFont="1" applyBorder="1"/>
    <xf numFmtId="0" fontId="2" fillId="5" borderId="0" xfId="0" applyFont="1" applyFill="1"/>
    <xf numFmtId="0" fontId="2" fillId="5" borderId="0" xfId="0" applyFont="1" applyFill="1" applyAlignment="1">
      <alignment horizontal="right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/>
    <xf numFmtId="0" fontId="0" fillId="6" borderId="0" xfId="0" applyFill="1" applyAlignment="1">
      <alignment horizontal="center"/>
    </xf>
    <xf numFmtId="0" fontId="0" fillId="0" borderId="26" xfId="0" applyBorder="1"/>
    <xf numFmtId="165" fontId="0" fillId="0" borderId="26" xfId="1" applyNumberFormat="1" applyFont="1" applyBorder="1"/>
    <xf numFmtId="165" fontId="0" fillId="0" borderId="0" xfId="1" applyNumberFormat="1" applyFont="1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165" fontId="3" fillId="0" borderId="0" xfId="0" applyNumberFormat="1" applyFont="1"/>
    <xf numFmtId="165" fontId="3" fillId="0" borderId="0" xfId="1" applyNumberFormat="1" applyFont="1" applyBorder="1"/>
    <xf numFmtId="165" fontId="3" fillId="0" borderId="0" xfId="1" applyNumberFormat="1" applyFont="1" applyFill="1" applyBorder="1"/>
    <xf numFmtId="0" fontId="3" fillId="0" borderId="16" xfId="0" applyFont="1" applyBorder="1"/>
    <xf numFmtId="165" fontId="3" fillId="0" borderId="16" xfId="0" applyNumberFormat="1" applyFont="1" applyBorder="1"/>
    <xf numFmtId="165" fontId="3" fillId="0" borderId="16" xfId="1" applyNumberFormat="1" applyFont="1" applyBorder="1"/>
    <xf numFmtId="0" fontId="3" fillId="10" borderId="40" xfId="0" applyFont="1" applyFill="1" applyBorder="1"/>
    <xf numFmtId="165" fontId="3" fillId="10" borderId="40" xfId="0" applyNumberFormat="1" applyFont="1" applyFill="1" applyBorder="1"/>
    <xf numFmtId="165" fontId="3" fillId="10" borderId="40" xfId="1" applyNumberFormat="1" applyFont="1" applyFill="1" applyBorder="1"/>
    <xf numFmtId="43" fontId="31" fillId="0" borderId="0" xfId="0" applyNumberFormat="1" applyFont="1"/>
    <xf numFmtId="0" fontId="31" fillId="0" borderId="0" xfId="0" applyFont="1"/>
    <xf numFmtId="0" fontId="0" fillId="0" borderId="25" xfId="0" applyBorder="1"/>
    <xf numFmtId="165" fontId="0" fillId="0" borderId="25" xfId="0" applyNumberFormat="1" applyBorder="1"/>
    <xf numFmtId="165" fontId="3" fillId="0" borderId="0" xfId="1" applyNumberFormat="1" applyFont="1"/>
    <xf numFmtId="10" fontId="0" fillId="0" borderId="0" xfId="0" applyNumberFormat="1"/>
    <xf numFmtId="43" fontId="0" fillId="0" borderId="0" xfId="1" applyFont="1" applyFill="1"/>
    <xf numFmtId="165" fontId="0" fillId="0" borderId="25" xfId="1" applyNumberFormat="1" applyFont="1" applyFill="1" applyBorder="1"/>
    <xf numFmtId="165" fontId="3" fillId="0" borderId="0" xfId="1" applyNumberFormat="1" applyFont="1" applyFill="1"/>
    <xf numFmtId="164" fontId="31" fillId="0" borderId="0" xfId="2" applyNumberFormat="1" applyFont="1"/>
    <xf numFmtId="164" fontId="31" fillId="0" borderId="0" xfId="2" applyNumberFormat="1" applyFont="1" applyFill="1"/>
    <xf numFmtId="164" fontId="0" fillId="0" borderId="0" xfId="0" applyNumberFormat="1"/>
    <xf numFmtId="10" fontId="0" fillId="0" borderId="0" xfId="2" applyNumberFormat="1" applyFont="1" applyFill="1"/>
    <xf numFmtId="43" fontId="0" fillId="0" borderId="0" xfId="0" applyNumberFormat="1"/>
    <xf numFmtId="164" fontId="0" fillId="0" borderId="0" xfId="2" applyNumberFormat="1" applyFont="1"/>
    <xf numFmtId="164" fontId="0" fillId="0" borderId="0" xfId="2" applyNumberFormat="1" applyFont="1" applyFill="1"/>
    <xf numFmtId="0" fontId="31" fillId="0" borderId="0" xfId="2" applyNumberFormat="1" applyFont="1"/>
    <xf numFmtId="165" fontId="0" fillId="0" borderId="7" xfId="0" applyNumberFormat="1" applyBorder="1"/>
    <xf numFmtId="0" fontId="2" fillId="5" borderId="0" xfId="0" applyFont="1" applyFill="1" applyAlignment="1">
      <alignment horizontal="center"/>
    </xf>
    <xf numFmtId="165" fontId="7" fillId="0" borderId="0" xfId="1" applyNumberFormat="1" applyFont="1"/>
    <xf numFmtId="165" fontId="32" fillId="0" borderId="0" xfId="1" applyNumberFormat="1" applyFont="1"/>
    <xf numFmtId="37" fontId="32" fillId="0" borderId="0" xfId="1" applyNumberFormat="1" applyFont="1" applyAlignment="1">
      <alignment horizontal="center"/>
    </xf>
    <xf numFmtId="165" fontId="33" fillId="0" borderId="0" xfId="1" applyNumberFormat="1" applyFont="1"/>
    <xf numFmtId="165" fontId="6" fillId="0" borderId="0" xfId="1" applyNumberFormat="1" applyFont="1"/>
    <xf numFmtId="37" fontId="33" fillId="0" borderId="0" xfId="1" applyNumberFormat="1" applyFont="1" applyAlignment="1">
      <alignment horizontal="center"/>
    </xf>
    <xf numFmtId="165" fontId="6" fillId="0" borderId="25" xfId="1" applyNumberFormat="1" applyFont="1" applyBorder="1"/>
    <xf numFmtId="165" fontId="33" fillId="0" borderId="25" xfId="1" applyNumberFormat="1" applyFont="1" applyBorder="1"/>
    <xf numFmtId="37" fontId="33" fillId="0" borderId="25" xfId="1" applyNumberFormat="1" applyFont="1" applyBorder="1" applyAlignment="1">
      <alignment horizontal="center"/>
    </xf>
    <xf numFmtId="164" fontId="33" fillId="0" borderId="0" xfId="2" applyNumberFormat="1" applyFont="1"/>
    <xf numFmtId="164" fontId="33" fillId="0" borderId="0" xfId="0" applyNumberFormat="1" applyFont="1"/>
    <xf numFmtId="190" fontId="0" fillId="0" borderId="0" xfId="0" applyNumberFormat="1"/>
    <xf numFmtId="0" fontId="3" fillId="0" borderId="26" xfId="0" applyFont="1" applyBorder="1"/>
    <xf numFmtId="165" fontId="3" fillId="0" borderId="26" xfId="1" applyNumberFormat="1" applyFont="1" applyBorder="1"/>
    <xf numFmtId="43" fontId="17" fillId="0" borderId="0" xfId="1" applyFont="1"/>
    <xf numFmtId="164" fontId="33" fillId="0" borderId="0" xfId="2" applyNumberFormat="1" applyFont="1" applyFill="1"/>
    <xf numFmtId="43" fontId="32" fillId="0" borderId="0" xfId="1" applyFont="1" applyFill="1"/>
    <xf numFmtId="164" fontId="33" fillId="0" borderId="0" xfId="2" applyNumberFormat="1" applyFont="1" applyFill="1" applyBorder="1"/>
    <xf numFmtId="10" fontId="33" fillId="0" borderId="0" xfId="2" applyNumberFormat="1" applyFont="1" applyFill="1" applyBorder="1"/>
    <xf numFmtId="164" fontId="33" fillId="0" borderId="25" xfId="2" applyNumberFormat="1" applyFont="1" applyFill="1" applyBorder="1"/>
    <xf numFmtId="43" fontId="33" fillId="0" borderId="0" xfId="1" applyFont="1" applyFill="1" applyBorder="1"/>
    <xf numFmtId="165" fontId="3" fillId="0" borderId="26" xfId="0" applyNumberFormat="1" applyFont="1" applyBorder="1"/>
    <xf numFmtId="165" fontId="3" fillId="0" borderId="26" xfId="1" applyNumberFormat="1" applyFont="1" applyFill="1" applyBorder="1"/>
    <xf numFmtId="165" fontId="31" fillId="0" borderId="0" xfId="1" applyNumberFormat="1" applyFont="1" applyFill="1" applyBorder="1"/>
    <xf numFmtId="165" fontId="31" fillId="0" borderId="0" xfId="1" applyNumberFormat="1" applyFont="1" applyBorder="1"/>
    <xf numFmtId="0" fontId="3" fillId="11" borderId="16" xfId="0" applyFont="1" applyFill="1" applyBorder="1"/>
    <xf numFmtId="165" fontId="3" fillId="11" borderId="16" xfId="0" applyNumberFormat="1" applyFont="1" applyFill="1" applyBorder="1"/>
    <xf numFmtId="165" fontId="3" fillId="11" borderId="16" xfId="1" applyNumberFormat="1" applyFont="1" applyFill="1" applyBorder="1"/>
    <xf numFmtId="165" fontId="1" fillId="0" borderId="0" xfId="1" applyNumberFormat="1" applyFont="1"/>
    <xf numFmtId="9" fontId="33" fillId="0" borderId="0" xfId="0" applyNumberFormat="1" applyFont="1"/>
    <xf numFmtId="10" fontId="33" fillId="0" borderId="0" xfId="2" applyNumberFormat="1" applyFont="1" applyFill="1"/>
    <xf numFmtId="0" fontId="33" fillId="0" borderId="0" xfId="0" applyFont="1"/>
    <xf numFmtId="0" fontId="4" fillId="0" borderId="0" xfId="0" applyFont="1" applyAlignment="1">
      <alignment horizontal="center"/>
    </xf>
    <xf numFmtId="9" fontId="0" fillId="0" borderId="0" xfId="0" applyNumberFormat="1"/>
    <xf numFmtId="9" fontId="33" fillId="0" borderId="0" xfId="2" applyFont="1"/>
    <xf numFmtId="0" fontId="34" fillId="0" borderId="0" xfId="0" applyFont="1" applyAlignment="1">
      <alignment horizontal="right"/>
    </xf>
    <xf numFmtId="164" fontId="5" fillId="0" borderId="0" xfId="2" applyNumberFormat="1" applyFont="1"/>
    <xf numFmtId="191" fontId="6" fillId="0" borderId="0" xfId="1" applyNumberFormat="1" applyFont="1"/>
    <xf numFmtId="43" fontId="6" fillId="0" borderId="0" xfId="1" applyFont="1"/>
    <xf numFmtId="43" fontId="6" fillId="0" borderId="25" xfId="1" applyFont="1" applyBorder="1"/>
    <xf numFmtId="1" fontId="0" fillId="0" borderId="0" xfId="0" applyNumberFormat="1"/>
    <xf numFmtId="8" fontId="0" fillId="0" borderId="0" xfId="0" applyNumberFormat="1"/>
    <xf numFmtId="0" fontId="0" fillId="12" borderId="0" xfId="0" applyFill="1"/>
    <xf numFmtId="10" fontId="0" fillId="12" borderId="32" xfId="2" applyNumberFormat="1" applyFont="1" applyFill="1" applyBorder="1"/>
    <xf numFmtId="10" fontId="0" fillId="12" borderId="20" xfId="2" applyNumberFormat="1" applyFont="1" applyFill="1" applyBorder="1"/>
    <xf numFmtId="43" fontId="0" fillId="12" borderId="20" xfId="0" applyNumberFormat="1" applyFill="1" applyBorder="1"/>
    <xf numFmtId="189" fontId="0" fillId="12" borderId="20" xfId="0" applyNumberFormat="1" applyFill="1" applyBorder="1"/>
    <xf numFmtId="43" fontId="0" fillId="12" borderId="30" xfId="0" applyNumberFormat="1" applyFill="1" applyBorder="1"/>
    <xf numFmtId="0" fontId="3" fillId="13" borderId="28" xfId="0" applyFont="1" applyFill="1" applyBorder="1"/>
    <xf numFmtId="0" fontId="3" fillId="13" borderId="27" xfId="0" applyFont="1" applyFill="1" applyBorder="1"/>
    <xf numFmtId="0" fontId="0" fillId="12" borderId="1" xfId="0" applyFill="1" applyBorder="1"/>
    <xf numFmtId="0" fontId="0" fillId="12" borderId="3" xfId="0" applyFill="1" applyBorder="1"/>
    <xf numFmtId="0" fontId="0" fillId="12" borderId="5" xfId="0" applyFill="1" applyBorder="1"/>
    <xf numFmtId="10" fontId="0" fillId="12" borderId="0" xfId="0" applyNumberFormat="1" applyFill="1"/>
    <xf numFmtId="189" fontId="5" fillId="0" borderId="0" xfId="0" applyNumberFormat="1" applyFont="1"/>
    <xf numFmtId="6" fontId="0" fillId="12" borderId="20" xfId="0" applyNumberFormat="1" applyFill="1" applyBorder="1"/>
    <xf numFmtId="192" fontId="0" fillId="12" borderId="0" xfId="3" applyNumberFormat="1" applyFont="1" applyFill="1" applyAlignment="1">
      <alignment horizontal="center"/>
    </xf>
    <xf numFmtId="192" fontId="0" fillId="12" borderId="0" xfId="0" applyNumberFormat="1" applyFill="1" applyAlignment="1">
      <alignment horizontal="center"/>
    </xf>
    <xf numFmtId="0" fontId="3" fillId="12" borderId="26" xfId="0" applyFont="1" applyFill="1" applyBorder="1"/>
    <xf numFmtId="192" fontId="3" fillId="12" borderId="26" xfId="3" applyNumberFormat="1" applyFont="1" applyFill="1" applyBorder="1" applyAlignment="1">
      <alignment horizontal="center"/>
    </xf>
    <xf numFmtId="0" fontId="3" fillId="8" borderId="0" xfId="0" applyFont="1" applyFill="1"/>
    <xf numFmtId="0" fontId="3" fillId="8" borderId="0" xfId="0" applyFont="1" applyFill="1" applyAlignment="1">
      <alignment horizontal="center"/>
    </xf>
    <xf numFmtId="3" fontId="0" fillId="0" borderId="0" xfId="0" applyNumberFormat="1"/>
    <xf numFmtId="37" fontId="0" fillId="0" borderId="0" xfId="0" applyNumberFormat="1"/>
    <xf numFmtId="0" fontId="0" fillId="0" borderId="0" xfId="0" applyAlignment="1">
      <alignment horizontal="right"/>
    </xf>
    <xf numFmtId="10" fontId="0" fillId="0" borderId="0" xfId="2" applyNumberFormat="1" applyFont="1"/>
    <xf numFmtId="3" fontId="0" fillId="0" borderId="7" xfId="0" applyNumberFormat="1" applyBorder="1"/>
    <xf numFmtId="0" fontId="34" fillId="0" borderId="0" xfId="0" applyFont="1" applyAlignment="1">
      <alignment horizontal="center"/>
    </xf>
    <xf numFmtId="165" fontId="3" fillId="0" borderId="0" xfId="1" applyNumberFormat="1" applyFont="1" applyAlignment="1">
      <alignment horizontal="center"/>
    </xf>
    <xf numFmtId="0" fontId="3" fillId="0" borderId="7" xfId="0" applyFont="1" applyBorder="1" applyAlignment="1">
      <alignment horizontal="center"/>
    </xf>
    <xf numFmtId="165" fontId="3" fillId="0" borderId="7" xfId="1" applyNumberFormat="1" applyFont="1" applyBorder="1" applyAlignment="1">
      <alignment horizontal="center"/>
    </xf>
    <xf numFmtId="0" fontId="3" fillId="12" borderId="0" xfId="0" applyFont="1" applyFill="1" applyAlignment="1">
      <alignment horizontal="centerContinuous"/>
    </xf>
    <xf numFmtId="10" fontId="0" fillId="12" borderId="0" xfId="2" applyNumberFormat="1" applyFont="1" applyFill="1"/>
    <xf numFmtId="10" fontId="0" fillId="12" borderId="25" xfId="2" applyNumberFormat="1" applyFont="1" applyFill="1" applyBorder="1"/>
    <xf numFmtId="10" fontId="0" fillId="12" borderId="6" xfId="0" applyNumberFormat="1" applyFill="1" applyBorder="1"/>
    <xf numFmtId="10" fontId="0" fillId="12" borderId="4" xfId="2" applyNumberFormat="1" applyFont="1" applyFill="1" applyBorder="1"/>
    <xf numFmtId="9" fontId="0" fillId="0" borderId="0" xfId="2" applyFont="1"/>
    <xf numFmtId="0" fontId="3" fillId="0" borderId="0" xfId="0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0" borderId="0" xfId="0" quotePrefix="1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10" fontId="35" fillId="0" borderId="0" xfId="2" applyNumberFormat="1" applyFont="1" applyAlignment="1">
      <alignment horizontal="center" vertical="center"/>
    </xf>
    <xf numFmtId="9" fontId="35" fillId="0" borderId="0" xfId="0" applyNumberFormat="1" applyFont="1" applyAlignment="1">
      <alignment horizontal="center" vertical="center"/>
    </xf>
    <xf numFmtId="164" fontId="35" fillId="0" borderId="0" xfId="0" applyNumberFormat="1" applyFont="1" applyAlignment="1">
      <alignment horizontal="center" vertical="center"/>
    </xf>
    <xf numFmtId="0" fontId="37" fillId="12" borderId="0" xfId="0" applyFont="1" applyFill="1" applyAlignment="1">
      <alignment horizontal="right" vertical="center" textRotation="90"/>
    </xf>
    <xf numFmtId="0" fontId="3" fillId="8" borderId="25" xfId="0" applyFont="1" applyFill="1" applyBorder="1" applyAlignment="1">
      <alignment horizontal="centerContinuous"/>
    </xf>
    <xf numFmtId="171" fontId="0" fillId="0" borderId="0" xfId="0" applyNumberFormat="1"/>
    <xf numFmtId="4" fontId="0" fillId="0" borderId="0" xfId="0" applyNumberFormat="1"/>
  </cellXfs>
  <cellStyles count="4">
    <cellStyle name="Comma" xfId="1" builtinId="3"/>
    <cellStyle name="Currency" xfId="3" builtinId="4"/>
    <cellStyle name="Normal" xfId="0" builtinId="0"/>
    <cellStyle name="Percent" xfId="2" builtinId="5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al%20Estate%20Financial%20Modeling%205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 Flow"/>
      <sheetName val="Development"/>
      <sheetName val="Operations"/>
      <sheetName val="Debt"/>
      <sheetName val="Waterfall (Single)"/>
      <sheetName val="Waterfall (Double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739A0-E5A6-4927-83F9-2988F67D27F8}">
  <dimension ref="C3:M17"/>
  <sheetViews>
    <sheetView workbookViewId="0">
      <selection activeCell="D3" sqref="D3"/>
    </sheetView>
  </sheetViews>
  <sheetFormatPr defaultRowHeight="15" x14ac:dyDescent="0.25"/>
  <cols>
    <col min="3" max="3" width="15.28515625" bestFit="1" customWidth="1"/>
    <col min="4" max="4" width="10.5703125" bestFit="1" customWidth="1"/>
    <col min="5" max="10" width="11" bestFit="1" customWidth="1"/>
    <col min="17" max="17" width="11" customWidth="1"/>
  </cols>
  <sheetData>
    <row r="3" spans="3:13" x14ac:dyDescent="0.25">
      <c r="C3" s="229" t="s">
        <v>125</v>
      </c>
      <c r="D3" s="234" t="s">
        <v>126</v>
      </c>
      <c r="E3" s="234" t="s">
        <v>127</v>
      </c>
      <c r="F3" s="234" t="s">
        <v>128</v>
      </c>
      <c r="G3" s="234" t="s">
        <v>129</v>
      </c>
      <c r="H3" s="234" t="s">
        <v>130</v>
      </c>
      <c r="I3" s="234" t="s">
        <v>131</v>
      </c>
      <c r="J3" s="234" t="s">
        <v>132</v>
      </c>
    </row>
    <row r="4" spans="3:13" x14ac:dyDescent="0.25">
      <c r="C4" s="230" t="s">
        <v>314</v>
      </c>
      <c r="D4" s="221">
        <v>31</v>
      </c>
      <c r="E4" s="225">
        <f>189/3</f>
        <v>63</v>
      </c>
      <c r="F4" s="226">
        <f>D4+17</f>
        <v>48</v>
      </c>
      <c r="G4" s="226">
        <f>D4+14</f>
        <v>45</v>
      </c>
      <c r="H4" s="4">
        <v>20</v>
      </c>
      <c r="I4" s="226">
        <f>D4</f>
        <v>31</v>
      </c>
      <c r="J4" s="226">
        <v>45</v>
      </c>
      <c r="M4" s="342">
        <f>189*0.24</f>
        <v>45.36</v>
      </c>
    </row>
    <row r="5" spans="3:13" x14ac:dyDescent="0.25">
      <c r="C5" s="231" t="s">
        <v>315</v>
      </c>
      <c r="D5" s="222">
        <v>134</v>
      </c>
      <c r="E5" s="214">
        <f t="shared" ref="E5:E6" si="0">189/3</f>
        <v>63</v>
      </c>
      <c r="F5" s="214">
        <v>100</v>
      </c>
      <c r="G5" s="214">
        <v>134</v>
      </c>
      <c r="H5" s="4">
        <v>134</v>
      </c>
      <c r="I5" s="227">
        <f t="shared" ref="I5:I6" si="1">D5</f>
        <v>134</v>
      </c>
      <c r="J5" s="227">
        <v>64</v>
      </c>
      <c r="M5" s="342">
        <f>189*0.34</f>
        <v>64.260000000000005</v>
      </c>
    </row>
    <row r="6" spans="3:13" x14ac:dyDescent="0.25">
      <c r="C6" s="231" t="s">
        <v>316</v>
      </c>
      <c r="D6" s="222">
        <v>24</v>
      </c>
      <c r="E6" s="214">
        <f t="shared" si="0"/>
        <v>63</v>
      </c>
      <c r="F6" s="227">
        <f>D6+17</f>
        <v>41</v>
      </c>
      <c r="G6" s="214">
        <v>10</v>
      </c>
      <c r="H6" s="4">
        <v>35</v>
      </c>
      <c r="I6" s="227">
        <f t="shared" si="1"/>
        <v>24</v>
      </c>
      <c r="J6" s="227">
        <v>80</v>
      </c>
      <c r="M6" s="342">
        <f>189*0.42</f>
        <v>79.38</v>
      </c>
    </row>
    <row r="7" spans="3:13" x14ac:dyDescent="0.25">
      <c r="C7" s="232" t="s">
        <v>34</v>
      </c>
      <c r="D7" s="222">
        <f t="shared" ref="D7:J7" si="2">SUM(D4:D6)</f>
        <v>189</v>
      </c>
      <c r="E7" s="237">
        <f t="shared" si="2"/>
        <v>189</v>
      </c>
      <c r="F7" s="222">
        <f t="shared" si="2"/>
        <v>189</v>
      </c>
      <c r="G7" s="222">
        <f t="shared" si="2"/>
        <v>189</v>
      </c>
      <c r="H7" s="217">
        <f t="shared" si="2"/>
        <v>189</v>
      </c>
      <c r="I7" s="222">
        <f t="shared" si="2"/>
        <v>189</v>
      </c>
      <c r="J7" s="222">
        <f t="shared" si="2"/>
        <v>189</v>
      </c>
    </row>
    <row r="8" spans="3:13" x14ac:dyDescent="0.25">
      <c r="C8" s="232" t="s">
        <v>118</v>
      </c>
      <c r="D8" s="222">
        <v>906</v>
      </c>
      <c r="E8" s="237">
        <v>906</v>
      </c>
      <c r="F8" s="222">
        <v>906</v>
      </c>
      <c r="G8" s="222">
        <v>906</v>
      </c>
      <c r="H8" s="217">
        <v>906</v>
      </c>
      <c r="I8" s="222">
        <v>906</v>
      </c>
      <c r="J8" s="222">
        <v>906</v>
      </c>
    </row>
    <row r="9" spans="3:13" x14ac:dyDescent="0.25">
      <c r="C9" s="232" t="s">
        <v>116</v>
      </c>
      <c r="D9" s="222">
        <v>1116</v>
      </c>
      <c r="E9" s="237">
        <v>1116</v>
      </c>
      <c r="F9" s="222">
        <v>1116</v>
      </c>
      <c r="G9" s="222">
        <v>1116</v>
      </c>
      <c r="H9" s="217">
        <v>1116</v>
      </c>
      <c r="I9" s="222">
        <v>1116</v>
      </c>
      <c r="J9" s="222">
        <v>1116</v>
      </c>
    </row>
    <row r="10" spans="3:13" x14ac:dyDescent="0.25">
      <c r="C10" s="232" t="s">
        <v>117</v>
      </c>
      <c r="D10" s="222">
        <v>1388</v>
      </c>
      <c r="E10" s="237">
        <v>1388</v>
      </c>
      <c r="F10" s="222">
        <v>1388</v>
      </c>
      <c r="G10" s="222">
        <v>1388</v>
      </c>
      <c r="H10" s="217">
        <v>1388</v>
      </c>
      <c r="I10" s="222">
        <v>1388</v>
      </c>
      <c r="J10" s="222">
        <v>1388</v>
      </c>
    </row>
    <row r="11" spans="3:13" x14ac:dyDescent="0.25">
      <c r="C11" s="232" t="s">
        <v>119</v>
      </c>
      <c r="D11" s="222">
        <f t="shared" ref="D11:J11" si="3">(D4/SUM(D4:D6))*D8+(D5/SUM(D4:D6))*D9+(D6/SUM(D4:D6))*D10</f>
        <v>1116.0952380952381</v>
      </c>
      <c r="E11" s="237">
        <f t="shared" si="3"/>
        <v>1136.6666666666665</v>
      </c>
      <c r="F11" s="222">
        <f t="shared" si="3"/>
        <v>1121.6719576719577</v>
      </c>
      <c r="G11" s="222">
        <f t="shared" si="3"/>
        <v>1080.3915343915344</v>
      </c>
      <c r="H11" s="217">
        <f t="shared" si="3"/>
        <v>1144.148148148148</v>
      </c>
      <c r="I11" s="222">
        <f t="shared" si="3"/>
        <v>1116.0952380952381</v>
      </c>
      <c r="J11" s="222">
        <f t="shared" si="3"/>
        <v>1181.132275132275</v>
      </c>
    </row>
    <row r="12" spans="3:13" x14ac:dyDescent="0.25">
      <c r="C12" s="232" t="s">
        <v>115</v>
      </c>
      <c r="D12" s="222">
        <f t="shared" ref="D12:J12" si="4">D7*D11</f>
        <v>210942</v>
      </c>
      <c r="E12" s="237">
        <f t="shared" si="4"/>
        <v>214829.99999999997</v>
      </c>
      <c r="F12" s="222">
        <f t="shared" si="4"/>
        <v>211996</v>
      </c>
      <c r="G12" s="222">
        <f t="shared" si="4"/>
        <v>204194</v>
      </c>
      <c r="H12" s="217">
        <f t="shared" si="4"/>
        <v>216243.99999999997</v>
      </c>
      <c r="I12" s="222">
        <f t="shared" si="4"/>
        <v>210942</v>
      </c>
      <c r="J12" s="222">
        <f t="shared" si="4"/>
        <v>223233.99999999997</v>
      </c>
    </row>
    <row r="13" spans="3:13" x14ac:dyDescent="0.25">
      <c r="C13" s="232" t="s">
        <v>120</v>
      </c>
      <c r="D13" s="223">
        <v>1.53</v>
      </c>
      <c r="E13" s="238">
        <v>1.53</v>
      </c>
      <c r="F13" s="223">
        <v>1.65</v>
      </c>
      <c r="G13" s="223">
        <v>1.53</v>
      </c>
      <c r="H13" s="218">
        <v>1.53</v>
      </c>
      <c r="I13" s="228">
        <f>H13*1.1</f>
        <v>1.6830000000000003</v>
      </c>
      <c r="J13" s="228">
        <v>1.53</v>
      </c>
    </row>
    <row r="14" spans="3:13" x14ac:dyDescent="0.25">
      <c r="C14" s="232" t="s">
        <v>121</v>
      </c>
      <c r="D14" s="223">
        <v>1.5</v>
      </c>
      <c r="E14" s="238">
        <v>1.5</v>
      </c>
      <c r="F14" s="223">
        <v>1.59</v>
      </c>
      <c r="G14" s="223">
        <v>1.5</v>
      </c>
      <c r="H14" s="218">
        <v>1.5</v>
      </c>
      <c r="I14" s="228">
        <f>H14*1.1</f>
        <v>1.6500000000000001</v>
      </c>
      <c r="J14" s="228">
        <v>1.5</v>
      </c>
    </row>
    <row r="15" spans="3:13" x14ac:dyDescent="0.25">
      <c r="C15" s="232" t="s">
        <v>122</v>
      </c>
      <c r="D15" s="223">
        <v>1.48</v>
      </c>
      <c r="E15" s="238">
        <v>1.48</v>
      </c>
      <c r="F15" s="223">
        <v>1.54</v>
      </c>
      <c r="G15" s="223">
        <v>1.48</v>
      </c>
      <c r="H15" s="218">
        <v>1.48</v>
      </c>
      <c r="I15" s="228">
        <f>H15*1.1</f>
        <v>1.6280000000000001</v>
      </c>
      <c r="J15" s="228">
        <v>1.48</v>
      </c>
    </row>
    <row r="16" spans="3:13" x14ac:dyDescent="0.25">
      <c r="C16" s="232" t="s">
        <v>123</v>
      </c>
      <c r="D16" s="223">
        <f t="shared" ref="D16:J16" si="5">(D4/D7)*D13+D5/D7*D14+D6/D7*D15</f>
        <v>1.5023809523809522</v>
      </c>
      <c r="E16" s="238">
        <f t="shared" si="5"/>
        <v>1.5033333333333334</v>
      </c>
      <c r="F16" s="223">
        <f t="shared" si="5"/>
        <v>1.5943915343915345</v>
      </c>
      <c r="G16" s="223">
        <f t="shared" si="5"/>
        <v>1.5060846560846561</v>
      </c>
      <c r="H16" s="218">
        <f t="shared" si="5"/>
        <v>1.4994708994708996</v>
      </c>
      <c r="I16" s="223">
        <f t="shared" si="5"/>
        <v>1.6526190476190477</v>
      </c>
      <c r="J16" s="223">
        <f t="shared" si="5"/>
        <v>1.4986772486772486</v>
      </c>
    </row>
    <row r="17" spans="3:10" x14ac:dyDescent="0.25">
      <c r="C17" s="233" t="s">
        <v>124</v>
      </c>
      <c r="D17" s="224">
        <f>D4*D8*D13*12+D5*D9*D14*12+D6*D10*D15*12</f>
        <v>3799072.08</v>
      </c>
      <c r="E17" s="224">
        <f>E4*E8*E13*12+E5*E9*E14*12+E6*E10*E15*12</f>
        <v>3866501.52</v>
      </c>
      <c r="F17" s="224">
        <f>F4*F8*F13*12+F5*F9*F14*12+F6*F10*F15*12</f>
        <v>4042050.24</v>
      </c>
      <c r="G17" s="224">
        <f>G4*G8*G13*12+G5*G9*G14*12+G6*G10*G15*12</f>
        <v>3686838</v>
      </c>
      <c r="H17" s="220">
        <f>H4*H8*H13*12+H5*H9*H14*12+H6*H10*H15*12</f>
        <v>3887256</v>
      </c>
      <c r="I17" s="224">
        <f t="shared" ref="I17:J17" si="6">I4*I8*I13*12+I5*I9*I14*12+I6*I10*I15*12</f>
        <v>4178979.2880000006</v>
      </c>
      <c r="J17" s="224">
        <f t="shared" si="6"/>
        <v>4006239.6</v>
      </c>
    </row>
  </sheetData>
  <phoneticPr fontId="2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CE39-A02E-493E-81D3-FB57474AACC5}">
  <dimension ref="C2:G21"/>
  <sheetViews>
    <sheetView workbookViewId="0">
      <selection activeCell="N22" sqref="N22"/>
    </sheetView>
  </sheetViews>
  <sheetFormatPr defaultRowHeight="15" x14ac:dyDescent="0.25"/>
  <cols>
    <col min="1" max="2" width="2.7109375" style="344" customWidth="1"/>
    <col min="3" max="3" width="36.85546875" style="344" bestFit="1" customWidth="1"/>
    <col min="4" max="4" width="14.28515625" style="344" bestFit="1" customWidth="1"/>
    <col min="5" max="6" width="9.140625" style="344"/>
    <col min="7" max="7" width="11" style="344" bestFit="1" customWidth="1"/>
    <col min="8" max="14" width="5" style="344" bestFit="1" customWidth="1"/>
    <col min="15" max="15" width="4" style="344" bestFit="1" customWidth="1"/>
    <col min="16" max="16384" width="9.140625" style="344"/>
  </cols>
  <sheetData>
    <row r="2" spans="3:7" x14ac:dyDescent="0.25">
      <c r="C2" s="373" t="s">
        <v>348</v>
      </c>
      <c r="D2" s="373"/>
    </row>
    <row r="3" spans="3:7" hidden="1" x14ac:dyDescent="0.25">
      <c r="C3" s="350" t="str">
        <f>YOC!E4</f>
        <v>Scenario #2</v>
      </c>
      <c r="D3" s="351"/>
    </row>
    <row r="4" spans="3:7" x14ac:dyDescent="0.25">
      <c r="C4" s="352" t="s">
        <v>296</v>
      </c>
      <c r="D4" s="345">
        <f>'Cash Flow'!C81</f>
        <v>7.9767057654526186E-2</v>
      </c>
      <c r="G4" s="355"/>
    </row>
    <row r="5" spans="3:7" x14ac:dyDescent="0.25">
      <c r="C5" s="353" t="s">
        <v>297</v>
      </c>
      <c r="D5" s="346">
        <f>'Cash Flow'!C94</f>
        <v>8.5687529353893011E-2</v>
      </c>
    </row>
    <row r="6" spans="3:7" x14ac:dyDescent="0.25">
      <c r="C6" s="353" t="s">
        <v>302</v>
      </c>
      <c r="D6" s="357">
        <f>'Cash Flow'!C83</f>
        <v>7854562.6776460633</v>
      </c>
    </row>
    <row r="7" spans="3:7" x14ac:dyDescent="0.25">
      <c r="C7" s="353" t="s">
        <v>303</v>
      </c>
      <c r="D7" s="357">
        <f>'Cash Flow'!C96</f>
        <v>5339072.5539434217</v>
      </c>
    </row>
    <row r="8" spans="3:7" x14ac:dyDescent="0.25">
      <c r="C8" s="353" t="s">
        <v>298</v>
      </c>
      <c r="D8" s="347">
        <f>'Cash Flow'!C82</f>
        <v>1.4885104706574972</v>
      </c>
    </row>
    <row r="9" spans="3:7" x14ac:dyDescent="0.25">
      <c r="C9" s="353" t="s">
        <v>299</v>
      </c>
      <c r="D9" s="347">
        <f>'Cash Flow'!C95</f>
        <v>1.8146243990196111</v>
      </c>
    </row>
    <row r="10" spans="3:7" x14ac:dyDescent="0.25">
      <c r="C10" s="353" t="s">
        <v>301</v>
      </c>
      <c r="D10" s="346">
        <f>YOC!T52</f>
        <v>5.3108463982608767E-2</v>
      </c>
    </row>
    <row r="11" spans="3:7" x14ac:dyDescent="0.25">
      <c r="C11" s="353" t="s">
        <v>300</v>
      </c>
      <c r="D11" s="346">
        <f>YOC!T51</f>
        <v>5.1745867189837223E-2</v>
      </c>
    </row>
    <row r="12" spans="3:7" x14ac:dyDescent="0.25">
      <c r="C12" s="353" t="s">
        <v>287</v>
      </c>
      <c r="D12" s="346">
        <f>YOC!K47</f>
        <v>0.59138365903644752</v>
      </c>
    </row>
    <row r="13" spans="3:7" x14ac:dyDescent="0.25">
      <c r="C13" s="353" t="s">
        <v>288</v>
      </c>
      <c r="D13" s="346">
        <f>YOC!K49</f>
        <v>0.64199519707407982</v>
      </c>
    </row>
    <row r="14" spans="3:7" x14ac:dyDescent="0.25">
      <c r="C14" s="353" t="s">
        <v>289</v>
      </c>
      <c r="D14" s="347">
        <f>YOC!K54</f>
        <v>1.2002705534497919</v>
      </c>
    </row>
    <row r="15" spans="3:7" x14ac:dyDescent="0.25">
      <c r="C15" s="353" t="s">
        <v>290</v>
      </c>
      <c r="D15" s="346">
        <f>YOC!J47</f>
        <v>8.7499656778051216E-2</v>
      </c>
    </row>
    <row r="16" spans="3:7" x14ac:dyDescent="0.25">
      <c r="C16" s="353" t="s">
        <v>291</v>
      </c>
      <c r="D16" s="346">
        <f>YOC!K53</f>
        <v>6.8134681425485955E-2</v>
      </c>
    </row>
    <row r="17" spans="3:4" x14ac:dyDescent="0.25">
      <c r="C17" s="353" t="s">
        <v>292</v>
      </c>
      <c r="D17" s="346">
        <f>-YOC!K27/YOC!E19</f>
        <v>0.29520549089865605</v>
      </c>
    </row>
    <row r="18" spans="3:4" x14ac:dyDescent="0.25">
      <c r="C18" s="353" t="s">
        <v>293</v>
      </c>
      <c r="D18" s="346">
        <f>YOC!K31/YOC!E19</f>
        <v>0.78342995661566417</v>
      </c>
    </row>
    <row r="19" spans="3:4" x14ac:dyDescent="0.25">
      <c r="C19" s="353" t="s">
        <v>294</v>
      </c>
      <c r="D19" s="346">
        <f>YOC!T53</f>
        <v>2.3509595211596981E-2</v>
      </c>
    </row>
    <row r="20" spans="3:4" x14ac:dyDescent="0.25">
      <c r="C20" s="353" t="s">
        <v>304</v>
      </c>
      <c r="D20" s="348">
        <f>Debt!H45+-Operations!G39</f>
        <v>3452465.2445571991</v>
      </c>
    </row>
    <row r="21" spans="3:4" x14ac:dyDescent="0.25">
      <c r="C21" s="354" t="s">
        <v>295</v>
      </c>
      <c r="D21" s="349">
        <f>(Debt!H45+-Operations!G39)/Operations!G41</f>
        <v>3.9453676125292301</v>
      </c>
    </row>
  </sheetData>
  <phoneticPr fontId="2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C080-085E-426C-8FC4-D3A1E3B24968}">
  <dimension ref="A2:IE110"/>
  <sheetViews>
    <sheetView tabSelected="1" zoomScale="80" zoomScaleNormal="80" workbookViewId="0">
      <selection activeCell="D1" sqref="D1"/>
    </sheetView>
  </sheetViews>
  <sheetFormatPr defaultColWidth="9.140625" defaultRowHeight="15" outlineLevelCol="1" x14ac:dyDescent="0.25"/>
  <cols>
    <col min="1" max="1" width="2.7109375" style="8" customWidth="1"/>
    <col min="2" max="2" width="4.7109375" style="8" customWidth="1"/>
    <col min="3" max="3" width="0.85546875" style="8" customWidth="1"/>
    <col min="4" max="4" width="21.85546875" style="8" customWidth="1"/>
    <col min="5" max="5" width="14.42578125" style="8" customWidth="1"/>
    <col min="6" max="6" width="12.28515625" style="8" customWidth="1"/>
    <col min="7" max="7" width="11.42578125" style="8" bestFit="1" customWidth="1"/>
    <col min="8" max="8" width="11.7109375" style="8" customWidth="1"/>
    <col min="9" max="9" width="12.85546875" style="8" customWidth="1"/>
    <col min="10" max="10" width="12" style="8" customWidth="1"/>
    <col min="11" max="11" width="17.28515625" style="8" bestFit="1" customWidth="1"/>
    <col min="12" max="12" width="5.28515625" style="8" customWidth="1"/>
    <col min="13" max="14" width="1.7109375" style="8" customWidth="1"/>
    <col min="15" max="15" width="12.42578125" style="8" customWidth="1"/>
    <col min="16" max="16" width="11.7109375" style="8" customWidth="1"/>
    <col min="17" max="17" width="12.7109375" style="8" customWidth="1"/>
    <col min="18" max="18" width="14.28515625" style="8" customWidth="1"/>
    <col min="19" max="19" width="17.7109375" style="8" customWidth="1"/>
    <col min="20" max="20" width="16.28515625" style="8" customWidth="1"/>
    <col min="21" max="21" width="0.85546875" style="8" customWidth="1"/>
    <col min="22" max="24" width="10.7109375" style="8" customWidth="1"/>
    <col min="25" max="25" width="1.7109375" style="8" customWidth="1"/>
    <col min="26" max="27" width="7.28515625" style="8" hidden="1" customWidth="1" outlineLevel="1"/>
    <col min="28" max="28" width="7.42578125" style="8" hidden="1" customWidth="1" outlineLevel="1"/>
    <col min="29" max="29" width="12.7109375" hidden="1" customWidth="1" outlineLevel="1"/>
    <col min="30" max="30" width="1.7109375" style="8" hidden="1" customWidth="1" outlineLevel="1"/>
    <col min="31" max="31" width="0.85546875" style="8" hidden="1" customWidth="1" outlineLevel="1"/>
    <col min="32" max="212" width="11.7109375" style="8" hidden="1" customWidth="1" outlineLevel="1"/>
    <col min="213" max="213" width="10.7109375" style="8" customWidth="1" collapsed="1"/>
    <col min="214" max="239" width="10.7109375" style="8" customWidth="1"/>
    <col min="240" max="16384" width="9.140625" style="8"/>
  </cols>
  <sheetData>
    <row r="2" spans="4:214" x14ac:dyDescent="0.25">
      <c r="D2" s="11" t="s">
        <v>26</v>
      </c>
      <c r="E2" s="12" t="s">
        <v>27</v>
      </c>
      <c r="F2" s="12"/>
    </row>
    <row r="3" spans="4:214" x14ac:dyDescent="0.25">
      <c r="D3" s="21" t="s">
        <v>29</v>
      </c>
      <c r="E3" s="13" t="s">
        <v>114</v>
      </c>
      <c r="F3" s="13"/>
    </row>
    <row r="4" spans="4:214" x14ac:dyDescent="0.25">
      <c r="D4" s="11" t="s">
        <v>133</v>
      </c>
      <c r="E4" s="87" t="s">
        <v>127</v>
      </c>
      <c r="F4" s="13" t="s">
        <v>285</v>
      </c>
    </row>
    <row r="5" spans="4:214" x14ac:dyDescent="0.25">
      <c r="R5" s="8">
        <f>E6*E10</f>
        <v>57078</v>
      </c>
    </row>
    <row r="6" spans="4:214" x14ac:dyDescent="0.25">
      <c r="D6" s="230" t="s">
        <v>314</v>
      </c>
      <c r="E6" s="239">
        <f t="shared" ref="E6:E19" si="0">INDEX(ScenarioTable,MATCH($D6,ScenarioRow,0),MATCH(E$4,ScenarioColumn,0))</f>
        <v>63</v>
      </c>
      <c r="R6" s="8">
        <f>E7*E11</f>
        <v>70308</v>
      </c>
    </row>
    <row r="7" spans="4:214" ht="18.75" x14ac:dyDescent="0.3">
      <c r="D7" s="231" t="s">
        <v>315</v>
      </c>
      <c r="E7" s="240">
        <f t="shared" si="0"/>
        <v>63</v>
      </c>
      <c r="H7" s="260" t="s">
        <v>135</v>
      </c>
      <c r="I7" s="260"/>
      <c r="J7" s="260"/>
      <c r="K7" s="260"/>
      <c r="R7" s="8">
        <f>E8*E12</f>
        <v>87444</v>
      </c>
    </row>
    <row r="8" spans="4:214" x14ac:dyDescent="0.25">
      <c r="D8" s="231" t="s">
        <v>316</v>
      </c>
      <c r="E8" s="240">
        <f t="shared" si="0"/>
        <v>63</v>
      </c>
      <c r="H8" s="259" t="s">
        <v>134</v>
      </c>
      <c r="I8" s="259"/>
      <c r="J8" s="259"/>
      <c r="K8" s="259"/>
    </row>
    <row r="9" spans="4:214" x14ac:dyDescent="0.25">
      <c r="D9" s="232" t="s">
        <v>34</v>
      </c>
      <c r="E9" s="240">
        <f t="shared" si="0"/>
        <v>189</v>
      </c>
      <c r="G9" s="241">
        <f>T51</f>
        <v>5.1745867189837223E-2</v>
      </c>
      <c r="H9" s="241">
        <v>4.7500000000000001E-2</v>
      </c>
      <c r="I9" s="241">
        <v>0.05</v>
      </c>
      <c r="J9" s="241">
        <v>5.2499999999999998E-2</v>
      </c>
      <c r="K9" s="241">
        <v>5.5E-2</v>
      </c>
      <c r="L9" s="243"/>
    </row>
    <row r="10" spans="4:214" x14ac:dyDescent="0.25">
      <c r="D10" s="232" t="s">
        <v>118</v>
      </c>
      <c r="E10" s="240">
        <f t="shared" si="0"/>
        <v>906</v>
      </c>
      <c r="G10" s="242" t="s">
        <v>126</v>
      </c>
      <c r="H10" s="241">
        <f t="dataTable" ref="H10:K16" dt2D="1" dtr="1" r1="J38" r2="E4"/>
        <v>5.137854768217566E-2</v>
      </c>
      <c r="I10" s="241">
        <v>5.1553304447602658E-2</v>
      </c>
      <c r="J10" s="241">
        <v>5.171244792963197E-2</v>
      </c>
      <c r="K10" s="241">
        <v>5.1857994251921148E-2</v>
      </c>
      <c r="L10" s="243"/>
    </row>
    <row r="11" spans="4:214" x14ac:dyDescent="0.25">
      <c r="D11" s="232" t="s">
        <v>116</v>
      </c>
      <c r="E11" s="240">
        <f t="shared" si="0"/>
        <v>1116</v>
      </c>
      <c r="G11" s="242" t="s">
        <v>127</v>
      </c>
      <c r="H11" s="241">
        <v>5.1411529952269622E-2</v>
      </c>
      <c r="I11" s="241">
        <v>5.1586498570888283E-2</v>
      </c>
      <c r="J11" s="241">
        <v>5.1745867189837223E-2</v>
      </c>
      <c r="K11" s="241">
        <v>5.1891619839578823E-2</v>
      </c>
      <c r="L11" s="243"/>
    </row>
    <row r="12" spans="4:214" x14ac:dyDescent="0.25">
      <c r="D12" s="232" t="s">
        <v>117</v>
      </c>
      <c r="E12" s="240">
        <f t="shared" si="0"/>
        <v>1388</v>
      </c>
      <c r="G12" s="242" t="s">
        <v>128</v>
      </c>
      <c r="H12" s="241">
        <v>5.3821141208602874E-2</v>
      </c>
      <c r="I12" s="241">
        <v>5.4012951037608899E-2</v>
      </c>
      <c r="J12" s="241">
        <v>5.4187711315290182E-2</v>
      </c>
      <c r="K12" s="241">
        <v>5.4347547150185381E-2</v>
      </c>
      <c r="L12" s="243"/>
    </row>
    <row r="13" spans="4:214" ht="17.25" x14ac:dyDescent="0.4">
      <c r="D13" s="232" t="s">
        <v>119</v>
      </c>
      <c r="E13" s="240">
        <f t="shared" si="0"/>
        <v>1136.6666666666665</v>
      </c>
      <c r="G13" s="242" t="s">
        <v>129</v>
      </c>
      <c r="H13" s="241">
        <v>5.1372574956790519E-2</v>
      </c>
      <c r="I13" s="241">
        <v>5.1547364732129237E-2</v>
      </c>
      <c r="J13" s="241">
        <v>5.1706450809765811E-2</v>
      </c>
      <c r="K13" s="241">
        <v>5.1851965910111021E-2</v>
      </c>
      <c r="L13" s="243"/>
      <c r="O13" s="33" t="s">
        <v>31</v>
      </c>
      <c r="P13" s="34"/>
      <c r="Q13" s="34"/>
      <c r="R13" s="34"/>
      <c r="S13" s="35"/>
      <c r="T13" s="36" t="s">
        <v>32</v>
      </c>
    </row>
    <row r="14" spans="4:214" ht="15.75" thickBot="1" x14ac:dyDescent="0.3">
      <c r="D14" s="232" t="s">
        <v>115</v>
      </c>
      <c r="E14" s="240">
        <f t="shared" si="0"/>
        <v>214829.99999999997</v>
      </c>
      <c r="G14" s="242" t="s">
        <v>130</v>
      </c>
      <c r="H14" s="241">
        <v>5.1382980901125384E-2</v>
      </c>
      <c r="I14" s="241">
        <v>5.1557763376875371E-2</v>
      </c>
      <c r="J14" s="241">
        <v>5.1716985374897079E-2</v>
      </c>
      <c r="K14" s="241">
        <v>5.1862507848826379E-2</v>
      </c>
      <c r="L14" s="243"/>
      <c r="O14" s="44" t="s">
        <v>35</v>
      </c>
      <c r="P14" s="45" t="s">
        <v>36</v>
      </c>
      <c r="Q14" s="45" t="s">
        <v>37</v>
      </c>
      <c r="R14" s="46" t="s">
        <v>38</v>
      </c>
      <c r="S14" s="45" t="s">
        <v>39</v>
      </c>
      <c r="T14" s="47" t="s">
        <v>40</v>
      </c>
    </row>
    <row r="15" spans="4:214" x14ac:dyDescent="0.25">
      <c r="D15" s="232" t="s">
        <v>120</v>
      </c>
      <c r="E15" s="235">
        <f t="shared" si="0"/>
        <v>1.53</v>
      </c>
      <c r="G15" s="242" t="s">
        <v>131</v>
      </c>
      <c r="H15" s="241">
        <v>5.5499642462453723E-2</v>
      </c>
      <c r="I15" s="241">
        <v>5.5703627886865531E-2</v>
      </c>
      <c r="J15" s="241">
        <v>5.5889479623712358E-2</v>
      </c>
      <c r="K15" s="241">
        <v>5.6059493099703463E-2</v>
      </c>
      <c r="L15" s="243"/>
      <c r="M15" s="9"/>
      <c r="O15" s="58">
        <f>175*E10</f>
        <v>158550</v>
      </c>
      <c r="P15" s="59">
        <f>O15/E10</f>
        <v>175</v>
      </c>
      <c r="Q15" s="59">
        <v>0</v>
      </c>
      <c r="R15" s="60">
        <f>O15</f>
        <v>158550</v>
      </c>
      <c r="S15" s="57">
        <f>R15*E6</f>
        <v>9988650</v>
      </c>
      <c r="T15" s="61">
        <f>(E6*E10*E15*12)/S15</f>
        <v>0.10491428571428571</v>
      </c>
      <c r="X15" s="9"/>
    </row>
    <row r="16" spans="4:214" x14ac:dyDescent="0.25">
      <c r="D16" s="232" t="s">
        <v>121</v>
      </c>
      <c r="E16" s="235">
        <f t="shared" si="0"/>
        <v>1.5</v>
      </c>
      <c r="G16" s="242" t="s">
        <v>132</v>
      </c>
      <c r="H16" s="241">
        <v>5.1416963337365972E-2</v>
      </c>
      <c r="I16" s="241">
        <v>5.1592024869616802E-2</v>
      </c>
      <c r="J16" s="241">
        <v>5.1751403293888686E-2</v>
      </c>
      <c r="K16" s="241">
        <v>5.1897174237924372E-2</v>
      </c>
      <c r="L16" s="243"/>
      <c r="M16" s="9"/>
      <c r="N16" s="9"/>
      <c r="O16" s="58">
        <f>175*E11</f>
        <v>195300</v>
      </c>
      <c r="P16" s="59">
        <f>O16/E11</f>
        <v>175</v>
      </c>
      <c r="Q16" s="59">
        <v>0</v>
      </c>
      <c r="R16" s="60">
        <f t="shared" ref="R16:R17" si="1">O16</f>
        <v>195300</v>
      </c>
      <c r="S16" s="57">
        <f t="shared" ref="S16:S17" si="2">R16*E7</f>
        <v>12303900</v>
      </c>
      <c r="T16" s="61">
        <f t="shared" ref="T16:T17" si="3">(E7*E11*E16*12)/S16</f>
        <v>0.10285714285714286</v>
      </c>
      <c r="Y16"/>
      <c r="Z16" s="14"/>
      <c r="AA16" s="14"/>
      <c r="AB16" s="15" t="s">
        <v>28</v>
      </c>
      <c r="AC16" s="16">
        <v>2.5000000000000001E-2</v>
      </c>
      <c r="AE16" s="17"/>
      <c r="AF16" s="18">
        <f t="shared" ref="AF16:CQ16" si="4">IF(AF$21&gt;=$AC$17,(1+$AC$16)^(INT((12+AF$21-$AC$17)/12)),1)</f>
        <v>1</v>
      </c>
      <c r="AG16" s="18">
        <f t="shared" si="4"/>
        <v>1</v>
      </c>
      <c r="AH16" s="18">
        <f t="shared" si="4"/>
        <v>1</v>
      </c>
      <c r="AI16" s="18">
        <f t="shared" si="4"/>
        <v>1</v>
      </c>
      <c r="AJ16" s="18">
        <f t="shared" si="4"/>
        <v>1</v>
      </c>
      <c r="AK16" s="18">
        <f t="shared" si="4"/>
        <v>1</v>
      </c>
      <c r="AL16" s="18">
        <f t="shared" si="4"/>
        <v>1</v>
      </c>
      <c r="AM16" s="18">
        <f t="shared" si="4"/>
        <v>1</v>
      </c>
      <c r="AN16" s="18">
        <f t="shared" si="4"/>
        <v>1</v>
      </c>
      <c r="AO16" s="18">
        <f t="shared" si="4"/>
        <v>1</v>
      </c>
      <c r="AP16" s="18">
        <f t="shared" si="4"/>
        <v>1</v>
      </c>
      <c r="AQ16" s="18">
        <f t="shared" si="4"/>
        <v>1</v>
      </c>
      <c r="AR16" s="18">
        <f t="shared" si="4"/>
        <v>1</v>
      </c>
      <c r="AS16" s="18">
        <f t="shared" si="4"/>
        <v>1.0249999999999999</v>
      </c>
      <c r="AT16" s="18">
        <f t="shared" si="4"/>
        <v>1.0249999999999999</v>
      </c>
      <c r="AU16" s="18">
        <f t="shared" si="4"/>
        <v>1.0249999999999999</v>
      </c>
      <c r="AV16" s="18">
        <f t="shared" si="4"/>
        <v>1.0249999999999999</v>
      </c>
      <c r="AW16" s="18">
        <f t="shared" si="4"/>
        <v>1.0249999999999999</v>
      </c>
      <c r="AX16" s="18">
        <f t="shared" si="4"/>
        <v>1.0249999999999999</v>
      </c>
      <c r="AY16" s="18">
        <f t="shared" si="4"/>
        <v>1.0249999999999999</v>
      </c>
      <c r="AZ16" s="18">
        <f t="shared" si="4"/>
        <v>1.0249999999999999</v>
      </c>
      <c r="BA16" s="18">
        <f t="shared" si="4"/>
        <v>1.0249999999999999</v>
      </c>
      <c r="BB16" s="18">
        <f t="shared" si="4"/>
        <v>1.0249999999999999</v>
      </c>
      <c r="BC16" s="18">
        <f t="shared" si="4"/>
        <v>1.0249999999999999</v>
      </c>
      <c r="BD16" s="18">
        <f t="shared" si="4"/>
        <v>1.0249999999999999</v>
      </c>
      <c r="BE16" s="18">
        <f t="shared" si="4"/>
        <v>1.0506249999999999</v>
      </c>
      <c r="BF16" s="18">
        <f t="shared" si="4"/>
        <v>1.0506249999999999</v>
      </c>
      <c r="BG16" s="18">
        <f t="shared" si="4"/>
        <v>1.0506249999999999</v>
      </c>
      <c r="BH16" s="18">
        <f t="shared" si="4"/>
        <v>1.0506249999999999</v>
      </c>
      <c r="BI16" s="18">
        <f t="shared" si="4"/>
        <v>1.0506249999999999</v>
      </c>
      <c r="BJ16" s="18">
        <f t="shared" si="4"/>
        <v>1.0506249999999999</v>
      </c>
      <c r="BK16" s="18">
        <f t="shared" si="4"/>
        <v>1.0506249999999999</v>
      </c>
      <c r="BL16" s="18">
        <f t="shared" si="4"/>
        <v>1.0506249999999999</v>
      </c>
      <c r="BM16" s="18">
        <f t="shared" si="4"/>
        <v>1.0506249999999999</v>
      </c>
      <c r="BN16" s="18">
        <f t="shared" si="4"/>
        <v>1.0506249999999999</v>
      </c>
      <c r="BO16" s="18">
        <f t="shared" si="4"/>
        <v>1.0506249999999999</v>
      </c>
      <c r="BP16" s="18">
        <f t="shared" si="4"/>
        <v>1.0506249999999999</v>
      </c>
      <c r="BQ16" s="18">
        <f t="shared" si="4"/>
        <v>1.0768906249999999</v>
      </c>
      <c r="BR16" s="18">
        <f t="shared" si="4"/>
        <v>1.0768906249999999</v>
      </c>
      <c r="BS16" s="18">
        <f t="shared" si="4"/>
        <v>1.0768906249999999</v>
      </c>
      <c r="BT16" s="18">
        <f t="shared" si="4"/>
        <v>1.0768906249999999</v>
      </c>
      <c r="BU16" s="18">
        <f t="shared" si="4"/>
        <v>1.0768906249999999</v>
      </c>
      <c r="BV16" s="18">
        <f t="shared" si="4"/>
        <v>1.0768906249999999</v>
      </c>
      <c r="BW16" s="18">
        <f t="shared" si="4"/>
        <v>1.0768906249999999</v>
      </c>
      <c r="BX16" s="18">
        <f t="shared" si="4"/>
        <v>1.0768906249999999</v>
      </c>
      <c r="BY16" s="18">
        <f t="shared" si="4"/>
        <v>1.0768906249999999</v>
      </c>
      <c r="BZ16" s="18">
        <f t="shared" si="4"/>
        <v>1.0768906249999999</v>
      </c>
      <c r="CA16" s="18">
        <f t="shared" si="4"/>
        <v>1.0768906249999999</v>
      </c>
      <c r="CB16" s="18">
        <f t="shared" si="4"/>
        <v>1.0768906249999999</v>
      </c>
      <c r="CC16" s="18">
        <f t="shared" si="4"/>
        <v>1.1038128906249998</v>
      </c>
      <c r="CD16" s="18">
        <f t="shared" si="4"/>
        <v>1.1038128906249998</v>
      </c>
      <c r="CE16" s="18">
        <f t="shared" si="4"/>
        <v>1.1038128906249998</v>
      </c>
      <c r="CF16" s="18">
        <f t="shared" si="4"/>
        <v>1.1038128906249998</v>
      </c>
      <c r="CG16" s="18">
        <f t="shared" si="4"/>
        <v>1.1038128906249998</v>
      </c>
      <c r="CH16" s="18">
        <f t="shared" si="4"/>
        <v>1.1038128906249998</v>
      </c>
      <c r="CI16" s="18">
        <f t="shared" si="4"/>
        <v>1.1038128906249998</v>
      </c>
      <c r="CJ16" s="18">
        <f t="shared" si="4"/>
        <v>1.1038128906249998</v>
      </c>
      <c r="CK16" s="18">
        <f t="shared" si="4"/>
        <v>1.1038128906249998</v>
      </c>
      <c r="CL16" s="18">
        <f t="shared" si="4"/>
        <v>1.1038128906249998</v>
      </c>
      <c r="CM16" s="18">
        <f t="shared" si="4"/>
        <v>1.1038128906249998</v>
      </c>
      <c r="CN16" s="18">
        <f t="shared" si="4"/>
        <v>1.1038128906249998</v>
      </c>
      <c r="CO16" s="18">
        <f t="shared" si="4"/>
        <v>1.1314082128906247</v>
      </c>
      <c r="CP16" s="18">
        <f t="shared" si="4"/>
        <v>1.1314082128906247</v>
      </c>
      <c r="CQ16" s="18">
        <f t="shared" si="4"/>
        <v>1.1314082128906247</v>
      </c>
      <c r="CR16" s="18">
        <f t="shared" ref="CR16:FC16" si="5">IF(CR$21&gt;=$AC$17,(1+$AC$16)^(INT((12+CR$21-$AC$17)/12)),1)</f>
        <v>1.1314082128906247</v>
      </c>
      <c r="CS16" s="18">
        <f t="shared" si="5"/>
        <v>1.1314082128906247</v>
      </c>
      <c r="CT16" s="18">
        <f t="shared" si="5"/>
        <v>1.1314082128906247</v>
      </c>
      <c r="CU16" s="18">
        <f t="shared" si="5"/>
        <v>1.1314082128906247</v>
      </c>
      <c r="CV16" s="18">
        <f t="shared" si="5"/>
        <v>1.1314082128906247</v>
      </c>
      <c r="CW16" s="18">
        <f t="shared" si="5"/>
        <v>1.1314082128906247</v>
      </c>
      <c r="CX16" s="18">
        <f t="shared" si="5"/>
        <v>1.1314082128906247</v>
      </c>
      <c r="CY16" s="18">
        <f t="shared" si="5"/>
        <v>1.1314082128906247</v>
      </c>
      <c r="CZ16" s="18">
        <f t="shared" si="5"/>
        <v>1.1314082128906247</v>
      </c>
      <c r="DA16" s="18">
        <f t="shared" si="5"/>
        <v>1.1596934182128902</v>
      </c>
      <c r="DB16" s="18">
        <f t="shared" si="5"/>
        <v>1.1596934182128902</v>
      </c>
      <c r="DC16" s="18">
        <f t="shared" si="5"/>
        <v>1.1596934182128902</v>
      </c>
      <c r="DD16" s="18">
        <f t="shared" si="5"/>
        <v>1.1596934182128902</v>
      </c>
      <c r="DE16" s="18">
        <f t="shared" si="5"/>
        <v>1.1596934182128902</v>
      </c>
      <c r="DF16" s="18">
        <f t="shared" si="5"/>
        <v>1.1596934182128902</v>
      </c>
      <c r="DG16" s="18">
        <f t="shared" si="5"/>
        <v>1.1596934182128902</v>
      </c>
      <c r="DH16" s="18">
        <f t="shared" si="5"/>
        <v>1.1596934182128902</v>
      </c>
      <c r="DI16" s="18">
        <f t="shared" si="5"/>
        <v>1.1596934182128902</v>
      </c>
      <c r="DJ16" s="18">
        <f t="shared" si="5"/>
        <v>1.1596934182128902</v>
      </c>
      <c r="DK16" s="18">
        <f t="shared" si="5"/>
        <v>1.1596934182128902</v>
      </c>
      <c r="DL16" s="18">
        <f t="shared" si="5"/>
        <v>1.1596934182128902</v>
      </c>
      <c r="DM16" s="18">
        <f t="shared" si="5"/>
        <v>1.1886857536682125</v>
      </c>
      <c r="DN16" s="18">
        <f t="shared" si="5"/>
        <v>1.1886857536682125</v>
      </c>
      <c r="DO16" s="18">
        <f t="shared" si="5"/>
        <v>1.1886857536682125</v>
      </c>
      <c r="DP16" s="18">
        <f t="shared" si="5"/>
        <v>1.1886857536682125</v>
      </c>
      <c r="DQ16" s="18">
        <f t="shared" si="5"/>
        <v>1.1886857536682125</v>
      </c>
      <c r="DR16" s="18">
        <f t="shared" si="5"/>
        <v>1.1886857536682125</v>
      </c>
      <c r="DS16" s="18">
        <f t="shared" si="5"/>
        <v>1.1886857536682125</v>
      </c>
      <c r="DT16" s="18">
        <f t="shared" si="5"/>
        <v>1.1886857536682125</v>
      </c>
      <c r="DU16" s="18">
        <f t="shared" si="5"/>
        <v>1.1886857536682125</v>
      </c>
      <c r="DV16" s="18">
        <f t="shared" si="5"/>
        <v>1.1886857536682125</v>
      </c>
      <c r="DW16" s="18">
        <f t="shared" si="5"/>
        <v>1.1886857536682125</v>
      </c>
      <c r="DX16" s="18">
        <f t="shared" si="5"/>
        <v>1.1886857536682125</v>
      </c>
      <c r="DY16" s="18">
        <f t="shared" si="5"/>
        <v>1.2184028975099177</v>
      </c>
      <c r="DZ16" s="18">
        <f t="shared" si="5"/>
        <v>1.2184028975099177</v>
      </c>
      <c r="EA16" s="18">
        <f t="shared" si="5"/>
        <v>1.2184028975099177</v>
      </c>
      <c r="EB16" s="18">
        <f t="shared" si="5"/>
        <v>1.2184028975099177</v>
      </c>
      <c r="EC16" s="18">
        <f t="shared" si="5"/>
        <v>1.2184028975099177</v>
      </c>
      <c r="ED16" s="18">
        <f t="shared" si="5"/>
        <v>1.2184028975099177</v>
      </c>
      <c r="EE16" s="18">
        <f t="shared" si="5"/>
        <v>1.2184028975099177</v>
      </c>
      <c r="EF16" s="18">
        <f t="shared" si="5"/>
        <v>1.2184028975099177</v>
      </c>
      <c r="EG16" s="18">
        <f t="shared" si="5"/>
        <v>1.2184028975099177</v>
      </c>
      <c r="EH16" s="18">
        <f t="shared" si="5"/>
        <v>1.2184028975099177</v>
      </c>
      <c r="EI16" s="18">
        <f t="shared" si="5"/>
        <v>1.2184028975099177</v>
      </c>
      <c r="EJ16" s="18">
        <f t="shared" si="5"/>
        <v>1.2184028975099177</v>
      </c>
      <c r="EK16" s="18">
        <f t="shared" si="5"/>
        <v>1.2488629699476654</v>
      </c>
      <c r="EL16" s="18">
        <f t="shared" si="5"/>
        <v>1.2488629699476654</v>
      </c>
      <c r="EM16" s="18">
        <f t="shared" si="5"/>
        <v>1.2488629699476654</v>
      </c>
      <c r="EN16" s="18">
        <f t="shared" si="5"/>
        <v>1.2488629699476654</v>
      </c>
      <c r="EO16" s="18">
        <f t="shared" si="5"/>
        <v>1.2488629699476654</v>
      </c>
      <c r="EP16" s="18">
        <f t="shared" si="5"/>
        <v>1.2488629699476654</v>
      </c>
      <c r="EQ16" s="18">
        <f t="shared" si="5"/>
        <v>1.2488629699476654</v>
      </c>
      <c r="ER16" s="18">
        <f t="shared" si="5"/>
        <v>1.2488629699476654</v>
      </c>
      <c r="ES16" s="18">
        <f t="shared" si="5"/>
        <v>1.2488629699476654</v>
      </c>
      <c r="ET16" s="18">
        <f t="shared" si="5"/>
        <v>1.2488629699476654</v>
      </c>
      <c r="EU16" s="18">
        <f t="shared" si="5"/>
        <v>1.2488629699476654</v>
      </c>
      <c r="EV16" s="18">
        <f t="shared" si="5"/>
        <v>1.2488629699476654</v>
      </c>
      <c r="EW16" s="18">
        <f t="shared" si="5"/>
        <v>1.2800845441963571</v>
      </c>
      <c r="EX16" s="18">
        <f t="shared" si="5"/>
        <v>1.2800845441963571</v>
      </c>
      <c r="EY16" s="18">
        <f t="shared" si="5"/>
        <v>1.2800845441963571</v>
      </c>
      <c r="EZ16" s="18">
        <f t="shared" si="5"/>
        <v>1.2800845441963571</v>
      </c>
      <c r="FA16" s="18">
        <f t="shared" si="5"/>
        <v>1.2800845441963571</v>
      </c>
      <c r="FB16" s="18">
        <f t="shared" si="5"/>
        <v>1.2800845441963571</v>
      </c>
      <c r="FC16" s="18">
        <f t="shared" si="5"/>
        <v>1.2800845441963571</v>
      </c>
      <c r="FD16" s="18">
        <f t="shared" ref="FD16:HD16" si="6">IF(FD$21&gt;=$AC$17,(1+$AC$16)^(INT((12+FD$21-$AC$17)/12)),1)</f>
        <v>1.2800845441963571</v>
      </c>
      <c r="FE16" s="18">
        <f t="shared" si="6"/>
        <v>1.2800845441963571</v>
      </c>
      <c r="FF16" s="18">
        <f t="shared" si="6"/>
        <v>1.2800845441963571</v>
      </c>
      <c r="FG16" s="18">
        <f t="shared" si="6"/>
        <v>1.2800845441963571</v>
      </c>
      <c r="FH16" s="18">
        <f t="shared" si="6"/>
        <v>1.2800845441963571</v>
      </c>
      <c r="FI16" s="18">
        <f t="shared" si="6"/>
        <v>1.312086657801266</v>
      </c>
      <c r="FJ16" s="18">
        <f t="shared" si="6"/>
        <v>1.312086657801266</v>
      </c>
      <c r="FK16" s="18">
        <f t="shared" si="6"/>
        <v>1.312086657801266</v>
      </c>
      <c r="FL16" s="18">
        <f t="shared" si="6"/>
        <v>1.312086657801266</v>
      </c>
      <c r="FM16" s="18">
        <f t="shared" si="6"/>
        <v>1.312086657801266</v>
      </c>
      <c r="FN16" s="18">
        <f t="shared" si="6"/>
        <v>1.312086657801266</v>
      </c>
      <c r="FO16" s="18">
        <f t="shared" si="6"/>
        <v>1.312086657801266</v>
      </c>
      <c r="FP16" s="18">
        <f t="shared" si="6"/>
        <v>1.312086657801266</v>
      </c>
      <c r="FQ16" s="18">
        <f t="shared" si="6"/>
        <v>1.312086657801266</v>
      </c>
      <c r="FR16" s="18">
        <f t="shared" si="6"/>
        <v>1.312086657801266</v>
      </c>
      <c r="FS16" s="18">
        <f t="shared" si="6"/>
        <v>1.312086657801266</v>
      </c>
      <c r="FT16" s="18">
        <f t="shared" si="6"/>
        <v>1.312086657801266</v>
      </c>
      <c r="FU16" s="18">
        <f t="shared" si="6"/>
        <v>1.3448888242462975</v>
      </c>
      <c r="FV16" s="18">
        <f t="shared" si="6"/>
        <v>1.3448888242462975</v>
      </c>
      <c r="FW16" s="18">
        <f t="shared" si="6"/>
        <v>1.3448888242462975</v>
      </c>
      <c r="FX16" s="18">
        <f t="shared" si="6"/>
        <v>1.3448888242462975</v>
      </c>
      <c r="FY16" s="18">
        <f t="shared" si="6"/>
        <v>1.3448888242462975</v>
      </c>
      <c r="FZ16" s="18">
        <f t="shared" si="6"/>
        <v>1.3448888242462975</v>
      </c>
      <c r="GA16" s="18">
        <f t="shared" si="6"/>
        <v>1.3448888242462975</v>
      </c>
      <c r="GB16" s="18">
        <f t="shared" si="6"/>
        <v>1.3448888242462975</v>
      </c>
      <c r="GC16" s="18">
        <f t="shared" si="6"/>
        <v>1.3448888242462975</v>
      </c>
      <c r="GD16" s="18">
        <f t="shared" si="6"/>
        <v>1.3448888242462975</v>
      </c>
      <c r="GE16" s="18">
        <f t="shared" si="6"/>
        <v>1.3448888242462975</v>
      </c>
      <c r="GF16" s="18">
        <f t="shared" si="6"/>
        <v>1.3448888242462975</v>
      </c>
      <c r="GG16" s="18">
        <f t="shared" si="6"/>
        <v>1.3785110448524549</v>
      </c>
      <c r="GH16" s="18">
        <f t="shared" si="6"/>
        <v>1.3785110448524549</v>
      </c>
      <c r="GI16" s="18">
        <f t="shared" si="6"/>
        <v>1.3785110448524549</v>
      </c>
      <c r="GJ16" s="18">
        <f t="shared" si="6"/>
        <v>1.3785110448524549</v>
      </c>
      <c r="GK16" s="18">
        <f t="shared" si="6"/>
        <v>1.3785110448524549</v>
      </c>
      <c r="GL16" s="18">
        <f t="shared" si="6"/>
        <v>1.3785110448524549</v>
      </c>
      <c r="GM16" s="18">
        <f t="shared" si="6"/>
        <v>1.3785110448524549</v>
      </c>
      <c r="GN16" s="18">
        <f t="shared" si="6"/>
        <v>1.3785110448524549</v>
      </c>
      <c r="GO16" s="18">
        <f t="shared" si="6"/>
        <v>1.3785110448524549</v>
      </c>
      <c r="GP16" s="18">
        <f t="shared" si="6"/>
        <v>1.3785110448524549</v>
      </c>
      <c r="GQ16" s="18">
        <f t="shared" si="6"/>
        <v>1.3785110448524549</v>
      </c>
      <c r="GR16" s="18">
        <f t="shared" si="6"/>
        <v>1.3785110448524549</v>
      </c>
      <c r="GS16" s="18">
        <f t="shared" si="6"/>
        <v>1.4129738209737661</v>
      </c>
      <c r="GT16" s="18">
        <f t="shared" si="6"/>
        <v>1.4129738209737661</v>
      </c>
      <c r="GU16" s="18">
        <f t="shared" si="6"/>
        <v>1.4129738209737661</v>
      </c>
      <c r="GV16" s="18">
        <f t="shared" si="6"/>
        <v>1.4129738209737661</v>
      </c>
      <c r="GW16" s="18">
        <f t="shared" si="6"/>
        <v>1.4129738209737661</v>
      </c>
      <c r="GX16" s="18">
        <f t="shared" si="6"/>
        <v>1.4129738209737661</v>
      </c>
      <c r="GY16" s="18">
        <f t="shared" si="6"/>
        <v>1.4129738209737661</v>
      </c>
      <c r="GZ16" s="18">
        <f t="shared" si="6"/>
        <v>1.4129738209737661</v>
      </c>
      <c r="HA16" s="18">
        <f t="shared" si="6"/>
        <v>1.4129738209737661</v>
      </c>
      <c r="HB16" s="18">
        <f t="shared" si="6"/>
        <v>1.4129738209737661</v>
      </c>
      <c r="HC16" s="18">
        <f t="shared" si="6"/>
        <v>1.4129738209737661</v>
      </c>
      <c r="HD16" s="18">
        <f t="shared" si="6"/>
        <v>1.4129738209737661</v>
      </c>
      <c r="HF16" s="19"/>
    </row>
    <row r="17" spans="1:239" x14ac:dyDescent="0.25">
      <c r="C17" s="20"/>
      <c r="D17" s="232" t="s">
        <v>122</v>
      </c>
      <c r="E17" s="235">
        <f t="shared" si="0"/>
        <v>1.48</v>
      </c>
      <c r="M17" s="9"/>
      <c r="O17" s="58">
        <f>175*E12</f>
        <v>242900</v>
      </c>
      <c r="P17" s="59">
        <f>O17/E12</f>
        <v>175</v>
      </c>
      <c r="Q17" s="59">
        <v>0</v>
      </c>
      <c r="R17" s="60">
        <f t="shared" si="1"/>
        <v>242900</v>
      </c>
      <c r="S17" s="57">
        <f t="shared" si="2"/>
        <v>15302700</v>
      </c>
      <c r="T17" s="61">
        <f t="shared" si="3"/>
        <v>0.10148571428571428</v>
      </c>
      <c r="X17" s="9"/>
      <c r="Z17" s="24"/>
      <c r="AA17" s="24"/>
      <c r="AB17" s="25" t="s">
        <v>30</v>
      </c>
      <c r="AC17" s="26">
        <v>13</v>
      </c>
      <c r="AE17" s="17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/>
      <c r="HF17" s="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</row>
    <row r="18" spans="1:239" x14ac:dyDescent="0.25">
      <c r="C18" s="20"/>
      <c r="D18" s="232" t="s">
        <v>123</v>
      </c>
      <c r="E18" s="235">
        <f t="shared" si="0"/>
        <v>1.5033333333333334</v>
      </c>
      <c r="F18" s="356">
        <f>E18*E14/189</f>
        <v>1708.7888888888888</v>
      </c>
      <c r="H18" s="22"/>
      <c r="I18" s="23"/>
      <c r="M18" s="9"/>
      <c r="O18" s="68"/>
      <c r="P18" s="59"/>
      <c r="Q18" s="59"/>
      <c r="R18" s="69"/>
      <c r="S18" s="57"/>
      <c r="T18" s="61" t="str">
        <f>IFERROR(#REF!/S18,"")</f>
        <v/>
      </c>
      <c r="X18" s="9"/>
      <c r="Z18" s="24"/>
      <c r="AA18" s="24"/>
      <c r="AB18" s="25"/>
      <c r="AC18" s="26"/>
      <c r="AE18" s="17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8"/>
      <c r="FG18" s="18"/>
      <c r="FH18" s="18"/>
      <c r="FI18" s="18"/>
      <c r="FJ18" s="18"/>
      <c r="FK18" s="18"/>
      <c r="FL18" s="18"/>
      <c r="FM18" s="18"/>
      <c r="FN18" s="18"/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/>
      <c r="HF18" s="7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</row>
    <row r="19" spans="1:239" ht="15.75" thickBot="1" x14ac:dyDescent="0.3">
      <c r="C19" s="20"/>
      <c r="D19" s="233" t="s">
        <v>124</v>
      </c>
      <c r="E19" s="236">
        <f t="shared" si="0"/>
        <v>3866501.52</v>
      </c>
      <c r="H19" s="27"/>
      <c r="M19" s="9"/>
      <c r="N19" s="9"/>
      <c r="O19" s="73">
        <f>S19/E9</f>
        <v>198916.66666666666</v>
      </c>
      <c r="P19" s="74"/>
      <c r="Q19" s="71"/>
      <c r="R19" s="75"/>
      <c r="S19" s="76">
        <f>SUM(S15:S18)</f>
        <v>37595250</v>
      </c>
      <c r="T19" s="77">
        <f>E19/S19</f>
        <v>0.10284547968160872</v>
      </c>
      <c r="U19" s="28"/>
      <c r="V19" s="28"/>
      <c r="W19" s="28"/>
      <c r="X19" s="9"/>
      <c r="Z19" s="29"/>
      <c r="AA19" s="29"/>
      <c r="AD19" s="29"/>
      <c r="AE19" s="17"/>
      <c r="HE19"/>
      <c r="HF19" s="6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</row>
    <row r="20" spans="1:239" x14ac:dyDescent="0.25">
      <c r="M20" s="32"/>
      <c r="N20" s="32"/>
      <c r="T20" s="81" t="s">
        <v>44</v>
      </c>
      <c r="U20" s="37"/>
      <c r="V20" s="37"/>
      <c r="W20" s="37"/>
      <c r="X20" s="9"/>
      <c r="Z20" s="38" t="s">
        <v>33</v>
      </c>
      <c r="AA20" s="39"/>
      <c r="AB20" s="40"/>
      <c r="AC20" s="41"/>
      <c r="AD20" s="42"/>
      <c r="AE20" s="17"/>
      <c r="AF20" s="43">
        <f>ROUNDUP(AF21/12,0)</f>
        <v>0</v>
      </c>
      <c r="AG20" s="43">
        <f>ROUNDUP(AG21/12,0)</f>
        <v>1</v>
      </c>
      <c r="AH20" s="43">
        <f t="shared" ref="AH20:CS20" si="7">ROUNDUP(AH21/12,0)</f>
        <v>1</v>
      </c>
      <c r="AI20" s="43">
        <f t="shared" si="7"/>
        <v>1</v>
      </c>
      <c r="AJ20" s="43">
        <f t="shared" si="7"/>
        <v>1</v>
      </c>
      <c r="AK20" s="43">
        <f t="shared" si="7"/>
        <v>1</v>
      </c>
      <c r="AL20" s="43">
        <f t="shared" si="7"/>
        <v>1</v>
      </c>
      <c r="AM20" s="43">
        <f t="shared" si="7"/>
        <v>1</v>
      </c>
      <c r="AN20" s="43">
        <f t="shared" si="7"/>
        <v>1</v>
      </c>
      <c r="AO20" s="43">
        <f t="shared" si="7"/>
        <v>1</v>
      </c>
      <c r="AP20" s="43">
        <f t="shared" si="7"/>
        <v>1</v>
      </c>
      <c r="AQ20" s="43">
        <f t="shared" si="7"/>
        <v>1</v>
      </c>
      <c r="AR20" s="43">
        <f t="shared" si="7"/>
        <v>1</v>
      </c>
      <c r="AS20" s="43">
        <f t="shared" si="7"/>
        <v>2</v>
      </c>
      <c r="AT20" s="43">
        <f t="shared" si="7"/>
        <v>2</v>
      </c>
      <c r="AU20" s="43">
        <f t="shared" si="7"/>
        <v>2</v>
      </c>
      <c r="AV20" s="43">
        <f t="shared" si="7"/>
        <v>2</v>
      </c>
      <c r="AW20" s="43">
        <f t="shared" si="7"/>
        <v>2</v>
      </c>
      <c r="AX20" s="43">
        <f t="shared" si="7"/>
        <v>2</v>
      </c>
      <c r="AY20" s="43">
        <f t="shared" si="7"/>
        <v>2</v>
      </c>
      <c r="AZ20" s="43">
        <f t="shared" si="7"/>
        <v>2</v>
      </c>
      <c r="BA20" s="43">
        <f t="shared" si="7"/>
        <v>2</v>
      </c>
      <c r="BB20" s="43">
        <f t="shared" si="7"/>
        <v>2</v>
      </c>
      <c r="BC20" s="43">
        <f t="shared" si="7"/>
        <v>2</v>
      </c>
      <c r="BD20" s="43">
        <f t="shared" si="7"/>
        <v>2</v>
      </c>
      <c r="BE20" s="43">
        <f t="shared" si="7"/>
        <v>3</v>
      </c>
      <c r="BF20" s="43">
        <f t="shared" si="7"/>
        <v>3</v>
      </c>
      <c r="BG20" s="43">
        <f t="shared" si="7"/>
        <v>3</v>
      </c>
      <c r="BH20" s="43">
        <f t="shared" si="7"/>
        <v>3</v>
      </c>
      <c r="BI20" s="43">
        <f t="shared" si="7"/>
        <v>3</v>
      </c>
      <c r="BJ20" s="43">
        <f t="shared" si="7"/>
        <v>3</v>
      </c>
      <c r="BK20" s="43">
        <f t="shared" si="7"/>
        <v>3</v>
      </c>
      <c r="BL20" s="43">
        <f t="shared" si="7"/>
        <v>3</v>
      </c>
      <c r="BM20" s="43">
        <f t="shared" si="7"/>
        <v>3</v>
      </c>
      <c r="BN20" s="43">
        <f t="shared" si="7"/>
        <v>3</v>
      </c>
      <c r="BO20" s="43">
        <f t="shared" si="7"/>
        <v>3</v>
      </c>
      <c r="BP20" s="43">
        <f t="shared" si="7"/>
        <v>3</v>
      </c>
      <c r="BQ20" s="43">
        <f t="shared" si="7"/>
        <v>4</v>
      </c>
      <c r="BR20" s="43">
        <f t="shared" si="7"/>
        <v>4</v>
      </c>
      <c r="BS20" s="43">
        <f t="shared" si="7"/>
        <v>4</v>
      </c>
      <c r="BT20" s="43">
        <f t="shared" si="7"/>
        <v>4</v>
      </c>
      <c r="BU20" s="43">
        <f t="shared" si="7"/>
        <v>4</v>
      </c>
      <c r="BV20" s="43">
        <f t="shared" si="7"/>
        <v>4</v>
      </c>
      <c r="BW20" s="43">
        <f t="shared" si="7"/>
        <v>4</v>
      </c>
      <c r="BX20" s="43">
        <f t="shared" si="7"/>
        <v>4</v>
      </c>
      <c r="BY20" s="43">
        <f t="shared" si="7"/>
        <v>4</v>
      </c>
      <c r="BZ20" s="43">
        <f t="shared" si="7"/>
        <v>4</v>
      </c>
      <c r="CA20" s="43">
        <f t="shared" si="7"/>
        <v>4</v>
      </c>
      <c r="CB20" s="43">
        <f t="shared" si="7"/>
        <v>4</v>
      </c>
      <c r="CC20" s="43">
        <f t="shared" si="7"/>
        <v>5</v>
      </c>
      <c r="CD20" s="43">
        <f t="shared" si="7"/>
        <v>5</v>
      </c>
      <c r="CE20" s="43">
        <f t="shared" si="7"/>
        <v>5</v>
      </c>
      <c r="CF20" s="43">
        <f t="shared" si="7"/>
        <v>5</v>
      </c>
      <c r="CG20" s="43">
        <f t="shared" si="7"/>
        <v>5</v>
      </c>
      <c r="CH20" s="43">
        <f t="shared" si="7"/>
        <v>5</v>
      </c>
      <c r="CI20" s="43">
        <f t="shared" si="7"/>
        <v>5</v>
      </c>
      <c r="CJ20" s="43">
        <f t="shared" si="7"/>
        <v>5</v>
      </c>
      <c r="CK20" s="43">
        <f t="shared" si="7"/>
        <v>5</v>
      </c>
      <c r="CL20" s="43">
        <f t="shared" si="7"/>
        <v>5</v>
      </c>
      <c r="CM20" s="43">
        <f t="shared" si="7"/>
        <v>5</v>
      </c>
      <c r="CN20" s="43">
        <f t="shared" si="7"/>
        <v>5</v>
      </c>
      <c r="CO20" s="43">
        <f t="shared" si="7"/>
        <v>6</v>
      </c>
      <c r="CP20" s="43">
        <f t="shared" si="7"/>
        <v>6</v>
      </c>
      <c r="CQ20" s="43">
        <f t="shared" si="7"/>
        <v>6</v>
      </c>
      <c r="CR20" s="43">
        <f t="shared" si="7"/>
        <v>6</v>
      </c>
      <c r="CS20" s="43">
        <f t="shared" si="7"/>
        <v>6</v>
      </c>
      <c r="CT20" s="43">
        <f t="shared" ref="CT20:FE20" si="8">ROUNDUP(CT21/12,0)</f>
        <v>6</v>
      </c>
      <c r="CU20" s="43">
        <f t="shared" si="8"/>
        <v>6</v>
      </c>
      <c r="CV20" s="43">
        <f t="shared" si="8"/>
        <v>6</v>
      </c>
      <c r="CW20" s="43">
        <f t="shared" si="8"/>
        <v>6</v>
      </c>
      <c r="CX20" s="43">
        <f t="shared" si="8"/>
        <v>6</v>
      </c>
      <c r="CY20" s="43">
        <f t="shared" si="8"/>
        <v>6</v>
      </c>
      <c r="CZ20" s="43">
        <f t="shared" si="8"/>
        <v>6</v>
      </c>
      <c r="DA20" s="43">
        <f t="shared" si="8"/>
        <v>7</v>
      </c>
      <c r="DB20" s="43">
        <f t="shared" si="8"/>
        <v>7</v>
      </c>
      <c r="DC20" s="43">
        <f t="shared" si="8"/>
        <v>7</v>
      </c>
      <c r="DD20" s="43">
        <f t="shared" si="8"/>
        <v>7</v>
      </c>
      <c r="DE20" s="43">
        <f t="shared" si="8"/>
        <v>7</v>
      </c>
      <c r="DF20" s="43">
        <f t="shared" si="8"/>
        <v>7</v>
      </c>
      <c r="DG20" s="43">
        <f t="shared" si="8"/>
        <v>7</v>
      </c>
      <c r="DH20" s="43">
        <f t="shared" si="8"/>
        <v>7</v>
      </c>
      <c r="DI20" s="43">
        <f t="shared" si="8"/>
        <v>7</v>
      </c>
      <c r="DJ20" s="43">
        <f t="shared" si="8"/>
        <v>7</v>
      </c>
      <c r="DK20" s="43">
        <f t="shared" si="8"/>
        <v>7</v>
      </c>
      <c r="DL20" s="43">
        <f t="shared" si="8"/>
        <v>7</v>
      </c>
      <c r="DM20" s="43">
        <f t="shared" si="8"/>
        <v>8</v>
      </c>
      <c r="DN20" s="43">
        <f t="shared" si="8"/>
        <v>8</v>
      </c>
      <c r="DO20" s="43">
        <f t="shared" si="8"/>
        <v>8</v>
      </c>
      <c r="DP20" s="43">
        <f t="shared" si="8"/>
        <v>8</v>
      </c>
      <c r="DQ20" s="43">
        <f t="shared" si="8"/>
        <v>8</v>
      </c>
      <c r="DR20" s="43">
        <f t="shared" si="8"/>
        <v>8</v>
      </c>
      <c r="DS20" s="43">
        <f t="shared" si="8"/>
        <v>8</v>
      </c>
      <c r="DT20" s="43">
        <f t="shared" si="8"/>
        <v>8</v>
      </c>
      <c r="DU20" s="43">
        <f t="shared" si="8"/>
        <v>8</v>
      </c>
      <c r="DV20" s="43">
        <f t="shared" si="8"/>
        <v>8</v>
      </c>
      <c r="DW20" s="43">
        <f t="shared" si="8"/>
        <v>8</v>
      </c>
      <c r="DX20" s="43">
        <f t="shared" si="8"/>
        <v>8</v>
      </c>
      <c r="DY20" s="43">
        <f t="shared" si="8"/>
        <v>9</v>
      </c>
      <c r="DZ20" s="43">
        <f t="shared" si="8"/>
        <v>9</v>
      </c>
      <c r="EA20" s="43">
        <f t="shared" si="8"/>
        <v>9</v>
      </c>
      <c r="EB20" s="43">
        <f t="shared" si="8"/>
        <v>9</v>
      </c>
      <c r="EC20" s="43">
        <f t="shared" si="8"/>
        <v>9</v>
      </c>
      <c r="ED20" s="43">
        <f t="shared" si="8"/>
        <v>9</v>
      </c>
      <c r="EE20" s="43">
        <f t="shared" si="8"/>
        <v>9</v>
      </c>
      <c r="EF20" s="43">
        <f t="shared" si="8"/>
        <v>9</v>
      </c>
      <c r="EG20" s="43">
        <f t="shared" si="8"/>
        <v>9</v>
      </c>
      <c r="EH20" s="43">
        <f t="shared" si="8"/>
        <v>9</v>
      </c>
      <c r="EI20" s="43">
        <f t="shared" si="8"/>
        <v>9</v>
      </c>
      <c r="EJ20" s="43">
        <f t="shared" si="8"/>
        <v>9</v>
      </c>
      <c r="EK20" s="43">
        <f t="shared" si="8"/>
        <v>10</v>
      </c>
      <c r="EL20" s="43">
        <f t="shared" si="8"/>
        <v>10</v>
      </c>
      <c r="EM20" s="43">
        <f t="shared" si="8"/>
        <v>10</v>
      </c>
      <c r="EN20" s="43">
        <f t="shared" si="8"/>
        <v>10</v>
      </c>
      <c r="EO20" s="43">
        <f t="shared" si="8"/>
        <v>10</v>
      </c>
      <c r="EP20" s="43">
        <f t="shared" si="8"/>
        <v>10</v>
      </c>
      <c r="EQ20" s="43">
        <f t="shared" si="8"/>
        <v>10</v>
      </c>
      <c r="ER20" s="43">
        <f t="shared" si="8"/>
        <v>10</v>
      </c>
      <c r="ES20" s="43">
        <f t="shared" si="8"/>
        <v>10</v>
      </c>
      <c r="ET20" s="43">
        <f t="shared" si="8"/>
        <v>10</v>
      </c>
      <c r="EU20" s="43">
        <f t="shared" si="8"/>
        <v>10</v>
      </c>
      <c r="EV20" s="43">
        <f t="shared" si="8"/>
        <v>10</v>
      </c>
      <c r="EW20" s="43">
        <f t="shared" si="8"/>
        <v>11</v>
      </c>
      <c r="EX20" s="43">
        <f t="shared" si="8"/>
        <v>11</v>
      </c>
      <c r="EY20" s="43">
        <f t="shared" si="8"/>
        <v>11</v>
      </c>
      <c r="EZ20" s="43">
        <f t="shared" si="8"/>
        <v>11</v>
      </c>
      <c r="FA20" s="43">
        <f t="shared" si="8"/>
        <v>11</v>
      </c>
      <c r="FB20" s="43">
        <f t="shared" si="8"/>
        <v>11</v>
      </c>
      <c r="FC20" s="43">
        <f t="shared" si="8"/>
        <v>11</v>
      </c>
      <c r="FD20" s="43">
        <f t="shared" si="8"/>
        <v>11</v>
      </c>
      <c r="FE20" s="43">
        <f t="shared" si="8"/>
        <v>11</v>
      </c>
      <c r="FF20" s="43">
        <f t="shared" ref="FF20:HD20" si="9">ROUNDUP(FF21/12,0)</f>
        <v>11</v>
      </c>
      <c r="FG20" s="43">
        <f t="shared" si="9"/>
        <v>11</v>
      </c>
      <c r="FH20" s="43">
        <f t="shared" si="9"/>
        <v>11</v>
      </c>
      <c r="FI20" s="43">
        <f t="shared" si="9"/>
        <v>12</v>
      </c>
      <c r="FJ20" s="43">
        <f t="shared" si="9"/>
        <v>12</v>
      </c>
      <c r="FK20" s="43">
        <f t="shared" si="9"/>
        <v>12</v>
      </c>
      <c r="FL20" s="43">
        <f t="shared" si="9"/>
        <v>12</v>
      </c>
      <c r="FM20" s="43">
        <f t="shared" si="9"/>
        <v>12</v>
      </c>
      <c r="FN20" s="43">
        <f t="shared" si="9"/>
        <v>12</v>
      </c>
      <c r="FO20" s="43">
        <f t="shared" si="9"/>
        <v>12</v>
      </c>
      <c r="FP20" s="43">
        <f t="shared" si="9"/>
        <v>12</v>
      </c>
      <c r="FQ20" s="43">
        <f t="shared" si="9"/>
        <v>12</v>
      </c>
      <c r="FR20" s="43">
        <f t="shared" si="9"/>
        <v>12</v>
      </c>
      <c r="FS20" s="43">
        <f t="shared" si="9"/>
        <v>12</v>
      </c>
      <c r="FT20" s="43">
        <f t="shared" si="9"/>
        <v>12</v>
      </c>
      <c r="FU20" s="43">
        <f t="shared" si="9"/>
        <v>13</v>
      </c>
      <c r="FV20" s="43">
        <f t="shared" si="9"/>
        <v>13</v>
      </c>
      <c r="FW20" s="43">
        <f t="shared" si="9"/>
        <v>13</v>
      </c>
      <c r="FX20" s="43">
        <f t="shared" si="9"/>
        <v>13</v>
      </c>
      <c r="FY20" s="43">
        <f t="shared" si="9"/>
        <v>13</v>
      </c>
      <c r="FZ20" s="43">
        <f t="shared" si="9"/>
        <v>13</v>
      </c>
      <c r="GA20" s="43">
        <f t="shared" si="9"/>
        <v>13</v>
      </c>
      <c r="GB20" s="43">
        <f t="shared" si="9"/>
        <v>13</v>
      </c>
      <c r="GC20" s="43">
        <f t="shared" si="9"/>
        <v>13</v>
      </c>
      <c r="GD20" s="43">
        <f t="shared" si="9"/>
        <v>13</v>
      </c>
      <c r="GE20" s="43">
        <f t="shared" si="9"/>
        <v>13</v>
      </c>
      <c r="GF20" s="43">
        <f t="shared" si="9"/>
        <v>13</v>
      </c>
      <c r="GG20" s="43">
        <f t="shared" si="9"/>
        <v>14</v>
      </c>
      <c r="GH20" s="43">
        <f t="shared" si="9"/>
        <v>14</v>
      </c>
      <c r="GI20" s="43">
        <f t="shared" si="9"/>
        <v>14</v>
      </c>
      <c r="GJ20" s="43">
        <f t="shared" si="9"/>
        <v>14</v>
      </c>
      <c r="GK20" s="43">
        <f t="shared" si="9"/>
        <v>14</v>
      </c>
      <c r="GL20" s="43">
        <f t="shared" si="9"/>
        <v>14</v>
      </c>
      <c r="GM20" s="43">
        <f t="shared" si="9"/>
        <v>14</v>
      </c>
      <c r="GN20" s="43">
        <f t="shared" si="9"/>
        <v>14</v>
      </c>
      <c r="GO20" s="43">
        <f t="shared" si="9"/>
        <v>14</v>
      </c>
      <c r="GP20" s="43">
        <f t="shared" si="9"/>
        <v>14</v>
      </c>
      <c r="GQ20" s="43">
        <f t="shared" si="9"/>
        <v>14</v>
      </c>
      <c r="GR20" s="43">
        <f t="shared" si="9"/>
        <v>14</v>
      </c>
      <c r="GS20" s="43">
        <f t="shared" si="9"/>
        <v>15</v>
      </c>
      <c r="GT20" s="43">
        <f t="shared" si="9"/>
        <v>15</v>
      </c>
      <c r="GU20" s="43">
        <f t="shared" si="9"/>
        <v>15</v>
      </c>
      <c r="GV20" s="43">
        <f t="shared" si="9"/>
        <v>15</v>
      </c>
      <c r="GW20" s="43">
        <f t="shared" si="9"/>
        <v>15</v>
      </c>
      <c r="GX20" s="43">
        <f t="shared" si="9"/>
        <v>15</v>
      </c>
      <c r="GY20" s="43">
        <f t="shared" si="9"/>
        <v>15</v>
      </c>
      <c r="GZ20" s="43">
        <f t="shared" si="9"/>
        <v>15</v>
      </c>
      <c r="HA20" s="43">
        <f t="shared" si="9"/>
        <v>15</v>
      </c>
      <c r="HB20" s="43">
        <f t="shared" si="9"/>
        <v>15</v>
      </c>
      <c r="HC20" s="43">
        <f t="shared" si="9"/>
        <v>15</v>
      </c>
      <c r="HD20" s="43">
        <f t="shared" si="9"/>
        <v>15</v>
      </c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</row>
    <row r="21" spans="1:239" ht="15.75" thickBot="1" x14ac:dyDescent="0.3">
      <c r="B21" s="30"/>
      <c r="C21" s="83" t="s">
        <v>45</v>
      </c>
      <c r="D21" s="84"/>
      <c r="E21" s="85"/>
      <c r="F21" s="85"/>
      <c r="G21" s="85"/>
      <c r="H21" s="85"/>
      <c r="I21" s="86"/>
      <c r="J21" s="87"/>
      <c r="K21" s="88" t="s">
        <v>46</v>
      </c>
      <c r="L21" s="244"/>
      <c r="M21" s="32"/>
      <c r="N21" s="32"/>
      <c r="O21" s="2" t="s">
        <v>47</v>
      </c>
      <c r="P21" s="89"/>
      <c r="Q21" s="89"/>
      <c r="R21" s="89"/>
      <c r="S21" s="90">
        <f>S19</f>
        <v>37595250</v>
      </c>
      <c r="T21" s="91">
        <f t="shared" ref="T21:T31" si="10">IFERROR(S21/$S$42,0)</f>
        <v>0.64222955467520548</v>
      </c>
      <c r="U21" s="48"/>
      <c r="V21" s="48"/>
      <c r="W21" s="48"/>
      <c r="X21" s="9"/>
      <c r="Z21" s="49" t="s">
        <v>30</v>
      </c>
      <c r="AA21" s="50" t="s">
        <v>41</v>
      </c>
      <c r="AB21" s="51" t="s">
        <v>42</v>
      </c>
      <c r="AC21" s="52" t="s">
        <v>43</v>
      </c>
      <c r="AD21" s="31"/>
      <c r="AE21" s="17"/>
      <c r="AF21" s="53">
        <v>0</v>
      </c>
      <c r="AG21" s="54">
        <f>AF21+1</f>
        <v>1</v>
      </c>
      <c r="AH21" s="54">
        <f t="shared" ref="AH21:CS21" si="11">AG21+1</f>
        <v>2</v>
      </c>
      <c r="AI21" s="54">
        <f t="shared" si="11"/>
        <v>3</v>
      </c>
      <c r="AJ21" s="54">
        <f t="shared" si="11"/>
        <v>4</v>
      </c>
      <c r="AK21" s="54">
        <f t="shared" si="11"/>
        <v>5</v>
      </c>
      <c r="AL21" s="54">
        <f t="shared" si="11"/>
        <v>6</v>
      </c>
      <c r="AM21" s="54">
        <f t="shared" si="11"/>
        <v>7</v>
      </c>
      <c r="AN21" s="54">
        <f t="shared" si="11"/>
        <v>8</v>
      </c>
      <c r="AO21" s="54">
        <f t="shared" si="11"/>
        <v>9</v>
      </c>
      <c r="AP21" s="54">
        <f t="shared" si="11"/>
        <v>10</v>
      </c>
      <c r="AQ21" s="54">
        <f t="shared" si="11"/>
        <v>11</v>
      </c>
      <c r="AR21" s="54">
        <f t="shared" si="11"/>
        <v>12</v>
      </c>
      <c r="AS21" s="54">
        <f t="shared" si="11"/>
        <v>13</v>
      </c>
      <c r="AT21" s="54">
        <f t="shared" si="11"/>
        <v>14</v>
      </c>
      <c r="AU21" s="54">
        <f t="shared" si="11"/>
        <v>15</v>
      </c>
      <c r="AV21" s="54">
        <f t="shared" si="11"/>
        <v>16</v>
      </c>
      <c r="AW21" s="54">
        <f t="shared" si="11"/>
        <v>17</v>
      </c>
      <c r="AX21" s="54">
        <f t="shared" si="11"/>
        <v>18</v>
      </c>
      <c r="AY21" s="54">
        <f t="shared" si="11"/>
        <v>19</v>
      </c>
      <c r="AZ21" s="54">
        <f t="shared" si="11"/>
        <v>20</v>
      </c>
      <c r="BA21" s="54">
        <f t="shared" si="11"/>
        <v>21</v>
      </c>
      <c r="BB21" s="54">
        <f t="shared" si="11"/>
        <v>22</v>
      </c>
      <c r="BC21" s="54">
        <f t="shared" si="11"/>
        <v>23</v>
      </c>
      <c r="BD21" s="54">
        <f t="shared" si="11"/>
        <v>24</v>
      </c>
      <c r="BE21" s="54">
        <f t="shared" si="11"/>
        <v>25</v>
      </c>
      <c r="BF21" s="54">
        <f t="shared" si="11"/>
        <v>26</v>
      </c>
      <c r="BG21" s="54">
        <f t="shared" si="11"/>
        <v>27</v>
      </c>
      <c r="BH21" s="54">
        <f t="shared" si="11"/>
        <v>28</v>
      </c>
      <c r="BI21" s="54">
        <f t="shared" si="11"/>
        <v>29</v>
      </c>
      <c r="BJ21" s="54">
        <f t="shared" si="11"/>
        <v>30</v>
      </c>
      <c r="BK21" s="54">
        <f t="shared" si="11"/>
        <v>31</v>
      </c>
      <c r="BL21" s="54">
        <f t="shared" si="11"/>
        <v>32</v>
      </c>
      <c r="BM21" s="54">
        <f t="shared" si="11"/>
        <v>33</v>
      </c>
      <c r="BN21" s="54">
        <f t="shared" si="11"/>
        <v>34</v>
      </c>
      <c r="BO21" s="54">
        <f t="shared" si="11"/>
        <v>35</v>
      </c>
      <c r="BP21" s="54">
        <f t="shared" si="11"/>
        <v>36</v>
      </c>
      <c r="BQ21" s="54">
        <f t="shared" si="11"/>
        <v>37</v>
      </c>
      <c r="BR21" s="54">
        <f t="shared" si="11"/>
        <v>38</v>
      </c>
      <c r="BS21" s="54">
        <f t="shared" si="11"/>
        <v>39</v>
      </c>
      <c r="BT21" s="54">
        <f t="shared" si="11"/>
        <v>40</v>
      </c>
      <c r="BU21" s="54">
        <f t="shared" si="11"/>
        <v>41</v>
      </c>
      <c r="BV21" s="54">
        <f t="shared" si="11"/>
        <v>42</v>
      </c>
      <c r="BW21" s="54">
        <f t="shared" si="11"/>
        <v>43</v>
      </c>
      <c r="BX21" s="54">
        <f t="shared" si="11"/>
        <v>44</v>
      </c>
      <c r="BY21" s="54">
        <f t="shared" si="11"/>
        <v>45</v>
      </c>
      <c r="BZ21" s="54">
        <f t="shared" si="11"/>
        <v>46</v>
      </c>
      <c r="CA21" s="54">
        <f t="shared" si="11"/>
        <v>47</v>
      </c>
      <c r="CB21" s="54">
        <f t="shared" si="11"/>
        <v>48</v>
      </c>
      <c r="CC21" s="54">
        <f t="shared" si="11"/>
        <v>49</v>
      </c>
      <c r="CD21" s="54">
        <f t="shared" si="11"/>
        <v>50</v>
      </c>
      <c r="CE21" s="54">
        <f t="shared" si="11"/>
        <v>51</v>
      </c>
      <c r="CF21" s="54">
        <f t="shared" si="11"/>
        <v>52</v>
      </c>
      <c r="CG21" s="54">
        <f t="shared" si="11"/>
        <v>53</v>
      </c>
      <c r="CH21" s="54">
        <f t="shared" si="11"/>
        <v>54</v>
      </c>
      <c r="CI21" s="54">
        <f t="shared" si="11"/>
        <v>55</v>
      </c>
      <c r="CJ21" s="54">
        <f t="shared" si="11"/>
        <v>56</v>
      </c>
      <c r="CK21" s="54">
        <f t="shared" si="11"/>
        <v>57</v>
      </c>
      <c r="CL21" s="54">
        <f t="shared" si="11"/>
        <v>58</v>
      </c>
      <c r="CM21" s="54">
        <f t="shared" si="11"/>
        <v>59</v>
      </c>
      <c r="CN21" s="54">
        <f t="shared" si="11"/>
        <v>60</v>
      </c>
      <c r="CO21" s="54">
        <f t="shared" si="11"/>
        <v>61</v>
      </c>
      <c r="CP21" s="54">
        <f t="shared" si="11"/>
        <v>62</v>
      </c>
      <c r="CQ21" s="54">
        <f t="shared" si="11"/>
        <v>63</v>
      </c>
      <c r="CR21" s="54">
        <f t="shared" si="11"/>
        <v>64</v>
      </c>
      <c r="CS21" s="54">
        <f t="shared" si="11"/>
        <v>65</v>
      </c>
      <c r="CT21" s="54">
        <f t="shared" ref="CT21:FE21" si="12">CS21+1</f>
        <v>66</v>
      </c>
      <c r="CU21" s="54">
        <f t="shared" si="12"/>
        <v>67</v>
      </c>
      <c r="CV21" s="54">
        <f t="shared" si="12"/>
        <v>68</v>
      </c>
      <c r="CW21" s="54">
        <f t="shared" si="12"/>
        <v>69</v>
      </c>
      <c r="CX21" s="54">
        <f t="shared" si="12"/>
        <v>70</v>
      </c>
      <c r="CY21" s="54">
        <f t="shared" si="12"/>
        <v>71</v>
      </c>
      <c r="CZ21" s="54">
        <f t="shared" si="12"/>
        <v>72</v>
      </c>
      <c r="DA21" s="54">
        <f t="shared" si="12"/>
        <v>73</v>
      </c>
      <c r="DB21" s="54">
        <f t="shared" si="12"/>
        <v>74</v>
      </c>
      <c r="DC21" s="54">
        <f t="shared" si="12"/>
        <v>75</v>
      </c>
      <c r="DD21" s="54">
        <f t="shared" si="12"/>
        <v>76</v>
      </c>
      <c r="DE21" s="54">
        <f t="shared" si="12"/>
        <v>77</v>
      </c>
      <c r="DF21" s="54">
        <f t="shared" si="12"/>
        <v>78</v>
      </c>
      <c r="DG21" s="54">
        <f t="shared" si="12"/>
        <v>79</v>
      </c>
      <c r="DH21" s="54">
        <f t="shared" si="12"/>
        <v>80</v>
      </c>
      <c r="DI21" s="54">
        <f t="shared" si="12"/>
        <v>81</v>
      </c>
      <c r="DJ21" s="54">
        <f t="shared" si="12"/>
        <v>82</v>
      </c>
      <c r="DK21" s="54">
        <f t="shared" si="12"/>
        <v>83</v>
      </c>
      <c r="DL21" s="54">
        <f t="shared" si="12"/>
        <v>84</v>
      </c>
      <c r="DM21" s="54">
        <f t="shared" si="12"/>
        <v>85</v>
      </c>
      <c r="DN21" s="54">
        <f t="shared" si="12"/>
        <v>86</v>
      </c>
      <c r="DO21" s="54">
        <f t="shared" si="12"/>
        <v>87</v>
      </c>
      <c r="DP21" s="54">
        <f t="shared" si="12"/>
        <v>88</v>
      </c>
      <c r="DQ21" s="54">
        <f t="shared" si="12"/>
        <v>89</v>
      </c>
      <c r="DR21" s="54">
        <f t="shared" si="12"/>
        <v>90</v>
      </c>
      <c r="DS21" s="54">
        <f t="shared" si="12"/>
        <v>91</v>
      </c>
      <c r="DT21" s="54">
        <f t="shared" si="12"/>
        <v>92</v>
      </c>
      <c r="DU21" s="54">
        <f t="shared" si="12"/>
        <v>93</v>
      </c>
      <c r="DV21" s="54">
        <f t="shared" si="12"/>
        <v>94</v>
      </c>
      <c r="DW21" s="54">
        <f t="shared" si="12"/>
        <v>95</v>
      </c>
      <c r="DX21" s="54">
        <f t="shared" si="12"/>
        <v>96</v>
      </c>
      <c r="DY21" s="54">
        <f t="shared" si="12"/>
        <v>97</v>
      </c>
      <c r="DZ21" s="54">
        <f t="shared" si="12"/>
        <v>98</v>
      </c>
      <c r="EA21" s="54">
        <f t="shared" si="12"/>
        <v>99</v>
      </c>
      <c r="EB21" s="54">
        <f t="shared" si="12"/>
        <v>100</v>
      </c>
      <c r="EC21" s="54">
        <f t="shared" si="12"/>
        <v>101</v>
      </c>
      <c r="ED21" s="54">
        <f t="shared" si="12"/>
        <v>102</v>
      </c>
      <c r="EE21" s="54">
        <f t="shared" si="12"/>
        <v>103</v>
      </c>
      <c r="EF21" s="54">
        <f t="shared" si="12"/>
        <v>104</v>
      </c>
      <c r="EG21" s="54">
        <f t="shared" si="12"/>
        <v>105</v>
      </c>
      <c r="EH21" s="54">
        <f t="shared" si="12"/>
        <v>106</v>
      </c>
      <c r="EI21" s="54">
        <f t="shared" si="12"/>
        <v>107</v>
      </c>
      <c r="EJ21" s="54">
        <f t="shared" si="12"/>
        <v>108</v>
      </c>
      <c r="EK21" s="54">
        <f t="shared" si="12"/>
        <v>109</v>
      </c>
      <c r="EL21" s="54">
        <f t="shared" si="12"/>
        <v>110</v>
      </c>
      <c r="EM21" s="54">
        <f t="shared" si="12"/>
        <v>111</v>
      </c>
      <c r="EN21" s="54">
        <f t="shared" si="12"/>
        <v>112</v>
      </c>
      <c r="EO21" s="54">
        <f t="shared" si="12"/>
        <v>113</v>
      </c>
      <c r="EP21" s="54">
        <f t="shared" si="12"/>
        <v>114</v>
      </c>
      <c r="EQ21" s="54">
        <f t="shared" si="12"/>
        <v>115</v>
      </c>
      <c r="ER21" s="54">
        <f t="shared" si="12"/>
        <v>116</v>
      </c>
      <c r="ES21" s="54">
        <f t="shared" si="12"/>
        <v>117</v>
      </c>
      <c r="ET21" s="54">
        <f t="shared" si="12"/>
        <v>118</v>
      </c>
      <c r="EU21" s="54">
        <f t="shared" si="12"/>
        <v>119</v>
      </c>
      <c r="EV21" s="54">
        <f t="shared" si="12"/>
        <v>120</v>
      </c>
      <c r="EW21" s="54">
        <f t="shared" si="12"/>
        <v>121</v>
      </c>
      <c r="EX21" s="54">
        <f t="shared" si="12"/>
        <v>122</v>
      </c>
      <c r="EY21" s="54">
        <f t="shared" si="12"/>
        <v>123</v>
      </c>
      <c r="EZ21" s="54">
        <f t="shared" si="12"/>
        <v>124</v>
      </c>
      <c r="FA21" s="54">
        <f t="shared" si="12"/>
        <v>125</v>
      </c>
      <c r="FB21" s="54">
        <f t="shared" si="12"/>
        <v>126</v>
      </c>
      <c r="FC21" s="54">
        <f t="shared" si="12"/>
        <v>127</v>
      </c>
      <c r="FD21" s="54">
        <f t="shared" si="12"/>
        <v>128</v>
      </c>
      <c r="FE21" s="54">
        <f t="shared" si="12"/>
        <v>129</v>
      </c>
      <c r="FF21" s="54">
        <f t="shared" ref="FF21:HD21" si="13">FE21+1</f>
        <v>130</v>
      </c>
      <c r="FG21" s="54">
        <f t="shared" si="13"/>
        <v>131</v>
      </c>
      <c r="FH21" s="54">
        <f t="shared" si="13"/>
        <v>132</v>
      </c>
      <c r="FI21" s="54">
        <f t="shared" si="13"/>
        <v>133</v>
      </c>
      <c r="FJ21" s="54">
        <f t="shared" si="13"/>
        <v>134</v>
      </c>
      <c r="FK21" s="54">
        <f t="shared" si="13"/>
        <v>135</v>
      </c>
      <c r="FL21" s="54">
        <f t="shared" si="13"/>
        <v>136</v>
      </c>
      <c r="FM21" s="54">
        <f t="shared" si="13"/>
        <v>137</v>
      </c>
      <c r="FN21" s="54">
        <f t="shared" si="13"/>
        <v>138</v>
      </c>
      <c r="FO21" s="54">
        <f t="shared" si="13"/>
        <v>139</v>
      </c>
      <c r="FP21" s="54">
        <f t="shared" si="13"/>
        <v>140</v>
      </c>
      <c r="FQ21" s="54">
        <f t="shared" si="13"/>
        <v>141</v>
      </c>
      <c r="FR21" s="54">
        <f t="shared" si="13"/>
        <v>142</v>
      </c>
      <c r="FS21" s="54">
        <f t="shared" si="13"/>
        <v>143</v>
      </c>
      <c r="FT21" s="54">
        <f t="shared" si="13"/>
        <v>144</v>
      </c>
      <c r="FU21" s="54">
        <f t="shared" si="13"/>
        <v>145</v>
      </c>
      <c r="FV21" s="54">
        <f t="shared" si="13"/>
        <v>146</v>
      </c>
      <c r="FW21" s="54">
        <f t="shared" si="13"/>
        <v>147</v>
      </c>
      <c r="FX21" s="54">
        <f t="shared" si="13"/>
        <v>148</v>
      </c>
      <c r="FY21" s="54">
        <f t="shared" si="13"/>
        <v>149</v>
      </c>
      <c r="FZ21" s="54">
        <f t="shared" si="13"/>
        <v>150</v>
      </c>
      <c r="GA21" s="54">
        <f t="shared" si="13"/>
        <v>151</v>
      </c>
      <c r="GB21" s="54">
        <f t="shared" si="13"/>
        <v>152</v>
      </c>
      <c r="GC21" s="54">
        <f t="shared" si="13"/>
        <v>153</v>
      </c>
      <c r="GD21" s="54">
        <f t="shared" si="13"/>
        <v>154</v>
      </c>
      <c r="GE21" s="54">
        <f t="shared" si="13"/>
        <v>155</v>
      </c>
      <c r="GF21" s="54">
        <f t="shared" si="13"/>
        <v>156</v>
      </c>
      <c r="GG21" s="54">
        <f t="shared" si="13"/>
        <v>157</v>
      </c>
      <c r="GH21" s="54">
        <f t="shared" si="13"/>
        <v>158</v>
      </c>
      <c r="GI21" s="54">
        <f t="shared" si="13"/>
        <v>159</v>
      </c>
      <c r="GJ21" s="54">
        <f t="shared" si="13"/>
        <v>160</v>
      </c>
      <c r="GK21" s="54">
        <f t="shared" si="13"/>
        <v>161</v>
      </c>
      <c r="GL21" s="54">
        <f t="shared" si="13"/>
        <v>162</v>
      </c>
      <c r="GM21" s="54">
        <f t="shared" si="13"/>
        <v>163</v>
      </c>
      <c r="GN21" s="54">
        <f t="shared" si="13"/>
        <v>164</v>
      </c>
      <c r="GO21" s="54">
        <f t="shared" si="13"/>
        <v>165</v>
      </c>
      <c r="GP21" s="54">
        <f t="shared" si="13"/>
        <v>166</v>
      </c>
      <c r="GQ21" s="54">
        <f t="shared" si="13"/>
        <v>167</v>
      </c>
      <c r="GR21" s="54">
        <f t="shared" si="13"/>
        <v>168</v>
      </c>
      <c r="GS21" s="54">
        <f t="shared" si="13"/>
        <v>169</v>
      </c>
      <c r="GT21" s="54">
        <f t="shared" si="13"/>
        <v>170</v>
      </c>
      <c r="GU21" s="54">
        <f t="shared" si="13"/>
        <v>171</v>
      </c>
      <c r="GV21" s="54">
        <f t="shared" si="13"/>
        <v>172</v>
      </c>
      <c r="GW21" s="54">
        <f t="shared" si="13"/>
        <v>173</v>
      </c>
      <c r="GX21" s="54">
        <f t="shared" si="13"/>
        <v>174</v>
      </c>
      <c r="GY21" s="54">
        <f t="shared" si="13"/>
        <v>175</v>
      </c>
      <c r="GZ21" s="54">
        <f t="shared" si="13"/>
        <v>176</v>
      </c>
      <c r="HA21" s="54">
        <f t="shared" si="13"/>
        <v>177</v>
      </c>
      <c r="HB21" s="54">
        <f t="shared" si="13"/>
        <v>178</v>
      </c>
      <c r="HC21" s="54">
        <f t="shared" si="13"/>
        <v>179</v>
      </c>
      <c r="HD21" s="54">
        <f t="shared" si="13"/>
        <v>180</v>
      </c>
      <c r="HE21"/>
      <c r="HF21" s="55"/>
      <c r="HG21" s="55"/>
      <c r="HH21" s="55"/>
      <c r="HI21" s="55"/>
      <c r="HJ21" s="55"/>
      <c r="HK21" s="55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</row>
    <row r="22" spans="1:239" x14ac:dyDescent="0.25">
      <c r="B22" s="30"/>
      <c r="C22" s="3"/>
      <c r="E22" s="8" t="s">
        <v>48</v>
      </c>
      <c r="I22" s="92"/>
      <c r="J22" s="10"/>
      <c r="K22" s="93">
        <f>E19</f>
        <v>3866501.52</v>
      </c>
      <c r="L22" s="245"/>
      <c r="M22" s="9"/>
      <c r="N22" s="9"/>
      <c r="O22" s="56" t="s">
        <v>49</v>
      </c>
      <c r="R22" s="94">
        <v>0.05</v>
      </c>
      <c r="S22" s="10">
        <f>R22*S21</f>
        <v>1879762.5</v>
      </c>
      <c r="T22" s="95">
        <f t="shared" si="10"/>
        <v>3.2111477733760274E-2</v>
      </c>
      <c r="U22" s="62"/>
      <c r="V22" s="62"/>
      <c r="W22" s="62"/>
      <c r="X22" s="9"/>
      <c r="Z22" s="63"/>
      <c r="AA22" s="64"/>
      <c r="AB22" s="65"/>
      <c r="AC22" s="66"/>
      <c r="AE22" s="1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  <c r="EB22" s="57"/>
      <c r="EC22" s="57"/>
      <c r="ED22" s="57"/>
      <c r="EE22" s="57"/>
      <c r="EF22" s="57"/>
      <c r="EG22" s="57"/>
      <c r="EH22" s="57"/>
      <c r="EI22" s="57"/>
      <c r="EJ22" s="57"/>
      <c r="EK22" s="57"/>
      <c r="EL22" s="57"/>
      <c r="EM22" s="57"/>
      <c r="EN22" s="57"/>
      <c r="EO22" s="57"/>
      <c r="EP22" s="57"/>
      <c r="EQ22" s="57"/>
      <c r="ER22" s="57"/>
      <c r="ES22" s="57"/>
      <c r="ET22" s="57"/>
      <c r="EU22" s="57"/>
      <c r="EV22" s="57"/>
      <c r="EW22" s="57"/>
      <c r="EX22" s="57"/>
      <c r="EY22" s="57"/>
      <c r="EZ22" s="57"/>
      <c r="FA22" s="57"/>
      <c r="FB22" s="57"/>
      <c r="FC22" s="57"/>
      <c r="FD22" s="57"/>
      <c r="FE22" s="57"/>
      <c r="FF22" s="57"/>
      <c r="FG22" s="57"/>
      <c r="FH22" s="57"/>
      <c r="FI22" s="57"/>
      <c r="FJ22" s="57"/>
      <c r="FK22" s="57"/>
      <c r="FL22" s="57"/>
      <c r="FM22" s="57"/>
      <c r="FN22" s="57"/>
      <c r="FO22" s="57"/>
      <c r="FP22" s="57"/>
      <c r="FQ22" s="57"/>
      <c r="FR22" s="57"/>
      <c r="FS22" s="57"/>
      <c r="FT22" s="57"/>
      <c r="FU22" s="57"/>
      <c r="FV22" s="57"/>
      <c r="FW22" s="57"/>
      <c r="FX22" s="57"/>
      <c r="FY22" s="57"/>
      <c r="FZ22" s="57"/>
      <c r="GA22" s="57"/>
      <c r="GB22" s="57"/>
      <c r="GC22" s="57"/>
      <c r="GD22" s="57"/>
      <c r="GE22" s="57"/>
      <c r="GF22" s="57"/>
      <c r="GG22" s="57"/>
      <c r="GH22" s="57"/>
      <c r="GI22" s="57"/>
      <c r="GJ22" s="57"/>
      <c r="GK22" s="57"/>
      <c r="GL22" s="57"/>
      <c r="GM22" s="57"/>
      <c r="GN22" s="57"/>
      <c r="GO22" s="57"/>
      <c r="GP22" s="57"/>
      <c r="GQ22" s="57"/>
      <c r="GR22" s="57"/>
      <c r="GS22" s="57"/>
      <c r="GT22" s="57"/>
      <c r="GU22" s="57"/>
      <c r="GV22" s="57"/>
      <c r="GW22" s="57"/>
      <c r="GX22" s="57"/>
      <c r="GY22" s="57"/>
      <c r="GZ22" s="57"/>
      <c r="HA22" s="57"/>
      <c r="HB22" s="57"/>
      <c r="HC22" s="57"/>
      <c r="HD22" s="57"/>
      <c r="HF22" s="67"/>
      <c r="HG22" s="67"/>
      <c r="HH22" s="67"/>
      <c r="HI22" s="67"/>
      <c r="HJ22" s="67"/>
      <c r="HK22" s="67"/>
    </row>
    <row r="23" spans="1:239" x14ac:dyDescent="0.25">
      <c r="C23" s="97"/>
      <c r="D23" s="98"/>
      <c r="E23" s="98" t="s">
        <v>50</v>
      </c>
      <c r="F23" s="98"/>
      <c r="G23" s="9"/>
      <c r="H23" s="99"/>
      <c r="J23" s="100">
        <v>95</v>
      </c>
      <c r="K23" s="93">
        <f>J23*SUM(R24:R25)*12</f>
        <v>136800</v>
      </c>
      <c r="L23" s="245"/>
      <c r="M23" s="9"/>
      <c r="N23" s="9"/>
      <c r="O23" s="97" t="s">
        <v>51</v>
      </c>
      <c r="P23" s="9"/>
      <c r="Q23" s="101">
        <f>43560*7.89</f>
        <v>343688.39999999997</v>
      </c>
      <c r="R23" s="59">
        <v>12</v>
      </c>
      <c r="S23" s="10">
        <f>R23*Q23</f>
        <v>4124260.8</v>
      </c>
      <c r="T23" s="95">
        <f t="shared" si="10"/>
        <v>7.0453639141870486E-2</v>
      </c>
      <c r="U23" s="62"/>
      <c r="V23" s="316">
        <f>S29/Q23</f>
        <v>142.01122740104117</v>
      </c>
      <c r="W23" s="62"/>
      <c r="X23" s="9"/>
      <c r="Z23" s="63"/>
      <c r="AA23" s="64"/>
      <c r="AB23" s="65"/>
      <c r="AC23" s="66"/>
      <c r="AE23" s="1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  <c r="EB23" s="57"/>
      <c r="EC23" s="57"/>
      <c r="ED23" s="57"/>
      <c r="EE23" s="57"/>
      <c r="EF23" s="57"/>
      <c r="EG23" s="57"/>
      <c r="EH23" s="57"/>
      <c r="EI23" s="57"/>
      <c r="EJ23" s="57"/>
      <c r="EK23" s="57"/>
      <c r="EL23" s="57"/>
      <c r="EM23" s="57"/>
      <c r="EN23" s="57"/>
      <c r="EO23" s="57"/>
      <c r="EP23" s="57"/>
      <c r="EQ23" s="57"/>
      <c r="ER23" s="57"/>
      <c r="ES23" s="57"/>
      <c r="ET23" s="57"/>
      <c r="EU23" s="57"/>
      <c r="EV23" s="57"/>
      <c r="EW23" s="57"/>
      <c r="EX23" s="57"/>
      <c r="EY23" s="57"/>
      <c r="EZ23" s="57"/>
      <c r="FA23" s="57"/>
      <c r="FB23" s="57"/>
      <c r="FC23" s="57"/>
      <c r="FD23" s="57"/>
      <c r="FE23" s="57"/>
      <c r="FF23" s="57"/>
      <c r="FG23" s="57"/>
      <c r="FH23" s="57"/>
      <c r="FI23" s="57"/>
      <c r="FJ23" s="57"/>
      <c r="FK23" s="57"/>
      <c r="FL23" s="57"/>
      <c r="FM23" s="57"/>
      <c r="FN23" s="57"/>
      <c r="FO23" s="57"/>
      <c r="FP23" s="57"/>
      <c r="FQ23" s="57"/>
      <c r="FR23" s="57"/>
      <c r="FS23" s="57"/>
      <c r="FT23" s="57"/>
      <c r="FU23" s="57"/>
      <c r="FV23" s="57"/>
      <c r="FW23" s="57"/>
      <c r="FX23" s="57"/>
      <c r="FY23" s="57"/>
      <c r="FZ23" s="57"/>
      <c r="GA23" s="57"/>
      <c r="GB23" s="57"/>
      <c r="GC23" s="57"/>
      <c r="GD23" s="57"/>
      <c r="GE23" s="57"/>
      <c r="GF23" s="57"/>
      <c r="GG23" s="57"/>
      <c r="GH23" s="57"/>
      <c r="GI23" s="57"/>
      <c r="GJ23" s="57"/>
      <c r="GK23" s="57"/>
      <c r="GL23" s="57"/>
      <c r="GM23" s="57"/>
      <c r="GN23" s="57"/>
      <c r="GO23" s="57"/>
      <c r="GP23" s="57"/>
      <c r="GQ23" s="57"/>
      <c r="GR23" s="57"/>
      <c r="GS23" s="57"/>
      <c r="GT23" s="57"/>
      <c r="GU23" s="57"/>
      <c r="GV23" s="57"/>
      <c r="GW23" s="57"/>
      <c r="GX23" s="57"/>
      <c r="GY23" s="57"/>
      <c r="GZ23" s="57"/>
      <c r="HA23" s="57"/>
      <c r="HB23" s="57"/>
      <c r="HC23" s="57"/>
      <c r="HD23" s="57"/>
      <c r="HF23" s="67"/>
      <c r="HG23" s="67"/>
      <c r="HH23" s="67"/>
      <c r="HI23" s="67"/>
      <c r="HJ23" s="67"/>
      <c r="HK23" s="67"/>
    </row>
    <row r="24" spans="1:239" x14ac:dyDescent="0.25">
      <c r="C24" s="97"/>
      <c r="D24" s="98"/>
      <c r="E24" s="98" t="s">
        <v>52</v>
      </c>
      <c r="F24" s="98"/>
      <c r="G24" s="9"/>
      <c r="H24" s="103"/>
      <c r="J24" s="100">
        <v>200</v>
      </c>
      <c r="K24" s="93">
        <f>J24*E9*12</f>
        <v>453600</v>
      </c>
      <c r="L24" s="245"/>
      <c r="M24" s="9"/>
      <c r="N24" s="9"/>
      <c r="O24" s="104" t="s">
        <v>53</v>
      </c>
      <c r="P24" s="9"/>
      <c r="Q24" s="105">
        <v>0</v>
      </c>
      <c r="R24" s="27">
        <v>0</v>
      </c>
      <c r="S24" s="10">
        <f>R24*Q24</f>
        <v>0</v>
      </c>
      <c r="T24" s="95">
        <f t="shared" si="10"/>
        <v>0</v>
      </c>
      <c r="U24" s="62"/>
      <c r="V24" s="62"/>
      <c r="W24" s="62"/>
      <c r="X24" s="9"/>
      <c r="Z24" s="63"/>
      <c r="AA24" s="64"/>
      <c r="AB24" s="65"/>
      <c r="AC24" s="66"/>
      <c r="AE24" s="1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  <c r="EB24" s="57"/>
      <c r="EC24" s="57"/>
      <c r="ED24" s="57"/>
      <c r="EE24" s="57"/>
      <c r="EF24" s="57"/>
      <c r="EG24" s="57"/>
      <c r="EH24" s="57"/>
      <c r="EI24" s="57"/>
      <c r="EJ24" s="57"/>
      <c r="EK24" s="57"/>
      <c r="EL24" s="57"/>
      <c r="EM24" s="57"/>
      <c r="EN24" s="57"/>
      <c r="EO24" s="57"/>
      <c r="EP24" s="57"/>
      <c r="EQ24" s="57"/>
      <c r="ER24" s="57"/>
      <c r="ES24" s="57"/>
      <c r="ET24" s="57"/>
      <c r="EU24" s="57"/>
      <c r="EV24" s="57"/>
      <c r="EW24" s="57"/>
      <c r="EX24" s="57"/>
      <c r="EY24" s="57"/>
      <c r="EZ24" s="57"/>
      <c r="FA24" s="57"/>
      <c r="FB24" s="57"/>
      <c r="FC24" s="57"/>
      <c r="FD24" s="57"/>
      <c r="FE24" s="57"/>
      <c r="FF24" s="57"/>
      <c r="FG24" s="57"/>
      <c r="FH24" s="57"/>
      <c r="FI24" s="57"/>
      <c r="FJ24" s="57"/>
      <c r="FK24" s="57"/>
      <c r="FL24" s="57"/>
      <c r="FM24" s="57"/>
      <c r="FN24" s="57"/>
      <c r="FO24" s="57"/>
      <c r="FP24" s="57"/>
      <c r="FQ24" s="57"/>
      <c r="FR24" s="57"/>
      <c r="FS24" s="57"/>
      <c r="FT24" s="57"/>
      <c r="FU24" s="57"/>
      <c r="FV24" s="57"/>
      <c r="FW24" s="57"/>
      <c r="FX24" s="57"/>
      <c r="FY24" s="57"/>
      <c r="FZ24" s="57"/>
      <c r="GA24" s="57"/>
      <c r="GB24" s="57"/>
      <c r="GC24" s="57"/>
      <c r="GD24" s="57"/>
      <c r="GE24" s="57"/>
      <c r="GF24" s="57"/>
      <c r="GG24" s="57"/>
      <c r="GH24" s="57"/>
      <c r="GI24" s="57"/>
      <c r="GJ24" s="57"/>
      <c r="GK24" s="57"/>
      <c r="GL24" s="57"/>
      <c r="GM24" s="57"/>
      <c r="GN24" s="57"/>
      <c r="GO24" s="57"/>
      <c r="GP24" s="57"/>
      <c r="GQ24" s="57"/>
      <c r="GR24" s="57"/>
      <c r="GS24" s="57"/>
      <c r="GT24" s="57"/>
      <c r="GU24" s="57"/>
      <c r="GV24" s="57"/>
      <c r="GW24" s="57"/>
      <c r="GX24" s="57"/>
      <c r="GY24" s="57"/>
      <c r="GZ24" s="57"/>
      <c r="HA24" s="57"/>
      <c r="HB24" s="57"/>
      <c r="HC24" s="57"/>
      <c r="HD24" s="57"/>
      <c r="HF24" s="67"/>
      <c r="HG24" s="67"/>
      <c r="HH24" s="67"/>
      <c r="HI24" s="67"/>
      <c r="HJ24" s="67"/>
      <c r="HK24" s="67"/>
    </row>
    <row r="25" spans="1:239" x14ac:dyDescent="0.25">
      <c r="A25" s="31"/>
      <c r="C25" s="106" t="s">
        <v>54</v>
      </c>
      <c r="D25" s="107"/>
      <c r="E25" s="9" t="s">
        <v>55</v>
      </c>
      <c r="F25" s="9"/>
      <c r="G25" s="9"/>
      <c r="H25" s="108"/>
      <c r="J25" s="92">
        <v>1.4999999999999999E-2</v>
      </c>
      <c r="K25" s="109">
        <f>-SUM(K22:K24)*J25</f>
        <v>-66853.522799999992</v>
      </c>
      <c r="L25" s="246"/>
      <c r="M25" s="9"/>
      <c r="N25" s="9"/>
      <c r="O25" s="104" t="s">
        <v>56</v>
      </c>
      <c r="P25" s="9"/>
      <c r="Q25" s="105">
        <v>35000</v>
      </c>
      <c r="R25" s="27">
        <v>120</v>
      </c>
      <c r="S25" s="10">
        <f>R25*Q25</f>
        <v>4200000</v>
      </c>
      <c r="T25" s="95">
        <f t="shared" si="10"/>
        <v>7.1747471545896432E-2</v>
      </c>
      <c r="U25" s="62"/>
      <c r="V25" s="62"/>
      <c r="W25" s="62"/>
      <c r="X25" s="9"/>
      <c r="Z25" s="63"/>
      <c r="AA25" s="64"/>
      <c r="AB25" s="65"/>
      <c r="AC25" s="66"/>
      <c r="AE25" s="1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  <c r="EB25" s="57"/>
      <c r="EC25" s="57"/>
      <c r="ED25" s="57"/>
      <c r="EE25" s="57"/>
      <c r="EF25" s="57"/>
      <c r="EG25" s="57"/>
      <c r="EH25" s="57"/>
      <c r="EI25" s="57"/>
      <c r="EJ25" s="57"/>
      <c r="EK25" s="57"/>
      <c r="EL25" s="57"/>
      <c r="EM25" s="57"/>
      <c r="EN25" s="57"/>
      <c r="EO25" s="57"/>
      <c r="EP25" s="57"/>
      <c r="EQ25" s="57"/>
      <c r="ER25" s="57"/>
      <c r="ES25" s="57"/>
      <c r="ET25" s="57"/>
      <c r="EU25" s="57"/>
      <c r="EV25" s="57"/>
      <c r="EW25" s="57"/>
      <c r="EX25" s="57"/>
      <c r="EY25" s="57"/>
      <c r="EZ25" s="57"/>
      <c r="FA25" s="57"/>
      <c r="FB25" s="57"/>
      <c r="FC25" s="57"/>
      <c r="FD25" s="57"/>
      <c r="FE25" s="57"/>
      <c r="FF25" s="57"/>
      <c r="FG25" s="57"/>
      <c r="FH25" s="57"/>
      <c r="FI25" s="57"/>
      <c r="FJ25" s="57"/>
      <c r="FK25" s="57"/>
      <c r="FL25" s="57"/>
      <c r="FM25" s="57"/>
      <c r="FN25" s="57"/>
      <c r="FO25" s="57"/>
      <c r="FP25" s="57"/>
      <c r="FQ25" s="57"/>
      <c r="FR25" s="57"/>
      <c r="FS25" s="57"/>
      <c r="FT25" s="57"/>
      <c r="FU25" s="57"/>
      <c r="FV25" s="57"/>
      <c r="FW25" s="57"/>
      <c r="FX25" s="57"/>
      <c r="FY25" s="57"/>
      <c r="FZ25" s="57"/>
      <c r="GA25" s="57"/>
      <c r="GB25" s="57"/>
      <c r="GC25" s="57"/>
      <c r="GD25" s="57"/>
      <c r="GE25" s="57"/>
      <c r="GF25" s="57"/>
      <c r="GG25" s="57"/>
      <c r="GH25" s="57"/>
      <c r="GI25" s="57"/>
      <c r="GJ25" s="57"/>
      <c r="GK25" s="57"/>
      <c r="GL25" s="57"/>
      <c r="GM25" s="57"/>
      <c r="GN25" s="57"/>
      <c r="GO25" s="57"/>
      <c r="GP25" s="57"/>
      <c r="GQ25" s="57"/>
      <c r="GR25" s="57"/>
      <c r="GS25" s="57"/>
      <c r="GT25" s="57"/>
      <c r="GU25" s="57"/>
      <c r="GV25" s="57"/>
      <c r="GW25" s="57"/>
      <c r="GX25" s="57"/>
      <c r="GY25" s="57"/>
      <c r="GZ25" s="57"/>
      <c r="HA25" s="57"/>
      <c r="HB25" s="57"/>
      <c r="HC25" s="57"/>
      <c r="HD25" s="57"/>
      <c r="HF25" s="70"/>
      <c r="HG25" s="70"/>
      <c r="HH25" s="70"/>
      <c r="HI25" s="70"/>
      <c r="HJ25" s="70"/>
      <c r="HK25" s="70"/>
    </row>
    <row r="26" spans="1:239" x14ac:dyDescent="0.25">
      <c r="C26" s="110" t="s">
        <v>57</v>
      </c>
      <c r="D26" s="111"/>
      <c r="E26" s="112"/>
      <c r="F26" s="112"/>
      <c r="G26" s="9"/>
      <c r="J26" s="113"/>
      <c r="K26" s="114">
        <f>SUM(K22:K25)</f>
        <v>4390047.9971999992</v>
      </c>
      <c r="L26" s="247"/>
      <c r="M26" s="9"/>
      <c r="N26" s="9"/>
      <c r="O26" s="104" t="s">
        <v>58</v>
      </c>
      <c r="R26" s="115">
        <v>1.4999999999999999E-2</v>
      </c>
      <c r="S26" s="10">
        <f>$R26*$S$21</f>
        <v>563928.75</v>
      </c>
      <c r="T26" s="95">
        <f t="shared" si="10"/>
        <v>9.6334433201280822E-3</v>
      </c>
      <c r="U26" s="9"/>
      <c r="V26" s="9"/>
      <c r="W26" s="9"/>
      <c r="X26" s="9"/>
      <c r="Z26" s="78"/>
      <c r="AA26" s="79"/>
      <c r="AB26" s="65"/>
      <c r="AC26" s="66"/>
      <c r="AE26" s="1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  <c r="FB26" s="57"/>
      <c r="FC26" s="57"/>
      <c r="FD26" s="57"/>
      <c r="FE26" s="57"/>
      <c r="FF26" s="57"/>
      <c r="FG26" s="57"/>
      <c r="FH26" s="57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  <c r="FT26" s="57"/>
      <c r="FU26" s="57"/>
      <c r="FV26" s="57"/>
      <c r="FW26" s="57"/>
      <c r="FX26" s="57"/>
      <c r="FY26" s="57"/>
      <c r="FZ26" s="57"/>
      <c r="GA26" s="57"/>
      <c r="GB26" s="57"/>
      <c r="GC26" s="57"/>
      <c r="GD26" s="57"/>
      <c r="GE26" s="57"/>
      <c r="GF26" s="57"/>
      <c r="GG26" s="57"/>
      <c r="GH26" s="57"/>
      <c r="GI26" s="57"/>
      <c r="GJ26" s="57"/>
      <c r="GK26" s="57"/>
      <c r="GL26" s="57"/>
      <c r="GM26" s="57"/>
      <c r="GN26" s="57"/>
      <c r="GO26" s="57"/>
      <c r="GP26" s="57"/>
      <c r="GQ26" s="57"/>
      <c r="GR26" s="57"/>
      <c r="GS26" s="57"/>
      <c r="GT26" s="57"/>
      <c r="GU26" s="57"/>
      <c r="GV26" s="57"/>
      <c r="GW26" s="57"/>
      <c r="GX26" s="57"/>
      <c r="GY26" s="57"/>
      <c r="GZ26" s="57"/>
      <c r="HA26" s="57"/>
      <c r="HB26" s="57"/>
      <c r="HC26" s="57"/>
      <c r="HD26" s="57"/>
      <c r="HF26" s="67"/>
      <c r="HH26" s="80"/>
      <c r="HI26" s="80"/>
    </row>
    <row r="27" spans="1:239" x14ac:dyDescent="0.25">
      <c r="C27" s="106" t="s">
        <v>54</v>
      </c>
      <c r="D27" s="107"/>
      <c r="E27" s="112" t="s">
        <v>59</v>
      </c>
      <c r="F27" s="112"/>
      <c r="H27" s="99"/>
      <c r="J27" s="92">
        <v>0.26</v>
      </c>
      <c r="K27" s="93">
        <f>-$J27*K$26</f>
        <v>-1141412.4792719998</v>
      </c>
      <c r="L27" s="245"/>
      <c r="M27" s="9"/>
      <c r="N27" s="9"/>
      <c r="O27" s="104" t="s">
        <v>60</v>
      </c>
      <c r="Q27" s="27"/>
      <c r="R27" s="27"/>
      <c r="S27" s="10">
        <f>$R27*$S$21</f>
        <v>0</v>
      </c>
      <c r="T27" s="95">
        <f t="shared" si="10"/>
        <v>0</v>
      </c>
      <c r="X27" s="9"/>
      <c r="Z27" s="78"/>
      <c r="AA27" s="79"/>
      <c r="AB27" s="65"/>
      <c r="AC27" s="66"/>
      <c r="AE27" s="17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2"/>
      <c r="CC27" s="82"/>
      <c r="CD27" s="82"/>
      <c r="CE27" s="82"/>
      <c r="CF27" s="82"/>
      <c r="CG27" s="82"/>
      <c r="CH27" s="82"/>
      <c r="CI27" s="82"/>
      <c r="CJ27" s="82"/>
      <c r="CK27" s="82"/>
      <c r="CL27" s="82"/>
      <c r="CM27" s="82"/>
      <c r="CN27" s="82"/>
      <c r="CO27" s="82"/>
      <c r="CP27" s="82"/>
      <c r="CQ27" s="82"/>
      <c r="CR27" s="82"/>
      <c r="CS27" s="82"/>
      <c r="CT27" s="82"/>
      <c r="CU27" s="82"/>
      <c r="CV27" s="82"/>
      <c r="CW27" s="82"/>
      <c r="CX27" s="82"/>
      <c r="CY27" s="82"/>
      <c r="CZ27" s="82"/>
      <c r="DA27" s="82"/>
      <c r="DB27" s="82"/>
      <c r="DC27" s="82"/>
      <c r="DD27" s="82"/>
      <c r="DE27" s="82"/>
      <c r="DF27" s="82"/>
      <c r="DG27" s="82"/>
      <c r="DH27" s="82"/>
      <c r="DI27" s="82"/>
      <c r="DJ27" s="82"/>
      <c r="DK27" s="82"/>
      <c r="DL27" s="82"/>
      <c r="DM27" s="82"/>
      <c r="DN27" s="82"/>
      <c r="DO27" s="82"/>
      <c r="DP27" s="82"/>
      <c r="DQ27" s="82"/>
      <c r="DR27" s="82"/>
      <c r="DS27" s="82"/>
      <c r="DT27" s="82"/>
      <c r="DU27" s="82"/>
      <c r="DV27" s="82"/>
      <c r="DW27" s="82"/>
      <c r="DX27" s="82"/>
      <c r="DY27" s="82"/>
      <c r="DZ27" s="82"/>
      <c r="EA27" s="82"/>
      <c r="EB27" s="82"/>
      <c r="EC27" s="82"/>
      <c r="ED27" s="82"/>
      <c r="EE27" s="82"/>
      <c r="EF27" s="82"/>
      <c r="EG27" s="82"/>
      <c r="EH27" s="82"/>
      <c r="EI27" s="82"/>
      <c r="EJ27" s="82"/>
      <c r="EK27" s="82"/>
      <c r="EL27" s="82"/>
      <c r="EM27" s="82"/>
      <c r="EN27" s="82"/>
      <c r="EO27" s="82"/>
      <c r="EP27" s="82"/>
      <c r="EQ27" s="82"/>
      <c r="ER27" s="82"/>
      <c r="ES27" s="82"/>
      <c r="ET27" s="82"/>
      <c r="EU27" s="82"/>
      <c r="EV27" s="82"/>
      <c r="EW27" s="82"/>
      <c r="EX27" s="82"/>
      <c r="EY27" s="82"/>
      <c r="EZ27" s="82"/>
      <c r="FA27" s="82"/>
      <c r="FB27" s="82"/>
      <c r="FC27" s="82"/>
      <c r="FD27" s="82"/>
      <c r="FE27" s="82"/>
      <c r="FF27" s="82"/>
      <c r="FG27" s="82"/>
      <c r="FH27" s="82"/>
      <c r="FI27" s="82"/>
      <c r="FJ27" s="82"/>
      <c r="FK27" s="82"/>
      <c r="FL27" s="82"/>
      <c r="FM27" s="82"/>
      <c r="FN27" s="82"/>
      <c r="FO27" s="82"/>
      <c r="FP27" s="82"/>
      <c r="FQ27" s="82"/>
      <c r="FR27" s="82"/>
      <c r="FS27" s="82"/>
      <c r="FT27" s="82"/>
      <c r="FU27" s="82"/>
      <c r="FV27" s="82"/>
      <c r="FW27" s="82"/>
      <c r="FX27" s="82"/>
      <c r="FY27" s="82"/>
      <c r="FZ27" s="82"/>
      <c r="GA27" s="82"/>
      <c r="GB27" s="82"/>
      <c r="GC27" s="82"/>
      <c r="GD27" s="82"/>
      <c r="GE27" s="82"/>
      <c r="GF27" s="82"/>
      <c r="GG27" s="82"/>
      <c r="GH27" s="82"/>
      <c r="GI27" s="82"/>
      <c r="GJ27" s="82"/>
      <c r="GK27" s="82"/>
      <c r="GL27" s="82"/>
      <c r="GM27" s="82"/>
      <c r="GN27" s="82"/>
      <c r="GO27" s="82"/>
      <c r="GP27" s="82"/>
      <c r="GQ27" s="82"/>
      <c r="GR27" s="82"/>
      <c r="GS27" s="82"/>
      <c r="GT27" s="82"/>
      <c r="GU27" s="82"/>
      <c r="GV27" s="82"/>
      <c r="GW27" s="82"/>
      <c r="GX27" s="82"/>
      <c r="GY27" s="82"/>
      <c r="GZ27" s="82"/>
      <c r="HA27" s="82"/>
      <c r="HB27" s="82"/>
      <c r="HC27" s="82"/>
      <c r="HD27" s="82"/>
    </row>
    <row r="28" spans="1:239" x14ac:dyDescent="0.25">
      <c r="C28" s="106"/>
      <c r="D28" s="107"/>
      <c r="E28" s="112" t="s">
        <v>61</v>
      </c>
      <c r="F28" s="112"/>
      <c r="G28" s="9"/>
      <c r="J28" s="108">
        <v>0.04</v>
      </c>
      <c r="K28" s="116">
        <f>-$J28*K$26</f>
        <v>-175601.91988799997</v>
      </c>
      <c r="L28" s="246"/>
      <c r="M28" s="9"/>
      <c r="N28" s="9"/>
      <c r="O28" s="97" t="s">
        <v>62</v>
      </c>
      <c r="P28" s="9"/>
      <c r="Q28" s="9"/>
      <c r="R28" s="115">
        <v>0.05</v>
      </c>
      <c r="S28" s="10">
        <f>SUM(S23:S27)*R28</f>
        <v>444409.47750000004</v>
      </c>
      <c r="T28" s="95">
        <f t="shared" si="10"/>
        <v>7.5917277003947512E-3</v>
      </c>
      <c r="Z28" s="78"/>
      <c r="AA28" s="79"/>
      <c r="AB28" s="65"/>
      <c r="AC28" s="66"/>
      <c r="AE28" s="17"/>
      <c r="AF28" s="57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82"/>
      <c r="BU28" s="82"/>
      <c r="BV28" s="82"/>
      <c r="BW28" s="82"/>
      <c r="BX28" s="82"/>
      <c r="BY28" s="82"/>
      <c r="BZ28" s="82"/>
      <c r="CA28" s="82"/>
      <c r="CB28" s="82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82"/>
      <c r="CP28" s="82"/>
      <c r="CQ28" s="82"/>
      <c r="CR28" s="82"/>
      <c r="CS28" s="82"/>
      <c r="CT28" s="82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2"/>
      <c r="DG28" s="82"/>
      <c r="DH28" s="82"/>
      <c r="DI28" s="82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2"/>
      <c r="DZ28" s="82"/>
      <c r="EA28" s="82"/>
      <c r="EB28" s="82"/>
      <c r="EC28" s="82"/>
      <c r="ED28" s="82"/>
      <c r="EE28" s="82"/>
      <c r="EF28" s="82"/>
      <c r="EG28" s="82"/>
      <c r="EH28" s="82"/>
      <c r="EI28" s="82"/>
      <c r="EJ28" s="82"/>
      <c r="EK28" s="82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2"/>
      <c r="FD28" s="82"/>
      <c r="FE28" s="82"/>
      <c r="FF28" s="82"/>
      <c r="FG28" s="82"/>
      <c r="FH28" s="82"/>
      <c r="FI28" s="82"/>
      <c r="FJ28" s="82"/>
      <c r="FK28" s="82"/>
      <c r="FL28" s="82"/>
      <c r="FM28" s="82"/>
      <c r="FN28" s="82"/>
      <c r="FO28" s="82"/>
      <c r="FP28" s="82"/>
      <c r="FQ28" s="82"/>
      <c r="FR28" s="82"/>
      <c r="FS28" s="82"/>
      <c r="FT28" s="82"/>
      <c r="FU28" s="82"/>
      <c r="FV28" s="82"/>
      <c r="FW28" s="82"/>
      <c r="FX28" s="82"/>
      <c r="FY28" s="82"/>
      <c r="FZ28" s="82"/>
      <c r="GA28" s="82"/>
      <c r="GB28" s="82"/>
      <c r="GC28" s="82"/>
      <c r="GD28" s="82"/>
      <c r="GE28" s="82"/>
      <c r="GF28" s="82"/>
      <c r="GG28" s="82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2"/>
      <c r="GU28" s="82"/>
      <c r="GV28" s="82"/>
      <c r="GW28" s="82"/>
      <c r="GX28" s="82"/>
      <c r="GY28" s="82"/>
      <c r="GZ28" s="82"/>
      <c r="HA28" s="82"/>
      <c r="HB28" s="82"/>
      <c r="HC28" s="82"/>
      <c r="HD28" s="82"/>
    </row>
    <row r="29" spans="1:239" x14ac:dyDescent="0.25">
      <c r="C29" s="106"/>
      <c r="D29" s="107"/>
      <c r="E29" s="112" t="s">
        <v>63</v>
      </c>
      <c r="F29" s="112"/>
      <c r="G29" s="9"/>
      <c r="J29" s="108">
        <v>0.01</v>
      </c>
      <c r="K29" s="93">
        <f>-$J29*K$26</f>
        <v>-43900.479971999994</v>
      </c>
      <c r="L29" s="245"/>
      <c r="M29" s="9"/>
      <c r="N29" s="9"/>
      <c r="O29" s="117" t="s">
        <v>64</v>
      </c>
      <c r="P29" s="9"/>
      <c r="Q29" s="9"/>
      <c r="R29" s="118"/>
      <c r="S29" s="119">
        <f>SUM(S21:S28)</f>
        <v>48807611.527499996</v>
      </c>
      <c r="T29" s="120">
        <f t="shared" si="10"/>
        <v>0.83376731411725546</v>
      </c>
      <c r="U29" s="96"/>
      <c r="V29" s="96"/>
      <c r="W29" s="96"/>
      <c r="X29" s="9"/>
      <c r="Z29" s="78"/>
      <c r="AA29" s="79"/>
      <c r="AB29" s="65"/>
      <c r="AC29" s="66">
        <f t="shared" ref="AC29:AC35" si="14">SUM(AF29:HD29)</f>
        <v>0</v>
      </c>
      <c r="AE29" s="1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  <c r="EB29" s="57"/>
      <c r="EC29" s="57"/>
      <c r="ED29" s="57"/>
      <c r="EE29" s="57"/>
      <c r="EF29" s="57"/>
      <c r="EG29" s="57"/>
      <c r="EH29" s="57"/>
      <c r="EI29" s="57"/>
      <c r="EJ29" s="57"/>
      <c r="EK29" s="57"/>
      <c r="EL29" s="57"/>
      <c r="EM29" s="57"/>
      <c r="EN29" s="57"/>
      <c r="EO29" s="57"/>
      <c r="EP29" s="57"/>
      <c r="EQ29" s="57"/>
      <c r="ER29" s="57"/>
      <c r="ES29" s="57"/>
      <c r="ET29" s="57"/>
      <c r="EU29" s="57"/>
      <c r="EV29" s="57"/>
      <c r="EW29" s="57"/>
      <c r="EX29" s="57"/>
      <c r="EY29" s="57"/>
      <c r="EZ29" s="57"/>
      <c r="FA29" s="57"/>
      <c r="FB29" s="57"/>
      <c r="FC29" s="57"/>
      <c r="FD29" s="57"/>
      <c r="FE29" s="57"/>
      <c r="FF29" s="57"/>
      <c r="FG29" s="57"/>
      <c r="FH29" s="57"/>
      <c r="FI29" s="57"/>
      <c r="FJ29" s="57"/>
      <c r="FK29" s="57"/>
      <c r="FL29" s="57"/>
      <c r="FM29" s="57"/>
      <c r="FN29" s="57"/>
      <c r="FO29" s="57"/>
      <c r="FP29" s="57"/>
      <c r="FQ29" s="57"/>
      <c r="FR29" s="57"/>
      <c r="FS29" s="57"/>
      <c r="FT29" s="57"/>
      <c r="FU29" s="57"/>
      <c r="FV29" s="57"/>
      <c r="FW29" s="57"/>
      <c r="FX29" s="57"/>
      <c r="FY29" s="57"/>
      <c r="FZ29" s="57"/>
      <c r="GA29" s="57"/>
      <c r="GB29" s="57"/>
      <c r="GC29" s="57"/>
      <c r="GD29" s="57"/>
      <c r="GE29" s="57"/>
      <c r="GF29" s="57"/>
      <c r="GG29" s="57"/>
      <c r="GH29" s="57"/>
      <c r="GI29" s="57"/>
      <c r="GJ29" s="57"/>
      <c r="GK29" s="57"/>
      <c r="GL29" s="57"/>
      <c r="GM29" s="57"/>
      <c r="GN29" s="57"/>
      <c r="GO29" s="57"/>
      <c r="GP29" s="57"/>
      <c r="GQ29" s="57"/>
      <c r="GR29" s="57"/>
      <c r="GS29" s="57"/>
      <c r="GT29" s="57"/>
      <c r="GU29" s="57"/>
      <c r="GV29" s="57"/>
      <c r="GW29" s="57"/>
      <c r="GX29" s="57"/>
      <c r="GY29" s="57"/>
      <c r="GZ29" s="57"/>
      <c r="HA29" s="57"/>
      <c r="HB29" s="57"/>
      <c r="HC29" s="57"/>
      <c r="HD29" s="57"/>
      <c r="HH29" s="70"/>
      <c r="HI29" s="70"/>
      <c r="HK29" s="80"/>
    </row>
    <row r="30" spans="1:239" x14ac:dyDescent="0.25">
      <c r="C30" s="110" t="s">
        <v>65</v>
      </c>
      <c r="D30" s="122"/>
      <c r="E30" s="112"/>
      <c r="F30" s="112"/>
      <c r="G30" s="9"/>
      <c r="H30" s="123"/>
      <c r="I30" s="124"/>
      <c r="J30" s="124"/>
      <c r="K30" s="125">
        <f>SUM(K27:K29)</f>
        <v>-1360914.8791319998</v>
      </c>
      <c r="L30" s="248"/>
      <c r="M30" s="9"/>
      <c r="N30" s="9"/>
      <c r="O30" s="126" t="s">
        <v>66</v>
      </c>
      <c r="P30" s="9"/>
      <c r="Q30" s="101">
        <f>Q23</f>
        <v>343688.39999999997</v>
      </c>
      <c r="R30" s="59">
        <v>4.37</v>
      </c>
      <c r="S30" s="10">
        <f>R30*Q30</f>
        <v>1501918.308</v>
      </c>
      <c r="T30" s="95">
        <f t="shared" si="10"/>
        <v>2.5656866920831169E-2</v>
      </c>
      <c r="U30" s="102"/>
      <c r="V30" s="102"/>
      <c r="W30" s="102"/>
      <c r="X30" s="9"/>
      <c r="Z30" s="78"/>
      <c r="AA30" s="79"/>
      <c r="AB30" s="65"/>
      <c r="AC30" s="66">
        <f t="shared" si="14"/>
        <v>0</v>
      </c>
      <c r="AE30" s="1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G30" s="67"/>
      <c r="HH30" s="67"/>
      <c r="HI30" s="67"/>
      <c r="HJ30" s="67"/>
      <c r="HK30" s="67"/>
    </row>
    <row r="31" spans="1:239" x14ac:dyDescent="0.25">
      <c r="C31" s="110" t="s">
        <v>67</v>
      </c>
      <c r="D31" s="111"/>
      <c r="E31" s="112"/>
      <c r="F31" s="112"/>
      <c r="G31" s="9"/>
      <c r="H31" s="9"/>
      <c r="I31" s="113"/>
      <c r="J31" s="113"/>
      <c r="K31" s="127">
        <f>SUM(K26,K30)</f>
        <v>3029133.1180679994</v>
      </c>
      <c r="L31" s="248"/>
      <c r="M31" s="9"/>
      <c r="N31" s="9"/>
      <c r="O31" s="56" t="s">
        <v>68</v>
      </c>
      <c r="S31" s="119">
        <f>SUM(S29:S30)</f>
        <v>50309529.835499994</v>
      </c>
      <c r="T31" s="120">
        <f t="shared" si="10"/>
        <v>0.8594241810380866</v>
      </c>
      <c r="X31" s="9"/>
      <c r="Z31" s="78"/>
      <c r="AA31" s="79"/>
      <c r="AB31" s="65"/>
      <c r="AC31" s="66">
        <f t="shared" si="14"/>
        <v>0</v>
      </c>
      <c r="AE31" s="1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  <c r="FB31" s="57"/>
      <c r="FC31" s="57"/>
      <c r="FD31" s="57"/>
      <c r="FE31" s="57"/>
      <c r="FF31" s="57"/>
      <c r="FG31" s="57"/>
      <c r="FH31" s="57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7"/>
      <c r="HA31" s="57"/>
      <c r="HB31" s="57"/>
      <c r="HC31" s="57"/>
      <c r="HD31" s="57"/>
      <c r="HF31" s="70"/>
      <c r="HG31" s="70"/>
      <c r="HH31" s="70"/>
      <c r="HI31" s="70"/>
      <c r="HJ31" s="70"/>
      <c r="HK31" s="70"/>
    </row>
    <row r="32" spans="1:239" x14ac:dyDescent="0.25">
      <c r="C32" s="128"/>
      <c r="D32" s="122"/>
      <c r="E32" s="112" t="s">
        <v>69</v>
      </c>
      <c r="F32" s="112"/>
      <c r="G32" s="9"/>
      <c r="H32" s="9"/>
      <c r="J32" s="129"/>
      <c r="K32" s="109">
        <f>-K45</f>
        <v>-2250222</v>
      </c>
      <c r="L32" s="246"/>
      <c r="M32" s="9"/>
      <c r="N32" s="9"/>
      <c r="O32" s="130" t="s">
        <v>70</v>
      </c>
      <c r="P32" s="9"/>
      <c r="Q32" s="9"/>
      <c r="R32" s="9"/>
      <c r="S32" s="27"/>
      <c r="T32" s="95"/>
      <c r="X32" s="9"/>
      <c r="Z32" s="78"/>
      <c r="AA32" s="79"/>
      <c r="AB32" s="65"/>
      <c r="AC32" s="66">
        <f t="shared" si="14"/>
        <v>0</v>
      </c>
      <c r="AE32" s="1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  <c r="FB32" s="57"/>
      <c r="FC32" s="57"/>
      <c r="FD32" s="57"/>
      <c r="FE32" s="57"/>
      <c r="FF32" s="57"/>
      <c r="FG32" s="57"/>
      <c r="FH32" s="57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  <c r="FT32" s="57"/>
      <c r="FU32" s="57"/>
      <c r="FV32" s="57"/>
      <c r="FW32" s="57"/>
      <c r="FX32" s="57"/>
      <c r="FY32" s="57"/>
      <c r="FZ32" s="57"/>
      <c r="GA32" s="57"/>
      <c r="GB32" s="57"/>
      <c r="GC32" s="57"/>
      <c r="GD32" s="57"/>
      <c r="GE32" s="57"/>
      <c r="GF32" s="57"/>
      <c r="GG32" s="57"/>
      <c r="GH32" s="57"/>
      <c r="GI32" s="57"/>
      <c r="GJ32" s="57"/>
      <c r="GK32" s="57"/>
      <c r="GL32" s="57"/>
      <c r="GM32" s="57"/>
      <c r="GN32" s="57"/>
      <c r="GO32" s="57"/>
      <c r="GP32" s="57"/>
      <c r="GQ32" s="57"/>
      <c r="GR32" s="57"/>
      <c r="GS32" s="57"/>
      <c r="GT32" s="57"/>
      <c r="GU32" s="57"/>
      <c r="GV32" s="57"/>
      <c r="GW32" s="57"/>
      <c r="GX32" s="57"/>
      <c r="GY32" s="57"/>
      <c r="GZ32" s="57"/>
      <c r="HA32" s="57"/>
      <c r="HB32" s="57"/>
      <c r="HC32" s="57"/>
      <c r="HD32" s="57"/>
    </row>
    <row r="33" spans="3:212" x14ac:dyDescent="0.25">
      <c r="C33" s="110" t="s">
        <v>71</v>
      </c>
      <c r="D33" s="111"/>
      <c r="E33" s="112"/>
      <c r="F33" s="112"/>
      <c r="G33" s="9"/>
      <c r="H33" s="9"/>
      <c r="I33" s="10"/>
      <c r="J33" s="10"/>
      <c r="K33" s="114">
        <f>K31+K32</f>
        <v>778911.11806799937</v>
      </c>
      <c r="L33" s="247"/>
      <c r="M33" s="9"/>
      <c r="N33" s="9"/>
      <c r="O33" s="131" t="s">
        <v>72</v>
      </c>
      <c r="P33" s="9"/>
      <c r="Q33" s="9"/>
      <c r="R33" s="132">
        <v>0.03</v>
      </c>
      <c r="S33" s="10">
        <f>$S$29*$R33</f>
        <v>1464228.3458249997</v>
      </c>
      <c r="T33" s="95">
        <f>IFERROR(S33/$S$42,0)</f>
        <v>2.5013019423517659E-2</v>
      </c>
      <c r="X33" s="9"/>
      <c r="Z33" s="78"/>
      <c r="AA33" s="79"/>
      <c r="AB33" s="65"/>
      <c r="AC33" s="66">
        <f t="shared" si="14"/>
        <v>0</v>
      </c>
      <c r="AE33" s="1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7"/>
      <c r="CC33" s="57"/>
      <c r="CD33" s="57"/>
      <c r="CE33" s="57"/>
      <c r="CF33" s="57"/>
      <c r="CG33" s="57"/>
      <c r="CH33" s="57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  <c r="EB33" s="57"/>
      <c r="EC33" s="57"/>
      <c r="ED33" s="57"/>
      <c r="EE33" s="57"/>
      <c r="EF33" s="57"/>
      <c r="EG33" s="57"/>
      <c r="EH33" s="57"/>
      <c r="EI33" s="57"/>
      <c r="EJ33" s="57"/>
      <c r="EK33" s="57"/>
      <c r="EL33" s="57"/>
      <c r="EM33" s="57"/>
      <c r="EN33" s="57"/>
      <c r="EO33" s="57"/>
      <c r="EP33" s="57"/>
      <c r="EQ33" s="57"/>
      <c r="ER33" s="57"/>
      <c r="ES33" s="57"/>
      <c r="ET33" s="57"/>
      <c r="EU33" s="57"/>
      <c r="EV33" s="57"/>
      <c r="EW33" s="57"/>
      <c r="EX33" s="57"/>
      <c r="EY33" s="57"/>
      <c r="EZ33" s="57"/>
      <c r="FA33" s="57"/>
      <c r="FB33" s="57"/>
      <c r="FC33" s="57"/>
      <c r="FD33" s="57"/>
      <c r="FE33" s="57"/>
      <c r="FF33" s="57"/>
      <c r="FG33" s="57"/>
      <c r="FH33" s="57"/>
      <c r="FI33" s="57"/>
      <c r="FJ33" s="57"/>
      <c r="FK33" s="57"/>
      <c r="FL33" s="57"/>
      <c r="FM33" s="57"/>
      <c r="FN33" s="57"/>
      <c r="FO33" s="57"/>
      <c r="FP33" s="57"/>
      <c r="FQ33" s="57"/>
      <c r="FR33" s="57"/>
      <c r="FS33" s="57"/>
      <c r="FT33" s="57"/>
      <c r="FU33" s="57"/>
      <c r="FV33" s="57"/>
      <c r="FW33" s="57"/>
      <c r="FX33" s="57"/>
      <c r="FY33" s="57"/>
      <c r="FZ33" s="57"/>
      <c r="GA33" s="57"/>
      <c r="GB33" s="57"/>
      <c r="GC33" s="57"/>
      <c r="GD33" s="57"/>
      <c r="GE33" s="57"/>
      <c r="GF33" s="57"/>
      <c r="GG33" s="57"/>
      <c r="GH33" s="57"/>
      <c r="GI33" s="57"/>
      <c r="GJ33" s="57"/>
      <c r="GK33" s="57"/>
      <c r="GL33" s="57"/>
      <c r="GM33" s="57"/>
      <c r="GN33" s="57"/>
      <c r="GO33" s="57"/>
      <c r="GP33" s="57"/>
      <c r="GQ33" s="57"/>
      <c r="GR33" s="57"/>
      <c r="GS33" s="57"/>
      <c r="GT33" s="57"/>
      <c r="GU33" s="57"/>
      <c r="GV33" s="57"/>
      <c r="GW33" s="57"/>
      <c r="GX33" s="57"/>
      <c r="GY33" s="57"/>
      <c r="GZ33" s="57"/>
      <c r="HA33" s="57"/>
      <c r="HB33" s="57"/>
      <c r="HC33" s="57"/>
      <c r="HD33" s="57"/>
    </row>
    <row r="34" spans="3:212" x14ac:dyDescent="0.25">
      <c r="C34" s="128"/>
      <c r="D34" s="122"/>
      <c r="E34" s="112" t="s">
        <v>73</v>
      </c>
      <c r="F34" s="112"/>
      <c r="G34" s="9"/>
      <c r="H34" s="9"/>
      <c r="I34" s="133"/>
      <c r="J34" s="133"/>
      <c r="K34" s="116">
        <f>-K52</f>
        <v>-2523708.5999999996</v>
      </c>
      <c r="L34" s="246"/>
      <c r="M34" s="9"/>
      <c r="N34" s="9"/>
      <c r="O34" s="104" t="s">
        <v>74</v>
      </c>
      <c r="P34" s="9"/>
      <c r="Q34" s="9"/>
      <c r="R34" s="132">
        <v>0.01</v>
      </c>
      <c r="S34" s="10">
        <f>$S$29*$R34</f>
        <v>488076.11527499999</v>
      </c>
      <c r="T34" s="95">
        <f>IFERROR(S34/$S$42,0)</f>
        <v>8.3376731411725549E-3</v>
      </c>
      <c r="X34" s="9"/>
      <c r="Z34" s="78"/>
      <c r="AA34" s="79"/>
      <c r="AB34" s="65"/>
      <c r="AC34" s="66">
        <f t="shared" si="14"/>
        <v>0</v>
      </c>
      <c r="AE34" s="1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7"/>
      <c r="CC34" s="57"/>
      <c r="CD34" s="57"/>
      <c r="CE34" s="57"/>
      <c r="CF34" s="57"/>
      <c r="CG34" s="57"/>
      <c r="CH34" s="57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  <c r="EB34" s="57"/>
      <c r="EC34" s="57"/>
      <c r="ED34" s="57"/>
      <c r="EE34" s="57"/>
      <c r="EF34" s="57"/>
      <c r="EG34" s="57"/>
      <c r="EH34" s="57"/>
      <c r="EI34" s="57"/>
      <c r="EJ34" s="57"/>
      <c r="EK34" s="57"/>
      <c r="EL34" s="57"/>
      <c r="EM34" s="57"/>
      <c r="EN34" s="57"/>
      <c r="EO34" s="57"/>
      <c r="EP34" s="57"/>
      <c r="EQ34" s="57"/>
      <c r="ER34" s="57"/>
      <c r="ES34" s="57"/>
      <c r="ET34" s="57"/>
      <c r="EU34" s="57"/>
      <c r="EV34" s="57"/>
      <c r="EW34" s="57"/>
      <c r="EX34" s="57"/>
      <c r="EY34" s="57"/>
      <c r="EZ34" s="57"/>
      <c r="FA34" s="57"/>
      <c r="FB34" s="57"/>
      <c r="FC34" s="57"/>
      <c r="FD34" s="57"/>
      <c r="FE34" s="57"/>
      <c r="FF34" s="57"/>
      <c r="FG34" s="57"/>
      <c r="FH34" s="57"/>
      <c r="FI34" s="57"/>
      <c r="FJ34" s="57"/>
      <c r="FK34" s="57"/>
      <c r="FL34" s="57"/>
      <c r="FM34" s="57"/>
      <c r="FN34" s="57"/>
      <c r="FO34" s="57"/>
      <c r="FP34" s="57"/>
      <c r="FQ34" s="57"/>
      <c r="FR34" s="57"/>
      <c r="FS34" s="57"/>
      <c r="FT34" s="57"/>
      <c r="FU34" s="57"/>
      <c r="FV34" s="57"/>
      <c r="FW34" s="57"/>
      <c r="FX34" s="57"/>
      <c r="FY34" s="57"/>
      <c r="FZ34" s="57"/>
      <c r="GA34" s="57"/>
      <c r="GB34" s="57"/>
      <c r="GC34" s="57"/>
      <c r="GD34" s="57"/>
      <c r="GE34" s="57"/>
      <c r="GF34" s="57"/>
      <c r="GG34" s="57"/>
      <c r="GH34" s="57"/>
      <c r="GI34" s="57"/>
      <c r="GJ34" s="57"/>
      <c r="GK34" s="57"/>
      <c r="GL34" s="57"/>
      <c r="GM34" s="57"/>
      <c r="GN34" s="57"/>
      <c r="GO34" s="57"/>
      <c r="GP34" s="57"/>
      <c r="GQ34" s="57"/>
      <c r="GR34" s="57"/>
      <c r="GS34" s="57"/>
      <c r="GT34" s="57"/>
      <c r="GU34" s="57"/>
      <c r="GV34" s="57"/>
      <c r="GW34" s="57"/>
      <c r="GX34" s="57"/>
      <c r="GY34" s="57"/>
      <c r="GZ34" s="57"/>
      <c r="HA34" s="57"/>
      <c r="HB34" s="57"/>
      <c r="HC34" s="57"/>
      <c r="HD34" s="57"/>
    </row>
    <row r="35" spans="3:212" x14ac:dyDescent="0.25">
      <c r="C35" s="134" t="s">
        <v>75</v>
      </c>
      <c r="D35" s="135"/>
      <c r="E35" s="136"/>
      <c r="F35" s="136"/>
      <c r="G35" s="137"/>
      <c r="H35" s="137"/>
      <c r="I35" s="10"/>
      <c r="J35" s="138"/>
      <c r="K35" s="139">
        <f>K31+K34</f>
        <v>505424.51806799974</v>
      </c>
      <c r="L35" s="247"/>
      <c r="M35" s="9"/>
      <c r="N35" s="9"/>
      <c r="O35" s="104" t="s">
        <v>76</v>
      </c>
      <c r="P35" s="9"/>
      <c r="Q35" s="9"/>
      <c r="R35" s="132">
        <v>0.01</v>
      </c>
      <c r="S35" s="10">
        <f>$S$29*$R35</f>
        <v>488076.11527499999</v>
      </c>
      <c r="T35" s="95">
        <f>IFERROR(S35/$S$42,0)</f>
        <v>8.3376731411725549E-3</v>
      </c>
      <c r="X35" s="9"/>
      <c r="Z35" s="78"/>
      <c r="AA35" s="79"/>
      <c r="AB35" s="65"/>
      <c r="AC35" s="66">
        <f t="shared" si="14"/>
        <v>0</v>
      </c>
      <c r="AE35" s="1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7"/>
      <c r="CC35" s="57"/>
      <c r="CD35" s="57"/>
      <c r="CE35" s="57"/>
      <c r="CF35" s="57"/>
      <c r="CG35" s="57"/>
      <c r="CH35" s="57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  <c r="EB35" s="57"/>
      <c r="EC35" s="57"/>
      <c r="ED35" s="57"/>
      <c r="EE35" s="57"/>
      <c r="EF35" s="57"/>
      <c r="EG35" s="57"/>
      <c r="EH35" s="57"/>
      <c r="EI35" s="57"/>
      <c r="EJ35" s="57"/>
      <c r="EK35" s="57"/>
      <c r="EL35" s="57"/>
      <c r="EM35" s="57"/>
      <c r="EN35" s="57"/>
      <c r="EO35" s="57"/>
      <c r="EP35" s="57"/>
      <c r="EQ35" s="57"/>
      <c r="ER35" s="57"/>
      <c r="ES35" s="57"/>
      <c r="ET35" s="57"/>
      <c r="EU35" s="57"/>
      <c r="EV35" s="57"/>
      <c r="EW35" s="57"/>
      <c r="EX35" s="57"/>
      <c r="EY35" s="57"/>
      <c r="EZ35" s="57"/>
      <c r="FA35" s="57"/>
      <c r="FB35" s="57"/>
      <c r="FC35" s="57"/>
      <c r="FD35" s="57"/>
      <c r="FE35" s="57"/>
      <c r="FF35" s="57"/>
      <c r="FG35" s="57"/>
      <c r="FH35" s="57"/>
      <c r="FI35" s="57"/>
      <c r="FJ35" s="57"/>
      <c r="FK35" s="57"/>
      <c r="FL35" s="57"/>
      <c r="FM35" s="57"/>
      <c r="FN35" s="57"/>
      <c r="FO35" s="57"/>
      <c r="FP35" s="57"/>
      <c r="FQ35" s="57"/>
      <c r="FR35" s="57"/>
      <c r="FS35" s="57"/>
      <c r="FT35" s="57"/>
      <c r="FU35" s="57"/>
      <c r="FV35" s="57"/>
      <c r="FW35" s="57"/>
      <c r="FX35" s="57"/>
      <c r="FY35" s="57"/>
      <c r="FZ35" s="57"/>
      <c r="GA35" s="57"/>
      <c r="GB35" s="57"/>
      <c r="GC35" s="57"/>
      <c r="GD35" s="57"/>
      <c r="GE35" s="57"/>
      <c r="GF35" s="57"/>
      <c r="GG35" s="57"/>
      <c r="GH35" s="57"/>
      <c r="GI35" s="57"/>
      <c r="GJ35" s="57"/>
      <c r="GK35" s="57"/>
      <c r="GL35" s="57"/>
      <c r="GM35" s="57"/>
      <c r="GN35" s="57"/>
      <c r="GO35" s="57"/>
      <c r="GP35" s="57"/>
      <c r="GQ35" s="57"/>
      <c r="GR35" s="57"/>
      <c r="GS35" s="57"/>
      <c r="GT35" s="57"/>
      <c r="GU35" s="57"/>
      <c r="GV35" s="57"/>
      <c r="GW35" s="57"/>
      <c r="GX35" s="57"/>
      <c r="GY35" s="57"/>
      <c r="GZ35" s="57"/>
      <c r="HA35" s="57"/>
      <c r="HB35" s="57"/>
      <c r="HC35" s="57"/>
      <c r="HD35" s="57"/>
    </row>
    <row r="36" spans="3:212" x14ac:dyDescent="0.25">
      <c r="C36" s="140"/>
      <c r="D36" s="141"/>
      <c r="E36" s="141"/>
      <c r="F36" s="141"/>
      <c r="G36" s="141"/>
      <c r="H36" s="141"/>
      <c r="I36" s="142"/>
      <c r="J36" s="141"/>
      <c r="K36" s="143"/>
      <c r="L36" s="249"/>
      <c r="M36" s="9"/>
      <c r="N36" s="9"/>
      <c r="O36" s="104" t="s">
        <v>77</v>
      </c>
      <c r="P36" s="9"/>
      <c r="Q36" s="9"/>
      <c r="R36" s="132">
        <v>0.03</v>
      </c>
      <c r="S36" s="10">
        <f>$S$29*$R36</f>
        <v>1464228.3458249997</v>
      </c>
      <c r="T36" s="95">
        <f>IFERROR(S36/$S$41,0)</f>
        <v>0.1779325890343523</v>
      </c>
      <c r="X36" s="9"/>
      <c r="Y36" s="121"/>
      <c r="Z36" s="78"/>
      <c r="AA36" s="79"/>
      <c r="AB36" s="65"/>
      <c r="AC36" s="66"/>
      <c r="AE36" s="1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7"/>
      <c r="CC36" s="57"/>
      <c r="CD36" s="57"/>
      <c r="CE36" s="57"/>
      <c r="CF36" s="57"/>
      <c r="CG36" s="57"/>
      <c r="CH36" s="57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  <c r="EB36" s="57"/>
      <c r="EC36" s="57"/>
      <c r="ED36" s="57"/>
      <c r="EE36" s="57"/>
      <c r="EF36" s="57"/>
      <c r="EG36" s="57"/>
      <c r="EH36" s="57"/>
      <c r="EI36" s="57"/>
      <c r="EJ36" s="57"/>
      <c r="EK36" s="57"/>
      <c r="EL36" s="57"/>
      <c r="EM36" s="57"/>
      <c r="EN36" s="57"/>
      <c r="EO36" s="57"/>
      <c r="EP36" s="57"/>
      <c r="EQ36" s="57"/>
      <c r="ER36" s="57"/>
      <c r="ES36" s="57"/>
      <c r="ET36" s="57"/>
      <c r="EU36" s="57"/>
      <c r="EV36" s="57"/>
      <c r="EW36" s="57"/>
      <c r="EX36" s="57"/>
      <c r="EY36" s="57"/>
      <c r="EZ36" s="57"/>
      <c r="FA36" s="57"/>
      <c r="FB36" s="57"/>
      <c r="FC36" s="57"/>
      <c r="FD36" s="57"/>
      <c r="FE36" s="57"/>
      <c r="FF36" s="57"/>
      <c r="FG36" s="57"/>
      <c r="FH36" s="57"/>
      <c r="FI36" s="57"/>
      <c r="FJ36" s="57"/>
      <c r="FK36" s="57"/>
      <c r="FL36" s="57"/>
      <c r="FM36" s="57"/>
      <c r="FN36" s="57"/>
      <c r="FO36" s="57"/>
      <c r="FP36" s="57"/>
      <c r="FQ36" s="57"/>
      <c r="FR36" s="57"/>
      <c r="FS36" s="57"/>
      <c r="FT36" s="57"/>
      <c r="FU36" s="57"/>
      <c r="FV36" s="57"/>
      <c r="FW36" s="57"/>
      <c r="FX36" s="57"/>
      <c r="FY36" s="57"/>
      <c r="FZ36" s="57"/>
      <c r="GA36" s="57"/>
      <c r="GB36" s="57"/>
      <c r="GC36" s="57"/>
      <c r="GD36" s="57"/>
      <c r="GE36" s="57"/>
      <c r="GF36" s="57"/>
      <c r="GG36" s="57"/>
      <c r="GH36" s="57"/>
      <c r="GI36" s="57"/>
      <c r="GJ36" s="57"/>
      <c r="GK36" s="57"/>
      <c r="GL36" s="57"/>
      <c r="GM36" s="57"/>
      <c r="GN36" s="57"/>
      <c r="GO36" s="57"/>
      <c r="GP36" s="57"/>
      <c r="GQ36" s="57"/>
      <c r="GR36" s="57"/>
      <c r="GS36" s="57"/>
      <c r="GT36" s="57"/>
      <c r="GU36" s="57"/>
      <c r="GV36" s="57"/>
      <c r="GW36" s="57"/>
      <c r="GX36" s="57"/>
      <c r="GY36" s="57"/>
      <c r="GZ36" s="57"/>
      <c r="HA36" s="57"/>
      <c r="HB36" s="57"/>
      <c r="HC36" s="57"/>
      <c r="HD36" s="57"/>
    </row>
    <row r="37" spans="3:212" x14ac:dyDescent="0.25">
      <c r="C37" s="144" t="s">
        <v>78</v>
      </c>
      <c r="D37" s="145"/>
      <c r="E37" s="145"/>
      <c r="F37" s="145"/>
      <c r="G37" s="145"/>
      <c r="H37" s="145"/>
      <c r="I37" s="145"/>
      <c r="J37" s="145"/>
      <c r="K37" s="146"/>
      <c r="L37" s="250"/>
      <c r="M37" s="9"/>
      <c r="N37" s="9"/>
      <c r="O37" s="147" t="s">
        <v>79</v>
      </c>
      <c r="R37" s="115">
        <v>0.01</v>
      </c>
      <c r="S37" s="10">
        <f>$S$29*$R37</f>
        <v>488076.11527499999</v>
      </c>
      <c r="T37" s="95">
        <f t="shared" ref="T37:T42" si="15">IFERROR(S37/$S$42,0)</f>
        <v>8.3376731411725549E-3</v>
      </c>
      <c r="X37" s="9"/>
      <c r="Y37" s="121"/>
      <c r="Z37" s="78"/>
      <c r="AA37" s="79"/>
      <c r="AB37" s="65"/>
      <c r="AC37" s="66">
        <f>SUM(AF37:HD37)</f>
        <v>0</v>
      </c>
      <c r="AE37" s="1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7"/>
      <c r="CC37" s="57"/>
      <c r="CD37" s="57"/>
      <c r="CE37" s="57"/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  <c r="EB37" s="57"/>
      <c r="EC37" s="57"/>
      <c r="ED37" s="57"/>
      <c r="EE37" s="57"/>
      <c r="EF37" s="57"/>
      <c r="EG37" s="57"/>
      <c r="EH37" s="57"/>
      <c r="EI37" s="57"/>
      <c r="EJ37" s="57"/>
      <c r="EK37" s="57"/>
      <c r="EL37" s="57"/>
      <c r="EM37" s="57"/>
      <c r="EN37" s="57"/>
      <c r="EO37" s="57"/>
      <c r="EP37" s="57"/>
      <c r="EQ37" s="57"/>
      <c r="ER37" s="57"/>
      <c r="ES37" s="57"/>
      <c r="ET37" s="57"/>
      <c r="EU37" s="57"/>
      <c r="EV37" s="57"/>
      <c r="EW37" s="57"/>
      <c r="EX37" s="57"/>
      <c r="EY37" s="57"/>
      <c r="EZ37" s="57"/>
      <c r="FA37" s="57"/>
      <c r="FB37" s="57"/>
      <c r="FC37" s="57"/>
      <c r="FD37" s="57"/>
      <c r="FE37" s="57"/>
      <c r="FF37" s="57"/>
      <c r="FG37" s="57"/>
      <c r="FH37" s="57"/>
      <c r="FI37" s="57"/>
      <c r="FJ37" s="57"/>
      <c r="FK37" s="57"/>
      <c r="FL37" s="57"/>
      <c r="FM37" s="57"/>
      <c r="FN37" s="57"/>
      <c r="FO37" s="57"/>
      <c r="FP37" s="57"/>
      <c r="FQ37" s="57"/>
      <c r="FR37" s="57"/>
      <c r="FS37" s="57"/>
      <c r="FT37" s="57"/>
      <c r="FU37" s="57"/>
      <c r="FV37" s="57"/>
      <c r="FW37" s="57"/>
      <c r="FX37" s="57"/>
      <c r="FY37" s="57"/>
      <c r="FZ37" s="57"/>
      <c r="GA37" s="57"/>
      <c r="GB37" s="57"/>
      <c r="GC37" s="57"/>
      <c r="GD37" s="57"/>
      <c r="GE37" s="57"/>
      <c r="GF37" s="57"/>
      <c r="GG37" s="57"/>
      <c r="GH37" s="57"/>
      <c r="GI37" s="57"/>
      <c r="GJ37" s="57"/>
      <c r="GK37" s="57"/>
      <c r="GL37" s="57"/>
      <c r="GM37" s="57"/>
      <c r="GN37" s="57"/>
      <c r="GO37" s="57"/>
      <c r="GP37" s="57"/>
      <c r="GQ37" s="57"/>
      <c r="GR37" s="57"/>
      <c r="GS37" s="57"/>
      <c r="GT37" s="57"/>
      <c r="GU37" s="57"/>
      <c r="GV37" s="57"/>
      <c r="GW37" s="57"/>
      <c r="GX37" s="57"/>
      <c r="GY37" s="57"/>
      <c r="GZ37" s="57"/>
      <c r="HA37" s="57"/>
      <c r="HB37" s="57"/>
      <c r="HC37" s="57"/>
      <c r="HD37" s="57"/>
    </row>
    <row r="38" spans="3:212" x14ac:dyDescent="0.25">
      <c r="C38" s="148"/>
      <c r="D38" s="149" t="s">
        <v>80</v>
      </c>
      <c r="E38" s="149"/>
      <c r="F38" s="149"/>
      <c r="G38" s="149"/>
      <c r="H38" s="149"/>
      <c r="I38" s="149"/>
      <c r="J38" s="150">
        <v>5.2499999999999998E-2</v>
      </c>
      <c r="K38" s="151">
        <f>ROUND(K31/J38,-3)</f>
        <v>57698000</v>
      </c>
      <c r="L38" s="10"/>
      <c r="M38" s="9"/>
      <c r="N38" s="9"/>
      <c r="O38" s="104" t="s">
        <v>81</v>
      </c>
      <c r="P38" s="9"/>
      <c r="Q38" s="9"/>
      <c r="R38" s="132">
        <v>1.4999999999999999E-2</v>
      </c>
      <c r="S38" s="10">
        <f>R38*K43</f>
        <v>519282</v>
      </c>
      <c r="T38" s="95">
        <f t="shared" si="15"/>
        <v>8.8707548855467121E-3</v>
      </c>
      <c r="X38" s="9"/>
      <c r="Y38"/>
      <c r="Z38" s="78"/>
      <c r="AA38" s="79"/>
      <c r="AB38" s="65"/>
      <c r="AC38" s="66"/>
      <c r="AD38"/>
      <c r="AE38" s="1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7"/>
      <c r="CC38" s="57"/>
      <c r="CD38" s="57"/>
      <c r="CE38" s="57"/>
      <c r="CF38" s="57"/>
      <c r="CG38" s="57"/>
      <c r="CH38" s="57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  <c r="EB38" s="57"/>
      <c r="EC38" s="57"/>
      <c r="ED38" s="57"/>
      <c r="EE38" s="57"/>
      <c r="EF38" s="57"/>
      <c r="EG38" s="57"/>
      <c r="EH38" s="57"/>
      <c r="EI38" s="57"/>
      <c r="EJ38" s="57"/>
      <c r="EK38" s="57"/>
      <c r="EL38" s="57"/>
      <c r="EM38" s="57"/>
      <c r="EN38" s="57"/>
      <c r="EO38" s="57"/>
      <c r="EP38" s="57"/>
      <c r="EQ38" s="57"/>
      <c r="ER38" s="57"/>
      <c r="ES38" s="57"/>
      <c r="ET38" s="57"/>
      <c r="EU38" s="57"/>
      <c r="EV38" s="57"/>
      <c r="EW38" s="57"/>
      <c r="EX38" s="57"/>
      <c r="EY38" s="57"/>
      <c r="EZ38" s="57"/>
      <c r="FA38" s="57"/>
      <c r="FB38" s="57"/>
      <c r="FC38" s="57"/>
      <c r="FD38" s="57"/>
      <c r="FE38" s="57"/>
      <c r="FF38" s="57"/>
      <c r="FG38" s="57"/>
      <c r="FH38" s="57"/>
      <c r="FI38" s="57"/>
      <c r="FJ38" s="57"/>
      <c r="FK38" s="57"/>
      <c r="FL38" s="57"/>
      <c r="FM38" s="57"/>
      <c r="FN38" s="57"/>
      <c r="FO38" s="57"/>
      <c r="FP38" s="57"/>
      <c r="FQ38" s="57"/>
      <c r="FR38" s="57"/>
      <c r="FS38" s="57"/>
      <c r="FT38" s="57"/>
      <c r="FU38" s="57"/>
      <c r="FV38" s="57"/>
      <c r="FW38" s="57"/>
      <c r="FX38" s="57"/>
      <c r="FY38" s="57"/>
      <c r="FZ38" s="57"/>
      <c r="GA38" s="57"/>
      <c r="GB38" s="57"/>
      <c r="GC38" s="57"/>
      <c r="GD38" s="57"/>
      <c r="GE38" s="57"/>
      <c r="GF38" s="57"/>
      <c r="GG38" s="57"/>
      <c r="GH38" s="57"/>
      <c r="GI38" s="57"/>
      <c r="GJ38" s="57"/>
      <c r="GK38" s="57"/>
      <c r="GL38" s="57"/>
      <c r="GM38" s="57"/>
      <c r="GN38" s="57"/>
      <c r="GO38" s="57"/>
      <c r="GP38" s="57"/>
      <c r="GQ38" s="57"/>
      <c r="GR38" s="57"/>
      <c r="GS38" s="57"/>
      <c r="GT38" s="57"/>
      <c r="GU38" s="57"/>
      <c r="GV38" s="57"/>
      <c r="GW38" s="57"/>
      <c r="GX38" s="57"/>
      <c r="GY38" s="57"/>
      <c r="GZ38" s="57"/>
      <c r="HA38" s="57"/>
      <c r="HB38" s="57"/>
      <c r="HC38" s="57"/>
      <c r="HD38" s="57"/>
    </row>
    <row r="39" spans="3:212" x14ac:dyDescent="0.25">
      <c r="C39" s="126"/>
      <c r="D39" s="9" t="s">
        <v>82</v>
      </c>
      <c r="E39" s="9"/>
      <c r="F39" s="9"/>
      <c r="G39" s="9"/>
      <c r="H39" s="9"/>
      <c r="I39" s="9"/>
      <c r="J39" s="152">
        <v>0</v>
      </c>
      <c r="K39" s="153">
        <f>IFERROR(ROUND((J31-#REF!)/J39,-3),0)</f>
        <v>0</v>
      </c>
      <c r="L39" s="133"/>
      <c r="M39" s="9"/>
      <c r="N39" s="9"/>
      <c r="O39" s="147" t="s">
        <v>83</v>
      </c>
      <c r="R39" s="92">
        <v>0.65</v>
      </c>
      <c r="S39" s="10">
        <f>(K43*R39*K44)/12*I45</f>
        <v>2925288.6</v>
      </c>
      <c r="T39" s="95">
        <f t="shared" si="15"/>
        <v>4.9971919188579815E-2</v>
      </c>
      <c r="Y39"/>
      <c r="Z39" s="78"/>
      <c r="AA39" s="79"/>
      <c r="AB39" s="65"/>
      <c r="AC39" s="66"/>
      <c r="AD39"/>
      <c r="AE39" s="1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</row>
    <row r="40" spans="3:212" x14ac:dyDescent="0.25">
      <c r="C40" s="134" t="s">
        <v>84</v>
      </c>
      <c r="D40" s="155"/>
      <c r="E40" s="136"/>
      <c r="F40" s="136"/>
      <c r="G40" s="137"/>
      <c r="H40" s="137"/>
      <c r="I40" s="156" t="s">
        <v>85</v>
      </c>
      <c r="J40" s="157">
        <f>(K31)/K40</f>
        <v>5.2499794066830731E-2</v>
      </c>
      <c r="K40" s="72">
        <f>SUM(K38:K39)</f>
        <v>57698000</v>
      </c>
      <c r="L40" s="251"/>
      <c r="M40" s="9"/>
      <c r="N40" s="9"/>
      <c r="O40" s="104" t="s">
        <v>86</v>
      </c>
      <c r="P40" s="9"/>
      <c r="Q40" s="9"/>
      <c r="R40" s="132">
        <v>0.05</v>
      </c>
      <c r="S40" s="10">
        <f>SUM(S33:S39)*R40</f>
        <v>391862.78187374998</v>
      </c>
      <c r="T40" s="95">
        <f t="shared" si="15"/>
        <v>6.6940866172339759E-3</v>
      </c>
      <c r="X40" s="9"/>
      <c r="Y40"/>
      <c r="Z40" s="78"/>
      <c r="AA40" s="79"/>
      <c r="AB40" s="65"/>
      <c r="AC40" s="66">
        <f t="shared" ref="AC40:AC47" si="16">SUM(AF40:HD40)</f>
        <v>0</v>
      </c>
      <c r="AD40"/>
      <c r="AE40" s="1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  <c r="FB40" s="57"/>
      <c r="FC40" s="57"/>
      <c r="FD40" s="57"/>
      <c r="FE40" s="57"/>
      <c r="FF40" s="57"/>
      <c r="FG40" s="57"/>
      <c r="FH40" s="57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7"/>
      <c r="HA40" s="57"/>
      <c r="HB40" s="57"/>
      <c r="HC40" s="57"/>
      <c r="HD40" s="57"/>
    </row>
    <row r="41" spans="3:212" x14ac:dyDescent="0.25">
      <c r="C41" s="140"/>
      <c r="D41" s="141"/>
      <c r="E41" s="141"/>
      <c r="F41" s="141"/>
      <c r="G41" s="141"/>
      <c r="H41" s="141"/>
      <c r="I41" s="141"/>
      <c r="J41" s="141"/>
      <c r="K41" s="143"/>
      <c r="L41" s="249"/>
      <c r="M41" s="9"/>
      <c r="N41" s="9"/>
      <c r="O41" s="117" t="s">
        <v>87</v>
      </c>
      <c r="P41" s="9"/>
      <c r="Q41" s="9"/>
      <c r="R41" s="102"/>
      <c r="S41" s="119">
        <f>SUM(S33:S40)</f>
        <v>8229118.4193487484</v>
      </c>
      <c r="T41" s="95">
        <f t="shared" si="15"/>
        <v>0.14057581896191346</v>
      </c>
      <c r="V41" s="338">
        <f>S41/S31</f>
        <v>0.16356977388291993</v>
      </c>
      <c r="X41" s="9"/>
      <c r="Y41"/>
      <c r="Z41" s="78"/>
      <c r="AA41" s="79"/>
      <c r="AB41" s="65"/>
      <c r="AC41" s="66">
        <f t="shared" si="16"/>
        <v>0</v>
      </c>
      <c r="AD41"/>
      <c r="AE41" s="1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  <c r="EB41" s="57"/>
      <c r="EC41" s="57"/>
      <c r="ED41" s="57"/>
      <c r="EE41" s="57"/>
      <c r="EF41" s="57"/>
      <c r="EG41" s="57"/>
      <c r="EH41" s="57"/>
      <c r="EI41" s="57"/>
      <c r="EJ41" s="57"/>
      <c r="EK41" s="57"/>
      <c r="EL41" s="57"/>
      <c r="EM41" s="57"/>
      <c r="EN41" s="57"/>
      <c r="EO41" s="57"/>
      <c r="EP41" s="57"/>
      <c r="EQ41" s="57"/>
      <c r="ER41" s="57"/>
      <c r="ES41" s="57"/>
      <c r="ET41" s="57"/>
      <c r="EU41" s="57"/>
      <c r="EV41" s="57"/>
      <c r="EW41" s="57"/>
      <c r="EX41" s="57"/>
      <c r="EY41" s="57"/>
      <c r="EZ41" s="57"/>
      <c r="FA41" s="57"/>
      <c r="FB41" s="57"/>
      <c r="FC41" s="57"/>
      <c r="FD41" s="57"/>
      <c r="FE41" s="57"/>
      <c r="FF41" s="57"/>
      <c r="FG41" s="57"/>
      <c r="FH41" s="57"/>
      <c r="FI41" s="57"/>
      <c r="FJ41" s="57"/>
      <c r="FK41" s="57"/>
      <c r="FL41" s="57"/>
      <c r="FM41" s="57"/>
      <c r="FN41" s="57"/>
      <c r="FO41" s="57"/>
      <c r="FP41" s="57"/>
      <c r="FQ41" s="57"/>
      <c r="FR41" s="57"/>
      <c r="FS41" s="57"/>
      <c r="FT41" s="57"/>
      <c r="FU41" s="57"/>
      <c r="FV41" s="57"/>
      <c r="FW41" s="57"/>
      <c r="FX41" s="57"/>
      <c r="FY41" s="57"/>
      <c r="FZ41" s="57"/>
      <c r="GA41" s="57"/>
      <c r="GB41" s="57"/>
      <c r="GC41" s="57"/>
      <c r="GD41" s="57"/>
      <c r="GE41" s="57"/>
      <c r="GF41" s="57"/>
      <c r="GG41" s="57"/>
      <c r="GH41" s="57"/>
      <c r="GI41" s="57"/>
      <c r="GJ41" s="57"/>
      <c r="GK41" s="57"/>
      <c r="GL41" s="57"/>
      <c r="GM41" s="57"/>
      <c r="GN41" s="57"/>
      <c r="GO41" s="57"/>
      <c r="GP41" s="57"/>
      <c r="GQ41" s="57"/>
      <c r="GR41" s="57"/>
      <c r="GS41" s="57"/>
      <c r="GT41" s="57"/>
      <c r="GU41" s="57"/>
      <c r="GV41" s="57"/>
      <c r="GW41" s="57"/>
      <c r="GX41" s="57"/>
      <c r="GY41" s="57"/>
      <c r="GZ41" s="57"/>
      <c r="HA41" s="57"/>
      <c r="HB41" s="57"/>
      <c r="HC41" s="57"/>
      <c r="HD41" s="57"/>
    </row>
    <row r="42" spans="3:212" x14ac:dyDescent="0.25">
      <c r="C42" s="144" t="s">
        <v>88</v>
      </c>
      <c r="D42" s="145"/>
      <c r="E42" s="145"/>
      <c r="F42" s="145"/>
      <c r="G42" s="145"/>
      <c r="H42" s="145"/>
      <c r="I42" s="145"/>
      <c r="J42" s="145"/>
      <c r="K42" s="146"/>
      <c r="L42" s="250"/>
      <c r="M42" s="9"/>
      <c r="N42" s="9"/>
      <c r="O42" s="159" t="s">
        <v>89</v>
      </c>
      <c r="P42" s="137"/>
      <c r="Q42" s="137"/>
      <c r="R42" s="137"/>
      <c r="S42" s="160">
        <f>SUM(S31,S41)</f>
        <v>58538648.254848741</v>
      </c>
      <c r="T42" s="161">
        <f t="shared" si="15"/>
        <v>1</v>
      </c>
      <c r="X42" s="9"/>
      <c r="Y42"/>
      <c r="Z42" s="78"/>
      <c r="AA42" s="79"/>
      <c r="AB42" s="65"/>
      <c r="AC42" s="66">
        <f t="shared" si="16"/>
        <v>0</v>
      </c>
      <c r="AD42"/>
      <c r="AE42" s="1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7"/>
      <c r="CC42" s="57"/>
      <c r="CD42" s="57"/>
      <c r="CE42" s="57"/>
      <c r="CF42" s="57"/>
      <c r="CG42" s="57"/>
      <c r="CH42" s="57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  <c r="EB42" s="57"/>
      <c r="EC42" s="57"/>
      <c r="ED42" s="57"/>
      <c r="EE42" s="57"/>
      <c r="EF42" s="57"/>
      <c r="EG42" s="57"/>
      <c r="EH42" s="57"/>
      <c r="EI42" s="57"/>
      <c r="EJ42" s="57"/>
      <c r="EK42" s="57"/>
      <c r="EL42" s="57"/>
      <c r="EM42" s="57"/>
      <c r="EN42" s="57"/>
      <c r="EO42" s="57"/>
      <c r="EP42" s="57"/>
      <c r="EQ42" s="57"/>
      <c r="ER42" s="57"/>
      <c r="ES42" s="57"/>
      <c r="ET42" s="57"/>
      <c r="EU42" s="57"/>
      <c r="EV42" s="57"/>
      <c r="EW42" s="57"/>
      <c r="EX42" s="57"/>
      <c r="EY42" s="57"/>
      <c r="EZ42" s="57"/>
      <c r="FA42" s="57"/>
      <c r="FB42" s="57"/>
      <c r="FC42" s="57"/>
      <c r="FD42" s="57"/>
      <c r="FE42" s="57"/>
      <c r="FF42" s="57"/>
      <c r="FG42" s="57"/>
      <c r="FH42" s="57"/>
      <c r="FI42" s="57"/>
      <c r="FJ42" s="57"/>
      <c r="FK42" s="57"/>
      <c r="FL42" s="57"/>
      <c r="FM42" s="57"/>
      <c r="FN42" s="57"/>
      <c r="FO42" s="57"/>
      <c r="FP42" s="57"/>
      <c r="FQ42" s="57"/>
      <c r="FR42" s="57"/>
      <c r="FS42" s="57"/>
      <c r="FT42" s="57"/>
      <c r="FU42" s="57"/>
      <c r="FV42" s="57"/>
      <c r="FW42" s="57"/>
      <c r="FX42" s="57"/>
      <c r="FY42" s="57"/>
      <c r="FZ42" s="57"/>
      <c r="GA42" s="57"/>
      <c r="GB42" s="57"/>
      <c r="GC42" s="57"/>
      <c r="GD42" s="57"/>
      <c r="GE42" s="57"/>
      <c r="GF42" s="57"/>
      <c r="GG42" s="57"/>
      <c r="GH42" s="57"/>
      <c r="GI42" s="57"/>
      <c r="GJ42" s="57"/>
      <c r="GK42" s="57"/>
      <c r="GL42" s="57"/>
      <c r="GM42" s="57"/>
      <c r="GN42" s="57"/>
      <c r="GO42" s="57"/>
      <c r="GP42" s="57"/>
      <c r="GQ42" s="57"/>
      <c r="GR42" s="57"/>
      <c r="GS42" s="57"/>
      <c r="GT42" s="57"/>
      <c r="GU42" s="57"/>
      <c r="GV42" s="57"/>
      <c r="GW42" s="57"/>
      <c r="GX42" s="57"/>
      <c r="GY42" s="57"/>
      <c r="GZ42" s="57"/>
      <c r="HA42" s="57"/>
      <c r="HB42" s="57"/>
      <c r="HC42" s="57"/>
      <c r="HD42" s="57"/>
    </row>
    <row r="43" spans="3:212" x14ac:dyDescent="0.25">
      <c r="C43" s="165" t="s">
        <v>90</v>
      </c>
      <c r="D43" s="166"/>
      <c r="E43" s="167"/>
      <c r="F43" s="167"/>
      <c r="G43" s="9"/>
      <c r="H43" s="9"/>
      <c r="I43" s="9"/>
      <c r="J43" s="9"/>
      <c r="K43" s="168">
        <f>K40*K46</f>
        <v>34618800</v>
      </c>
      <c r="L43" s="251"/>
      <c r="M43" s="9"/>
      <c r="N43" s="9"/>
      <c r="O43" s="140"/>
      <c r="P43" s="141"/>
      <c r="Q43" s="141"/>
      <c r="R43" s="141"/>
      <c r="S43" s="141"/>
      <c r="T43" s="141"/>
      <c r="X43" s="9"/>
      <c r="Y43"/>
      <c r="Z43" s="78"/>
      <c r="AA43" s="79"/>
      <c r="AB43" s="65"/>
      <c r="AC43" s="66">
        <f t="shared" si="16"/>
        <v>0</v>
      </c>
      <c r="AD43"/>
      <c r="AE43" s="1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7"/>
      <c r="CC43" s="57"/>
      <c r="CD43" s="57"/>
      <c r="CE43" s="57"/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  <c r="EB43" s="57"/>
      <c r="EC43" s="57"/>
      <c r="ED43" s="57"/>
      <c r="EE43" s="57"/>
      <c r="EF43" s="57"/>
      <c r="EG43" s="57"/>
      <c r="EH43" s="57"/>
      <c r="EI43" s="57"/>
      <c r="EJ43" s="57"/>
      <c r="EK43" s="57"/>
      <c r="EL43" s="57"/>
      <c r="EM43" s="57"/>
      <c r="EN43" s="57"/>
      <c r="EO43" s="57"/>
      <c r="EP43" s="57"/>
      <c r="EQ43" s="57"/>
      <c r="ER43" s="57"/>
      <c r="ES43" s="57"/>
      <c r="ET43" s="57"/>
      <c r="EU43" s="57"/>
      <c r="EV43" s="57"/>
      <c r="EW43" s="57"/>
      <c r="EX43" s="57"/>
      <c r="EY43" s="57"/>
      <c r="EZ43" s="57"/>
      <c r="FA43" s="57"/>
      <c r="FB43" s="57"/>
      <c r="FC43" s="57"/>
      <c r="FD43" s="57"/>
      <c r="FE43" s="57"/>
      <c r="FF43" s="57"/>
      <c r="FG43" s="57"/>
      <c r="FH43" s="57"/>
      <c r="FI43" s="57"/>
      <c r="FJ43" s="57"/>
      <c r="FK43" s="57"/>
      <c r="FL43" s="57"/>
      <c r="FM43" s="57"/>
      <c r="FN43" s="57"/>
      <c r="FO43" s="57"/>
      <c r="FP43" s="57"/>
      <c r="FQ43" s="57"/>
      <c r="FR43" s="57"/>
      <c r="FS43" s="57"/>
      <c r="FT43" s="57"/>
      <c r="FU43" s="57"/>
      <c r="FV43" s="57"/>
      <c r="FW43" s="57"/>
      <c r="FX43" s="57"/>
      <c r="FY43" s="57"/>
      <c r="FZ43" s="57"/>
      <c r="GA43" s="57"/>
      <c r="GB43" s="57"/>
      <c r="GC43" s="57"/>
      <c r="GD43" s="57"/>
      <c r="GE43" s="57"/>
      <c r="GF43" s="57"/>
      <c r="GG43" s="57"/>
      <c r="GH43" s="57"/>
      <c r="GI43" s="57"/>
      <c r="GJ43" s="57"/>
      <c r="GK43" s="57"/>
      <c r="GL43" s="57"/>
      <c r="GM43" s="57"/>
      <c r="GN43" s="57"/>
      <c r="GO43" s="57"/>
      <c r="GP43" s="57"/>
      <c r="GQ43" s="57"/>
      <c r="GR43" s="57"/>
      <c r="GS43" s="57"/>
      <c r="GT43" s="57"/>
      <c r="GU43" s="57"/>
      <c r="GV43" s="57"/>
      <c r="GW43" s="57"/>
      <c r="GX43" s="57"/>
      <c r="GY43" s="57"/>
      <c r="GZ43" s="57"/>
      <c r="HA43" s="57"/>
      <c r="HB43" s="57"/>
      <c r="HC43" s="57"/>
      <c r="HD43" s="57"/>
    </row>
    <row r="44" spans="3:212" x14ac:dyDescent="0.25">
      <c r="C44" s="56"/>
      <c r="D44" s="169" t="s">
        <v>91</v>
      </c>
      <c r="E44" s="167"/>
      <c r="F44" s="167"/>
      <c r="G44" s="9"/>
      <c r="H44" s="9"/>
      <c r="J44" s="9"/>
      <c r="K44" s="170">
        <v>6.5000000000000002E-2</v>
      </c>
      <c r="L44" s="252"/>
      <c r="M44" s="37"/>
      <c r="N44" s="9"/>
      <c r="O44" s="144" t="s">
        <v>92</v>
      </c>
      <c r="P44" s="145"/>
      <c r="Q44" s="145"/>
      <c r="R44" s="145"/>
      <c r="S44" s="145"/>
      <c r="T44" s="145"/>
      <c r="X44" s="9"/>
      <c r="Y44"/>
      <c r="Z44" s="78"/>
      <c r="AA44" s="79"/>
      <c r="AB44" s="65"/>
      <c r="AC44" s="66">
        <f t="shared" si="16"/>
        <v>0</v>
      </c>
      <c r="AD44"/>
      <c r="AE44" s="1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  <c r="EB44" s="57"/>
      <c r="EC44" s="57"/>
      <c r="ED44" s="57"/>
      <c r="EE44" s="57"/>
      <c r="EF44" s="57"/>
      <c r="EG44" s="57"/>
      <c r="EH44" s="57"/>
      <c r="EI44" s="57"/>
      <c r="EJ44" s="57"/>
      <c r="EK44" s="57"/>
      <c r="EL44" s="57"/>
      <c r="EM44" s="57"/>
      <c r="EN44" s="57"/>
      <c r="EO44" s="57"/>
      <c r="EP44" s="57"/>
      <c r="EQ44" s="57"/>
      <c r="ER44" s="57"/>
      <c r="ES44" s="57"/>
      <c r="ET44" s="57"/>
      <c r="EU44" s="57"/>
      <c r="EV44" s="57"/>
      <c r="EW44" s="57"/>
      <c r="EX44" s="57"/>
      <c r="EY44" s="57"/>
      <c r="EZ44" s="57"/>
      <c r="FA44" s="57"/>
      <c r="FB44" s="57"/>
      <c r="FC44" s="57"/>
      <c r="FD44" s="57"/>
      <c r="FE44" s="57"/>
      <c r="FF44" s="57"/>
      <c r="FG44" s="57"/>
      <c r="FH44" s="57"/>
      <c r="FI44" s="57"/>
      <c r="FJ44" s="57"/>
      <c r="FK44" s="57"/>
      <c r="FL44" s="57"/>
      <c r="FM44" s="57"/>
      <c r="FN44" s="57"/>
      <c r="FO44" s="57"/>
      <c r="FP44" s="57"/>
      <c r="FQ44" s="57"/>
      <c r="FR44" s="57"/>
      <c r="FS44" s="57"/>
      <c r="FT44" s="57"/>
      <c r="FU44" s="57"/>
      <c r="FV44" s="57"/>
      <c r="FW44" s="57"/>
      <c r="FX44" s="57"/>
      <c r="FY44" s="57"/>
      <c r="FZ44" s="57"/>
      <c r="GA44" s="57"/>
      <c r="GB44" s="57"/>
      <c r="GC44" s="57"/>
      <c r="GD44" s="57"/>
      <c r="GE44" s="57"/>
      <c r="GF44" s="57"/>
      <c r="GG44" s="57"/>
      <c r="GH44" s="57"/>
      <c r="GI44" s="57"/>
      <c r="GJ44" s="57"/>
      <c r="GK44" s="57"/>
      <c r="GL44" s="57"/>
      <c r="GM44" s="57"/>
      <c r="GN44" s="57"/>
      <c r="GO44" s="57"/>
      <c r="GP44" s="57"/>
      <c r="GQ44" s="57"/>
      <c r="GR44" s="57"/>
      <c r="GS44" s="57"/>
      <c r="GT44" s="57"/>
      <c r="GU44" s="57"/>
      <c r="GV44" s="57"/>
      <c r="GW44" s="57"/>
      <c r="GX44" s="57"/>
      <c r="GY44" s="57"/>
      <c r="GZ44" s="57"/>
      <c r="HA44" s="57"/>
      <c r="HB44" s="57"/>
      <c r="HC44" s="57"/>
      <c r="HD44" s="57"/>
    </row>
    <row r="45" spans="3:212" x14ac:dyDescent="0.25">
      <c r="C45" s="56"/>
      <c r="D45" s="169" t="s">
        <v>93</v>
      </c>
      <c r="E45" s="9"/>
      <c r="F45" s="9"/>
      <c r="G45" s="172"/>
      <c r="H45" s="173" t="s">
        <v>94</v>
      </c>
      <c r="I45" s="174">
        <v>24</v>
      </c>
      <c r="J45" s="9"/>
      <c r="K45" s="175">
        <f>K43*K44/12*12</f>
        <v>2250222</v>
      </c>
      <c r="L45" s="253"/>
      <c r="M45" s="9"/>
      <c r="N45" s="9"/>
      <c r="O45" s="2" t="s">
        <v>95</v>
      </c>
      <c r="P45" s="89"/>
      <c r="Q45" s="89"/>
      <c r="R45" s="89"/>
      <c r="S45" s="149"/>
      <c r="T45" s="176">
        <f>S42</f>
        <v>58538648.254848741</v>
      </c>
      <c r="X45" s="9"/>
      <c r="Y45"/>
      <c r="Z45" s="78"/>
      <c r="AA45" s="79"/>
      <c r="AB45" s="65"/>
      <c r="AC45" s="66">
        <f t="shared" si="16"/>
        <v>0</v>
      </c>
      <c r="AD45"/>
      <c r="AE45" s="1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  <c r="EB45" s="57"/>
      <c r="EC45" s="57"/>
      <c r="ED45" s="57"/>
      <c r="EE45" s="57"/>
      <c r="EF45" s="57"/>
      <c r="EG45" s="57"/>
      <c r="EH45" s="57"/>
      <c r="EI45" s="57"/>
      <c r="EJ45" s="57"/>
      <c r="EK45" s="57"/>
      <c r="EL45" s="57"/>
      <c r="EM45" s="57"/>
      <c r="EN45" s="57"/>
      <c r="EO45" s="57"/>
      <c r="EP45" s="57"/>
      <c r="EQ45" s="57"/>
      <c r="ER45" s="57"/>
      <c r="ES45" s="57"/>
      <c r="ET45" s="57"/>
      <c r="EU45" s="57"/>
      <c r="EV45" s="57"/>
      <c r="EW45" s="57"/>
      <c r="EX45" s="57"/>
      <c r="EY45" s="57"/>
      <c r="EZ45" s="57"/>
      <c r="FA45" s="57"/>
      <c r="FB45" s="57"/>
      <c r="FC45" s="57"/>
      <c r="FD45" s="57"/>
      <c r="FE45" s="57"/>
      <c r="FF45" s="57"/>
      <c r="FG45" s="57"/>
      <c r="FH45" s="57"/>
      <c r="FI45" s="57"/>
      <c r="FJ45" s="57"/>
      <c r="FK45" s="57"/>
      <c r="FL45" s="57"/>
      <c r="FM45" s="57"/>
      <c r="FN45" s="57"/>
      <c r="FO45" s="57"/>
      <c r="FP45" s="57"/>
      <c r="FQ45" s="57"/>
      <c r="FR45" s="57"/>
      <c r="FS45" s="57"/>
      <c r="FT45" s="57"/>
      <c r="FU45" s="57"/>
      <c r="FV45" s="57"/>
      <c r="FW45" s="57"/>
      <c r="FX45" s="57"/>
      <c r="FY45" s="57"/>
      <c r="FZ45" s="57"/>
      <c r="GA45" s="57"/>
      <c r="GB45" s="57"/>
      <c r="GC45" s="57"/>
      <c r="GD45" s="57"/>
      <c r="GE45" s="57"/>
      <c r="GF45" s="57"/>
      <c r="GG45" s="57"/>
      <c r="GH45" s="57"/>
      <c r="GI45" s="57"/>
      <c r="GJ45" s="57"/>
      <c r="GK45" s="57"/>
      <c r="GL45" s="57"/>
      <c r="GM45" s="57"/>
      <c r="GN45" s="57"/>
      <c r="GO45" s="57"/>
      <c r="GP45" s="57"/>
      <c r="GQ45" s="57"/>
      <c r="GR45" s="57"/>
      <c r="GS45" s="57"/>
      <c r="GT45" s="57"/>
      <c r="GU45" s="57"/>
      <c r="GV45" s="57"/>
      <c r="GW45" s="57"/>
      <c r="GX45" s="57"/>
      <c r="GY45" s="57"/>
      <c r="GZ45" s="57"/>
      <c r="HA45" s="57"/>
      <c r="HB45" s="57"/>
      <c r="HC45" s="57"/>
      <c r="HD45" s="57"/>
    </row>
    <row r="46" spans="3:212" x14ac:dyDescent="0.25">
      <c r="C46" s="56"/>
      <c r="D46" s="169" t="s">
        <v>96</v>
      </c>
      <c r="E46" s="167"/>
      <c r="F46" s="167"/>
      <c r="G46" s="9"/>
      <c r="H46" s="9"/>
      <c r="I46" s="9"/>
      <c r="J46" s="9"/>
      <c r="K46" s="178">
        <v>0.6</v>
      </c>
      <c r="L46" s="254"/>
      <c r="M46" s="9"/>
      <c r="N46" s="9"/>
      <c r="O46" s="104" t="s">
        <v>97</v>
      </c>
      <c r="P46" s="9"/>
      <c r="Q46" s="9"/>
      <c r="R46" s="9"/>
      <c r="T46" s="179">
        <v>0</v>
      </c>
      <c r="X46" s="9"/>
      <c r="Y46"/>
      <c r="Z46" s="78"/>
      <c r="AA46" s="79"/>
      <c r="AB46" s="65"/>
      <c r="AC46" s="66">
        <f t="shared" si="16"/>
        <v>0</v>
      </c>
      <c r="AD46" s="154"/>
      <c r="AE46" s="1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57"/>
      <c r="CD46" s="57"/>
      <c r="CE46" s="57"/>
      <c r="CF46" s="57"/>
      <c r="CG46" s="57"/>
      <c r="CH46" s="57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  <c r="EB46" s="57"/>
      <c r="EC46" s="57"/>
      <c r="ED46" s="57"/>
      <c r="EE46" s="57"/>
      <c r="EF46" s="57"/>
      <c r="EG46" s="57"/>
      <c r="EH46" s="57"/>
      <c r="EI46" s="57"/>
      <c r="EJ46" s="57"/>
      <c r="EK46" s="57"/>
      <c r="EL46" s="57"/>
      <c r="EM46" s="57"/>
      <c r="EN46" s="57"/>
      <c r="EO46" s="57"/>
      <c r="EP46" s="57"/>
      <c r="EQ46" s="57"/>
      <c r="ER46" s="57"/>
      <c r="ES46" s="57"/>
      <c r="ET46" s="57"/>
      <c r="EU46" s="57"/>
      <c r="EV46" s="57"/>
      <c r="EW46" s="57"/>
      <c r="EX46" s="57"/>
      <c r="EY46" s="57"/>
      <c r="EZ46" s="57"/>
      <c r="FA46" s="57"/>
      <c r="FB46" s="57"/>
      <c r="FC46" s="57"/>
      <c r="FD46" s="57"/>
      <c r="FE46" s="57"/>
      <c r="FF46" s="57"/>
      <c r="FG46" s="57"/>
      <c r="FH46" s="57"/>
      <c r="FI46" s="57"/>
      <c r="FJ46" s="57"/>
      <c r="FK46" s="57"/>
      <c r="FL46" s="57"/>
      <c r="FM46" s="57"/>
      <c r="FN46" s="57"/>
      <c r="FO46" s="57"/>
      <c r="FP46" s="57"/>
      <c r="FQ46" s="57"/>
      <c r="FR46" s="57"/>
      <c r="FS46" s="57"/>
      <c r="FT46" s="57"/>
      <c r="FU46" s="57"/>
      <c r="FV46" s="57"/>
      <c r="FW46" s="57"/>
      <c r="FX46" s="57"/>
      <c r="FY46" s="57"/>
      <c r="FZ46" s="57"/>
      <c r="GA46" s="57"/>
      <c r="GB46" s="57"/>
      <c r="GC46" s="57"/>
      <c r="GD46" s="57"/>
      <c r="GE46" s="57"/>
      <c r="GF46" s="57"/>
      <c r="GG46" s="57"/>
      <c r="GH46" s="57"/>
      <c r="GI46" s="57"/>
      <c r="GJ46" s="57"/>
      <c r="GK46" s="57"/>
      <c r="GL46" s="57"/>
      <c r="GM46" s="57"/>
      <c r="GN46" s="57"/>
      <c r="GO46" s="57"/>
      <c r="GP46" s="57"/>
      <c r="GQ46" s="57"/>
      <c r="GR46" s="57"/>
      <c r="GS46" s="57"/>
      <c r="GT46" s="57"/>
      <c r="GU46" s="57"/>
      <c r="GV46" s="57"/>
      <c r="GW46" s="57"/>
      <c r="GX46" s="57"/>
      <c r="GY46" s="57"/>
      <c r="GZ46" s="57"/>
      <c r="HA46" s="57"/>
      <c r="HB46" s="57"/>
      <c r="HC46" s="57"/>
      <c r="HD46" s="57"/>
    </row>
    <row r="47" spans="3:212" x14ac:dyDescent="0.25">
      <c r="C47" s="180"/>
      <c r="D47" s="181" t="s">
        <v>98</v>
      </c>
      <c r="E47" s="182"/>
      <c r="F47" s="182"/>
      <c r="G47" s="137"/>
      <c r="H47" s="137"/>
      <c r="I47" s="137"/>
      <c r="J47" s="183">
        <f>K31/K43</f>
        <v>8.7499656778051216E-2</v>
      </c>
      <c r="K47" s="184">
        <f>K43/S42</f>
        <v>0.59138365903644752</v>
      </c>
      <c r="L47" s="123"/>
      <c r="M47" s="158"/>
      <c r="N47" s="9"/>
      <c r="O47" s="130" t="s">
        <v>99</v>
      </c>
      <c r="P47" s="1"/>
      <c r="Q47" s="1"/>
      <c r="R47" s="1"/>
      <c r="T47" s="185">
        <f>SUM(T45:T46)</f>
        <v>58538648.254848741</v>
      </c>
      <c r="X47" s="9"/>
      <c r="Y47"/>
      <c r="Z47" s="78"/>
      <c r="AA47" s="79"/>
      <c r="AB47" s="65">
        <v>0</v>
      </c>
      <c r="AC47" s="66">
        <f t="shared" si="16"/>
        <v>0</v>
      </c>
      <c r="AD47" s="154"/>
      <c r="AE47" s="1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  <c r="EB47" s="57"/>
      <c r="EC47" s="57"/>
      <c r="ED47" s="57"/>
      <c r="EE47" s="57"/>
      <c r="EF47" s="57"/>
      <c r="EG47" s="57"/>
      <c r="EH47" s="57"/>
      <c r="EI47" s="57"/>
      <c r="EJ47" s="57"/>
      <c r="EK47" s="57"/>
      <c r="EL47" s="57"/>
      <c r="EM47" s="57"/>
      <c r="EN47" s="57"/>
      <c r="EO47" s="57"/>
      <c r="EP47" s="57"/>
      <c r="EQ47" s="57"/>
      <c r="ER47" s="57"/>
      <c r="ES47" s="57"/>
      <c r="ET47" s="57"/>
      <c r="EU47" s="57"/>
      <c r="EV47" s="57"/>
      <c r="EW47" s="57"/>
      <c r="EX47" s="57"/>
      <c r="EY47" s="57"/>
      <c r="EZ47" s="57"/>
      <c r="FA47" s="57"/>
      <c r="FB47" s="57"/>
      <c r="FC47" s="57"/>
      <c r="FD47" s="57"/>
      <c r="FE47" s="57"/>
      <c r="FF47" s="57"/>
      <c r="FG47" s="57"/>
      <c r="FH47" s="57"/>
      <c r="FI47" s="57"/>
      <c r="FJ47" s="57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57"/>
      <c r="GA47" s="57"/>
      <c r="GB47" s="57"/>
      <c r="GC47" s="57"/>
      <c r="GD47" s="57"/>
      <c r="GE47" s="57"/>
      <c r="GF47" s="57"/>
      <c r="GG47" s="57"/>
      <c r="GH47" s="57"/>
      <c r="GI47" s="57"/>
      <c r="GJ47" s="57"/>
      <c r="GK47" s="57"/>
      <c r="GL47" s="57"/>
      <c r="GM47" s="57"/>
      <c r="GN47" s="57"/>
      <c r="GO47" s="57"/>
      <c r="GP47" s="57"/>
      <c r="GQ47" s="57"/>
      <c r="GR47" s="57"/>
      <c r="GS47" s="57"/>
      <c r="GT47" s="57"/>
      <c r="GU47" s="57"/>
      <c r="GV47" s="57"/>
      <c r="GW47" s="57"/>
      <c r="GX47" s="57"/>
      <c r="GY47" s="57"/>
      <c r="GZ47" s="57"/>
      <c r="HA47" s="57"/>
      <c r="HB47" s="57"/>
      <c r="HC47" s="57"/>
      <c r="HD47" s="57"/>
    </row>
    <row r="48" spans="3:212" x14ac:dyDescent="0.25">
      <c r="C48" s="188" t="s">
        <v>100</v>
      </c>
      <c r="D48" s="189"/>
      <c r="E48" s="190"/>
      <c r="F48" s="190"/>
      <c r="G48" s="89"/>
      <c r="H48" s="89"/>
      <c r="I48" s="89"/>
      <c r="J48" s="191"/>
      <c r="K48" s="192">
        <f>ROUND($K$40*K49,-4)</f>
        <v>37040000</v>
      </c>
      <c r="L48" s="251"/>
      <c r="M48" s="9"/>
      <c r="N48" s="9"/>
      <c r="O48" s="104" t="s">
        <v>101</v>
      </c>
      <c r="P48" s="9"/>
      <c r="Q48" s="9"/>
      <c r="R48" s="9"/>
      <c r="T48" s="193">
        <f>K43</f>
        <v>34618800</v>
      </c>
      <c r="X48" s="9"/>
      <c r="Z48" s="78"/>
      <c r="AA48" s="79"/>
      <c r="AB48" s="65"/>
      <c r="AC48" s="66"/>
      <c r="AD48" s="154"/>
      <c r="AE48" s="1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  <c r="EB48" s="57"/>
      <c r="EC48" s="57"/>
      <c r="ED48" s="57"/>
      <c r="EE48" s="57"/>
      <c r="EF48" s="57"/>
      <c r="EG48" s="57"/>
      <c r="EH48" s="57"/>
      <c r="EI48" s="57"/>
      <c r="EJ48" s="57"/>
      <c r="EK48" s="57"/>
      <c r="EL48" s="57"/>
      <c r="EM48" s="57"/>
      <c r="EN48" s="57"/>
      <c r="EO48" s="57"/>
      <c r="EP48" s="57"/>
      <c r="EQ48" s="57"/>
      <c r="ER48" s="57"/>
      <c r="ES48" s="57"/>
      <c r="ET48" s="57"/>
      <c r="EU48" s="57"/>
      <c r="EV48" s="57"/>
      <c r="EW48" s="57"/>
      <c r="EX48" s="57"/>
      <c r="EY48" s="57"/>
      <c r="EZ48" s="57"/>
      <c r="FA48" s="57"/>
      <c r="FB48" s="57"/>
      <c r="FC48" s="57"/>
      <c r="FD48" s="57"/>
      <c r="FE48" s="57"/>
      <c r="FF48" s="57"/>
      <c r="FG48" s="57"/>
      <c r="FH48" s="57"/>
      <c r="FI48" s="57"/>
      <c r="FJ48" s="57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57"/>
      <c r="GA48" s="57"/>
      <c r="GB48" s="57"/>
      <c r="GC48" s="57"/>
      <c r="GD48" s="57"/>
      <c r="GE48" s="57"/>
      <c r="GF48" s="57"/>
      <c r="GG48" s="57"/>
      <c r="GH48" s="57"/>
      <c r="GI48" s="57"/>
      <c r="GJ48" s="57"/>
      <c r="GK48" s="57"/>
      <c r="GL48" s="57"/>
      <c r="GM48" s="57"/>
      <c r="GN48" s="57"/>
      <c r="GO48" s="57"/>
      <c r="GP48" s="57"/>
      <c r="GQ48" s="57"/>
      <c r="GR48" s="57"/>
      <c r="GS48" s="57"/>
      <c r="GT48" s="57"/>
      <c r="GU48" s="57"/>
      <c r="GV48" s="57"/>
      <c r="GW48" s="57"/>
      <c r="GX48" s="57"/>
      <c r="GY48" s="57"/>
      <c r="GZ48" s="57"/>
      <c r="HA48" s="57"/>
      <c r="HB48" s="57"/>
      <c r="HC48" s="57"/>
      <c r="HD48" s="57"/>
    </row>
    <row r="49" spans="2:212" x14ac:dyDescent="0.25">
      <c r="C49" s="56"/>
      <c r="D49" s="169" t="s">
        <v>96</v>
      </c>
      <c r="E49" s="167"/>
      <c r="F49" s="167"/>
      <c r="G49" s="9"/>
      <c r="H49" s="9"/>
      <c r="I49" s="9"/>
      <c r="J49" s="194"/>
      <c r="K49" s="178">
        <v>0.64199519707407982</v>
      </c>
      <c r="L49" s="254"/>
      <c r="M49" s="9"/>
      <c r="N49" s="9"/>
      <c r="O49" s="117" t="s">
        <v>102</v>
      </c>
      <c r="P49" s="9"/>
      <c r="Q49" s="9"/>
      <c r="R49" s="9"/>
      <c r="T49" s="195">
        <f>T47-T48</f>
        <v>23919848.254848741</v>
      </c>
      <c r="U49" s="162"/>
      <c r="V49" s="162"/>
      <c r="W49" s="162"/>
      <c r="X49" s="9"/>
      <c r="Z49" s="78"/>
      <c r="AA49" s="79"/>
      <c r="AB49" s="65"/>
      <c r="AC49" s="163">
        <f>SUM(AF49:HD49)</f>
        <v>0</v>
      </c>
      <c r="AD49" s="154"/>
      <c r="AE49" s="17"/>
      <c r="AF49" s="164"/>
      <c r="AG49" s="164"/>
      <c r="AH49" s="164"/>
      <c r="AI49" s="164"/>
      <c r="AJ49" s="164"/>
      <c r="AK49" s="164"/>
      <c r="AL49" s="164"/>
      <c r="AM49" s="164"/>
      <c r="AN49" s="164"/>
      <c r="AO49" s="164"/>
      <c r="AP49" s="164"/>
      <c r="AQ49" s="164"/>
      <c r="AR49" s="164"/>
      <c r="AS49" s="164"/>
      <c r="AT49" s="164"/>
      <c r="AU49" s="164"/>
      <c r="AV49" s="164"/>
      <c r="AW49" s="164"/>
      <c r="AX49" s="164"/>
      <c r="AY49" s="164"/>
      <c r="AZ49" s="164"/>
      <c r="BA49" s="164"/>
      <c r="BB49" s="164"/>
      <c r="BC49" s="164"/>
      <c r="BD49" s="164"/>
      <c r="BE49" s="164"/>
      <c r="BF49" s="164"/>
      <c r="BG49" s="164"/>
      <c r="BH49" s="164"/>
      <c r="BI49" s="164"/>
      <c r="BJ49" s="164"/>
      <c r="BK49" s="164"/>
      <c r="BL49" s="164"/>
      <c r="BM49" s="164"/>
      <c r="BN49" s="164"/>
      <c r="BO49" s="164"/>
      <c r="BP49" s="164"/>
      <c r="BQ49" s="164"/>
      <c r="BR49" s="164"/>
      <c r="BS49" s="164"/>
      <c r="BT49" s="164"/>
      <c r="BU49" s="164"/>
      <c r="BV49" s="164"/>
      <c r="BW49" s="164"/>
      <c r="BX49" s="164"/>
      <c r="BY49" s="164"/>
      <c r="BZ49" s="164"/>
      <c r="CA49" s="164"/>
      <c r="CB49" s="164"/>
      <c r="CC49" s="164"/>
      <c r="CD49" s="164"/>
      <c r="CE49" s="164"/>
      <c r="CF49" s="164"/>
      <c r="CG49" s="164"/>
      <c r="CH49" s="164"/>
      <c r="CI49" s="164"/>
      <c r="CJ49" s="164"/>
      <c r="CK49" s="164"/>
      <c r="CL49" s="164"/>
      <c r="CM49" s="164"/>
      <c r="CN49" s="164"/>
      <c r="CO49" s="164"/>
      <c r="CP49" s="164"/>
      <c r="CQ49" s="164"/>
      <c r="CR49" s="164"/>
      <c r="CS49" s="164"/>
      <c r="CT49" s="164"/>
      <c r="CU49" s="164"/>
      <c r="CV49" s="164"/>
      <c r="CW49" s="164"/>
      <c r="CX49" s="164"/>
      <c r="CY49" s="164"/>
      <c r="CZ49" s="164"/>
      <c r="DA49" s="164"/>
      <c r="DB49" s="164"/>
      <c r="DC49" s="164"/>
      <c r="DD49" s="164"/>
      <c r="DE49" s="164"/>
      <c r="DF49" s="164"/>
      <c r="DG49" s="164"/>
      <c r="DH49" s="164"/>
      <c r="DI49" s="164"/>
      <c r="DJ49" s="164"/>
      <c r="DK49" s="164"/>
      <c r="DL49" s="164"/>
      <c r="DM49" s="164"/>
      <c r="DN49" s="164"/>
      <c r="DO49" s="164"/>
      <c r="DP49" s="164"/>
      <c r="DQ49" s="164"/>
      <c r="DR49" s="164"/>
      <c r="DS49" s="164"/>
      <c r="DT49" s="164"/>
      <c r="DU49" s="164"/>
      <c r="DV49" s="164"/>
      <c r="DW49" s="164"/>
      <c r="DX49" s="164"/>
      <c r="DY49" s="164"/>
      <c r="DZ49" s="164"/>
      <c r="EA49" s="164"/>
      <c r="EB49" s="164"/>
      <c r="EC49" s="164"/>
      <c r="ED49" s="164"/>
      <c r="EE49" s="164"/>
      <c r="EF49" s="164"/>
      <c r="EG49" s="164"/>
      <c r="EH49" s="164"/>
      <c r="EI49" s="164"/>
      <c r="EJ49" s="164"/>
      <c r="EK49" s="164"/>
      <c r="EL49" s="164"/>
      <c r="EM49" s="164"/>
      <c r="EN49" s="164"/>
      <c r="EO49" s="164"/>
      <c r="EP49" s="164"/>
      <c r="EQ49" s="164"/>
      <c r="ER49" s="164"/>
      <c r="ES49" s="164"/>
      <c r="ET49" s="164"/>
      <c r="EU49" s="164"/>
      <c r="EV49" s="164"/>
      <c r="EW49" s="164"/>
      <c r="EX49" s="164"/>
      <c r="EY49" s="164"/>
      <c r="EZ49" s="164"/>
      <c r="FA49" s="164"/>
      <c r="FB49" s="164"/>
      <c r="FC49" s="164"/>
      <c r="FD49" s="164"/>
      <c r="FE49" s="164"/>
      <c r="FF49" s="164"/>
      <c r="FG49" s="164"/>
      <c r="FH49" s="164"/>
      <c r="FI49" s="164"/>
      <c r="FJ49" s="164"/>
      <c r="FK49" s="164"/>
      <c r="FL49" s="164"/>
      <c r="FM49" s="164"/>
      <c r="FN49" s="164"/>
      <c r="FO49" s="164"/>
      <c r="FP49" s="164"/>
      <c r="FQ49" s="164"/>
      <c r="FR49" s="164"/>
      <c r="FS49" s="164"/>
      <c r="FT49" s="164"/>
      <c r="FU49" s="164"/>
      <c r="FV49" s="164"/>
      <c r="FW49" s="164"/>
      <c r="FX49" s="164"/>
      <c r="FY49" s="164"/>
      <c r="FZ49" s="164"/>
      <c r="GA49" s="164"/>
      <c r="GB49" s="164"/>
      <c r="GC49" s="164"/>
      <c r="GD49" s="164"/>
      <c r="GE49" s="164"/>
      <c r="GF49" s="164"/>
      <c r="GG49" s="164"/>
      <c r="GH49" s="164"/>
      <c r="GI49" s="164"/>
      <c r="GJ49" s="164"/>
      <c r="GK49" s="164"/>
      <c r="GL49" s="164"/>
      <c r="GM49" s="164"/>
      <c r="GN49" s="164"/>
      <c r="GO49" s="164"/>
      <c r="GP49" s="164"/>
      <c r="GQ49" s="164"/>
      <c r="GR49" s="164"/>
      <c r="GS49" s="164"/>
      <c r="GT49" s="164"/>
      <c r="GU49" s="164"/>
      <c r="GV49" s="164"/>
      <c r="GW49" s="164"/>
      <c r="GX49" s="164"/>
      <c r="GY49" s="164"/>
      <c r="GZ49" s="164"/>
      <c r="HA49" s="164"/>
      <c r="HB49" s="164"/>
      <c r="HC49" s="164"/>
      <c r="HD49" s="164"/>
    </row>
    <row r="50" spans="2:212" x14ac:dyDescent="0.25">
      <c r="C50" s="56"/>
      <c r="D50" s="169" t="s">
        <v>91</v>
      </c>
      <c r="E50" s="167"/>
      <c r="F50" s="167"/>
      <c r="G50" s="9"/>
      <c r="H50" s="9"/>
      <c r="I50" s="9"/>
      <c r="J50" s="9"/>
      <c r="K50" s="170">
        <v>5.5E-2</v>
      </c>
      <c r="L50" s="252"/>
      <c r="M50" s="9"/>
      <c r="N50" s="9"/>
      <c r="O50" s="117" t="s">
        <v>103</v>
      </c>
      <c r="P50" s="9"/>
      <c r="Q50" s="9"/>
      <c r="R50" s="9"/>
      <c r="T50" s="195">
        <f>T47-K48</f>
        <v>21498648.254848741</v>
      </c>
      <c r="U50"/>
      <c r="V50"/>
      <c r="W50"/>
      <c r="X50" s="9"/>
      <c r="Z50" s="78"/>
      <c r="AA50" s="79"/>
      <c r="AB50" s="65"/>
      <c r="AC50" s="66"/>
      <c r="AD50" s="154"/>
      <c r="AE50" s="17"/>
    </row>
    <row r="51" spans="2:212" x14ac:dyDescent="0.25">
      <c r="C51" s="56"/>
      <c r="D51" s="169" t="s">
        <v>104</v>
      </c>
      <c r="E51" s="167"/>
      <c r="F51" s="167"/>
      <c r="G51" s="9"/>
      <c r="H51" s="9"/>
      <c r="I51" s="9"/>
      <c r="J51" s="9"/>
      <c r="K51" s="197">
        <v>30</v>
      </c>
      <c r="L51" s="255"/>
      <c r="M51" s="171"/>
      <c r="N51" s="9"/>
      <c r="O51" s="56" t="s">
        <v>105</v>
      </c>
      <c r="T51" s="198">
        <f>$K$31/T47</f>
        <v>5.1745867189837223E-2</v>
      </c>
      <c r="U51"/>
      <c r="V51"/>
      <c r="W51"/>
      <c r="X51" s="9"/>
      <c r="Z51" s="78"/>
      <c r="AA51" s="79"/>
      <c r="AB51" s="65"/>
      <c r="AC51" s="66"/>
      <c r="AD51" s="154"/>
      <c r="AE51" s="17"/>
    </row>
    <row r="52" spans="2:212" x14ac:dyDescent="0.25">
      <c r="C52" s="56"/>
      <c r="D52" s="169" t="s">
        <v>106</v>
      </c>
      <c r="E52" s="167"/>
      <c r="F52" s="167"/>
      <c r="G52" s="9"/>
      <c r="H52" s="9"/>
      <c r="I52" s="9"/>
      <c r="J52" s="9"/>
      <c r="K52" s="199">
        <f>IFERROR(ROUND(PMT(K50/12,K51*12,-K48),2)*12,0)</f>
        <v>2523708.5999999996</v>
      </c>
      <c r="L52" s="256"/>
      <c r="M52" s="9"/>
      <c r="N52" s="9"/>
      <c r="O52" s="56" t="s">
        <v>107</v>
      </c>
      <c r="T52" s="200">
        <f>$K$31/SUM(T47,-S30)</f>
        <v>5.3108463982608767E-2</v>
      </c>
      <c r="U52" s="177"/>
      <c r="V52" s="177"/>
      <c r="W52" s="177"/>
      <c r="X52" s="9"/>
      <c r="Z52" s="78"/>
      <c r="AA52" s="79"/>
      <c r="AB52" s="65"/>
      <c r="AC52" s="66"/>
      <c r="AD52" s="154"/>
      <c r="AE52" s="17"/>
    </row>
    <row r="53" spans="2:212" ht="15.75" thickBot="1" x14ac:dyDescent="0.3">
      <c r="C53" s="56"/>
      <c r="D53" s="169" t="s">
        <v>108</v>
      </c>
      <c r="E53" s="167"/>
      <c r="F53" s="167"/>
      <c r="G53" s="9"/>
      <c r="H53" s="9"/>
      <c r="I53" s="9"/>
      <c r="J53" s="9"/>
      <c r="K53" s="206">
        <f>K52/K48</f>
        <v>6.8134681425485955E-2</v>
      </c>
      <c r="L53" s="257"/>
      <c r="M53" s="9"/>
      <c r="N53" s="9"/>
      <c r="O53" s="56" t="s">
        <v>109</v>
      </c>
      <c r="S53" s="207" t="s">
        <v>110</v>
      </c>
      <c r="T53" s="200">
        <f>K35/T50</f>
        <v>2.3509595211596981E-2</v>
      </c>
      <c r="U53" s="102"/>
      <c r="V53" s="102"/>
      <c r="W53" s="102"/>
      <c r="X53" s="9"/>
      <c r="Z53" s="78"/>
      <c r="AA53" s="79"/>
      <c r="AB53" s="65"/>
      <c r="AC53" s="66">
        <f>SUM(AF53:HD53)</f>
        <v>0</v>
      </c>
      <c r="AD53" s="154"/>
      <c r="AE53" s="1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  <c r="EB53" s="57"/>
      <c r="EC53" s="57"/>
      <c r="ED53" s="57"/>
      <c r="EE53" s="57"/>
      <c r="EF53" s="57"/>
      <c r="EG53" s="57"/>
      <c r="EH53" s="57"/>
      <c r="EI53" s="57"/>
      <c r="EJ53" s="57"/>
      <c r="EK53" s="57"/>
      <c r="EL53" s="57"/>
      <c r="EM53" s="57"/>
      <c r="EN53" s="57"/>
      <c r="EO53" s="57"/>
      <c r="EP53" s="57"/>
      <c r="EQ53" s="57"/>
      <c r="ER53" s="57"/>
      <c r="ES53" s="57"/>
      <c r="ET53" s="57"/>
      <c r="EU53" s="57"/>
      <c r="EV53" s="57"/>
      <c r="EW53" s="57"/>
      <c r="EX53" s="57"/>
      <c r="EY53" s="57"/>
      <c r="EZ53" s="57"/>
      <c r="FA53" s="57"/>
      <c r="FB53" s="57"/>
      <c r="FC53" s="57"/>
      <c r="FD53" s="57"/>
      <c r="FE53" s="57"/>
      <c r="FF53" s="57"/>
      <c r="FG53" s="57"/>
      <c r="FH53" s="57"/>
      <c r="FI53" s="57"/>
      <c r="FJ53" s="57"/>
      <c r="FK53" s="57"/>
      <c r="FL53" s="57"/>
      <c r="FM53" s="57"/>
      <c r="FN53" s="57"/>
      <c r="FO53" s="57"/>
      <c r="FP53" s="57"/>
      <c r="FQ53" s="57"/>
      <c r="FR53" s="57"/>
      <c r="FS53" s="57"/>
      <c r="FT53" s="57"/>
      <c r="FU53" s="57"/>
      <c r="FV53" s="57"/>
      <c r="FW53" s="57"/>
      <c r="FX53" s="57"/>
      <c r="FY53" s="57"/>
      <c r="FZ53" s="57"/>
      <c r="GA53" s="57"/>
      <c r="GB53" s="57"/>
      <c r="GC53" s="57"/>
      <c r="GD53" s="57"/>
      <c r="GE53" s="57"/>
      <c r="GF53" s="57"/>
      <c r="GG53" s="57"/>
      <c r="GH53" s="57"/>
      <c r="GI53" s="57"/>
      <c r="GJ53" s="57"/>
      <c r="GK53" s="57"/>
      <c r="GL53" s="57"/>
      <c r="GM53" s="57"/>
      <c r="GN53" s="57"/>
      <c r="GO53" s="57"/>
      <c r="GP53" s="57"/>
      <c r="GQ53" s="57"/>
      <c r="GR53" s="57"/>
      <c r="GS53" s="57"/>
      <c r="GT53" s="57"/>
      <c r="GU53" s="57"/>
      <c r="GV53" s="57"/>
      <c r="GW53" s="57"/>
      <c r="GX53" s="57"/>
      <c r="GY53" s="57"/>
      <c r="GZ53" s="57"/>
      <c r="HA53" s="57"/>
      <c r="HB53" s="57"/>
      <c r="HC53" s="57"/>
      <c r="HD53" s="57"/>
    </row>
    <row r="54" spans="2:212" ht="15.75" thickTop="1" x14ac:dyDescent="0.25">
      <c r="C54" s="180"/>
      <c r="D54" s="208" t="s">
        <v>111</v>
      </c>
      <c r="E54" s="182"/>
      <c r="F54" s="182"/>
      <c r="G54" s="137"/>
      <c r="H54" s="137"/>
      <c r="I54" s="137"/>
      <c r="J54" s="137"/>
      <c r="K54" s="209">
        <f>K31/K52</f>
        <v>1.2002705534497919</v>
      </c>
      <c r="L54" s="258"/>
      <c r="M54" s="9"/>
      <c r="N54" s="9"/>
      <c r="O54" s="180" t="s">
        <v>112</v>
      </c>
      <c r="P54" s="210"/>
      <c r="Q54" s="210"/>
      <c r="R54" s="211">
        <v>0.02</v>
      </c>
      <c r="S54" s="212" t="s">
        <v>113</v>
      </c>
      <c r="T54" s="213">
        <f>K40*(1-R54)-T47</f>
        <v>-1994608.254848741</v>
      </c>
      <c r="U54" s="162"/>
      <c r="V54" s="162"/>
      <c r="W54" s="162"/>
      <c r="X54" s="9"/>
      <c r="Z54" s="78"/>
      <c r="AA54" s="79"/>
      <c r="AB54" s="65"/>
      <c r="AC54" s="186">
        <f>SUM(AF54:HD54)</f>
        <v>0</v>
      </c>
      <c r="AD54" s="154"/>
      <c r="AE54" s="1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187"/>
      <c r="BV54" s="187"/>
      <c r="BW54" s="187"/>
      <c r="BX54" s="187"/>
      <c r="BY54" s="187"/>
      <c r="BZ54" s="187"/>
      <c r="CA54" s="187"/>
      <c r="CB54" s="187"/>
      <c r="CC54" s="187"/>
      <c r="CD54" s="187"/>
      <c r="CE54" s="187"/>
      <c r="CF54" s="187"/>
      <c r="CG54" s="187"/>
      <c r="CH54" s="187"/>
      <c r="CI54" s="187"/>
      <c r="CJ54" s="187"/>
      <c r="CK54" s="187"/>
      <c r="CL54" s="187"/>
      <c r="CM54" s="187"/>
      <c r="CN54" s="187"/>
      <c r="CO54" s="187"/>
      <c r="CP54" s="187"/>
      <c r="CQ54" s="187"/>
      <c r="CR54" s="187"/>
      <c r="CS54" s="187"/>
      <c r="CT54" s="187"/>
      <c r="CU54" s="187"/>
      <c r="CV54" s="187"/>
      <c r="CW54" s="187"/>
      <c r="CX54" s="187"/>
      <c r="CY54" s="187"/>
      <c r="CZ54" s="187"/>
      <c r="DA54" s="187"/>
      <c r="DB54" s="187"/>
      <c r="DC54" s="187"/>
      <c r="DD54" s="187"/>
      <c r="DE54" s="187"/>
      <c r="DF54" s="187"/>
      <c r="DG54" s="187"/>
      <c r="DH54" s="187"/>
      <c r="DI54" s="187"/>
      <c r="DJ54" s="187"/>
      <c r="DK54" s="187"/>
      <c r="DL54" s="187"/>
      <c r="DM54" s="187"/>
      <c r="DN54" s="187"/>
      <c r="DO54" s="187"/>
      <c r="DP54" s="187"/>
      <c r="DQ54" s="187"/>
      <c r="DR54" s="187"/>
      <c r="DS54" s="187"/>
      <c r="DT54" s="187"/>
      <c r="DU54" s="187"/>
      <c r="DV54" s="187"/>
      <c r="DW54" s="187"/>
      <c r="DX54" s="187"/>
      <c r="DY54" s="187"/>
      <c r="DZ54" s="187"/>
      <c r="EA54" s="187"/>
      <c r="EB54" s="187"/>
      <c r="EC54" s="187"/>
      <c r="ED54" s="187"/>
      <c r="EE54" s="187"/>
      <c r="EF54" s="187"/>
      <c r="EG54" s="187"/>
      <c r="EH54" s="187"/>
      <c r="EI54" s="187"/>
      <c r="EJ54" s="187"/>
      <c r="EK54" s="187"/>
      <c r="EL54" s="187"/>
      <c r="EM54" s="187"/>
      <c r="EN54" s="187"/>
      <c r="EO54" s="187"/>
      <c r="EP54" s="187"/>
      <c r="EQ54" s="187"/>
      <c r="ER54" s="187"/>
      <c r="ES54" s="187"/>
      <c r="ET54" s="187"/>
      <c r="EU54" s="187"/>
      <c r="EV54" s="187"/>
      <c r="EW54" s="187"/>
      <c r="EX54" s="187"/>
      <c r="EY54" s="187"/>
      <c r="EZ54" s="187"/>
      <c r="FA54" s="187"/>
      <c r="FB54" s="187"/>
      <c r="FC54" s="187"/>
      <c r="FD54" s="187"/>
      <c r="FE54" s="187"/>
      <c r="FF54" s="187"/>
      <c r="FG54" s="187"/>
      <c r="FH54" s="187"/>
      <c r="FI54" s="187"/>
      <c r="FJ54" s="187"/>
      <c r="FK54" s="187"/>
      <c r="FL54" s="187"/>
      <c r="FM54" s="187"/>
      <c r="FN54" s="187"/>
      <c r="FO54" s="187"/>
      <c r="FP54" s="187"/>
      <c r="FQ54" s="187"/>
      <c r="FR54" s="187"/>
      <c r="FS54" s="187"/>
      <c r="FT54" s="187"/>
      <c r="FU54" s="187"/>
      <c r="FV54" s="187"/>
      <c r="FW54" s="187"/>
      <c r="FX54" s="187"/>
      <c r="FY54" s="187"/>
      <c r="FZ54" s="187"/>
      <c r="GA54" s="187"/>
      <c r="GB54" s="187"/>
      <c r="GC54" s="187"/>
      <c r="GD54" s="187"/>
      <c r="GE54" s="187"/>
      <c r="GF54" s="187"/>
      <c r="GG54" s="187"/>
      <c r="GH54" s="187"/>
      <c r="GI54" s="187"/>
      <c r="GJ54" s="187"/>
      <c r="GK54" s="187"/>
      <c r="GL54" s="187"/>
      <c r="GM54" s="187"/>
      <c r="GN54" s="187"/>
      <c r="GO54" s="187"/>
      <c r="GP54" s="187"/>
      <c r="GQ54" s="187"/>
      <c r="GR54" s="187"/>
      <c r="GS54" s="187"/>
      <c r="GT54" s="187"/>
      <c r="GU54" s="187"/>
      <c r="GV54" s="187"/>
      <c r="GW54" s="187"/>
      <c r="GX54" s="187"/>
      <c r="GY54" s="187"/>
      <c r="GZ54" s="187"/>
      <c r="HA54" s="187"/>
      <c r="HB54" s="187"/>
      <c r="HC54" s="187"/>
      <c r="HD54" s="187"/>
    </row>
    <row r="55" spans="2:212" x14ac:dyDescent="0.25">
      <c r="M55" s="9"/>
      <c r="N55" s="9"/>
      <c r="U55" s="102"/>
      <c r="V55" s="102"/>
      <c r="W55" s="102"/>
      <c r="X55" s="9"/>
      <c r="Z55" s="78"/>
      <c r="AA55" s="79"/>
      <c r="AB55" s="65"/>
      <c r="AC55" s="66"/>
      <c r="AE55" s="17"/>
    </row>
    <row r="56" spans="2:212" x14ac:dyDescent="0.25">
      <c r="M56" s="9"/>
      <c r="N56" s="9"/>
      <c r="U56" s="177"/>
      <c r="V56" s="177"/>
      <c r="W56" s="177"/>
      <c r="X56" s="9"/>
      <c r="Z56" s="78"/>
      <c r="AA56" s="79"/>
      <c r="AB56" s="65"/>
      <c r="AC56" s="66">
        <f>SUM(AF56:HD56)</f>
        <v>0</v>
      </c>
      <c r="AE56" s="17"/>
      <c r="AF56" s="196"/>
      <c r="AG56" s="196"/>
      <c r="AH56" s="196"/>
      <c r="AI56" s="196"/>
      <c r="AJ56" s="196"/>
      <c r="AK56" s="196"/>
      <c r="AL56" s="196"/>
      <c r="AM56" s="196"/>
      <c r="AN56" s="196"/>
      <c r="AO56" s="196"/>
      <c r="AP56" s="196"/>
      <c r="AQ56" s="196"/>
      <c r="AR56" s="196"/>
      <c r="AS56" s="196"/>
      <c r="AT56" s="196"/>
      <c r="AU56" s="196"/>
      <c r="AV56" s="196"/>
      <c r="AW56" s="196"/>
      <c r="AX56" s="196"/>
      <c r="AY56" s="196"/>
      <c r="AZ56" s="196"/>
      <c r="BA56" s="196"/>
      <c r="BB56" s="196"/>
      <c r="BC56" s="196"/>
      <c r="BD56" s="196"/>
      <c r="BE56" s="196"/>
      <c r="BF56" s="196"/>
      <c r="BG56" s="196"/>
      <c r="BH56" s="196"/>
      <c r="BI56" s="196"/>
      <c r="BJ56" s="196"/>
      <c r="BK56" s="196"/>
      <c r="BL56" s="196"/>
      <c r="BM56" s="196"/>
      <c r="BN56" s="196"/>
      <c r="BO56" s="196"/>
      <c r="BP56" s="196"/>
      <c r="BQ56" s="196"/>
      <c r="BR56" s="196"/>
      <c r="BS56" s="196"/>
      <c r="BT56" s="196"/>
      <c r="BU56" s="196"/>
      <c r="BV56" s="196"/>
      <c r="BW56" s="196"/>
      <c r="BX56" s="196"/>
      <c r="BY56" s="196"/>
      <c r="BZ56" s="196"/>
      <c r="CA56" s="196"/>
      <c r="CB56" s="196"/>
      <c r="CC56" s="196"/>
      <c r="CD56" s="196"/>
      <c r="CE56" s="196"/>
      <c r="CF56" s="196"/>
      <c r="CG56" s="196"/>
      <c r="CH56" s="196"/>
      <c r="CI56" s="196"/>
      <c r="CJ56" s="196"/>
      <c r="CK56" s="196"/>
      <c r="CL56" s="196"/>
      <c r="CM56" s="196"/>
      <c r="CN56" s="196"/>
      <c r="CO56" s="196"/>
      <c r="CP56" s="196"/>
      <c r="CQ56" s="196"/>
      <c r="CR56" s="196"/>
      <c r="CS56" s="196"/>
      <c r="CT56" s="196"/>
      <c r="CU56" s="196"/>
      <c r="CV56" s="196"/>
      <c r="CW56" s="196"/>
      <c r="CX56" s="196"/>
      <c r="CY56" s="196"/>
      <c r="CZ56" s="196"/>
      <c r="DA56" s="196"/>
      <c r="DB56" s="196"/>
      <c r="DC56" s="196"/>
      <c r="DD56" s="196"/>
      <c r="DE56" s="196"/>
      <c r="DF56" s="196"/>
      <c r="DG56" s="196"/>
      <c r="DH56" s="196"/>
      <c r="DI56" s="196"/>
      <c r="DJ56" s="196"/>
      <c r="DK56" s="196"/>
      <c r="DL56" s="196"/>
      <c r="DM56" s="196"/>
      <c r="DN56" s="196"/>
      <c r="DO56" s="196"/>
      <c r="DP56" s="196"/>
      <c r="DQ56" s="196"/>
      <c r="DR56" s="196"/>
      <c r="DS56" s="196"/>
      <c r="DT56" s="196"/>
      <c r="DU56" s="196"/>
      <c r="DV56" s="196"/>
      <c r="DW56" s="196"/>
      <c r="DX56" s="196"/>
      <c r="DY56" s="196"/>
      <c r="DZ56" s="196"/>
      <c r="EA56" s="196"/>
      <c r="EB56" s="196"/>
      <c r="EC56" s="196"/>
      <c r="ED56" s="196"/>
      <c r="EE56" s="196"/>
      <c r="EF56" s="196"/>
      <c r="EG56" s="196"/>
      <c r="EH56" s="196"/>
      <c r="EI56" s="196"/>
      <c r="EJ56" s="196"/>
      <c r="EK56" s="196"/>
      <c r="EL56" s="196"/>
      <c r="EM56" s="196"/>
      <c r="EN56" s="196"/>
      <c r="EO56" s="196"/>
      <c r="EP56" s="196"/>
      <c r="EQ56" s="196"/>
      <c r="ER56" s="196"/>
      <c r="ES56" s="196"/>
      <c r="ET56" s="196"/>
      <c r="EU56" s="196"/>
      <c r="EV56" s="196"/>
      <c r="EW56" s="196"/>
      <c r="EX56" s="196"/>
      <c r="EY56" s="196"/>
      <c r="EZ56" s="196"/>
      <c r="FA56" s="196"/>
      <c r="FB56" s="196"/>
      <c r="FC56" s="196"/>
      <c r="FD56" s="196"/>
      <c r="FE56" s="196"/>
      <c r="FF56" s="196"/>
      <c r="FG56" s="196"/>
      <c r="FH56" s="196"/>
      <c r="FI56" s="196"/>
      <c r="FJ56" s="196"/>
      <c r="FK56" s="196"/>
      <c r="FL56" s="196"/>
      <c r="FM56" s="196"/>
      <c r="FN56" s="196"/>
      <c r="FO56" s="196"/>
      <c r="FP56" s="196"/>
      <c r="FQ56" s="196"/>
      <c r="FR56" s="196"/>
      <c r="FS56" s="196"/>
      <c r="FT56" s="196"/>
      <c r="FU56" s="196"/>
      <c r="FV56" s="196"/>
      <c r="FW56" s="196"/>
      <c r="FX56" s="196"/>
      <c r="FY56" s="196"/>
      <c r="FZ56" s="196"/>
      <c r="GA56" s="196"/>
      <c r="GB56" s="196"/>
      <c r="GC56" s="196"/>
      <c r="GD56" s="196"/>
      <c r="GE56" s="196"/>
      <c r="GF56" s="196"/>
      <c r="GG56" s="196"/>
      <c r="GH56" s="196"/>
      <c r="GI56" s="196"/>
      <c r="GJ56" s="196"/>
      <c r="GK56" s="196"/>
      <c r="GL56" s="196"/>
      <c r="GM56" s="196"/>
      <c r="GN56" s="196"/>
      <c r="GO56" s="196"/>
      <c r="GP56" s="196"/>
      <c r="GQ56" s="196"/>
      <c r="GR56" s="196"/>
      <c r="GS56" s="196"/>
      <c r="GT56" s="196"/>
      <c r="GU56" s="196"/>
      <c r="GV56" s="196"/>
      <c r="GW56" s="196"/>
      <c r="GX56" s="196"/>
      <c r="GY56" s="196"/>
      <c r="GZ56" s="196"/>
      <c r="HA56" s="196"/>
      <c r="HB56" s="196"/>
      <c r="HC56" s="196"/>
      <c r="HD56" s="196"/>
    </row>
    <row r="57" spans="2:212" x14ac:dyDescent="0.25">
      <c r="B57" s="9"/>
      <c r="C57"/>
      <c r="D57"/>
      <c r="E57"/>
      <c r="F57"/>
      <c r="G57"/>
      <c r="H57"/>
      <c r="I57"/>
      <c r="J57"/>
      <c r="K57"/>
      <c r="L57"/>
      <c r="M57" s="9"/>
      <c r="N57" s="9"/>
      <c r="U57" s="177"/>
      <c r="V57" s="177"/>
      <c r="W57" s="177"/>
      <c r="X57" s="9"/>
      <c r="Z57" s="78"/>
      <c r="AA57" s="79"/>
      <c r="AB57" s="65"/>
      <c r="AC57" s="66">
        <f>SUM(AF57:HD57)</f>
        <v>0</v>
      </c>
      <c r="AE57" s="17"/>
      <c r="AF57" s="196"/>
      <c r="AG57" s="196"/>
      <c r="AH57" s="196"/>
      <c r="AI57" s="196"/>
      <c r="AJ57" s="196"/>
      <c r="AK57" s="196"/>
      <c r="AL57" s="196"/>
      <c r="AM57" s="196"/>
      <c r="AN57" s="196"/>
      <c r="AO57" s="196"/>
      <c r="AP57" s="196"/>
      <c r="AQ57" s="196"/>
      <c r="AR57" s="196"/>
      <c r="AS57" s="196"/>
      <c r="AT57" s="196"/>
      <c r="AU57" s="196"/>
      <c r="AV57" s="196"/>
      <c r="AW57" s="196"/>
      <c r="AX57" s="196"/>
      <c r="AY57" s="196"/>
      <c r="AZ57" s="196"/>
      <c r="BA57" s="196"/>
      <c r="BB57" s="196"/>
      <c r="BC57" s="196"/>
      <c r="BD57" s="196"/>
      <c r="BE57" s="196"/>
      <c r="BF57" s="196"/>
      <c r="BG57" s="196"/>
      <c r="BH57" s="196"/>
      <c r="BI57" s="196"/>
      <c r="BJ57" s="196"/>
      <c r="BK57" s="196"/>
      <c r="BL57" s="196"/>
      <c r="BM57" s="196"/>
      <c r="BN57" s="196"/>
      <c r="BO57" s="196"/>
      <c r="BP57" s="196"/>
      <c r="BQ57" s="196"/>
      <c r="BR57" s="196"/>
      <c r="BS57" s="196"/>
      <c r="BT57" s="196"/>
      <c r="BU57" s="196"/>
      <c r="BV57" s="196"/>
      <c r="BW57" s="196"/>
      <c r="BX57" s="196"/>
      <c r="BY57" s="196"/>
      <c r="BZ57" s="196"/>
      <c r="CA57" s="196"/>
      <c r="CB57" s="196"/>
      <c r="CC57" s="196"/>
      <c r="CD57" s="196"/>
      <c r="CE57" s="196"/>
      <c r="CF57" s="196"/>
      <c r="CG57" s="196"/>
      <c r="CH57" s="196"/>
      <c r="CI57" s="196"/>
      <c r="CJ57" s="196"/>
      <c r="CK57" s="196"/>
      <c r="CL57" s="196"/>
      <c r="CM57" s="196"/>
      <c r="CN57" s="196"/>
      <c r="CO57" s="196"/>
      <c r="CP57" s="196"/>
      <c r="CQ57" s="196"/>
      <c r="CR57" s="196"/>
      <c r="CS57" s="196"/>
      <c r="CT57" s="196"/>
      <c r="CU57" s="196"/>
      <c r="CV57" s="196"/>
      <c r="CW57" s="196"/>
      <c r="CX57" s="196"/>
      <c r="CY57" s="196"/>
      <c r="CZ57" s="196"/>
      <c r="DA57" s="196"/>
      <c r="DB57" s="196"/>
      <c r="DC57" s="196"/>
      <c r="DD57" s="196"/>
      <c r="DE57" s="196"/>
      <c r="DF57" s="196"/>
      <c r="DG57" s="196"/>
      <c r="DH57" s="196"/>
      <c r="DI57" s="196"/>
      <c r="DJ57" s="196"/>
      <c r="DK57" s="196"/>
      <c r="DL57" s="196"/>
      <c r="DM57" s="196"/>
      <c r="DN57" s="196"/>
      <c r="DO57" s="196"/>
      <c r="DP57" s="196"/>
      <c r="DQ57" s="196"/>
      <c r="DR57" s="196"/>
      <c r="DS57" s="196"/>
      <c r="DT57" s="196"/>
      <c r="DU57" s="196"/>
      <c r="DV57" s="196"/>
      <c r="DW57" s="196"/>
      <c r="DX57" s="196"/>
      <c r="DY57" s="196"/>
      <c r="DZ57" s="196"/>
      <c r="EA57" s="196"/>
      <c r="EB57" s="196"/>
      <c r="EC57" s="196"/>
      <c r="ED57" s="196"/>
      <c r="EE57" s="196"/>
      <c r="EF57" s="196"/>
      <c r="EG57" s="196"/>
      <c r="EH57" s="196"/>
      <c r="EI57" s="196"/>
      <c r="EJ57" s="196"/>
      <c r="EK57" s="196"/>
      <c r="EL57" s="196"/>
      <c r="EM57" s="196"/>
      <c r="EN57" s="196"/>
      <c r="EO57" s="196"/>
      <c r="EP57" s="196"/>
      <c r="EQ57" s="196"/>
      <c r="ER57" s="196"/>
      <c r="ES57" s="196"/>
      <c r="ET57" s="196"/>
      <c r="EU57" s="196"/>
      <c r="EV57" s="196"/>
      <c r="EW57" s="196"/>
      <c r="EX57" s="196"/>
      <c r="EY57" s="196"/>
      <c r="EZ57" s="196"/>
      <c r="FA57" s="196"/>
      <c r="FB57" s="196"/>
      <c r="FC57" s="196"/>
      <c r="FD57" s="196"/>
      <c r="FE57" s="196"/>
      <c r="FF57" s="196"/>
      <c r="FG57" s="196"/>
      <c r="FH57" s="196"/>
      <c r="FI57" s="196"/>
      <c r="FJ57" s="196"/>
      <c r="FK57" s="196"/>
      <c r="FL57" s="196"/>
      <c r="FM57" s="196"/>
      <c r="FN57" s="196"/>
      <c r="FO57" s="196"/>
      <c r="FP57" s="196"/>
      <c r="FQ57" s="196"/>
      <c r="FR57" s="196"/>
      <c r="FS57" s="196"/>
      <c r="FT57" s="196"/>
      <c r="FU57" s="196"/>
      <c r="FV57" s="196"/>
      <c r="FW57" s="196"/>
      <c r="FX57" s="196"/>
      <c r="FY57" s="196"/>
      <c r="FZ57" s="196"/>
      <c r="GA57" s="196"/>
      <c r="GB57" s="196"/>
      <c r="GC57" s="196"/>
      <c r="GD57" s="196"/>
      <c r="GE57" s="196"/>
      <c r="GF57" s="196"/>
      <c r="GG57" s="196"/>
      <c r="GH57" s="196"/>
      <c r="GI57" s="196"/>
      <c r="GJ57" s="196"/>
      <c r="GK57" s="196"/>
      <c r="GL57" s="196"/>
      <c r="GM57" s="196"/>
      <c r="GN57" s="196"/>
      <c r="GO57" s="196"/>
      <c r="GP57" s="196"/>
      <c r="GQ57" s="196"/>
      <c r="GR57" s="196"/>
      <c r="GS57" s="196"/>
      <c r="GT57" s="196"/>
      <c r="GU57" s="196"/>
      <c r="GV57" s="196"/>
      <c r="GW57" s="196"/>
      <c r="GX57" s="196"/>
      <c r="GY57" s="196"/>
      <c r="GZ57" s="196"/>
      <c r="HA57" s="196"/>
      <c r="HB57" s="196"/>
      <c r="HC57" s="196"/>
      <c r="HD57" s="196"/>
    </row>
    <row r="58" spans="2:212" x14ac:dyDescent="0.25">
      <c r="B58" s="9"/>
      <c r="C58"/>
      <c r="D58"/>
      <c r="E58"/>
      <c r="F58"/>
      <c r="G58"/>
      <c r="H58"/>
      <c r="I58"/>
      <c r="J58"/>
      <c r="K58"/>
      <c r="L58"/>
      <c r="M58" s="9"/>
      <c r="N58" s="9"/>
      <c r="X58" s="9"/>
      <c r="Z58" s="78"/>
      <c r="AA58" s="79"/>
      <c r="AB58" s="65"/>
      <c r="AC58" s="66">
        <v>0</v>
      </c>
      <c r="AE58" s="17"/>
    </row>
    <row r="59" spans="2:212" x14ac:dyDescent="0.25">
      <c r="C59"/>
      <c r="D59"/>
      <c r="E59"/>
      <c r="F59"/>
      <c r="G59"/>
      <c r="H59"/>
      <c r="I59"/>
      <c r="J59"/>
      <c r="K59"/>
      <c r="L59"/>
      <c r="M59" s="9"/>
      <c r="N59" s="9"/>
      <c r="X59" s="9"/>
      <c r="Z59" s="201"/>
      <c r="AA59" s="202"/>
      <c r="AB59" s="203"/>
      <c r="AC59" s="204">
        <f>SUM(AC56:AC58)</f>
        <v>0</v>
      </c>
      <c r="AE59" s="17"/>
      <c r="AF59" s="205"/>
      <c r="AG59" s="205"/>
      <c r="AH59" s="205"/>
      <c r="AI59" s="205"/>
      <c r="AJ59" s="205"/>
      <c r="AK59" s="205"/>
      <c r="AL59" s="205"/>
      <c r="AM59" s="205"/>
      <c r="AN59" s="205"/>
      <c r="AO59" s="205"/>
      <c r="AP59" s="205"/>
      <c r="AQ59" s="205"/>
      <c r="AR59" s="205"/>
      <c r="AS59" s="205"/>
      <c r="AT59" s="205"/>
      <c r="AU59" s="205"/>
      <c r="AV59" s="205"/>
      <c r="AW59" s="205"/>
      <c r="AX59" s="205"/>
      <c r="AY59" s="205"/>
      <c r="AZ59" s="205"/>
      <c r="BA59" s="205"/>
      <c r="BB59" s="205"/>
      <c r="BC59" s="205"/>
      <c r="BD59" s="205"/>
      <c r="BE59" s="205"/>
      <c r="BF59" s="205"/>
      <c r="BG59" s="205"/>
      <c r="BH59" s="205"/>
      <c r="BI59" s="205"/>
      <c r="BJ59" s="205"/>
      <c r="BK59" s="205"/>
      <c r="BL59" s="205"/>
      <c r="BM59" s="205"/>
      <c r="BN59" s="205"/>
      <c r="BO59" s="205"/>
      <c r="BP59" s="205"/>
      <c r="BQ59" s="205"/>
      <c r="BR59" s="205"/>
      <c r="BS59" s="205"/>
      <c r="BT59" s="205"/>
      <c r="BU59" s="205"/>
      <c r="BV59" s="205"/>
      <c r="BW59" s="205"/>
      <c r="BX59" s="205"/>
      <c r="BY59" s="205"/>
      <c r="BZ59" s="205"/>
      <c r="CA59" s="205"/>
      <c r="CB59" s="205"/>
      <c r="CC59" s="205"/>
      <c r="CD59" s="205"/>
      <c r="CE59" s="205"/>
      <c r="CF59" s="205"/>
      <c r="CG59" s="205"/>
      <c r="CH59" s="205"/>
      <c r="CI59" s="205"/>
      <c r="CJ59" s="205"/>
      <c r="CK59" s="205"/>
      <c r="CL59" s="205"/>
      <c r="CM59" s="205"/>
      <c r="CN59" s="205"/>
      <c r="CO59" s="205"/>
      <c r="CP59" s="205"/>
      <c r="CQ59" s="205"/>
      <c r="CR59" s="205"/>
      <c r="CS59" s="205"/>
      <c r="CT59" s="205"/>
      <c r="CU59" s="205"/>
      <c r="CV59" s="205"/>
      <c r="CW59" s="205"/>
      <c r="CX59" s="205"/>
      <c r="CY59" s="205"/>
      <c r="CZ59" s="205"/>
      <c r="DA59" s="205"/>
      <c r="DB59" s="205"/>
      <c r="DC59" s="205"/>
      <c r="DD59" s="205"/>
      <c r="DE59" s="205"/>
      <c r="DF59" s="205"/>
      <c r="DG59" s="205"/>
      <c r="DH59" s="205"/>
      <c r="DI59" s="205"/>
      <c r="DJ59" s="205"/>
      <c r="DK59" s="205"/>
      <c r="DL59" s="205"/>
      <c r="DM59" s="205"/>
      <c r="DN59" s="205"/>
      <c r="DO59" s="205"/>
      <c r="DP59" s="205"/>
      <c r="DQ59" s="205"/>
      <c r="DR59" s="205"/>
      <c r="DS59" s="205"/>
      <c r="DT59" s="205"/>
      <c r="DU59" s="205"/>
      <c r="DV59" s="205"/>
      <c r="DW59" s="205"/>
      <c r="DX59" s="205"/>
      <c r="DY59" s="205"/>
      <c r="DZ59" s="205"/>
      <c r="EA59" s="205"/>
      <c r="EB59" s="205"/>
      <c r="EC59" s="205"/>
      <c r="ED59" s="205"/>
      <c r="EE59" s="205"/>
      <c r="EF59" s="205"/>
      <c r="EG59" s="205"/>
      <c r="EH59" s="205"/>
      <c r="EI59" s="205"/>
      <c r="EJ59" s="205"/>
      <c r="EK59" s="205"/>
      <c r="EL59" s="205"/>
      <c r="EM59" s="205"/>
      <c r="EN59" s="205"/>
      <c r="EO59" s="205"/>
      <c r="EP59" s="205"/>
      <c r="EQ59" s="205"/>
      <c r="ER59" s="205"/>
      <c r="ES59" s="205"/>
      <c r="ET59" s="205"/>
      <c r="EU59" s="205"/>
      <c r="EV59" s="205"/>
      <c r="EW59" s="205"/>
      <c r="EX59" s="205"/>
      <c r="EY59" s="205"/>
      <c r="EZ59" s="205"/>
      <c r="FA59" s="205"/>
      <c r="FB59" s="205"/>
      <c r="FC59" s="205"/>
      <c r="FD59" s="205"/>
      <c r="FE59" s="205"/>
      <c r="FF59" s="205"/>
      <c r="FG59" s="205"/>
      <c r="FH59" s="205"/>
      <c r="FI59" s="205"/>
      <c r="FJ59" s="205"/>
      <c r="FK59" s="205"/>
      <c r="FL59" s="205"/>
      <c r="FM59" s="205"/>
      <c r="FN59" s="205"/>
      <c r="FO59" s="205"/>
      <c r="FP59" s="205"/>
      <c r="FQ59" s="205"/>
      <c r="FR59" s="205"/>
      <c r="FS59" s="205"/>
      <c r="FT59" s="205"/>
      <c r="FU59" s="205"/>
      <c r="FV59" s="205"/>
      <c r="FW59" s="205"/>
      <c r="FX59" s="205"/>
      <c r="FY59" s="205"/>
      <c r="FZ59" s="205"/>
      <c r="GA59" s="205"/>
      <c r="GB59" s="205"/>
      <c r="GC59" s="205"/>
      <c r="GD59" s="205"/>
      <c r="GE59" s="205"/>
      <c r="GF59" s="205"/>
      <c r="GG59" s="205"/>
      <c r="GH59" s="205"/>
      <c r="GI59" s="205"/>
      <c r="GJ59" s="205"/>
      <c r="GK59" s="205"/>
      <c r="GL59" s="205"/>
      <c r="GM59" s="205"/>
      <c r="GN59" s="205"/>
      <c r="GO59" s="205"/>
      <c r="GP59" s="205"/>
      <c r="GQ59" s="205"/>
      <c r="GR59" s="205"/>
      <c r="GS59" s="205"/>
      <c r="GT59" s="205"/>
      <c r="GU59" s="205"/>
      <c r="GV59" s="205"/>
      <c r="GW59" s="205"/>
      <c r="GX59" s="205"/>
      <c r="GY59" s="205"/>
      <c r="GZ59" s="205"/>
      <c r="HA59" s="205"/>
      <c r="HB59" s="205"/>
      <c r="HC59" s="205"/>
      <c r="HD59" s="205"/>
    </row>
    <row r="60" spans="2:212" x14ac:dyDescent="0.25">
      <c r="C60"/>
      <c r="D60"/>
      <c r="E60"/>
      <c r="F60"/>
      <c r="G60"/>
      <c r="H60"/>
      <c r="I60"/>
      <c r="J60"/>
      <c r="K60"/>
      <c r="L60"/>
      <c r="M60" s="9"/>
      <c r="N60" s="9"/>
      <c r="X60" s="9"/>
      <c r="AE60" s="17"/>
    </row>
    <row r="61" spans="2:212" x14ac:dyDescent="0.25">
      <c r="C61"/>
      <c r="D61"/>
      <c r="E61"/>
      <c r="F61"/>
      <c r="G61"/>
      <c r="H61"/>
      <c r="I61"/>
      <c r="J61"/>
      <c r="K61"/>
      <c r="L61"/>
      <c r="M61" s="9"/>
      <c r="N61" s="9"/>
      <c r="U61" s="9"/>
      <c r="V61" s="9"/>
      <c r="W61" s="9"/>
      <c r="X61" s="9"/>
      <c r="AE61" s="17"/>
    </row>
    <row r="62" spans="2:212" x14ac:dyDescent="0.25">
      <c r="C62"/>
      <c r="D62"/>
      <c r="E62"/>
      <c r="F62"/>
      <c r="G62"/>
      <c r="H62"/>
      <c r="I62"/>
      <c r="J62"/>
      <c r="K62"/>
      <c r="L62"/>
      <c r="M62" s="9"/>
      <c r="N62" s="9"/>
      <c r="AE62" s="17"/>
    </row>
    <row r="63" spans="2:212" x14ac:dyDescent="0.25">
      <c r="C63"/>
      <c r="D63"/>
      <c r="E63"/>
      <c r="F63"/>
      <c r="G63"/>
      <c r="H63"/>
      <c r="I63"/>
      <c r="J63"/>
      <c r="K63"/>
      <c r="L63"/>
      <c r="M63" s="9"/>
      <c r="N63" s="9"/>
      <c r="AE63" s="17"/>
    </row>
    <row r="64" spans="2:212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 s="9"/>
      <c r="T64" s="9"/>
      <c r="U64" s="9"/>
      <c r="V64" s="9"/>
      <c r="W64" s="9"/>
      <c r="X64" s="9"/>
    </row>
    <row r="65" spans="3:24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U65" s="9"/>
      <c r="V65" s="9"/>
      <c r="W65" s="9"/>
      <c r="X65" s="9"/>
    </row>
    <row r="66" spans="3:24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3:24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3:24" x14ac:dyDescent="0.25"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3:24" x14ac:dyDescent="0.25"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3:24" x14ac:dyDescent="0.25"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3:24" x14ac:dyDescent="0.25"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3:24" x14ac:dyDescent="0.25"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3:24" x14ac:dyDescent="0.25"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3:24" x14ac:dyDescent="0.25"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3:24" x14ac:dyDescent="0.25"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3:24" x14ac:dyDescent="0.25"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3:24" x14ac:dyDescent="0.25"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3:24" x14ac:dyDescent="0.25"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3:24" x14ac:dyDescent="0.25"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3:24" x14ac:dyDescent="0.25"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3:18" x14ac:dyDescent="0.25"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3:18" x14ac:dyDescent="0.25"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3:18" x14ac:dyDescent="0.25"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3:18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3:18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3:18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3:18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3:18" x14ac:dyDescent="0.25"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3:18" x14ac:dyDescent="0.25"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3:18" x14ac:dyDescent="0.25"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3:18" x14ac:dyDescent="0.25"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3:18" x14ac:dyDescent="0.25"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3:18" x14ac:dyDescent="0.25"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3:18" x14ac:dyDescent="0.25"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3:18" x14ac:dyDescent="0.25"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3:18" x14ac:dyDescent="0.25"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3:18" x14ac:dyDescent="0.25"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3:18" x14ac:dyDescent="0.25"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3:18" x14ac:dyDescent="0.25"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3:18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3:18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3:18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3:18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3:18" x14ac:dyDescent="0.25">
      <c r="M104"/>
      <c r="N104"/>
      <c r="O104"/>
      <c r="P104"/>
      <c r="Q104"/>
      <c r="R104"/>
    </row>
    <row r="105" spans="3:18" x14ac:dyDescent="0.25">
      <c r="M105"/>
      <c r="N105"/>
      <c r="O105"/>
      <c r="P105"/>
      <c r="Q105"/>
      <c r="R105"/>
    </row>
    <row r="106" spans="3:18" x14ac:dyDescent="0.25">
      <c r="M106"/>
      <c r="N106"/>
      <c r="O106"/>
      <c r="P106"/>
      <c r="Q106"/>
      <c r="R106"/>
    </row>
    <row r="107" spans="3:18" x14ac:dyDescent="0.25">
      <c r="M107"/>
      <c r="N107"/>
      <c r="O107"/>
      <c r="P107"/>
      <c r="Q107"/>
      <c r="R107"/>
    </row>
    <row r="108" spans="3:18" x14ac:dyDescent="0.25">
      <c r="M108"/>
      <c r="N108"/>
      <c r="O108"/>
      <c r="P108"/>
      <c r="Q108"/>
      <c r="R108"/>
    </row>
    <row r="109" spans="3:18" x14ac:dyDescent="0.25">
      <c r="M109"/>
      <c r="N109"/>
      <c r="O109"/>
      <c r="P109"/>
      <c r="Q109"/>
      <c r="R109"/>
    </row>
    <row r="110" spans="3:18" x14ac:dyDescent="0.25">
      <c r="M110"/>
      <c r="N110"/>
      <c r="O110"/>
      <c r="P110"/>
      <c r="Q110"/>
      <c r="R110"/>
    </row>
  </sheetData>
  <conditionalFormatting sqref="G9:L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8A010E-7113-48FF-AD94-52DE80F1CCAA}">
          <x14:formula1>
            <xm:f>Scenarios!$D$3:$J$3</xm:f>
          </x14:formula1>
          <xm:sqref>E4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37318-3F87-4D1D-AA84-83AAA4AA08F9}">
  <dimension ref="B4:P96"/>
  <sheetViews>
    <sheetView topLeftCell="A31" zoomScale="80" zoomScaleNormal="80" workbookViewId="0">
      <selection activeCell="F33" sqref="F33"/>
    </sheetView>
  </sheetViews>
  <sheetFormatPr defaultRowHeight="15" x14ac:dyDescent="0.25"/>
  <cols>
    <col min="2" max="2" width="35.7109375" customWidth="1"/>
    <col min="3" max="3" width="15.140625" bestFit="1" customWidth="1"/>
    <col min="6" max="6" width="16.28515625" bestFit="1" customWidth="1"/>
    <col min="7" max="7" width="15.140625" bestFit="1" customWidth="1"/>
    <col min="8" max="8" width="12.85546875" customWidth="1"/>
    <col min="9" max="9" width="17.140625" customWidth="1"/>
    <col min="10" max="10" width="12.140625" bestFit="1" customWidth="1"/>
    <col min="11" max="11" width="13" bestFit="1" customWidth="1"/>
    <col min="12" max="12" width="12.85546875" customWidth="1"/>
    <col min="14" max="14" width="13" bestFit="1" customWidth="1"/>
    <col min="16" max="16" width="12" bestFit="1" customWidth="1"/>
  </cols>
  <sheetData>
    <row r="4" spans="2:11" x14ac:dyDescent="0.25">
      <c r="B4" s="1" t="s">
        <v>138</v>
      </c>
      <c r="F4" s="1" t="s">
        <v>139</v>
      </c>
      <c r="I4" s="1" t="s">
        <v>157</v>
      </c>
    </row>
    <row r="5" spans="2:11" x14ac:dyDescent="0.25">
      <c r="B5" t="s">
        <v>0</v>
      </c>
      <c r="C5" s="366" t="s">
        <v>136</v>
      </c>
      <c r="F5" t="s">
        <v>14</v>
      </c>
      <c r="I5" t="s">
        <v>158</v>
      </c>
      <c r="J5" s="288">
        <f>Debt!C26</f>
        <v>4.2500000000000003E-2</v>
      </c>
    </row>
    <row r="6" spans="2:11" x14ac:dyDescent="0.25">
      <c r="B6" t="s">
        <v>1</v>
      </c>
      <c r="C6" s="366" t="s">
        <v>137</v>
      </c>
      <c r="F6" t="s">
        <v>15</v>
      </c>
      <c r="G6" s="7">
        <f>Debt!C16</f>
        <v>40975000</v>
      </c>
      <c r="I6" t="s">
        <v>159</v>
      </c>
      <c r="J6" s="288">
        <v>0.02</v>
      </c>
    </row>
    <row r="7" spans="2:11" x14ac:dyDescent="0.25">
      <c r="B7" t="s">
        <v>2</v>
      </c>
      <c r="C7" s="365">
        <f>YOC!E9</f>
        <v>189</v>
      </c>
      <c r="D7" t="s">
        <v>12</v>
      </c>
      <c r="F7" t="s">
        <v>16</v>
      </c>
      <c r="G7" s="215">
        <f>G8-G6</f>
        <v>22473189.448054336</v>
      </c>
    </row>
    <row r="8" spans="2:11" x14ac:dyDescent="0.25">
      <c r="B8" t="s">
        <v>3</v>
      </c>
      <c r="C8" s="365">
        <f>YOC!E13</f>
        <v>1136.6666666666665</v>
      </c>
      <c r="D8" t="s">
        <v>13</v>
      </c>
      <c r="F8" s="5" t="s">
        <v>17</v>
      </c>
      <c r="G8" s="300">
        <f>G17</f>
        <v>63448189.448054336</v>
      </c>
      <c r="I8" s="1" t="s">
        <v>282</v>
      </c>
    </row>
    <row r="9" spans="2:11" x14ac:dyDescent="0.25">
      <c r="B9" t="s">
        <v>4</v>
      </c>
      <c r="C9" s="365">
        <f>YOC!E14</f>
        <v>214829.99999999997</v>
      </c>
      <c r="D9" t="s">
        <v>13</v>
      </c>
      <c r="J9" s="337" t="s">
        <v>168</v>
      </c>
      <c r="K9" s="337" t="s">
        <v>173</v>
      </c>
    </row>
    <row r="10" spans="2:11" x14ac:dyDescent="0.25">
      <c r="B10" t="s">
        <v>5</v>
      </c>
      <c r="C10" s="216">
        <f>YOC!Q23</f>
        <v>343688.39999999997</v>
      </c>
      <c r="D10" t="s">
        <v>13</v>
      </c>
      <c r="F10" t="s">
        <v>18</v>
      </c>
      <c r="I10" t="s">
        <v>16</v>
      </c>
      <c r="J10" s="215">
        <f>-N76</f>
        <v>63448189.448054321</v>
      </c>
      <c r="K10" s="215">
        <f>-N86</f>
        <v>22473189.448054336</v>
      </c>
    </row>
    <row r="11" spans="2:11" x14ac:dyDescent="0.25">
      <c r="F11" t="s">
        <v>19</v>
      </c>
      <c r="G11" s="215">
        <f>N28</f>
        <v>1501918.308</v>
      </c>
      <c r="I11" t="s">
        <v>283</v>
      </c>
      <c r="J11" s="215">
        <f>N79</f>
        <v>30995104.889635064</v>
      </c>
      <c r="K11" s="215">
        <f>N92</f>
        <v>18307208.448175136</v>
      </c>
    </row>
    <row r="12" spans="2:11" x14ac:dyDescent="0.25">
      <c r="B12" t="s">
        <v>6</v>
      </c>
      <c r="C12" s="216">
        <f>YOC!S42</f>
        <v>58538648.254848741</v>
      </c>
      <c r="F12" t="s">
        <v>20</v>
      </c>
      <c r="G12" s="215">
        <f t="shared" ref="G12:G16" si="0">N29</f>
        <v>48807611.527499989</v>
      </c>
      <c r="I12" t="s">
        <v>269</v>
      </c>
      <c r="J12" s="288">
        <f>C81</f>
        <v>7.9767057654526186E-2</v>
      </c>
      <c r="K12" s="288">
        <f>C94</f>
        <v>8.5687529353893011E-2</v>
      </c>
    </row>
    <row r="13" spans="2:11" x14ac:dyDescent="0.25">
      <c r="B13" t="s">
        <v>7</v>
      </c>
      <c r="C13" s="296">
        <f>C12/C7</f>
        <v>309728.29764470231</v>
      </c>
      <c r="F13" t="s">
        <v>21</v>
      </c>
      <c r="G13" s="215">
        <f t="shared" si="0"/>
        <v>7853250.9259774219</v>
      </c>
      <c r="I13" t="s">
        <v>284</v>
      </c>
      <c r="J13" s="296">
        <f>C82</f>
        <v>1.4885104706574972</v>
      </c>
      <c r="K13" s="296">
        <f>C95</f>
        <v>1.8146243990196111</v>
      </c>
    </row>
    <row r="14" spans="2:11" x14ac:dyDescent="0.25">
      <c r="B14" t="s">
        <v>8</v>
      </c>
      <c r="C14" s="215">
        <f>C12/C9</f>
        <v>272.48823839709888</v>
      </c>
      <c r="F14" t="s">
        <v>22</v>
      </c>
      <c r="G14" s="215">
        <f t="shared" si="0"/>
        <v>490423.71019193972</v>
      </c>
    </row>
    <row r="15" spans="2:11" x14ac:dyDescent="0.25">
      <c r="F15" t="s">
        <v>23</v>
      </c>
      <c r="G15" s="215">
        <f t="shared" si="0"/>
        <v>2346128.1788667738</v>
      </c>
    </row>
    <row r="16" spans="2:11" x14ac:dyDescent="0.25">
      <c r="B16" t="s">
        <v>9</v>
      </c>
      <c r="C16" s="216">
        <f>L52</f>
        <v>81985360.340693563</v>
      </c>
      <c r="D16" s="261">
        <v>5.2499999999999998E-2</v>
      </c>
      <c r="F16" t="s">
        <v>24</v>
      </c>
      <c r="G16" s="286">
        <f t="shared" si="0"/>
        <v>2448856.7975182068</v>
      </c>
    </row>
    <row r="17" spans="2:14" x14ac:dyDescent="0.25">
      <c r="B17" t="s">
        <v>10</v>
      </c>
      <c r="C17" s="215">
        <f>C16/C7</f>
        <v>433784.97534758499</v>
      </c>
      <c r="F17" s="5" t="s">
        <v>25</v>
      </c>
      <c r="G17" s="215">
        <f>SUM(G11:G16)</f>
        <v>63448189.448054336</v>
      </c>
    </row>
    <row r="18" spans="2:14" x14ac:dyDescent="0.25">
      <c r="B18" t="s">
        <v>11</v>
      </c>
      <c r="C18" s="215">
        <f>C16/C9</f>
        <v>381.62901056972294</v>
      </c>
    </row>
    <row r="21" spans="2:14" x14ac:dyDescent="0.25">
      <c r="B21" s="262" t="s">
        <v>140</v>
      </c>
      <c r="C21" s="262"/>
      <c r="D21" s="262"/>
      <c r="E21" s="262"/>
      <c r="F21" s="262">
        <v>1</v>
      </c>
      <c r="G21" s="262">
        <f>F21+1</f>
        <v>2</v>
      </c>
      <c r="H21" s="262">
        <f t="shared" ref="H21:L22" si="1">G21+1</f>
        <v>3</v>
      </c>
      <c r="I21" s="262">
        <f t="shared" si="1"/>
        <v>4</v>
      </c>
      <c r="J21" s="262">
        <f t="shared" si="1"/>
        <v>5</v>
      </c>
      <c r="K21" s="262">
        <f t="shared" si="1"/>
        <v>6</v>
      </c>
      <c r="L21" s="262">
        <f t="shared" si="1"/>
        <v>7</v>
      </c>
      <c r="M21" s="262"/>
      <c r="N21" s="263" t="s">
        <v>46</v>
      </c>
    </row>
    <row r="22" spans="2:14" x14ac:dyDescent="0.25">
      <c r="B22" t="s">
        <v>141</v>
      </c>
      <c r="F22" s="264">
        <f>G22-1</f>
        <v>-2</v>
      </c>
      <c r="G22" s="264">
        <v>-1</v>
      </c>
      <c r="H22" s="265">
        <v>1</v>
      </c>
      <c r="I22" s="266">
        <f t="shared" si="1"/>
        <v>2</v>
      </c>
      <c r="J22" s="266">
        <f t="shared" si="1"/>
        <v>3</v>
      </c>
      <c r="K22" s="266">
        <f t="shared" si="1"/>
        <v>4</v>
      </c>
      <c r="L22" s="266">
        <f t="shared" si="1"/>
        <v>5</v>
      </c>
    </row>
    <row r="25" spans="2:14" x14ac:dyDescent="0.25">
      <c r="B25" s="267" t="s">
        <v>142</v>
      </c>
      <c r="C25" s="267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</row>
    <row r="26" spans="2:14" x14ac:dyDescent="0.25">
      <c r="F26" s="268" t="s">
        <v>143</v>
      </c>
      <c r="G26" s="268" t="s">
        <v>143</v>
      </c>
    </row>
    <row r="28" spans="2:14" x14ac:dyDescent="0.25">
      <c r="B28" t="s">
        <v>19</v>
      </c>
      <c r="F28" s="271">
        <f>SUMIF(Development!$I$6:$AG$6,'Cash Flow'!F$21,Development!$I$8:$AG$8)</f>
        <v>1501918.308</v>
      </c>
      <c r="G28" s="271">
        <f>SUMIF(Development!$I$6:$AG$6,'Cash Flow'!G$21,Development!$I$8:$AG$8)</f>
        <v>0</v>
      </c>
      <c r="N28" s="271">
        <f>SUM(E28:M28)</f>
        <v>1501918.308</v>
      </c>
    </row>
    <row r="29" spans="2:14" x14ac:dyDescent="0.25">
      <c r="B29" t="s">
        <v>20</v>
      </c>
      <c r="F29" s="271">
        <f>SUMIF(Development!$I$6:$AG$6,'Cash Flow'!F$21,Development!$I$10:$AG$10)</f>
        <v>16269203.842499997</v>
      </c>
      <c r="G29" s="271">
        <f>SUMIF(Development!$I$6:$AG$6,'Cash Flow'!G$21,Development!$I$10:$AG$10)</f>
        <v>32538407.684999991</v>
      </c>
      <c r="N29" s="271">
        <f t="shared" ref="N29:N33" si="2">SUM(E29:M29)</f>
        <v>48807611.527499989</v>
      </c>
    </row>
    <row r="30" spans="2:14" x14ac:dyDescent="0.25">
      <c r="B30" t="s">
        <v>21</v>
      </c>
      <c r="F30" s="271">
        <f>SUMIF(Development!$I$6:$AG$6,'Cash Flow'!F$21,Development!$I$24:$AG$24)</f>
        <v>7367615.1912787966</v>
      </c>
      <c r="G30" s="271">
        <f>SUMIF(Development!$I$6:$AG$6,'Cash Flow'!G$21,Development!$I$24:$AG$24)</f>
        <v>485635.73469862505</v>
      </c>
      <c r="N30" s="271">
        <f t="shared" si="2"/>
        <v>7853250.9259774219</v>
      </c>
    </row>
    <row r="31" spans="2:14" x14ac:dyDescent="0.25">
      <c r="B31" t="s">
        <v>144</v>
      </c>
      <c r="F31" s="271">
        <f>SUMIF(Development!$I$6:$AG$6,'Cash Flow'!F$21,Development!$I$30:$AG$30)</f>
        <v>490423.71019193972</v>
      </c>
      <c r="G31" s="271">
        <f>SUMIF(Development!$I$6:$AG$6,'Cash Flow'!G$21,Development!$I$30:$AG$30)</f>
        <v>0</v>
      </c>
      <c r="N31" s="271">
        <f t="shared" si="2"/>
        <v>490423.71019193972</v>
      </c>
    </row>
    <row r="32" spans="2:14" x14ac:dyDescent="0.25">
      <c r="B32" t="s">
        <v>23</v>
      </c>
      <c r="F32" s="271">
        <f>SUMIF(Development!$I$6:$AG$6,'Cash Flow'!F$21,Development!$I$32:$AG$32)</f>
        <v>1025166.442078829</v>
      </c>
      <c r="G32" s="271">
        <f>SUMIF(Development!$I$6:$AG$6,'Cash Flow'!G$21,Development!$I$32:$AG$32)</f>
        <v>1320961.7367879448</v>
      </c>
      <c r="N32" s="271">
        <f t="shared" si="2"/>
        <v>2346128.1788667738</v>
      </c>
    </row>
    <row r="33" spans="2:16" x14ac:dyDescent="0.25">
      <c r="B33" t="s">
        <v>24</v>
      </c>
      <c r="F33" s="7">
        <f>SUMIF(Development!$I$6:$AG$6,'Cash Flow'!F$21,Development!$I$34:$AG$34)</f>
        <v>1070054.8388131589</v>
      </c>
      <c r="G33" s="7">
        <f>SUMIF(Development!$I$6:$AG$6,'Cash Flow'!G$21,Development!$I$34:$AG$34)</f>
        <v>1378801.9587050481</v>
      </c>
      <c r="N33" s="271">
        <f t="shared" si="2"/>
        <v>2448856.7975182068</v>
      </c>
    </row>
    <row r="34" spans="2:16" x14ac:dyDescent="0.25">
      <c r="B34" s="269" t="s">
        <v>145</v>
      </c>
      <c r="C34" s="270"/>
      <c r="D34" s="270"/>
      <c r="E34" s="270"/>
      <c r="F34" s="270">
        <f>SUM(F28:F33)</f>
        <v>27724382.33286272</v>
      </c>
      <c r="G34" s="270">
        <f>SUM(G28:G33)</f>
        <v>35723807.115191601</v>
      </c>
      <c r="H34" s="270"/>
      <c r="I34" s="270"/>
      <c r="J34" s="270"/>
      <c r="K34" s="270"/>
      <c r="L34" s="270"/>
      <c r="M34" s="270"/>
      <c r="N34" s="270">
        <f>SUM(E34:M34)</f>
        <v>63448189.448054321</v>
      </c>
      <c r="P34" s="296">
        <f>N34/C9</f>
        <v>295.34138364313333</v>
      </c>
    </row>
    <row r="36" spans="2:16" x14ac:dyDescent="0.25">
      <c r="P36" s="215"/>
    </row>
    <row r="37" spans="2:16" x14ac:dyDescent="0.25">
      <c r="B37" s="267" t="s">
        <v>146</v>
      </c>
      <c r="C37" s="267"/>
      <c r="D37" s="267"/>
      <c r="E37" s="267"/>
      <c r="F37" s="267"/>
      <c r="G37" s="267"/>
      <c r="H37" s="267"/>
      <c r="I37" s="267"/>
      <c r="J37" s="267"/>
      <c r="K37" s="267"/>
      <c r="L37" s="267"/>
      <c r="M37" s="267"/>
      <c r="N37" s="267"/>
    </row>
    <row r="38" spans="2:16" x14ac:dyDescent="0.25">
      <c r="H38" s="272" t="s">
        <v>147</v>
      </c>
      <c r="I38" s="273" t="s">
        <v>148</v>
      </c>
      <c r="J38" s="273" t="s">
        <v>148</v>
      </c>
      <c r="K38" s="273" t="s">
        <v>148</v>
      </c>
      <c r="L38" s="273" t="s">
        <v>148</v>
      </c>
    </row>
    <row r="40" spans="2:16" x14ac:dyDescent="0.25">
      <c r="B40" s="1" t="s">
        <v>149</v>
      </c>
      <c r="C40" s="1"/>
      <c r="D40" s="1"/>
      <c r="E40" s="1"/>
      <c r="F40" s="1"/>
      <c r="G40" s="1"/>
      <c r="H40" s="274">
        <f>Operations!G27</f>
        <v>2191633.3202399998</v>
      </c>
      <c r="I40" s="274">
        <f>Operations!H27</f>
        <v>4533434.9099549996</v>
      </c>
      <c r="J40" s="274">
        <f>Operations!I27</f>
        <v>4714772.3063532021</v>
      </c>
      <c r="K40" s="274">
        <f>Operations!J27</f>
        <v>4903363.1986073302</v>
      </c>
      <c r="L40" s="274">
        <f>Operations!K27</f>
        <v>5050464.0945655489</v>
      </c>
      <c r="M40" s="1"/>
      <c r="N40" s="275">
        <f>SUM(E40:M40)</f>
        <v>21393667.829721078</v>
      </c>
    </row>
    <row r="41" spans="2:16" x14ac:dyDescent="0.25">
      <c r="B41" s="1" t="s">
        <v>59</v>
      </c>
      <c r="C41" s="1"/>
      <c r="D41" s="1"/>
      <c r="E41" s="1"/>
      <c r="F41" s="1"/>
      <c r="G41" s="1"/>
      <c r="H41" s="276">
        <f>Operations!G39</f>
        <v>-1316565.2445571991</v>
      </c>
      <c r="I41" s="276">
        <f>Operations!H39</f>
        <v>-1418089.698372399</v>
      </c>
      <c r="J41" s="276">
        <f>Operations!I39</f>
        <v>-1474813.2863072951</v>
      </c>
      <c r="K41" s="276">
        <f>Operations!J39</f>
        <v>-1520472.1165884195</v>
      </c>
      <c r="L41" s="276">
        <f>Operations!K39</f>
        <v>-1566086.2800860722</v>
      </c>
      <c r="M41" s="275"/>
      <c r="N41" s="275">
        <f>SUM(E41:M41)</f>
        <v>-7296026.6259113848</v>
      </c>
    </row>
    <row r="43" spans="2:16" ht="15.75" thickBot="1" x14ac:dyDescent="0.3">
      <c r="B43" s="277" t="s">
        <v>150</v>
      </c>
      <c r="C43" s="277"/>
      <c r="D43" s="277"/>
      <c r="E43" s="277"/>
      <c r="F43" s="277"/>
      <c r="G43" s="277"/>
      <c r="H43" s="278">
        <f>H40+H41</f>
        <v>875068.07568280073</v>
      </c>
      <c r="I43" s="278">
        <f>I40+I41</f>
        <v>3115345.2115826006</v>
      </c>
      <c r="J43" s="278">
        <f>J40+J41</f>
        <v>3239959.0200459072</v>
      </c>
      <c r="K43" s="278">
        <f>K40+K41</f>
        <v>3382891.0820189109</v>
      </c>
      <c r="L43" s="278">
        <f>L40+L41</f>
        <v>3484377.8144794768</v>
      </c>
      <c r="M43" s="277"/>
      <c r="N43" s="279">
        <f>SUM(E43:M43)</f>
        <v>14097641.203809697</v>
      </c>
    </row>
    <row r="45" spans="2:16" x14ac:dyDescent="0.25">
      <c r="B45" s="1" t="s">
        <v>151</v>
      </c>
      <c r="F45" s="7">
        <f>-[1]Debt!F45</f>
        <v>0</v>
      </c>
      <c r="G45" s="7">
        <f>-[1]Debt!G45</f>
        <v>0</v>
      </c>
      <c r="H45" s="7">
        <f>-Debt!H45</f>
        <v>-2135900</v>
      </c>
      <c r="I45" s="7">
        <f>-Debt!I45</f>
        <v>-2135900</v>
      </c>
      <c r="J45" s="7">
        <f>-Debt!J45</f>
        <v>-2492370.630237455</v>
      </c>
      <c r="K45" s="7">
        <f>-Debt!K45</f>
        <v>-2492370.630237455</v>
      </c>
      <c r="L45" s="7">
        <f>-Debt!L45</f>
        <v>-2492370.630237455</v>
      </c>
      <c r="N45" s="7">
        <f>SUM(E45:M45)</f>
        <v>-11748911.890712364</v>
      </c>
    </row>
    <row r="47" spans="2:16" ht="15.75" thickBot="1" x14ac:dyDescent="0.3">
      <c r="B47" s="280" t="s">
        <v>152</v>
      </c>
      <c r="C47" s="280"/>
      <c r="D47" s="280"/>
      <c r="E47" s="280"/>
      <c r="F47" s="280"/>
      <c r="G47" s="280"/>
      <c r="H47" s="281">
        <f>H43+H45</f>
        <v>-1260831.9243171993</v>
      </c>
      <c r="I47" s="281">
        <f t="shared" ref="I47:L47" si="3">I43+I45</f>
        <v>979445.2115826006</v>
      </c>
      <c r="J47" s="281">
        <f t="shared" si="3"/>
        <v>747588.38980845222</v>
      </c>
      <c r="K47" s="281">
        <f t="shared" si="3"/>
        <v>890520.45178145589</v>
      </c>
      <c r="L47" s="281">
        <f t="shared" si="3"/>
        <v>992007.18424202176</v>
      </c>
      <c r="M47" s="280"/>
      <c r="N47" s="282">
        <f>SUM(E47:M47)</f>
        <v>2348729.3130973312</v>
      </c>
      <c r="P47">
        <f>126/12</f>
        <v>10.5</v>
      </c>
    </row>
    <row r="48" spans="2:16" ht="15.75" thickTop="1" x14ac:dyDescent="0.25">
      <c r="I48" s="283">
        <f>I43/-I45</f>
        <v>1.4585632340383916</v>
      </c>
      <c r="J48" s="283">
        <f t="shared" ref="J48:L48" si="4">J43/-J45</f>
        <v>1.2999507299350688</v>
      </c>
      <c r="K48" s="283">
        <f t="shared" si="4"/>
        <v>1.357298565862419</v>
      </c>
      <c r="L48" s="283">
        <f t="shared" si="4"/>
        <v>1.3980175228382909</v>
      </c>
    </row>
    <row r="49" spans="2:14" x14ac:dyDescent="0.25">
      <c r="I49" s="284"/>
      <c r="J49" s="284"/>
      <c r="K49" s="284"/>
      <c r="L49" s="284"/>
    </row>
    <row r="50" spans="2:14" x14ac:dyDescent="0.25">
      <c r="B50" s="267" t="s">
        <v>153</v>
      </c>
      <c r="C50" s="267"/>
      <c r="D50" s="267"/>
      <c r="E50" s="267"/>
      <c r="F50" s="267"/>
      <c r="G50" s="267"/>
      <c r="H50" s="267"/>
      <c r="I50" s="267"/>
      <c r="J50" s="267"/>
      <c r="K50" s="267"/>
      <c r="L50" s="267"/>
      <c r="M50" s="267"/>
      <c r="N50" s="267"/>
    </row>
    <row r="52" spans="2:14" x14ac:dyDescent="0.25">
      <c r="B52" t="s">
        <v>154</v>
      </c>
      <c r="L52" s="215">
        <f>L$43/$J$5</f>
        <v>81985360.340693563</v>
      </c>
      <c r="N52" s="7">
        <f>SUM(E52:M52)</f>
        <v>81985360.340693563</v>
      </c>
    </row>
    <row r="53" spans="2:14" x14ac:dyDescent="0.25">
      <c r="B53" s="285" t="s">
        <v>155</v>
      </c>
      <c r="C53" s="285"/>
      <c r="D53" s="285"/>
      <c r="E53" s="285"/>
      <c r="F53" s="285"/>
      <c r="G53" s="285"/>
      <c r="H53" s="285"/>
      <c r="I53" s="285"/>
      <c r="J53" s="285"/>
      <c r="K53" s="285"/>
      <c r="L53" s="286">
        <f>-L52*$J$6</f>
        <v>-1639707.2068138714</v>
      </c>
      <c r="M53" s="285"/>
      <c r="N53" s="219">
        <f>SUM(E53:M53)</f>
        <v>-1639707.2068138714</v>
      </c>
    </row>
    <row r="54" spans="2:14" x14ac:dyDescent="0.25">
      <c r="B54" s="1" t="s">
        <v>156</v>
      </c>
      <c r="C54" s="1"/>
      <c r="D54" s="1"/>
      <c r="E54" s="1"/>
      <c r="F54" s="1"/>
      <c r="G54" s="1"/>
      <c r="H54" s="1"/>
      <c r="I54" s="1"/>
      <c r="J54" s="1"/>
      <c r="K54" s="1"/>
      <c r="L54" s="274">
        <f>SUM(L52:L53)</f>
        <v>80345653.133879691</v>
      </c>
      <c r="M54" s="1"/>
      <c r="N54" s="287">
        <f>SUM(E54:M54)</f>
        <v>80345653.133879691</v>
      </c>
    </row>
    <row r="57" spans="2:14" x14ac:dyDescent="0.25">
      <c r="B57" s="267" t="s">
        <v>160</v>
      </c>
      <c r="C57" s="267"/>
      <c r="D57" s="267"/>
      <c r="E57" s="267"/>
      <c r="F57" s="267"/>
      <c r="G57" s="267"/>
      <c r="H57" s="267"/>
      <c r="I57" s="267"/>
      <c r="J57" s="267"/>
      <c r="K57" s="267"/>
      <c r="L57" s="267"/>
      <c r="M57" s="267"/>
      <c r="N57" s="267"/>
    </row>
    <row r="59" spans="2:14" x14ac:dyDescent="0.25">
      <c r="B59" t="s">
        <v>16</v>
      </c>
      <c r="F59" s="215">
        <f>-MIN(F34,G7)</f>
        <v>-22473189.448054336</v>
      </c>
      <c r="N59" s="7">
        <f>SUM(E59:M59)</f>
        <v>-22473189.448054336</v>
      </c>
    </row>
    <row r="60" spans="2:14" x14ac:dyDescent="0.25">
      <c r="M60" s="32"/>
    </row>
    <row r="62" spans="2:14" x14ac:dyDescent="0.25">
      <c r="B62" s="267" t="s">
        <v>161</v>
      </c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</row>
    <row r="64" spans="2:14" x14ac:dyDescent="0.25">
      <c r="B64" s="1" t="s">
        <v>162</v>
      </c>
    </row>
    <row r="65" spans="2:14" x14ac:dyDescent="0.25">
      <c r="B65" t="s">
        <v>163</v>
      </c>
      <c r="E65" s="6"/>
      <c r="F65" s="7">
        <f>SUMIF(Debt!$F$6:$AE$6,'Cash Flow'!F$21,Debt!$F$22:$AE$22)</f>
        <v>5251192.884808383</v>
      </c>
      <c r="G65" s="7">
        <f>SUMIF(Debt!$F$6:$AE$6,'Cash Flow'!G$21,Debt!$F$22:$AE$22)</f>
        <v>35723807.115191616</v>
      </c>
      <c r="H65" s="7">
        <f>SUMIF(Debt!$F$6:$AE$6,'Cash Flow'!H$21,Debt!$F$22:$AE$22)</f>
        <v>0</v>
      </c>
      <c r="I65" s="7">
        <f>SUMIF(Debt!$F$6:$AE$6,'Cash Flow'!I$21,Debt!$F$22:$AE$22)</f>
        <v>0</v>
      </c>
      <c r="J65" s="7">
        <f>SUMIF(Debt!$F$6:$AE$6,'Cash Flow'!J$21,Debt!$F$22:$AE$22)</f>
        <v>0</v>
      </c>
      <c r="K65" s="7">
        <f>SUMIF(Debt!$F$6:$AE$6,'Cash Flow'!K$21,Debt!$F$22:$AE$22)</f>
        <v>0</v>
      </c>
      <c r="L65" s="7">
        <f>SUMIF(Debt!$F$6:$AE$6,'Cash Flow'!L$21,Debt!$F$22:$AE$22)</f>
        <v>0</v>
      </c>
      <c r="M65" s="7"/>
      <c r="N65" s="7">
        <f t="shared" ref="N65:N66" si="5">SUM(E65:M65)</f>
        <v>40975000</v>
      </c>
    </row>
    <row r="66" spans="2:14" x14ac:dyDescent="0.25">
      <c r="B66" t="s">
        <v>164</v>
      </c>
      <c r="E66" s="6"/>
      <c r="F66" s="7">
        <f>SUMIF(Debt!$F$6:$AE$6,'Cash Flow'!F$21,Debt!$F$24:$AE$24)</f>
        <v>0</v>
      </c>
      <c r="G66" s="7">
        <f>SUMIF(Debt!$F$6:$AE$6,'Cash Flow'!G$21,Debt!$F$24:$AE$24)</f>
        <v>0</v>
      </c>
      <c r="H66" s="7">
        <f>-SUMIF(Debt!$F$6:$AE$6,'Cash Flow'!H$21,Debt!$F$24:$AE$24)</f>
        <v>-43054414.302768983</v>
      </c>
      <c r="I66" s="7">
        <f>SUMIF(Debt!$F$6:$AE$6,'Cash Flow'!I$21,Debt!$F$24:$AE$24)</f>
        <v>0</v>
      </c>
      <c r="J66" s="7">
        <f>SUMIF(Debt!$F$6:$AE$6,'Cash Flow'!J$21,Debt!$F$24:$AE$24)</f>
        <v>0</v>
      </c>
      <c r="K66" s="7">
        <f>SUMIF(Debt!$F$6:$AE$6,'Cash Flow'!K$21,Debt!$F$24:$AE$24)</f>
        <v>0</v>
      </c>
      <c r="L66" s="7">
        <f>SUMIF(Debt!$F$6:$AE$6,'Cash Flow'!L$21,Debt!$F$24:$AE$24)</f>
        <v>0</v>
      </c>
      <c r="M66" s="7"/>
      <c r="N66" s="7">
        <f t="shared" si="5"/>
        <v>-43054414.302768983</v>
      </c>
    </row>
    <row r="67" spans="2:14" x14ac:dyDescent="0.25">
      <c r="E67" s="6"/>
      <c r="F67" s="7"/>
      <c r="G67" s="7"/>
      <c r="H67" s="7"/>
      <c r="I67" s="7"/>
      <c r="J67" s="7"/>
      <c r="K67" s="7"/>
      <c r="L67" s="7"/>
      <c r="M67" s="7"/>
      <c r="N67" s="7"/>
    </row>
    <row r="68" spans="2:14" x14ac:dyDescent="0.25">
      <c r="B68" s="1" t="s">
        <v>165</v>
      </c>
      <c r="E68" s="289"/>
      <c r="F68" s="271"/>
      <c r="G68" s="271"/>
      <c r="H68" s="271"/>
      <c r="I68" s="271"/>
      <c r="J68" s="271"/>
      <c r="K68" s="271"/>
      <c r="L68" s="271"/>
      <c r="M68" s="7"/>
      <c r="N68" s="7"/>
    </row>
    <row r="69" spans="2:14" x14ac:dyDescent="0.25">
      <c r="B69" t="s">
        <v>166</v>
      </c>
      <c r="E69" s="289"/>
      <c r="F69" s="271">
        <f>Debt!F44</f>
        <v>0</v>
      </c>
      <c r="G69" s="271">
        <f>Debt!G44</f>
        <v>0</v>
      </c>
      <c r="H69" s="271">
        <f>Debt!H44</f>
        <v>32860000</v>
      </c>
      <c r="I69" s="271">
        <f>Debt!I44</f>
        <v>0</v>
      </c>
      <c r="J69" s="271">
        <f>Debt!J44</f>
        <v>0</v>
      </c>
      <c r="K69" s="271">
        <f>Debt!K44</f>
        <v>0</v>
      </c>
      <c r="L69" s="271">
        <f>Debt!L44</f>
        <v>0</v>
      </c>
      <c r="M69" s="7"/>
      <c r="N69" s="7">
        <f t="shared" ref="N69:N70" si="6">SUM(E69:M69)</f>
        <v>32860000</v>
      </c>
    </row>
    <row r="70" spans="2:14" x14ac:dyDescent="0.25">
      <c r="B70" t="s">
        <v>164</v>
      </c>
      <c r="E70" s="289"/>
      <c r="F70" s="271">
        <f>Debt!F48</f>
        <v>0</v>
      </c>
      <c r="G70" s="271">
        <f>Debt!G48</f>
        <v>0</v>
      </c>
      <c r="H70" s="271">
        <f>Debt!H48</f>
        <v>0</v>
      </c>
      <c r="I70" s="271">
        <f>Debt!I48</f>
        <v>0</v>
      </c>
      <c r="J70" s="271">
        <f>Debt!J48</f>
        <v>0</v>
      </c>
      <c r="K70" s="271">
        <f>Debt!K48</f>
        <v>0</v>
      </c>
      <c r="L70" s="271">
        <f>Debt!L48</f>
        <v>31719570.247978576</v>
      </c>
      <c r="M70" s="7"/>
      <c r="N70" s="7">
        <f t="shared" si="6"/>
        <v>31719570.247978576</v>
      </c>
    </row>
    <row r="71" spans="2:14" x14ac:dyDescent="0.25">
      <c r="E71" s="6"/>
      <c r="F71" s="7"/>
      <c r="G71" s="7"/>
      <c r="H71" s="7"/>
      <c r="I71" s="7"/>
      <c r="J71" s="7"/>
      <c r="K71" s="7"/>
      <c r="L71" s="7"/>
      <c r="M71" s="7"/>
      <c r="N71" s="7"/>
    </row>
    <row r="72" spans="2:14" x14ac:dyDescent="0.25">
      <c r="E72" s="6"/>
      <c r="F72" s="7"/>
      <c r="G72" s="7"/>
      <c r="H72" s="7"/>
      <c r="I72" s="7"/>
      <c r="J72" s="7"/>
      <c r="K72" s="7"/>
      <c r="L72" s="7"/>
      <c r="M72" s="7"/>
      <c r="N72" s="7"/>
    </row>
    <row r="73" spans="2:14" x14ac:dyDescent="0.25">
      <c r="B73" s="267" t="s">
        <v>167</v>
      </c>
      <c r="C73" s="267"/>
      <c r="D73" s="267"/>
      <c r="E73" s="267"/>
      <c r="F73" s="267"/>
      <c r="G73" s="267"/>
      <c r="H73" s="267"/>
      <c r="I73" s="267"/>
      <c r="J73" s="267"/>
      <c r="K73" s="267"/>
      <c r="L73" s="267"/>
      <c r="M73" s="267"/>
      <c r="N73" s="267"/>
    </row>
    <row r="74" spans="2:14" x14ac:dyDescent="0.25">
      <c r="F74" s="7"/>
      <c r="G74" s="7"/>
      <c r="H74" s="7"/>
      <c r="I74" s="7"/>
      <c r="J74" s="7"/>
      <c r="K74" s="7"/>
      <c r="L74" s="7"/>
      <c r="M74" s="7"/>
      <c r="N74" s="7"/>
    </row>
    <row r="75" spans="2:14" x14ac:dyDescent="0.25">
      <c r="B75" s="1" t="s">
        <v>168</v>
      </c>
      <c r="F75" s="7"/>
      <c r="G75" s="7"/>
      <c r="H75" s="7"/>
      <c r="I75" s="7"/>
      <c r="J75" s="7"/>
      <c r="K75" s="7"/>
      <c r="L75" s="7"/>
      <c r="M75" s="7"/>
      <c r="N75" s="7"/>
    </row>
    <row r="76" spans="2:14" x14ac:dyDescent="0.25">
      <c r="B76" t="s">
        <v>6</v>
      </c>
      <c r="F76" s="7">
        <f>-F34</f>
        <v>-27724382.33286272</v>
      </c>
      <c r="G76" s="7">
        <f>-G34</f>
        <v>-35723807.115191601</v>
      </c>
      <c r="H76" s="7">
        <f t="shared" ref="H76:L76" si="7">-H34</f>
        <v>0</v>
      </c>
      <c r="I76" s="7">
        <f t="shared" si="7"/>
        <v>0</v>
      </c>
      <c r="J76" s="7">
        <f t="shared" si="7"/>
        <v>0</v>
      </c>
      <c r="K76" s="7">
        <f t="shared" si="7"/>
        <v>0</v>
      </c>
      <c r="L76" s="7">
        <f t="shared" si="7"/>
        <v>0</v>
      </c>
      <c r="M76" s="7"/>
      <c r="N76" s="7">
        <f>SUM(F76:M76)</f>
        <v>-63448189.448054321</v>
      </c>
    </row>
    <row r="77" spans="2:14" x14ac:dyDescent="0.25">
      <c r="B77" t="s">
        <v>150</v>
      </c>
      <c r="F77" s="7">
        <f t="shared" ref="F77:L77" si="8">F43</f>
        <v>0</v>
      </c>
      <c r="G77" s="7">
        <f t="shared" si="8"/>
        <v>0</v>
      </c>
      <c r="H77" s="7">
        <f t="shared" si="8"/>
        <v>875068.07568280073</v>
      </c>
      <c r="I77" s="7">
        <f t="shared" si="8"/>
        <v>3115345.2115826006</v>
      </c>
      <c r="J77" s="7">
        <f t="shared" si="8"/>
        <v>3239959.0200459072</v>
      </c>
      <c r="K77" s="7">
        <f t="shared" si="8"/>
        <v>3382891.0820189109</v>
      </c>
      <c r="L77" s="7">
        <f t="shared" si="8"/>
        <v>3484377.8144794768</v>
      </c>
      <c r="M77" s="7"/>
      <c r="N77" s="7">
        <f>SUM(F77:M77)</f>
        <v>14097641.203809697</v>
      </c>
    </row>
    <row r="78" spans="2:14" x14ac:dyDescent="0.25">
      <c r="B78" s="285" t="s">
        <v>156</v>
      </c>
      <c r="C78" s="285"/>
      <c r="D78" s="285"/>
      <c r="E78" s="285"/>
      <c r="F78" s="219">
        <f t="shared" ref="F78:L78" si="9">F54</f>
        <v>0</v>
      </c>
      <c r="G78" s="219">
        <f t="shared" si="9"/>
        <v>0</v>
      </c>
      <c r="H78" s="290">
        <f t="shared" si="9"/>
        <v>0</v>
      </c>
      <c r="I78" s="290">
        <f t="shared" si="9"/>
        <v>0</v>
      </c>
      <c r="J78" s="290">
        <f t="shared" si="9"/>
        <v>0</v>
      </c>
      <c r="K78" s="290">
        <f t="shared" si="9"/>
        <v>0</v>
      </c>
      <c r="L78" s="219">
        <f t="shared" si="9"/>
        <v>80345653.133879691</v>
      </c>
      <c r="M78" s="219"/>
      <c r="N78" s="219">
        <f>SUM(F78:M78)</f>
        <v>80345653.133879691</v>
      </c>
    </row>
    <row r="79" spans="2:14" x14ac:dyDescent="0.25">
      <c r="B79" s="1" t="s">
        <v>169</v>
      </c>
      <c r="C79" s="1"/>
      <c r="D79" s="1"/>
      <c r="E79" s="1"/>
      <c r="F79" s="287">
        <f>SUM(F76:F78)</f>
        <v>-27724382.33286272</v>
      </c>
      <c r="G79" s="287">
        <f t="shared" ref="G79:L79" si="10">SUM(G76:G78)</f>
        <v>-35723807.115191601</v>
      </c>
      <c r="H79" s="291">
        <f t="shared" si="10"/>
        <v>875068.07568280073</v>
      </c>
      <c r="I79" s="291">
        <f t="shared" si="10"/>
        <v>3115345.2115826006</v>
      </c>
      <c r="J79" s="291">
        <f t="shared" si="10"/>
        <v>3239959.0200459072</v>
      </c>
      <c r="K79" s="291">
        <f t="shared" si="10"/>
        <v>3382891.0820189109</v>
      </c>
      <c r="L79" s="287">
        <f t="shared" si="10"/>
        <v>83830030.948359162</v>
      </c>
      <c r="M79" s="287"/>
      <c r="N79" s="287">
        <f>SUM(F79:M79)</f>
        <v>30995104.889635064</v>
      </c>
    </row>
    <row r="80" spans="2:14" x14ac:dyDescent="0.25">
      <c r="B80" s="284" t="s">
        <v>170</v>
      </c>
      <c r="C80" s="284"/>
      <c r="D80" s="284"/>
      <c r="E80" s="284"/>
      <c r="F80" s="299">
        <f>F77/$G$17</f>
        <v>0</v>
      </c>
      <c r="G80" s="292">
        <f t="shared" ref="G80:L80" si="11">G77/$G$17</f>
        <v>0</v>
      </c>
      <c r="H80" s="293">
        <f>H77/$G$17</f>
        <v>1.3791852585474131E-2</v>
      </c>
      <c r="I80" s="293">
        <f t="shared" si="11"/>
        <v>4.910061640345411E-2</v>
      </c>
      <c r="J80" s="293">
        <f t="shared" si="11"/>
        <v>5.1064641059592311E-2</v>
      </c>
      <c r="K80" s="293">
        <f t="shared" si="11"/>
        <v>5.3317377713173637E-2</v>
      </c>
      <c r="L80" s="292">
        <f t="shared" si="11"/>
        <v>5.4916899044568819E-2</v>
      </c>
      <c r="M80" s="7"/>
      <c r="N80" s="7"/>
    </row>
    <row r="81" spans="2:14" x14ac:dyDescent="0.25">
      <c r="B81" t="s">
        <v>171</v>
      </c>
      <c r="C81" s="294">
        <f>IRR(F79:L79)</f>
        <v>7.9767057654526186E-2</v>
      </c>
      <c r="F81" s="7"/>
      <c r="G81" s="7"/>
      <c r="H81" s="271"/>
      <c r="I81" s="295">
        <f>I80-D16</f>
        <v>-3.399383596545888E-3</v>
      </c>
      <c r="J81" s="271"/>
      <c r="K81" s="271"/>
      <c r="L81" s="7"/>
      <c r="M81" s="7"/>
      <c r="N81" s="7"/>
    </row>
    <row r="82" spans="2:14" x14ac:dyDescent="0.25">
      <c r="B82" t="s">
        <v>172</v>
      </c>
      <c r="C82" s="296">
        <f>SUM(N77:N78)/-N76</f>
        <v>1.4885104706574972</v>
      </c>
      <c r="F82" s="7"/>
      <c r="G82" s="7"/>
      <c r="H82" s="271"/>
      <c r="I82" s="271"/>
      <c r="J82" s="271"/>
      <c r="K82" s="271"/>
      <c r="L82" s="7"/>
      <c r="M82" s="7"/>
      <c r="N82" s="7"/>
    </row>
    <row r="83" spans="2:14" x14ac:dyDescent="0.25">
      <c r="B83" t="s">
        <v>286</v>
      </c>
      <c r="C83" s="343">
        <f>NPV(YOC!K50,'Cash Flow'!G79:L79)+'Cash Flow'!F79</f>
        <v>7854562.6776460633</v>
      </c>
      <c r="F83" s="7"/>
      <c r="G83" s="7"/>
      <c r="H83" s="271"/>
      <c r="I83" s="271"/>
      <c r="J83" s="271"/>
      <c r="K83" s="271"/>
      <c r="L83" s="7"/>
      <c r="M83" s="7"/>
      <c r="N83" s="7"/>
    </row>
    <row r="84" spans="2:14" x14ac:dyDescent="0.25">
      <c r="F84" s="7"/>
      <c r="G84" s="7"/>
      <c r="H84" s="271"/>
      <c r="I84" s="271"/>
      <c r="J84" s="271"/>
      <c r="K84" s="271"/>
      <c r="L84" s="7"/>
      <c r="M84" s="7"/>
      <c r="N84" s="7"/>
    </row>
    <row r="85" spans="2:14" x14ac:dyDescent="0.25">
      <c r="B85" s="1" t="s">
        <v>173</v>
      </c>
      <c r="F85" s="7"/>
      <c r="G85" s="7"/>
      <c r="H85" s="271"/>
      <c r="I85" s="271"/>
      <c r="J85" s="271"/>
      <c r="K85" s="271"/>
      <c r="L85" s="7"/>
      <c r="M85" s="7"/>
      <c r="N85" s="7"/>
    </row>
    <row r="86" spans="2:14" x14ac:dyDescent="0.25">
      <c r="B86" t="s">
        <v>174</v>
      </c>
      <c r="F86" s="215">
        <f t="shared" ref="F86:L86" si="12">F59</f>
        <v>-22473189.448054336</v>
      </c>
      <c r="G86" s="215">
        <f t="shared" si="12"/>
        <v>0</v>
      </c>
      <c r="H86" s="215">
        <f t="shared" si="12"/>
        <v>0</v>
      </c>
      <c r="I86" s="215">
        <f t="shared" si="12"/>
        <v>0</v>
      </c>
      <c r="J86" s="215">
        <f t="shared" si="12"/>
        <v>0</v>
      </c>
      <c r="K86" s="215">
        <f t="shared" si="12"/>
        <v>0</v>
      </c>
      <c r="L86" s="215">
        <f t="shared" si="12"/>
        <v>0</v>
      </c>
      <c r="N86" s="7">
        <f>SUM(F86:M86)</f>
        <v>-22473189.448054336</v>
      </c>
    </row>
    <row r="87" spans="2:14" x14ac:dyDescent="0.25">
      <c r="B87" t="s">
        <v>175</v>
      </c>
      <c r="F87" s="215">
        <f>F66</f>
        <v>0</v>
      </c>
      <c r="G87" s="215">
        <f t="shared" ref="G87:L87" si="13">G66</f>
        <v>0</v>
      </c>
      <c r="H87" s="215">
        <f t="shared" si="13"/>
        <v>-43054414.302768983</v>
      </c>
      <c r="I87" s="215">
        <f t="shared" si="13"/>
        <v>0</v>
      </c>
      <c r="J87" s="215">
        <f t="shared" si="13"/>
        <v>0</v>
      </c>
      <c r="K87" s="215">
        <f t="shared" si="13"/>
        <v>0</v>
      </c>
      <c r="L87" s="215">
        <f t="shared" si="13"/>
        <v>0</v>
      </c>
      <c r="N87" s="7">
        <f t="shared" ref="N87:N92" si="14">SUM(F87:M87)</f>
        <v>-43054414.302768983</v>
      </c>
    </row>
    <row r="88" spans="2:14" x14ac:dyDescent="0.25">
      <c r="B88" t="s">
        <v>176</v>
      </c>
      <c r="F88" s="215">
        <f t="shared" ref="F88:L88" si="15">F69</f>
        <v>0</v>
      </c>
      <c r="G88" s="215">
        <f t="shared" si="15"/>
        <v>0</v>
      </c>
      <c r="H88" s="215">
        <f>H69</f>
        <v>32860000</v>
      </c>
      <c r="I88" s="215">
        <f t="shared" si="15"/>
        <v>0</v>
      </c>
      <c r="J88" s="215">
        <f t="shared" si="15"/>
        <v>0</v>
      </c>
      <c r="K88" s="215">
        <f t="shared" si="15"/>
        <v>0</v>
      </c>
      <c r="L88" s="215">
        <f t="shared" si="15"/>
        <v>0</v>
      </c>
      <c r="N88" s="7">
        <f t="shared" si="14"/>
        <v>32860000</v>
      </c>
    </row>
    <row r="89" spans="2:14" x14ac:dyDescent="0.25">
      <c r="B89" t="s">
        <v>152</v>
      </c>
      <c r="F89" s="7">
        <f t="shared" ref="F89:L89" si="16">F47</f>
        <v>0</v>
      </c>
      <c r="G89" s="7">
        <f t="shared" si="16"/>
        <v>0</v>
      </c>
      <c r="H89" s="7">
        <f t="shared" si="16"/>
        <v>-1260831.9243171993</v>
      </c>
      <c r="I89" s="7">
        <f t="shared" si="16"/>
        <v>979445.2115826006</v>
      </c>
      <c r="J89" s="7">
        <f t="shared" si="16"/>
        <v>747588.38980845222</v>
      </c>
      <c r="K89" s="7">
        <f t="shared" si="16"/>
        <v>890520.45178145589</v>
      </c>
      <c r="L89" s="7">
        <f t="shared" si="16"/>
        <v>992007.18424202176</v>
      </c>
      <c r="N89" s="7">
        <f t="shared" si="14"/>
        <v>2348729.3130973312</v>
      </c>
    </row>
    <row r="90" spans="2:14" x14ac:dyDescent="0.25">
      <c r="B90" t="s">
        <v>156</v>
      </c>
      <c r="F90" s="7">
        <f t="shared" ref="F90:L90" si="17">F54</f>
        <v>0</v>
      </c>
      <c r="G90" s="7">
        <f t="shared" si="17"/>
        <v>0</v>
      </c>
      <c r="H90" s="7">
        <f t="shared" si="17"/>
        <v>0</v>
      </c>
      <c r="I90" s="7">
        <f t="shared" si="17"/>
        <v>0</v>
      </c>
      <c r="J90" s="7">
        <f t="shared" si="17"/>
        <v>0</v>
      </c>
      <c r="K90" s="7">
        <f t="shared" si="17"/>
        <v>0</v>
      </c>
      <c r="L90" s="7">
        <f t="shared" si="17"/>
        <v>80345653.133879691</v>
      </c>
      <c r="N90" s="7">
        <f t="shared" si="14"/>
        <v>80345653.133879691</v>
      </c>
    </row>
    <row r="91" spans="2:14" x14ac:dyDescent="0.25">
      <c r="B91" s="285" t="s">
        <v>177</v>
      </c>
      <c r="C91" s="285"/>
      <c r="D91" s="285"/>
      <c r="E91" s="285"/>
      <c r="F91" s="219">
        <f t="shared" ref="F91:L91" si="18">-F70</f>
        <v>0</v>
      </c>
      <c r="G91" s="219">
        <f t="shared" si="18"/>
        <v>0</v>
      </c>
      <c r="H91" s="219">
        <f t="shared" si="18"/>
        <v>0</v>
      </c>
      <c r="I91" s="219">
        <f t="shared" si="18"/>
        <v>0</v>
      </c>
      <c r="J91" s="219">
        <f t="shared" si="18"/>
        <v>0</v>
      </c>
      <c r="K91" s="219">
        <f t="shared" si="18"/>
        <v>0</v>
      </c>
      <c r="L91" s="219">
        <f t="shared" si="18"/>
        <v>-31719570.247978576</v>
      </c>
      <c r="M91" s="285"/>
      <c r="N91" s="219">
        <f t="shared" si="14"/>
        <v>-31719570.247978576</v>
      </c>
    </row>
    <row r="92" spans="2:14" x14ac:dyDescent="0.25">
      <c r="B92" s="1" t="s">
        <v>178</v>
      </c>
      <c r="C92" s="1"/>
      <c r="D92" s="1"/>
      <c r="E92" s="1"/>
      <c r="F92" s="287">
        <f>SUM(F86:F91)</f>
        <v>-22473189.448054336</v>
      </c>
      <c r="G92" s="287">
        <f t="shared" ref="G92:L92" si="19">SUM(G86:G91)</f>
        <v>0</v>
      </c>
      <c r="H92" s="287">
        <f t="shared" si="19"/>
        <v>-11455246.227086183</v>
      </c>
      <c r="I92" s="287">
        <f t="shared" si="19"/>
        <v>979445.2115826006</v>
      </c>
      <c r="J92" s="287">
        <f t="shared" si="19"/>
        <v>747588.38980845222</v>
      </c>
      <c r="K92" s="287">
        <f t="shared" si="19"/>
        <v>890520.45178145589</v>
      </c>
      <c r="L92" s="287">
        <f t="shared" si="19"/>
        <v>49618090.070143141</v>
      </c>
      <c r="M92" s="1"/>
      <c r="N92" s="287">
        <f t="shared" si="14"/>
        <v>18307208.448175136</v>
      </c>
    </row>
    <row r="93" spans="2:14" x14ac:dyDescent="0.25">
      <c r="B93" s="284" t="s">
        <v>170</v>
      </c>
      <c r="C93" s="284"/>
      <c r="F93" s="297"/>
      <c r="G93" s="297"/>
      <c r="H93" s="298">
        <f>H89/$G$7</f>
        <v>-5.6103826616669156E-2</v>
      </c>
      <c r="I93" s="298">
        <f>I89/$G$7</f>
        <v>4.3582830725765014E-2</v>
      </c>
      <c r="J93" s="298">
        <f>J89/$G$7</f>
        <v>3.326578951049497E-2</v>
      </c>
      <c r="K93" s="298">
        <f>K89/$G$7</f>
        <v>3.9625904184176872E-2</v>
      </c>
      <c r="L93" s="298">
        <f>L89/$G$7</f>
        <v>4.414180668636275E-2</v>
      </c>
    </row>
    <row r="94" spans="2:14" x14ac:dyDescent="0.25">
      <c r="B94" t="s">
        <v>171</v>
      </c>
      <c r="C94" s="294">
        <f>IRR(F92:L92)</f>
        <v>8.5687529353893011E-2</v>
      </c>
    </row>
    <row r="95" spans="2:14" x14ac:dyDescent="0.25">
      <c r="B95" t="s">
        <v>172</v>
      </c>
      <c r="C95" s="296">
        <f>SUM(N87:N91)/-N86</f>
        <v>1.8146243990196111</v>
      </c>
    </row>
    <row r="96" spans="2:14" x14ac:dyDescent="0.25">
      <c r="B96" t="s">
        <v>286</v>
      </c>
      <c r="C96" s="343">
        <f>NPV(YOC!K50,'Cash Flow'!G92:L92)+'Cash Flow'!F92</f>
        <v>5339072.5539434217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D5AFE-5D06-4824-95FE-866EC33EAF5B}">
  <dimension ref="A5:AH41"/>
  <sheetViews>
    <sheetView zoomScale="80" zoomScaleNormal="80" workbookViewId="0">
      <selection activeCell="L41" sqref="L41"/>
    </sheetView>
  </sheetViews>
  <sheetFormatPr defaultRowHeight="15" x14ac:dyDescent="0.25"/>
  <cols>
    <col min="1" max="1" width="5.5703125" bestFit="1" customWidth="1"/>
    <col min="2" max="2" width="23.140625" bestFit="1" customWidth="1"/>
    <col min="3" max="3" width="11" bestFit="1" customWidth="1"/>
    <col min="4" max="4" width="12.28515625" bestFit="1" customWidth="1"/>
    <col min="6" max="6" width="11.28515625" bestFit="1" customWidth="1"/>
    <col min="7" max="7" width="8.85546875" bestFit="1" customWidth="1"/>
    <col min="9" max="10" width="11.28515625" bestFit="1" customWidth="1"/>
    <col min="11" max="11" width="9.5703125" customWidth="1"/>
    <col min="12" max="32" width="11.28515625" bestFit="1" customWidth="1"/>
    <col min="34" max="34" width="12.28515625" bestFit="1" customWidth="1"/>
  </cols>
  <sheetData>
    <row r="5" spans="2:34" x14ac:dyDescent="0.25">
      <c r="B5" s="262" t="s">
        <v>179</v>
      </c>
      <c r="C5" s="301" t="s">
        <v>180</v>
      </c>
      <c r="D5" s="301" t="s">
        <v>181</v>
      </c>
      <c r="E5" s="262"/>
      <c r="F5" s="262" t="s">
        <v>182</v>
      </c>
      <c r="G5" s="262" t="s">
        <v>183</v>
      </c>
      <c r="H5" s="262"/>
      <c r="I5" s="262">
        <v>1</v>
      </c>
      <c r="J5" s="262">
        <f>I5+1</f>
        <v>2</v>
      </c>
      <c r="K5" s="262">
        <f t="shared" ref="K5:AF5" si="0">J5+1</f>
        <v>3</v>
      </c>
      <c r="L5" s="262">
        <f t="shared" si="0"/>
        <v>4</v>
      </c>
      <c r="M5" s="262">
        <f t="shared" si="0"/>
        <v>5</v>
      </c>
      <c r="N5" s="262">
        <f t="shared" si="0"/>
        <v>6</v>
      </c>
      <c r="O5" s="262">
        <f t="shared" si="0"/>
        <v>7</v>
      </c>
      <c r="P5" s="262">
        <f t="shared" si="0"/>
        <v>8</v>
      </c>
      <c r="Q5" s="262">
        <f t="shared" si="0"/>
        <v>9</v>
      </c>
      <c r="R5" s="262">
        <f t="shared" si="0"/>
        <v>10</v>
      </c>
      <c r="S5" s="262">
        <f t="shared" si="0"/>
        <v>11</v>
      </c>
      <c r="T5" s="262">
        <f t="shared" si="0"/>
        <v>12</v>
      </c>
      <c r="U5" s="262">
        <f t="shared" si="0"/>
        <v>13</v>
      </c>
      <c r="V5" s="262">
        <f t="shared" si="0"/>
        <v>14</v>
      </c>
      <c r="W5" s="262">
        <f t="shared" si="0"/>
        <v>15</v>
      </c>
      <c r="X5" s="262">
        <f t="shared" si="0"/>
        <v>16</v>
      </c>
      <c r="Y5" s="262">
        <f t="shared" si="0"/>
        <v>17</v>
      </c>
      <c r="Z5" s="262">
        <f t="shared" si="0"/>
        <v>18</v>
      </c>
      <c r="AA5" s="262">
        <f t="shared" si="0"/>
        <v>19</v>
      </c>
      <c r="AB5" s="262">
        <f t="shared" si="0"/>
        <v>20</v>
      </c>
      <c r="AC5" s="262">
        <f t="shared" si="0"/>
        <v>21</v>
      </c>
      <c r="AD5" s="262">
        <f t="shared" si="0"/>
        <v>22</v>
      </c>
      <c r="AE5" s="262">
        <f t="shared" si="0"/>
        <v>23</v>
      </c>
      <c r="AF5" s="262">
        <f t="shared" si="0"/>
        <v>24</v>
      </c>
      <c r="AG5" s="262"/>
      <c r="AH5" s="263" t="s">
        <v>46</v>
      </c>
    </row>
    <row r="6" spans="2:34" x14ac:dyDescent="0.25">
      <c r="B6" t="s">
        <v>184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f>I6+1</f>
        <v>2</v>
      </c>
      <c r="V6">
        <f t="shared" ref="V6:AF6" si="1">J6+1</f>
        <v>2</v>
      </c>
      <c r="W6">
        <f t="shared" si="1"/>
        <v>2</v>
      </c>
      <c r="X6">
        <f t="shared" si="1"/>
        <v>2</v>
      </c>
      <c r="Y6">
        <f t="shared" si="1"/>
        <v>2</v>
      </c>
      <c r="Z6">
        <f t="shared" si="1"/>
        <v>2</v>
      </c>
      <c r="AA6">
        <f t="shared" si="1"/>
        <v>2</v>
      </c>
      <c r="AB6">
        <f t="shared" si="1"/>
        <v>2</v>
      </c>
      <c r="AC6">
        <f t="shared" si="1"/>
        <v>2</v>
      </c>
      <c r="AD6">
        <f t="shared" si="1"/>
        <v>2</v>
      </c>
      <c r="AE6">
        <f t="shared" si="1"/>
        <v>2</v>
      </c>
      <c r="AF6">
        <f t="shared" si="1"/>
        <v>2</v>
      </c>
    </row>
    <row r="8" spans="2:34" x14ac:dyDescent="0.25">
      <c r="B8" s="1" t="s">
        <v>19</v>
      </c>
      <c r="C8" s="302">
        <f>YOC!R30</f>
        <v>4.37</v>
      </c>
      <c r="D8" s="303">
        <f>C8*'Cash Flow'!C10</f>
        <v>1501918.308</v>
      </c>
      <c r="E8" s="1"/>
      <c r="F8" s="304">
        <v>1</v>
      </c>
      <c r="G8" s="304">
        <v>1</v>
      </c>
      <c r="H8" s="1"/>
      <c r="I8" s="287">
        <f>IF(AND(I$5&gt;=$F8,I$5&lt;$F8+$G8),$D8/$G8,0)</f>
        <v>1501918.308</v>
      </c>
      <c r="J8" s="287">
        <f t="shared" ref="J8:AF8" si="2">IF(AND(J$5&gt;=$F8,J$5&lt;$F8+$G8),$D8/$G8,0)</f>
        <v>0</v>
      </c>
      <c r="K8" s="287">
        <f t="shared" si="2"/>
        <v>0</v>
      </c>
      <c r="L8" s="287">
        <f t="shared" si="2"/>
        <v>0</v>
      </c>
      <c r="M8" s="287">
        <f t="shared" si="2"/>
        <v>0</v>
      </c>
      <c r="N8" s="287">
        <f t="shared" si="2"/>
        <v>0</v>
      </c>
      <c r="O8" s="287">
        <f t="shared" si="2"/>
        <v>0</v>
      </c>
      <c r="P8" s="287">
        <f t="shared" si="2"/>
        <v>0</v>
      </c>
      <c r="Q8" s="287">
        <f t="shared" si="2"/>
        <v>0</v>
      </c>
      <c r="R8" s="287">
        <f t="shared" si="2"/>
        <v>0</v>
      </c>
      <c r="S8" s="287">
        <f t="shared" si="2"/>
        <v>0</v>
      </c>
      <c r="T8" s="287">
        <f t="shared" si="2"/>
        <v>0</v>
      </c>
      <c r="U8" s="287">
        <f t="shared" si="2"/>
        <v>0</v>
      </c>
      <c r="V8" s="287">
        <f t="shared" si="2"/>
        <v>0</v>
      </c>
      <c r="W8" s="287">
        <f t="shared" si="2"/>
        <v>0</v>
      </c>
      <c r="X8" s="287">
        <f t="shared" si="2"/>
        <v>0</v>
      </c>
      <c r="Y8" s="287">
        <f t="shared" si="2"/>
        <v>0</v>
      </c>
      <c r="Z8" s="287">
        <f t="shared" si="2"/>
        <v>0</v>
      </c>
      <c r="AA8" s="287">
        <f t="shared" si="2"/>
        <v>0</v>
      </c>
      <c r="AB8" s="287">
        <f t="shared" si="2"/>
        <v>0</v>
      </c>
      <c r="AC8" s="287">
        <f t="shared" si="2"/>
        <v>0</v>
      </c>
      <c r="AD8" s="287">
        <f t="shared" si="2"/>
        <v>0</v>
      </c>
      <c r="AE8" s="287">
        <f t="shared" si="2"/>
        <v>0</v>
      </c>
      <c r="AF8" s="287">
        <f t="shared" si="2"/>
        <v>0</v>
      </c>
      <c r="AG8" s="287"/>
      <c r="AH8" s="287">
        <f>ROUND(SUM(I8:AF8),2)</f>
        <v>1501918.31</v>
      </c>
    </row>
    <row r="9" spans="2:34" x14ac:dyDescent="0.25">
      <c r="C9" s="305"/>
      <c r="AH9" s="215"/>
    </row>
    <row r="10" spans="2:34" x14ac:dyDescent="0.25">
      <c r="B10" s="1" t="s">
        <v>306</v>
      </c>
      <c r="C10" s="303">
        <f>YOC!V23</f>
        <v>142.01122740104117</v>
      </c>
      <c r="D10" s="274">
        <f>(C10*'Cash Flow'!C10)</f>
        <v>48807611.527499996</v>
      </c>
      <c r="E10" s="1"/>
      <c r="F10" s="304">
        <v>7</v>
      </c>
      <c r="G10" s="304">
        <v>18</v>
      </c>
      <c r="H10" s="1"/>
      <c r="I10" s="287">
        <f t="shared" ref="I10:AF10" si="3">IF(AND(I$5&gt;=$F10,I$5&lt;$F10+$G10),$D10/$G10,0)</f>
        <v>0</v>
      </c>
      <c r="J10" s="287">
        <f t="shared" si="3"/>
        <v>0</v>
      </c>
      <c r="K10" s="287">
        <f t="shared" si="3"/>
        <v>0</v>
      </c>
      <c r="L10" s="287">
        <f t="shared" si="3"/>
        <v>0</v>
      </c>
      <c r="M10" s="287">
        <f t="shared" si="3"/>
        <v>0</v>
      </c>
      <c r="N10" s="287">
        <f t="shared" si="3"/>
        <v>0</v>
      </c>
      <c r="O10" s="287">
        <f t="shared" si="3"/>
        <v>2711533.9737499999</v>
      </c>
      <c r="P10" s="287">
        <f t="shared" si="3"/>
        <v>2711533.9737499999</v>
      </c>
      <c r="Q10" s="287">
        <f t="shared" si="3"/>
        <v>2711533.9737499999</v>
      </c>
      <c r="R10" s="287">
        <f t="shared" si="3"/>
        <v>2711533.9737499999</v>
      </c>
      <c r="S10" s="287">
        <f t="shared" si="3"/>
        <v>2711533.9737499999</v>
      </c>
      <c r="T10" s="287">
        <f t="shared" si="3"/>
        <v>2711533.9737499999</v>
      </c>
      <c r="U10" s="287">
        <f t="shared" si="3"/>
        <v>2711533.9737499999</v>
      </c>
      <c r="V10" s="287">
        <f t="shared" si="3"/>
        <v>2711533.9737499999</v>
      </c>
      <c r="W10" s="287">
        <f t="shared" si="3"/>
        <v>2711533.9737499999</v>
      </c>
      <c r="X10" s="287">
        <f t="shared" si="3"/>
        <v>2711533.9737499999</v>
      </c>
      <c r="Y10" s="287">
        <f t="shared" si="3"/>
        <v>2711533.9737499999</v>
      </c>
      <c r="Z10" s="287">
        <f t="shared" si="3"/>
        <v>2711533.9737499999</v>
      </c>
      <c r="AA10" s="287">
        <f t="shared" si="3"/>
        <v>2711533.9737499999</v>
      </c>
      <c r="AB10" s="287">
        <f t="shared" si="3"/>
        <v>2711533.9737499999</v>
      </c>
      <c r="AC10" s="287">
        <f t="shared" si="3"/>
        <v>2711533.9737499999</v>
      </c>
      <c r="AD10" s="287">
        <f t="shared" si="3"/>
        <v>2711533.9737499999</v>
      </c>
      <c r="AE10" s="287">
        <f t="shared" si="3"/>
        <v>2711533.9737499999</v>
      </c>
      <c r="AF10" s="287">
        <f t="shared" si="3"/>
        <v>2711533.9737499999</v>
      </c>
      <c r="AG10" s="287"/>
      <c r="AH10" s="287">
        <f>ROUND(SUM(I10:AF10),2)</f>
        <v>48807611.530000001</v>
      </c>
    </row>
    <row r="11" spans="2:34" x14ac:dyDescent="0.25">
      <c r="C11" s="305"/>
      <c r="AH11" s="215"/>
    </row>
    <row r="12" spans="2:34" x14ac:dyDescent="0.25">
      <c r="B12" t="s">
        <v>185</v>
      </c>
      <c r="C12" s="339">
        <f>D12/'Cash Flow'!$C$9</f>
        <v>3.4078767998533723</v>
      </c>
      <c r="D12" s="305">
        <f>D10*0.015</f>
        <v>732114.17291249987</v>
      </c>
      <c r="F12" s="307">
        <v>2</v>
      </c>
      <c r="G12" s="307">
        <v>6</v>
      </c>
      <c r="I12" s="7">
        <f t="shared" ref="I12:X23" si="4">IF(AND(I$5&gt;=$F12,I$5&lt;$F12+$G12),$D12/$G12,0)</f>
        <v>0</v>
      </c>
      <c r="J12" s="7">
        <f t="shared" si="4"/>
        <v>122019.02881874998</v>
      </c>
      <c r="K12" s="7">
        <f t="shared" si="4"/>
        <v>122019.02881874998</v>
      </c>
      <c r="L12" s="7">
        <f t="shared" si="4"/>
        <v>122019.02881874998</v>
      </c>
      <c r="M12" s="7">
        <f t="shared" si="4"/>
        <v>122019.02881874998</v>
      </c>
      <c r="N12" s="7">
        <f t="shared" si="4"/>
        <v>122019.02881874998</v>
      </c>
      <c r="O12" s="7">
        <f t="shared" si="4"/>
        <v>122019.02881874998</v>
      </c>
      <c r="P12" s="7">
        <f t="shared" si="4"/>
        <v>0</v>
      </c>
      <c r="Q12" s="7">
        <f t="shared" si="4"/>
        <v>0</v>
      </c>
      <c r="R12" s="7">
        <f t="shared" si="4"/>
        <v>0</v>
      </c>
      <c r="S12" s="7">
        <f t="shared" si="4"/>
        <v>0</v>
      </c>
      <c r="T12" s="7">
        <f t="shared" si="4"/>
        <v>0</v>
      </c>
      <c r="U12" s="7">
        <f t="shared" si="4"/>
        <v>0</v>
      </c>
      <c r="V12" s="7">
        <f t="shared" si="4"/>
        <v>0</v>
      </c>
      <c r="W12" s="7">
        <f t="shared" si="4"/>
        <v>0</v>
      </c>
      <c r="X12" s="7">
        <f t="shared" si="4"/>
        <v>0</v>
      </c>
      <c r="Y12" s="7">
        <f t="shared" ref="S12:AF23" si="5">IF(AND(Y$5&gt;=$F12,Y$5&lt;$F12+$G12),$D12/$G12,0)</f>
        <v>0</v>
      </c>
      <c r="Z12" s="7">
        <f t="shared" si="5"/>
        <v>0</v>
      </c>
      <c r="AA12" s="7">
        <f t="shared" si="5"/>
        <v>0</v>
      </c>
      <c r="AB12" s="7">
        <f t="shared" si="5"/>
        <v>0</v>
      </c>
      <c r="AC12" s="7">
        <f t="shared" si="5"/>
        <v>0</v>
      </c>
      <c r="AD12" s="7">
        <f t="shared" si="5"/>
        <v>0</v>
      </c>
      <c r="AE12" s="7">
        <f t="shared" si="5"/>
        <v>0</v>
      </c>
      <c r="AF12" s="7">
        <f t="shared" si="5"/>
        <v>0</v>
      </c>
      <c r="AG12" s="7"/>
      <c r="AH12" s="7">
        <f t="shared" ref="AH12:AH23" si="6">ROUND(SUM(I12:AF12),2)</f>
        <v>732114.17</v>
      </c>
    </row>
    <row r="13" spans="2:34" x14ac:dyDescent="0.25">
      <c r="B13" t="s">
        <v>186</v>
      </c>
      <c r="C13" s="339">
        <f>D13/'Cash Flow'!$C$9</f>
        <v>3.8622603731671563</v>
      </c>
      <c r="D13" s="305">
        <f>D$10*0.017</f>
        <v>829729.39596750005</v>
      </c>
      <c r="F13" s="307">
        <v>2</v>
      </c>
      <c r="G13" s="307">
        <v>6</v>
      </c>
      <c r="I13" s="7">
        <f t="shared" si="4"/>
        <v>0</v>
      </c>
      <c r="J13" s="7">
        <f t="shared" si="4"/>
        <v>138288.23266125002</v>
      </c>
      <c r="K13" s="7">
        <f t="shared" si="4"/>
        <v>138288.23266125002</v>
      </c>
      <c r="L13" s="7">
        <f t="shared" si="4"/>
        <v>138288.23266125002</v>
      </c>
      <c r="M13" s="7">
        <f t="shared" si="4"/>
        <v>138288.23266125002</v>
      </c>
      <c r="N13" s="7">
        <f t="shared" si="4"/>
        <v>138288.23266125002</v>
      </c>
      <c r="O13" s="7">
        <f t="shared" si="4"/>
        <v>138288.23266125002</v>
      </c>
      <c r="P13" s="7">
        <f t="shared" si="4"/>
        <v>0</v>
      </c>
      <c r="Q13" s="7">
        <f t="shared" si="4"/>
        <v>0</v>
      </c>
      <c r="R13" s="7">
        <f t="shared" si="4"/>
        <v>0</v>
      </c>
      <c r="S13" s="7">
        <f t="shared" si="5"/>
        <v>0</v>
      </c>
      <c r="T13" s="7">
        <f t="shared" si="5"/>
        <v>0</v>
      </c>
      <c r="U13" s="7">
        <f t="shared" si="5"/>
        <v>0</v>
      </c>
      <c r="V13" s="7">
        <f t="shared" si="5"/>
        <v>0</v>
      </c>
      <c r="W13" s="7">
        <f t="shared" si="5"/>
        <v>0</v>
      </c>
      <c r="X13" s="7">
        <f t="shared" si="5"/>
        <v>0</v>
      </c>
      <c r="Y13" s="7">
        <f t="shared" si="5"/>
        <v>0</v>
      </c>
      <c r="Z13" s="7">
        <f t="shared" si="5"/>
        <v>0</v>
      </c>
      <c r="AA13" s="7">
        <f t="shared" si="5"/>
        <v>0</v>
      </c>
      <c r="AB13" s="7">
        <f t="shared" si="5"/>
        <v>0</v>
      </c>
      <c r="AC13" s="7">
        <f t="shared" si="5"/>
        <v>0</v>
      </c>
      <c r="AD13" s="7">
        <f t="shared" si="5"/>
        <v>0</v>
      </c>
      <c r="AE13" s="7">
        <f t="shared" si="5"/>
        <v>0</v>
      </c>
      <c r="AF13" s="7">
        <f t="shared" si="5"/>
        <v>0</v>
      </c>
      <c r="AG13" s="7"/>
      <c r="AH13" s="7">
        <f t="shared" si="6"/>
        <v>829729.4</v>
      </c>
    </row>
    <row r="14" spans="2:34" x14ac:dyDescent="0.25">
      <c r="B14" t="s">
        <v>187</v>
      </c>
      <c r="C14" s="339">
        <f>D14/'Cash Flow'!$C$9</f>
        <v>2.0447260799120235</v>
      </c>
      <c r="D14" s="305">
        <f>D$10*0.009</f>
        <v>439268.50374749996</v>
      </c>
      <c r="F14" s="307">
        <v>2</v>
      </c>
      <c r="G14" s="307">
        <v>1</v>
      </c>
      <c r="I14" s="7">
        <f t="shared" si="4"/>
        <v>0</v>
      </c>
      <c r="J14" s="7">
        <f t="shared" si="4"/>
        <v>439268.50374749996</v>
      </c>
      <c r="K14" s="7">
        <f t="shared" si="4"/>
        <v>0</v>
      </c>
      <c r="L14" s="7">
        <f t="shared" si="4"/>
        <v>0</v>
      </c>
      <c r="M14" s="7">
        <f t="shared" si="4"/>
        <v>0</v>
      </c>
      <c r="N14" s="7">
        <f t="shared" si="4"/>
        <v>0</v>
      </c>
      <c r="O14" s="7">
        <f t="shared" si="4"/>
        <v>0</v>
      </c>
      <c r="P14" s="7">
        <f t="shared" si="4"/>
        <v>0</v>
      </c>
      <c r="Q14" s="7">
        <f t="shared" si="4"/>
        <v>0</v>
      </c>
      <c r="R14" s="7">
        <f t="shared" si="4"/>
        <v>0</v>
      </c>
      <c r="S14" s="7">
        <f t="shared" si="5"/>
        <v>0</v>
      </c>
      <c r="T14" s="7">
        <f t="shared" si="5"/>
        <v>0</v>
      </c>
      <c r="U14" s="7">
        <f t="shared" si="5"/>
        <v>0</v>
      </c>
      <c r="V14" s="7">
        <f t="shared" si="5"/>
        <v>0</v>
      </c>
      <c r="W14" s="7">
        <f t="shared" si="5"/>
        <v>0</v>
      </c>
      <c r="X14" s="7">
        <f t="shared" si="5"/>
        <v>0</v>
      </c>
      <c r="Y14" s="7">
        <f t="shared" si="5"/>
        <v>0</v>
      </c>
      <c r="Z14" s="7">
        <f t="shared" si="5"/>
        <v>0</v>
      </c>
      <c r="AA14" s="7">
        <f t="shared" si="5"/>
        <v>0</v>
      </c>
      <c r="AB14" s="7">
        <f t="shared" si="5"/>
        <v>0</v>
      </c>
      <c r="AC14" s="7">
        <f t="shared" si="5"/>
        <v>0</v>
      </c>
      <c r="AD14" s="7">
        <f t="shared" si="5"/>
        <v>0</v>
      </c>
      <c r="AE14" s="7">
        <f t="shared" si="5"/>
        <v>0</v>
      </c>
      <c r="AF14" s="7">
        <f t="shared" si="5"/>
        <v>0</v>
      </c>
      <c r="AG14" s="7"/>
      <c r="AH14" s="7">
        <f t="shared" si="6"/>
        <v>439268.5</v>
      </c>
    </row>
    <row r="15" spans="2:34" x14ac:dyDescent="0.25">
      <c r="B15" t="s">
        <v>188</v>
      </c>
      <c r="C15" s="339">
        <f>D15/'Cash Flow'!$C$9</f>
        <v>2.8217008797653964</v>
      </c>
      <c r="D15" s="305">
        <v>606186</v>
      </c>
      <c r="F15" s="307">
        <v>2</v>
      </c>
      <c r="G15" s="307">
        <v>1</v>
      </c>
      <c r="I15" s="7">
        <f t="shared" si="4"/>
        <v>0</v>
      </c>
      <c r="J15" s="7">
        <f t="shared" si="4"/>
        <v>606186</v>
      </c>
      <c r="K15" s="7">
        <f t="shared" si="4"/>
        <v>0</v>
      </c>
      <c r="L15" s="7">
        <f t="shared" si="4"/>
        <v>0</v>
      </c>
      <c r="M15" s="7">
        <f t="shared" si="4"/>
        <v>0</v>
      </c>
      <c r="N15" s="7">
        <f t="shared" si="4"/>
        <v>0</v>
      </c>
      <c r="O15" s="7">
        <f t="shared" si="4"/>
        <v>0</v>
      </c>
      <c r="P15" s="7">
        <f t="shared" si="4"/>
        <v>0</v>
      </c>
      <c r="Q15" s="7">
        <f t="shared" si="4"/>
        <v>0</v>
      </c>
      <c r="R15" s="7">
        <f t="shared" si="4"/>
        <v>0</v>
      </c>
      <c r="S15" s="7">
        <f t="shared" si="5"/>
        <v>0</v>
      </c>
      <c r="T15" s="7">
        <f t="shared" si="5"/>
        <v>0</v>
      </c>
      <c r="U15" s="7">
        <f t="shared" si="5"/>
        <v>0</v>
      </c>
      <c r="V15" s="7">
        <f t="shared" si="5"/>
        <v>0</v>
      </c>
      <c r="W15" s="7">
        <f t="shared" si="5"/>
        <v>0</v>
      </c>
      <c r="X15" s="7">
        <f t="shared" si="5"/>
        <v>0</v>
      </c>
      <c r="Y15" s="7">
        <f t="shared" si="5"/>
        <v>0</v>
      </c>
      <c r="Z15" s="7">
        <f t="shared" si="5"/>
        <v>0</v>
      </c>
      <c r="AA15" s="7">
        <f t="shared" si="5"/>
        <v>0</v>
      </c>
      <c r="AB15" s="7">
        <f t="shared" si="5"/>
        <v>0</v>
      </c>
      <c r="AC15" s="7">
        <f t="shared" si="5"/>
        <v>0</v>
      </c>
      <c r="AD15" s="7">
        <f t="shared" si="5"/>
        <v>0</v>
      </c>
      <c r="AE15" s="7">
        <f t="shared" si="5"/>
        <v>0</v>
      </c>
      <c r="AF15" s="7">
        <f t="shared" si="5"/>
        <v>0</v>
      </c>
      <c r="AG15" s="7"/>
      <c r="AH15" s="7">
        <f t="shared" si="6"/>
        <v>606186</v>
      </c>
    </row>
    <row r="16" spans="2:34" x14ac:dyDescent="0.25">
      <c r="B16" t="s">
        <v>189</v>
      </c>
      <c r="C16" s="339">
        <f>D16/'Cash Flow'!$C$9</f>
        <v>16.013643039124752</v>
      </c>
      <c r="D16" s="305">
        <v>3440210.9340951699</v>
      </c>
      <c r="F16" s="307">
        <v>1</v>
      </c>
      <c r="G16" s="307">
        <v>6</v>
      </c>
      <c r="I16" s="7">
        <f t="shared" si="4"/>
        <v>573368.48901586165</v>
      </c>
      <c r="J16" s="7">
        <f t="shared" si="4"/>
        <v>573368.48901586165</v>
      </c>
      <c r="K16" s="7">
        <f t="shared" si="4"/>
        <v>573368.48901586165</v>
      </c>
      <c r="L16" s="7">
        <f t="shared" si="4"/>
        <v>573368.48901586165</v>
      </c>
      <c r="M16" s="7">
        <f t="shared" si="4"/>
        <v>573368.48901586165</v>
      </c>
      <c r="N16" s="7">
        <f t="shared" si="4"/>
        <v>573368.48901586165</v>
      </c>
      <c r="O16" s="7">
        <f t="shared" si="4"/>
        <v>0</v>
      </c>
      <c r="P16" s="7">
        <f t="shared" si="4"/>
        <v>0</v>
      </c>
      <c r="Q16" s="7">
        <f t="shared" si="4"/>
        <v>0</v>
      </c>
      <c r="R16" s="7">
        <f t="shared" si="4"/>
        <v>0</v>
      </c>
      <c r="S16" s="7">
        <f t="shared" si="5"/>
        <v>0</v>
      </c>
      <c r="T16" s="7">
        <f t="shared" si="5"/>
        <v>0</v>
      </c>
      <c r="U16" s="7">
        <f t="shared" si="5"/>
        <v>0</v>
      </c>
      <c r="V16" s="7">
        <f t="shared" si="5"/>
        <v>0</v>
      </c>
      <c r="W16" s="7">
        <f t="shared" si="5"/>
        <v>0</v>
      </c>
      <c r="X16" s="7">
        <f t="shared" si="5"/>
        <v>0</v>
      </c>
      <c r="Y16" s="7">
        <f t="shared" si="5"/>
        <v>0</v>
      </c>
      <c r="Z16" s="7">
        <f t="shared" si="5"/>
        <v>0</v>
      </c>
      <c r="AA16" s="7">
        <f t="shared" si="5"/>
        <v>0</v>
      </c>
      <c r="AB16" s="7">
        <f t="shared" si="5"/>
        <v>0</v>
      </c>
      <c r="AC16" s="7">
        <f t="shared" si="5"/>
        <v>0</v>
      </c>
      <c r="AD16" s="7">
        <f t="shared" si="5"/>
        <v>0</v>
      </c>
      <c r="AE16" s="7">
        <f t="shared" si="5"/>
        <v>0</v>
      </c>
      <c r="AF16" s="7">
        <f t="shared" si="5"/>
        <v>0</v>
      </c>
      <c r="AG16" s="7"/>
      <c r="AH16" s="7">
        <f t="shared" si="6"/>
        <v>3440210.93</v>
      </c>
    </row>
    <row r="17" spans="1:34" x14ac:dyDescent="0.25">
      <c r="B17" t="s">
        <v>190</v>
      </c>
      <c r="C17" s="339">
        <f>D17/'Cash Flow'!$C$9</f>
        <v>2.271917866568915</v>
      </c>
      <c r="D17" s="305">
        <f>D$10*1%</f>
        <v>488076.11527499999</v>
      </c>
      <c r="F17" s="307">
        <v>1</v>
      </c>
      <c r="G17" s="307">
        <v>24</v>
      </c>
      <c r="I17" s="7">
        <f t="shared" si="4"/>
        <v>20336.504803125001</v>
      </c>
      <c r="J17" s="7">
        <f t="shared" si="4"/>
        <v>20336.504803125001</v>
      </c>
      <c r="K17" s="7">
        <f t="shared" si="4"/>
        <v>20336.504803125001</v>
      </c>
      <c r="L17" s="7">
        <f t="shared" si="4"/>
        <v>20336.504803125001</v>
      </c>
      <c r="M17" s="7">
        <f t="shared" si="4"/>
        <v>20336.504803125001</v>
      </c>
      <c r="N17" s="7">
        <f t="shared" si="4"/>
        <v>20336.504803125001</v>
      </c>
      <c r="O17" s="7">
        <f t="shared" si="4"/>
        <v>20336.504803125001</v>
      </c>
      <c r="P17" s="7">
        <f t="shared" si="4"/>
        <v>20336.504803125001</v>
      </c>
      <c r="Q17" s="7">
        <f t="shared" si="4"/>
        <v>20336.504803125001</v>
      </c>
      <c r="R17" s="7">
        <f t="shared" si="4"/>
        <v>20336.504803125001</v>
      </c>
      <c r="S17" s="7">
        <f t="shared" si="5"/>
        <v>20336.504803125001</v>
      </c>
      <c r="T17" s="7">
        <f t="shared" si="5"/>
        <v>20336.504803125001</v>
      </c>
      <c r="U17" s="7">
        <f t="shared" si="5"/>
        <v>20336.504803125001</v>
      </c>
      <c r="V17" s="7">
        <f t="shared" si="5"/>
        <v>20336.504803125001</v>
      </c>
      <c r="W17" s="7">
        <f t="shared" si="5"/>
        <v>20336.504803125001</v>
      </c>
      <c r="X17" s="7">
        <f t="shared" si="5"/>
        <v>20336.504803125001</v>
      </c>
      <c r="Y17" s="7">
        <f t="shared" si="5"/>
        <v>20336.504803125001</v>
      </c>
      <c r="Z17" s="7">
        <f t="shared" si="5"/>
        <v>20336.504803125001</v>
      </c>
      <c r="AA17" s="7">
        <f t="shared" si="5"/>
        <v>20336.504803125001</v>
      </c>
      <c r="AB17" s="7">
        <f t="shared" si="5"/>
        <v>20336.504803125001</v>
      </c>
      <c r="AC17" s="7">
        <f t="shared" si="5"/>
        <v>20336.504803125001</v>
      </c>
      <c r="AD17" s="7">
        <f t="shared" si="5"/>
        <v>20336.504803125001</v>
      </c>
      <c r="AE17" s="7">
        <f t="shared" si="5"/>
        <v>20336.504803125001</v>
      </c>
      <c r="AF17" s="7">
        <f t="shared" si="5"/>
        <v>20336.504803125001</v>
      </c>
      <c r="AG17" s="7"/>
      <c r="AH17" s="7">
        <f t="shared" si="6"/>
        <v>488076.12</v>
      </c>
    </row>
    <row r="18" spans="1:34" x14ac:dyDescent="0.25">
      <c r="B18" t="s">
        <v>191</v>
      </c>
      <c r="C18" s="339">
        <f>D18/'Cash Flow'!$C$9</f>
        <v>2.9534932265395892</v>
      </c>
      <c r="D18" s="305">
        <f>D$10*0.013</f>
        <v>634498.94985749992</v>
      </c>
      <c r="F18" s="307">
        <v>4</v>
      </c>
      <c r="G18" s="307">
        <v>4</v>
      </c>
      <c r="I18" s="7">
        <f t="shared" si="4"/>
        <v>0</v>
      </c>
      <c r="J18" s="7">
        <f t="shared" si="4"/>
        <v>0</v>
      </c>
      <c r="K18" s="7">
        <f t="shared" si="4"/>
        <v>0</v>
      </c>
      <c r="L18" s="7">
        <f t="shared" si="4"/>
        <v>158624.73746437498</v>
      </c>
      <c r="M18" s="7">
        <f t="shared" si="4"/>
        <v>158624.73746437498</v>
      </c>
      <c r="N18" s="7">
        <f t="shared" si="4"/>
        <v>158624.73746437498</v>
      </c>
      <c r="O18" s="7">
        <f t="shared" si="4"/>
        <v>158624.73746437498</v>
      </c>
      <c r="P18" s="7">
        <f t="shared" si="4"/>
        <v>0</v>
      </c>
      <c r="Q18" s="7">
        <f t="shared" si="4"/>
        <v>0</v>
      </c>
      <c r="R18" s="7">
        <f t="shared" si="4"/>
        <v>0</v>
      </c>
      <c r="S18" s="7">
        <f t="shared" si="5"/>
        <v>0</v>
      </c>
      <c r="T18" s="7">
        <f t="shared" si="5"/>
        <v>0</v>
      </c>
      <c r="U18" s="7">
        <f t="shared" si="5"/>
        <v>0</v>
      </c>
      <c r="V18" s="7">
        <f t="shared" si="5"/>
        <v>0</v>
      </c>
      <c r="W18" s="7">
        <f t="shared" si="5"/>
        <v>0</v>
      </c>
      <c r="X18" s="7">
        <f t="shared" si="5"/>
        <v>0</v>
      </c>
      <c r="Y18" s="7">
        <f t="shared" si="5"/>
        <v>0</v>
      </c>
      <c r="Z18" s="7">
        <f t="shared" si="5"/>
        <v>0</v>
      </c>
      <c r="AA18" s="7">
        <f t="shared" si="5"/>
        <v>0</v>
      </c>
      <c r="AB18" s="7">
        <f t="shared" si="5"/>
        <v>0</v>
      </c>
      <c r="AC18" s="7">
        <f t="shared" si="5"/>
        <v>0</v>
      </c>
      <c r="AD18" s="7">
        <f t="shared" si="5"/>
        <v>0</v>
      </c>
      <c r="AE18" s="7">
        <f t="shared" si="5"/>
        <v>0</v>
      </c>
      <c r="AF18" s="7">
        <f t="shared" si="5"/>
        <v>0</v>
      </c>
      <c r="AG18" s="7"/>
      <c r="AH18" s="7">
        <f t="shared" si="6"/>
        <v>634498.94999999995</v>
      </c>
    </row>
    <row r="19" spans="1:34" x14ac:dyDescent="0.25">
      <c r="B19" t="s">
        <v>192</v>
      </c>
      <c r="C19" s="339">
        <f>D19/'Cash Flow'!$C$9</f>
        <v>0.93083600986826809</v>
      </c>
      <c r="D19" s="305">
        <v>199971.5</v>
      </c>
      <c r="F19" s="307">
        <v>7</v>
      </c>
      <c r="G19" s="307">
        <v>1</v>
      </c>
      <c r="I19" s="7">
        <f t="shared" si="4"/>
        <v>0</v>
      </c>
      <c r="J19" s="7">
        <f t="shared" si="4"/>
        <v>0</v>
      </c>
      <c r="K19" s="7">
        <f t="shared" si="4"/>
        <v>0</v>
      </c>
      <c r="L19" s="7">
        <f t="shared" si="4"/>
        <v>0</v>
      </c>
      <c r="M19" s="7">
        <f t="shared" si="4"/>
        <v>0</v>
      </c>
      <c r="N19" s="7">
        <f t="shared" si="4"/>
        <v>0</v>
      </c>
      <c r="O19" s="7">
        <f t="shared" si="4"/>
        <v>199971.5</v>
      </c>
      <c r="P19" s="7">
        <f t="shared" si="4"/>
        <v>0</v>
      </c>
      <c r="Q19" s="7">
        <f t="shared" si="4"/>
        <v>0</v>
      </c>
      <c r="R19" s="7">
        <f t="shared" si="4"/>
        <v>0</v>
      </c>
      <c r="S19" s="7">
        <f t="shared" si="5"/>
        <v>0</v>
      </c>
      <c r="T19" s="7">
        <f t="shared" si="5"/>
        <v>0</v>
      </c>
      <c r="U19" s="7">
        <f t="shared" si="5"/>
        <v>0</v>
      </c>
      <c r="V19" s="7">
        <f t="shared" si="5"/>
        <v>0</v>
      </c>
      <c r="W19" s="7">
        <f t="shared" si="5"/>
        <v>0</v>
      </c>
      <c r="X19" s="7">
        <f t="shared" si="5"/>
        <v>0</v>
      </c>
      <c r="Y19" s="7">
        <f t="shared" si="5"/>
        <v>0</v>
      </c>
      <c r="Z19" s="7">
        <f t="shared" si="5"/>
        <v>0</v>
      </c>
      <c r="AA19" s="7">
        <f t="shared" si="5"/>
        <v>0</v>
      </c>
      <c r="AB19" s="7">
        <f t="shared" si="5"/>
        <v>0</v>
      </c>
      <c r="AC19" s="7">
        <f t="shared" si="5"/>
        <v>0</v>
      </c>
      <c r="AD19" s="7">
        <f t="shared" si="5"/>
        <v>0</v>
      </c>
      <c r="AE19" s="7">
        <f t="shared" si="5"/>
        <v>0</v>
      </c>
      <c r="AF19" s="7">
        <f t="shared" si="5"/>
        <v>0</v>
      </c>
      <c r="AG19" s="7"/>
      <c r="AH19" s="7">
        <f t="shared" si="6"/>
        <v>199971.5</v>
      </c>
    </row>
    <row r="20" spans="1:34" x14ac:dyDescent="0.25">
      <c r="B20" t="s">
        <v>193</v>
      </c>
      <c r="C20" s="339">
        <f>D20/'Cash Flow'!$C$9</f>
        <v>1.1359589332844575</v>
      </c>
      <c r="D20" s="305">
        <f t="shared" ref="D20" si="7">D$10*0.5%</f>
        <v>244038.05763749999</v>
      </c>
      <c r="F20" s="307">
        <v>1</v>
      </c>
      <c r="G20" s="307">
        <v>24</v>
      </c>
      <c r="I20" s="7">
        <f t="shared" si="4"/>
        <v>10168.2524015625</v>
      </c>
      <c r="J20" s="7">
        <f t="shared" si="4"/>
        <v>10168.2524015625</v>
      </c>
      <c r="K20" s="7">
        <f t="shared" si="4"/>
        <v>10168.2524015625</v>
      </c>
      <c r="L20" s="7">
        <f t="shared" si="4"/>
        <v>10168.2524015625</v>
      </c>
      <c r="M20" s="7">
        <f t="shared" si="4"/>
        <v>10168.2524015625</v>
      </c>
      <c r="N20" s="7">
        <f t="shared" si="4"/>
        <v>10168.2524015625</v>
      </c>
      <c r="O20" s="7">
        <f t="shared" si="4"/>
        <v>10168.2524015625</v>
      </c>
      <c r="P20" s="7">
        <f t="shared" si="4"/>
        <v>10168.2524015625</v>
      </c>
      <c r="Q20" s="7">
        <f t="shared" si="4"/>
        <v>10168.2524015625</v>
      </c>
      <c r="R20" s="7">
        <f t="shared" si="4"/>
        <v>10168.2524015625</v>
      </c>
      <c r="S20" s="7">
        <f t="shared" si="5"/>
        <v>10168.2524015625</v>
      </c>
      <c r="T20" s="7">
        <f t="shared" si="5"/>
        <v>10168.2524015625</v>
      </c>
      <c r="U20" s="7">
        <f t="shared" si="5"/>
        <v>10168.2524015625</v>
      </c>
      <c r="V20" s="7">
        <f t="shared" si="5"/>
        <v>10168.2524015625</v>
      </c>
      <c r="W20" s="7">
        <f t="shared" si="5"/>
        <v>10168.2524015625</v>
      </c>
      <c r="X20" s="7">
        <f t="shared" si="5"/>
        <v>10168.2524015625</v>
      </c>
      <c r="Y20" s="7">
        <f t="shared" si="5"/>
        <v>10168.2524015625</v>
      </c>
      <c r="Z20" s="7">
        <f t="shared" si="5"/>
        <v>10168.2524015625</v>
      </c>
      <c r="AA20" s="7">
        <f t="shared" si="5"/>
        <v>10168.2524015625</v>
      </c>
      <c r="AB20" s="7">
        <f t="shared" si="5"/>
        <v>10168.2524015625</v>
      </c>
      <c r="AC20" s="7">
        <f t="shared" si="5"/>
        <v>10168.2524015625</v>
      </c>
      <c r="AD20" s="7">
        <f t="shared" si="5"/>
        <v>10168.2524015625</v>
      </c>
      <c r="AE20" s="7">
        <f t="shared" si="5"/>
        <v>10168.2524015625</v>
      </c>
      <c r="AF20" s="7">
        <f t="shared" si="5"/>
        <v>10168.2524015625</v>
      </c>
      <c r="AG20" s="7"/>
      <c r="AH20" s="7">
        <f t="shared" si="6"/>
        <v>244038.06</v>
      </c>
    </row>
    <row r="21" spans="1:34" x14ac:dyDescent="0.25">
      <c r="B21" t="s">
        <v>305</v>
      </c>
      <c r="C21" s="339">
        <f>D21/'Cash Flow'!$C$9</f>
        <v>1.1132397546187682</v>
      </c>
      <c r="D21" s="305">
        <f>D$10*0.0049</f>
        <v>239157.29648474997</v>
      </c>
      <c r="F21" s="307">
        <v>7</v>
      </c>
      <c r="G21" s="307">
        <v>12</v>
      </c>
      <c r="I21" s="7">
        <f t="shared" si="4"/>
        <v>0</v>
      </c>
      <c r="J21" s="7">
        <f t="shared" si="4"/>
        <v>0</v>
      </c>
      <c r="K21" s="7">
        <f t="shared" si="4"/>
        <v>0</v>
      </c>
      <c r="L21" s="7">
        <f t="shared" si="4"/>
        <v>0</v>
      </c>
      <c r="M21" s="7">
        <f t="shared" si="4"/>
        <v>0</v>
      </c>
      <c r="N21" s="7">
        <f t="shared" si="4"/>
        <v>0</v>
      </c>
      <c r="O21" s="7">
        <f t="shared" si="4"/>
        <v>19929.774707062497</v>
      </c>
      <c r="P21" s="7">
        <f t="shared" si="4"/>
        <v>19929.774707062497</v>
      </c>
      <c r="Q21" s="7">
        <f t="shared" si="4"/>
        <v>19929.774707062497</v>
      </c>
      <c r="R21" s="7">
        <f t="shared" si="4"/>
        <v>19929.774707062497</v>
      </c>
      <c r="S21" s="7">
        <f t="shared" si="5"/>
        <v>19929.774707062497</v>
      </c>
      <c r="T21" s="7">
        <f t="shared" si="5"/>
        <v>19929.774707062497</v>
      </c>
      <c r="U21" s="7">
        <f t="shared" si="5"/>
        <v>19929.774707062497</v>
      </c>
      <c r="V21" s="7">
        <f t="shared" si="5"/>
        <v>19929.774707062497</v>
      </c>
      <c r="W21" s="7">
        <f t="shared" si="5"/>
        <v>19929.774707062497</v>
      </c>
      <c r="X21" s="7">
        <f t="shared" si="5"/>
        <v>19929.774707062497</v>
      </c>
      <c r="Y21" s="7">
        <f t="shared" si="5"/>
        <v>19929.774707062497</v>
      </c>
      <c r="Z21" s="7">
        <f t="shared" si="5"/>
        <v>19929.774707062497</v>
      </c>
      <c r="AA21" s="7">
        <f t="shared" si="5"/>
        <v>0</v>
      </c>
      <c r="AB21" s="7">
        <f t="shared" si="5"/>
        <v>0</v>
      </c>
      <c r="AC21" s="7">
        <f t="shared" si="5"/>
        <v>0</v>
      </c>
      <c r="AD21" s="7">
        <f t="shared" si="5"/>
        <v>0</v>
      </c>
      <c r="AE21" s="7">
        <f t="shared" si="5"/>
        <v>0</v>
      </c>
      <c r="AF21" s="7">
        <f t="shared" si="5"/>
        <v>0</v>
      </c>
      <c r="AG21" s="7"/>
      <c r="AH21" s="7">
        <f t="shared" si="6"/>
        <v>239157.3</v>
      </c>
    </row>
    <row r="22" spans="1:34" x14ac:dyDescent="0.25">
      <c r="B22" t="s">
        <v>194</v>
      </c>
      <c r="C22" s="306">
        <f>D22/'Cash Flow'!$C$9</f>
        <v>0</v>
      </c>
      <c r="D22" s="305">
        <v>0</v>
      </c>
      <c r="F22" s="307">
        <v>1</v>
      </c>
      <c r="G22" s="307">
        <v>1</v>
      </c>
      <c r="I22" s="7">
        <f t="shared" si="4"/>
        <v>0</v>
      </c>
      <c r="J22" s="7">
        <f t="shared" si="4"/>
        <v>0</v>
      </c>
      <c r="K22" s="7">
        <f t="shared" si="4"/>
        <v>0</v>
      </c>
      <c r="L22" s="7">
        <f t="shared" si="4"/>
        <v>0</v>
      </c>
      <c r="M22" s="7">
        <f t="shared" si="4"/>
        <v>0</v>
      </c>
      <c r="N22" s="7">
        <f t="shared" si="4"/>
        <v>0</v>
      </c>
      <c r="O22" s="7">
        <f t="shared" si="4"/>
        <v>0</v>
      </c>
      <c r="P22" s="7">
        <f t="shared" si="4"/>
        <v>0</v>
      </c>
      <c r="Q22" s="7">
        <f t="shared" si="4"/>
        <v>0</v>
      </c>
      <c r="R22" s="7">
        <f t="shared" si="4"/>
        <v>0</v>
      </c>
      <c r="S22" s="7">
        <f t="shared" si="5"/>
        <v>0</v>
      </c>
      <c r="T22" s="7">
        <f t="shared" si="5"/>
        <v>0</v>
      </c>
      <c r="U22" s="7">
        <f t="shared" si="5"/>
        <v>0</v>
      </c>
      <c r="V22" s="7">
        <f t="shared" si="5"/>
        <v>0</v>
      </c>
      <c r="W22" s="7">
        <f t="shared" si="5"/>
        <v>0</v>
      </c>
      <c r="X22" s="7">
        <f t="shared" si="5"/>
        <v>0</v>
      </c>
      <c r="Y22" s="7">
        <f t="shared" si="5"/>
        <v>0</v>
      </c>
      <c r="Z22" s="7">
        <f t="shared" si="5"/>
        <v>0</v>
      </c>
      <c r="AA22" s="7">
        <f t="shared" si="5"/>
        <v>0</v>
      </c>
      <c r="AB22" s="7">
        <f t="shared" si="5"/>
        <v>0</v>
      </c>
      <c r="AC22" s="7">
        <f t="shared" si="5"/>
        <v>0</v>
      </c>
      <c r="AD22" s="7">
        <f t="shared" si="5"/>
        <v>0</v>
      </c>
      <c r="AE22" s="7">
        <f t="shared" si="5"/>
        <v>0</v>
      </c>
      <c r="AF22" s="7">
        <f t="shared" si="5"/>
        <v>0</v>
      </c>
      <c r="AG22" s="7"/>
      <c r="AH22" s="7">
        <f t="shared" si="6"/>
        <v>0</v>
      </c>
    </row>
    <row r="23" spans="1:34" x14ac:dyDescent="0.25">
      <c r="B23" s="285" t="s">
        <v>194</v>
      </c>
      <c r="C23" s="308">
        <f>D23/'Cash Flow'!$C$9</f>
        <v>0</v>
      </c>
      <c r="D23" s="309">
        <v>0</v>
      </c>
      <c r="E23" s="285"/>
      <c r="F23" s="310">
        <v>1</v>
      </c>
      <c r="G23" s="310">
        <v>1</v>
      </c>
      <c r="H23" s="285"/>
      <c r="I23" s="219">
        <f t="shared" si="4"/>
        <v>0</v>
      </c>
      <c r="J23" s="219">
        <f t="shared" si="4"/>
        <v>0</v>
      </c>
      <c r="K23" s="219">
        <f t="shared" si="4"/>
        <v>0</v>
      </c>
      <c r="L23" s="219">
        <f t="shared" si="4"/>
        <v>0</v>
      </c>
      <c r="M23" s="219">
        <f t="shared" si="4"/>
        <v>0</v>
      </c>
      <c r="N23" s="219">
        <f t="shared" si="4"/>
        <v>0</v>
      </c>
      <c r="O23" s="219">
        <f t="shared" si="4"/>
        <v>0</v>
      </c>
      <c r="P23" s="219">
        <f t="shared" si="4"/>
        <v>0</v>
      </c>
      <c r="Q23" s="219">
        <f t="shared" si="4"/>
        <v>0</v>
      </c>
      <c r="R23" s="219">
        <f t="shared" si="4"/>
        <v>0</v>
      </c>
      <c r="S23" s="219">
        <f t="shared" si="5"/>
        <v>0</v>
      </c>
      <c r="T23" s="219">
        <f t="shared" si="5"/>
        <v>0</v>
      </c>
      <c r="U23" s="219">
        <f t="shared" si="5"/>
        <v>0</v>
      </c>
      <c r="V23" s="219">
        <f t="shared" si="5"/>
        <v>0</v>
      </c>
      <c r="W23" s="219">
        <f t="shared" si="5"/>
        <v>0</v>
      </c>
      <c r="X23" s="219">
        <f t="shared" si="5"/>
        <v>0</v>
      </c>
      <c r="Y23" s="219">
        <f t="shared" si="5"/>
        <v>0</v>
      </c>
      <c r="Z23" s="219">
        <f t="shared" si="5"/>
        <v>0</v>
      </c>
      <c r="AA23" s="219">
        <f t="shared" si="5"/>
        <v>0</v>
      </c>
      <c r="AB23" s="219">
        <f t="shared" si="5"/>
        <v>0</v>
      </c>
      <c r="AC23" s="219">
        <f t="shared" si="5"/>
        <v>0</v>
      </c>
      <c r="AD23" s="219">
        <f t="shared" si="5"/>
        <v>0</v>
      </c>
      <c r="AE23" s="219">
        <f t="shared" si="5"/>
        <v>0</v>
      </c>
      <c r="AF23" s="219">
        <f t="shared" si="5"/>
        <v>0</v>
      </c>
      <c r="AG23" s="219"/>
      <c r="AH23" s="219">
        <f t="shared" si="6"/>
        <v>0</v>
      </c>
    </row>
    <row r="24" spans="1:34" x14ac:dyDescent="0.25">
      <c r="A24" s="342"/>
      <c r="B24" s="1" t="s">
        <v>307</v>
      </c>
      <c r="C24" s="302">
        <f>SUM(C12:C23)</f>
        <v>36.555652962702695</v>
      </c>
      <c r="D24" s="302">
        <f>SUM(D12:D23)</f>
        <v>7853250.9259774201</v>
      </c>
      <c r="E24" s="1"/>
      <c r="F24" s="1"/>
      <c r="G24" s="1"/>
      <c r="H24" s="1"/>
      <c r="I24" s="274">
        <f>SUM(I12:I23)</f>
        <v>603873.24622054922</v>
      </c>
      <c r="J24" s="274">
        <f t="shared" ref="J24:AH24" si="8">SUM(J12:J23)</f>
        <v>1909635.011448049</v>
      </c>
      <c r="K24" s="274">
        <f t="shared" si="8"/>
        <v>864180.50770054921</v>
      </c>
      <c r="L24" s="274">
        <f t="shared" si="8"/>
        <v>1022805.2451649242</v>
      </c>
      <c r="M24" s="274">
        <f t="shared" si="8"/>
        <v>1022805.2451649242</v>
      </c>
      <c r="N24" s="274">
        <f t="shared" si="8"/>
        <v>1022805.2451649242</v>
      </c>
      <c r="O24" s="274">
        <f t="shared" si="8"/>
        <v>669338.03085612506</v>
      </c>
      <c r="P24" s="274">
        <f t="shared" si="8"/>
        <v>50434.531911749997</v>
      </c>
      <c r="Q24" s="274">
        <f t="shared" si="8"/>
        <v>50434.531911749997</v>
      </c>
      <c r="R24" s="274">
        <f t="shared" si="8"/>
        <v>50434.531911749997</v>
      </c>
      <c r="S24" s="274">
        <f t="shared" si="8"/>
        <v>50434.531911749997</v>
      </c>
      <c r="T24" s="274">
        <f t="shared" si="8"/>
        <v>50434.531911749997</v>
      </c>
      <c r="U24" s="274">
        <f t="shared" si="8"/>
        <v>50434.531911749997</v>
      </c>
      <c r="V24" s="274">
        <f t="shared" si="8"/>
        <v>50434.531911749997</v>
      </c>
      <c r="W24" s="274">
        <f t="shared" si="8"/>
        <v>50434.531911749997</v>
      </c>
      <c r="X24" s="274">
        <f t="shared" si="8"/>
        <v>50434.531911749997</v>
      </c>
      <c r="Y24" s="274">
        <f t="shared" si="8"/>
        <v>50434.531911749997</v>
      </c>
      <c r="Z24" s="274">
        <f t="shared" si="8"/>
        <v>50434.531911749997</v>
      </c>
      <c r="AA24" s="274">
        <f t="shared" si="8"/>
        <v>30504.757204687499</v>
      </c>
      <c r="AB24" s="274">
        <f t="shared" si="8"/>
        <v>30504.757204687499</v>
      </c>
      <c r="AC24" s="274">
        <f t="shared" si="8"/>
        <v>30504.757204687499</v>
      </c>
      <c r="AD24" s="274">
        <f t="shared" si="8"/>
        <v>30504.757204687499</v>
      </c>
      <c r="AE24" s="274">
        <f t="shared" si="8"/>
        <v>30504.757204687499</v>
      </c>
      <c r="AF24" s="274">
        <f t="shared" si="8"/>
        <v>30504.757204687499</v>
      </c>
      <c r="AG24" s="1"/>
      <c r="AH24" s="274">
        <f t="shared" si="8"/>
        <v>7853250.9299999997</v>
      </c>
    </row>
    <row r="25" spans="1:34" x14ac:dyDescent="0.25">
      <c r="C25" s="311"/>
      <c r="AH25" s="215"/>
    </row>
    <row r="26" spans="1:34" x14ac:dyDescent="0.25">
      <c r="B26" t="s">
        <v>195</v>
      </c>
      <c r="C26" s="340">
        <f>D26/'Cash Flow'!$C$9</f>
        <v>4.6548433645207846E-2</v>
      </c>
      <c r="D26" s="305">
        <v>10000</v>
      </c>
      <c r="F26" s="307">
        <v>4</v>
      </c>
      <c r="G26" s="307">
        <v>1</v>
      </c>
      <c r="I26" s="7">
        <f t="shared" ref="I26:X29" si="9">IF(AND(I$5&gt;=$F26,I$5&lt;$F26+$G26),$D26/$G26,0)</f>
        <v>0</v>
      </c>
      <c r="J26" s="7">
        <f t="shared" si="9"/>
        <v>0</v>
      </c>
      <c r="K26" s="7">
        <f t="shared" si="9"/>
        <v>0</v>
      </c>
      <c r="L26" s="7">
        <f t="shared" si="9"/>
        <v>10000</v>
      </c>
      <c r="M26" s="7">
        <f t="shared" si="9"/>
        <v>0</v>
      </c>
      <c r="N26" s="7">
        <f t="shared" si="9"/>
        <v>0</v>
      </c>
      <c r="O26" s="7">
        <f t="shared" si="9"/>
        <v>0</v>
      </c>
      <c r="P26" s="7">
        <f t="shared" si="9"/>
        <v>0</v>
      </c>
      <c r="Q26" s="7">
        <f t="shared" si="9"/>
        <v>0</v>
      </c>
      <c r="R26" s="7">
        <f t="shared" si="9"/>
        <v>0</v>
      </c>
      <c r="S26" s="7">
        <f t="shared" si="9"/>
        <v>0</v>
      </c>
      <c r="T26" s="7">
        <f t="shared" si="9"/>
        <v>0</v>
      </c>
      <c r="U26" s="7">
        <f t="shared" si="9"/>
        <v>0</v>
      </c>
      <c r="V26" s="7">
        <f t="shared" si="9"/>
        <v>0</v>
      </c>
      <c r="W26" s="7">
        <f t="shared" si="9"/>
        <v>0</v>
      </c>
      <c r="X26" s="7">
        <f t="shared" si="9"/>
        <v>0</v>
      </c>
      <c r="Y26" s="7">
        <f t="shared" ref="Y26:AF29" si="10">IF(AND(Y$5&gt;=$F26,Y$5&lt;$F26+$G26),$D26/$G26,0)</f>
        <v>0</v>
      </c>
      <c r="Z26" s="7">
        <f t="shared" si="10"/>
        <v>0</v>
      </c>
      <c r="AA26" s="7">
        <f t="shared" si="10"/>
        <v>0</v>
      </c>
      <c r="AB26" s="7">
        <f t="shared" si="10"/>
        <v>0</v>
      </c>
      <c r="AC26" s="7">
        <f t="shared" si="10"/>
        <v>0</v>
      </c>
      <c r="AD26" s="7">
        <f t="shared" si="10"/>
        <v>0</v>
      </c>
      <c r="AE26" s="7">
        <f t="shared" si="10"/>
        <v>0</v>
      </c>
      <c r="AF26" s="7">
        <f t="shared" si="10"/>
        <v>0</v>
      </c>
      <c r="AG26" s="7"/>
      <c r="AH26" s="7">
        <f>ROUND(SUM(I26:AF26),2)</f>
        <v>10000</v>
      </c>
    </row>
    <row r="27" spans="1:34" x14ac:dyDescent="0.25">
      <c r="B27" t="s">
        <v>196</v>
      </c>
      <c r="C27" s="340">
        <f>D27/'Cash Flow'!$C$9</f>
        <v>4.6548433645207846E-2</v>
      </c>
      <c r="D27" s="305">
        <v>10000</v>
      </c>
      <c r="F27" s="307">
        <v>4</v>
      </c>
      <c r="G27" s="307">
        <v>1</v>
      </c>
      <c r="I27" s="7">
        <f t="shared" si="9"/>
        <v>0</v>
      </c>
      <c r="J27" s="7">
        <f t="shared" si="9"/>
        <v>0</v>
      </c>
      <c r="K27" s="7">
        <f t="shared" si="9"/>
        <v>0</v>
      </c>
      <c r="L27" s="7">
        <f t="shared" si="9"/>
        <v>10000</v>
      </c>
      <c r="M27" s="7">
        <f t="shared" si="9"/>
        <v>0</v>
      </c>
      <c r="N27" s="7">
        <f t="shared" si="9"/>
        <v>0</v>
      </c>
      <c r="O27" s="7">
        <f t="shared" si="9"/>
        <v>0</v>
      </c>
      <c r="P27" s="7">
        <f t="shared" si="9"/>
        <v>0</v>
      </c>
      <c r="Q27" s="7">
        <f t="shared" si="9"/>
        <v>0</v>
      </c>
      <c r="R27" s="7">
        <f t="shared" si="9"/>
        <v>0</v>
      </c>
      <c r="S27" s="7">
        <f t="shared" si="9"/>
        <v>0</v>
      </c>
      <c r="T27" s="7">
        <f t="shared" si="9"/>
        <v>0</v>
      </c>
      <c r="U27" s="7">
        <f t="shared" si="9"/>
        <v>0</v>
      </c>
      <c r="V27" s="7">
        <f t="shared" si="9"/>
        <v>0</v>
      </c>
      <c r="W27" s="7">
        <f t="shared" si="9"/>
        <v>0</v>
      </c>
      <c r="X27" s="7">
        <f t="shared" si="9"/>
        <v>0</v>
      </c>
      <c r="Y27" s="7">
        <f t="shared" si="10"/>
        <v>0</v>
      </c>
      <c r="Z27" s="7">
        <f t="shared" si="10"/>
        <v>0</v>
      </c>
      <c r="AA27" s="7">
        <f t="shared" si="10"/>
        <v>0</v>
      </c>
      <c r="AB27" s="7">
        <f t="shared" si="10"/>
        <v>0</v>
      </c>
      <c r="AC27" s="7">
        <f t="shared" si="10"/>
        <v>0</v>
      </c>
      <c r="AD27" s="7">
        <f t="shared" si="10"/>
        <v>0</v>
      </c>
      <c r="AE27" s="7">
        <f t="shared" si="10"/>
        <v>0</v>
      </c>
      <c r="AF27" s="7">
        <f t="shared" si="10"/>
        <v>0</v>
      </c>
      <c r="AG27" s="7"/>
      <c r="AH27" s="7">
        <f>ROUND(SUM(I27:AF27),2)</f>
        <v>10000</v>
      </c>
    </row>
    <row r="28" spans="1:34" x14ac:dyDescent="0.25">
      <c r="A28" s="312">
        <v>0.01</v>
      </c>
      <c r="B28" t="s">
        <v>197</v>
      </c>
      <c r="C28" s="340">
        <f>D28/'Cash Flow'!$C$9</f>
        <v>2.0501033849645758</v>
      </c>
      <c r="D28" s="313">
        <f>((D8+D10+D24)*(1+$A$32)*(1+$A$34))*Debt!$C$15*$A$28</f>
        <v>440423.71019193972</v>
      </c>
      <c r="F28" s="307">
        <v>7</v>
      </c>
      <c r="G28" s="307">
        <v>1</v>
      </c>
      <c r="I28" s="7">
        <f t="shared" si="9"/>
        <v>0</v>
      </c>
      <c r="J28" s="7">
        <f t="shared" si="9"/>
        <v>0</v>
      </c>
      <c r="K28" s="7">
        <f t="shared" si="9"/>
        <v>0</v>
      </c>
      <c r="L28" s="7">
        <f t="shared" si="9"/>
        <v>0</v>
      </c>
      <c r="M28" s="7">
        <f t="shared" si="9"/>
        <v>0</v>
      </c>
      <c r="N28" s="7">
        <f t="shared" si="9"/>
        <v>0</v>
      </c>
      <c r="O28" s="7">
        <f t="shared" si="9"/>
        <v>440423.71019193972</v>
      </c>
      <c r="P28" s="7">
        <f t="shared" si="9"/>
        <v>0</v>
      </c>
      <c r="Q28" s="7">
        <f t="shared" si="9"/>
        <v>0</v>
      </c>
      <c r="R28" s="7">
        <f t="shared" si="9"/>
        <v>0</v>
      </c>
      <c r="S28" s="7">
        <f t="shared" si="9"/>
        <v>0</v>
      </c>
      <c r="T28" s="7">
        <f t="shared" si="9"/>
        <v>0</v>
      </c>
      <c r="U28" s="7">
        <f t="shared" si="9"/>
        <v>0</v>
      </c>
      <c r="V28" s="7">
        <f t="shared" si="9"/>
        <v>0</v>
      </c>
      <c r="W28" s="7">
        <f t="shared" si="9"/>
        <v>0</v>
      </c>
      <c r="X28" s="7">
        <f t="shared" si="9"/>
        <v>0</v>
      </c>
      <c r="Y28" s="7">
        <f t="shared" si="10"/>
        <v>0</v>
      </c>
      <c r="Z28" s="7">
        <f t="shared" si="10"/>
        <v>0</v>
      </c>
      <c r="AA28" s="7">
        <f t="shared" si="10"/>
        <v>0</v>
      </c>
      <c r="AB28" s="7">
        <f t="shared" si="10"/>
        <v>0</v>
      </c>
      <c r="AC28" s="7">
        <f t="shared" si="10"/>
        <v>0</v>
      </c>
      <c r="AD28" s="7">
        <f t="shared" si="10"/>
        <v>0</v>
      </c>
      <c r="AE28" s="7">
        <f t="shared" si="10"/>
        <v>0</v>
      </c>
      <c r="AF28" s="7">
        <f t="shared" si="10"/>
        <v>0</v>
      </c>
      <c r="AG28" s="7"/>
      <c r="AH28" s="7">
        <f>ROUND(SUM(I28:AF28),2)</f>
        <v>440423.71</v>
      </c>
    </row>
    <row r="29" spans="1:34" x14ac:dyDescent="0.25">
      <c r="B29" s="285" t="s">
        <v>198</v>
      </c>
      <c r="C29" s="341">
        <f>D29/'Cash Flow'!$C$9</f>
        <v>0.13964530093562352</v>
      </c>
      <c r="D29" s="309">
        <v>30000</v>
      </c>
      <c r="E29" s="285"/>
      <c r="F29" s="310">
        <v>7</v>
      </c>
      <c r="G29" s="310">
        <v>1</v>
      </c>
      <c r="H29" s="285"/>
      <c r="I29" s="219">
        <f t="shared" si="9"/>
        <v>0</v>
      </c>
      <c r="J29" s="219">
        <f t="shared" si="9"/>
        <v>0</v>
      </c>
      <c r="K29" s="219">
        <f t="shared" si="9"/>
        <v>0</v>
      </c>
      <c r="L29" s="219">
        <f t="shared" si="9"/>
        <v>0</v>
      </c>
      <c r="M29" s="219">
        <f t="shared" si="9"/>
        <v>0</v>
      </c>
      <c r="N29" s="219">
        <f t="shared" si="9"/>
        <v>0</v>
      </c>
      <c r="O29" s="219">
        <f t="shared" si="9"/>
        <v>30000</v>
      </c>
      <c r="P29" s="219">
        <f t="shared" si="9"/>
        <v>0</v>
      </c>
      <c r="Q29" s="219">
        <f t="shared" si="9"/>
        <v>0</v>
      </c>
      <c r="R29" s="219">
        <f t="shared" si="9"/>
        <v>0</v>
      </c>
      <c r="S29" s="219">
        <f t="shared" si="9"/>
        <v>0</v>
      </c>
      <c r="T29" s="219">
        <f t="shared" si="9"/>
        <v>0</v>
      </c>
      <c r="U29" s="219">
        <f t="shared" si="9"/>
        <v>0</v>
      </c>
      <c r="V29" s="219">
        <f t="shared" si="9"/>
        <v>0</v>
      </c>
      <c r="W29" s="219">
        <f t="shared" si="9"/>
        <v>0</v>
      </c>
      <c r="X29" s="219">
        <f t="shared" si="9"/>
        <v>0</v>
      </c>
      <c r="Y29" s="219">
        <f t="shared" si="10"/>
        <v>0</v>
      </c>
      <c r="Z29" s="219">
        <f t="shared" si="10"/>
        <v>0</v>
      </c>
      <c r="AA29" s="219">
        <f t="shared" si="10"/>
        <v>0</v>
      </c>
      <c r="AB29" s="219">
        <f t="shared" si="10"/>
        <v>0</v>
      </c>
      <c r="AC29" s="219">
        <f t="shared" si="10"/>
        <v>0</v>
      </c>
      <c r="AD29" s="219">
        <f t="shared" si="10"/>
        <v>0</v>
      </c>
      <c r="AE29" s="219">
        <f t="shared" si="10"/>
        <v>0</v>
      </c>
      <c r="AF29" s="219">
        <f t="shared" si="10"/>
        <v>0</v>
      </c>
      <c r="AG29" s="219"/>
      <c r="AH29" s="219">
        <f>ROUND(SUM(I29:AF29),2)</f>
        <v>30000</v>
      </c>
    </row>
    <row r="30" spans="1:34" x14ac:dyDescent="0.25">
      <c r="B30" s="1" t="s">
        <v>144</v>
      </c>
      <c r="C30" s="302">
        <f>SUM(C26:C29)</f>
        <v>2.2828455531906147</v>
      </c>
      <c r="D30" s="302">
        <f>SUM(D26:D29)</f>
        <v>490423.71019193972</v>
      </c>
      <c r="E30" s="1"/>
      <c r="F30" s="1"/>
      <c r="G30" s="1"/>
      <c r="H30" s="1"/>
      <c r="I30" s="302">
        <f t="shared" ref="I30:AH30" si="11">SUM(I26:I29)</f>
        <v>0</v>
      </c>
      <c r="J30" s="302">
        <f t="shared" si="11"/>
        <v>0</v>
      </c>
      <c r="K30" s="302">
        <f t="shared" si="11"/>
        <v>0</v>
      </c>
      <c r="L30" s="302">
        <f t="shared" si="11"/>
        <v>20000</v>
      </c>
      <c r="M30" s="302">
        <f>SUM(M26:M29)</f>
        <v>0</v>
      </c>
      <c r="N30" s="302">
        <f t="shared" si="11"/>
        <v>0</v>
      </c>
      <c r="O30" s="302">
        <f t="shared" si="11"/>
        <v>470423.71019193972</v>
      </c>
      <c r="P30" s="302">
        <f t="shared" si="11"/>
        <v>0</v>
      </c>
      <c r="Q30" s="302">
        <f t="shared" si="11"/>
        <v>0</v>
      </c>
      <c r="R30" s="302">
        <f t="shared" si="11"/>
        <v>0</v>
      </c>
      <c r="S30" s="302">
        <f t="shared" si="11"/>
        <v>0</v>
      </c>
      <c r="T30" s="302">
        <f t="shared" si="11"/>
        <v>0</v>
      </c>
      <c r="U30" s="302">
        <f t="shared" si="11"/>
        <v>0</v>
      </c>
      <c r="V30" s="302">
        <f t="shared" si="11"/>
        <v>0</v>
      </c>
      <c r="W30" s="302">
        <f t="shared" si="11"/>
        <v>0</v>
      </c>
      <c r="X30" s="302">
        <f t="shared" si="11"/>
        <v>0</v>
      </c>
      <c r="Y30" s="302">
        <f t="shared" si="11"/>
        <v>0</v>
      </c>
      <c r="Z30" s="302">
        <f t="shared" si="11"/>
        <v>0</v>
      </c>
      <c r="AA30" s="302">
        <f t="shared" si="11"/>
        <v>0</v>
      </c>
      <c r="AB30" s="302">
        <f t="shared" si="11"/>
        <v>0</v>
      </c>
      <c r="AC30" s="302">
        <f t="shared" si="11"/>
        <v>0</v>
      </c>
      <c r="AD30" s="302">
        <f t="shared" si="11"/>
        <v>0</v>
      </c>
      <c r="AE30" s="302">
        <f t="shared" si="11"/>
        <v>0</v>
      </c>
      <c r="AF30" s="302">
        <f t="shared" si="11"/>
        <v>0</v>
      </c>
      <c r="AG30" s="1"/>
      <c r="AH30" s="302">
        <f t="shared" si="11"/>
        <v>490423.71</v>
      </c>
    </row>
    <row r="31" spans="1:34" x14ac:dyDescent="0.25">
      <c r="C31" s="305"/>
      <c r="AH31" s="215"/>
    </row>
    <row r="32" spans="1:34" x14ac:dyDescent="0.25">
      <c r="A32" s="311">
        <v>0.04</v>
      </c>
      <c r="B32" s="1" t="s">
        <v>23</v>
      </c>
      <c r="C32" s="302">
        <f>D32/'Cash Flow'!$C$9</f>
        <v>10.920859185713237</v>
      </c>
      <c r="D32" s="274">
        <f>(D$8+D$10+D$24+D$30)*$A32</f>
        <v>2346128.1788667743</v>
      </c>
      <c r="E32" s="1"/>
      <c r="F32" s="1"/>
      <c r="G32" s="1"/>
      <c r="H32" s="1"/>
      <c r="I32" s="274">
        <f>(I$8+I$10+I$24+I$30)*$A32</f>
        <v>84231.662168821975</v>
      </c>
      <c r="J32" s="274">
        <f t="shared" ref="J32:AF32" si="12">(J$8+J$10+J$24+J$30)*$A32</f>
        <v>76385.400457921962</v>
      </c>
      <c r="K32" s="274">
        <f t="shared" si="12"/>
        <v>34567.22030802197</v>
      </c>
      <c r="L32" s="274">
        <f t="shared" si="12"/>
        <v>41712.209806596969</v>
      </c>
      <c r="M32" s="274">
        <f t="shared" si="12"/>
        <v>40912.209806596969</v>
      </c>
      <c r="N32" s="274">
        <f t="shared" si="12"/>
        <v>40912.209806596969</v>
      </c>
      <c r="O32" s="274">
        <f t="shared" si="12"/>
        <v>154051.82859192259</v>
      </c>
      <c r="P32" s="274">
        <f t="shared" si="12"/>
        <v>110478.74022646999</v>
      </c>
      <c r="Q32" s="274">
        <f t="shared" si="12"/>
        <v>110478.74022646999</v>
      </c>
      <c r="R32" s="274">
        <f t="shared" si="12"/>
        <v>110478.74022646999</v>
      </c>
      <c r="S32" s="274">
        <f t="shared" si="12"/>
        <v>110478.74022646999</v>
      </c>
      <c r="T32" s="274">
        <f t="shared" si="12"/>
        <v>110478.74022646999</v>
      </c>
      <c r="U32" s="274">
        <f t="shared" si="12"/>
        <v>110478.74022646999</v>
      </c>
      <c r="V32" s="274">
        <f t="shared" si="12"/>
        <v>110478.74022646999</v>
      </c>
      <c r="W32" s="274">
        <f t="shared" si="12"/>
        <v>110478.74022646999</v>
      </c>
      <c r="X32" s="274">
        <f t="shared" si="12"/>
        <v>110478.74022646999</v>
      </c>
      <c r="Y32" s="274">
        <f t="shared" si="12"/>
        <v>110478.74022646999</v>
      </c>
      <c r="Z32" s="274">
        <f t="shared" si="12"/>
        <v>110478.74022646999</v>
      </c>
      <c r="AA32" s="274">
        <f t="shared" si="12"/>
        <v>109681.54923818751</v>
      </c>
      <c r="AB32" s="274">
        <f t="shared" si="12"/>
        <v>109681.54923818751</v>
      </c>
      <c r="AC32" s="274">
        <f t="shared" si="12"/>
        <v>109681.54923818751</v>
      </c>
      <c r="AD32" s="274">
        <f t="shared" si="12"/>
        <v>109681.54923818751</v>
      </c>
      <c r="AE32" s="274">
        <f t="shared" si="12"/>
        <v>109681.54923818751</v>
      </c>
      <c r="AF32" s="274">
        <f t="shared" si="12"/>
        <v>109681.54923818751</v>
      </c>
      <c r="AG32" s="1"/>
      <c r="AH32" s="287">
        <f>ROUND(SUM(I32:AF32),2)</f>
        <v>2346128.1800000002</v>
      </c>
    </row>
    <row r="33" spans="1:34" x14ac:dyDescent="0.25">
      <c r="A33" s="311"/>
      <c r="AH33" s="215"/>
    </row>
    <row r="34" spans="1:34" x14ac:dyDescent="0.25">
      <c r="A34" s="311">
        <v>4.0145632601386885E-2</v>
      </c>
      <c r="B34" s="1" t="s">
        <v>24</v>
      </c>
      <c r="C34" s="302">
        <f>D34/'Cash Flow'!$C$9</f>
        <v>11.399044814589242</v>
      </c>
      <c r="D34" s="274">
        <f>(D$8+D$10+D$24+D$30+D$32)*$A34</f>
        <v>2448856.7975182068</v>
      </c>
      <c r="I34" s="274">
        <f t="shared" ref="I34:AF34" si="13">(I$8+I$10+I$24+I$30+I$32)*$A34</f>
        <v>87919.867433675303</v>
      </c>
      <c r="J34" s="274">
        <f t="shared" si="13"/>
        <v>79730.045795232159</v>
      </c>
      <c r="K34" s="274">
        <f t="shared" si="13"/>
        <v>36080.796089963289</v>
      </c>
      <c r="L34" s="274">
        <f t="shared" si="13"/>
        <v>43538.639297077832</v>
      </c>
      <c r="M34" s="274">
        <f t="shared" si="13"/>
        <v>42703.610138968987</v>
      </c>
      <c r="N34" s="274">
        <f t="shared" si="13"/>
        <v>42703.610138968987</v>
      </c>
      <c r="O34" s="274">
        <f t="shared" si="13"/>
        <v>160797.21091780197</v>
      </c>
      <c r="P34" s="274">
        <f t="shared" si="13"/>
        <v>115316.21180029408</v>
      </c>
      <c r="Q34" s="274">
        <f t="shared" si="13"/>
        <v>115316.21180029408</v>
      </c>
      <c r="R34" s="274">
        <f t="shared" si="13"/>
        <v>115316.21180029408</v>
      </c>
      <c r="S34" s="274">
        <f t="shared" si="13"/>
        <v>115316.21180029408</v>
      </c>
      <c r="T34" s="274">
        <f t="shared" si="13"/>
        <v>115316.21180029408</v>
      </c>
      <c r="U34" s="274">
        <f t="shared" si="13"/>
        <v>115316.21180029408</v>
      </c>
      <c r="V34" s="274">
        <f t="shared" si="13"/>
        <v>115316.21180029408</v>
      </c>
      <c r="W34" s="274">
        <f t="shared" si="13"/>
        <v>115316.21180029408</v>
      </c>
      <c r="X34" s="274">
        <f t="shared" si="13"/>
        <v>115316.21180029408</v>
      </c>
      <c r="Y34" s="274">
        <f t="shared" si="13"/>
        <v>115316.21180029408</v>
      </c>
      <c r="Z34" s="274">
        <f t="shared" si="13"/>
        <v>115316.21180029408</v>
      </c>
      <c r="AA34" s="274">
        <f t="shared" si="13"/>
        <v>114484.11465054724</v>
      </c>
      <c r="AB34" s="274">
        <f t="shared" si="13"/>
        <v>114484.11465054724</v>
      </c>
      <c r="AC34" s="274">
        <f t="shared" si="13"/>
        <v>114484.11465054724</v>
      </c>
      <c r="AD34" s="274">
        <f t="shared" si="13"/>
        <v>114484.11465054724</v>
      </c>
      <c r="AE34" s="274">
        <f t="shared" si="13"/>
        <v>114484.11465054724</v>
      </c>
      <c r="AF34" s="274">
        <f t="shared" si="13"/>
        <v>114484.11465054724</v>
      </c>
      <c r="AH34" s="287">
        <f>ROUND(SUM(I34:AF34),2)</f>
        <v>2448856.7999999998</v>
      </c>
    </row>
    <row r="35" spans="1:34" x14ac:dyDescent="0.25">
      <c r="C35" s="311"/>
      <c r="AH35" s="215"/>
    </row>
    <row r="36" spans="1:34" x14ac:dyDescent="0.25">
      <c r="A36" s="1"/>
      <c r="B36" s="314" t="s">
        <v>145</v>
      </c>
      <c r="C36" s="315">
        <f>C8+C10+C24+C30+C32+C34</f>
        <v>207.53962991723694</v>
      </c>
      <c r="D36" s="315">
        <f>D8+D10+D24+D30+D32+D34</f>
        <v>63448189.448054336</v>
      </c>
      <c r="E36" s="314"/>
      <c r="F36" s="314"/>
      <c r="G36" s="314"/>
      <c r="H36" s="314"/>
      <c r="I36" s="315">
        <f>I8+I10+I24+I30+I32+I34</f>
        <v>2277943.0838230462</v>
      </c>
      <c r="J36" s="315">
        <f t="shared" ref="J36:AF36" si="14">J8+J10+J24+J30+J32+J34</f>
        <v>2065750.4577012029</v>
      </c>
      <c r="K36" s="315">
        <f t="shared" si="14"/>
        <v>934828.52409853449</v>
      </c>
      <c r="L36" s="315">
        <f t="shared" si="14"/>
        <v>1128056.0942685991</v>
      </c>
      <c r="M36" s="315">
        <f t="shared" si="14"/>
        <v>1106421.0651104902</v>
      </c>
      <c r="N36" s="315">
        <f t="shared" si="14"/>
        <v>1106421.0651104902</v>
      </c>
      <c r="O36" s="315">
        <f t="shared" si="14"/>
        <v>4166144.7543077897</v>
      </c>
      <c r="P36" s="315">
        <f t="shared" si="14"/>
        <v>2987763.4576885137</v>
      </c>
      <c r="Q36" s="315">
        <f t="shared" si="14"/>
        <v>2987763.4576885137</v>
      </c>
      <c r="R36" s="315">
        <f t="shared" si="14"/>
        <v>2987763.4576885137</v>
      </c>
      <c r="S36" s="315">
        <f t="shared" si="14"/>
        <v>2987763.4576885137</v>
      </c>
      <c r="T36" s="315">
        <f t="shared" si="14"/>
        <v>2987763.4576885137</v>
      </c>
      <c r="U36" s="315">
        <f t="shared" si="14"/>
        <v>2987763.4576885137</v>
      </c>
      <c r="V36" s="315">
        <f t="shared" si="14"/>
        <v>2987763.4576885137</v>
      </c>
      <c r="W36" s="315">
        <f t="shared" si="14"/>
        <v>2987763.4576885137</v>
      </c>
      <c r="X36" s="315">
        <f t="shared" si="14"/>
        <v>2987763.4576885137</v>
      </c>
      <c r="Y36" s="315">
        <f t="shared" si="14"/>
        <v>2987763.4576885137</v>
      </c>
      <c r="Z36" s="315">
        <f t="shared" si="14"/>
        <v>2987763.4576885137</v>
      </c>
      <c r="AA36" s="315">
        <f t="shared" si="14"/>
        <v>2966204.3948434223</v>
      </c>
      <c r="AB36" s="315">
        <f t="shared" si="14"/>
        <v>2966204.3948434223</v>
      </c>
      <c r="AC36" s="315">
        <f t="shared" si="14"/>
        <v>2966204.3948434223</v>
      </c>
      <c r="AD36" s="315">
        <f t="shared" si="14"/>
        <v>2966204.3948434223</v>
      </c>
      <c r="AE36" s="315">
        <f t="shared" si="14"/>
        <v>2966204.3948434223</v>
      </c>
      <c r="AF36" s="315">
        <f t="shared" si="14"/>
        <v>2966204.3948434223</v>
      </c>
      <c r="AG36" s="314"/>
      <c r="AH36" s="315">
        <f>ROUND(SUM(I36:AF36),2)</f>
        <v>63448189.450000003</v>
      </c>
    </row>
    <row r="37" spans="1:34" x14ac:dyDescent="0.25">
      <c r="AH37" s="215">
        <f>AH34+AH32+AH30+AH24+AH10+AH8</f>
        <v>63448189.460000008</v>
      </c>
    </row>
    <row r="38" spans="1:34" x14ac:dyDescent="0.25">
      <c r="B38">
        <f>(D24+D30+D32+D34)/D10</f>
        <v>0.26919284106233182</v>
      </c>
      <c r="D38" s="296">
        <f>D36/'Cash Flow'!C9</f>
        <v>295.34138364313338</v>
      </c>
      <c r="AH38" s="215"/>
    </row>
    <row r="39" spans="1:34" x14ac:dyDescent="0.25">
      <c r="F39" s="215"/>
    </row>
    <row r="40" spans="1:34" x14ac:dyDescent="0.25">
      <c r="D40" s="215"/>
    </row>
    <row r="41" spans="1:34" x14ac:dyDescent="0.25">
      <c r="D41" s="215"/>
      <c r="L41">
        <v>48082475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A1CF-D559-47F1-AB82-667D493272AB}">
  <dimension ref="B4:N42"/>
  <sheetViews>
    <sheetView showGridLines="0" zoomScaleNormal="100" workbookViewId="0">
      <selection activeCell="M43" sqref="M43"/>
    </sheetView>
  </sheetViews>
  <sheetFormatPr defaultRowHeight="15" x14ac:dyDescent="0.25"/>
  <cols>
    <col min="2" max="2" width="26.7109375" bestFit="1" customWidth="1"/>
    <col min="3" max="3" width="9.5703125" bestFit="1" customWidth="1"/>
    <col min="4" max="4" width="6.85546875" bestFit="1" customWidth="1"/>
    <col min="5" max="6" width="4.42578125" bestFit="1" customWidth="1"/>
    <col min="7" max="11" width="11.28515625" bestFit="1" customWidth="1"/>
    <col min="12" max="12" width="11.5703125" bestFit="1" customWidth="1"/>
    <col min="14" max="14" width="10.5703125" bestFit="1" customWidth="1"/>
  </cols>
  <sheetData>
    <row r="4" spans="2:14" x14ac:dyDescent="0.25">
      <c r="N4">
        <f>7*12</f>
        <v>84</v>
      </c>
    </row>
    <row r="7" spans="2:14" x14ac:dyDescent="0.25">
      <c r="B7" s="262" t="s">
        <v>140</v>
      </c>
      <c r="C7" s="262"/>
      <c r="D7" s="262"/>
      <c r="E7" s="301">
        <v>1</v>
      </c>
      <c r="F7" s="301">
        <f t="shared" ref="F7:K7" si="0">E7+1</f>
        <v>2</v>
      </c>
      <c r="G7" s="301">
        <f t="shared" si="0"/>
        <v>3</v>
      </c>
      <c r="H7" s="301">
        <f t="shared" si="0"/>
        <v>4</v>
      </c>
      <c r="I7" s="301">
        <f t="shared" si="0"/>
        <v>5</v>
      </c>
      <c r="J7" s="301">
        <f t="shared" si="0"/>
        <v>6</v>
      </c>
      <c r="K7" s="301">
        <f t="shared" si="0"/>
        <v>7</v>
      </c>
      <c r="L7" s="263" t="s">
        <v>46</v>
      </c>
    </row>
    <row r="8" spans="2:14" x14ac:dyDescent="0.25">
      <c r="E8" t="s">
        <v>313</v>
      </c>
      <c r="F8" t="s">
        <v>313</v>
      </c>
      <c r="G8" s="273" t="s">
        <v>148</v>
      </c>
      <c r="H8" s="273" t="s">
        <v>148</v>
      </c>
      <c r="I8" s="273" t="s">
        <v>148</v>
      </c>
      <c r="J8" s="273" t="s">
        <v>148</v>
      </c>
      <c r="K8" s="273" t="s">
        <v>148</v>
      </c>
    </row>
    <row r="10" spans="2:14" x14ac:dyDescent="0.25">
      <c r="B10" t="s">
        <v>199</v>
      </c>
      <c r="G10" s="311">
        <v>0.06</v>
      </c>
      <c r="H10" s="317">
        <v>0.05</v>
      </c>
      <c r="I10" s="311">
        <v>0.04</v>
      </c>
      <c r="J10" s="311">
        <v>0.04</v>
      </c>
      <c r="K10" s="311">
        <v>0.03</v>
      </c>
    </row>
    <row r="11" spans="2:14" x14ac:dyDescent="0.25">
      <c r="B11" t="s">
        <v>200</v>
      </c>
      <c r="G11" s="294">
        <f>(1+G10)</f>
        <v>1.06</v>
      </c>
      <c r="H11" s="294">
        <f>G11*(1+H$10)</f>
        <v>1.1130000000000002</v>
      </c>
      <c r="I11" s="294">
        <f t="shared" ref="I11:K11" si="1">H11*(1+I$10)</f>
        <v>1.1575200000000003</v>
      </c>
      <c r="J11" s="294">
        <f t="shared" si="1"/>
        <v>1.2038208000000004</v>
      </c>
      <c r="K11" s="294">
        <f t="shared" si="1"/>
        <v>1.2399354240000005</v>
      </c>
    </row>
    <row r="12" spans="2:14" x14ac:dyDescent="0.25">
      <c r="B12" t="s">
        <v>201</v>
      </c>
      <c r="G12" s="311">
        <v>1.4999999999999999E-2</v>
      </c>
      <c r="H12" s="317">
        <v>2.5000000000000001E-2</v>
      </c>
      <c r="I12" s="311">
        <v>0.04</v>
      </c>
      <c r="J12" s="311">
        <v>0.03</v>
      </c>
      <c r="K12" s="311">
        <v>0.03</v>
      </c>
    </row>
    <row r="13" spans="2:14" x14ac:dyDescent="0.25">
      <c r="B13" t="s">
        <v>202</v>
      </c>
      <c r="G13" s="294">
        <f>(1+G12)</f>
        <v>1.0149999999999999</v>
      </c>
      <c r="H13" s="294">
        <f>G13*(1+H$12)</f>
        <v>1.0403749999999998</v>
      </c>
      <c r="I13" s="294">
        <f t="shared" ref="I13:J13" si="2">H13*(1+I$12)</f>
        <v>1.0819899999999998</v>
      </c>
      <c r="J13" s="294">
        <f t="shared" si="2"/>
        <v>1.1144496999999998</v>
      </c>
      <c r="K13" s="294">
        <f>J13*(1+K$12)</f>
        <v>1.1478831909999998</v>
      </c>
    </row>
    <row r="15" spans="2:14" x14ac:dyDescent="0.25">
      <c r="B15" s="1" t="s">
        <v>203</v>
      </c>
      <c r="C15" s="318">
        <f>YOC!E18</f>
        <v>1.5033333333333334</v>
      </c>
      <c r="D15" s="1" t="s">
        <v>204</v>
      </c>
      <c r="E15" s="1"/>
      <c r="F15" s="1"/>
      <c r="G15" s="274">
        <f>$C$15*'Cash Flow'!$C$8*'Cash Flow'!$C$7*12*G$11</f>
        <v>4108065.1919999998</v>
      </c>
      <c r="H15" s="274">
        <f>$C$15*'Cash Flow'!$C$8*'Cash Flow'!$C$7*12*H$11</f>
        <v>4313468.4516000003</v>
      </c>
      <c r="I15" s="274">
        <f>$C$15*'Cash Flow'!$C$8*'Cash Flow'!$C$7*12*I$11</f>
        <v>4486007.1896640006</v>
      </c>
      <c r="J15" s="274">
        <f>$C$15*'Cash Flow'!$C$8*'Cash Flow'!$C$7*12*J$11</f>
        <v>4665447.4772505611</v>
      </c>
      <c r="K15" s="274">
        <f>$C$15*'Cash Flow'!$C$8*'Cash Flow'!$C$7*12*K$11</f>
        <v>4805410.9015680784</v>
      </c>
      <c r="L15" s="287">
        <f t="shared" ref="L15:L27" si="3">SUM(E15:K15)</f>
        <v>22378399.212082639</v>
      </c>
    </row>
    <row r="16" spans="2:14" x14ac:dyDescent="0.25">
      <c r="B16" t="s">
        <v>205</v>
      </c>
      <c r="C16" s="317">
        <v>0.5</v>
      </c>
      <c r="D16" t="s">
        <v>206</v>
      </c>
      <c r="G16" s="271">
        <f>-G$15*$C16</f>
        <v>-2054032.5959999999</v>
      </c>
      <c r="L16" s="7">
        <f t="shared" si="3"/>
        <v>-2054032.5959999999</v>
      </c>
    </row>
    <row r="17" spans="2:14" x14ac:dyDescent="0.25">
      <c r="B17" t="s">
        <v>207</v>
      </c>
      <c r="C17" s="319">
        <v>0.01</v>
      </c>
      <c r="D17" t="s">
        <v>206</v>
      </c>
      <c r="H17" s="271">
        <f t="shared" ref="G17:K20" si="4">-H$15*$C17</f>
        <v>-43134.684516000001</v>
      </c>
      <c r="I17" s="271">
        <f t="shared" si="4"/>
        <v>-44860.071896640009</v>
      </c>
      <c r="J17" s="271">
        <f t="shared" si="4"/>
        <v>-46654.474772505615</v>
      </c>
      <c r="K17" s="271">
        <f t="shared" si="4"/>
        <v>-48054.109015680784</v>
      </c>
      <c r="L17" s="216">
        <f t="shared" si="3"/>
        <v>-182703.34020082641</v>
      </c>
    </row>
    <row r="18" spans="2:14" x14ac:dyDescent="0.25">
      <c r="B18" t="s">
        <v>208</v>
      </c>
      <c r="C18" s="319">
        <v>0.03</v>
      </c>
      <c r="D18" t="s">
        <v>206</v>
      </c>
      <c r="G18" s="271">
        <f>-G$15*$C18</f>
        <v>-123241.95575999998</v>
      </c>
      <c r="L18" s="216">
        <f t="shared" si="3"/>
        <v>-123241.95575999998</v>
      </c>
    </row>
    <row r="19" spans="2:14" x14ac:dyDescent="0.25">
      <c r="B19" t="s">
        <v>209</v>
      </c>
      <c r="C19" s="320">
        <v>2.5000000000000001E-3</v>
      </c>
      <c r="D19" t="s">
        <v>206</v>
      </c>
      <c r="H19" s="271">
        <f t="shared" si="4"/>
        <v>-10783.671129</v>
      </c>
      <c r="I19" s="271">
        <f t="shared" si="4"/>
        <v>-11215.017974160002</v>
      </c>
      <c r="J19" s="271">
        <f t="shared" si="4"/>
        <v>-11663.618693126404</v>
      </c>
      <c r="K19" s="271">
        <f t="shared" si="4"/>
        <v>-12013.527253920196</v>
      </c>
      <c r="L19" s="216">
        <f t="shared" si="3"/>
        <v>-45675.835050206602</v>
      </c>
    </row>
    <row r="20" spans="2:14" x14ac:dyDescent="0.25">
      <c r="B20" s="285" t="s">
        <v>210</v>
      </c>
      <c r="C20" s="321">
        <v>0</v>
      </c>
      <c r="D20" s="285" t="s">
        <v>206</v>
      </c>
      <c r="E20" s="285"/>
      <c r="F20" s="285"/>
      <c r="G20" s="290">
        <f t="shared" si="4"/>
        <v>0</v>
      </c>
      <c r="H20" s="290">
        <f t="shared" si="4"/>
        <v>0</v>
      </c>
      <c r="I20" s="290">
        <f t="shared" si="4"/>
        <v>0</v>
      </c>
      <c r="J20" s="290">
        <f t="shared" si="4"/>
        <v>0</v>
      </c>
      <c r="K20" s="290">
        <f t="shared" si="4"/>
        <v>0</v>
      </c>
      <c r="L20" s="219">
        <f t="shared" si="3"/>
        <v>0</v>
      </c>
    </row>
    <row r="21" spans="2:14" x14ac:dyDescent="0.25">
      <c r="B21" s="1" t="s">
        <v>211</v>
      </c>
      <c r="C21" s="1"/>
      <c r="D21" s="1"/>
      <c r="E21" s="1"/>
      <c r="F21" s="1"/>
      <c r="G21" s="274">
        <f>SUM(G15:G20)</f>
        <v>1930790.6402399999</v>
      </c>
      <c r="H21" s="274">
        <f t="shared" ref="H21:K21" si="5">SUM(H15:H20)</f>
        <v>4259550.0959550003</v>
      </c>
      <c r="I21" s="274">
        <f t="shared" si="5"/>
        <v>4429932.0997932013</v>
      </c>
      <c r="J21" s="274">
        <f t="shared" si="5"/>
        <v>4607129.3837849293</v>
      </c>
      <c r="K21" s="274">
        <f t="shared" si="5"/>
        <v>4745343.2652984774</v>
      </c>
      <c r="L21" s="287">
        <f t="shared" si="3"/>
        <v>19972745.485071607</v>
      </c>
    </row>
    <row r="22" spans="2:14" x14ac:dyDescent="0.25">
      <c r="B22" t="s">
        <v>212</v>
      </c>
      <c r="C22" s="322">
        <v>75</v>
      </c>
      <c r="D22" t="s">
        <v>213</v>
      </c>
      <c r="G22" s="215">
        <f>$C22*'Cash Flow'!$C$7*12*G$11*(1-$C$16)</f>
        <v>90153</v>
      </c>
      <c r="H22" s="215">
        <f>$C22*'Cash Flow'!$C$7*12*H$11*(1-$C$16)</f>
        <v>94660.650000000023</v>
      </c>
      <c r="I22" s="215">
        <f>$C22*'Cash Flow'!$C$7*12*I$11*(1-$C$16)</f>
        <v>98447.07600000003</v>
      </c>
      <c r="J22" s="215">
        <f>$C22*'Cash Flow'!$C$7*12*J$11*(1-$C$16)</f>
        <v>102384.95904000003</v>
      </c>
      <c r="K22" s="215">
        <f>$C22*'Cash Flow'!$C$7*12*K$11*(1-$C$16)</f>
        <v>105456.50781120003</v>
      </c>
      <c r="L22" s="7">
        <f t="shared" si="3"/>
        <v>491102.19285120012</v>
      </c>
    </row>
    <row r="23" spans="2:14" x14ac:dyDescent="0.25">
      <c r="B23" t="s">
        <v>214</v>
      </c>
      <c r="C23" s="322">
        <v>35</v>
      </c>
      <c r="D23" t="s">
        <v>213</v>
      </c>
      <c r="G23" s="215">
        <f>$C23*'Cash Flow'!$C$7*12*G$11*(1-$C$16)</f>
        <v>42071.4</v>
      </c>
      <c r="H23" s="215">
        <f>$C23*'Cash Flow'!$C$7*12*H$11*(1-$C$16)</f>
        <v>44174.970000000008</v>
      </c>
      <c r="I23" s="215">
        <f>$C23*'Cash Flow'!$C$7*12*I$11*(1-$C$16)</f>
        <v>45941.96880000001</v>
      </c>
      <c r="J23" s="215">
        <f>$C23*'Cash Flow'!$C$7*12*J$11*(1-$C$16)</f>
        <v>47779.647552000017</v>
      </c>
      <c r="K23" s="215">
        <f>$C23*'Cash Flow'!$C$7*12*K$11*(1-$C$16)</f>
        <v>49213.03697856002</v>
      </c>
      <c r="L23" s="7">
        <f t="shared" si="3"/>
        <v>229181.02333056007</v>
      </c>
      <c r="N23" s="215">
        <f>G15+SUM(G22:G26)</f>
        <v>4368907.8719999995</v>
      </c>
    </row>
    <row r="24" spans="2:14" x14ac:dyDescent="0.25">
      <c r="B24" t="s">
        <v>215</v>
      </c>
      <c r="C24" s="322">
        <v>35</v>
      </c>
      <c r="D24" t="s">
        <v>213</v>
      </c>
      <c r="G24" s="215">
        <f>$C24*'Cash Flow'!$C$7*12*G$11*(1-$C$16)</f>
        <v>42071.4</v>
      </c>
      <c r="H24" s="215">
        <f>$C24*'Cash Flow'!$C$7*12*H$11*(1-$C$16)</f>
        <v>44174.970000000008</v>
      </c>
      <c r="I24" s="215">
        <f>$C24*'Cash Flow'!$C$7*12*I$11*(1-$C$16)</f>
        <v>45941.96880000001</v>
      </c>
      <c r="J24" s="215">
        <f>$C24*'Cash Flow'!$C$7*12*J$11*(1-$C$16)</f>
        <v>47779.647552000017</v>
      </c>
      <c r="K24" s="215">
        <f>$C24*'Cash Flow'!$C$7*12*K$11*(1-$C$16)</f>
        <v>49213.03697856002</v>
      </c>
      <c r="L24" s="7">
        <f t="shared" si="3"/>
        <v>229181.02333056007</v>
      </c>
    </row>
    <row r="25" spans="2:14" x14ac:dyDescent="0.25">
      <c r="B25" t="s">
        <v>216</v>
      </c>
      <c r="C25" s="322">
        <v>20</v>
      </c>
      <c r="D25" t="s">
        <v>213</v>
      </c>
      <c r="G25" s="215">
        <f>$C25*'Cash Flow'!$C$7*12*G$11*(1-$C$16)</f>
        <v>24040.800000000003</v>
      </c>
      <c r="H25" s="215">
        <f>$C25*'Cash Flow'!$C$7*12*H$11*(1-$C$16)</f>
        <v>25242.840000000004</v>
      </c>
      <c r="I25" s="215">
        <f>$C25*'Cash Flow'!$C$7*12*I$11*(1-$C$16)</f>
        <v>26252.553600000007</v>
      </c>
      <c r="J25" s="215">
        <f>$C25*'Cash Flow'!$C$7*12*J$11*(1-$C$16)</f>
        <v>27302.655744000007</v>
      </c>
      <c r="K25" s="215">
        <f>$C25*'Cash Flow'!$C$7*12*K$11*(1-$C$16)</f>
        <v>28121.735416320011</v>
      </c>
      <c r="L25" s="7">
        <f t="shared" si="3"/>
        <v>130960.58476032002</v>
      </c>
    </row>
    <row r="26" spans="2:14" x14ac:dyDescent="0.25">
      <c r="B26" t="s">
        <v>217</v>
      </c>
      <c r="C26" s="322">
        <v>52</v>
      </c>
      <c r="D26" t="s">
        <v>213</v>
      </c>
      <c r="G26" s="215">
        <f>$C26*'Cash Flow'!$C$7*12*G$11*(1-$C$16)</f>
        <v>62506.080000000002</v>
      </c>
      <c r="H26" s="215">
        <f>$C26*'Cash Flow'!$C$7*12*H$11*(1-$C$16)</f>
        <v>65631.384000000005</v>
      </c>
      <c r="I26" s="215">
        <f>$C26*'Cash Flow'!$C$7*12*I$11*(1-$C$16)</f>
        <v>68256.639360000016</v>
      </c>
      <c r="J26" s="215">
        <f>$C26*'Cash Flow'!$C$7*12*J$11*(1-$C$16)</f>
        <v>70986.904934400023</v>
      </c>
      <c r="K26" s="215">
        <f>$C26*'Cash Flow'!$C$7*12*K$11*(1-$C$16)</f>
        <v>73116.512082432033</v>
      </c>
      <c r="L26" s="7">
        <f t="shared" si="3"/>
        <v>340497.52037683211</v>
      </c>
    </row>
    <row r="27" spans="2:14" x14ac:dyDescent="0.25">
      <c r="B27" s="314" t="s">
        <v>218</v>
      </c>
      <c r="C27" s="314"/>
      <c r="D27" s="314"/>
      <c r="E27" s="314"/>
      <c r="F27" s="314"/>
      <c r="G27" s="323">
        <f>SUM(G21:G26)</f>
        <v>2191633.3202399998</v>
      </c>
      <c r="H27" s="323">
        <f t="shared" ref="H27:K27" si="6">SUM(H21:H26)</f>
        <v>4533434.9099549996</v>
      </c>
      <c r="I27" s="323">
        <f t="shared" si="6"/>
        <v>4714772.3063532021</v>
      </c>
      <c r="J27" s="323">
        <f t="shared" si="6"/>
        <v>4903363.1986073302</v>
      </c>
      <c r="K27" s="323">
        <f t="shared" si="6"/>
        <v>5050464.0945655489</v>
      </c>
      <c r="L27" s="315">
        <f t="shared" si="3"/>
        <v>21393667.829721078</v>
      </c>
    </row>
    <row r="29" spans="2:14" x14ac:dyDescent="0.25">
      <c r="B29" t="s">
        <v>219</v>
      </c>
      <c r="C29" s="322">
        <v>550</v>
      </c>
      <c r="D29" t="s">
        <v>220</v>
      </c>
      <c r="G29" s="215">
        <f>-$C29*'Cash Flow'!$C$7*G$13</f>
        <v>-105509.24999999999</v>
      </c>
      <c r="H29" s="215">
        <f>-$C29*'Cash Flow'!$C$7*H$13</f>
        <v>-108146.98124999998</v>
      </c>
      <c r="I29" s="215">
        <f>-$C29*'Cash Flow'!$C$7*I$13</f>
        <v>-112472.86049999998</v>
      </c>
      <c r="J29" s="215">
        <f>-$C29*'Cash Flow'!$C$7*J$13</f>
        <v>-115847.04631499997</v>
      </c>
      <c r="K29" s="215">
        <f>-$C29*'Cash Flow'!$C$7*K$13</f>
        <v>-119322.45770444997</v>
      </c>
      <c r="L29" s="7">
        <f t="shared" ref="L29:L39" si="7">SUM(E29:K29)</f>
        <v>-561298.59576944984</v>
      </c>
    </row>
    <row r="30" spans="2:14" x14ac:dyDescent="0.25">
      <c r="B30" t="s">
        <v>221</v>
      </c>
      <c r="C30" s="322">
        <v>600</v>
      </c>
      <c r="D30" t="s">
        <v>220</v>
      </c>
      <c r="G30" s="215">
        <f>-$C30*'Cash Flow'!$C$7*G$13</f>
        <v>-115100.99999999999</v>
      </c>
      <c r="H30" s="215">
        <f>-$C30*'Cash Flow'!$C$7*H$13</f>
        <v>-117978.52499999998</v>
      </c>
      <c r="I30" s="215">
        <f>-$C30*'Cash Flow'!$C$7*I$13</f>
        <v>-122697.66599999998</v>
      </c>
      <c r="J30" s="215">
        <f>-$C30*'Cash Flow'!$C$7*J$13</f>
        <v>-126378.59597999997</v>
      </c>
      <c r="K30" s="215">
        <f>-$C30*'Cash Flow'!$C$7*K$13</f>
        <v>-130169.95385939998</v>
      </c>
      <c r="L30" s="7">
        <f t="shared" si="7"/>
        <v>-612325.74083939986</v>
      </c>
    </row>
    <row r="31" spans="2:14" x14ac:dyDescent="0.25">
      <c r="B31" t="s">
        <v>222</v>
      </c>
      <c r="C31" s="322">
        <v>270.27130059686237</v>
      </c>
      <c r="D31" t="s">
        <v>220</v>
      </c>
      <c r="G31" s="215">
        <f>-$C31*'Cash Flow'!$C$7*G$13</f>
        <v>-51847.494949999091</v>
      </c>
      <c r="H31" s="215">
        <f>-$C31*'Cash Flow'!$C$7*H$13</f>
        <v>-53143.682323749061</v>
      </c>
      <c r="I31" s="215">
        <f>-$C31*'Cash Flow'!$C$7*I$13</f>
        <v>-55269.429616699024</v>
      </c>
      <c r="J31" s="215">
        <f>-$C31*'Cash Flow'!$C$7*J$13</f>
        <v>-56927.512505199993</v>
      </c>
      <c r="K31" s="215">
        <f>-$C31*'Cash Flow'!$C$7*K$13</f>
        <v>-58635.337880355997</v>
      </c>
      <c r="L31" s="7">
        <f t="shared" si="7"/>
        <v>-275823.45727600314</v>
      </c>
    </row>
    <row r="32" spans="2:14" x14ac:dyDescent="0.25">
      <c r="B32" t="s">
        <v>223</v>
      </c>
      <c r="C32" s="322">
        <v>1600</v>
      </c>
      <c r="D32" t="s">
        <v>220</v>
      </c>
      <c r="G32" s="215">
        <f>-$C32*'Cash Flow'!$C$7*G$13</f>
        <v>-306935.99999999994</v>
      </c>
      <c r="H32" s="215">
        <f>-$C32*'Cash Flow'!$C$7*H$13</f>
        <v>-314609.39999999997</v>
      </c>
      <c r="I32" s="215">
        <f>-$C32*'Cash Flow'!$C$7*I$13</f>
        <v>-327193.77599999995</v>
      </c>
      <c r="J32" s="215">
        <f>-$C32*'Cash Flow'!$C$7*J$13</f>
        <v>-337009.58927999996</v>
      </c>
      <c r="K32" s="215">
        <f>-$C32*'Cash Flow'!$C$7*K$13</f>
        <v>-347119.87695839995</v>
      </c>
      <c r="L32" s="7">
        <f t="shared" si="7"/>
        <v>-1632868.6422383999</v>
      </c>
    </row>
    <row r="33" spans="2:12" x14ac:dyDescent="0.25">
      <c r="B33" t="s">
        <v>224</v>
      </c>
      <c r="C33" s="322">
        <v>300</v>
      </c>
      <c r="D33" t="s">
        <v>220</v>
      </c>
      <c r="G33" s="215">
        <f>-$C33*'Cash Flow'!$C$7*G$13</f>
        <v>-57550.499999999993</v>
      </c>
      <c r="H33" s="215">
        <f>-$C33*'Cash Flow'!$C$7*H$13</f>
        <v>-58989.26249999999</v>
      </c>
      <c r="I33" s="215">
        <f>-$C33*'Cash Flow'!$C$7*I$13</f>
        <v>-61348.832999999991</v>
      </c>
      <c r="J33" s="215">
        <f>-$C33*'Cash Flow'!$C$7*J$13</f>
        <v>-63189.297989999985</v>
      </c>
      <c r="K33" s="215">
        <f>-$C33*'Cash Flow'!$C$7*K$13</f>
        <v>-65084.976929699988</v>
      </c>
      <c r="L33" s="7">
        <f t="shared" si="7"/>
        <v>-306162.87041969993</v>
      </c>
    </row>
    <row r="34" spans="2:12" x14ac:dyDescent="0.25">
      <c r="B34" t="s">
        <v>225</v>
      </c>
      <c r="C34" s="322">
        <v>1750</v>
      </c>
      <c r="D34" t="s">
        <v>220</v>
      </c>
      <c r="G34" s="215">
        <f>-$C34*'Cash Flow'!$C$7*G$13</f>
        <v>-335711.24999999994</v>
      </c>
      <c r="H34" s="215">
        <f>-$C34*'Cash Flow'!$C$7*H$13</f>
        <v>-344104.03124999994</v>
      </c>
      <c r="I34" s="215">
        <f>-$C34*'Cash Flow'!$C$7*I$13</f>
        <v>-357868.19249999995</v>
      </c>
      <c r="J34" s="215">
        <f>-$C34*'Cash Flow'!$C$7*J$13</f>
        <v>-368604.23827499989</v>
      </c>
      <c r="K34" s="215">
        <f>-$C34*'Cash Flow'!$C$7*K$13</f>
        <v>-379662.36542324995</v>
      </c>
      <c r="L34" s="7">
        <f t="shared" si="7"/>
        <v>-1785950.0774482498</v>
      </c>
    </row>
    <row r="35" spans="2:12" x14ac:dyDescent="0.25">
      <c r="B35" t="s">
        <v>192</v>
      </c>
      <c r="C35" s="322">
        <v>750</v>
      </c>
      <c r="D35" t="s">
        <v>220</v>
      </c>
      <c r="G35" s="215">
        <f>-$C35*'Cash Flow'!$C$7*G$13</f>
        <v>-143876.25</v>
      </c>
      <c r="H35" s="215">
        <f>-$C35*'Cash Flow'!$C$7*H$13</f>
        <v>-147473.15624999997</v>
      </c>
      <c r="I35" s="215">
        <f>-$C35*'Cash Flow'!$C$7*I$13</f>
        <v>-153372.08249999996</v>
      </c>
      <c r="J35" s="215">
        <f>-$C35*'Cash Flow'!$C$7*J$13</f>
        <v>-157973.24497499998</v>
      </c>
      <c r="K35" s="215">
        <f>-$C35*'Cash Flow'!$C$7*K$13</f>
        <v>-162712.44232424998</v>
      </c>
      <c r="L35" s="7">
        <f t="shared" si="7"/>
        <v>-765407.17604924995</v>
      </c>
    </row>
    <row r="36" spans="2:12" x14ac:dyDescent="0.25">
      <c r="B36" t="s">
        <v>226</v>
      </c>
      <c r="C36" s="322">
        <v>450</v>
      </c>
      <c r="D36" t="s">
        <v>220</v>
      </c>
      <c r="G36" s="215">
        <f>-$C36*'Cash Flow'!$C$7*G$13</f>
        <v>-86325.749999999985</v>
      </c>
      <c r="H36" s="215">
        <f>-$C36*'Cash Flow'!$C$7*H$13</f>
        <v>-88483.893749999988</v>
      </c>
      <c r="I36" s="215">
        <f>-$C36*'Cash Flow'!$C$7*I$13</f>
        <v>-92023.249499999976</v>
      </c>
      <c r="J36" s="215">
        <f>-$C36*'Cash Flow'!$C$7*J$13</f>
        <v>-94783.946984999973</v>
      </c>
      <c r="K36" s="215">
        <f>-$C36*'Cash Flow'!$C$7*K$13</f>
        <v>-97627.465394549989</v>
      </c>
      <c r="L36" s="7">
        <f t="shared" si="7"/>
        <v>-459244.30562954996</v>
      </c>
    </row>
    <row r="37" spans="2:12" x14ac:dyDescent="0.25">
      <c r="B37" t="s">
        <v>227</v>
      </c>
      <c r="C37" s="319">
        <v>0.03</v>
      </c>
      <c r="D37" t="s">
        <v>228</v>
      </c>
      <c r="G37" s="215">
        <f>-$C37*G$27</f>
        <v>-65748.999607199992</v>
      </c>
      <c r="H37" s="215">
        <f t="shared" ref="H37:K37" si="8">-$C37*H$27</f>
        <v>-136003.04729865</v>
      </c>
      <c r="I37" s="215">
        <f t="shared" si="8"/>
        <v>-141443.16919059606</v>
      </c>
      <c r="J37" s="215">
        <f t="shared" si="8"/>
        <v>-147100.89595821989</v>
      </c>
      <c r="K37" s="215">
        <f t="shared" si="8"/>
        <v>-151513.92283696646</v>
      </c>
      <c r="L37" s="7">
        <f t="shared" si="7"/>
        <v>-641810.03489163239</v>
      </c>
    </row>
    <row r="38" spans="2:12" x14ac:dyDescent="0.25">
      <c r="B38" t="s">
        <v>229</v>
      </c>
      <c r="C38" s="322">
        <v>250</v>
      </c>
      <c r="D38" t="s">
        <v>220</v>
      </c>
      <c r="G38" s="215">
        <f>-$C38*'Cash Flow'!$C$7*G$13</f>
        <v>-47958.749999999993</v>
      </c>
      <c r="H38" s="215">
        <f>-$C38*'Cash Flow'!$C$7*H$13</f>
        <v>-49157.718749999993</v>
      </c>
      <c r="I38" s="215">
        <f>-$C38*'Cash Flow'!$C$7*I$13</f>
        <v>-51124.027499999989</v>
      </c>
      <c r="J38" s="215">
        <f>-$C38*'Cash Flow'!$C$7*J$13</f>
        <v>-52657.748324999986</v>
      </c>
      <c r="K38" s="215">
        <f>-$C38*'Cash Flow'!$C$7*K$13</f>
        <v>-54237.480774749987</v>
      </c>
      <c r="L38" s="7">
        <f t="shared" si="7"/>
        <v>-255135.72534974996</v>
      </c>
    </row>
    <row r="39" spans="2:12" x14ac:dyDescent="0.25">
      <c r="B39" s="314" t="s">
        <v>230</v>
      </c>
      <c r="C39" s="314"/>
      <c r="D39" s="314"/>
      <c r="E39" s="314"/>
      <c r="F39" s="314"/>
      <c r="G39" s="324">
        <f>SUM(G29:G38)</f>
        <v>-1316565.2445571991</v>
      </c>
      <c r="H39" s="324">
        <f t="shared" ref="H39:K39" si="9">SUM(H29:H38)</f>
        <v>-1418089.698372399</v>
      </c>
      <c r="I39" s="324">
        <f t="shared" si="9"/>
        <v>-1474813.2863072951</v>
      </c>
      <c r="J39" s="324">
        <f t="shared" si="9"/>
        <v>-1520472.1165884195</v>
      </c>
      <c r="K39" s="324">
        <f t="shared" si="9"/>
        <v>-1566086.2800860722</v>
      </c>
      <c r="L39" s="315">
        <f t="shared" si="7"/>
        <v>-7296026.6259113848</v>
      </c>
    </row>
    <row r="40" spans="2:12" x14ac:dyDescent="0.25">
      <c r="B40" s="284" t="s">
        <v>231</v>
      </c>
      <c r="C40" s="284"/>
      <c r="D40" s="284"/>
      <c r="E40" s="284"/>
      <c r="F40" s="284"/>
      <c r="G40" s="325">
        <f>-G39/'Cash Flow'!$C$7</f>
        <v>6965.9536749058152</v>
      </c>
      <c r="H40" s="325">
        <f>-H39/'Cash Flow'!$C$7</f>
        <v>7503.1200972084598</v>
      </c>
      <c r="I40" s="325">
        <f>-I39/'Cash Flow'!$C$7</f>
        <v>7803.2449010967994</v>
      </c>
      <c r="J40" s="325">
        <f>-J39/'Cash Flow'!$C$7</f>
        <v>8044.8260136953413</v>
      </c>
      <c r="K40" s="325">
        <f>-K39/'Cash Flow'!$C$7</f>
        <v>8286.1707941062014</v>
      </c>
      <c r="L40" s="326"/>
    </row>
    <row r="41" spans="2:12" ht="15.75" thickBot="1" x14ac:dyDescent="0.3">
      <c r="B41" s="327" t="s">
        <v>150</v>
      </c>
      <c r="C41" s="327"/>
      <c r="D41" s="327"/>
      <c r="E41" s="327"/>
      <c r="F41" s="327"/>
      <c r="G41" s="328">
        <f>G27+G39</f>
        <v>875068.07568280073</v>
      </c>
      <c r="H41" s="328">
        <f>H27+H39</f>
        <v>3115345.2115826006</v>
      </c>
      <c r="I41" s="328">
        <f>I27+I39</f>
        <v>3239959.0200459072</v>
      </c>
      <c r="J41" s="328">
        <f>J27+J39</f>
        <v>3382891.0820189109</v>
      </c>
      <c r="K41" s="328">
        <f>K27+K39</f>
        <v>3484377.8144794768</v>
      </c>
      <c r="L41" s="329">
        <f>SUM(E41:K41)</f>
        <v>14097641.203809697</v>
      </c>
    </row>
    <row r="42" spans="2:12" x14ac:dyDescent="0.25">
      <c r="B42" s="284" t="s">
        <v>232</v>
      </c>
      <c r="C42" s="284"/>
      <c r="D42" s="284"/>
      <c r="E42" s="284"/>
      <c r="F42" s="284"/>
      <c r="G42" s="292">
        <f>G41/G27</f>
        <v>0.39927667990874238</v>
      </c>
      <c r="H42" s="292">
        <f>H41/H27</f>
        <v>0.68719310488865593</v>
      </c>
      <c r="I42" s="292">
        <f>I41/I27</f>
        <v>0.68719310488865615</v>
      </c>
      <c r="J42" s="292">
        <f>J41/J27</f>
        <v>0.68991240195703452</v>
      </c>
      <c r="K42" s="292">
        <f>K41/K27</f>
        <v>0.6899124019570344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D2A01-A107-4F0D-8F37-E1A7468903C1}">
  <dimension ref="B5:AF49"/>
  <sheetViews>
    <sheetView topLeftCell="A16" zoomScale="80" zoomScaleNormal="80" workbookViewId="0">
      <selection activeCell="G27" sqref="G27:O37"/>
    </sheetView>
  </sheetViews>
  <sheetFormatPr defaultRowHeight="15" x14ac:dyDescent="0.25"/>
  <cols>
    <col min="2" max="2" width="21.42578125" bestFit="1" customWidth="1"/>
    <col min="3" max="3" width="12.28515625" bestFit="1" customWidth="1"/>
    <col min="4" max="4" width="6.42578125" bestFit="1" customWidth="1"/>
    <col min="6" max="7" width="11.28515625" bestFit="1" customWidth="1"/>
    <col min="8" max="12" width="12.28515625" bestFit="1" customWidth="1"/>
    <col min="13" max="16" width="11.28515625" bestFit="1" customWidth="1"/>
    <col min="17" max="30" width="12.28515625" bestFit="1" customWidth="1"/>
    <col min="32" max="32" width="12.28515625" bestFit="1" customWidth="1"/>
  </cols>
  <sheetData>
    <row r="5" spans="2:32" x14ac:dyDescent="0.25">
      <c r="B5" s="262" t="s">
        <v>179</v>
      </c>
      <c r="C5" s="301"/>
      <c r="D5" s="301"/>
      <c r="E5" s="262"/>
      <c r="F5" s="262">
        <v>1</v>
      </c>
      <c r="G5" s="262">
        <f>F5+1</f>
        <v>2</v>
      </c>
      <c r="H5" s="262">
        <f t="shared" ref="H5:AD5" si="0">G5+1</f>
        <v>3</v>
      </c>
      <c r="I5" s="262">
        <f t="shared" si="0"/>
        <v>4</v>
      </c>
      <c r="J5" s="262">
        <f t="shared" si="0"/>
        <v>5</v>
      </c>
      <c r="K5" s="262">
        <f t="shared" si="0"/>
        <v>6</v>
      </c>
      <c r="L5" s="262">
        <f t="shared" si="0"/>
        <v>7</v>
      </c>
      <c r="M5" s="262">
        <f t="shared" si="0"/>
        <v>8</v>
      </c>
      <c r="N5" s="262">
        <f t="shared" si="0"/>
        <v>9</v>
      </c>
      <c r="O5" s="262">
        <f t="shared" si="0"/>
        <v>10</v>
      </c>
      <c r="P5" s="262">
        <f t="shared" si="0"/>
        <v>11</v>
      </c>
      <c r="Q5" s="262">
        <f t="shared" si="0"/>
        <v>12</v>
      </c>
      <c r="R5" s="262">
        <f t="shared" si="0"/>
        <v>13</v>
      </c>
      <c r="S5" s="262">
        <f t="shared" si="0"/>
        <v>14</v>
      </c>
      <c r="T5" s="262">
        <f t="shared" si="0"/>
        <v>15</v>
      </c>
      <c r="U5" s="262">
        <f t="shared" si="0"/>
        <v>16</v>
      </c>
      <c r="V5" s="262">
        <f t="shared" si="0"/>
        <v>17</v>
      </c>
      <c r="W5" s="262">
        <f t="shared" si="0"/>
        <v>18</v>
      </c>
      <c r="X5" s="262">
        <f t="shared" si="0"/>
        <v>19</v>
      </c>
      <c r="Y5" s="262">
        <f t="shared" si="0"/>
        <v>20</v>
      </c>
      <c r="Z5" s="262">
        <f t="shared" si="0"/>
        <v>21</v>
      </c>
      <c r="AA5" s="262">
        <f t="shared" si="0"/>
        <v>22</v>
      </c>
      <c r="AB5" s="262">
        <f t="shared" si="0"/>
        <v>23</v>
      </c>
      <c r="AC5" s="262">
        <f t="shared" si="0"/>
        <v>24</v>
      </c>
      <c r="AD5" s="262">
        <f t="shared" si="0"/>
        <v>25</v>
      </c>
      <c r="AE5" s="262"/>
      <c r="AF5" s="263" t="s">
        <v>46</v>
      </c>
    </row>
    <row r="6" spans="2:32" x14ac:dyDescent="0.25">
      <c r="B6" t="s">
        <v>184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f>F6+1</f>
        <v>2</v>
      </c>
      <c r="S6">
        <f t="shared" ref="S6:AD6" si="1">G6+1</f>
        <v>2</v>
      </c>
      <c r="T6">
        <f t="shared" si="1"/>
        <v>2</v>
      </c>
      <c r="U6">
        <f t="shared" si="1"/>
        <v>2</v>
      </c>
      <c r="V6">
        <f t="shared" si="1"/>
        <v>2</v>
      </c>
      <c r="W6">
        <f t="shared" si="1"/>
        <v>2</v>
      </c>
      <c r="X6">
        <f t="shared" si="1"/>
        <v>2</v>
      </c>
      <c r="Y6">
        <f t="shared" si="1"/>
        <v>2</v>
      </c>
      <c r="Z6">
        <f t="shared" si="1"/>
        <v>2</v>
      </c>
      <c r="AA6">
        <f t="shared" si="1"/>
        <v>2</v>
      </c>
      <c r="AB6">
        <f t="shared" si="1"/>
        <v>2</v>
      </c>
      <c r="AC6">
        <f t="shared" si="1"/>
        <v>2</v>
      </c>
      <c r="AD6">
        <f t="shared" si="1"/>
        <v>3</v>
      </c>
    </row>
    <row r="9" spans="2:32" x14ac:dyDescent="0.25">
      <c r="B9" s="1" t="s">
        <v>233</v>
      </c>
      <c r="F9" s="7">
        <f>Development!I36</f>
        <v>2277943.0838230462</v>
      </c>
      <c r="G9" s="7">
        <f>Development!J36</f>
        <v>2065750.4577012029</v>
      </c>
      <c r="H9" s="7">
        <f>Development!K36</f>
        <v>934828.52409853449</v>
      </c>
      <c r="I9" s="7">
        <f>Development!L36</f>
        <v>1128056.0942685991</v>
      </c>
      <c r="J9" s="7">
        <f>Development!M36</f>
        <v>1106421.0651104902</v>
      </c>
      <c r="K9" s="7">
        <f>Development!N36</f>
        <v>1106421.0651104902</v>
      </c>
      <c r="L9" s="7">
        <f>Development!O36</f>
        <v>4166144.7543077897</v>
      </c>
      <c r="M9" s="7">
        <f>Development!P36</f>
        <v>2987763.4576885137</v>
      </c>
      <c r="N9" s="7">
        <f>Development!Q36</f>
        <v>2987763.4576885137</v>
      </c>
      <c r="O9" s="7">
        <f>Development!R36</f>
        <v>2987763.4576885137</v>
      </c>
      <c r="P9" s="7">
        <f>Development!S36</f>
        <v>2987763.4576885137</v>
      </c>
      <c r="Q9" s="7">
        <f>Development!T36</f>
        <v>2987763.4576885137</v>
      </c>
      <c r="R9" s="7">
        <f>Development!U36</f>
        <v>2987763.4576885137</v>
      </c>
      <c r="S9" s="7">
        <f>Development!V36</f>
        <v>2987763.4576885137</v>
      </c>
      <c r="T9" s="7">
        <f>Development!W36</f>
        <v>2987763.4576885137</v>
      </c>
      <c r="U9" s="7">
        <f>Development!X36</f>
        <v>2987763.4576885137</v>
      </c>
      <c r="V9" s="7">
        <f>Development!Y36</f>
        <v>2987763.4576885137</v>
      </c>
      <c r="W9" s="7">
        <f>Development!Z36</f>
        <v>2987763.4576885137</v>
      </c>
      <c r="X9" s="7">
        <f>Development!AA36</f>
        <v>2966204.3948434223</v>
      </c>
      <c r="Y9" s="7">
        <f>Development!AB36</f>
        <v>2966204.3948434223</v>
      </c>
      <c r="Z9" s="7">
        <f>Development!AC36</f>
        <v>2966204.3948434223</v>
      </c>
      <c r="AA9" s="7">
        <f>Development!AD36</f>
        <v>2966204.3948434223</v>
      </c>
      <c r="AB9" s="7">
        <f>Development!AE36</f>
        <v>2966204.3948434223</v>
      </c>
      <c r="AC9" s="7">
        <f>Development!AF36</f>
        <v>2966204.3948434223</v>
      </c>
      <c r="AD9" s="7">
        <f>Development!AG36</f>
        <v>0</v>
      </c>
      <c r="AF9" s="215">
        <f>SUM(F9:AE9)</f>
        <v>63448189.448054321</v>
      </c>
    </row>
    <row r="10" spans="2:32" x14ac:dyDescent="0.25">
      <c r="B10" t="s">
        <v>16</v>
      </c>
      <c r="F10" s="330">
        <f>MIN(F$9,'Cash Flow'!$G$7-SUM($E$10:E$10))</f>
        <v>2277943.0838230462</v>
      </c>
      <c r="G10" s="330">
        <f>MIN(G$9,'Cash Flow'!$G$7-SUM($E$10:F$10))</f>
        <v>2065750.4577012029</v>
      </c>
      <c r="H10" s="330">
        <f>MIN(H$9,'Cash Flow'!$G$7-SUM($E$10:G$10))</f>
        <v>934828.52409853449</v>
      </c>
      <c r="I10" s="330">
        <f>MIN(I$9,'Cash Flow'!$G$7-SUM($E$10:H$10))</f>
        <v>1128056.0942685991</v>
      </c>
      <c r="J10" s="330">
        <f>MIN(J$9,'Cash Flow'!$G$7-SUM($E$10:I$10))</f>
        <v>1106421.0651104902</v>
      </c>
      <c r="K10" s="330">
        <f>MIN(K$9,'Cash Flow'!$G$7-SUM($E$10:J$10))</f>
        <v>1106421.0651104902</v>
      </c>
      <c r="L10" s="330">
        <f>MIN(L$9,'Cash Flow'!$G$7-SUM($E$10:K$10))</f>
        <v>4166144.7543077897</v>
      </c>
      <c r="M10" s="330">
        <f>MIN(M$9,'Cash Flow'!$G$7-SUM($E$10:L$10))</f>
        <v>2987763.4576885137</v>
      </c>
      <c r="N10" s="330">
        <f>MIN(N$9,'Cash Flow'!$G$7-SUM($E$10:M$10))</f>
        <v>2987763.4576885137</v>
      </c>
      <c r="O10" s="330">
        <f>MIN(O$9,'Cash Flow'!$G$7-SUM($E$10:N$10))</f>
        <v>2987763.4576885137</v>
      </c>
      <c r="P10" s="330">
        <f>MIN(P$9,'Cash Flow'!$G$7-SUM($E$10:O$10))</f>
        <v>724334.0305686444</v>
      </c>
      <c r="Q10" s="330">
        <f>MIN(Q$9,'Cash Flow'!$G$7-SUM($E$10:P$10))</f>
        <v>0</v>
      </c>
      <c r="R10" s="330">
        <f>MIN(R$9,'Cash Flow'!$G$7-SUM($E$10:Q$10))</f>
        <v>0</v>
      </c>
      <c r="S10" s="330">
        <f>MIN(S$9,'Cash Flow'!$G$7-SUM($E$10:R$10))</f>
        <v>0</v>
      </c>
      <c r="T10" s="330">
        <f>MIN(T$9,'Cash Flow'!$G$7-SUM($E$10:S$10))</f>
        <v>0</v>
      </c>
      <c r="U10" s="330">
        <f>MIN(U$9,'Cash Flow'!$G$7-SUM($E$10:T$10))</f>
        <v>0</v>
      </c>
      <c r="V10" s="330">
        <f>MIN(V$9,'Cash Flow'!$G$7-SUM($E$10:U$10))</f>
        <v>0</v>
      </c>
      <c r="W10" s="330">
        <f>MIN(W$9,'Cash Flow'!$G$7-SUM($E$10:V$10))</f>
        <v>0</v>
      </c>
      <c r="X10" s="330">
        <f>MIN(X$9,'Cash Flow'!$G$7-SUM($E$10:W$10))</f>
        <v>0</v>
      </c>
      <c r="Y10" s="330">
        <f>MIN(Y$9,'Cash Flow'!$G$7-SUM($E$10:X$10))</f>
        <v>0</v>
      </c>
      <c r="Z10" s="330">
        <f>MIN(Z$9,'Cash Flow'!$G$7-SUM($E$10:Y$10))</f>
        <v>0</v>
      </c>
      <c r="AA10" s="330">
        <f>MIN(AA$9,'Cash Flow'!$G$7-SUM($E$10:Z$10))</f>
        <v>0</v>
      </c>
      <c r="AB10" s="330">
        <f>MIN(AB$9,'Cash Flow'!$G$7-SUM($E$10:AA$10))</f>
        <v>0</v>
      </c>
      <c r="AC10" s="330">
        <f>MIN(AC$9,'Cash Flow'!$G$7-SUM($E$10:AB$10))</f>
        <v>0</v>
      </c>
      <c r="AD10" s="330">
        <f>MIN(AD$9,'Cash Flow'!$G$7-SUM($E$10:AC$10))</f>
        <v>0</v>
      </c>
      <c r="AF10" s="215">
        <f>SUM(F10:AE10)</f>
        <v>22473189.448054336</v>
      </c>
    </row>
    <row r="11" spans="2:32" x14ac:dyDescent="0.25">
      <c r="B11" t="s">
        <v>101</v>
      </c>
      <c r="F11" s="330">
        <f>F9-F10</f>
        <v>0</v>
      </c>
      <c r="G11" s="330">
        <f t="shared" ref="G11:AD11" si="2">G9-G10</f>
        <v>0</v>
      </c>
      <c r="H11" s="330">
        <f t="shared" si="2"/>
        <v>0</v>
      </c>
      <c r="I11" s="330">
        <f t="shared" si="2"/>
        <v>0</v>
      </c>
      <c r="J11" s="330">
        <f t="shared" si="2"/>
        <v>0</v>
      </c>
      <c r="K11" s="330">
        <f t="shared" si="2"/>
        <v>0</v>
      </c>
      <c r="L11" s="330">
        <f t="shared" si="2"/>
        <v>0</v>
      </c>
      <c r="M11" s="330">
        <f t="shared" si="2"/>
        <v>0</v>
      </c>
      <c r="N11" s="330">
        <f t="shared" si="2"/>
        <v>0</v>
      </c>
      <c r="O11" s="330">
        <f t="shared" si="2"/>
        <v>0</v>
      </c>
      <c r="P11" s="330">
        <f t="shared" si="2"/>
        <v>2263429.4271198693</v>
      </c>
      <c r="Q11" s="330">
        <f t="shared" si="2"/>
        <v>2987763.4576885137</v>
      </c>
      <c r="R11" s="330">
        <f t="shared" si="2"/>
        <v>2987763.4576885137</v>
      </c>
      <c r="S11" s="330">
        <f t="shared" si="2"/>
        <v>2987763.4576885137</v>
      </c>
      <c r="T11" s="330">
        <f t="shared" si="2"/>
        <v>2987763.4576885137</v>
      </c>
      <c r="U11" s="330">
        <f t="shared" si="2"/>
        <v>2987763.4576885137</v>
      </c>
      <c r="V11" s="330">
        <f t="shared" si="2"/>
        <v>2987763.4576885137</v>
      </c>
      <c r="W11" s="330">
        <f t="shared" si="2"/>
        <v>2987763.4576885137</v>
      </c>
      <c r="X11" s="330">
        <f t="shared" si="2"/>
        <v>2966204.3948434223</v>
      </c>
      <c r="Y11" s="330">
        <f t="shared" si="2"/>
        <v>2966204.3948434223</v>
      </c>
      <c r="Z11" s="330">
        <f t="shared" si="2"/>
        <v>2966204.3948434223</v>
      </c>
      <c r="AA11" s="330">
        <f t="shared" si="2"/>
        <v>2966204.3948434223</v>
      </c>
      <c r="AB11" s="330">
        <f t="shared" si="2"/>
        <v>2966204.3948434223</v>
      </c>
      <c r="AC11" s="330">
        <f t="shared" si="2"/>
        <v>2966204.3948434223</v>
      </c>
      <c r="AD11" s="330">
        <f t="shared" si="2"/>
        <v>0</v>
      </c>
      <c r="AF11" s="215">
        <f>SUM(F11:AE11)</f>
        <v>40975000</v>
      </c>
    </row>
    <row r="12" spans="2:32" x14ac:dyDescent="0.25">
      <c r="B12" s="1"/>
    </row>
    <row r="13" spans="2:32" x14ac:dyDescent="0.25">
      <c r="B13" s="1"/>
    </row>
    <row r="14" spans="2:32" x14ac:dyDescent="0.25">
      <c r="B14" s="1" t="s">
        <v>101</v>
      </c>
    </row>
    <row r="15" spans="2:32" x14ac:dyDescent="0.25">
      <c r="B15" t="s">
        <v>234</v>
      </c>
      <c r="C15" s="331">
        <v>0.7</v>
      </c>
    </row>
    <row r="16" spans="2:32" x14ac:dyDescent="0.25">
      <c r="B16" t="s">
        <v>235</v>
      </c>
      <c r="C16" s="215">
        <f>MROUND('Cash Flow'!C12*C15,5000)</f>
        <v>40975000</v>
      </c>
    </row>
    <row r="17" spans="2:32" x14ac:dyDescent="0.25">
      <c r="B17" t="s">
        <v>236</v>
      </c>
      <c r="C17" s="332">
        <v>0.08</v>
      </c>
    </row>
    <row r="18" spans="2:32" x14ac:dyDescent="0.25">
      <c r="B18" t="s">
        <v>237</v>
      </c>
      <c r="C18" s="333">
        <v>3</v>
      </c>
      <c r="D18" t="s">
        <v>238</v>
      </c>
    </row>
    <row r="20" spans="2:32" x14ac:dyDescent="0.25">
      <c r="B20" s="1" t="s">
        <v>162</v>
      </c>
    </row>
    <row r="21" spans="2:32" x14ac:dyDescent="0.25">
      <c r="B21" t="s">
        <v>239</v>
      </c>
      <c r="F21" s="7">
        <f>E25</f>
        <v>0</v>
      </c>
      <c r="G21" s="7">
        <f t="shared" ref="G21:AD21" si="3">F25</f>
        <v>0</v>
      </c>
      <c r="H21" s="7">
        <f t="shared" si="3"/>
        <v>0</v>
      </c>
      <c r="I21" s="7">
        <f t="shared" si="3"/>
        <v>0</v>
      </c>
      <c r="J21" s="7">
        <f t="shared" si="3"/>
        <v>0</v>
      </c>
      <c r="K21" s="7">
        <f t="shared" si="3"/>
        <v>0</v>
      </c>
      <c r="L21" s="7">
        <f t="shared" si="3"/>
        <v>0</v>
      </c>
      <c r="M21" s="7">
        <f t="shared" si="3"/>
        <v>0</v>
      </c>
      <c r="N21" s="7">
        <f>M25</f>
        <v>0</v>
      </c>
      <c r="O21" s="7">
        <f t="shared" si="3"/>
        <v>0</v>
      </c>
      <c r="P21" s="7">
        <f t="shared" si="3"/>
        <v>0</v>
      </c>
      <c r="Q21" s="7">
        <f t="shared" si="3"/>
        <v>2263429.4271198693</v>
      </c>
      <c r="R21" s="7">
        <f t="shared" si="3"/>
        <v>5266282.414322515</v>
      </c>
      <c r="S21" s="7">
        <f t="shared" si="3"/>
        <v>8289154.4214398451</v>
      </c>
      <c r="T21" s="7">
        <f t="shared" si="3"/>
        <v>11332178.908604626</v>
      </c>
      <c r="U21" s="7">
        <f t="shared" si="3"/>
        <v>14395490.225683838</v>
      </c>
      <c r="V21" s="7">
        <f t="shared" si="3"/>
        <v>17479223.618210245</v>
      </c>
      <c r="W21" s="7">
        <f t="shared" si="3"/>
        <v>20583515.233353496</v>
      </c>
      <c r="X21" s="7">
        <f t="shared" si="3"/>
        <v>23708502.125931032</v>
      </c>
      <c r="Y21" s="7">
        <f t="shared" si="3"/>
        <v>26832763.201613992</v>
      </c>
      <c r="Z21" s="7">
        <f t="shared" si="3"/>
        <v>29977852.684468172</v>
      </c>
      <c r="AA21" s="7">
        <f t="shared" si="3"/>
        <v>33143909.430541381</v>
      </c>
      <c r="AB21" s="7">
        <f t="shared" si="3"/>
        <v>36331073.22158841</v>
      </c>
      <c r="AC21" s="7">
        <f t="shared" si="3"/>
        <v>39539484.771242425</v>
      </c>
      <c r="AD21" s="7">
        <f t="shared" si="3"/>
        <v>42769285.731227465</v>
      </c>
    </row>
    <row r="22" spans="2:32" x14ac:dyDescent="0.25">
      <c r="B22" t="s">
        <v>163</v>
      </c>
      <c r="F22" s="7">
        <f>F11</f>
        <v>0</v>
      </c>
      <c r="G22" s="7">
        <f t="shared" ref="G22:AC22" si="4">G11</f>
        <v>0</v>
      </c>
      <c r="H22" s="7">
        <f t="shared" si="4"/>
        <v>0</v>
      </c>
      <c r="I22" s="7">
        <f t="shared" si="4"/>
        <v>0</v>
      </c>
      <c r="J22" s="7">
        <f t="shared" si="4"/>
        <v>0</v>
      </c>
      <c r="K22" s="7">
        <f t="shared" si="4"/>
        <v>0</v>
      </c>
      <c r="L22" s="7">
        <f t="shared" si="4"/>
        <v>0</v>
      </c>
      <c r="M22" s="7">
        <f t="shared" si="4"/>
        <v>0</v>
      </c>
      <c r="N22" s="7">
        <f t="shared" si="4"/>
        <v>0</v>
      </c>
      <c r="O22" s="7">
        <f t="shared" si="4"/>
        <v>0</v>
      </c>
      <c r="P22" s="7">
        <f t="shared" si="4"/>
        <v>2263429.4271198693</v>
      </c>
      <c r="Q22" s="7">
        <f t="shared" si="4"/>
        <v>2987763.4576885137</v>
      </c>
      <c r="R22" s="7">
        <f t="shared" si="4"/>
        <v>2987763.4576885137</v>
      </c>
      <c r="S22" s="7">
        <f t="shared" si="4"/>
        <v>2987763.4576885137</v>
      </c>
      <c r="T22" s="7">
        <f t="shared" si="4"/>
        <v>2987763.4576885137</v>
      </c>
      <c r="U22" s="7">
        <f t="shared" si="4"/>
        <v>2987763.4576885137</v>
      </c>
      <c r="V22" s="7">
        <f t="shared" si="4"/>
        <v>2987763.4576885137</v>
      </c>
      <c r="W22" s="7">
        <f t="shared" si="4"/>
        <v>2987763.4576885137</v>
      </c>
      <c r="X22" s="7">
        <f t="shared" si="4"/>
        <v>2966204.3948434223</v>
      </c>
      <c r="Y22" s="7">
        <f t="shared" si="4"/>
        <v>2966204.3948434223</v>
      </c>
      <c r="Z22" s="7">
        <f t="shared" si="4"/>
        <v>2966204.3948434223</v>
      </c>
      <c r="AA22" s="7">
        <f t="shared" si="4"/>
        <v>2966204.3948434223</v>
      </c>
      <c r="AB22" s="7">
        <f t="shared" si="4"/>
        <v>2966204.3948434223</v>
      </c>
      <c r="AC22" s="7">
        <f t="shared" si="4"/>
        <v>2966204.3948434223</v>
      </c>
      <c r="AD22" s="7">
        <f>AD11</f>
        <v>0</v>
      </c>
      <c r="AF22" s="215">
        <f>SUM(F22:AE22)</f>
        <v>40975000</v>
      </c>
    </row>
    <row r="23" spans="2:32" x14ac:dyDescent="0.25">
      <c r="B23" t="s">
        <v>240</v>
      </c>
      <c r="F23" s="7">
        <f>F$21*$C$17/12</f>
        <v>0</v>
      </c>
      <c r="G23" s="7">
        <f t="shared" ref="G23:AC23" si="5">G$21*$C$17/12</f>
        <v>0</v>
      </c>
      <c r="H23" s="7">
        <f t="shared" si="5"/>
        <v>0</v>
      </c>
      <c r="I23" s="7">
        <f t="shared" si="5"/>
        <v>0</v>
      </c>
      <c r="J23" s="7">
        <f t="shared" si="5"/>
        <v>0</v>
      </c>
      <c r="K23" s="7">
        <f t="shared" si="5"/>
        <v>0</v>
      </c>
      <c r="L23" s="7">
        <f t="shared" si="5"/>
        <v>0</v>
      </c>
      <c r="M23" s="7">
        <f t="shared" si="5"/>
        <v>0</v>
      </c>
      <c r="N23" s="7">
        <f t="shared" si="5"/>
        <v>0</v>
      </c>
      <c r="O23" s="7">
        <f t="shared" si="5"/>
        <v>0</v>
      </c>
      <c r="P23" s="7">
        <f t="shared" si="5"/>
        <v>0</v>
      </c>
      <c r="Q23" s="7">
        <f t="shared" si="5"/>
        <v>15089.529514132462</v>
      </c>
      <c r="R23" s="7">
        <f t="shared" si="5"/>
        <v>35108.549428816768</v>
      </c>
      <c r="S23" s="7">
        <f t="shared" si="5"/>
        <v>55261.029476265634</v>
      </c>
      <c r="T23" s="7">
        <f t="shared" si="5"/>
        <v>75547.859390697515</v>
      </c>
      <c r="U23" s="7">
        <f t="shared" si="5"/>
        <v>95969.934837892259</v>
      </c>
      <c r="V23" s="7">
        <f t="shared" si="5"/>
        <v>116528.15745473496</v>
      </c>
      <c r="W23" s="7">
        <f t="shared" si="5"/>
        <v>137223.43488902331</v>
      </c>
      <c r="X23" s="7">
        <f t="shared" si="5"/>
        <v>158056.68083954023</v>
      </c>
      <c r="Y23" s="7">
        <f t="shared" si="5"/>
        <v>178885.08801075994</v>
      </c>
      <c r="Z23" s="7">
        <f t="shared" si="5"/>
        <v>199852.3512297878</v>
      </c>
      <c r="AA23" s="7">
        <f t="shared" si="5"/>
        <v>220959.39620360921</v>
      </c>
      <c r="AB23" s="7">
        <f t="shared" si="5"/>
        <v>242207.15481058939</v>
      </c>
      <c r="AC23" s="7">
        <f t="shared" si="5"/>
        <v>263596.56514161616</v>
      </c>
      <c r="AD23" s="7">
        <f>AD$21*$C$17/12</f>
        <v>285128.5715415164</v>
      </c>
      <c r="AF23" s="215">
        <f>SUM(F23:AE23)</f>
        <v>2079414.302768982</v>
      </c>
    </row>
    <row r="24" spans="2:32" x14ac:dyDescent="0.25">
      <c r="B24" t="s">
        <v>164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>
        <f>(AD21+AD22+AD23)</f>
        <v>43054414.302768983</v>
      </c>
    </row>
    <row r="25" spans="2:32" x14ac:dyDescent="0.25">
      <c r="B25" t="s">
        <v>241</v>
      </c>
      <c r="F25" s="7">
        <f>F21+F22+F23-F24</f>
        <v>0</v>
      </c>
      <c r="G25" s="7">
        <f>G21+G22+G23-G24</f>
        <v>0</v>
      </c>
      <c r="H25" s="7">
        <f t="shared" ref="H25:AD25" si="6">H21+H22+H23-H24</f>
        <v>0</v>
      </c>
      <c r="I25" s="7">
        <f t="shared" si="6"/>
        <v>0</v>
      </c>
      <c r="J25" s="7">
        <f t="shared" si="6"/>
        <v>0</v>
      </c>
      <c r="K25" s="7">
        <f t="shared" si="6"/>
        <v>0</v>
      </c>
      <c r="L25" s="7">
        <f t="shared" si="6"/>
        <v>0</v>
      </c>
      <c r="M25" s="7">
        <f t="shared" si="6"/>
        <v>0</v>
      </c>
      <c r="N25" s="7">
        <f t="shared" si="6"/>
        <v>0</v>
      </c>
      <c r="O25" s="7">
        <f t="shared" si="6"/>
        <v>0</v>
      </c>
      <c r="P25" s="7">
        <f t="shared" si="6"/>
        <v>2263429.4271198693</v>
      </c>
      <c r="Q25" s="7">
        <f t="shared" si="6"/>
        <v>5266282.414322515</v>
      </c>
      <c r="R25" s="7">
        <f t="shared" si="6"/>
        <v>8289154.4214398451</v>
      </c>
      <c r="S25" s="7">
        <f t="shared" si="6"/>
        <v>11332178.908604626</v>
      </c>
      <c r="T25" s="7">
        <f t="shared" si="6"/>
        <v>14395490.225683838</v>
      </c>
      <c r="U25" s="7">
        <f t="shared" si="6"/>
        <v>17479223.618210245</v>
      </c>
      <c r="V25" s="7">
        <f t="shared" si="6"/>
        <v>20583515.233353496</v>
      </c>
      <c r="W25" s="7">
        <f t="shared" si="6"/>
        <v>23708502.125931032</v>
      </c>
      <c r="X25" s="7">
        <f t="shared" si="6"/>
        <v>26832763.201613992</v>
      </c>
      <c r="Y25" s="7">
        <f t="shared" si="6"/>
        <v>29977852.684468172</v>
      </c>
      <c r="Z25" s="7">
        <f t="shared" si="6"/>
        <v>33143909.430541381</v>
      </c>
      <c r="AA25" s="7">
        <f t="shared" si="6"/>
        <v>36331073.22158841</v>
      </c>
      <c r="AB25" s="7">
        <f t="shared" si="6"/>
        <v>39539484.771242425</v>
      </c>
      <c r="AC25" s="7">
        <f t="shared" si="6"/>
        <v>42769285.731227465</v>
      </c>
      <c r="AD25" s="7">
        <f t="shared" si="6"/>
        <v>0</v>
      </c>
    </row>
    <row r="26" spans="2:32" x14ac:dyDescent="0.25">
      <c r="C26">
        <v>4.2500000000000003E-2</v>
      </c>
    </row>
    <row r="27" spans="2:32" x14ac:dyDescent="0.25">
      <c r="C27" s="288">
        <f>'Cash Flow'!K12</f>
        <v>8.5687529353893011E-2</v>
      </c>
      <c r="G27" s="344"/>
      <c r="H27" s="344"/>
      <c r="I27" s="344"/>
      <c r="J27" s="344"/>
      <c r="K27" s="344"/>
      <c r="L27" s="344"/>
      <c r="M27" s="344"/>
      <c r="N27" s="344"/>
      <c r="O27" s="344"/>
    </row>
    <row r="28" spans="2:32" x14ac:dyDescent="0.25">
      <c r="B28" s="1" t="s">
        <v>242</v>
      </c>
      <c r="G28" s="344"/>
      <c r="H28" s="344"/>
      <c r="I28" s="373" t="s">
        <v>334</v>
      </c>
      <c r="J28" s="373"/>
      <c r="K28" s="373"/>
      <c r="L28" s="373"/>
      <c r="M28" s="373"/>
      <c r="N28" s="373"/>
      <c r="O28" s="344"/>
    </row>
    <row r="29" spans="2:32" x14ac:dyDescent="0.25">
      <c r="B29" t="s">
        <v>96</v>
      </c>
      <c r="C29" s="331">
        <v>0.65</v>
      </c>
      <c r="G29" s="344"/>
      <c r="H29" s="376">
        <f>C27</f>
        <v>8.5687529353893011E-2</v>
      </c>
      <c r="I29" s="375">
        <v>5.7500000000000002E-2</v>
      </c>
      <c r="J29" s="375">
        <v>0.06</v>
      </c>
      <c r="K29" s="375">
        <v>6.25E-2</v>
      </c>
      <c r="L29" s="375">
        <v>6.5000000000000002E-2</v>
      </c>
      <c r="M29" s="375">
        <v>6.7500000000000004E-2</v>
      </c>
      <c r="N29" s="375">
        <v>7.0000000000000007E-2</v>
      </c>
      <c r="O29" s="344"/>
    </row>
    <row r="30" spans="2:32" x14ac:dyDescent="0.25">
      <c r="B30" t="s">
        <v>243</v>
      </c>
      <c r="C30" s="333">
        <v>1.25</v>
      </c>
      <c r="G30" s="387" t="s">
        <v>335</v>
      </c>
      <c r="H30" s="377">
        <v>0.04</v>
      </c>
      <c r="I30" s="374">
        <f t="dataTable" ref="I30:N36" dt2D="1" dtr="1" r1="C34" r2="C26" ca="1"/>
        <v>0.11153660635689877</v>
      </c>
      <c r="J30" s="374">
        <v>0.10901180105747899</v>
      </c>
      <c r="K30" s="374">
        <v>0.10668119115489239</v>
      </c>
      <c r="L30" s="374">
        <v>0.10452641640285831</v>
      </c>
      <c r="M30" s="374">
        <v>0.10252835429144014</v>
      </c>
      <c r="N30" s="374">
        <v>0.10067465419380683</v>
      </c>
      <c r="O30" s="344"/>
    </row>
    <row r="31" spans="2:32" x14ac:dyDescent="0.25">
      <c r="B31" t="s">
        <v>244</v>
      </c>
      <c r="C31" s="215">
        <f>$C$29*'Cash Flow'!$C$16</f>
        <v>53290484.221450821</v>
      </c>
      <c r="G31" s="387"/>
      <c r="H31" s="377">
        <v>4.2500000000000003E-2</v>
      </c>
      <c r="I31" s="374">
        <v>9.2134223638121959E-2</v>
      </c>
      <c r="J31" s="374">
        <v>8.9806034486719977E-2</v>
      </c>
      <c r="K31" s="374">
        <v>8.7663368639277151E-2</v>
      </c>
      <c r="L31" s="374">
        <v>8.5687529353893011E-2</v>
      </c>
      <c r="M31" s="374">
        <v>8.3862128406223979E-2</v>
      </c>
      <c r="N31" s="374">
        <v>8.2173089779198571E-2</v>
      </c>
      <c r="O31" s="344"/>
    </row>
    <row r="32" spans="2:32" x14ac:dyDescent="0.25">
      <c r="B32" t="s">
        <v>245</v>
      </c>
      <c r="C32" s="215">
        <f>-PV($C$34/12,$C$36*12,Operations!$H$41/Debt!$C$30/12)</f>
        <v>32858754.604358595</v>
      </c>
      <c r="D32" s="7"/>
      <c r="G32" s="387"/>
      <c r="H32" s="377">
        <v>4.4999999999999998E-2</v>
      </c>
      <c r="I32" s="374">
        <v>7.340378117684776E-2</v>
      </c>
      <c r="J32" s="374">
        <v>7.1290500639541676E-2</v>
      </c>
      <c r="K32" s="374">
        <v>6.9352315191699487E-2</v>
      </c>
      <c r="L32" s="374">
        <v>6.7570338015225273E-2</v>
      </c>
      <c r="M32" s="374">
        <v>6.5931240417276937E-2</v>
      </c>
      <c r="N32" s="374">
        <v>6.4419228416153329E-2</v>
      </c>
      <c r="O32" s="344"/>
    </row>
    <row r="33" spans="2:15" x14ac:dyDescent="0.25">
      <c r="B33" t="s">
        <v>235</v>
      </c>
      <c r="C33" s="215">
        <f>MROUND(MIN(C31:C32),5000)</f>
        <v>32860000</v>
      </c>
      <c r="D33" s="297"/>
      <c r="G33" s="387"/>
      <c r="H33" s="377">
        <v>4.7500000000000001E-2</v>
      </c>
      <c r="I33" s="374">
        <v>5.5227693699287039E-2</v>
      </c>
      <c r="J33" s="374">
        <v>5.3349439761653183E-2</v>
      </c>
      <c r="K33" s="374">
        <v>5.1633827420323852E-2</v>
      </c>
      <c r="L33" s="374">
        <v>5.006196510859362E-2</v>
      </c>
      <c r="M33" s="374">
        <v>4.8623959867126976E-2</v>
      </c>
      <c r="N33" s="374">
        <v>4.7302322839075872E-2</v>
      </c>
      <c r="O33" s="344"/>
    </row>
    <row r="34" spans="2:15" x14ac:dyDescent="0.25">
      <c r="B34" t="s">
        <v>236</v>
      </c>
      <c r="C34" s="332">
        <v>6.5000000000000002E-2</v>
      </c>
      <c r="G34" s="387"/>
      <c r="H34" s="377">
        <v>0.05</v>
      </c>
      <c r="I34" s="374">
        <v>3.7502515751898224E-2</v>
      </c>
      <c r="J34" s="374">
        <v>3.5881604876091489E-2</v>
      </c>
      <c r="K34" s="374">
        <v>3.4408523086824738E-2</v>
      </c>
      <c r="L34" s="374">
        <v>3.3064610248420001E-2</v>
      </c>
      <c r="M34" s="374">
        <v>3.1843848746142545E-2</v>
      </c>
      <c r="N34" s="374">
        <v>3.0727099113819989E-2</v>
      </c>
      <c r="O34" s="344"/>
    </row>
    <row r="35" spans="2:15" x14ac:dyDescent="0.25">
      <c r="B35" t="s">
        <v>237</v>
      </c>
      <c r="C35" s="333">
        <v>5</v>
      </c>
      <c r="G35" s="387"/>
      <c r="H35" s="377">
        <v>5.2499999999999998E-2</v>
      </c>
      <c r="I35" s="374">
        <v>2.0135282004191346E-2</v>
      </c>
      <c r="J35" s="374">
        <v>1.8796673914586171E-2</v>
      </c>
      <c r="K35" s="374">
        <v>1.7588308131228914E-2</v>
      </c>
      <c r="L35" s="374">
        <v>1.6492058941924181E-2</v>
      </c>
      <c r="M35" s="374">
        <v>1.5506303058910431E-2</v>
      </c>
      <c r="N35" s="374">
        <v>1.4610323231636801E-2</v>
      </c>
      <c r="O35" s="344"/>
    </row>
    <row r="36" spans="2:15" x14ac:dyDescent="0.25">
      <c r="B36" t="s">
        <v>246</v>
      </c>
      <c r="C36" s="333">
        <v>30</v>
      </c>
      <c r="G36" s="344"/>
      <c r="H36" s="377">
        <v>5.5E-2</v>
      </c>
      <c r="I36" s="374">
        <v>3.0405407912228455E-3</v>
      </c>
      <c r="J36" s="374">
        <v>2.0123785991377208E-3</v>
      </c>
      <c r="K36" s="374">
        <v>1.0935780235192816E-3</v>
      </c>
      <c r="L36" s="374">
        <v>2.6693917677800272E-4</v>
      </c>
      <c r="M36" s="374">
        <v>-4.6414779294423614E-4</v>
      </c>
      <c r="N36" s="374">
        <v>-1.1218665776510095E-3</v>
      </c>
      <c r="O36" s="344"/>
    </row>
    <row r="37" spans="2:15" x14ac:dyDescent="0.25">
      <c r="B37" t="s">
        <v>247</v>
      </c>
      <c r="C37" s="333">
        <v>2</v>
      </c>
      <c r="G37" s="344"/>
      <c r="H37" s="344"/>
      <c r="I37" s="344"/>
      <c r="J37" s="344"/>
      <c r="K37" s="344"/>
      <c r="L37" s="344"/>
      <c r="M37" s="344"/>
      <c r="N37" s="344"/>
      <c r="O37" s="344"/>
    </row>
    <row r="39" spans="2:15" x14ac:dyDescent="0.25">
      <c r="B39" s="262" t="s">
        <v>248</v>
      </c>
      <c r="C39" s="301"/>
      <c r="D39" s="301"/>
      <c r="E39" s="262"/>
      <c r="F39" s="262">
        <v>1</v>
      </c>
      <c r="G39" s="262">
        <f>F39+1</f>
        <v>2</v>
      </c>
      <c r="H39" s="262">
        <f t="shared" ref="H39:L39" si="7">G39+1</f>
        <v>3</v>
      </c>
      <c r="I39" s="262">
        <f t="shared" si="7"/>
        <v>4</v>
      </c>
      <c r="J39" s="262">
        <f t="shared" si="7"/>
        <v>5</v>
      </c>
      <c r="K39" s="262">
        <f t="shared" si="7"/>
        <v>6</v>
      </c>
      <c r="L39" s="262">
        <f t="shared" si="7"/>
        <v>7</v>
      </c>
    </row>
    <row r="40" spans="2:15" x14ac:dyDescent="0.25">
      <c r="B40" s="112" t="s">
        <v>249</v>
      </c>
      <c r="C40" s="334"/>
      <c r="D40" s="334"/>
      <c r="E40" s="32"/>
      <c r="F40" s="32"/>
      <c r="G40" s="32"/>
      <c r="H40" s="112">
        <v>1</v>
      </c>
      <c r="I40" s="112">
        <v>2</v>
      </c>
      <c r="J40" s="112">
        <v>3</v>
      </c>
      <c r="K40" s="112">
        <v>4</v>
      </c>
      <c r="L40" s="112">
        <v>5</v>
      </c>
    </row>
    <row r="41" spans="2:15" x14ac:dyDescent="0.25">
      <c r="B41" s="37"/>
      <c r="C41" s="48"/>
      <c r="D41" s="48"/>
      <c r="E41" s="37"/>
      <c r="F41" s="37"/>
      <c r="G41" s="37"/>
      <c r="H41" s="37"/>
      <c r="I41" s="37"/>
      <c r="J41" s="37"/>
    </row>
    <row r="42" spans="2:15" x14ac:dyDescent="0.25">
      <c r="B42" s="1" t="s">
        <v>165</v>
      </c>
    </row>
    <row r="43" spans="2:15" x14ac:dyDescent="0.25">
      <c r="B43" t="s">
        <v>250</v>
      </c>
      <c r="H43" s="215">
        <f>G49</f>
        <v>0</v>
      </c>
      <c r="I43" s="215">
        <f>H49</f>
        <v>32860000</v>
      </c>
      <c r="J43" s="215">
        <f t="shared" ref="J43:L43" si="8">I49</f>
        <v>32860000</v>
      </c>
      <c r="K43" s="215">
        <f t="shared" si="8"/>
        <v>32503529.369762544</v>
      </c>
      <c r="L43" s="215">
        <f t="shared" si="8"/>
        <v>32123888.148559652</v>
      </c>
      <c r="M43" s="215"/>
    </row>
    <row r="44" spans="2:15" x14ac:dyDescent="0.25">
      <c r="B44" t="s">
        <v>166</v>
      </c>
      <c r="H44" s="215">
        <f>C33</f>
        <v>32860000</v>
      </c>
    </row>
    <row r="45" spans="2:15" x14ac:dyDescent="0.25">
      <c r="B45" t="s">
        <v>151</v>
      </c>
      <c r="H45" s="215">
        <f>IF(H$40&lt;=$C$37,SUM(H$43,H$44)*$C$34,PMT($C$34/12,$C$36*12,-$C$33)*12)</f>
        <v>2135900</v>
      </c>
      <c r="I45" s="215">
        <f t="shared" ref="I45:L45" si="9">IF(I$40&lt;=$C$37,SUM(I$43,I$44)*$C$34,PMT($C$34/12,$C$36*12,-$C$33)*12)</f>
        <v>2135900</v>
      </c>
      <c r="J45" s="215">
        <f t="shared" si="9"/>
        <v>2492370.630237455</v>
      </c>
      <c r="K45" s="215">
        <f t="shared" si="9"/>
        <v>2492370.630237455</v>
      </c>
      <c r="L45" s="215">
        <f t="shared" si="9"/>
        <v>2492370.630237455</v>
      </c>
      <c r="M45" s="215"/>
    </row>
    <row r="46" spans="2:15" x14ac:dyDescent="0.25">
      <c r="B46" t="s">
        <v>251</v>
      </c>
      <c r="H46" s="215">
        <f>SUM(H$43,H$44)*$C$34</f>
        <v>2135900</v>
      </c>
      <c r="I46" s="215">
        <f t="shared" ref="I46:L46" si="10">SUM(I$43,I$44)*$C$34</f>
        <v>2135900</v>
      </c>
      <c r="J46" s="215">
        <f t="shared" si="10"/>
        <v>2135900</v>
      </c>
      <c r="K46" s="215">
        <f t="shared" si="10"/>
        <v>2112729.4090345656</v>
      </c>
      <c r="L46" s="215">
        <f t="shared" si="10"/>
        <v>2088052.7296563776</v>
      </c>
      <c r="M46" s="215"/>
    </row>
    <row r="47" spans="2:15" x14ac:dyDescent="0.25">
      <c r="B47" t="s">
        <v>252</v>
      </c>
      <c r="H47" s="215">
        <f>H45-H46</f>
        <v>0</v>
      </c>
      <c r="I47" s="215">
        <f>I45-I46</f>
        <v>0</v>
      </c>
      <c r="J47" s="215">
        <f t="shared" ref="J47:L47" si="11">J45-J46</f>
        <v>356470.63023745501</v>
      </c>
      <c r="K47" s="215">
        <f t="shared" si="11"/>
        <v>379641.22120288946</v>
      </c>
      <c r="L47" s="215">
        <f t="shared" si="11"/>
        <v>404317.90058107744</v>
      </c>
      <c r="M47" s="215"/>
    </row>
    <row r="48" spans="2:15" x14ac:dyDescent="0.25">
      <c r="B48" t="s">
        <v>164</v>
      </c>
      <c r="L48" s="215">
        <f>L43-L47</f>
        <v>31719570.247978576</v>
      </c>
      <c r="M48" s="215"/>
    </row>
    <row r="49" spans="2:13" x14ac:dyDescent="0.25">
      <c r="B49" t="s">
        <v>241</v>
      </c>
      <c r="H49" s="215">
        <f>H43+H44-H47-H48</f>
        <v>32860000</v>
      </c>
      <c r="I49" s="215">
        <f t="shared" ref="I49:L49" si="12">I43+I44-I47-I48</f>
        <v>32860000</v>
      </c>
      <c r="J49" s="215">
        <f t="shared" si="12"/>
        <v>32503529.369762544</v>
      </c>
      <c r="K49" s="215">
        <f>K43+K44-K47-K48</f>
        <v>32123888.148559652</v>
      </c>
      <c r="L49" s="215">
        <f t="shared" si="12"/>
        <v>0</v>
      </c>
      <c r="M49" s="215"/>
    </row>
  </sheetData>
  <mergeCells count="1">
    <mergeCell ref="G30:G35"/>
  </mergeCells>
  <conditionalFormatting sqref="I30:N36">
    <cfRule type="cellIs" dxfId="0" priority="1" operator="greaterThan">
      <formula>0.0773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6A456-072D-4C86-ADEB-5C09265123AD}">
  <dimension ref="B6:L46"/>
  <sheetViews>
    <sheetView topLeftCell="A25" zoomScale="80" zoomScaleNormal="80" workbookViewId="0">
      <selection activeCell="F36" sqref="F36:L36"/>
    </sheetView>
  </sheetViews>
  <sheetFormatPr defaultRowHeight="15" x14ac:dyDescent="0.25"/>
  <cols>
    <col min="2" max="2" width="22.140625" bestFit="1" customWidth="1"/>
    <col min="3" max="3" width="6.5703125" bestFit="1" customWidth="1"/>
    <col min="4" max="4" width="11.28515625" bestFit="1" customWidth="1"/>
    <col min="6" max="12" width="13" bestFit="1" customWidth="1"/>
  </cols>
  <sheetData>
    <row r="6" spans="2:12" x14ac:dyDescent="0.25">
      <c r="B6" s="262" t="s">
        <v>248</v>
      </c>
      <c r="C6" s="301"/>
      <c r="D6" s="301"/>
      <c r="E6" s="262"/>
      <c r="F6" s="262">
        <v>1</v>
      </c>
      <c r="G6" s="262">
        <f>F6+1</f>
        <v>2</v>
      </c>
      <c r="H6" s="262">
        <f t="shared" ref="H6:L6" si="0">G6+1</f>
        <v>3</v>
      </c>
      <c r="I6" s="262">
        <f t="shared" si="0"/>
        <v>4</v>
      </c>
      <c r="J6" s="262">
        <f t="shared" si="0"/>
        <v>5</v>
      </c>
      <c r="K6" s="262">
        <f t="shared" si="0"/>
        <v>6</v>
      </c>
      <c r="L6" s="262">
        <f t="shared" si="0"/>
        <v>7</v>
      </c>
    </row>
    <row r="7" spans="2:12" x14ac:dyDescent="0.25">
      <c r="B7" s="112" t="s">
        <v>249</v>
      </c>
      <c r="C7" s="334"/>
      <c r="D7" s="334"/>
      <c r="E7" s="32"/>
      <c r="F7" s="32"/>
      <c r="G7" s="32"/>
      <c r="H7" s="112">
        <v>1</v>
      </c>
      <c r="I7" s="112">
        <v>2</v>
      </c>
      <c r="J7" s="112">
        <v>3</v>
      </c>
      <c r="K7" s="112">
        <v>4</v>
      </c>
      <c r="L7" s="112">
        <v>5</v>
      </c>
    </row>
    <row r="9" spans="2:12" x14ac:dyDescent="0.25">
      <c r="B9" s="1" t="s">
        <v>253</v>
      </c>
      <c r="C9" s="1"/>
      <c r="D9" s="1"/>
      <c r="E9" s="1"/>
      <c r="F9" s="287">
        <f>'Cash Flow'!F59</f>
        <v>-22473189.448054336</v>
      </c>
      <c r="G9" s="287">
        <f>'Cash Flow'!G59</f>
        <v>0</v>
      </c>
      <c r="H9" s="287">
        <f>'Cash Flow'!H59</f>
        <v>0</v>
      </c>
      <c r="I9" s="287">
        <f>'Cash Flow'!I59</f>
        <v>0</v>
      </c>
      <c r="J9" s="287">
        <f>'Cash Flow'!J59</f>
        <v>0</v>
      </c>
      <c r="K9" s="287">
        <f>'Cash Flow'!K59</f>
        <v>0</v>
      </c>
      <c r="L9" s="287">
        <f>'Cash Flow'!L59</f>
        <v>0</v>
      </c>
    </row>
    <row r="10" spans="2:12" x14ac:dyDescent="0.25">
      <c r="B10" t="s">
        <v>254</v>
      </c>
      <c r="C10" s="311">
        <v>7.4999999999999997E-2</v>
      </c>
      <c r="F10" s="7">
        <f>F$9*$C10</f>
        <v>-1685489.2086040752</v>
      </c>
      <c r="G10" s="7">
        <f t="shared" ref="G10:L11" si="1">G$9*$C10</f>
        <v>0</v>
      </c>
      <c r="H10" s="7">
        <f t="shared" si="1"/>
        <v>0</v>
      </c>
      <c r="I10" s="7">
        <f t="shared" si="1"/>
        <v>0</v>
      </c>
      <c r="J10" s="7">
        <f t="shared" si="1"/>
        <v>0</v>
      </c>
      <c r="K10" s="7">
        <f t="shared" si="1"/>
        <v>0</v>
      </c>
      <c r="L10" s="7">
        <f t="shared" si="1"/>
        <v>0</v>
      </c>
    </row>
    <row r="11" spans="2:12" x14ac:dyDescent="0.25">
      <c r="B11" t="s">
        <v>255</v>
      </c>
      <c r="C11" s="294">
        <f>1-C10</f>
        <v>0.92500000000000004</v>
      </c>
      <c r="F11" s="7">
        <f>F$9*$C11</f>
        <v>-20787700.239450261</v>
      </c>
      <c r="G11" s="7">
        <f t="shared" si="1"/>
        <v>0</v>
      </c>
      <c r="H11" s="7">
        <f t="shared" si="1"/>
        <v>0</v>
      </c>
      <c r="I11" s="7">
        <f t="shared" si="1"/>
        <v>0</v>
      </c>
      <c r="J11" s="7">
        <f t="shared" si="1"/>
        <v>0</v>
      </c>
      <c r="K11" s="7">
        <f t="shared" si="1"/>
        <v>0</v>
      </c>
      <c r="L11" s="7">
        <f t="shared" si="1"/>
        <v>0</v>
      </c>
    </row>
    <row r="13" spans="2:12" x14ac:dyDescent="0.25">
      <c r="B13" s="1" t="s">
        <v>256</v>
      </c>
      <c r="C13" s="1"/>
      <c r="D13" s="1"/>
      <c r="E13" s="1"/>
      <c r="F13" s="287">
        <f>'Cash Flow'!F$92-F$9</f>
        <v>0</v>
      </c>
      <c r="G13" s="287">
        <f>'Cash Flow'!G$92-G$9</f>
        <v>0</v>
      </c>
      <c r="H13" s="287">
        <f>'Cash Flow'!H$92-H$9</f>
        <v>-11455246.227086183</v>
      </c>
      <c r="I13" s="287">
        <f>'Cash Flow'!I$92-I$9</f>
        <v>979445.2115826006</v>
      </c>
      <c r="J13" s="287">
        <f>'Cash Flow'!J$92-J$9</f>
        <v>747588.38980845222</v>
      </c>
      <c r="K13" s="287">
        <f>'Cash Flow'!K$92-K$9</f>
        <v>890520.45178145589</v>
      </c>
      <c r="L13" s="287">
        <f>'Cash Flow'!L$92-L$9</f>
        <v>49618090.070143141</v>
      </c>
    </row>
    <row r="14" spans="2:12" x14ac:dyDescent="0.25">
      <c r="B14" t="s">
        <v>254</v>
      </c>
      <c r="C14" s="335">
        <f>C10</f>
        <v>7.4999999999999997E-2</v>
      </c>
      <c r="F14" s="7">
        <f t="shared" ref="F14:L15" si="2">F$13*$C14</f>
        <v>0</v>
      </c>
      <c r="G14" s="7">
        <f t="shared" si="2"/>
        <v>0</v>
      </c>
      <c r="H14" s="7">
        <f t="shared" si="2"/>
        <v>-859143.46703146363</v>
      </c>
      <c r="I14" s="7">
        <f t="shared" si="2"/>
        <v>73458.390868695045</v>
      </c>
      <c r="J14" s="7">
        <f t="shared" si="2"/>
        <v>56069.129235633918</v>
      </c>
      <c r="K14" s="7">
        <f t="shared" si="2"/>
        <v>66789.033883609183</v>
      </c>
      <c r="L14" s="7">
        <f t="shared" si="2"/>
        <v>3721356.7552607353</v>
      </c>
    </row>
    <row r="15" spans="2:12" x14ac:dyDescent="0.25">
      <c r="B15" t="s">
        <v>255</v>
      </c>
      <c r="C15" s="335">
        <f>C11</f>
        <v>0.92500000000000004</v>
      </c>
      <c r="F15" s="7">
        <f t="shared" si="2"/>
        <v>0</v>
      </c>
      <c r="G15" s="7">
        <f t="shared" si="2"/>
        <v>0</v>
      </c>
      <c r="H15" s="7">
        <f t="shared" si="2"/>
        <v>-10596102.760054719</v>
      </c>
      <c r="I15" s="7">
        <f t="shared" si="2"/>
        <v>905986.82071390562</v>
      </c>
      <c r="J15" s="7">
        <f t="shared" si="2"/>
        <v>691519.26057281834</v>
      </c>
      <c r="K15" s="7">
        <f t="shared" si="2"/>
        <v>823731.41789784678</v>
      </c>
      <c r="L15" s="7">
        <f t="shared" si="2"/>
        <v>45896733.314882405</v>
      </c>
    </row>
    <row r="18" spans="2:12" x14ac:dyDescent="0.25">
      <c r="B18" s="1" t="s">
        <v>257</v>
      </c>
      <c r="C18" s="294"/>
      <c r="F18" s="215"/>
      <c r="G18" s="215"/>
      <c r="H18" s="215"/>
      <c r="I18" s="215"/>
      <c r="J18" s="215"/>
      <c r="K18" s="215"/>
      <c r="L18" s="215"/>
    </row>
    <row r="19" spans="2:12" x14ac:dyDescent="0.25">
      <c r="B19" t="s">
        <v>258</v>
      </c>
      <c r="F19" s="7">
        <f>E23</f>
        <v>0</v>
      </c>
      <c r="G19" s="7">
        <f>F23</f>
        <v>-20787700.239450261</v>
      </c>
      <c r="H19" s="7">
        <f t="shared" ref="H19:L19" si="3">G23</f>
        <v>-22866470.263395287</v>
      </c>
      <c r="I19" s="7">
        <f t="shared" si="3"/>
        <v>-35749220.049789533</v>
      </c>
      <c r="J19" s="7">
        <f t="shared" si="3"/>
        <v>-38418155.23405458</v>
      </c>
      <c r="K19" s="7">
        <f t="shared" si="3"/>
        <v>-41568451.496887214</v>
      </c>
      <c r="L19" s="7">
        <f t="shared" si="3"/>
        <v>-44901565.228678085</v>
      </c>
    </row>
    <row r="20" spans="2:12" x14ac:dyDescent="0.25">
      <c r="B20" t="s">
        <v>259</v>
      </c>
      <c r="F20" s="215">
        <f>F$11</f>
        <v>-20787700.239450261</v>
      </c>
      <c r="G20" s="215">
        <f t="shared" ref="G20:L20" si="4">G$11</f>
        <v>0</v>
      </c>
      <c r="H20" s="215">
        <f t="shared" si="4"/>
        <v>0</v>
      </c>
      <c r="I20" s="215">
        <f t="shared" si="4"/>
        <v>0</v>
      </c>
      <c r="J20" s="215">
        <f t="shared" si="4"/>
        <v>0</v>
      </c>
      <c r="K20" s="215">
        <f t="shared" si="4"/>
        <v>0</v>
      </c>
      <c r="L20" s="215">
        <f t="shared" si="4"/>
        <v>0</v>
      </c>
    </row>
    <row r="21" spans="2:12" x14ac:dyDescent="0.25">
      <c r="B21" t="s">
        <v>260</v>
      </c>
      <c r="C21" s="336">
        <v>0.1</v>
      </c>
      <c r="F21" s="215">
        <f>SUM(F$19)*$C$21</f>
        <v>0</v>
      </c>
      <c r="G21" s="215">
        <f>SUM(G$19)*$C$21</f>
        <v>-2078770.0239450261</v>
      </c>
      <c r="H21" s="215">
        <f t="shared" ref="H21:L21" si="5">SUM(H$19)*$C$21</f>
        <v>-2286647.0263395286</v>
      </c>
      <c r="I21" s="215">
        <f t="shared" si="5"/>
        <v>-3574922.0049789534</v>
      </c>
      <c r="J21" s="215">
        <f t="shared" si="5"/>
        <v>-3841815.5234054583</v>
      </c>
      <c r="K21" s="215">
        <f t="shared" si="5"/>
        <v>-4156845.1496887216</v>
      </c>
      <c r="L21" s="215">
        <f t="shared" si="5"/>
        <v>-4490156.522867809</v>
      </c>
    </row>
    <row r="22" spans="2:12" x14ac:dyDescent="0.25">
      <c r="B22" t="s">
        <v>261</v>
      </c>
      <c r="F22" s="215">
        <f>MIN(F15,-SUM(F19:F21))</f>
        <v>0</v>
      </c>
      <c r="G22" s="215">
        <f>MIN(G15,-SUM(G18:G21))</f>
        <v>0</v>
      </c>
      <c r="H22" s="215">
        <f t="shared" ref="H22:K22" si="6">MIN(H15,-SUM(H19:H21))</f>
        <v>-10596102.760054719</v>
      </c>
      <c r="I22" s="215">
        <f t="shared" si="6"/>
        <v>905986.82071390562</v>
      </c>
      <c r="J22" s="215">
        <f t="shared" si="6"/>
        <v>691519.26057281834</v>
      </c>
      <c r="K22" s="215">
        <f t="shared" si="6"/>
        <v>823731.41789784678</v>
      </c>
      <c r="L22" s="215">
        <f>MIN(L15,-SUM(L19:L21))</f>
        <v>45896733.314882405</v>
      </c>
    </row>
    <row r="23" spans="2:12" x14ac:dyDescent="0.25">
      <c r="B23" t="s">
        <v>241</v>
      </c>
      <c r="F23" s="215">
        <f>SUM(F19:F22)</f>
        <v>-20787700.239450261</v>
      </c>
      <c r="G23" s="215">
        <f>SUM(G18:G22)</f>
        <v>-22866470.263395287</v>
      </c>
      <c r="H23" s="215">
        <f t="shared" ref="H23:L23" si="7">SUM(H19:H22)</f>
        <v>-35749220.049789533</v>
      </c>
      <c r="I23" s="215">
        <f t="shared" si="7"/>
        <v>-38418155.23405458</v>
      </c>
      <c r="J23" s="215">
        <f t="shared" si="7"/>
        <v>-41568451.496887214</v>
      </c>
      <c r="K23" s="215">
        <f t="shared" si="7"/>
        <v>-44901565.228678085</v>
      </c>
      <c r="L23" s="215">
        <f t="shared" si="7"/>
        <v>-3494988.4366634861</v>
      </c>
    </row>
    <row r="25" spans="2:12" x14ac:dyDescent="0.25">
      <c r="B25" t="s">
        <v>262</v>
      </c>
      <c r="F25" s="215">
        <f>F15-F22</f>
        <v>0</v>
      </c>
      <c r="G25" s="215">
        <f t="shared" ref="G25:L25" si="8">G15-G22</f>
        <v>0</v>
      </c>
      <c r="H25" s="215">
        <f t="shared" si="8"/>
        <v>0</v>
      </c>
      <c r="I25" s="215">
        <f t="shared" si="8"/>
        <v>0</v>
      </c>
      <c r="J25" s="215">
        <f t="shared" si="8"/>
        <v>0</v>
      </c>
      <c r="K25" s="215">
        <f t="shared" si="8"/>
        <v>0</v>
      </c>
      <c r="L25" s="215">
        <f t="shared" si="8"/>
        <v>0</v>
      </c>
    </row>
    <row r="26" spans="2:12" x14ac:dyDescent="0.25">
      <c r="D26" s="294"/>
      <c r="F26" s="215"/>
      <c r="G26" s="215"/>
      <c r="H26" s="215"/>
      <c r="I26" s="215"/>
      <c r="J26" s="215"/>
      <c r="K26" s="215"/>
      <c r="L26" s="215"/>
    </row>
    <row r="27" spans="2:12" x14ac:dyDescent="0.25">
      <c r="B27" t="s">
        <v>263</v>
      </c>
    </row>
    <row r="28" spans="2:12" x14ac:dyDescent="0.25">
      <c r="B28" t="s">
        <v>255</v>
      </c>
      <c r="C28" s="336">
        <v>0.8</v>
      </c>
      <c r="F28" s="215">
        <f>F$25*$C28</f>
        <v>0</v>
      </c>
      <c r="G28" s="215">
        <f t="shared" ref="G28:L29" si="9">G$25*$C28</f>
        <v>0</v>
      </c>
      <c r="H28" s="215">
        <f t="shared" si="9"/>
        <v>0</v>
      </c>
      <c r="I28" s="215">
        <f t="shared" si="9"/>
        <v>0</v>
      </c>
      <c r="J28" s="215">
        <f t="shared" si="9"/>
        <v>0</v>
      </c>
      <c r="K28" s="215">
        <f t="shared" si="9"/>
        <v>0</v>
      </c>
      <c r="L28" s="215">
        <f t="shared" si="9"/>
        <v>0</v>
      </c>
    </row>
    <row r="29" spans="2:12" x14ac:dyDescent="0.25">
      <c r="B29" t="s">
        <v>264</v>
      </c>
      <c r="C29" s="335">
        <f>1-C28</f>
        <v>0.19999999999999996</v>
      </c>
      <c r="F29" s="215">
        <f>F$25*$C29</f>
        <v>0</v>
      </c>
      <c r="G29" s="215">
        <f t="shared" si="9"/>
        <v>0</v>
      </c>
      <c r="H29" s="215">
        <f t="shared" si="9"/>
        <v>0</v>
      </c>
      <c r="I29" s="215">
        <f t="shared" si="9"/>
        <v>0</v>
      </c>
      <c r="J29" s="215">
        <f t="shared" si="9"/>
        <v>0</v>
      </c>
      <c r="K29" s="215">
        <f t="shared" si="9"/>
        <v>0</v>
      </c>
      <c r="L29" s="215">
        <f t="shared" si="9"/>
        <v>0</v>
      </c>
    </row>
    <row r="32" spans="2:12" x14ac:dyDescent="0.25">
      <c r="B32" s="1" t="s">
        <v>265</v>
      </c>
    </row>
    <row r="33" spans="2:12" x14ac:dyDescent="0.25">
      <c r="B33" t="s">
        <v>266</v>
      </c>
      <c r="F33" s="215">
        <f>F$11</f>
        <v>-20787700.239450261</v>
      </c>
      <c r="G33" s="215">
        <f t="shared" ref="G33:L33" si="10">G$11</f>
        <v>0</v>
      </c>
      <c r="H33" s="215">
        <f t="shared" si="10"/>
        <v>0</v>
      </c>
      <c r="I33" s="215">
        <f t="shared" si="10"/>
        <v>0</v>
      </c>
      <c r="J33" s="215">
        <f t="shared" si="10"/>
        <v>0</v>
      </c>
      <c r="K33" s="215">
        <f t="shared" si="10"/>
        <v>0</v>
      </c>
      <c r="L33" s="215">
        <f t="shared" si="10"/>
        <v>0</v>
      </c>
    </row>
    <row r="34" spans="2:12" x14ac:dyDescent="0.25">
      <c r="B34" t="s">
        <v>267</v>
      </c>
      <c r="F34" s="215">
        <f>F$22</f>
        <v>0</v>
      </c>
      <c r="G34" s="215">
        <f t="shared" ref="G34:L34" si="11">G$22</f>
        <v>0</v>
      </c>
      <c r="H34" s="215">
        <f t="shared" si="11"/>
        <v>-10596102.760054719</v>
      </c>
      <c r="I34" s="215">
        <f t="shared" si="11"/>
        <v>905986.82071390562</v>
      </c>
      <c r="J34" s="215">
        <f t="shared" si="11"/>
        <v>691519.26057281834</v>
      </c>
      <c r="K34" s="215">
        <f t="shared" si="11"/>
        <v>823731.41789784678</v>
      </c>
      <c r="L34" s="215">
        <f t="shared" si="11"/>
        <v>45896733.314882405</v>
      </c>
    </row>
    <row r="35" spans="2:12" x14ac:dyDescent="0.25">
      <c r="B35" s="285" t="s">
        <v>268</v>
      </c>
      <c r="C35" s="285"/>
      <c r="D35" s="285"/>
      <c r="E35" s="285"/>
      <c r="F35" s="286">
        <f>F$28</f>
        <v>0</v>
      </c>
      <c r="G35" s="286">
        <f t="shared" ref="G35:L35" si="12">G$28</f>
        <v>0</v>
      </c>
      <c r="H35" s="286">
        <f t="shared" si="12"/>
        <v>0</v>
      </c>
      <c r="I35" s="286">
        <f t="shared" si="12"/>
        <v>0</v>
      </c>
      <c r="J35" s="286">
        <f t="shared" si="12"/>
        <v>0</v>
      </c>
      <c r="K35" s="286">
        <f t="shared" si="12"/>
        <v>0</v>
      </c>
      <c r="L35" s="286">
        <f t="shared" si="12"/>
        <v>0</v>
      </c>
    </row>
    <row r="36" spans="2:12" x14ac:dyDescent="0.25">
      <c r="B36" t="s">
        <v>265</v>
      </c>
      <c r="F36" s="215">
        <f>SUM(F33:F35)</f>
        <v>-20787700.239450261</v>
      </c>
      <c r="G36" s="215">
        <f t="shared" ref="G36:L36" si="13">SUM(G33:G35)</f>
        <v>0</v>
      </c>
      <c r="H36" s="215">
        <f t="shared" si="13"/>
        <v>-10596102.760054719</v>
      </c>
      <c r="I36" s="215">
        <f t="shared" si="13"/>
        <v>905986.82071390562</v>
      </c>
      <c r="J36" s="215">
        <f t="shared" si="13"/>
        <v>691519.26057281834</v>
      </c>
      <c r="K36" s="215">
        <f t="shared" si="13"/>
        <v>823731.41789784678</v>
      </c>
      <c r="L36" s="215">
        <f t="shared" si="13"/>
        <v>45896733.314882405</v>
      </c>
    </row>
    <row r="37" spans="2:12" x14ac:dyDescent="0.25">
      <c r="B37" t="s">
        <v>269</v>
      </c>
      <c r="C37" s="294">
        <f>IRR(F36:L36)</f>
        <v>8.5687529353892788E-2</v>
      </c>
    </row>
    <row r="40" spans="2:12" x14ac:dyDescent="0.25">
      <c r="B40" s="1" t="s">
        <v>270</v>
      </c>
    </row>
    <row r="41" spans="2:12" x14ac:dyDescent="0.25">
      <c r="B41" t="s">
        <v>271</v>
      </c>
      <c r="D41" s="294">
        <f>IRR(F41:L41)</f>
        <v>8.5687529353893011E-2</v>
      </c>
      <c r="F41" s="215">
        <f t="shared" ref="F41:L41" si="14">F$10+F$14</f>
        <v>-1685489.2086040752</v>
      </c>
      <c r="G41" s="215">
        <f t="shared" si="14"/>
        <v>0</v>
      </c>
      <c r="H41" s="215">
        <f t="shared" si="14"/>
        <v>-859143.46703146363</v>
      </c>
      <c r="I41" s="215">
        <f t="shared" si="14"/>
        <v>73458.390868695045</v>
      </c>
      <c r="J41" s="215">
        <f t="shared" si="14"/>
        <v>56069.129235633918</v>
      </c>
      <c r="K41" s="215">
        <f t="shared" si="14"/>
        <v>66789.033883609183</v>
      </c>
      <c r="L41" s="215">
        <f t="shared" si="14"/>
        <v>3721356.7552607353</v>
      </c>
    </row>
    <row r="42" spans="2:12" x14ac:dyDescent="0.25">
      <c r="B42" s="285" t="s">
        <v>272</v>
      </c>
      <c r="C42" s="285"/>
      <c r="D42" s="285"/>
      <c r="E42" s="285"/>
      <c r="F42" s="286">
        <f>F$29</f>
        <v>0</v>
      </c>
      <c r="G42" s="286">
        <f t="shared" ref="G42:L42" si="15">G$29</f>
        <v>0</v>
      </c>
      <c r="H42" s="286">
        <f t="shared" si="15"/>
        <v>0</v>
      </c>
      <c r="I42" s="286">
        <f t="shared" si="15"/>
        <v>0</v>
      </c>
      <c r="J42" s="286">
        <f t="shared" si="15"/>
        <v>0</v>
      </c>
      <c r="K42" s="286">
        <f t="shared" si="15"/>
        <v>0</v>
      </c>
      <c r="L42" s="286">
        <f t="shared" si="15"/>
        <v>0</v>
      </c>
    </row>
    <row r="43" spans="2:12" x14ac:dyDescent="0.25">
      <c r="B43" t="s">
        <v>273</v>
      </c>
      <c r="D43" s="215">
        <f>SUM(F43:L43)</f>
        <v>1373040.6336131347</v>
      </c>
      <c r="F43" s="215">
        <f t="shared" ref="F43:L43" si="16">SUM(F41:F42)</f>
        <v>-1685489.2086040752</v>
      </c>
      <c r="G43" s="215">
        <f t="shared" si="16"/>
        <v>0</v>
      </c>
      <c r="H43" s="215">
        <f t="shared" si="16"/>
        <v>-859143.46703146363</v>
      </c>
      <c r="I43" s="215">
        <f t="shared" si="16"/>
        <v>73458.390868695045</v>
      </c>
      <c r="J43" s="215">
        <f t="shared" si="16"/>
        <v>56069.129235633918</v>
      </c>
      <c r="K43" s="215">
        <f t="shared" si="16"/>
        <v>66789.033883609183</v>
      </c>
      <c r="L43" s="215">
        <f t="shared" si="16"/>
        <v>3721356.7552607353</v>
      </c>
    </row>
    <row r="44" spans="2:12" x14ac:dyDescent="0.25">
      <c r="B44" t="s">
        <v>269</v>
      </c>
      <c r="C44" s="294">
        <f>IRR(F43:L43)</f>
        <v>8.5687529353893011E-2</v>
      </c>
    </row>
    <row r="46" spans="2:12" x14ac:dyDescent="0.25">
      <c r="B46" t="s">
        <v>23</v>
      </c>
      <c r="F46" s="7">
        <f>'Cash Flow'!F$32</f>
        <v>1025166.442078829</v>
      </c>
      <c r="G46" s="7">
        <f>'Cash Flow'!G$32</f>
        <v>1320961.7367879448</v>
      </c>
      <c r="H46" s="7">
        <f>'Cash Flow'!H$32</f>
        <v>0</v>
      </c>
      <c r="I46" s="7">
        <f>'Cash Flow'!I$32</f>
        <v>0</v>
      </c>
      <c r="J46" s="7">
        <f>'Cash Flow'!J$32</f>
        <v>0</v>
      </c>
      <c r="K46" s="7">
        <f>'Cash Flow'!K$32</f>
        <v>0</v>
      </c>
      <c r="L46" s="7">
        <f>'Cash Flow'!L$32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9F367-96C4-43D8-A70A-77B7A2C1480B}">
  <dimension ref="B6:L60"/>
  <sheetViews>
    <sheetView topLeftCell="A37" zoomScale="80" zoomScaleNormal="80" workbookViewId="0">
      <selection activeCell="C50" sqref="C50"/>
    </sheetView>
  </sheetViews>
  <sheetFormatPr defaultRowHeight="15" x14ac:dyDescent="0.25"/>
  <cols>
    <col min="2" max="2" width="21.5703125" bestFit="1" customWidth="1"/>
    <col min="3" max="3" width="6.5703125" bestFit="1" customWidth="1"/>
    <col min="4" max="4" width="11.28515625" bestFit="1" customWidth="1"/>
    <col min="6" max="12" width="13" bestFit="1" customWidth="1"/>
  </cols>
  <sheetData>
    <row r="6" spans="2:12" x14ac:dyDescent="0.25">
      <c r="B6" s="262" t="s">
        <v>248</v>
      </c>
      <c r="C6" s="301"/>
      <c r="D6" s="301"/>
      <c r="E6" s="262"/>
      <c r="F6" s="262">
        <v>1</v>
      </c>
      <c r="G6" s="262">
        <f>F6+1</f>
        <v>2</v>
      </c>
      <c r="H6" s="262">
        <f t="shared" ref="H6:L6" si="0">G6+1</f>
        <v>3</v>
      </c>
      <c r="I6" s="262">
        <f t="shared" si="0"/>
        <v>4</v>
      </c>
      <c r="J6" s="262">
        <f t="shared" si="0"/>
        <v>5</v>
      </c>
      <c r="K6" s="262">
        <f t="shared" si="0"/>
        <v>6</v>
      </c>
      <c r="L6" s="262">
        <f t="shared" si="0"/>
        <v>7</v>
      </c>
    </row>
    <row r="7" spans="2:12" x14ac:dyDescent="0.25">
      <c r="B7" s="112" t="s">
        <v>249</v>
      </c>
      <c r="C7" s="334"/>
      <c r="D7" s="334"/>
      <c r="E7" s="32"/>
      <c r="F7" s="32"/>
      <c r="G7" s="32"/>
      <c r="H7" s="112">
        <v>1</v>
      </c>
      <c r="I7" s="112">
        <v>2</v>
      </c>
      <c r="J7" s="112">
        <v>3</v>
      </c>
      <c r="K7" s="112">
        <v>4</v>
      </c>
      <c r="L7" s="112">
        <v>5</v>
      </c>
    </row>
    <row r="9" spans="2:12" x14ac:dyDescent="0.25">
      <c r="B9" s="1" t="s">
        <v>253</v>
      </c>
      <c r="C9" s="1"/>
      <c r="D9" s="1"/>
      <c r="E9" s="1"/>
      <c r="F9" s="287">
        <f>'Cash Flow'!F59</f>
        <v>-22473189.448054336</v>
      </c>
      <c r="G9" s="287">
        <f>'Cash Flow'!G59</f>
        <v>0</v>
      </c>
      <c r="H9" s="287">
        <f>'Cash Flow'!H59</f>
        <v>0</v>
      </c>
      <c r="I9" s="287">
        <f>'Cash Flow'!I59</f>
        <v>0</v>
      </c>
      <c r="J9" s="287">
        <f>'Cash Flow'!J59</f>
        <v>0</v>
      </c>
      <c r="K9" s="287">
        <f>'Cash Flow'!K59</f>
        <v>0</v>
      </c>
      <c r="L9" s="287">
        <f>'Cash Flow'!L59</f>
        <v>0</v>
      </c>
    </row>
    <row r="10" spans="2:12" x14ac:dyDescent="0.25">
      <c r="B10" t="s">
        <v>254</v>
      </c>
      <c r="C10" s="311">
        <v>0.1</v>
      </c>
      <c r="F10" s="7">
        <f>F$9*$C10</f>
        <v>-2247318.9448054335</v>
      </c>
      <c r="G10" s="7">
        <f t="shared" ref="G10:L11" si="1">G$9*$C10</f>
        <v>0</v>
      </c>
      <c r="H10" s="7">
        <f t="shared" si="1"/>
        <v>0</v>
      </c>
      <c r="I10" s="7">
        <f t="shared" si="1"/>
        <v>0</v>
      </c>
      <c r="J10" s="7">
        <f t="shared" si="1"/>
        <v>0</v>
      </c>
      <c r="K10" s="7">
        <f t="shared" si="1"/>
        <v>0</v>
      </c>
      <c r="L10" s="7">
        <f t="shared" si="1"/>
        <v>0</v>
      </c>
    </row>
    <row r="11" spans="2:12" x14ac:dyDescent="0.25">
      <c r="B11" t="s">
        <v>255</v>
      </c>
      <c r="C11" s="294">
        <f>1-C10</f>
        <v>0.9</v>
      </c>
      <c r="F11" s="7">
        <f>F$9*$C11</f>
        <v>-20225870.503248904</v>
      </c>
      <c r="G11" s="7">
        <f t="shared" si="1"/>
        <v>0</v>
      </c>
      <c r="H11" s="7">
        <f t="shared" si="1"/>
        <v>0</v>
      </c>
      <c r="I11" s="7">
        <f t="shared" si="1"/>
        <v>0</v>
      </c>
      <c r="J11" s="7">
        <f t="shared" si="1"/>
        <v>0</v>
      </c>
      <c r="K11" s="7">
        <f t="shared" si="1"/>
        <v>0</v>
      </c>
      <c r="L11" s="7">
        <f t="shared" si="1"/>
        <v>0</v>
      </c>
    </row>
    <row r="14" spans="2:12" x14ac:dyDescent="0.25">
      <c r="B14" s="1" t="s">
        <v>256</v>
      </c>
      <c r="C14" s="1"/>
      <c r="D14" s="1"/>
      <c r="E14" s="1"/>
      <c r="F14" s="287">
        <f>'Cash Flow'!F$92-F$9</f>
        <v>0</v>
      </c>
      <c r="G14" s="287">
        <f>'Cash Flow'!G$92-G$9</f>
        <v>0</v>
      </c>
      <c r="H14" s="287">
        <f>'Cash Flow'!H$92-H$9</f>
        <v>-11455246.227086183</v>
      </c>
      <c r="I14" s="287">
        <f>'Cash Flow'!I$92-I$9</f>
        <v>979445.2115826006</v>
      </c>
      <c r="J14" s="287">
        <f>'Cash Flow'!J$92-J$9</f>
        <v>747588.38980845222</v>
      </c>
      <c r="K14" s="287">
        <f>'Cash Flow'!K$92-K$9</f>
        <v>890520.45178145589</v>
      </c>
      <c r="L14" s="287">
        <f>'Cash Flow'!L$92-L$9</f>
        <v>49618090.070143141</v>
      </c>
    </row>
    <row r="15" spans="2:12" x14ac:dyDescent="0.25">
      <c r="B15" t="s">
        <v>254</v>
      </c>
      <c r="C15" s="335">
        <f>C10</f>
        <v>0.1</v>
      </c>
      <c r="F15" s="7">
        <f>F$14*$C15</f>
        <v>0</v>
      </c>
      <c r="G15" s="7">
        <f t="shared" ref="G15:L16" si="2">G$14*$C15</f>
        <v>0</v>
      </c>
      <c r="H15" s="7">
        <f t="shared" si="2"/>
        <v>-1145524.6227086184</v>
      </c>
      <c r="I15" s="7">
        <f t="shared" si="2"/>
        <v>97944.52115826006</v>
      </c>
      <c r="J15" s="7">
        <f t="shared" si="2"/>
        <v>74758.838980845219</v>
      </c>
      <c r="K15" s="7">
        <f t="shared" si="2"/>
        <v>89052.045178145592</v>
      </c>
      <c r="L15" s="7">
        <f t="shared" si="2"/>
        <v>4961809.0070143146</v>
      </c>
    </row>
    <row r="16" spans="2:12" x14ac:dyDescent="0.25">
      <c r="B16" t="s">
        <v>255</v>
      </c>
      <c r="C16" s="335">
        <f>C11</f>
        <v>0.9</v>
      </c>
      <c r="F16" s="7">
        <f>F$14*$C16</f>
        <v>0</v>
      </c>
      <c r="G16" s="7">
        <f t="shared" si="2"/>
        <v>0</v>
      </c>
      <c r="H16" s="7">
        <f t="shared" si="2"/>
        <v>-10309721.604377564</v>
      </c>
      <c r="I16" s="7">
        <f t="shared" si="2"/>
        <v>881500.69042434054</v>
      </c>
      <c r="J16" s="7">
        <f t="shared" si="2"/>
        <v>672829.55082760705</v>
      </c>
      <c r="K16" s="7">
        <f t="shared" si="2"/>
        <v>801468.40660331037</v>
      </c>
      <c r="L16" s="7">
        <f t="shared" si="2"/>
        <v>44656281.063128829</v>
      </c>
    </row>
    <row r="19" spans="2:12" x14ac:dyDescent="0.25">
      <c r="B19" s="1" t="s">
        <v>274</v>
      </c>
      <c r="C19" s="294"/>
      <c r="F19" s="215"/>
      <c r="G19" s="215"/>
      <c r="H19" s="215"/>
      <c r="I19" s="215"/>
      <c r="J19" s="215"/>
      <c r="K19" s="215"/>
      <c r="L19" s="215"/>
    </row>
    <row r="20" spans="2:12" x14ac:dyDescent="0.25">
      <c r="B20" t="s">
        <v>258</v>
      </c>
      <c r="F20" s="7">
        <f>E24</f>
        <v>0</v>
      </c>
      <c r="G20" s="7">
        <f t="shared" ref="G20:L20" si="3">F24</f>
        <v>-20225870.503248904</v>
      </c>
      <c r="H20" s="7">
        <f t="shared" si="3"/>
        <v>-21843940.143508814</v>
      </c>
      <c r="I20" s="7">
        <f t="shared" si="3"/>
        <v>-33901176.959367082</v>
      </c>
      <c r="J20" s="7">
        <f t="shared" si="3"/>
        <v>-35731770.425692111</v>
      </c>
      <c r="K20" s="7">
        <f t="shared" si="3"/>
        <v>-37917482.508919872</v>
      </c>
      <c r="L20" s="7">
        <f t="shared" si="3"/>
        <v>-40149412.703030147</v>
      </c>
    </row>
    <row r="21" spans="2:12" x14ac:dyDescent="0.25">
      <c r="B21" t="s">
        <v>259</v>
      </c>
      <c r="F21" s="215">
        <f>F$11</f>
        <v>-20225870.503248904</v>
      </c>
      <c r="G21" s="215">
        <f t="shared" ref="G21:L21" si="4">G$11</f>
        <v>0</v>
      </c>
      <c r="H21" s="215">
        <f t="shared" si="4"/>
        <v>0</v>
      </c>
      <c r="I21" s="215">
        <f t="shared" si="4"/>
        <v>0</v>
      </c>
      <c r="J21" s="215">
        <f t="shared" si="4"/>
        <v>0</v>
      </c>
      <c r="K21" s="215">
        <f t="shared" si="4"/>
        <v>0</v>
      </c>
      <c r="L21" s="215">
        <f t="shared" si="4"/>
        <v>0</v>
      </c>
    </row>
    <row r="22" spans="2:12" x14ac:dyDescent="0.25">
      <c r="B22" t="s">
        <v>260</v>
      </c>
      <c r="C22" s="336">
        <v>0.08</v>
      </c>
      <c r="F22" s="215">
        <f>SUM(F$20)*$C22</f>
        <v>0</v>
      </c>
      <c r="G22" s="215">
        <f t="shared" ref="G22:L22" si="5">SUM(G$20)*$C22</f>
        <v>-1618069.6402599122</v>
      </c>
      <c r="H22" s="215">
        <f t="shared" si="5"/>
        <v>-1747515.2114807051</v>
      </c>
      <c r="I22" s="215">
        <f t="shared" si="5"/>
        <v>-2712094.1567493668</v>
      </c>
      <c r="J22" s="215">
        <f t="shared" si="5"/>
        <v>-2858541.6340553691</v>
      </c>
      <c r="K22" s="215">
        <f t="shared" si="5"/>
        <v>-3033398.6007135897</v>
      </c>
      <c r="L22" s="215">
        <f t="shared" si="5"/>
        <v>-3211953.0162424119</v>
      </c>
    </row>
    <row r="23" spans="2:12" x14ac:dyDescent="0.25">
      <c r="B23" t="s">
        <v>261</v>
      </c>
      <c r="F23" s="215">
        <f>MIN(F16,-SUM(F20:F22))</f>
        <v>0</v>
      </c>
      <c r="G23" s="215">
        <f t="shared" ref="G23:K23" si="6">MIN(G16,-SUM(G20:G22))</f>
        <v>0</v>
      </c>
      <c r="H23" s="215">
        <f t="shared" si="6"/>
        <v>-10309721.604377564</v>
      </c>
      <c r="I23" s="215">
        <f t="shared" si="6"/>
        <v>881500.69042434054</v>
      </c>
      <c r="J23" s="215">
        <f t="shared" si="6"/>
        <v>672829.55082760705</v>
      </c>
      <c r="K23" s="215">
        <f t="shared" si="6"/>
        <v>801468.40660331037</v>
      </c>
      <c r="L23" s="215">
        <f>MIN(L16,-SUM(L20:L22))</f>
        <v>43361365.719272561</v>
      </c>
    </row>
    <row r="24" spans="2:12" x14ac:dyDescent="0.25">
      <c r="B24" t="s">
        <v>241</v>
      </c>
      <c r="F24" s="215">
        <f>SUM(F20:F23)</f>
        <v>-20225870.503248904</v>
      </c>
      <c r="G24" s="215">
        <f t="shared" ref="G24:L24" si="7">SUM(G20:G23)</f>
        <v>-21843940.143508814</v>
      </c>
      <c r="H24" s="215">
        <f t="shared" si="7"/>
        <v>-33901176.959367082</v>
      </c>
      <c r="I24" s="215">
        <f t="shared" si="7"/>
        <v>-35731770.425692111</v>
      </c>
      <c r="J24" s="215">
        <f t="shared" si="7"/>
        <v>-37917482.508919872</v>
      </c>
      <c r="K24" s="215">
        <f t="shared" si="7"/>
        <v>-40149412.703030147</v>
      </c>
      <c r="L24" s="215">
        <f t="shared" si="7"/>
        <v>0</v>
      </c>
    </row>
    <row r="26" spans="2:12" x14ac:dyDescent="0.25">
      <c r="B26" s="314" t="s">
        <v>275</v>
      </c>
      <c r="C26" s="314"/>
      <c r="D26" s="314"/>
      <c r="E26" s="314"/>
      <c r="F26" s="323">
        <f>F16-F23</f>
        <v>0</v>
      </c>
      <c r="G26" s="323">
        <f t="shared" ref="G26:L26" si="8">G16-G23</f>
        <v>0</v>
      </c>
      <c r="H26" s="323">
        <f t="shared" si="8"/>
        <v>0</v>
      </c>
      <c r="I26" s="323">
        <f t="shared" si="8"/>
        <v>0</v>
      </c>
      <c r="J26" s="323">
        <f t="shared" si="8"/>
        <v>0</v>
      </c>
      <c r="K26" s="323">
        <f t="shared" si="8"/>
        <v>0</v>
      </c>
      <c r="L26" s="323">
        <f t="shared" si="8"/>
        <v>1294915.3438562676</v>
      </c>
    </row>
    <row r="27" spans="2:12" x14ac:dyDescent="0.25">
      <c r="D27" s="294"/>
      <c r="F27" s="215"/>
      <c r="G27" s="215"/>
      <c r="H27" s="215"/>
      <c r="I27" s="215"/>
      <c r="J27" s="215"/>
      <c r="K27" s="215"/>
      <c r="L27" s="215"/>
    </row>
    <row r="28" spans="2:12" x14ac:dyDescent="0.25">
      <c r="B28" s="1" t="s">
        <v>276</v>
      </c>
      <c r="D28" s="294"/>
      <c r="F28" s="215"/>
      <c r="G28" s="215"/>
      <c r="H28" s="215"/>
      <c r="I28" s="215"/>
      <c r="J28" s="215"/>
      <c r="K28" s="215"/>
      <c r="L28" s="215"/>
    </row>
    <row r="29" spans="2:12" x14ac:dyDescent="0.25">
      <c r="B29" t="s">
        <v>258</v>
      </c>
      <c r="D29" s="294"/>
      <c r="F29" s="7">
        <f>E33</f>
        <v>0</v>
      </c>
      <c r="G29" s="7">
        <f t="shared" ref="G29:L29" si="9">F33</f>
        <v>-20225870.503248904</v>
      </c>
      <c r="H29" s="7">
        <f t="shared" si="9"/>
        <v>-23259751.078736238</v>
      </c>
      <c r="I29" s="7">
        <f t="shared" si="9"/>
        <v>-37058435.344924241</v>
      </c>
      <c r="J29" s="7">
        <f t="shared" si="9"/>
        <v>-41735699.956238538</v>
      </c>
      <c r="K29" s="7">
        <f t="shared" si="9"/>
        <v>-47323225.398846708</v>
      </c>
      <c r="L29" s="7">
        <f t="shared" si="9"/>
        <v>-53620240.802070402</v>
      </c>
    </row>
    <row r="30" spans="2:12" x14ac:dyDescent="0.25">
      <c r="B30" t="s">
        <v>259</v>
      </c>
      <c r="D30" s="294"/>
      <c r="F30" s="215">
        <f>F$11</f>
        <v>-20225870.503248904</v>
      </c>
      <c r="G30" s="215">
        <f t="shared" ref="G30:L30" si="10">G$11</f>
        <v>0</v>
      </c>
      <c r="H30" s="215">
        <f t="shared" si="10"/>
        <v>0</v>
      </c>
      <c r="I30" s="215">
        <f t="shared" si="10"/>
        <v>0</v>
      </c>
      <c r="J30" s="215">
        <f t="shared" si="10"/>
        <v>0</v>
      </c>
      <c r="K30" s="215">
        <f t="shared" si="10"/>
        <v>0</v>
      </c>
      <c r="L30" s="215">
        <f t="shared" si="10"/>
        <v>0</v>
      </c>
    </row>
    <row r="31" spans="2:12" x14ac:dyDescent="0.25">
      <c r="B31" t="s">
        <v>260</v>
      </c>
      <c r="C31" s="336">
        <v>0.15</v>
      </c>
      <c r="F31" s="215">
        <f>SUM(F$29)*$C31</f>
        <v>0</v>
      </c>
      <c r="G31" s="215">
        <f t="shared" ref="G31:L31" si="11">SUM(G$29)*$C31</f>
        <v>-3033880.5754873357</v>
      </c>
      <c r="H31" s="215">
        <f t="shared" si="11"/>
        <v>-3488962.6618104358</v>
      </c>
      <c r="I31" s="215">
        <f t="shared" si="11"/>
        <v>-5558765.3017386356</v>
      </c>
      <c r="J31" s="215">
        <f t="shared" si="11"/>
        <v>-6260354.9934357805</v>
      </c>
      <c r="K31" s="215">
        <f t="shared" si="11"/>
        <v>-7098483.8098270064</v>
      </c>
      <c r="L31" s="215">
        <f t="shared" si="11"/>
        <v>-8043036.1203105599</v>
      </c>
    </row>
    <row r="32" spans="2:12" x14ac:dyDescent="0.25">
      <c r="B32" t="s">
        <v>261</v>
      </c>
      <c r="D32" s="294"/>
      <c r="F32" s="215">
        <f>F$23+F$26*$C$36</f>
        <v>0</v>
      </c>
      <c r="G32" s="215">
        <f t="shared" ref="G32:K32" si="12">G$23+G$26*$C$36</f>
        <v>0</v>
      </c>
      <c r="H32" s="215">
        <f t="shared" si="12"/>
        <v>-10309721.604377564</v>
      </c>
      <c r="I32" s="215">
        <f t="shared" si="12"/>
        <v>881500.69042434054</v>
      </c>
      <c r="J32" s="215">
        <f t="shared" si="12"/>
        <v>672829.55082760705</v>
      </c>
      <c r="K32" s="215">
        <f t="shared" si="12"/>
        <v>801468.40660331037</v>
      </c>
      <c r="L32" s="215">
        <f>MIN(L$23+L$26*$C$36,-SUM(L29:L31))</f>
        <v>44332552.22716476</v>
      </c>
    </row>
    <row r="33" spans="2:12" x14ac:dyDescent="0.25">
      <c r="B33" t="s">
        <v>241</v>
      </c>
      <c r="D33" s="294"/>
      <c r="F33" s="215">
        <f>SUM(F29:F32)</f>
        <v>-20225870.503248904</v>
      </c>
      <c r="G33" s="215">
        <f t="shared" ref="G33:L33" si="13">SUM(G29:G32)</f>
        <v>-23259751.078736238</v>
      </c>
      <c r="H33" s="215">
        <f t="shared" si="13"/>
        <v>-37058435.344924241</v>
      </c>
      <c r="I33" s="215">
        <f t="shared" si="13"/>
        <v>-41735699.956238538</v>
      </c>
      <c r="J33" s="215">
        <f t="shared" si="13"/>
        <v>-47323225.398846708</v>
      </c>
      <c r="K33" s="215">
        <f t="shared" si="13"/>
        <v>-53620240.802070402</v>
      </c>
      <c r="L33" s="215">
        <f t="shared" si="13"/>
        <v>-17330724.695216201</v>
      </c>
    </row>
    <row r="34" spans="2:12" x14ac:dyDescent="0.25">
      <c r="C34" s="294"/>
      <c r="D34" s="294"/>
      <c r="F34" s="215"/>
      <c r="G34" s="215"/>
      <c r="H34" s="215"/>
      <c r="I34" s="215"/>
      <c r="J34" s="215"/>
      <c r="K34" s="215"/>
      <c r="L34" s="215"/>
    </row>
    <row r="35" spans="2:12" x14ac:dyDescent="0.25">
      <c r="B35" t="s">
        <v>277</v>
      </c>
      <c r="F35" s="215">
        <f>F$32-F$23</f>
        <v>0</v>
      </c>
      <c r="G35" s="215">
        <f t="shared" ref="G35:L35" si="14">G$32-G$23</f>
        <v>0</v>
      </c>
      <c r="H35" s="215">
        <f t="shared" si="14"/>
        <v>0</v>
      </c>
      <c r="I35" s="215">
        <f t="shared" si="14"/>
        <v>0</v>
      </c>
      <c r="J35" s="215">
        <f t="shared" si="14"/>
        <v>0</v>
      </c>
      <c r="K35" s="215">
        <f t="shared" si="14"/>
        <v>0</v>
      </c>
      <c r="L35" s="215">
        <f t="shared" si="14"/>
        <v>971186.50789219886</v>
      </c>
    </row>
    <row r="36" spans="2:12" x14ac:dyDescent="0.25">
      <c r="B36" t="s">
        <v>255</v>
      </c>
      <c r="C36" s="336">
        <v>0.75</v>
      </c>
      <c r="F36" s="215">
        <f>F$35*$C36</f>
        <v>0</v>
      </c>
      <c r="G36" s="215">
        <f t="shared" ref="G36:L37" si="15">G$35*$C36</f>
        <v>0</v>
      </c>
      <c r="H36" s="215">
        <f t="shared" si="15"/>
        <v>0</v>
      </c>
      <c r="I36" s="215">
        <f t="shared" si="15"/>
        <v>0</v>
      </c>
      <c r="J36" s="215">
        <f t="shared" si="15"/>
        <v>0</v>
      </c>
      <c r="K36" s="215">
        <f t="shared" si="15"/>
        <v>0</v>
      </c>
      <c r="L36" s="215">
        <f t="shared" si="15"/>
        <v>728389.88091914915</v>
      </c>
    </row>
    <row r="37" spans="2:12" x14ac:dyDescent="0.25">
      <c r="B37" t="s">
        <v>264</v>
      </c>
      <c r="C37" s="335">
        <f>1-C36</f>
        <v>0.25</v>
      </c>
      <c r="F37" s="215">
        <f>F$35*$C37</f>
        <v>0</v>
      </c>
      <c r="G37" s="215">
        <f t="shared" si="15"/>
        <v>0</v>
      </c>
      <c r="H37" s="215">
        <f t="shared" si="15"/>
        <v>0</v>
      </c>
      <c r="I37" s="215">
        <f t="shared" si="15"/>
        <v>0</v>
      </c>
      <c r="J37" s="215">
        <f t="shared" si="15"/>
        <v>0</v>
      </c>
      <c r="K37" s="215">
        <f t="shared" si="15"/>
        <v>0</v>
      </c>
      <c r="L37" s="215">
        <f t="shared" si="15"/>
        <v>242796.62697304972</v>
      </c>
    </row>
    <row r="39" spans="2:12" x14ac:dyDescent="0.25">
      <c r="B39" t="s">
        <v>278</v>
      </c>
      <c r="F39" s="215">
        <f>F$16-F$32</f>
        <v>0</v>
      </c>
      <c r="G39" s="215">
        <f t="shared" ref="G39:L39" si="16">G$16-G$32</f>
        <v>0</v>
      </c>
      <c r="H39" s="215">
        <f t="shared" si="16"/>
        <v>0</v>
      </c>
      <c r="I39" s="215">
        <f t="shared" si="16"/>
        <v>0</v>
      </c>
      <c r="J39" s="215">
        <f t="shared" si="16"/>
        <v>0</v>
      </c>
      <c r="K39" s="215">
        <f t="shared" si="16"/>
        <v>0</v>
      </c>
      <c r="L39" s="215">
        <f t="shared" si="16"/>
        <v>323728.83596406877</v>
      </c>
    </row>
    <row r="40" spans="2:12" x14ac:dyDescent="0.25">
      <c r="B40" t="s">
        <v>255</v>
      </c>
      <c r="C40" s="336">
        <v>0.5</v>
      </c>
      <c r="F40" s="215">
        <f>F$39*$C40</f>
        <v>0</v>
      </c>
      <c r="G40" s="215">
        <f t="shared" ref="G40:L41" si="17">G$39*$C40</f>
        <v>0</v>
      </c>
      <c r="H40" s="215">
        <f t="shared" si="17"/>
        <v>0</v>
      </c>
      <c r="I40" s="215">
        <f t="shared" si="17"/>
        <v>0</v>
      </c>
      <c r="J40" s="215">
        <f t="shared" si="17"/>
        <v>0</v>
      </c>
      <c r="K40" s="215">
        <f t="shared" si="17"/>
        <v>0</v>
      </c>
      <c r="L40" s="215">
        <f t="shared" si="17"/>
        <v>161864.41798203439</v>
      </c>
    </row>
    <row r="41" spans="2:12" x14ac:dyDescent="0.25">
      <c r="B41" t="s">
        <v>264</v>
      </c>
      <c r="C41" s="335">
        <f>1-C40</f>
        <v>0.5</v>
      </c>
      <c r="F41" s="215">
        <f>F$39*$C41</f>
        <v>0</v>
      </c>
      <c r="G41" s="215">
        <f t="shared" si="17"/>
        <v>0</v>
      </c>
      <c r="H41" s="215">
        <f t="shared" si="17"/>
        <v>0</v>
      </c>
      <c r="I41" s="215">
        <f t="shared" si="17"/>
        <v>0</v>
      </c>
      <c r="J41" s="215">
        <f t="shared" si="17"/>
        <v>0</v>
      </c>
      <c r="K41" s="215">
        <f t="shared" si="17"/>
        <v>0</v>
      </c>
      <c r="L41" s="215">
        <f t="shared" si="17"/>
        <v>161864.41798203439</v>
      </c>
    </row>
    <row r="44" spans="2:12" x14ac:dyDescent="0.25">
      <c r="B44" s="1" t="s">
        <v>265</v>
      </c>
    </row>
    <row r="45" spans="2:12" x14ac:dyDescent="0.25">
      <c r="B45" t="s">
        <v>266</v>
      </c>
      <c r="F45" s="215">
        <f>F$11</f>
        <v>-20225870.503248904</v>
      </c>
      <c r="G45" s="215">
        <f t="shared" ref="G45:L45" si="18">G$11</f>
        <v>0</v>
      </c>
      <c r="H45" s="215">
        <f t="shared" si="18"/>
        <v>0</v>
      </c>
      <c r="I45" s="215">
        <f t="shared" si="18"/>
        <v>0</v>
      </c>
      <c r="J45" s="215">
        <f t="shared" si="18"/>
        <v>0</v>
      </c>
      <c r="K45" s="215">
        <f t="shared" si="18"/>
        <v>0</v>
      </c>
      <c r="L45" s="215">
        <f t="shared" si="18"/>
        <v>0</v>
      </c>
    </row>
    <row r="46" spans="2:12" x14ac:dyDescent="0.25">
      <c r="B46" t="s">
        <v>267</v>
      </c>
      <c r="F46" s="215">
        <f>F$23</f>
        <v>0</v>
      </c>
      <c r="G46" s="215">
        <f t="shared" ref="G46:L46" si="19">G$23</f>
        <v>0</v>
      </c>
      <c r="H46" s="215">
        <f t="shared" si="19"/>
        <v>-10309721.604377564</v>
      </c>
      <c r="I46" s="215">
        <f t="shared" si="19"/>
        <v>881500.69042434054</v>
      </c>
      <c r="J46" s="215">
        <f t="shared" si="19"/>
        <v>672829.55082760705</v>
      </c>
      <c r="K46" s="215">
        <f t="shared" si="19"/>
        <v>801468.40660331037</v>
      </c>
      <c r="L46" s="215">
        <f t="shared" si="19"/>
        <v>43361365.719272561</v>
      </c>
    </row>
    <row r="47" spans="2:12" x14ac:dyDescent="0.25">
      <c r="B47" t="s">
        <v>268</v>
      </c>
      <c r="F47" s="215">
        <f>F$36</f>
        <v>0</v>
      </c>
      <c r="G47" s="215">
        <f t="shared" ref="G47:L47" si="20">G$36</f>
        <v>0</v>
      </c>
      <c r="H47" s="215">
        <f t="shared" si="20"/>
        <v>0</v>
      </c>
      <c r="I47" s="215">
        <f t="shared" si="20"/>
        <v>0</v>
      </c>
      <c r="J47" s="215">
        <f t="shared" si="20"/>
        <v>0</v>
      </c>
      <c r="K47" s="215">
        <f t="shared" si="20"/>
        <v>0</v>
      </c>
      <c r="L47" s="215">
        <f t="shared" si="20"/>
        <v>728389.88091914915</v>
      </c>
    </row>
    <row r="48" spans="2:12" x14ac:dyDescent="0.25">
      <c r="B48" s="285" t="s">
        <v>279</v>
      </c>
      <c r="C48" s="285"/>
      <c r="D48" s="285"/>
      <c r="E48" s="285"/>
      <c r="F48" s="286">
        <f>F$40</f>
        <v>0</v>
      </c>
      <c r="G48" s="286">
        <f t="shared" ref="G48:L48" si="21">G$40</f>
        <v>0</v>
      </c>
      <c r="H48" s="286">
        <f t="shared" si="21"/>
        <v>0</v>
      </c>
      <c r="I48" s="286">
        <f t="shared" si="21"/>
        <v>0</v>
      </c>
      <c r="J48" s="286">
        <f t="shared" si="21"/>
        <v>0</v>
      </c>
      <c r="K48" s="286">
        <f t="shared" si="21"/>
        <v>0</v>
      </c>
      <c r="L48" s="286">
        <f t="shared" si="21"/>
        <v>161864.41798203439</v>
      </c>
    </row>
    <row r="49" spans="2:12" x14ac:dyDescent="0.25">
      <c r="B49" t="s">
        <v>265</v>
      </c>
      <c r="F49" s="215">
        <f t="shared" ref="F49:L49" si="22">SUM(F45:F48)</f>
        <v>-20225870.503248904</v>
      </c>
      <c r="G49" s="215">
        <f t="shared" si="22"/>
        <v>0</v>
      </c>
      <c r="H49" s="215">
        <f t="shared" si="22"/>
        <v>-10309721.604377564</v>
      </c>
      <c r="I49" s="215">
        <f t="shared" si="22"/>
        <v>881500.69042434054</v>
      </c>
      <c r="J49" s="215">
        <f t="shared" si="22"/>
        <v>672829.55082760705</v>
      </c>
      <c r="K49" s="215">
        <f t="shared" si="22"/>
        <v>801468.40660331037</v>
      </c>
      <c r="L49" s="215">
        <f t="shared" si="22"/>
        <v>44251620.018173747</v>
      </c>
    </row>
    <row r="50" spans="2:12" x14ac:dyDescent="0.25">
      <c r="B50" t="s">
        <v>269</v>
      </c>
      <c r="C50" s="294">
        <f>IRR(F49:L49)</f>
        <v>8.3924965614202485E-2</v>
      </c>
    </row>
    <row r="53" spans="2:12" x14ac:dyDescent="0.25">
      <c r="B53" s="1" t="s">
        <v>270</v>
      </c>
    </row>
    <row r="54" spans="2:12" x14ac:dyDescent="0.25">
      <c r="B54" t="s">
        <v>271</v>
      </c>
      <c r="D54" s="294">
        <f>IRR(F54:L54)</f>
        <v>8.5687529353892788E-2</v>
      </c>
      <c r="F54" s="215">
        <f t="shared" ref="F54:L54" si="23">F$10+F$15</f>
        <v>-2247318.9448054335</v>
      </c>
      <c r="G54" s="215">
        <f t="shared" si="23"/>
        <v>0</v>
      </c>
      <c r="H54" s="215">
        <f t="shared" si="23"/>
        <v>-1145524.6227086184</v>
      </c>
      <c r="I54" s="215">
        <f t="shared" si="23"/>
        <v>97944.52115826006</v>
      </c>
      <c r="J54" s="215">
        <f t="shared" si="23"/>
        <v>74758.838980845219</v>
      </c>
      <c r="K54" s="215">
        <f t="shared" si="23"/>
        <v>89052.045178145592</v>
      </c>
      <c r="L54" s="215">
        <f t="shared" si="23"/>
        <v>4961809.0070143146</v>
      </c>
    </row>
    <row r="55" spans="2:12" x14ac:dyDescent="0.25">
      <c r="B55" t="s">
        <v>280</v>
      </c>
      <c r="D55" s="294"/>
      <c r="F55" s="215">
        <f>F$37</f>
        <v>0</v>
      </c>
      <c r="G55" s="215">
        <f t="shared" ref="G55:L55" si="24">G$37</f>
        <v>0</v>
      </c>
      <c r="H55" s="215">
        <f t="shared" si="24"/>
        <v>0</v>
      </c>
      <c r="I55" s="215">
        <f t="shared" si="24"/>
        <v>0</v>
      </c>
      <c r="J55" s="215">
        <f t="shared" si="24"/>
        <v>0</v>
      </c>
      <c r="K55" s="215">
        <f t="shared" si="24"/>
        <v>0</v>
      </c>
      <c r="L55" s="215">
        <f t="shared" si="24"/>
        <v>242796.62697304972</v>
      </c>
    </row>
    <row r="56" spans="2:12" x14ac:dyDescent="0.25">
      <c r="B56" s="285" t="s">
        <v>281</v>
      </c>
      <c r="C56" s="285"/>
      <c r="D56" s="285"/>
      <c r="E56" s="285"/>
      <c r="F56" s="286">
        <f>F$41</f>
        <v>0</v>
      </c>
      <c r="G56" s="286">
        <f t="shared" ref="G56:L56" si="25">G$41</f>
        <v>0</v>
      </c>
      <c r="H56" s="286">
        <f t="shared" si="25"/>
        <v>0</v>
      </c>
      <c r="I56" s="286">
        <f t="shared" si="25"/>
        <v>0</v>
      </c>
      <c r="J56" s="286">
        <f t="shared" si="25"/>
        <v>0</v>
      </c>
      <c r="K56" s="286">
        <f t="shared" si="25"/>
        <v>0</v>
      </c>
      <c r="L56" s="286">
        <f t="shared" si="25"/>
        <v>161864.41798203439</v>
      </c>
    </row>
    <row r="57" spans="2:12" x14ac:dyDescent="0.25">
      <c r="B57" t="s">
        <v>273</v>
      </c>
      <c r="D57" s="215">
        <f>SUM(F57:L57)</f>
        <v>2235381.8897725982</v>
      </c>
      <c r="F57" s="215">
        <f>SUM(F54:F56)</f>
        <v>-2247318.9448054335</v>
      </c>
      <c r="G57" s="215">
        <f t="shared" ref="G57:L57" si="26">SUM(G54:G56)</f>
        <v>0</v>
      </c>
      <c r="H57" s="215">
        <f t="shared" si="26"/>
        <v>-1145524.6227086184</v>
      </c>
      <c r="I57" s="215">
        <f t="shared" si="26"/>
        <v>97944.52115826006</v>
      </c>
      <c r="J57" s="215">
        <f t="shared" si="26"/>
        <v>74758.838980845219</v>
      </c>
      <c r="K57" s="215">
        <f t="shared" si="26"/>
        <v>89052.045178145592</v>
      </c>
      <c r="L57" s="215">
        <f t="shared" si="26"/>
        <v>5366470.0519693987</v>
      </c>
    </row>
    <row r="58" spans="2:12" x14ac:dyDescent="0.25">
      <c r="B58" t="s">
        <v>269</v>
      </c>
      <c r="C58" s="294">
        <f>IRR(F57:L57)</f>
        <v>0.10098394658472176</v>
      </c>
    </row>
    <row r="60" spans="2:12" x14ac:dyDescent="0.25">
      <c r="B60" t="s">
        <v>23</v>
      </c>
      <c r="F60" s="7">
        <f>'Cash Flow'!F$32</f>
        <v>1025166.442078829</v>
      </c>
      <c r="G60" s="7">
        <f>'Cash Flow'!G$32</f>
        <v>1320961.7367879448</v>
      </c>
      <c r="H60" s="7">
        <f>'Cash Flow'!H$32</f>
        <v>0</v>
      </c>
      <c r="I60" s="7">
        <f>'Cash Flow'!I$32</f>
        <v>0</v>
      </c>
      <c r="J60" s="7">
        <f>'Cash Flow'!J$32</f>
        <v>0</v>
      </c>
      <c r="K60" s="7">
        <f>'Cash Flow'!K$32</f>
        <v>0</v>
      </c>
      <c r="L60" s="7">
        <f>'Cash Flow'!L$32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BE6E5-6CD8-4E89-A907-C85F7647F215}">
  <dimension ref="C4:F11"/>
  <sheetViews>
    <sheetView workbookViewId="0">
      <selection activeCell="E11" sqref="E11"/>
    </sheetView>
  </sheetViews>
  <sheetFormatPr defaultRowHeight="15" x14ac:dyDescent="0.25"/>
  <cols>
    <col min="1" max="2" width="9.140625" style="344"/>
    <col min="3" max="3" width="19.5703125" style="344" bestFit="1" customWidth="1"/>
    <col min="4" max="5" width="12.5703125" style="344" bestFit="1" customWidth="1"/>
    <col min="6" max="6" width="12.7109375" style="344" bestFit="1" customWidth="1"/>
    <col min="7" max="16384" width="9.140625" style="344"/>
  </cols>
  <sheetData>
    <row r="4" spans="3:6" x14ac:dyDescent="0.25">
      <c r="C4" s="362" t="s">
        <v>143</v>
      </c>
      <c r="D4" s="363" t="s">
        <v>308</v>
      </c>
      <c r="E4" s="363" t="s">
        <v>310</v>
      </c>
      <c r="F4" s="363" t="s">
        <v>309</v>
      </c>
    </row>
    <row r="5" spans="3:6" x14ac:dyDescent="0.25">
      <c r="C5" s="344" t="s">
        <v>19</v>
      </c>
      <c r="D5" s="358">
        <v>1501918</v>
      </c>
      <c r="E5" s="359">
        <f>D5</f>
        <v>1501918</v>
      </c>
      <c r="F5" s="359">
        <f>D5</f>
        <v>1501918</v>
      </c>
    </row>
    <row r="6" spans="3:6" x14ac:dyDescent="0.25">
      <c r="C6" s="344" t="s">
        <v>306</v>
      </c>
      <c r="D6" s="358">
        <v>48082475</v>
      </c>
      <c r="E6" s="359">
        <f>D6*1.05</f>
        <v>50486598.75</v>
      </c>
      <c r="F6" s="359">
        <f>D6*0.95</f>
        <v>45678351.25</v>
      </c>
    </row>
    <row r="7" spans="3:6" x14ac:dyDescent="0.25">
      <c r="C7" s="344" t="s">
        <v>307</v>
      </c>
      <c r="D7" s="358">
        <v>7799664</v>
      </c>
      <c r="E7" s="359">
        <f>D7*1.05</f>
        <v>8189647.2000000002</v>
      </c>
      <c r="F7" s="359">
        <f>D7*0.95</f>
        <v>7409680.7999999998</v>
      </c>
    </row>
    <row r="8" spans="3:6" x14ac:dyDescent="0.25">
      <c r="C8" s="344" t="s">
        <v>144</v>
      </c>
      <c r="D8" s="358">
        <v>484527</v>
      </c>
      <c r="E8" s="359">
        <v>820391.2999999969</v>
      </c>
      <c r="F8" s="359">
        <v>148662.70000000219</v>
      </c>
    </row>
    <row r="9" spans="3:6" x14ac:dyDescent="0.25">
      <c r="C9" s="344" t="s">
        <v>311</v>
      </c>
      <c r="D9" s="358">
        <v>2314743</v>
      </c>
      <c r="E9" s="359">
        <f>D9</f>
        <v>2314743</v>
      </c>
      <c r="F9" s="359">
        <f>D9</f>
        <v>2314743</v>
      </c>
    </row>
    <row r="10" spans="3:6" x14ac:dyDescent="0.25">
      <c r="C10" s="344" t="s">
        <v>312</v>
      </c>
      <c r="D10" s="358">
        <v>2416098</v>
      </c>
      <c r="E10" s="359">
        <f>D10</f>
        <v>2416098</v>
      </c>
      <c r="F10" s="359">
        <f>D10</f>
        <v>2416098</v>
      </c>
    </row>
    <row r="11" spans="3:6" x14ac:dyDescent="0.25">
      <c r="C11" s="360" t="s">
        <v>145</v>
      </c>
      <c r="D11" s="361">
        <f>SUM(D5:D10)</f>
        <v>62599425</v>
      </c>
      <c r="E11" s="361">
        <f t="shared" ref="E11:F11" si="0">SUM(E5:E10)</f>
        <v>65729396.25</v>
      </c>
      <c r="F11" s="361">
        <f t="shared" si="0"/>
        <v>59469453.75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E7B00-43E8-4821-B118-BDD3B1A50B46}">
  <dimension ref="C4:Q36"/>
  <sheetViews>
    <sheetView showGridLines="0" workbookViewId="0">
      <selection activeCell="B2" sqref="B2:L21"/>
    </sheetView>
  </sheetViews>
  <sheetFormatPr defaultRowHeight="15" x14ac:dyDescent="0.25"/>
  <cols>
    <col min="3" max="3" width="22.42578125" bestFit="1" customWidth="1"/>
    <col min="4" max="4" width="12" bestFit="1" customWidth="1"/>
    <col min="6" max="6" width="15.7109375" bestFit="1" customWidth="1"/>
    <col min="7" max="7" width="10.140625" bestFit="1" customWidth="1"/>
    <col min="9" max="9" width="18.28515625" bestFit="1" customWidth="1"/>
    <col min="10" max="11" width="12" bestFit="1" customWidth="1"/>
    <col min="13" max="13" width="4.42578125" customWidth="1"/>
    <col min="17" max="17" width="12.5703125" bestFit="1" customWidth="1"/>
    <col min="18" max="18" width="4.42578125" customWidth="1"/>
  </cols>
  <sheetData>
    <row r="4" spans="3:17" x14ac:dyDescent="0.25">
      <c r="C4" s="362" t="s">
        <v>138</v>
      </c>
      <c r="D4" s="362"/>
      <c r="F4" s="362" t="s">
        <v>139</v>
      </c>
      <c r="G4" s="362"/>
      <c r="I4" s="362" t="s">
        <v>157</v>
      </c>
      <c r="J4" s="362"/>
      <c r="K4" s="362"/>
    </row>
    <row r="5" spans="3:17" x14ac:dyDescent="0.25">
      <c r="C5" t="s">
        <v>0</v>
      </c>
      <c r="D5" t="s">
        <v>136</v>
      </c>
      <c r="F5" t="s">
        <v>14</v>
      </c>
      <c r="I5" t="s">
        <v>158</v>
      </c>
      <c r="K5" s="367">
        <v>4.2500000000000003E-2</v>
      </c>
    </row>
    <row r="6" spans="3:17" x14ac:dyDescent="0.25">
      <c r="C6" t="s">
        <v>1</v>
      </c>
      <c r="D6" t="s">
        <v>137</v>
      </c>
      <c r="F6" t="s">
        <v>15</v>
      </c>
      <c r="G6" s="364">
        <v>40600000</v>
      </c>
      <c r="I6" t="s">
        <v>159</v>
      </c>
      <c r="K6" s="297">
        <v>0.02</v>
      </c>
    </row>
    <row r="7" spans="3:17" x14ac:dyDescent="0.25">
      <c r="C7" t="s">
        <v>2</v>
      </c>
      <c r="D7" s="364">
        <v>189</v>
      </c>
      <c r="F7" t="s">
        <v>16</v>
      </c>
      <c r="G7" s="364">
        <v>21999425</v>
      </c>
    </row>
    <row r="8" spans="3:17" x14ac:dyDescent="0.25">
      <c r="C8" t="s">
        <v>3</v>
      </c>
      <c r="D8" s="364">
        <v>1116.0952380952381</v>
      </c>
      <c r="F8" s="5" t="s">
        <v>17</v>
      </c>
      <c r="G8" s="368">
        <v>62599425</v>
      </c>
      <c r="I8" s="362" t="s">
        <v>282</v>
      </c>
      <c r="J8" s="362"/>
      <c r="K8" s="362"/>
      <c r="N8" s="362" t="s">
        <v>90</v>
      </c>
      <c r="O8" s="362"/>
      <c r="P8" s="362"/>
      <c r="Q8" s="362"/>
    </row>
    <row r="9" spans="3:17" x14ac:dyDescent="0.25">
      <c r="C9" t="s">
        <v>4</v>
      </c>
      <c r="D9" s="364">
        <v>210942</v>
      </c>
      <c r="G9" s="364"/>
      <c r="J9" s="369" t="s">
        <v>168</v>
      </c>
      <c r="K9" s="369" t="s">
        <v>173</v>
      </c>
      <c r="N9" t="s">
        <v>336</v>
      </c>
      <c r="Q9" s="335">
        <v>0.65</v>
      </c>
    </row>
    <row r="10" spans="3:17" x14ac:dyDescent="0.25">
      <c r="C10" t="s">
        <v>5</v>
      </c>
      <c r="D10" s="364">
        <v>343688.39999999997</v>
      </c>
      <c r="F10" t="s">
        <v>18</v>
      </c>
      <c r="G10" s="364"/>
      <c r="I10" t="s">
        <v>16</v>
      </c>
      <c r="J10" s="364">
        <v>62599425</v>
      </c>
      <c r="K10" s="364">
        <v>21999425</v>
      </c>
      <c r="N10" t="s">
        <v>235</v>
      </c>
      <c r="Q10" s="364">
        <f>Debt!C16</f>
        <v>40975000</v>
      </c>
    </row>
    <row r="11" spans="3:17" x14ac:dyDescent="0.25">
      <c r="D11" s="364"/>
      <c r="F11" t="s">
        <v>19</v>
      </c>
      <c r="G11" s="364">
        <v>1501918.308</v>
      </c>
      <c r="I11" t="s">
        <v>283</v>
      </c>
      <c r="J11" s="364">
        <f>'Cash Flow'!J11</f>
        <v>30995104.889635064</v>
      </c>
      <c r="K11" s="364">
        <f>'Cash Flow'!K11</f>
        <v>18307208.448175136</v>
      </c>
      <c r="N11" t="s">
        <v>236</v>
      </c>
      <c r="Q11" s="378">
        <f>Debt!C17</f>
        <v>0.08</v>
      </c>
    </row>
    <row r="12" spans="3:17" x14ac:dyDescent="0.25">
      <c r="C12" t="s">
        <v>6</v>
      </c>
      <c r="D12" s="364">
        <v>57998547.399498746</v>
      </c>
      <c r="F12" t="s">
        <v>20</v>
      </c>
      <c r="G12" s="364">
        <v>48082475.227499999</v>
      </c>
      <c r="I12" t="s">
        <v>269</v>
      </c>
      <c r="J12" s="367">
        <f>'Cash Flow'!J12</f>
        <v>7.9767057654526186E-2</v>
      </c>
      <c r="K12" s="367">
        <f>'Cash Flow'!K12</f>
        <v>8.5687529353893011E-2</v>
      </c>
      <c r="N12" t="s">
        <v>237</v>
      </c>
      <c r="Q12" s="364">
        <f>Debt!C18</f>
        <v>3</v>
      </c>
    </row>
    <row r="13" spans="3:17" x14ac:dyDescent="0.25">
      <c r="C13" t="s">
        <v>7</v>
      </c>
      <c r="D13" s="364">
        <v>306870.62116136902</v>
      </c>
      <c r="F13" t="s">
        <v>21</v>
      </c>
      <c r="G13" s="364">
        <v>7799663.3534074174</v>
      </c>
      <c r="I13" t="s">
        <v>284</v>
      </c>
      <c r="J13" s="390">
        <f>'Cash Flow'!J13</f>
        <v>1.4885104706574972</v>
      </c>
      <c r="K13" s="390">
        <f>'Cash Flow'!K13</f>
        <v>1.8146243990196111</v>
      </c>
    </row>
    <row r="14" spans="3:17" x14ac:dyDescent="0.25">
      <c r="C14" t="s">
        <v>8</v>
      </c>
      <c r="D14" s="364">
        <v>274.95021095608627</v>
      </c>
      <c r="F14" t="s">
        <v>22</v>
      </c>
      <c r="G14" s="364">
        <v>484527.01040073112</v>
      </c>
      <c r="N14" s="362" t="s">
        <v>337</v>
      </c>
      <c r="O14" s="362"/>
      <c r="P14" s="362"/>
      <c r="Q14" s="362"/>
    </row>
    <row r="15" spans="3:17" x14ac:dyDescent="0.25">
      <c r="D15" s="364"/>
      <c r="F15" t="s">
        <v>23</v>
      </c>
      <c r="G15" s="364">
        <v>2314743.3559723264</v>
      </c>
      <c r="I15" s="362" t="s">
        <v>317</v>
      </c>
      <c r="J15" s="362"/>
      <c r="K15" s="362"/>
      <c r="N15" t="s">
        <v>338</v>
      </c>
      <c r="Q15" s="335">
        <f>Debt!C29</f>
        <v>0.65</v>
      </c>
    </row>
    <row r="16" spans="3:17" x14ac:dyDescent="0.25">
      <c r="D16" s="364"/>
      <c r="F16" t="s">
        <v>24</v>
      </c>
      <c r="G16" s="364">
        <v>2416097.7447195239</v>
      </c>
      <c r="I16" t="s">
        <v>318</v>
      </c>
      <c r="K16" s="364">
        <f>SUM('Waterfall (Single)'!F36:L36)</f>
        <v>16934167.814561993</v>
      </c>
      <c r="N16" t="s">
        <v>243</v>
      </c>
      <c r="Q16" s="335">
        <f>Debt!C30</f>
        <v>1.25</v>
      </c>
    </row>
    <row r="17" spans="3:17" x14ac:dyDescent="0.25">
      <c r="C17" t="s">
        <v>9</v>
      </c>
      <c r="D17" s="364">
        <v>90585673</v>
      </c>
      <c r="F17" s="5" t="s">
        <v>25</v>
      </c>
      <c r="G17" s="368">
        <v>62599425</v>
      </c>
      <c r="I17" t="s">
        <v>319</v>
      </c>
      <c r="K17" s="364">
        <f>SUM('Waterfall (Single)'!F43:L43)</f>
        <v>1373040.6336131347</v>
      </c>
      <c r="N17" t="s">
        <v>244</v>
      </c>
      <c r="Q17" s="364">
        <f>Debt!C31</f>
        <v>53290484.221450821</v>
      </c>
    </row>
    <row r="18" spans="3:17" x14ac:dyDescent="0.25">
      <c r="C18" t="s">
        <v>10</v>
      </c>
      <c r="D18" s="364">
        <f>'Cash Flow'!C17</f>
        <v>433784.97534758499</v>
      </c>
      <c r="I18" t="s">
        <v>320</v>
      </c>
      <c r="K18" s="364">
        <f>SUM('Waterfall (Double)'!F49:L49)</f>
        <v>16071826.558402538</v>
      </c>
      <c r="N18" t="s">
        <v>245</v>
      </c>
      <c r="Q18" s="364">
        <f>Debt!C32</f>
        <v>32858754.604358595</v>
      </c>
    </row>
    <row r="19" spans="3:17" x14ac:dyDescent="0.25">
      <c r="C19" t="s">
        <v>11</v>
      </c>
      <c r="D19" s="364">
        <f>'Cash Flow'!C18</f>
        <v>381.62901056972294</v>
      </c>
      <c r="I19" t="s">
        <v>321</v>
      </c>
      <c r="K19" s="364">
        <f>SUM('Waterfall (Double)'!F57:L57)</f>
        <v>2235381.8897725982</v>
      </c>
      <c r="N19" t="s">
        <v>235</v>
      </c>
      <c r="Q19" s="364">
        <f>Debt!C33</f>
        <v>32860000</v>
      </c>
    </row>
    <row r="20" spans="3:17" x14ac:dyDescent="0.25">
      <c r="N20" t="s">
        <v>236</v>
      </c>
      <c r="Q20" s="288">
        <f>Debt!C34</f>
        <v>6.5000000000000002E-2</v>
      </c>
    </row>
    <row r="21" spans="3:17" x14ac:dyDescent="0.25">
      <c r="N21" t="s">
        <v>237</v>
      </c>
      <c r="Q21" s="364">
        <f>Debt!C35</f>
        <v>5</v>
      </c>
    </row>
    <row r="22" spans="3:17" x14ac:dyDescent="0.25">
      <c r="N22" t="s">
        <v>339</v>
      </c>
      <c r="Q22" s="364">
        <f>Debt!C36</f>
        <v>30</v>
      </c>
    </row>
    <row r="23" spans="3:17" x14ac:dyDescent="0.25">
      <c r="N23" t="s">
        <v>340</v>
      </c>
      <c r="Q23" s="364">
        <f>Debt!C37</f>
        <v>2</v>
      </c>
    </row>
    <row r="28" spans="3:17" x14ac:dyDescent="0.25">
      <c r="G28">
        <f>0.15*'Cash Flow'!G6/'Cash Flow'!G8+0.065*'Cash Flow'!G7/'Cash Flow'!G8</f>
        <v>0.1198932133493181</v>
      </c>
    </row>
    <row r="33" spans="4:8" x14ac:dyDescent="0.25">
      <c r="D33" t="s">
        <v>322</v>
      </c>
    </row>
    <row r="35" spans="4:8" x14ac:dyDescent="0.25">
      <c r="D35" t="s">
        <v>323</v>
      </c>
      <c r="H35" t="s">
        <v>325</v>
      </c>
    </row>
    <row r="36" spans="4:8" x14ac:dyDescent="0.25">
      <c r="D36" t="s">
        <v>324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ABED8-666D-480D-AB87-57A26EDA6954}">
  <dimension ref="F3:H37"/>
  <sheetViews>
    <sheetView showGridLines="0" workbookViewId="0">
      <selection activeCell="E1" sqref="E1:I40"/>
    </sheetView>
  </sheetViews>
  <sheetFormatPr defaultRowHeight="15" x14ac:dyDescent="0.25"/>
  <cols>
    <col min="8" max="8" width="10.140625" bestFit="1" customWidth="1"/>
  </cols>
  <sheetData>
    <row r="3" spans="6:8" x14ac:dyDescent="0.25">
      <c r="F3" s="388" t="s">
        <v>341</v>
      </c>
      <c r="G3" s="388"/>
      <c r="H3" s="388"/>
    </row>
    <row r="4" spans="6:8" x14ac:dyDescent="0.25">
      <c r="F4" t="s">
        <v>314</v>
      </c>
      <c r="H4">
        <v>31</v>
      </c>
    </row>
    <row r="5" spans="6:8" x14ac:dyDescent="0.25">
      <c r="F5" t="s">
        <v>315</v>
      </c>
      <c r="H5">
        <v>134</v>
      </c>
    </row>
    <row r="6" spans="6:8" x14ac:dyDescent="0.25">
      <c r="F6" t="s">
        <v>316</v>
      </c>
      <c r="H6">
        <v>24</v>
      </c>
    </row>
    <row r="7" spans="6:8" x14ac:dyDescent="0.25">
      <c r="F7" t="s">
        <v>342</v>
      </c>
      <c r="H7" s="389">
        <v>1.5</v>
      </c>
    </row>
    <row r="8" spans="6:8" x14ac:dyDescent="0.25">
      <c r="F8" t="s">
        <v>343</v>
      </c>
      <c r="H8" s="364">
        <v>62599425</v>
      </c>
    </row>
    <row r="9" spans="6:8" x14ac:dyDescent="0.25">
      <c r="F9" t="s">
        <v>297</v>
      </c>
      <c r="H9" s="288">
        <v>8.1199999999999994E-2</v>
      </c>
    </row>
    <row r="10" spans="6:8" x14ac:dyDescent="0.25">
      <c r="F10" t="s">
        <v>344</v>
      </c>
      <c r="H10">
        <v>1.77</v>
      </c>
    </row>
    <row r="12" spans="6:8" x14ac:dyDescent="0.25">
      <c r="F12" s="388" t="s">
        <v>345</v>
      </c>
      <c r="G12" s="388"/>
      <c r="H12" s="388"/>
    </row>
    <row r="13" spans="6:8" x14ac:dyDescent="0.25">
      <c r="F13" t="s">
        <v>314</v>
      </c>
      <c r="H13">
        <v>31</v>
      </c>
    </row>
    <row r="14" spans="6:8" x14ac:dyDescent="0.25">
      <c r="F14" t="s">
        <v>315</v>
      </c>
      <c r="H14">
        <v>134</v>
      </c>
    </row>
    <row r="15" spans="6:8" x14ac:dyDescent="0.25">
      <c r="F15" t="s">
        <v>316</v>
      </c>
      <c r="H15">
        <v>24</v>
      </c>
    </row>
    <row r="16" spans="6:8" x14ac:dyDescent="0.25">
      <c r="F16" t="s">
        <v>342</v>
      </c>
      <c r="H16" s="389">
        <v>1.5</v>
      </c>
    </row>
    <row r="17" spans="6:8" x14ac:dyDescent="0.25">
      <c r="F17" t="s">
        <v>343</v>
      </c>
      <c r="H17" s="364">
        <v>59469454</v>
      </c>
    </row>
    <row r="18" spans="6:8" x14ac:dyDescent="0.25">
      <c r="F18" t="s">
        <v>297</v>
      </c>
      <c r="H18" s="288">
        <v>0.10199999999999999</v>
      </c>
    </row>
    <row r="19" spans="6:8" x14ac:dyDescent="0.25">
      <c r="F19" t="s">
        <v>344</v>
      </c>
      <c r="H19">
        <v>2.0499999999999998</v>
      </c>
    </row>
    <row r="21" spans="6:8" x14ac:dyDescent="0.25">
      <c r="F21" s="388" t="s">
        <v>346</v>
      </c>
      <c r="G21" s="388"/>
      <c r="H21" s="388"/>
    </row>
    <row r="22" spans="6:8" x14ac:dyDescent="0.25">
      <c r="F22" t="s">
        <v>314</v>
      </c>
      <c r="H22">
        <v>31</v>
      </c>
    </row>
    <row r="23" spans="6:8" x14ac:dyDescent="0.25">
      <c r="F23" t="s">
        <v>315</v>
      </c>
      <c r="H23">
        <v>134</v>
      </c>
    </row>
    <row r="24" spans="6:8" x14ac:dyDescent="0.25">
      <c r="F24" t="s">
        <v>316</v>
      </c>
      <c r="H24">
        <v>24</v>
      </c>
    </row>
    <row r="25" spans="6:8" x14ac:dyDescent="0.25">
      <c r="F25" t="s">
        <v>342</v>
      </c>
      <c r="H25" s="389">
        <v>1.59</v>
      </c>
    </row>
    <row r="26" spans="6:8" x14ac:dyDescent="0.25">
      <c r="F26" t="s">
        <v>343</v>
      </c>
      <c r="H26" s="364">
        <v>62599425</v>
      </c>
    </row>
    <row r="27" spans="6:8" x14ac:dyDescent="0.25">
      <c r="F27" t="s">
        <v>297</v>
      </c>
      <c r="H27" s="288">
        <v>0.13070000000000001</v>
      </c>
    </row>
    <row r="28" spans="6:8" x14ac:dyDescent="0.25">
      <c r="F28" t="s">
        <v>344</v>
      </c>
      <c r="H28">
        <v>2.27</v>
      </c>
    </row>
    <row r="30" spans="6:8" x14ac:dyDescent="0.25">
      <c r="F30" s="388" t="s">
        <v>347</v>
      </c>
      <c r="G30" s="388"/>
      <c r="H30" s="388"/>
    </row>
    <row r="31" spans="6:8" x14ac:dyDescent="0.25">
      <c r="F31" t="s">
        <v>314</v>
      </c>
      <c r="H31">
        <v>31</v>
      </c>
    </row>
    <row r="32" spans="6:8" x14ac:dyDescent="0.25">
      <c r="F32" t="s">
        <v>315</v>
      </c>
      <c r="H32">
        <v>134</v>
      </c>
    </row>
    <row r="33" spans="6:8" x14ac:dyDescent="0.25">
      <c r="F33" t="s">
        <v>316</v>
      </c>
      <c r="H33">
        <v>24</v>
      </c>
    </row>
    <row r="34" spans="6:8" x14ac:dyDescent="0.25">
      <c r="F34" t="s">
        <v>342</v>
      </c>
      <c r="H34" s="389">
        <v>1.59</v>
      </c>
    </row>
    <row r="35" spans="6:8" x14ac:dyDescent="0.25">
      <c r="F35" t="s">
        <v>343</v>
      </c>
      <c r="H35" s="364">
        <v>59469454</v>
      </c>
    </row>
    <row r="36" spans="6:8" x14ac:dyDescent="0.25">
      <c r="F36" t="s">
        <v>297</v>
      </c>
      <c r="H36" s="288">
        <v>0.15509999999999999</v>
      </c>
    </row>
    <row r="37" spans="6:8" x14ac:dyDescent="0.25">
      <c r="F37" t="s">
        <v>344</v>
      </c>
      <c r="H37">
        <v>2.64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DB05B-CF70-41A7-A38E-0F234873FDF6}">
  <dimension ref="D4:AB12"/>
  <sheetViews>
    <sheetView showGridLines="0" workbookViewId="0">
      <selection activeCell="AC6" activeCellId="1" sqref="I9:AC12 AC6"/>
    </sheetView>
  </sheetViews>
  <sheetFormatPr defaultRowHeight="15" x14ac:dyDescent="0.25"/>
  <cols>
    <col min="11" max="11" width="2" bestFit="1" customWidth="1"/>
    <col min="12" max="12" width="3.28515625" bestFit="1" customWidth="1"/>
    <col min="13" max="13" width="2.140625" bestFit="1" customWidth="1"/>
    <col min="14" max="14" width="12.140625" bestFit="1" customWidth="1"/>
    <col min="15" max="15" width="2.7109375" bestFit="1" customWidth="1"/>
    <col min="16" max="16" width="3.28515625" bestFit="1" customWidth="1"/>
    <col min="17" max="17" width="2.140625" bestFit="1" customWidth="1"/>
    <col min="18" max="18" width="12.140625" bestFit="1" customWidth="1"/>
    <col min="19" max="19" width="2" bestFit="1" customWidth="1"/>
    <col min="20" max="20" width="6.5703125" bestFit="1" customWidth="1"/>
    <col min="21" max="21" width="2.140625" bestFit="1" customWidth="1"/>
    <col min="22" max="22" width="11.5703125" bestFit="1" customWidth="1"/>
    <col min="23" max="23" width="2.7109375" bestFit="1" customWidth="1"/>
    <col min="24" max="24" width="7.28515625" bestFit="1" customWidth="1"/>
    <col min="25" max="25" width="2.140625" bestFit="1" customWidth="1"/>
    <col min="26" max="26" width="11.5703125" bestFit="1" customWidth="1"/>
    <col min="27" max="27" width="3" bestFit="1" customWidth="1"/>
    <col min="28" max="28" width="10.42578125" bestFit="1" customWidth="1"/>
  </cols>
  <sheetData>
    <row r="4" spans="4:28" x14ac:dyDescent="0.25">
      <c r="I4">
        <f>0.1*V10/V11+X10*Z10/Z11</f>
        <v>7.7396912150280772E-2</v>
      </c>
    </row>
    <row r="9" spans="4:28" x14ac:dyDescent="0.25">
      <c r="D9" t="s">
        <v>322</v>
      </c>
    </row>
    <row r="10" spans="4:28" ht="15" customHeight="1" x14ac:dyDescent="0.25">
      <c r="J10" s="381" t="s">
        <v>326</v>
      </c>
      <c r="K10" s="380" t="s">
        <v>327</v>
      </c>
      <c r="L10" s="379" t="s">
        <v>330</v>
      </c>
      <c r="M10" s="379" t="s">
        <v>328</v>
      </c>
      <c r="N10" s="42" t="s">
        <v>16</v>
      </c>
      <c r="O10" s="382" t="s">
        <v>331</v>
      </c>
      <c r="P10" s="379" t="s">
        <v>332</v>
      </c>
      <c r="Q10" s="379" t="s">
        <v>328</v>
      </c>
      <c r="R10" s="42" t="s">
        <v>333</v>
      </c>
      <c r="S10" s="382" t="s">
        <v>327</v>
      </c>
      <c r="T10" s="385">
        <v>0.1</v>
      </c>
      <c r="U10" s="379" t="s">
        <v>328</v>
      </c>
      <c r="V10" s="370">
        <f>'Cash Flow'!G7</f>
        <v>22473189.448054336</v>
      </c>
      <c r="W10" s="382" t="s">
        <v>331</v>
      </c>
      <c r="X10" s="386">
        <v>6.5000000000000002E-2</v>
      </c>
      <c r="Y10" s="379" t="s">
        <v>328</v>
      </c>
      <c r="Z10" s="370">
        <f>'Cash Flow'!G6</f>
        <v>40975000</v>
      </c>
      <c r="AA10" s="382" t="s">
        <v>327</v>
      </c>
      <c r="AB10" s="384">
        <f>I4</f>
        <v>7.7396912150280772E-2</v>
      </c>
    </row>
    <row r="11" spans="4:28" ht="15" customHeight="1" x14ac:dyDescent="0.25">
      <c r="D11" t="s">
        <v>323</v>
      </c>
      <c r="J11" s="381"/>
      <c r="K11" s="380"/>
      <c r="L11" s="379"/>
      <c r="M11" s="379"/>
      <c r="N11" s="371" t="s">
        <v>329</v>
      </c>
      <c r="O11" s="383"/>
      <c r="P11" s="379"/>
      <c r="Q11" s="379"/>
      <c r="R11" s="371" t="s">
        <v>329</v>
      </c>
      <c r="S11" s="383"/>
      <c r="T11" s="381"/>
      <c r="U11" s="379"/>
      <c r="V11" s="372">
        <f>'Cash Flow'!G8</f>
        <v>63448189.448054336</v>
      </c>
      <c r="W11" s="383"/>
      <c r="X11" s="386"/>
      <c r="Y11" s="379"/>
      <c r="Z11" s="372">
        <f>'Cash Flow'!G8</f>
        <v>63448189.448054336</v>
      </c>
      <c r="AA11" s="383"/>
      <c r="AB11" s="384"/>
    </row>
    <row r="12" spans="4:28" x14ac:dyDescent="0.25">
      <c r="D12" t="s">
        <v>324</v>
      </c>
    </row>
  </sheetData>
  <mergeCells count="15">
    <mergeCell ref="AA10:AA11"/>
    <mergeCell ref="AB10:AB11"/>
    <mergeCell ref="Q10:Q11"/>
    <mergeCell ref="S10:S11"/>
    <mergeCell ref="T10:T11"/>
    <mergeCell ref="U10:U11"/>
    <mergeCell ref="W10:W11"/>
    <mergeCell ref="Y10:Y11"/>
    <mergeCell ref="X10:X11"/>
    <mergeCell ref="P10:P11"/>
    <mergeCell ref="K10:K11"/>
    <mergeCell ref="J10:J11"/>
    <mergeCell ref="M10:M11"/>
    <mergeCell ref="L10:L11"/>
    <mergeCell ref="O10:O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Scenarios</vt:lpstr>
      <vt:lpstr>KPIs</vt:lpstr>
      <vt:lpstr>YOC</vt:lpstr>
      <vt:lpstr>Cash Flow</vt:lpstr>
      <vt:lpstr>Development</vt:lpstr>
      <vt:lpstr>Operations</vt:lpstr>
      <vt:lpstr>Debt</vt:lpstr>
      <vt:lpstr>Waterfall (Single)</vt:lpstr>
      <vt:lpstr>Waterfall (Double)</vt:lpstr>
      <vt:lpstr>Sheet2</vt:lpstr>
      <vt:lpstr>Sheet3</vt:lpstr>
      <vt:lpstr>Sheet1</vt:lpstr>
      <vt:lpstr>Sheet4</vt:lpstr>
      <vt:lpstr>ScenarioColumn</vt:lpstr>
      <vt:lpstr>ScenarioRow</vt:lpstr>
      <vt:lpstr>ScenarioTable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Trotter</dc:creator>
  <cp:lastModifiedBy>Tony Trotter</cp:lastModifiedBy>
  <cp:lastPrinted>2022-10-14T04:24:05Z</cp:lastPrinted>
  <dcterms:created xsi:type="dcterms:W3CDTF">2022-10-05T17:30:30Z</dcterms:created>
  <dcterms:modified xsi:type="dcterms:W3CDTF">2022-12-11T02:05:10Z</dcterms:modified>
</cp:coreProperties>
</file>