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ony Trotter\Desktop\Investment and Portfolio Management\"/>
    </mc:Choice>
  </mc:AlternateContent>
  <xr:revisionPtr revIDLastSave="0" documentId="13_ncr:1_{90C81865-13BA-4C82-BF77-616DFC9DE8D8}" xr6:coauthVersionLast="47" xr6:coauthVersionMax="47" xr10:uidLastSave="{00000000-0000-0000-0000-000000000000}"/>
  <bookViews>
    <workbookView xWindow="-120" yWindow="-120" windowWidth="20730" windowHeight="11160" xr2:uid="{777AA4B7-CFAA-4407-9C77-D743B7DD243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" l="1"/>
  <c r="K8" i="1"/>
  <c r="K9" i="1"/>
  <c r="K10" i="1"/>
  <c r="K11" i="1"/>
  <c r="K12" i="1"/>
  <c r="K6" i="1"/>
  <c r="K5" i="1"/>
  <c r="I15" i="1"/>
  <c r="G9" i="1"/>
  <c r="H9" i="1" s="1"/>
  <c r="G6" i="1"/>
  <c r="H6" i="1"/>
  <c r="I7" i="1"/>
  <c r="I10" i="1"/>
  <c r="J11" i="1"/>
  <c r="I12" i="1"/>
  <c r="H8" i="1"/>
  <c r="J8" i="1" s="1"/>
  <c r="H10" i="1"/>
  <c r="J10" i="1" s="1"/>
  <c r="H11" i="1"/>
  <c r="I11" i="1" s="1"/>
  <c r="H12" i="1"/>
  <c r="J12" i="1" s="1"/>
  <c r="H5" i="1"/>
  <c r="J5" i="1" s="1"/>
  <c r="H7" i="1"/>
  <c r="J7" i="1" s="1"/>
  <c r="I5" i="1" l="1"/>
  <c r="I8" i="1"/>
  <c r="I6" i="1"/>
  <c r="J9" i="1"/>
  <c r="I9" i="1"/>
  <c r="J6" i="1"/>
</calcChain>
</file>

<file path=xl/sharedStrings.xml><?xml version="1.0" encoding="utf-8"?>
<sst xmlns="http://schemas.openxmlformats.org/spreadsheetml/2006/main" count="11" uniqueCount="10">
  <si>
    <t>S</t>
  </si>
  <si>
    <t>B</t>
  </si>
  <si>
    <t>R</t>
  </si>
  <si>
    <t>σ</t>
  </si>
  <si>
    <t>s</t>
  </si>
  <si>
    <t>b</t>
  </si>
  <si>
    <t>r</t>
  </si>
  <si>
    <t>rf</t>
  </si>
  <si>
    <t>Ρ</t>
  </si>
  <si>
    <t>CML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</si>
</sst>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5" fontId="0" fillId="0" borderId="0" xfId="0" applyNumberFormat="1"/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Optimization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45603674540683"/>
          <c:y val="0.17171296296296296"/>
          <c:w val="0.55455621172353453"/>
          <c:h val="0.60010061242344703"/>
        </c:manualLayout>
      </c:layout>
      <c:scatterChart>
        <c:scatterStyle val="lineMarker"/>
        <c:varyColors val="0"/>
        <c:ser>
          <c:idx val="0"/>
          <c:order val="0"/>
          <c:tx>
            <c:v>Opportunity Set of Risky Assets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0.17499999999999996"/>
                  <c:y val="0.1712962962962963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Minimum Variance Portfolio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511-42F5-9389-3D3F7A4AF78C}"/>
                </c:ext>
              </c:extLst>
            </c:dLbl>
            <c:dLbl>
              <c:idx val="3"/>
              <c:layout>
                <c:manualLayout>
                  <c:x val="-0.11666666666666667"/>
                  <c:y val="-0.1527777777777778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Optimal Portfolio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511-42F5-9389-3D3F7A4AF7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Sheet1!$J$5:$J$12</c:f>
              <c:numCache>
                <c:formatCode>General</c:formatCode>
                <c:ptCount val="8"/>
                <c:pt idx="0">
                  <c:v>15</c:v>
                </c:pt>
                <c:pt idx="1">
                  <c:v>13.917458538609447</c:v>
                </c:pt>
                <c:pt idx="2">
                  <c:v>13.942740046346701</c:v>
                </c:pt>
                <c:pt idx="3">
                  <c:v>15.703502793962882</c:v>
                </c:pt>
                <c:pt idx="4">
                  <c:v>16.538197202275491</c:v>
                </c:pt>
                <c:pt idx="5">
                  <c:v>19.534584715319649</c:v>
                </c:pt>
                <c:pt idx="6">
                  <c:v>24.482646915723802</c:v>
                </c:pt>
                <c:pt idx="7">
                  <c:v>30</c:v>
                </c:pt>
              </c:numCache>
            </c:numRef>
          </c:xVal>
          <c:yVal>
            <c:numRef>
              <c:f>Sheet1!$I$5:$I$12</c:f>
              <c:numCache>
                <c:formatCode>General</c:formatCode>
                <c:ptCount val="8"/>
                <c:pt idx="0">
                  <c:v>0.12</c:v>
                </c:pt>
                <c:pt idx="1">
                  <c:v>0.13391304347826086</c:v>
                </c:pt>
                <c:pt idx="2">
                  <c:v>0.13600000000000001</c:v>
                </c:pt>
                <c:pt idx="3">
                  <c:v>0.15200000000000002</c:v>
                </c:pt>
                <c:pt idx="4">
                  <c:v>0.15612903225806452</c:v>
                </c:pt>
                <c:pt idx="5">
                  <c:v>0.16799999999999998</c:v>
                </c:pt>
                <c:pt idx="6">
                  <c:v>0.18400000000000002</c:v>
                </c:pt>
                <c:pt idx="7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511-42F5-9389-3D3F7A4AF78C}"/>
            </c:ext>
          </c:extLst>
        </c:ser>
        <c:ser>
          <c:idx val="1"/>
          <c:order val="1"/>
          <c:tx>
            <c:v>Capital Allocation 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Sheet1!$E$14:$E$21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</c:numCache>
            </c:numRef>
          </c:xVal>
          <c:yVal>
            <c:numRef>
              <c:f>Sheet1!$K$5:$K$12</c:f>
              <c:numCache>
                <c:formatCode>General</c:formatCode>
                <c:ptCount val="8"/>
                <c:pt idx="0">
                  <c:v>0.08</c:v>
                </c:pt>
                <c:pt idx="1">
                  <c:v>0.10301361313726255</c:v>
                </c:pt>
                <c:pt idx="2">
                  <c:v>0.12602722627452512</c:v>
                </c:pt>
                <c:pt idx="3">
                  <c:v>0.14904083941178764</c:v>
                </c:pt>
                <c:pt idx="4">
                  <c:v>0.17205445254905022</c:v>
                </c:pt>
                <c:pt idx="5">
                  <c:v>0.19506806568631274</c:v>
                </c:pt>
                <c:pt idx="6">
                  <c:v>0.21808167882357532</c:v>
                </c:pt>
                <c:pt idx="7">
                  <c:v>0.24109529196083784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511-42F5-9389-3D3F7A4AF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887352"/>
        <c:axId val="492888992"/>
      </c:scatterChart>
      <c:valAx>
        <c:axId val="49288735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8992"/>
        <c:crosses val="autoZero"/>
        <c:crossBetween val="midCat"/>
      </c:valAx>
      <c:valAx>
        <c:axId val="49288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7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3455818022746"/>
          <c:y val="0.23284594634004083"/>
          <c:w val="0.22720997375328084"/>
          <c:h val="0.45139107611548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3</xdr:row>
      <xdr:rowOff>76200</xdr:rowOff>
    </xdr:from>
    <xdr:to>
      <xdr:col>19</xdr:col>
      <xdr:colOff>66675</xdr:colOff>
      <xdr:row>17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FB73C5-9CE5-41AC-8DEC-3A59CD41C2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7518A-DF1A-4C6E-9A05-5D9FFF960440}">
  <dimension ref="C4:K21"/>
  <sheetViews>
    <sheetView tabSelected="1" workbookViewId="0">
      <selection activeCell="U15" sqref="U15"/>
    </sheetView>
  </sheetViews>
  <sheetFormatPr defaultRowHeight="15" x14ac:dyDescent="0.25"/>
  <cols>
    <col min="7" max="8" width="6.5703125" bestFit="1" customWidth="1"/>
  </cols>
  <sheetData>
    <row r="4" spans="3:11" x14ac:dyDescent="0.25">
      <c r="D4" s="1" t="s">
        <v>4</v>
      </c>
      <c r="E4" s="1" t="s">
        <v>5</v>
      </c>
      <c r="G4" s="1" t="s">
        <v>0</v>
      </c>
      <c r="H4" s="1" t="s">
        <v>1</v>
      </c>
      <c r="I4" s="1" t="s">
        <v>2</v>
      </c>
      <c r="J4" s="2" t="s">
        <v>3</v>
      </c>
      <c r="K4" s="2" t="s">
        <v>9</v>
      </c>
    </row>
    <row r="5" spans="3:11" x14ac:dyDescent="0.25">
      <c r="C5" t="s">
        <v>6</v>
      </c>
      <c r="D5" s="1">
        <v>0.2</v>
      </c>
      <c r="E5" s="1">
        <v>0.12</v>
      </c>
      <c r="G5" s="1">
        <v>0</v>
      </c>
      <c r="H5" s="1">
        <f>1-G5</f>
        <v>1</v>
      </c>
      <c r="I5" s="1">
        <f>G5*$D$5+H5*$E$5</f>
        <v>0.12</v>
      </c>
      <c r="J5" s="1">
        <f>(G5^2*$D$6^2+H5^2*$E$6^2+2*(G5)*(H5)*(0.1*$D$6*$E$6))^(1/2)</f>
        <v>15</v>
      </c>
      <c r="K5">
        <f>$I$15*E14+$D$7</f>
        <v>0.08</v>
      </c>
    </row>
    <row r="6" spans="3:11" x14ac:dyDescent="0.25">
      <c r="C6" s="3" t="s">
        <v>3</v>
      </c>
      <c r="D6" s="1">
        <v>30</v>
      </c>
      <c r="E6" s="1">
        <v>15</v>
      </c>
      <c r="G6" s="4">
        <f>($E$6^2-($D$8*$D$6*$E$6))/($D$6^2+$E$6^2-2*($D$8*$D$6*$E$6))</f>
        <v>0.17391304347826086</v>
      </c>
      <c r="H6" s="5">
        <f>1-G6</f>
        <v>0.82608695652173914</v>
      </c>
      <c r="I6" s="1">
        <f>G6*$D$5+H6*$E$5</f>
        <v>0.13391304347826086</v>
      </c>
      <c r="J6" s="1">
        <f>(G6^2*$D$6^2+H6^2*$E$6^2+2*(G6)*(H6)*(0.1*$D$6*$E$6))^(1/2)</f>
        <v>13.917458538609447</v>
      </c>
      <c r="K6">
        <f>$I$15*(E15/100)+$D$7</f>
        <v>0.10301361313726255</v>
      </c>
    </row>
    <row r="7" spans="3:11" x14ac:dyDescent="0.25">
      <c r="C7" t="s">
        <v>7</v>
      </c>
      <c r="D7" s="1">
        <v>0.08</v>
      </c>
      <c r="G7" s="1">
        <v>0.2</v>
      </c>
      <c r="H7" s="1">
        <f>1-G7</f>
        <v>0.8</v>
      </c>
      <c r="I7" s="1">
        <f>G7*$D$5+H7*$E$5</f>
        <v>0.13600000000000001</v>
      </c>
      <c r="J7" s="1">
        <f>(G7^2*$D$6^2+H7^2*$E$6^2+2*(G7)*(H7)*(0.1*$D$6*$E$6))^(1/2)</f>
        <v>13.942740046346701</v>
      </c>
      <c r="K7">
        <f t="shared" ref="K7:K12" si="0">$I$15*(E16/100)+$D$7</f>
        <v>0.12602722627452512</v>
      </c>
    </row>
    <row r="8" spans="3:11" x14ac:dyDescent="0.25">
      <c r="C8" s="3" t="s">
        <v>8</v>
      </c>
      <c r="D8" s="1">
        <v>0.1</v>
      </c>
      <c r="G8" s="1">
        <v>0.4</v>
      </c>
      <c r="H8" s="1">
        <f>1-G8</f>
        <v>0.6</v>
      </c>
      <c r="I8" s="1">
        <f>G8*$D$5+H8*$E$5</f>
        <v>0.15200000000000002</v>
      </c>
      <c r="J8" s="1">
        <f>(G8^2*$D$6^2+H8^2*$E$6^2+2*(G8)*(H8)*(0.1*$D$6*$E$6))^(1/2)</f>
        <v>15.703502793962882</v>
      </c>
      <c r="K8">
        <f t="shared" si="0"/>
        <v>0.14904083941178764</v>
      </c>
    </row>
    <row r="9" spans="3:11" x14ac:dyDescent="0.25">
      <c r="G9">
        <f>(($D$5-$D$7)*$E$6^2-($E$5-$D$7)*($D$8*$D$6*$E$6))/(($D$5-$D$7)*$E$6^2+($E$5-$D$7)*$D$6^2-($D$5-$D$7+$E$5-$D$7)*($D$8*$D$6*$E$6))</f>
        <v>0.45161290322580655</v>
      </c>
      <c r="H9" s="1">
        <f>1-G9</f>
        <v>0.54838709677419351</v>
      </c>
      <c r="I9" s="1">
        <f>G9*$D$5+H9*$E$5</f>
        <v>0.15612903225806452</v>
      </c>
      <c r="J9" s="1">
        <f>(G9^2*$D$6^2+H9^2*$E$6^2+2*(G9)*(H9)*(0.1*$D$6*$E$6))^(1/2)</f>
        <v>16.538197202275491</v>
      </c>
      <c r="K9">
        <f t="shared" si="0"/>
        <v>0.17205445254905022</v>
      </c>
    </row>
    <row r="10" spans="3:11" x14ac:dyDescent="0.25">
      <c r="G10" s="1">
        <v>0.6</v>
      </c>
      <c r="H10" s="1">
        <f>1-G10</f>
        <v>0.4</v>
      </c>
      <c r="I10" s="1">
        <f>G10*$D$5+H10*$E$5</f>
        <v>0.16799999999999998</v>
      </c>
      <c r="J10" s="1">
        <f>(G10^2*$D$6^2+H10^2*$E$6^2+2*(G10)*(H10)*(0.1*$D$6*$E$6))^(1/2)</f>
        <v>19.534584715319649</v>
      </c>
      <c r="K10">
        <f t="shared" si="0"/>
        <v>0.19506806568631274</v>
      </c>
    </row>
    <row r="11" spans="3:11" x14ac:dyDescent="0.25">
      <c r="G11" s="1">
        <v>0.8</v>
      </c>
      <c r="H11" s="1">
        <f>1-G11</f>
        <v>0.19999999999999996</v>
      </c>
      <c r="I11" s="1">
        <f>G11*$D$5+H11*$E$5</f>
        <v>0.18400000000000002</v>
      </c>
      <c r="J11" s="1">
        <f>(G11^2*$D$6^2+H11^2*$E$6^2+2*(G11)*(H11)*(0.1*$D$6*$E$6))^(1/2)</f>
        <v>24.482646915723802</v>
      </c>
      <c r="K11">
        <f t="shared" si="0"/>
        <v>0.21808167882357532</v>
      </c>
    </row>
    <row r="12" spans="3:11" x14ac:dyDescent="0.25">
      <c r="G12" s="1">
        <v>1</v>
      </c>
      <c r="H12" s="1">
        <f>1-G12</f>
        <v>0</v>
      </c>
      <c r="I12" s="1">
        <f>G12*$D$5+H12*$E$5</f>
        <v>0.2</v>
      </c>
      <c r="J12" s="1">
        <f>(G12^2*$D$6^2+H12^2*$E$6^2+2*(G12)*(H12)*(0.1*$D$6*$E$6))^(1/2)</f>
        <v>30</v>
      </c>
      <c r="K12">
        <f t="shared" si="0"/>
        <v>0.24109529196083784</v>
      </c>
    </row>
    <row r="14" spans="3:11" x14ac:dyDescent="0.25">
      <c r="E14">
        <v>0</v>
      </c>
    </row>
    <row r="15" spans="3:11" x14ac:dyDescent="0.25">
      <c r="E15">
        <v>5</v>
      </c>
      <c r="I15">
        <f>(I9-D7)/0.1654</f>
        <v>0.46027226274525102</v>
      </c>
    </row>
    <row r="16" spans="3:11" x14ac:dyDescent="0.25">
      <c r="E16">
        <v>10</v>
      </c>
    </row>
    <row r="17" spans="5:5" x14ac:dyDescent="0.25">
      <c r="E17">
        <v>15</v>
      </c>
    </row>
    <row r="18" spans="5:5" x14ac:dyDescent="0.25">
      <c r="E18">
        <v>20</v>
      </c>
    </row>
    <row r="19" spans="5:5" x14ac:dyDescent="0.25">
      <c r="E19">
        <v>25</v>
      </c>
    </row>
    <row r="20" spans="5:5" x14ac:dyDescent="0.25">
      <c r="E20">
        <v>30</v>
      </c>
    </row>
    <row r="21" spans="5:5" x14ac:dyDescent="0.25">
      <c r="E21">
        <v>35</v>
      </c>
    </row>
  </sheetData>
  <sortState xmlns:xlrd2="http://schemas.microsoft.com/office/spreadsheetml/2017/richdata2" ref="G5:J12">
    <sortCondition ref="G5:G1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Trotter</dc:creator>
  <cp:lastModifiedBy>Tony Trotter</cp:lastModifiedBy>
  <dcterms:created xsi:type="dcterms:W3CDTF">2021-11-17T04:22:42Z</dcterms:created>
  <dcterms:modified xsi:type="dcterms:W3CDTF">2021-11-17T15:10:20Z</dcterms:modified>
</cp:coreProperties>
</file>