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ony Trotter\Desktop\Financial Modeling\"/>
    </mc:Choice>
  </mc:AlternateContent>
  <xr:revisionPtr revIDLastSave="0" documentId="13_ncr:1_{9FBBADEF-98FF-4B8B-8673-C5799686085A}" xr6:coauthVersionLast="47" xr6:coauthVersionMax="47" xr10:uidLastSave="{00000000-0000-0000-0000-000000000000}"/>
  <bookViews>
    <workbookView xWindow="-120" yWindow="-120" windowWidth="20730" windowHeight="11160" xr2:uid="{5D23D290-4690-4664-A958-9AAA6B6B738A}"/>
  </bookViews>
  <sheets>
    <sheet name="Summary" sheetId="3" r:id="rId1"/>
    <sheet name="ControlSheet" sheetId="1" r:id="rId2"/>
    <sheet name="SalesPivot" sheetId="5" r:id="rId3"/>
    <sheet name="SalesData" sheetId="2" r:id="rId4"/>
    <sheet name="CalendarLookup" sheetId="4" r:id="rId5"/>
  </sheets>
  <definedNames>
    <definedName name="CalLookUpColumn">CalendarLookup!$A$1:$D$1</definedName>
    <definedName name="CalLookUpRow">CalendarLookup!$A$1:$A$729</definedName>
    <definedName name="CalLookUpTable">CalendarLookup!$A$1:$D$729</definedName>
    <definedName name="NetSalesColumn">Summary!$C$12:$S$12</definedName>
    <definedName name="NetSalesPriorYear">Summary!$C$20:$S$25</definedName>
    <definedName name="NetSalesPriorYearColumn">Summary!$C$20:$S$20</definedName>
    <definedName name="NetSalesPriorYearRow">Summary!$C$20:$C$25</definedName>
    <definedName name="NetSalesRow">Summary!$C$12:$C$17</definedName>
    <definedName name="NetSalesTable">Summary!$C$12:$S$17</definedName>
    <definedName name="SegmentList">ControlSheet!$D$1:$D$5</definedName>
    <definedName name="StoreList">ControlSheet!$B$1:$B$3</definedName>
    <definedName name="StoreLookup">ControlSheet!$A$1:$B$3</definedName>
  </definedNames>
  <calcPr calcId="191029" concurrentCalc="0"/>
  <pivotCaches>
    <pivotCache cacheId="9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9" i="3" l="1"/>
  <c r="E29" i="3"/>
  <c r="C30" i="3"/>
  <c r="E30" i="3"/>
  <c r="E31" i="3"/>
  <c r="F29" i="3"/>
  <c r="F30" i="3"/>
  <c r="F31" i="3"/>
  <c r="G29" i="3"/>
  <c r="G30" i="3"/>
  <c r="G31" i="3"/>
  <c r="H29" i="3"/>
  <c r="H30" i="3"/>
  <c r="H31" i="3"/>
  <c r="I29" i="3"/>
  <c r="I30" i="3"/>
  <c r="I31" i="3"/>
  <c r="J29" i="3"/>
  <c r="J30" i="3"/>
  <c r="J31" i="3"/>
  <c r="K29" i="3"/>
  <c r="K30" i="3"/>
  <c r="K31" i="3"/>
  <c r="L29" i="3"/>
  <c r="L30" i="3"/>
  <c r="L31" i="3"/>
  <c r="M29" i="3"/>
  <c r="M30" i="3"/>
  <c r="M31" i="3"/>
  <c r="N29" i="3"/>
  <c r="N30" i="3"/>
  <c r="N31" i="3"/>
  <c r="O29" i="3"/>
  <c r="O30" i="3"/>
  <c r="O31" i="3"/>
  <c r="P29" i="3"/>
  <c r="P30" i="3"/>
  <c r="P31" i="3"/>
  <c r="Q29" i="3"/>
  <c r="Q30" i="3"/>
  <c r="Q31" i="3"/>
  <c r="R29" i="3"/>
  <c r="R30" i="3"/>
  <c r="R31" i="3"/>
  <c r="S29" i="3"/>
  <c r="S30" i="3"/>
  <c r="S31" i="3"/>
  <c r="D29" i="3"/>
  <c r="D30" i="3"/>
  <c r="D31" i="3"/>
  <c r="C31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A29" i="3"/>
  <c r="A22" i="3"/>
  <c r="A23" i="3"/>
  <c r="A24" i="3"/>
  <c r="A21" i="3"/>
  <c r="A14" i="3"/>
  <c r="A15" i="3"/>
  <c r="A16" i="3"/>
  <c r="A13" i="3"/>
  <c r="S21" i="3"/>
  <c r="S22" i="3"/>
  <c r="S23" i="3"/>
  <c r="S24" i="3"/>
  <c r="S25" i="3"/>
  <c r="R21" i="3"/>
  <c r="R22" i="3"/>
  <c r="R23" i="3"/>
  <c r="R24" i="3"/>
  <c r="R25" i="3"/>
  <c r="Q21" i="3"/>
  <c r="Q22" i="3"/>
  <c r="Q23" i="3"/>
  <c r="Q24" i="3"/>
  <c r="Q25" i="3"/>
  <c r="P21" i="3"/>
  <c r="P22" i="3"/>
  <c r="P23" i="3"/>
  <c r="P24" i="3"/>
  <c r="P25" i="3"/>
  <c r="O21" i="3"/>
  <c r="O22" i="3"/>
  <c r="O23" i="3"/>
  <c r="O24" i="3"/>
  <c r="O25" i="3"/>
  <c r="N21" i="3"/>
  <c r="N22" i="3"/>
  <c r="N23" i="3"/>
  <c r="N24" i="3"/>
  <c r="N25" i="3"/>
  <c r="M21" i="3"/>
  <c r="M22" i="3"/>
  <c r="M23" i="3"/>
  <c r="M24" i="3"/>
  <c r="M25" i="3"/>
  <c r="L21" i="3"/>
  <c r="L22" i="3"/>
  <c r="L23" i="3"/>
  <c r="L24" i="3"/>
  <c r="L25" i="3"/>
  <c r="K21" i="3"/>
  <c r="K22" i="3"/>
  <c r="K23" i="3"/>
  <c r="K24" i="3"/>
  <c r="K25" i="3"/>
  <c r="J21" i="3"/>
  <c r="J22" i="3"/>
  <c r="J23" i="3"/>
  <c r="J24" i="3"/>
  <c r="J25" i="3"/>
  <c r="I21" i="3"/>
  <c r="I22" i="3"/>
  <c r="I23" i="3"/>
  <c r="I24" i="3"/>
  <c r="I25" i="3"/>
  <c r="H21" i="3"/>
  <c r="H22" i="3"/>
  <c r="H23" i="3"/>
  <c r="H24" i="3"/>
  <c r="H25" i="3"/>
  <c r="G21" i="3"/>
  <c r="G22" i="3"/>
  <c r="G23" i="3"/>
  <c r="G24" i="3"/>
  <c r="G25" i="3"/>
  <c r="F21" i="3"/>
  <c r="F22" i="3"/>
  <c r="F23" i="3"/>
  <c r="F24" i="3"/>
  <c r="F25" i="3"/>
  <c r="E21" i="3"/>
  <c r="E22" i="3"/>
  <c r="E23" i="3"/>
  <c r="E24" i="3"/>
  <c r="E25" i="3"/>
  <c r="D21" i="3"/>
  <c r="D22" i="3"/>
  <c r="D23" i="3"/>
  <c r="D24" i="3"/>
  <c r="D25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D13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D17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D12" i="3"/>
  <c r="I5785" i="2"/>
  <c r="H5785" i="2"/>
  <c r="G5785" i="2"/>
  <c r="I5784" i="2"/>
  <c r="H5784" i="2"/>
  <c r="G5784" i="2"/>
  <c r="I5783" i="2"/>
  <c r="H5783" i="2"/>
  <c r="G5783" i="2"/>
  <c r="I5782" i="2"/>
  <c r="H5782" i="2"/>
  <c r="G5782" i="2"/>
  <c r="I5781" i="2"/>
  <c r="H5781" i="2"/>
  <c r="G5781" i="2"/>
  <c r="I5780" i="2"/>
  <c r="H5780" i="2"/>
  <c r="G5780" i="2"/>
  <c r="I5779" i="2"/>
  <c r="H5779" i="2"/>
  <c r="G5779" i="2"/>
  <c r="I5778" i="2"/>
  <c r="H5778" i="2"/>
  <c r="G5778" i="2"/>
  <c r="I5777" i="2"/>
  <c r="H5777" i="2"/>
  <c r="G5777" i="2"/>
  <c r="I5776" i="2"/>
  <c r="H5776" i="2"/>
  <c r="G5776" i="2"/>
  <c r="I5775" i="2"/>
  <c r="H5775" i="2"/>
  <c r="G5775" i="2"/>
  <c r="I5774" i="2"/>
  <c r="H5774" i="2"/>
  <c r="G5774" i="2"/>
  <c r="I5773" i="2"/>
  <c r="H5773" i="2"/>
  <c r="G5773" i="2"/>
  <c r="I5772" i="2"/>
  <c r="H5772" i="2"/>
  <c r="G5772" i="2"/>
  <c r="I5771" i="2"/>
  <c r="H5771" i="2"/>
  <c r="G5771" i="2"/>
  <c r="I5770" i="2"/>
  <c r="H5770" i="2"/>
  <c r="G5770" i="2"/>
  <c r="I5769" i="2"/>
  <c r="H5769" i="2"/>
  <c r="G5769" i="2"/>
  <c r="I5768" i="2"/>
  <c r="H5768" i="2"/>
  <c r="G5768" i="2"/>
  <c r="I5767" i="2"/>
  <c r="H5767" i="2"/>
  <c r="G5767" i="2"/>
  <c r="I5766" i="2"/>
  <c r="H5766" i="2"/>
  <c r="G5766" i="2"/>
  <c r="I5765" i="2"/>
  <c r="H5765" i="2"/>
  <c r="G5765" i="2"/>
  <c r="I5764" i="2"/>
  <c r="H5764" i="2"/>
  <c r="G5764" i="2"/>
  <c r="I5763" i="2"/>
  <c r="H5763" i="2"/>
  <c r="G5763" i="2"/>
  <c r="I5762" i="2"/>
  <c r="H5762" i="2"/>
  <c r="G5762" i="2"/>
  <c r="I5761" i="2"/>
  <c r="H5761" i="2"/>
  <c r="G5761" i="2"/>
  <c r="I5760" i="2"/>
  <c r="H5760" i="2"/>
  <c r="G5760" i="2"/>
  <c r="I5759" i="2"/>
  <c r="H5759" i="2"/>
  <c r="G5759" i="2"/>
  <c r="I5758" i="2"/>
  <c r="H5758" i="2"/>
  <c r="G5758" i="2"/>
  <c r="I5757" i="2"/>
  <c r="H5757" i="2"/>
  <c r="G5757" i="2"/>
  <c r="I5756" i="2"/>
  <c r="H5756" i="2"/>
  <c r="G5756" i="2"/>
  <c r="I5755" i="2"/>
  <c r="H5755" i="2"/>
  <c r="G5755" i="2"/>
  <c r="I5754" i="2"/>
  <c r="H5754" i="2"/>
  <c r="G5754" i="2"/>
  <c r="I5753" i="2"/>
  <c r="H5753" i="2"/>
  <c r="G5753" i="2"/>
  <c r="I5752" i="2"/>
  <c r="H5752" i="2"/>
  <c r="G5752" i="2"/>
  <c r="I5751" i="2"/>
  <c r="H5751" i="2"/>
  <c r="G5751" i="2"/>
  <c r="I5750" i="2"/>
  <c r="H5750" i="2"/>
  <c r="G5750" i="2"/>
  <c r="I5749" i="2"/>
  <c r="H5749" i="2"/>
  <c r="G5749" i="2"/>
  <c r="I5748" i="2"/>
  <c r="H5748" i="2"/>
  <c r="G5748" i="2"/>
  <c r="I5747" i="2"/>
  <c r="H5747" i="2"/>
  <c r="G5747" i="2"/>
  <c r="I5746" i="2"/>
  <c r="H5746" i="2"/>
  <c r="G5746" i="2"/>
  <c r="I5745" i="2"/>
  <c r="H5745" i="2"/>
  <c r="G5745" i="2"/>
  <c r="I5744" i="2"/>
  <c r="H5744" i="2"/>
  <c r="G5744" i="2"/>
  <c r="I5743" i="2"/>
  <c r="H5743" i="2"/>
  <c r="G5743" i="2"/>
  <c r="I5742" i="2"/>
  <c r="H5742" i="2"/>
  <c r="G5742" i="2"/>
  <c r="I5741" i="2"/>
  <c r="H5741" i="2"/>
  <c r="G5741" i="2"/>
  <c r="I5740" i="2"/>
  <c r="H5740" i="2"/>
  <c r="G5740" i="2"/>
  <c r="I5739" i="2"/>
  <c r="H5739" i="2"/>
  <c r="G5739" i="2"/>
  <c r="I5738" i="2"/>
  <c r="H5738" i="2"/>
  <c r="G5738" i="2"/>
  <c r="I5737" i="2"/>
  <c r="H5737" i="2"/>
  <c r="G5737" i="2"/>
  <c r="I5736" i="2"/>
  <c r="H5736" i="2"/>
  <c r="G5736" i="2"/>
  <c r="I5735" i="2"/>
  <c r="H5735" i="2"/>
  <c r="G5735" i="2"/>
  <c r="I5734" i="2"/>
  <c r="H5734" i="2"/>
  <c r="G5734" i="2"/>
  <c r="I5733" i="2"/>
  <c r="H5733" i="2"/>
  <c r="G5733" i="2"/>
  <c r="I5732" i="2"/>
  <c r="H5732" i="2"/>
  <c r="G5732" i="2"/>
  <c r="I5731" i="2"/>
  <c r="H5731" i="2"/>
  <c r="G5731" i="2"/>
  <c r="I5730" i="2"/>
  <c r="H5730" i="2"/>
  <c r="G5730" i="2"/>
  <c r="I5729" i="2"/>
  <c r="H5729" i="2"/>
  <c r="G5729" i="2"/>
  <c r="I5728" i="2"/>
  <c r="H5728" i="2"/>
  <c r="G5728" i="2"/>
  <c r="I5727" i="2"/>
  <c r="H5727" i="2"/>
  <c r="G5727" i="2"/>
  <c r="I5726" i="2"/>
  <c r="H5726" i="2"/>
  <c r="G5726" i="2"/>
  <c r="I5725" i="2"/>
  <c r="H5725" i="2"/>
  <c r="G5725" i="2"/>
  <c r="I5724" i="2"/>
  <c r="H5724" i="2"/>
  <c r="G5724" i="2"/>
  <c r="I5723" i="2"/>
  <c r="H5723" i="2"/>
  <c r="G5723" i="2"/>
  <c r="I5722" i="2"/>
  <c r="H5722" i="2"/>
  <c r="G5722" i="2"/>
  <c r="I5721" i="2"/>
  <c r="H5721" i="2"/>
  <c r="G5721" i="2"/>
  <c r="I5720" i="2"/>
  <c r="H5720" i="2"/>
  <c r="G5720" i="2"/>
  <c r="I5719" i="2"/>
  <c r="H5719" i="2"/>
  <c r="G5719" i="2"/>
  <c r="I5718" i="2"/>
  <c r="H5718" i="2"/>
  <c r="G5718" i="2"/>
  <c r="I5717" i="2"/>
  <c r="H5717" i="2"/>
  <c r="G5717" i="2"/>
  <c r="I5716" i="2"/>
  <c r="H5716" i="2"/>
  <c r="G5716" i="2"/>
  <c r="I5715" i="2"/>
  <c r="H5715" i="2"/>
  <c r="G5715" i="2"/>
  <c r="I5714" i="2"/>
  <c r="H5714" i="2"/>
  <c r="G5714" i="2"/>
  <c r="I5713" i="2"/>
  <c r="H5713" i="2"/>
  <c r="G5713" i="2"/>
  <c r="I5712" i="2"/>
  <c r="H5712" i="2"/>
  <c r="G5712" i="2"/>
  <c r="I5711" i="2"/>
  <c r="H5711" i="2"/>
  <c r="G5711" i="2"/>
  <c r="I5710" i="2"/>
  <c r="H5710" i="2"/>
  <c r="G5710" i="2"/>
  <c r="I5709" i="2"/>
  <c r="H5709" i="2"/>
  <c r="G5709" i="2"/>
  <c r="I5708" i="2"/>
  <c r="H5708" i="2"/>
  <c r="G5708" i="2"/>
  <c r="I5707" i="2"/>
  <c r="H5707" i="2"/>
  <c r="G5707" i="2"/>
  <c r="I5706" i="2"/>
  <c r="H5706" i="2"/>
  <c r="G5706" i="2"/>
  <c r="I5705" i="2"/>
  <c r="H5705" i="2"/>
  <c r="G5705" i="2"/>
  <c r="I5704" i="2"/>
  <c r="H5704" i="2"/>
  <c r="G5704" i="2"/>
  <c r="I5703" i="2"/>
  <c r="H5703" i="2"/>
  <c r="G5703" i="2"/>
  <c r="I5702" i="2"/>
  <c r="H5702" i="2"/>
  <c r="G5702" i="2"/>
  <c r="I5701" i="2"/>
  <c r="H5701" i="2"/>
  <c r="G5701" i="2"/>
  <c r="I5700" i="2"/>
  <c r="H5700" i="2"/>
  <c r="G5700" i="2"/>
  <c r="I5699" i="2"/>
  <c r="H5699" i="2"/>
  <c r="G5699" i="2"/>
  <c r="I5698" i="2"/>
  <c r="H5698" i="2"/>
  <c r="G5698" i="2"/>
  <c r="I5697" i="2"/>
  <c r="H5697" i="2"/>
  <c r="G5697" i="2"/>
  <c r="I5696" i="2"/>
  <c r="H5696" i="2"/>
  <c r="G5696" i="2"/>
  <c r="I5695" i="2"/>
  <c r="H5695" i="2"/>
  <c r="G5695" i="2"/>
  <c r="I5694" i="2"/>
  <c r="H5694" i="2"/>
  <c r="G5694" i="2"/>
  <c r="I5693" i="2"/>
  <c r="H5693" i="2"/>
  <c r="G5693" i="2"/>
  <c r="I5692" i="2"/>
  <c r="H5692" i="2"/>
  <c r="G5692" i="2"/>
  <c r="I5691" i="2"/>
  <c r="H5691" i="2"/>
  <c r="G5691" i="2"/>
  <c r="I5690" i="2"/>
  <c r="H5690" i="2"/>
  <c r="G5690" i="2"/>
  <c r="I5689" i="2"/>
  <c r="H5689" i="2"/>
  <c r="G5689" i="2"/>
  <c r="I5688" i="2"/>
  <c r="H5688" i="2"/>
  <c r="G5688" i="2"/>
  <c r="I5687" i="2"/>
  <c r="H5687" i="2"/>
  <c r="G5687" i="2"/>
  <c r="I5686" i="2"/>
  <c r="H5686" i="2"/>
  <c r="G5686" i="2"/>
  <c r="I5685" i="2"/>
  <c r="H5685" i="2"/>
  <c r="G5685" i="2"/>
  <c r="I5684" i="2"/>
  <c r="H5684" i="2"/>
  <c r="G5684" i="2"/>
  <c r="I5683" i="2"/>
  <c r="H5683" i="2"/>
  <c r="G5683" i="2"/>
  <c r="I5682" i="2"/>
  <c r="H5682" i="2"/>
  <c r="G5682" i="2"/>
  <c r="I5681" i="2"/>
  <c r="H5681" i="2"/>
  <c r="G5681" i="2"/>
  <c r="I5680" i="2"/>
  <c r="H5680" i="2"/>
  <c r="G5680" i="2"/>
  <c r="I5679" i="2"/>
  <c r="H5679" i="2"/>
  <c r="G5679" i="2"/>
  <c r="I5678" i="2"/>
  <c r="H5678" i="2"/>
  <c r="G5678" i="2"/>
  <c r="I5677" i="2"/>
  <c r="H5677" i="2"/>
  <c r="G5677" i="2"/>
  <c r="I5676" i="2"/>
  <c r="H5676" i="2"/>
  <c r="G5676" i="2"/>
  <c r="I5675" i="2"/>
  <c r="H5675" i="2"/>
  <c r="G5675" i="2"/>
  <c r="I5674" i="2"/>
  <c r="H5674" i="2"/>
  <c r="G5674" i="2"/>
  <c r="I5673" i="2"/>
  <c r="H5673" i="2"/>
  <c r="G5673" i="2"/>
  <c r="I5672" i="2"/>
  <c r="H5672" i="2"/>
  <c r="G5672" i="2"/>
  <c r="I5671" i="2"/>
  <c r="H5671" i="2"/>
  <c r="G5671" i="2"/>
  <c r="I5670" i="2"/>
  <c r="H5670" i="2"/>
  <c r="G5670" i="2"/>
  <c r="I5669" i="2"/>
  <c r="H5669" i="2"/>
  <c r="G5669" i="2"/>
  <c r="I5668" i="2"/>
  <c r="H5668" i="2"/>
  <c r="G5668" i="2"/>
  <c r="I5667" i="2"/>
  <c r="H5667" i="2"/>
  <c r="G5667" i="2"/>
  <c r="I5666" i="2"/>
  <c r="H5666" i="2"/>
  <c r="G5666" i="2"/>
  <c r="I5665" i="2"/>
  <c r="H5665" i="2"/>
  <c r="G5665" i="2"/>
  <c r="I5664" i="2"/>
  <c r="H5664" i="2"/>
  <c r="G5664" i="2"/>
  <c r="I5663" i="2"/>
  <c r="H5663" i="2"/>
  <c r="G5663" i="2"/>
  <c r="I5662" i="2"/>
  <c r="H5662" i="2"/>
  <c r="G5662" i="2"/>
  <c r="I5661" i="2"/>
  <c r="H5661" i="2"/>
  <c r="G5661" i="2"/>
  <c r="I5660" i="2"/>
  <c r="H5660" i="2"/>
  <c r="G5660" i="2"/>
  <c r="I5659" i="2"/>
  <c r="H5659" i="2"/>
  <c r="G5659" i="2"/>
  <c r="I5658" i="2"/>
  <c r="H5658" i="2"/>
  <c r="G5658" i="2"/>
  <c r="I5657" i="2"/>
  <c r="H5657" i="2"/>
  <c r="G5657" i="2"/>
  <c r="I5656" i="2"/>
  <c r="H5656" i="2"/>
  <c r="G5656" i="2"/>
  <c r="I5655" i="2"/>
  <c r="H5655" i="2"/>
  <c r="G5655" i="2"/>
  <c r="I5654" i="2"/>
  <c r="H5654" i="2"/>
  <c r="G5654" i="2"/>
  <c r="I5653" i="2"/>
  <c r="H5653" i="2"/>
  <c r="G5653" i="2"/>
  <c r="I5652" i="2"/>
  <c r="H5652" i="2"/>
  <c r="G5652" i="2"/>
  <c r="I5651" i="2"/>
  <c r="H5651" i="2"/>
  <c r="G5651" i="2"/>
  <c r="I5650" i="2"/>
  <c r="H5650" i="2"/>
  <c r="G5650" i="2"/>
  <c r="I5649" i="2"/>
  <c r="H5649" i="2"/>
  <c r="G5649" i="2"/>
  <c r="I5648" i="2"/>
  <c r="H5648" i="2"/>
  <c r="G5648" i="2"/>
  <c r="I5647" i="2"/>
  <c r="H5647" i="2"/>
  <c r="G5647" i="2"/>
  <c r="I5646" i="2"/>
  <c r="H5646" i="2"/>
  <c r="G5646" i="2"/>
  <c r="I5645" i="2"/>
  <c r="H5645" i="2"/>
  <c r="G5645" i="2"/>
  <c r="I5644" i="2"/>
  <c r="H5644" i="2"/>
  <c r="G5644" i="2"/>
  <c r="I5643" i="2"/>
  <c r="H5643" i="2"/>
  <c r="G5643" i="2"/>
  <c r="I5642" i="2"/>
  <c r="H5642" i="2"/>
  <c r="G5642" i="2"/>
  <c r="I5641" i="2"/>
  <c r="H5641" i="2"/>
  <c r="G5641" i="2"/>
  <c r="I5640" i="2"/>
  <c r="H5640" i="2"/>
  <c r="G5640" i="2"/>
  <c r="I5639" i="2"/>
  <c r="H5639" i="2"/>
  <c r="G5639" i="2"/>
  <c r="I5638" i="2"/>
  <c r="H5638" i="2"/>
  <c r="G5638" i="2"/>
  <c r="I5637" i="2"/>
  <c r="H5637" i="2"/>
  <c r="G5637" i="2"/>
  <c r="I5636" i="2"/>
  <c r="H5636" i="2"/>
  <c r="G5636" i="2"/>
  <c r="I5635" i="2"/>
  <c r="H5635" i="2"/>
  <c r="G5635" i="2"/>
  <c r="I5634" i="2"/>
  <c r="H5634" i="2"/>
  <c r="G5634" i="2"/>
  <c r="I5633" i="2"/>
  <c r="H5633" i="2"/>
  <c r="G5633" i="2"/>
  <c r="I5632" i="2"/>
  <c r="H5632" i="2"/>
  <c r="G5632" i="2"/>
  <c r="I5631" i="2"/>
  <c r="H5631" i="2"/>
  <c r="G5631" i="2"/>
  <c r="I5630" i="2"/>
  <c r="H5630" i="2"/>
  <c r="G5630" i="2"/>
  <c r="I5629" i="2"/>
  <c r="H5629" i="2"/>
  <c r="G5629" i="2"/>
  <c r="I5628" i="2"/>
  <c r="H5628" i="2"/>
  <c r="G5628" i="2"/>
  <c r="I5627" i="2"/>
  <c r="H5627" i="2"/>
  <c r="G5627" i="2"/>
  <c r="I5626" i="2"/>
  <c r="H5626" i="2"/>
  <c r="G5626" i="2"/>
  <c r="I5625" i="2"/>
  <c r="H5625" i="2"/>
  <c r="G5625" i="2"/>
  <c r="I5624" i="2"/>
  <c r="H5624" i="2"/>
  <c r="G5624" i="2"/>
  <c r="I5623" i="2"/>
  <c r="H5623" i="2"/>
  <c r="G5623" i="2"/>
  <c r="I5622" i="2"/>
  <c r="H5622" i="2"/>
  <c r="G5622" i="2"/>
  <c r="I5621" i="2"/>
  <c r="H5621" i="2"/>
  <c r="G5621" i="2"/>
  <c r="I5620" i="2"/>
  <c r="H5620" i="2"/>
  <c r="G5620" i="2"/>
  <c r="I5619" i="2"/>
  <c r="H5619" i="2"/>
  <c r="G5619" i="2"/>
  <c r="I5618" i="2"/>
  <c r="H5618" i="2"/>
  <c r="G5618" i="2"/>
  <c r="I5617" i="2"/>
  <c r="H5617" i="2"/>
  <c r="G5617" i="2"/>
  <c r="I5616" i="2"/>
  <c r="H5616" i="2"/>
  <c r="G5616" i="2"/>
  <c r="I5615" i="2"/>
  <c r="H5615" i="2"/>
  <c r="G5615" i="2"/>
  <c r="I5614" i="2"/>
  <c r="H5614" i="2"/>
  <c r="G5614" i="2"/>
  <c r="I5613" i="2"/>
  <c r="H5613" i="2"/>
  <c r="G5613" i="2"/>
  <c r="I5612" i="2"/>
  <c r="H5612" i="2"/>
  <c r="G5612" i="2"/>
  <c r="I5611" i="2"/>
  <c r="H5611" i="2"/>
  <c r="G5611" i="2"/>
  <c r="I5610" i="2"/>
  <c r="H5610" i="2"/>
  <c r="G5610" i="2"/>
  <c r="I5609" i="2"/>
  <c r="H5609" i="2"/>
  <c r="G5609" i="2"/>
  <c r="I5608" i="2"/>
  <c r="H5608" i="2"/>
  <c r="G5608" i="2"/>
  <c r="I5607" i="2"/>
  <c r="H5607" i="2"/>
  <c r="G5607" i="2"/>
  <c r="I5606" i="2"/>
  <c r="H5606" i="2"/>
  <c r="G5606" i="2"/>
  <c r="I5605" i="2"/>
  <c r="H5605" i="2"/>
  <c r="G5605" i="2"/>
  <c r="I5604" i="2"/>
  <c r="H5604" i="2"/>
  <c r="G5604" i="2"/>
  <c r="I5603" i="2"/>
  <c r="H5603" i="2"/>
  <c r="G5603" i="2"/>
  <c r="I5602" i="2"/>
  <c r="H5602" i="2"/>
  <c r="G5602" i="2"/>
  <c r="I5601" i="2"/>
  <c r="H5601" i="2"/>
  <c r="G5601" i="2"/>
  <c r="I5600" i="2"/>
  <c r="H5600" i="2"/>
  <c r="G5600" i="2"/>
  <c r="I5599" i="2"/>
  <c r="H5599" i="2"/>
  <c r="G5599" i="2"/>
  <c r="I5598" i="2"/>
  <c r="H5598" i="2"/>
  <c r="G5598" i="2"/>
  <c r="I5597" i="2"/>
  <c r="H5597" i="2"/>
  <c r="G5597" i="2"/>
  <c r="I5596" i="2"/>
  <c r="H5596" i="2"/>
  <c r="G5596" i="2"/>
  <c r="I5595" i="2"/>
  <c r="H5595" i="2"/>
  <c r="G5595" i="2"/>
  <c r="I5594" i="2"/>
  <c r="H5594" i="2"/>
  <c r="G5594" i="2"/>
  <c r="I5593" i="2"/>
  <c r="H5593" i="2"/>
  <c r="G5593" i="2"/>
  <c r="I5592" i="2"/>
  <c r="H5592" i="2"/>
  <c r="G5592" i="2"/>
  <c r="I5591" i="2"/>
  <c r="H5591" i="2"/>
  <c r="G5591" i="2"/>
  <c r="I5590" i="2"/>
  <c r="H5590" i="2"/>
  <c r="G5590" i="2"/>
  <c r="I5589" i="2"/>
  <c r="H5589" i="2"/>
  <c r="G5589" i="2"/>
  <c r="I5588" i="2"/>
  <c r="H5588" i="2"/>
  <c r="G5588" i="2"/>
  <c r="I5587" i="2"/>
  <c r="H5587" i="2"/>
  <c r="G5587" i="2"/>
  <c r="I5586" i="2"/>
  <c r="H5586" i="2"/>
  <c r="G5586" i="2"/>
  <c r="I5585" i="2"/>
  <c r="H5585" i="2"/>
  <c r="G5585" i="2"/>
  <c r="I5584" i="2"/>
  <c r="H5584" i="2"/>
  <c r="G5584" i="2"/>
  <c r="I5583" i="2"/>
  <c r="H5583" i="2"/>
  <c r="G5583" i="2"/>
  <c r="I5582" i="2"/>
  <c r="H5582" i="2"/>
  <c r="G5582" i="2"/>
  <c r="I5581" i="2"/>
  <c r="H5581" i="2"/>
  <c r="G5581" i="2"/>
  <c r="I5580" i="2"/>
  <c r="H5580" i="2"/>
  <c r="G5580" i="2"/>
  <c r="I5579" i="2"/>
  <c r="H5579" i="2"/>
  <c r="G5579" i="2"/>
  <c r="I5578" i="2"/>
  <c r="H5578" i="2"/>
  <c r="G5578" i="2"/>
  <c r="I5577" i="2"/>
  <c r="H5577" i="2"/>
  <c r="G5577" i="2"/>
  <c r="I5576" i="2"/>
  <c r="H5576" i="2"/>
  <c r="G5576" i="2"/>
  <c r="I5575" i="2"/>
  <c r="H5575" i="2"/>
  <c r="G5575" i="2"/>
  <c r="I5574" i="2"/>
  <c r="H5574" i="2"/>
  <c r="G5574" i="2"/>
  <c r="I5573" i="2"/>
  <c r="H5573" i="2"/>
  <c r="G5573" i="2"/>
  <c r="I5572" i="2"/>
  <c r="H5572" i="2"/>
  <c r="G5572" i="2"/>
  <c r="I5571" i="2"/>
  <c r="H5571" i="2"/>
  <c r="G5571" i="2"/>
  <c r="I5570" i="2"/>
  <c r="H5570" i="2"/>
  <c r="G5570" i="2"/>
  <c r="I5569" i="2"/>
  <c r="H5569" i="2"/>
  <c r="G5569" i="2"/>
  <c r="I5568" i="2"/>
  <c r="H5568" i="2"/>
  <c r="G5568" i="2"/>
  <c r="I5567" i="2"/>
  <c r="H5567" i="2"/>
  <c r="G5567" i="2"/>
  <c r="I5566" i="2"/>
  <c r="H5566" i="2"/>
  <c r="G5566" i="2"/>
  <c r="I5565" i="2"/>
  <c r="H5565" i="2"/>
  <c r="G5565" i="2"/>
  <c r="I5564" i="2"/>
  <c r="H5564" i="2"/>
  <c r="G5564" i="2"/>
  <c r="I5563" i="2"/>
  <c r="H5563" i="2"/>
  <c r="G5563" i="2"/>
  <c r="I5562" i="2"/>
  <c r="H5562" i="2"/>
  <c r="G5562" i="2"/>
  <c r="I5561" i="2"/>
  <c r="H5561" i="2"/>
  <c r="G5561" i="2"/>
  <c r="I5560" i="2"/>
  <c r="H5560" i="2"/>
  <c r="G5560" i="2"/>
  <c r="I5559" i="2"/>
  <c r="H5559" i="2"/>
  <c r="G5559" i="2"/>
  <c r="I5558" i="2"/>
  <c r="H5558" i="2"/>
  <c r="G5558" i="2"/>
  <c r="I5557" i="2"/>
  <c r="H5557" i="2"/>
  <c r="G5557" i="2"/>
  <c r="I5556" i="2"/>
  <c r="H5556" i="2"/>
  <c r="G5556" i="2"/>
  <c r="I5555" i="2"/>
  <c r="H5555" i="2"/>
  <c r="G5555" i="2"/>
  <c r="I5554" i="2"/>
  <c r="H5554" i="2"/>
  <c r="G5554" i="2"/>
  <c r="I5553" i="2"/>
  <c r="H5553" i="2"/>
  <c r="G5553" i="2"/>
  <c r="I5552" i="2"/>
  <c r="H5552" i="2"/>
  <c r="G5552" i="2"/>
  <c r="I5551" i="2"/>
  <c r="H5551" i="2"/>
  <c r="G5551" i="2"/>
  <c r="I5550" i="2"/>
  <c r="H5550" i="2"/>
  <c r="G5550" i="2"/>
  <c r="I5549" i="2"/>
  <c r="H5549" i="2"/>
  <c r="G5549" i="2"/>
  <c r="I5548" i="2"/>
  <c r="H5548" i="2"/>
  <c r="G5548" i="2"/>
  <c r="I5547" i="2"/>
  <c r="H5547" i="2"/>
  <c r="G5547" i="2"/>
  <c r="I5546" i="2"/>
  <c r="H5546" i="2"/>
  <c r="G5546" i="2"/>
  <c r="I5545" i="2"/>
  <c r="H5545" i="2"/>
  <c r="G5545" i="2"/>
  <c r="I5544" i="2"/>
  <c r="H5544" i="2"/>
  <c r="G5544" i="2"/>
  <c r="I5543" i="2"/>
  <c r="H5543" i="2"/>
  <c r="G5543" i="2"/>
  <c r="I5542" i="2"/>
  <c r="H5542" i="2"/>
  <c r="G5542" i="2"/>
  <c r="I5541" i="2"/>
  <c r="H5541" i="2"/>
  <c r="G5541" i="2"/>
  <c r="I5540" i="2"/>
  <c r="H5540" i="2"/>
  <c r="G5540" i="2"/>
  <c r="I5539" i="2"/>
  <c r="H5539" i="2"/>
  <c r="G5539" i="2"/>
  <c r="I5538" i="2"/>
  <c r="H5538" i="2"/>
  <c r="G5538" i="2"/>
  <c r="I5537" i="2"/>
  <c r="H5537" i="2"/>
  <c r="G5537" i="2"/>
  <c r="I5536" i="2"/>
  <c r="H5536" i="2"/>
  <c r="G5536" i="2"/>
  <c r="I5535" i="2"/>
  <c r="H5535" i="2"/>
  <c r="G5535" i="2"/>
  <c r="I5534" i="2"/>
  <c r="H5534" i="2"/>
  <c r="G5534" i="2"/>
  <c r="I5533" i="2"/>
  <c r="H5533" i="2"/>
  <c r="G5533" i="2"/>
  <c r="I5532" i="2"/>
  <c r="H5532" i="2"/>
  <c r="G5532" i="2"/>
  <c r="I5531" i="2"/>
  <c r="H5531" i="2"/>
  <c r="G5531" i="2"/>
  <c r="I5530" i="2"/>
  <c r="H5530" i="2"/>
  <c r="G5530" i="2"/>
  <c r="I5529" i="2"/>
  <c r="H5529" i="2"/>
  <c r="G5529" i="2"/>
  <c r="I5528" i="2"/>
  <c r="H5528" i="2"/>
  <c r="G5528" i="2"/>
  <c r="I5527" i="2"/>
  <c r="H5527" i="2"/>
  <c r="G5527" i="2"/>
  <c r="I5526" i="2"/>
  <c r="H5526" i="2"/>
  <c r="G5526" i="2"/>
  <c r="I5525" i="2"/>
  <c r="H5525" i="2"/>
  <c r="G5525" i="2"/>
  <c r="I5524" i="2"/>
  <c r="H5524" i="2"/>
  <c r="G5524" i="2"/>
  <c r="I5523" i="2"/>
  <c r="H5523" i="2"/>
  <c r="G5523" i="2"/>
  <c r="I5522" i="2"/>
  <c r="H5522" i="2"/>
  <c r="G5522" i="2"/>
  <c r="I5521" i="2"/>
  <c r="H5521" i="2"/>
  <c r="G5521" i="2"/>
  <c r="I5520" i="2"/>
  <c r="H5520" i="2"/>
  <c r="G5520" i="2"/>
  <c r="I5519" i="2"/>
  <c r="H5519" i="2"/>
  <c r="G5519" i="2"/>
  <c r="I5518" i="2"/>
  <c r="H5518" i="2"/>
  <c r="G5518" i="2"/>
  <c r="I5517" i="2"/>
  <c r="H5517" i="2"/>
  <c r="G5517" i="2"/>
  <c r="I5516" i="2"/>
  <c r="H5516" i="2"/>
  <c r="G5516" i="2"/>
  <c r="I5515" i="2"/>
  <c r="H5515" i="2"/>
  <c r="G5515" i="2"/>
  <c r="I5514" i="2"/>
  <c r="H5514" i="2"/>
  <c r="G5514" i="2"/>
  <c r="I5513" i="2"/>
  <c r="H5513" i="2"/>
  <c r="G5513" i="2"/>
  <c r="I5512" i="2"/>
  <c r="H5512" i="2"/>
  <c r="G5512" i="2"/>
  <c r="I5511" i="2"/>
  <c r="H5511" i="2"/>
  <c r="G5511" i="2"/>
  <c r="I5510" i="2"/>
  <c r="H5510" i="2"/>
  <c r="G5510" i="2"/>
  <c r="I5509" i="2"/>
  <c r="H5509" i="2"/>
  <c r="G5509" i="2"/>
  <c r="I5508" i="2"/>
  <c r="H5508" i="2"/>
  <c r="G5508" i="2"/>
  <c r="I5507" i="2"/>
  <c r="H5507" i="2"/>
  <c r="G5507" i="2"/>
  <c r="I5506" i="2"/>
  <c r="H5506" i="2"/>
  <c r="G5506" i="2"/>
  <c r="I5505" i="2"/>
  <c r="H5505" i="2"/>
  <c r="G5505" i="2"/>
  <c r="I5504" i="2"/>
  <c r="H5504" i="2"/>
  <c r="G5504" i="2"/>
  <c r="I5503" i="2"/>
  <c r="H5503" i="2"/>
  <c r="G5503" i="2"/>
  <c r="I5502" i="2"/>
  <c r="H5502" i="2"/>
  <c r="G5502" i="2"/>
  <c r="I5501" i="2"/>
  <c r="H5501" i="2"/>
  <c r="G5501" i="2"/>
  <c r="I5500" i="2"/>
  <c r="H5500" i="2"/>
  <c r="G5500" i="2"/>
  <c r="I5499" i="2"/>
  <c r="H5499" i="2"/>
  <c r="G5499" i="2"/>
  <c r="I5498" i="2"/>
  <c r="H5498" i="2"/>
  <c r="G5498" i="2"/>
  <c r="I5497" i="2"/>
  <c r="H5497" i="2"/>
  <c r="G5497" i="2"/>
  <c r="I5496" i="2"/>
  <c r="H5496" i="2"/>
  <c r="G5496" i="2"/>
  <c r="I5495" i="2"/>
  <c r="H5495" i="2"/>
  <c r="G5495" i="2"/>
  <c r="I5494" i="2"/>
  <c r="H5494" i="2"/>
  <c r="G5494" i="2"/>
  <c r="I5493" i="2"/>
  <c r="H5493" i="2"/>
  <c r="G5493" i="2"/>
  <c r="I5492" i="2"/>
  <c r="H5492" i="2"/>
  <c r="G5492" i="2"/>
  <c r="I5491" i="2"/>
  <c r="H5491" i="2"/>
  <c r="G5491" i="2"/>
  <c r="I5490" i="2"/>
  <c r="H5490" i="2"/>
  <c r="G5490" i="2"/>
  <c r="I5489" i="2"/>
  <c r="H5489" i="2"/>
  <c r="G5489" i="2"/>
  <c r="I5488" i="2"/>
  <c r="H5488" i="2"/>
  <c r="G5488" i="2"/>
  <c r="I5487" i="2"/>
  <c r="H5487" i="2"/>
  <c r="G5487" i="2"/>
  <c r="I5486" i="2"/>
  <c r="H5486" i="2"/>
  <c r="G5486" i="2"/>
  <c r="I5485" i="2"/>
  <c r="H5485" i="2"/>
  <c r="G5485" i="2"/>
  <c r="I5484" i="2"/>
  <c r="H5484" i="2"/>
  <c r="G5484" i="2"/>
  <c r="I5483" i="2"/>
  <c r="H5483" i="2"/>
  <c r="G5483" i="2"/>
  <c r="I5482" i="2"/>
  <c r="H5482" i="2"/>
  <c r="G5482" i="2"/>
  <c r="I5481" i="2"/>
  <c r="H5481" i="2"/>
  <c r="G5481" i="2"/>
  <c r="I5480" i="2"/>
  <c r="H5480" i="2"/>
  <c r="G5480" i="2"/>
  <c r="I5479" i="2"/>
  <c r="H5479" i="2"/>
  <c r="G5479" i="2"/>
  <c r="I5478" i="2"/>
  <c r="H5478" i="2"/>
  <c r="G5478" i="2"/>
  <c r="I5477" i="2"/>
  <c r="H5477" i="2"/>
  <c r="G5477" i="2"/>
  <c r="I5476" i="2"/>
  <c r="H5476" i="2"/>
  <c r="G5476" i="2"/>
  <c r="I5475" i="2"/>
  <c r="H5475" i="2"/>
  <c r="G5475" i="2"/>
  <c r="I5474" i="2"/>
  <c r="H5474" i="2"/>
  <c r="G5474" i="2"/>
  <c r="I5473" i="2"/>
  <c r="H5473" i="2"/>
  <c r="G5473" i="2"/>
  <c r="I5472" i="2"/>
  <c r="H5472" i="2"/>
  <c r="G5472" i="2"/>
  <c r="I5471" i="2"/>
  <c r="H5471" i="2"/>
  <c r="G5471" i="2"/>
  <c r="I5470" i="2"/>
  <c r="H5470" i="2"/>
  <c r="G5470" i="2"/>
  <c r="I5469" i="2"/>
  <c r="H5469" i="2"/>
  <c r="G5469" i="2"/>
  <c r="I5468" i="2"/>
  <c r="H5468" i="2"/>
  <c r="G5468" i="2"/>
  <c r="I5467" i="2"/>
  <c r="H5467" i="2"/>
  <c r="G5467" i="2"/>
  <c r="I5466" i="2"/>
  <c r="H5466" i="2"/>
  <c r="G5466" i="2"/>
  <c r="I5465" i="2"/>
  <c r="H5465" i="2"/>
  <c r="G5465" i="2"/>
  <c r="I5464" i="2"/>
  <c r="H5464" i="2"/>
  <c r="G5464" i="2"/>
  <c r="I5463" i="2"/>
  <c r="H5463" i="2"/>
  <c r="G5463" i="2"/>
  <c r="I5462" i="2"/>
  <c r="H5462" i="2"/>
  <c r="G5462" i="2"/>
  <c r="I5461" i="2"/>
  <c r="H5461" i="2"/>
  <c r="G5461" i="2"/>
  <c r="I5460" i="2"/>
  <c r="H5460" i="2"/>
  <c r="G5460" i="2"/>
  <c r="I5459" i="2"/>
  <c r="H5459" i="2"/>
  <c r="G5459" i="2"/>
  <c r="I5458" i="2"/>
  <c r="H5458" i="2"/>
  <c r="G5458" i="2"/>
  <c r="I5457" i="2"/>
  <c r="H5457" i="2"/>
  <c r="G5457" i="2"/>
  <c r="I5456" i="2"/>
  <c r="H5456" i="2"/>
  <c r="G5456" i="2"/>
  <c r="I5455" i="2"/>
  <c r="H5455" i="2"/>
  <c r="G5455" i="2"/>
  <c r="I5454" i="2"/>
  <c r="H5454" i="2"/>
  <c r="G5454" i="2"/>
  <c r="I5453" i="2"/>
  <c r="H5453" i="2"/>
  <c r="G5453" i="2"/>
  <c r="I5452" i="2"/>
  <c r="H5452" i="2"/>
  <c r="G5452" i="2"/>
  <c r="I5451" i="2"/>
  <c r="H5451" i="2"/>
  <c r="G5451" i="2"/>
  <c r="I5450" i="2"/>
  <c r="H5450" i="2"/>
  <c r="G5450" i="2"/>
  <c r="I5449" i="2"/>
  <c r="H5449" i="2"/>
  <c r="G5449" i="2"/>
  <c r="I5448" i="2"/>
  <c r="H5448" i="2"/>
  <c r="G5448" i="2"/>
  <c r="I5447" i="2"/>
  <c r="H5447" i="2"/>
  <c r="G5447" i="2"/>
  <c r="I5446" i="2"/>
  <c r="H5446" i="2"/>
  <c r="G5446" i="2"/>
  <c r="I5445" i="2"/>
  <c r="H5445" i="2"/>
  <c r="G5445" i="2"/>
  <c r="I5444" i="2"/>
  <c r="H5444" i="2"/>
  <c r="G5444" i="2"/>
  <c r="I5443" i="2"/>
  <c r="H5443" i="2"/>
  <c r="G5443" i="2"/>
  <c r="I5442" i="2"/>
  <c r="H5442" i="2"/>
  <c r="G5442" i="2"/>
  <c r="I5441" i="2"/>
  <c r="H5441" i="2"/>
  <c r="G5441" i="2"/>
  <c r="I5440" i="2"/>
  <c r="H5440" i="2"/>
  <c r="G5440" i="2"/>
  <c r="I5439" i="2"/>
  <c r="H5439" i="2"/>
  <c r="G5439" i="2"/>
  <c r="I5438" i="2"/>
  <c r="H5438" i="2"/>
  <c r="G5438" i="2"/>
  <c r="I5437" i="2"/>
  <c r="H5437" i="2"/>
  <c r="G5437" i="2"/>
  <c r="I5436" i="2"/>
  <c r="H5436" i="2"/>
  <c r="G5436" i="2"/>
  <c r="I5435" i="2"/>
  <c r="H5435" i="2"/>
  <c r="G5435" i="2"/>
  <c r="I5434" i="2"/>
  <c r="H5434" i="2"/>
  <c r="G5434" i="2"/>
  <c r="I5433" i="2"/>
  <c r="H5433" i="2"/>
  <c r="G5433" i="2"/>
  <c r="I5432" i="2"/>
  <c r="H5432" i="2"/>
  <c r="G5432" i="2"/>
  <c r="I5431" i="2"/>
  <c r="H5431" i="2"/>
  <c r="G5431" i="2"/>
  <c r="I5430" i="2"/>
  <c r="H5430" i="2"/>
  <c r="G5430" i="2"/>
  <c r="I5429" i="2"/>
  <c r="H5429" i="2"/>
  <c r="G5429" i="2"/>
  <c r="I5428" i="2"/>
  <c r="H5428" i="2"/>
  <c r="G5428" i="2"/>
  <c r="I5427" i="2"/>
  <c r="H5427" i="2"/>
  <c r="G5427" i="2"/>
  <c r="I5426" i="2"/>
  <c r="H5426" i="2"/>
  <c r="G5426" i="2"/>
  <c r="I5425" i="2"/>
  <c r="H5425" i="2"/>
  <c r="G5425" i="2"/>
  <c r="I5424" i="2"/>
  <c r="H5424" i="2"/>
  <c r="G5424" i="2"/>
  <c r="I5423" i="2"/>
  <c r="H5423" i="2"/>
  <c r="G5423" i="2"/>
  <c r="I5422" i="2"/>
  <c r="H5422" i="2"/>
  <c r="G5422" i="2"/>
  <c r="I5421" i="2"/>
  <c r="H5421" i="2"/>
  <c r="G5421" i="2"/>
  <c r="I5420" i="2"/>
  <c r="H5420" i="2"/>
  <c r="G5420" i="2"/>
  <c r="I5419" i="2"/>
  <c r="H5419" i="2"/>
  <c r="G5419" i="2"/>
  <c r="I5418" i="2"/>
  <c r="H5418" i="2"/>
  <c r="G5418" i="2"/>
  <c r="I5417" i="2"/>
  <c r="H5417" i="2"/>
  <c r="G5417" i="2"/>
  <c r="I5416" i="2"/>
  <c r="H5416" i="2"/>
  <c r="G5416" i="2"/>
  <c r="I5415" i="2"/>
  <c r="H5415" i="2"/>
  <c r="G5415" i="2"/>
  <c r="I5414" i="2"/>
  <c r="H5414" i="2"/>
  <c r="G5414" i="2"/>
  <c r="I5413" i="2"/>
  <c r="H5413" i="2"/>
  <c r="G5413" i="2"/>
  <c r="I5412" i="2"/>
  <c r="H5412" i="2"/>
  <c r="G5412" i="2"/>
  <c r="I5411" i="2"/>
  <c r="H5411" i="2"/>
  <c r="G5411" i="2"/>
  <c r="I5410" i="2"/>
  <c r="H5410" i="2"/>
  <c r="G5410" i="2"/>
  <c r="I5409" i="2"/>
  <c r="H5409" i="2"/>
  <c r="G5409" i="2"/>
  <c r="I5408" i="2"/>
  <c r="H5408" i="2"/>
  <c r="G5408" i="2"/>
  <c r="I5407" i="2"/>
  <c r="H5407" i="2"/>
  <c r="G5407" i="2"/>
  <c r="I5406" i="2"/>
  <c r="H5406" i="2"/>
  <c r="G5406" i="2"/>
  <c r="I5405" i="2"/>
  <c r="H5405" i="2"/>
  <c r="G5405" i="2"/>
  <c r="I5404" i="2"/>
  <c r="H5404" i="2"/>
  <c r="G5404" i="2"/>
  <c r="I5403" i="2"/>
  <c r="H5403" i="2"/>
  <c r="G5403" i="2"/>
  <c r="I5402" i="2"/>
  <c r="H5402" i="2"/>
  <c r="G5402" i="2"/>
  <c r="I5401" i="2"/>
  <c r="H5401" i="2"/>
  <c r="G5401" i="2"/>
  <c r="I5400" i="2"/>
  <c r="H5400" i="2"/>
  <c r="G5400" i="2"/>
  <c r="I5399" i="2"/>
  <c r="H5399" i="2"/>
  <c r="G5399" i="2"/>
  <c r="I5398" i="2"/>
  <c r="H5398" i="2"/>
  <c r="G5398" i="2"/>
  <c r="I5397" i="2"/>
  <c r="H5397" i="2"/>
  <c r="G5397" i="2"/>
  <c r="I5396" i="2"/>
  <c r="H5396" i="2"/>
  <c r="G5396" i="2"/>
  <c r="I5395" i="2"/>
  <c r="H5395" i="2"/>
  <c r="G5395" i="2"/>
  <c r="I5394" i="2"/>
  <c r="H5394" i="2"/>
  <c r="G5394" i="2"/>
  <c r="I5393" i="2"/>
  <c r="H5393" i="2"/>
  <c r="G5393" i="2"/>
  <c r="I5392" i="2"/>
  <c r="H5392" i="2"/>
  <c r="G5392" i="2"/>
  <c r="I5391" i="2"/>
  <c r="H5391" i="2"/>
  <c r="G5391" i="2"/>
  <c r="I5390" i="2"/>
  <c r="H5390" i="2"/>
  <c r="G5390" i="2"/>
  <c r="I5389" i="2"/>
  <c r="H5389" i="2"/>
  <c r="G5389" i="2"/>
  <c r="I5388" i="2"/>
  <c r="H5388" i="2"/>
  <c r="G5388" i="2"/>
  <c r="I5387" i="2"/>
  <c r="H5387" i="2"/>
  <c r="G5387" i="2"/>
  <c r="I5386" i="2"/>
  <c r="H5386" i="2"/>
  <c r="G5386" i="2"/>
  <c r="I5385" i="2"/>
  <c r="H5385" i="2"/>
  <c r="G5385" i="2"/>
  <c r="I5384" i="2"/>
  <c r="H5384" i="2"/>
  <c r="G5384" i="2"/>
  <c r="I5383" i="2"/>
  <c r="H5383" i="2"/>
  <c r="G5383" i="2"/>
  <c r="I5382" i="2"/>
  <c r="H5382" i="2"/>
  <c r="G5382" i="2"/>
  <c r="I5381" i="2"/>
  <c r="H5381" i="2"/>
  <c r="G5381" i="2"/>
  <c r="I5380" i="2"/>
  <c r="H5380" i="2"/>
  <c r="G5380" i="2"/>
  <c r="I5379" i="2"/>
  <c r="H5379" i="2"/>
  <c r="G5379" i="2"/>
  <c r="I5378" i="2"/>
  <c r="H5378" i="2"/>
  <c r="G5378" i="2"/>
  <c r="I5377" i="2"/>
  <c r="H5377" i="2"/>
  <c r="G5377" i="2"/>
  <c r="I5376" i="2"/>
  <c r="H5376" i="2"/>
  <c r="G5376" i="2"/>
  <c r="I5375" i="2"/>
  <c r="H5375" i="2"/>
  <c r="G5375" i="2"/>
  <c r="I5374" i="2"/>
  <c r="H5374" i="2"/>
  <c r="G5374" i="2"/>
  <c r="I5373" i="2"/>
  <c r="H5373" i="2"/>
  <c r="G5373" i="2"/>
  <c r="I5372" i="2"/>
  <c r="H5372" i="2"/>
  <c r="G5372" i="2"/>
  <c r="I5371" i="2"/>
  <c r="H5371" i="2"/>
  <c r="G5371" i="2"/>
  <c r="I5370" i="2"/>
  <c r="H5370" i="2"/>
  <c r="G5370" i="2"/>
  <c r="I5369" i="2"/>
  <c r="H5369" i="2"/>
  <c r="G5369" i="2"/>
  <c r="I5368" i="2"/>
  <c r="H5368" i="2"/>
  <c r="G5368" i="2"/>
  <c r="I5367" i="2"/>
  <c r="H5367" i="2"/>
  <c r="G5367" i="2"/>
  <c r="I5366" i="2"/>
  <c r="H5366" i="2"/>
  <c r="G5366" i="2"/>
  <c r="I5365" i="2"/>
  <c r="H5365" i="2"/>
  <c r="G5365" i="2"/>
  <c r="I5364" i="2"/>
  <c r="H5364" i="2"/>
  <c r="G5364" i="2"/>
  <c r="I5363" i="2"/>
  <c r="H5363" i="2"/>
  <c r="G5363" i="2"/>
  <c r="I5362" i="2"/>
  <c r="H5362" i="2"/>
  <c r="G5362" i="2"/>
  <c r="I5361" i="2"/>
  <c r="H5361" i="2"/>
  <c r="G5361" i="2"/>
  <c r="I5360" i="2"/>
  <c r="H5360" i="2"/>
  <c r="G5360" i="2"/>
  <c r="I5359" i="2"/>
  <c r="H5359" i="2"/>
  <c r="G5359" i="2"/>
  <c r="I5358" i="2"/>
  <c r="H5358" i="2"/>
  <c r="G5358" i="2"/>
  <c r="I5357" i="2"/>
  <c r="H5357" i="2"/>
  <c r="G5357" i="2"/>
  <c r="I5356" i="2"/>
  <c r="H5356" i="2"/>
  <c r="G5356" i="2"/>
  <c r="I5355" i="2"/>
  <c r="H5355" i="2"/>
  <c r="G5355" i="2"/>
  <c r="I5354" i="2"/>
  <c r="H5354" i="2"/>
  <c r="G5354" i="2"/>
  <c r="I5353" i="2"/>
  <c r="H5353" i="2"/>
  <c r="G5353" i="2"/>
  <c r="I5352" i="2"/>
  <c r="H5352" i="2"/>
  <c r="G5352" i="2"/>
  <c r="I5351" i="2"/>
  <c r="H5351" i="2"/>
  <c r="G5351" i="2"/>
  <c r="I5350" i="2"/>
  <c r="H5350" i="2"/>
  <c r="G5350" i="2"/>
  <c r="I5349" i="2"/>
  <c r="H5349" i="2"/>
  <c r="G5349" i="2"/>
  <c r="I5348" i="2"/>
  <c r="H5348" i="2"/>
  <c r="G5348" i="2"/>
  <c r="I5347" i="2"/>
  <c r="H5347" i="2"/>
  <c r="G5347" i="2"/>
  <c r="I5346" i="2"/>
  <c r="H5346" i="2"/>
  <c r="G5346" i="2"/>
  <c r="I5345" i="2"/>
  <c r="H5345" i="2"/>
  <c r="G5345" i="2"/>
  <c r="I5344" i="2"/>
  <c r="H5344" i="2"/>
  <c r="G5344" i="2"/>
  <c r="I5343" i="2"/>
  <c r="H5343" i="2"/>
  <c r="G5343" i="2"/>
  <c r="I5342" i="2"/>
  <c r="H5342" i="2"/>
  <c r="G5342" i="2"/>
  <c r="I5341" i="2"/>
  <c r="H5341" i="2"/>
  <c r="G5341" i="2"/>
  <c r="I5340" i="2"/>
  <c r="H5340" i="2"/>
  <c r="G5340" i="2"/>
  <c r="I5339" i="2"/>
  <c r="H5339" i="2"/>
  <c r="G5339" i="2"/>
  <c r="I5338" i="2"/>
  <c r="H5338" i="2"/>
  <c r="G5338" i="2"/>
  <c r="I5337" i="2"/>
  <c r="H5337" i="2"/>
  <c r="G5337" i="2"/>
  <c r="I5336" i="2"/>
  <c r="H5336" i="2"/>
  <c r="G5336" i="2"/>
  <c r="I5335" i="2"/>
  <c r="H5335" i="2"/>
  <c r="G5335" i="2"/>
  <c r="I5334" i="2"/>
  <c r="H5334" i="2"/>
  <c r="G5334" i="2"/>
  <c r="I5333" i="2"/>
  <c r="H5333" i="2"/>
  <c r="G5333" i="2"/>
  <c r="I5332" i="2"/>
  <c r="H5332" i="2"/>
  <c r="G5332" i="2"/>
  <c r="I5331" i="2"/>
  <c r="H5331" i="2"/>
  <c r="G5331" i="2"/>
  <c r="I5330" i="2"/>
  <c r="H5330" i="2"/>
  <c r="G5330" i="2"/>
  <c r="I5329" i="2"/>
  <c r="H5329" i="2"/>
  <c r="G5329" i="2"/>
  <c r="I5328" i="2"/>
  <c r="H5328" i="2"/>
  <c r="G5328" i="2"/>
  <c r="I5327" i="2"/>
  <c r="H5327" i="2"/>
  <c r="G5327" i="2"/>
  <c r="I5326" i="2"/>
  <c r="H5326" i="2"/>
  <c r="G5326" i="2"/>
  <c r="I5325" i="2"/>
  <c r="H5325" i="2"/>
  <c r="G5325" i="2"/>
  <c r="I5324" i="2"/>
  <c r="H5324" i="2"/>
  <c r="G5324" i="2"/>
  <c r="I5323" i="2"/>
  <c r="H5323" i="2"/>
  <c r="G5323" i="2"/>
  <c r="I5322" i="2"/>
  <c r="H5322" i="2"/>
  <c r="G5322" i="2"/>
  <c r="I5321" i="2"/>
  <c r="H5321" i="2"/>
  <c r="G5321" i="2"/>
  <c r="I5320" i="2"/>
  <c r="H5320" i="2"/>
  <c r="G5320" i="2"/>
  <c r="I5319" i="2"/>
  <c r="H5319" i="2"/>
  <c r="G5319" i="2"/>
  <c r="I5318" i="2"/>
  <c r="H5318" i="2"/>
  <c r="G5318" i="2"/>
  <c r="I5317" i="2"/>
  <c r="H5317" i="2"/>
  <c r="G5317" i="2"/>
  <c r="I5316" i="2"/>
  <c r="H5316" i="2"/>
  <c r="G5316" i="2"/>
  <c r="I5315" i="2"/>
  <c r="H5315" i="2"/>
  <c r="G5315" i="2"/>
  <c r="I5314" i="2"/>
  <c r="H5314" i="2"/>
  <c r="G5314" i="2"/>
  <c r="I5313" i="2"/>
  <c r="H5313" i="2"/>
  <c r="G5313" i="2"/>
  <c r="I5312" i="2"/>
  <c r="H5312" i="2"/>
  <c r="G5312" i="2"/>
  <c r="I5311" i="2"/>
  <c r="H5311" i="2"/>
  <c r="G5311" i="2"/>
  <c r="I5310" i="2"/>
  <c r="H5310" i="2"/>
  <c r="G5310" i="2"/>
  <c r="I5309" i="2"/>
  <c r="H5309" i="2"/>
  <c r="G5309" i="2"/>
  <c r="I5308" i="2"/>
  <c r="H5308" i="2"/>
  <c r="G5308" i="2"/>
  <c r="I5307" i="2"/>
  <c r="H5307" i="2"/>
  <c r="G5307" i="2"/>
  <c r="I5306" i="2"/>
  <c r="H5306" i="2"/>
  <c r="G5306" i="2"/>
  <c r="I5305" i="2"/>
  <c r="H5305" i="2"/>
  <c r="G5305" i="2"/>
  <c r="I5304" i="2"/>
  <c r="H5304" i="2"/>
  <c r="G5304" i="2"/>
  <c r="I5303" i="2"/>
  <c r="H5303" i="2"/>
  <c r="G5303" i="2"/>
  <c r="I5302" i="2"/>
  <c r="H5302" i="2"/>
  <c r="G5302" i="2"/>
  <c r="I5301" i="2"/>
  <c r="H5301" i="2"/>
  <c r="G5301" i="2"/>
  <c r="I5300" i="2"/>
  <c r="H5300" i="2"/>
  <c r="G5300" i="2"/>
  <c r="I5299" i="2"/>
  <c r="H5299" i="2"/>
  <c r="G5299" i="2"/>
  <c r="I5298" i="2"/>
  <c r="H5298" i="2"/>
  <c r="G5298" i="2"/>
  <c r="I5297" i="2"/>
  <c r="H5297" i="2"/>
  <c r="G5297" i="2"/>
  <c r="I5296" i="2"/>
  <c r="H5296" i="2"/>
  <c r="G5296" i="2"/>
  <c r="I5295" i="2"/>
  <c r="H5295" i="2"/>
  <c r="G5295" i="2"/>
  <c r="I5294" i="2"/>
  <c r="H5294" i="2"/>
  <c r="G5294" i="2"/>
  <c r="I5293" i="2"/>
  <c r="H5293" i="2"/>
  <c r="G5293" i="2"/>
  <c r="I5292" i="2"/>
  <c r="H5292" i="2"/>
  <c r="G5292" i="2"/>
  <c r="I5291" i="2"/>
  <c r="H5291" i="2"/>
  <c r="G5291" i="2"/>
  <c r="I5290" i="2"/>
  <c r="H5290" i="2"/>
  <c r="G5290" i="2"/>
  <c r="I5289" i="2"/>
  <c r="H5289" i="2"/>
  <c r="G5289" i="2"/>
  <c r="I5288" i="2"/>
  <c r="H5288" i="2"/>
  <c r="G5288" i="2"/>
  <c r="I5287" i="2"/>
  <c r="H5287" i="2"/>
  <c r="G5287" i="2"/>
  <c r="I5286" i="2"/>
  <c r="H5286" i="2"/>
  <c r="G5286" i="2"/>
  <c r="I5285" i="2"/>
  <c r="H5285" i="2"/>
  <c r="G5285" i="2"/>
  <c r="I5284" i="2"/>
  <c r="H5284" i="2"/>
  <c r="G5284" i="2"/>
  <c r="I5283" i="2"/>
  <c r="H5283" i="2"/>
  <c r="G5283" i="2"/>
  <c r="I5282" i="2"/>
  <c r="H5282" i="2"/>
  <c r="G5282" i="2"/>
  <c r="I5281" i="2"/>
  <c r="H5281" i="2"/>
  <c r="G5281" i="2"/>
  <c r="I5280" i="2"/>
  <c r="H5280" i="2"/>
  <c r="G5280" i="2"/>
  <c r="I5279" i="2"/>
  <c r="H5279" i="2"/>
  <c r="G5279" i="2"/>
  <c r="I5278" i="2"/>
  <c r="H5278" i="2"/>
  <c r="G5278" i="2"/>
  <c r="I5277" i="2"/>
  <c r="H5277" i="2"/>
  <c r="G5277" i="2"/>
  <c r="I5276" i="2"/>
  <c r="H5276" i="2"/>
  <c r="G5276" i="2"/>
  <c r="I5275" i="2"/>
  <c r="H5275" i="2"/>
  <c r="G5275" i="2"/>
  <c r="I5274" i="2"/>
  <c r="H5274" i="2"/>
  <c r="G5274" i="2"/>
  <c r="I5273" i="2"/>
  <c r="H5273" i="2"/>
  <c r="G5273" i="2"/>
  <c r="I5272" i="2"/>
  <c r="H5272" i="2"/>
  <c r="G5272" i="2"/>
  <c r="I5271" i="2"/>
  <c r="H5271" i="2"/>
  <c r="G5271" i="2"/>
  <c r="I5270" i="2"/>
  <c r="H5270" i="2"/>
  <c r="G5270" i="2"/>
  <c r="I5269" i="2"/>
  <c r="H5269" i="2"/>
  <c r="G5269" i="2"/>
  <c r="I5268" i="2"/>
  <c r="H5268" i="2"/>
  <c r="G5268" i="2"/>
  <c r="I5267" i="2"/>
  <c r="H5267" i="2"/>
  <c r="G5267" i="2"/>
  <c r="I5266" i="2"/>
  <c r="H5266" i="2"/>
  <c r="G5266" i="2"/>
  <c r="I5265" i="2"/>
  <c r="H5265" i="2"/>
  <c r="G5265" i="2"/>
  <c r="I5264" i="2"/>
  <c r="H5264" i="2"/>
  <c r="G5264" i="2"/>
  <c r="I5263" i="2"/>
  <c r="H5263" i="2"/>
  <c r="G5263" i="2"/>
  <c r="I5262" i="2"/>
  <c r="H5262" i="2"/>
  <c r="G5262" i="2"/>
  <c r="I5261" i="2"/>
  <c r="H5261" i="2"/>
  <c r="G5261" i="2"/>
  <c r="I5260" i="2"/>
  <c r="H5260" i="2"/>
  <c r="G5260" i="2"/>
  <c r="I5259" i="2"/>
  <c r="H5259" i="2"/>
  <c r="G5259" i="2"/>
  <c r="I5258" i="2"/>
  <c r="H5258" i="2"/>
  <c r="G5258" i="2"/>
  <c r="I5257" i="2"/>
  <c r="H5257" i="2"/>
  <c r="G5257" i="2"/>
  <c r="I5256" i="2"/>
  <c r="H5256" i="2"/>
  <c r="G5256" i="2"/>
  <c r="I5255" i="2"/>
  <c r="H5255" i="2"/>
  <c r="G5255" i="2"/>
  <c r="I5254" i="2"/>
  <c r="H5254" i="2"/>
  <c r="G5254" i="2"/>
  <c r="I5253" i="2"/>
  <c r="H5253" i="2"/>
  <c r="G5253" i="2"/>
  <c r="I5252" i="2"/>
  <c r="H5252" i="2"/>
  <c r="G5252" i="2"/>
  <c r="I5251" i="2"/>
  <c r="H5251" i="2"/>
  <c r="G5251" i="2"/>
  <c r="I5250" i="2"/>
  <c r="H5250" i="2"/>
  <c r="G5250" i="2"/>
  <c r="I5249" i="2"/>
  <c r="H5249" i="2"/>
  <c r="G5249" i="2"/>
  <c r="I5248" i="2"/>
  <c r="H5248" i="2"/>
  <c r="G5248" i="2"/>
  <c r="I5247" i="2"/>
  <c r="H5247" i="2"/>
  <c r="G5247" i="2"/>
  <c r="I5246" i="2"/>
  <c r="H5246" i="2"/>
  <c r="G5246" i="2"/>
  <c r="I5245" i="2"/>
  <c r="H5245" i="2"/>
  <c r="G5245" i="2"/>
  <c r="I5244" i="2"/>
  <c r="H5244" i="2"/>
  <c r="G5244" i="2"/>
  <c r="I5243" i="2"/>
  <c r="H5243" i="2"/>
  <c r="G5243" i="2"/>
  <c r="I5242" i="2"/>
  <c r="H5242" i="2"/>
  <c r="G5242" i="2"/>
  <c r="I5241" i="2"/>
  <c r="H5241" i="2"/>
  <c r="G5241" i="2"/>
  <c r="I5240" i="2"/>
  <c r="H5240" i="2"/>
  <c r="G5240" i="2"/>
  <c r="I5239" i="2"/>
  <c r="H5239" i="2"/>
  <c r="G5239" i="2"/>
  <c r="I5238" i="2"/>
  <c r="H5238" i="2"/>
  <c r="G5238" i="2"/>
  <c r="I5237" i="2"/>
  <c r="H5237" i="2"/>
  <c r="G5237" i="2"/>
  <c r="I5236" i="2"/>
  <c r="H5236" i="2"/>
  <c r="G5236" i="2"/>
  <c r="I5235" i="2"/>
  <c r="H5235" i="2"/>
  <c r="G5235" i="2"/>
  <c r="I5234" i="2"/>
  <c r="H5234" i="2"/>
  <c r="G5234" i="2"/>
  <c r="I5233" i="2"/>
  <c r="H5233" i="2"/>
  <c r="G5233" i="2"/>
  <c r="I5232" i="2"/>
  <c r="H5232" i="2"/>
  <c r="G5232" i="2"/>
  <c r="I5231" i="2"/>
  <c r="H5231" i="2"/>
  <c r="G5231" i="2"/>
  <c r="I5230" i="2"/>
  <c r="H5230" i="2"/>
  <c r="G5230" i="2"/>
  <c r="I5229" i="2"/>
  <c r="H5229" i="2"/>
  <c r="G5229" i="2"/>
  <c r="I5228" i="2"/>
  <c r="H5228" i="2"/>
  <c r="G5228" i="2"/>
  <c r="I5227" i="2"/>
  <c r="H5227" i="2"/>
  <c r="G5227" i="2"/>
  <c r="I5226" i="2"/>
  <c r="H5226" i="2"/>
  <c r="G5226" i="2"/>
  <c r="I5225" i="2"/>
  <c r="H5225" i="2"/>
  <c r="G5225" i="2"/>
  <c r="I5224" i="2"/>
  <c r="H5224" i="2"/>
  <c r="G5224" i="2"/>
  <c r="I5223" i="2"/>
  <c r="H5223" i="2"/>
  <c r="G5223" i="2"/>
  <c r="I5222" i="2"/>
  <c r="H5222" i="2"/>
  <c r="G5222" i="2"/>
  <c r="I5221" i="2"/>
  <c r="H5221" i="2"/>
  <c r="G5221" i="2"/>
  <c r="I5220" i="2"/>
  <c r="H5220" i="2"/>
  <c r="G5220" i="2"/>
  <c r="I5219" i="2"/>
  <c r="H5219" i="2"/>
  <c r="G5219" i="2"/>
  <c r="I5218" i="2"/>
  <c r="H5218" i="2"/>
  <c r="G5218" i="2"/>
  <c r="I5217" i="2"/>
  <c r="H5217" i="2"/>
  <c r="G5217" i="2"/>
  <c r="I5216" i="2"/>
  <c r="H5216" i="2"/>
  <c r="G5216" i="2"/>
  <c r="I5215" i="2"/>
  <c r="H5215" i="2"/>
  <c r="G5215" i="2"/>
  <c r="I5214" i="2"/>
  <c r="H5214" i="2"/>
  <c r="G5214" i="2"/>
  <c r="I5213" i="2"/>
  <c r="H5213" i="2"/>
  <c r="G5213" i="2"/>
  <c r="I5212" i="2"/>
  <c r="H5212" i="2"/>
  <c r="G5212" i="2"/>
  <c r="I5211" i="2"/>
  <c r="H5211" i="2"/>
  <c r="G5211" i="2"/>
  <c r="I5210" i="2"/>
  <c r="H5210" i="2"/>
  <c r="G5210" i="2"/>
  <c r="I5209" i="2"/>
  <c r="H5209" i="2"/>
  <c r="G5209" i="2"/>
  <c r="I5208" i="2"/>
  <c r="H5208" i="2"/>
  <c r="G5208" i="2"/>
  <c r="I5207" i="2"/>
  <c r="H5207" i="2"/>
  <c r="G5207" i="2"/>
  <c r="I5206" i="2"/>
  <c r="H5206" i="2"/>
  <c r="G5206" i="2"/>
  <c r="I5205" i="2"/>
  <c r="H5205" i="2"/>
  <c r="G5205" i="2"/>
  <c r="I5204" i="2"/>
  <c r="H5204" i="2"/>
  <c r="G5204" i="2"/>
  <c r="I5203" i="2"/>
  <c r="H5203" i="2"/>
  <c r="G5203" i="2"/>
  <c r="I5202" i="2"/>
  <c r="H5202" i="2"/>
  <c r="G5202" i="2"/>
  <c r="I5201" i="2"/>
  <c r="H5201" i="2"/>
  <c r="G5201" i="2"/>
  <c r="I5200" i="2"/>
  <c r="H5200" i="2"/>
  <c r="G5200" i="2"/>
  <c r="I5199" i="2"/>
  <c r="H5199" i="2"/>
  <c r="G5199" i="2"/>
  <c r="I5198" i="2"/>
  <c r="H5198" i="2"/>
  <c r="G5198" i="2"/>
  <c r="I5197" i="2"/>
  <c r="H5197" i="2"/>
  <c r="G5197" i="2"/>
  <c r="I5196" i="2"/>
  <c r="H5196" i="2"/>
  <c r="G5196" i="2"/>
  <c r="I5195" i="2"/>
  <c r="H5195" i="2"/>
  <c r="G5195" i="2"/>
  <c r="I5194" i="2"/>
  <c r="H5194" i="2"/>
  <c r="G5194" i="2"/>
  <c r="I5193" i="2"/>
  <c r="H5193" i="2"/>
  <c r="G5193" i="2"/>
  <c r="I5192" i="2"/>
  <c r="H5192" i="2"/>
  <c r="G5192" i="2"/>
  <c r="I5191" i="2"/>
  <c r="H5191" i="2"/>
  <c r="G5191" i="2"/>
  <c r="I5190" i="2"/>
  <c r="H5190" i="2"/>
  <c r="G5190" i="2"/>
  <c r="I5189" i="2"/>
  <c r="H5189" i="2"/>
  <c r="G5189" i="2"/>
  <c r="I5188" i="2"/>
  <c r="H5188" i="2"/>
  <c r="G5188" i="2"/>
  <c r="I5187" i="2"/>
  <c r="H5187" i="2"/>
  <c r="G5187" i="2"/>
  <c r="I5186" i="2"/>
  <c r="H5186" i="2"/>
  <c r="G5186" i="2"/>
  <c r="I5185" i="2"/>
  <c r="H5185" i="2"/>
  <c r="G5185" i="2"/>
  <c r="I5184" i="2"/>
  <c r="H5184" i="2"/>
  <c r="G5184" i="2"/>
  <c r="I5183" i="2"/>
  <c r="H5183" i="2"/>
  <c r="G5183" i="2"/>
  <c r="I5182" i="2"/>
  <c r="H5182" i="2"/>
  <c r="G5182" i="2"/>
  <c r="I5181" i="2"/>
  <c r="H5181" i="2"/>
  <c r="G5181" i="2"/>
  <c r="I5180" i="2"/>
  <c r="H5180" i="2"/>
  <c r="G5180" i="2"/>
  <c r="I5179" i="2"/>
  <c r="H5179" i="2"/>
  <c r="G5179" i="2"/>
  <c r="I5178" i="2"/>
  <c r="H5178" i="2"/>
  <c r="G5178" i="2"/>
  <c r="I5177" i="2"/>
  <c r="H5177" i="2"/>
  <c r="G5177" i="2"/>
  <c r="I5176" i="2"/>
  <c r="H5176" i="2"/>
  <c r="G5176" i="2"/>
  <c r="I5175" i="2"/>
  <c r="H5175" i="2"/>
  <c r="G5175" i="2"/>
  <c r="I5174" i="2"/>
  <c r="H5174" i="2"/>
  <c r="G5174" i="2"/>
  <c r="I5173" i="2"/>
  <c r="H5173" i="2"/>
  <c r="G5173" i="2"/>
  <c r="I5172" i="2"/>
  <c r="H5172" i="2"/>
  <c r="G5172" i="2"/>
  <c r="I5171" i="2"/>
  <c r="H5171" i="2"/>
  <c r="G5171" i="2"/>
  <c r="I5170" i="2"/>
  <c r="H5170" i="2"/>
  <c r="G5170" i="2"/>
  <c r="I5169" i="2"/>
  <c r="H5169" i="2"/>
  <c r="G5169" i="2"/>
  <c r="I5168" i="2"/>
  <c r="H5168" i="2"/>
  <c r="G5168" i="2"/>
  <c r="I5167" i="2"/>
  <c r="H5167" i="2"/>
  <c r="G5167" i="2"/>
  <c r="I5166" i="2"/>
  <c r="H5166" i="2"/>
  <c r="G5166" i="2"/>
  <c r="I5165" i="2"/>
  <c r="H5165" i="2"/>
  <c r="G5165" i="2"/>
  <c r="I5164" i="2"/>
  <c r="H5164" i="2"/>
  <c r="G5164" i="2"/>
  <c r="I5163" i="2"/>
  <c r="H5163" i="2"/>
  <c r="G5163" i="2"/>
  <c r="I5162" i="2"/>
  <c r="H5162" i="2"/>
  <c r="G5162" i="2"/>
  <c r="I5161" i="2"/>
  <c r="H5161" i="2"/>
  <c r="G5161" i="2"/>
  <c r="I5160" i="2"/>
  <c r="H5160" i="2"/>
  <c r="G5160" i="2"/>
  <c r="I5159" i="2"/>
  <c r="H5159" i="2"/>
  <c r="G5159" i="2"/>
  <c r="I5158" i="2"/>
  <c r="H5158" i="2"/>
  <c r="G5158" i="2"/>
  <c r="I5157" i="2"/>
  <c r="H5157" i="2"/>
  <c r="G5157" i="2"/>
  <c r="I5156" i="2"/>
  <c r="H5156" i="2"/>
  <c r="G5156" i="2"/>
  <c r="I5155" i="2"/>
  <c r="H5155" i="2"/>
  <c r="G5155" i="2"/>
  <c r="I5154" i="2"/>
  <c r="H5154" i="2"/>
  <c r="G5154" i="2"/>
  <c r="I5153" i="2"/>
  <c r="H5153" i="2"/>
  <c r="G5153" i="2"/>
  <c r="I5152" i="2"/>
  <c r="H5152" i="2"/>
  <c r="G5152" i="2"/>
  <c r="I5151" i="2"/>
  <c r="H5151" i="2"/>
  <c r="G5151" i="2"/>
  <c r="I5150" i="2"/>
  <c r="H5150" i="2"/>
  <c r="G5150" i="2"/>
  <c r="I5149" i="2"/>
  <c r="H5149" i="2"/>
  <c r="G5149" i="2"/>
  <c r="I5148" i="2"/>
  <c r="H5148" i="2"/>
  <c r="G5148" i="2"/>
  <c r="I5147" i="2"/>
  <c r="H5147" i="2"/>
  <c r="G5147" i="2"/>
  <c r="I5146" i="2"/>
  <c r="H5146" i="2"/>
  <c r="G5146" i="2"/>
  <c r="I5145" i="2"/>
  <c r="H5145" i="2"/>
  <c r="G5145" i="2"/>
  <c r="I5144" i="2"/>
  <c r="H5144" i="2"/>
  <c r="G5144" i="2"/>
  <c r="I5143" i="2"/>
  <c r="H5143" i="2"/>
  <c r="G5143" i="2"/>
  <c r="I5142" i="2"/>
  <c r="H5142" i="2"/>
  <c r="G5142" i="2"/>
  <c r="I5141" i="2"/>
  <c r="H5141" i="2"/>
  <c r="G5141" i="2"/>
  <c r="I5140" i="2"/>
  <c r="H5140" i="2"/>
  <c r="G5140" i="2"/>
  <c r="I5139" i="2"/>
  <c r="H5139" i="2"/>
  <c r="G5139" i="2"/>
  <c r="I5138" i="2"/>
  <c r="H5138" i="2"/>
  <c r="G5138" i="2"/>
  <c r="I5137" i="2"/>
  <c r="H5137" i="2"/>
  <c r="G5137" i="2"/>
  <c r="I5136" i="2"/>
  <c r="H5136" i="2"/>
  <c r="G5136" i="2"/>
  <c r="I5135" i="2"/>
  <c r="H5135" i="2"/>
  <c r="G5135" i="2"/>
  <c r="I5134" i="2"/>
  <c r="H5134" i="2"/>
  <c r="G5134" i="2"/>
  <c r="I5133" i="2"/>
  <c r="H5133" i="2"/>
  <c r="G5133" i="2"/>
  <c r="I5132" i="2"/>
  <c r="H5132" i="2"/>
  <c r="G5132" i="2"/>
  <c r="I5131" i="2"/>
  <c r="H5131" i="2"/>
  <c r="G5131" i="2"/>
  <c r="I5130" i="2"/>
  <c r="H5130" i="2"/>
  <c r="G5130" i="2"/>
  <c r="I5129" i="2"/>
  <c r="H5129" i="2"/>
  <c r="G5129" i="2"/>
  <c r="I5128" i="2"/>
  <c r="H5128" i="2"/>
  <c r="G5128" i="2"/>
  <c r="I5127" i="2"/>
  <c r="H5127" i="2"/>
  <c r="G5127" i="2"/>
  <c r="I5126" i="2"/>
  <c r="H5126" i="2"/>
  <c r="G5126" i="2"/>
  <c r="I5125" i="2"/>
  <c r="H5125" i="2"/>
  <c r="G5125" i="2"/>
  <c r="I5124" i="2"/>
  <c r="H5124" i="2"/>
  <c r="G5124" i="2"/>
  <c r="I5123" i="2"/>
  <c r="H5123" i="2"/>
  <c r="G5123" i="2"/>
  <c r="I5122" i="2"/>
  <c r="H5122" i="2"/>
  <c r="G5122" i="2"/>
  <c r="I5121" i="2"/>
  <c r="H5121" i="2"/>
  <c r="G5121" i="2"/>
  <c r="I5120" i="2"/>
  <c r="H5120" i="2"/>
  <c r="G5120" i="2"/>
  <c r="I5119" i="2"/>
  <c r="H5119" i="2"/>
  <c r="G5119" i="2"/>
  <c r="I5118" i="2"/>
  <c r="H5118" i="2"/>
  <c r="G5118" i="2"/>
  <c r="I5117" i="2"/>
  <c r="H5117" i="2"/>
  <c r="G5117" i="2"/>
  <c r="I5116" i="2"/>
  <c r="H5116" i="2"/>
  <c r="G5116" i="2"/>
  <c r="I5115" i="2"/>
  <c r="H5115" i="2"/>
  <c r="G5115" i="2"/>
  <c r="I5114" i="2"/>
  <c r="H5114" i="2"/>
  <c r="G5114" i="2"/>
  <c r="I5113" i="2"/>
  <c r="H5113" i="2"/>
  <c r="G5113" i="2"/>
  <c r="I5112" i="2"/>
  <c r="H5112" i="2"/>
  <c r="G5112" i="2"/>
  <c r="I5111" i="2"/>
  <c r="H5111" i="2"/>
  <c r="G5111" i="2"/>
  <c r="I5110" i="2"/>
  <c r="H5110" i="2"/>
  <c r="G5110" i="2"/>
  <c r="I5109" i="2"/>
  <c r="H5109" i="2"/>
  <c r="G5109" i="2"/>
  <c r="I5108" i="2"/>
  <c r="H5108" i="2"/>
  <c r="G5108" i="2"/>
  <c r="I5107" i="2"/>
  <c r="H5107" i="2"/>
  <c r="G5107" i="2"/>
  <c r="I5106" i="2"/>
  <c r="H5106" i="2"/>
  <c r="G5106" i="2"/>
  <c r="I5105" i="2"/>
  <c r="H5105" i="2"/>
  <c r="G5105" i="2"/>
  <c r="I5104" i="2"/>
  <c r="H5104" i="2"/>
  <c r="G5104" i="2"/>
  <c r="I5103" i="2"/>
  <c r="H5103" i="2"/>
  <c r="G5103" i="2"/>
  <c r="I5102" i="2"/>
  <c r="H5102" i="2"/>
  <c r="G5102" i="2"/>
  <c r="I5101" i="2"/>
  <c r="H5101" i="2"/>
  <c r="G5101" i="2"/>
  <c r="I5100" i="2"/>
  <c r="H5100" i="2"/>
  <c r="G5100" i="2"/>
  <c r="I5099" i="2"/>
  <c r="H5099" i="2"/>
  <c r="G5099" i="2"/>
  <c r="I5098" i="2"/>
  <c r="H5098" i="2"/>
  <c r="G5098" i="2"/>
  <c r="I5097" i="2"/>
  <c r="H5097" i="2"/>
  <c r="G5097" i="2"/>
  <c r="I5096" i="2"/>
  <c r="H5096" i="2"/>
  <c r="G5096" i="2"/>
  <c r="I5095" i="2"/>
  <c r="H5095" i="2"/>
  <c r="G5095" i="2"/>
  <c r="I5094" i="2"/>
  <c r="H5094" i="2"/>
  <c r="G5094" i="2"/>
  <c r="I5093" i="2"/>
  <c r="H5093" i="2"/>
  <c r="G5093" i="2"/>
  <c r="I5092" i="2"/>
  <c r="H5092" i="2"/>
  <c r="G5092" i="2"/>
  <c r="I5091" i="2"/>
  <c r="H5091" i="2"/>
  <c r="G5091" i="2"/>
  <c r="I5090" i="2"/>
  <c r="H5090" i="2"/>
  <c r="G5090" i="2"/>
  <c r="I5089" i="2"/>
  <c r="H5089" i="2"/>
  <c r="G5089" i="2"/>
  <c r="I5088" i="2"/>
  <c r="H5088" i="2"/>
  <c r="G5088" i="2"/>
  <c r="I5087" i="2"/>
  <c r="H5087" i="2"/>
  <c r="G5087" i="2"/>
  <c r="I5086" i="2"/>
  <c r="H5086" i="2"/>
  <c r="G5086" i="2"/>
  <c r="I5085" i="2"/>
  <c r="H5085" i="2"/>
  <c r="G5085" i="2"/>
  <c r="I5084" i="2"/>
  <c r="H5084" i="2"/>
  <c r="G5084" i="2"/>
  <c r="I5083" i="2"/>
  <c r="H5083" i="2"/>
  <c r="G5083" i="2"/>
  <c r="I5082" i="2"/>
  <c r="H5082" i="2"/>
  <c r="G5082" i="2"/>
  <c r="I5081" i="2"/>
  <c r="H5081" i="2"/>
  <c r="G5081" i="2"/>
  <c r="I5080" i="2"/>
  <c r="H5080" i="2"/>
  <c r="G5080" i="2"/>
  <c r="I5079" i="2"/>
  <c r="H5079" i="2"/>
  <c r="G5079" i="2"/>
  <c r="I5078" i="2"/>
  <c r="H5078" i="2"/>
  <c r="G5078" i="2"/>
  <c r="I5077" i="2"/>
  <c r="H5077" i="2"/>
  <c r="G5077" i="2"/>
  <c r="I5076" i="2"/>
  <c r="H5076" i="2"/>
  <c r="G5076" i="2"/>
  <c r="I5075" i="2"/>
  <c r="H5075" i="2"/>
  <c r="G5075" i="2"/>
  <c r="I5074" i="2"/>
  <c r="H5074" i="2"/>
  <c r="G5074" i="2"/>
  <c r="I5073" i="2"/>
  <c r="H5073" i="2"/>
  <c r="G5073" i="2"/>
  <c r="I5072" i="2"/>
  <c r="H5072" i="2"/>
  <c r="G5072" i="2"/>
  <c r="I5071" i="2"/>
  <c r="H5071" i="2"/>
  <c r="G5071" i="2"/>
  <c r="I5070" i="2"/>
  <c r="H5070" i="2"/>
  <c r="G5070" i="2"/>
  <c r="I5069" i="2"/>
  <c r="H5069" i="2"/>
  <c r="G5069" i="2"/>
  <c r="I5068" i="2"/>
  <c r="H5068" i="2"/>
  <c r="G5068" i="2"/>
  <c r="I5067" i="2"/>
  <c r="H5067" i="2"/>
  <c r="G5067" i="2"/>
  <c r="I5066" i="2"/>
  <c r="H5066" i="2"/>
  <c r="G5066" i="2"/>
  <c r="I5065" i="2"/>
  <c r="H5065" i="2"/>
  <c r="G5065" i="2"/>
  <c r="I5064" i="2"/>
  <c r="H5064" i="2"/>
  <c r="G5064" i="2"/>
  <c r="I5063" i="2"/>
  <c r="H5063" i="2"/>
  <c r="G5063" i="2"/>
  <c r="I5062" i="2"/>
  <c r="H5062" i="2"/>
  <c r="G5062" i="2"/>
  <c r="I5061" i="2"/>
  <c r="H5061" i="2"/>
  <c r="G5061" i="2"/>
  <c r="I5060" i="2"/>
  <c r="H5060" i="2"/>
  <c r="G5060" i="2"/>
  <c r="I5059" i="2"/>
  <c r="H5059" i="2"/>
  <c r="G5059" i="2"/>
  <c r="I5058" i="2"/>
  <c r="H5058" i="2"/>
  <c r="G5058" i="2"/>
  <c r="I5057" i="2"/>
  <c r="H5057" i="2"/>
  <c r="G5057" i="2"/>
  <c r="I5056" i="2"/>
  <c r="H5056" i="2"/>
  <c r="G5056" i="2"/>
  <c r="I5055" i="2"/>
  <c r="H5055" i="2"/>
  <c r="G5055" i="2"/>
  <c r="I5054" i="2"/>
  <c r="H5054" i="2"/>
  <c r="G5054" i="2"/>
  <c r="I5053" i="2"/>
  <c r="H5053" i="2"/>
  <c r="G5053" i="2"/>
  <c r="I5052" i="2"/>
  <c r="H5052" i="2"/>
  <c r="G5052" i="2"/>
  <c r="I5051" i="2"/>
  <c r="H5051" i="2"/>
  <c r="G5051" i="2"/>
  <c r="I5050" i="2"/>
  <c r="H5050" i="2"/>
  <c r="G5050" i="2"/>
  <c r="I5049" i="2"/>
  <c r="H5049" i="2"/>
  <c r="G5049" i="2"/>
  <c r="I5048" i="2"/>
  <c r="H5048" i="2"/>
  <c r="G5048" i="2"/>
  <c r="I5047" i="2"/>
  <c r="H5047" i="2"/>
  <c r="G5047" i="2"/>
  <c r="I5046" i="2"/>
  <c r="H5046" i="2"/>
  <c r="G5046" i="2"/>
  <c r="I5045" i="2"/>
  <c r="H5045" i="2"/>
  <c r="G5045" i="2"/>
  <c r="I5044" i="2"/>
  <c r="H5044" i="2"/>
  <c r="G5044" i="2"/>
  <c r="I5043" i="2"/>
  <c r="H5043" i="2"/>
  <c r="G5043" i="2"/>
  <c r="I5042" i="2"/>
  <c r="H5042" i="2"/>
  <c r="G5042" i="2"/>
  <c r="I5041" i="2"/>
  <c r="H5041" i="2"/>
  <c r="G5041" i="2"/>
  <c r="I5040" i="2"/>
  <c r="H5040" i="2"/>
  <c r="G5040" i="2"/>
  <c r="I5039" i="2"/>
  <c r="H5039" i="2"/>
  <c r="G5039" i="2"/>
  <c r="I5038" i="2"/>
  <c r="H5038" i="2"/>
  <c r="G5038" i="2"/>
  <c r="I5037" i="2"/>
  <c r="H5037" i="2"/>
  <c r="G5037" i="2"/>
  <c r="I5036" i="2"/>
  <c r="H5036" i="2"/>
  <c r="G5036" i="2"/>
  <c r="I5035" i="2"/>
  <c r="H5035" i="2"/>
  <c r="G5035" i="2"/>
  <c r="I5034" i="2"/>
  <c r="H5034" i="2"/>
  <c r="G5034" i="2"/>
  <c r="I5033" i="2"/>
  <c r="H5033" i="2"/>
  <c r="G5033" i="2"/>
  <c r="I5032" i="2"/>
  <c r="H5032" i="2"/>
  <c r="G5032" i="2"/>
  <c r="I5031" i="2"/>
  <c r="H5031" i="2"/>
  <c r="G5031" i="2"/>
  <c r="I5030" i="2"/>
  <c r="H5030" i="2"/>
  <c r="G5030" i="2"/>
  <c r="I5029" i="2"/>
  <c r="H5029" i="2"/>
  <c r="G5029" i="2"/>
  <c r="I5028" i="2"/>
  <c r="H5028" i="2"/>
  <c r="G5028" i="2"/>
  <c r="I5027" i="2"/>
  <c r="H5027" i="2"/>
  <c r="G5027" i="2"/>
  <c r="I5026" i="2"/>
  <c r="H5026" i="2"/>
  <c r="G5026" i="2"/>
  <c r="I5025" i="2"/>
  <c r="H5025" i="2"/>
  <c r="G5025" i="2"/>
  <c r="I5024" i="2"/>
  <c r="H5024" i="2"/>
  <c r="G5024" i="2"/>
  <c r="I5023" i="2"/>
  <c r="H5023" i="2"/>
  <c r="G5023" i="2"/>
  <c r="I5022" i="2"/>
  <c r="H5022" i="2"/>
  <c r="G5022" i="2"/>
  <c r="I5021" i="2"/>
  <c r="H5021" i="2"/>
  <c r="G5021" i="2"/>
  <c r="I5020" i="2"/>
  <c r="H5020" i="2"/>
  <c r="G5020" i="2"/>
  <c r="I5019" i="2"/>
  <c r="H5019" i="2"/>
  <c r="G5019" i="2"/>
  <c r="I5018" i="2"/>
  <c r="H5018" i="2"/>
  <c r="G5018" i="2"/>
  <c r="I5017" i="2"/>
  <c r="H5017" i="2"/>
  <c r="G5017" i="2"/>
  <c r="I5016" i="2"/>
  <c r="H5016" i="2"/>
  <c r="G5016" i="2"/>
  <c r="I5015" i="2"/>
  <c r="H5015" i="2"/>
  <c r="G5015" i="2"/>
  <c r="I5014" i="2"/>
  <c r="H5014" i="2"/>
  <c r="G5014" i="2"/>
  <c r="I5013" i="2"/>
  <c r="H5013" i="2"/>
  <c r="G5013" i="2"/>
  <c r="I5012" i="2"/>
  <c r="H5012" i="2"/>
  <c r="G5012" i="2"/>
  <c r="I5011" i="2"/>
  <c r="H5011" i="2"/>
  <c r="G5011" i="2"/>
  <c r="I5010" i="2"/>
  <c r="H5010" i="2"/>
  <c r="G5010" i="2"/>
  <c r="I5009" i="2"/>
  <c r="H5009" i="2"/>
  <c r="G5009" i="2"/>
  <c r="I5008" i="2"/>
  <c r="H5008" i="2"/>
  <c r="G5008" i="2"/>
  <c r="I5007" i="2"/>
  <c r="H5007" i="2"/>
  <c r="G5007" i="2"/>
  <c r="I5006" i="2"/>
  <c r="H5006" i="2"/>
  <c r="G5006" i="2"/>
  <c r="I5005" i="2"/>
  <c r="H5005" i="2"/>
  <c r="G5005" i="2"/>
  <c r="I5004" i="2"/>
  <c r="H5004" i="2"/>
  <c r="G5004" i="2"/>
  <c r="I5003" i="2"/>
  <c r="H5003" i="2"/>
  <c r="G5003" i="2"/>
  <c r="I5002" i="2"/>
  <c r="H5002" i="2"/>
  <c r="G5002" i="2"/>
  <c r="I5001" i="2"/>
  <c r="H5001" i="2"/>
  <c r="G5001" i="2"/>
  <c r="I5000" i="2"/>
  <c r="H5000" i="2"/>
  <c r="G5000" i="2"/>
  <c r="I4999" i="2"/>
  <c r="H4999" i="2"/>
  <c r="G4999" i="2"/>
  <c r="I4998" i="2"/>
  <c r="H4998" i="2"/>
  <c r="G4998" i="2"/>
  <c r="I4997" i="2"/>
  <c r="H4997" i="2"/>
  <c r="G4997" i="2"/>
  <c r="I4996" i="2"/>
  <c r="H4996" i="2"/>
  <c r="G4996" i="2"/>
  <c r="I4995" i="2"/>
  <c r="H4995" i="2"/>
  <c r="G4995" i="2"/>
  <c r="I4994" i="2"/>
  <c r="H4994" i="2"/>
  <c r="G4994" i="2"/>
  <c r="I4993" i="2"/>
  <c r="H4993" i="2"/>
  <c r="G4993" i="2"/>
  <c r="I4992" i="2"/>
  <c r="H4992" i="2"/>
  <c r="G4992" i="2"/>
  <c r="I4991" i="2"/>
  <c r="H4991" i="2"/>
  <c r="G4991" i="2"/>
  <c r="I4990" i="2"/>
  <c r="H4990" i="2"/>
  <c r="G4990" i="2"/>
  <c r="I4989" i="2"/>
  <c r="H4989" i="2"/>
  <c r="G4989" i="2"/>
  <c r="I4988" i="2"/>
  <c r="H4988" i="2"/>
  <c r="G4988" i="2"/>
  <c r="I4987" i="2"/>
  <c r="H4987" i="2"/>
  <c r="G4987" i="2"/>
  <c r="I4986" i="2"/>
  <c r="H4986" i="2"/>
  <c r="G4986" i="2"/>
  <c r="I4985" i="2"/>
  <c r="H4985" i="2"/>
  <c r="G4985" i="2"/>
  <c r="I4984" i="2"/>
  <c r="H4984" i="2"/>
  <c r="G4984" i="2"/>
  <c r="I4983" i="2"/>
  <c r="H4983" i="2"/>
  <c r="G4983" i="2"/>
  <c r="I4982" i="2"/>
  <c r="H4982" i="2"/>
  <c r="G4982" i="2"/>
  <c r="I4981" i="2"/>
  <c r="H4981" i="2"/>
  <c r="G4981" i="2"/>
  <c r="I4980" i="2"/>
  <c r="H4980" i="2"/>
  <c r="G4980" i="2"/>
  <c r="I4979" i="2"/>
  <c r="H4979" i="2"/>
  <c r="G4979" i="2"/>
  <c r="I4978" i="2"/>
  <c r="H4978" i="2"/>
  <c r="G4978" i="2"/>
  <c r="I4977" i="2"/>
  <c r="H4977" i="2"/>
  <c r="G4977" i="2"/>
  <c r="I4976" i="2"/>
  <c r="H4976" i="2"/>
  <c r="G4976" i="2"/>
  <c r="I4975" i="2"/>
  <c r="H4975" i="2"/>
  <c r="G4975" i="2"/>
  <c r="I4974" i="2"/>
  <c r="H4974" i="2"/>
  <c r="G4974" i="2"/>
  <c r="I4973" i="2"/>
  <c r="H4973" i="2"/>
  <c r="G4973" i="2"/>
  <c r="I4972" i="2"/>
  <c r="H4972" i="2"/>
  <c r="G4972" i="2"/>
  <c r="I4971" i="2"/>
  <c r="H4971" i="2"/>
  <c r="G4971" i="2"/>
  <c r="I4970" i="2"/>
  <c r="H4970" i="2"/>
  <c r="G4970" i="2"/>
  <c r="I4969" i="2"/>
  <c r="H4969" i="2"/>
  <c r="G4969" i="2"/>
  <c r="I4968" i="2"/>
  <c r="H4968" i="2"/>
  <c r="G4968" i="2"/>
  <c r="I4967" i="2"/>
  <c r="H4967" i="2"/>
  <c r="G4967" i="2"/>
  <c r="I4966" i="2"/>
  <c r="H4966" i="2"/>
  <c r="G4966" i="2"/>
  <c r="I4965" i="2"/>
  <c r="H4965" i="2"/>
  <c r="G4965" i="2"/>
  <c r="I4964" i="2"/>
  <c r="H4964" i="2"/>
  <c r="G4964" i="2"/>
  <c r="I4963" i="2"/>
  <c r="H4963" i="2"/>
  <c r="G4963" i="2"/>
  <c r="I4962" i="2"/>
  <c r="H4962" i="2"/>
  <c r="G4962" i="2"/>
  <c r="I4961" i="2"/>
  <c r="H4961" i="2"/>
  <c r="G4961" i="2"/>
  <c r="I4960" i="2"/>
  <c r="H4960" i="2"/>
  <c r="G4960" i="2"/>
  <c r="I4959" i="2"/>
  <c r="H4959" i="2"/>
  <c r="G4959" i="2"/>
  <c r="I4958" i="2"/>
  <c r="H4958" i="2"/>
  <c r="G4958" i="2"/>
  <c r="I4957" i="2"/>
  <c r="H4957" i="2"/>
  <c r="G4957" i="2"/>
  <c r="I4956" i="2"/>
  <c r="H4956" i="2"/>
  <c r="G4956" i="2"/>
  <c r="I4955" i="2"/>
  <c r="H4955" i="2"/>
  <c r="G4955" i="2"/>
  <c r="I4954" i="2"/>
  <c r="H4954" i="2"/>
  <c r="G4954" i="2"/>
  <c r="I4953" i="2"/>
  <c r="H4953" i="2"/>
  <c r="G4953" i="2"/>
  <c r="I4952" i="2"/>
  <c r="H4952" i="2"/>
  <c r="G4952" i="2"/>
  <c r="I4951" i="2"/>
  <c r="H4951" i="2"/>
  <c r="G4951" i="2"/>
  <c r="I4950" i="2"/>
  <c r="H4950" i="2"/>
  <c r="G4950" i="2"/>
  <c r="I4949" i="2"/>
  <c r="H4949" i="2"/>
  <c r="G4949" i="2"/>
  <c r="I4948" i="2"/>
  <c r="H4948" i="2"/>
  <c r="G4948" i="2"/>
  <c r="I4947" i="2"/>
  <c r="H4947" i="2"/>
  <c r="G4947" i="2"/>
  <c r="I4946" i="2"/>
  <c r="H4946" i="2"/>
  <c r="G4946" i="2"/>
  <c r="I4945" i="2"/>
  <c r="H4945" i="2"/>
  <c r="G4945" i="2"/>
  <c r="I4944" i="2"/>
  <c r="H4944" i="2"/>
  <c r="G4944" i="2"/>
  <c r="I4943" i="2"/>
  <c r="H4943" i="2"/>
  <c r="G4943" i="2"/>
  <c r="I4942" i="2"/>
  <c r="H4942" i="2"/>
  <c r="G4942" i="2"/>
  <c r="I4941" i="2"/>
  <c r="H4941" i="2"/>
  <c r="G4941" i="2"/>
  <c r="I4940" i="2"/>
  <c r="H4940" i="2"/>
  <c r="G4940" i="2"/>
  <c r="I4939" i="2"/>
  <c r="H4939" i="2"/>
  <c r="G4939" i="2"/>
  <c r="I4938" i="2"/>
  <c r="H4938" i="2"/>
  <c r="G4938" i="2"/>
  <c r="I4937" i="2"/>
  <c r="H4937" i="2"/>
  <c r="G4937" i="2"/>
  <c r="I4936" i="2"/>
  <c r="H4936" i="2"/>
  <c r="G4936" i="2"/>
  <c r="I4935" i="2"/>
  <c r="H4935" i="2"/>
  <c r="G4935" i="2"/>
  <c r="I4934" i="2"/>
  <c r="H4934" i="2"/>
  <c r="G4934" i="2"/>
  <c r="I4933" i="2"/>
  <c r="H4933" i="2"/>
  <c r="G4933" i="2"/>
  <c r="I4932" i="2"/>
  <c r="H4932" i="2"/>
  <c r="G4932" i="2"/>
  <c r="I4931" i="2"/>
  <c r="H4931" i="2"/>
  <c r="G4931" i="2"/>
  <c r="I4930" i="2"/>
  <c r="H4930" i="2"/>
  <c r="G4930" i="2"/>
  <c r="I4929" i="2"/>
  <c r="H4929" i="2"/>
  <c r="G4929" i="2"/>
  <c r="I4928" i="2"/>
  <c r="H4928" i="2"/>
  <c r="G4928" i="2"/>
  <c r="I4927" i="2"/>
  <c r="H4927" i="2"/>
  <c r="G4927" i="2"/>
  <c r="I4926" i="2"/>
  <c r="H4926" i="2"/>
  <c r="G4926" i="2"/>
  <c r="I4925" i="2"/>
  <c r="H4925" i="2"/>
  <c r="G4925" i="2"/>
  <c r="I4924" i="2"/>
  <c r="H4924" i="2"/>
  <c r="G4924" i="2"/>
  <c r="I4923" i="2"/>
  <c r="H4923" i="2"/>
  <c r="G4923" i="2"/>
  <c r="I4922" i="2"/>
  <c r="H4922" i="2"/>
  <c r="G4922" i="2"/>
  <c r="I4921" i="2"/>
  <c r="H4921" i="2"/>
  <c r="G4921" i="2"/>
  <c r="I4920" i="2"/>
  <c r="H4920" i="2"/>
  <c r="G4920" i="2"/>
  <c r="I4919" i="2"/>
  <c r="H4919" i="2"/>
  <c r="G4919" i="2"/>
  <c r="I4918" i="2"/>
  <c r="H4918" i="2"/>
  <c r="G4918" i="2"/>
  <c r="I4917" i="2"/>
  <c r="H4917" i="2"/>
  <c r="G4917" i="2"/>
  <c r="I4916" i="2"/>
  <c r="H4916" i="2"/>
  <c r="G4916" i="2"/>
  <c r="I4915" i="2"/>
  <c r="H4915" i="2"/>
  <c r="G4915" i="2"/>
  <c r="I4914" i="2"/>
  <c r="H4914" i="2"/>
  <c r="G4914" i="2"/>
  <c r="I4913" i="2"/>
  <c r="H4913" i="2"/>
  <c r="G4913" i="2"/>
  <c r="I4912" i="2"/>
  <c r="H4912" i="2"/>
  <c r="G4912" i="2"/>
  <c r="I4911" i="2"/>
  <c r="H4911" i="2"/>
  <c r="G4911" i="2"/>
  <c r="I4910" i="2"/>
  <c r="H4910" i="2"/>
  <c r="G4910" i="2"/>
  <c r="I4909" i="2"/>
  <c r="H4909" i="2"/>
  <c r="G4909" i="2"/>
  <c r="I4908" i="2"/>
  <c r="H4908" i="2"/>
  <c r="G4908" i="2"/>
  <c r="I4907" i="2"/>
  <c r="H4907" i="2"/>
  <c r="G4907" i="2"/>
  <c r="I4906" i="2"/>
  <c r="H4906" i="2"/>
  <c r="G4906" i="2"/>
  <c r="I4905" i="2"/>
  <c r="H4905" i="2"/>
  <c r="G4905" i="2"/>
  <c r="I4904" i="2"/>
  <c r="H4904" i="2"/>
  <c r="G4904" i="2"/>
  <c r="I4903" i="2"/>
  <c r="H4903" i="2"/>
  <c r="G4903" i="2"/>
  <c r="I4902" i="2"/>
  <c r="H4902" i="2"/>
  <c r="G4902" i="2"/>
  <c r="I4901" i="2"/>
  <c r="H4901" i="2"/>
  <c r="G4901" i="2"/>
  <c r="I4900" i="2"/>
  <c r="H4900" i="2"/>
  <c r="G4900" i="2"/>
  <c r="I4899" i="2"/>
  <c r="H4899" i="2"/>
  <c r="G4899" i="2"/>
  <c r="I4898" i="2"/>
  <c r="H4898" i="2"/>
  <c r="G4898" i="2"/>
  <c r="I4897" i="2"/>
  <c r="H4897" i="2"/>
  <c r="G4897" i="2"/>
  <c r="I4896" i="2"/>
  <c r="H4896" i="2"/>
  <c r="G4896" i="2"/>
  <c r="I4895" i="2"/>
  <c r="H4895" i="2"/>
  <c r="G4895" i="2"/>
  <c r="I4894" i="2"/>
  <c r="H4894" i="2"/>
  <c r="G4894" i="2"/>
  <c r="I4893" i="2"/>
  <c r="H4893" i="2"/>
  <c r="G4893" i="2"/>
  <c r="I4892" i="2"/>
  <c r="H4892" i="2"/>
  <c r="G4892" i="2"/>
  <c r="I4891" i="2"/>
  <c r="H4891" i="2"/>
  <c r="G4891" i="2"/>
  <c r="I4890" i="2"/>
  <c r="H4890" i="2"/>
  <c r="G4890" i="2"/>
  <c r="I4889" i="2"/>
  <c r="H4889" i="2"/>
  <c r="G4889" i="2"/>
  <c r="I4888" i="2"/>
  <c r="H4888" i="2"/>
  <c r="G4888" i="2"/>
  <c r="I4887" i="2"/>
  <c r="H4887" i="2"/>
  <c r="G4887" i="2"/>
  <c r="I4886" i="2"/>
  <c r="H4886" i="2"/>
  <c r="G4886" i="2"/>
  <c r="I4885" i="2"/>
  <c r="H4885" i="2"/>
  <c r="G4885" i="2"/>
  <c r="I4884" i="2"/>
  <c r="H4884" i="2"/>
  <c r="G4884" i="2"/>
  <c r="I4883" i="2"/>
  <c r="H4883" i="2"/>
  <c r="G4883" i="2"/>
  <c r="I4882" i="2"/>
  <c r="H4882" i="2"/>
  <c r="G4882" i="2"/>
  <c r="I4881" i="2"/>
  <c r="H4881" i="2"/>
  <c r="G4881" i="2"/>
  <c r="I4880" i="2"/>
  <c r="H4880" i="2"/>
  <c r="G4880" i="2"/>
  <c r="I4879" i="2"/>
  <c r="H4879" i="2"/>
  <c r="G4879" i="2"/>
  <c r="I4878" i="2"/>
  <c r="H4878" i="2"/>
  <c r="G4878" i="2"/>
  <c r="I4877" i="2"/>
  <c r="H4877" i="2"/>
  <c r="G4877" i="2"/>
  <c r="I4876" i="2"/>
  <c r="H4876" i="2"/>
  <c r="G4876" i="2"/>
  <c r="I4875" i="2"/>
  <c r="H4875" i="2"/>
  <c r="G4875" i="2"/>
  <c r="I4874" i="2"/>
  <c r="H4874" i="2"/>
  <c r="G4874" i="2"/>
  <c r="I4873" i="2"/>
  <c r="H4873" i="2"/>
  <c r="G4873" i="2"/>
  <c r="I4872" i="2"/>
  <c r="H4872" i="2"/>
  <c r="G4872" i="2"/>
  <c r="I4871" i="2"/>
  <c r="H4871" i="2"/>
  <c r="G4871" i="2"/>
  <c r="I4870" i="2"/>
  <c r="H4870" i="2"/>
  <c r="G4870" i="2"/>
  <c r="I4869" i="2"/>
  <c r="H4869" i="2"/>
  <c r="G4869" i="2"/>
  <c r="I4868" i="2"/>
  <c r="H4868" i="2"/>
  <c r="G4868" i="2"/>
  <c r="I4867" i="2"/>
  <c r="H4867" i="2"/>
  <c r="G4867" i="2"/>
  <c r="I4866" i="2"/>
  <c r="H4866" i="2"/>
  <c r="G4866" i="2"/>
  <c r="I4865" i="2"/>
  <c r="H4865" i="2"/>
  <c r="G4865" i="2"/>
  <c r="I4864" i="2"/>
  <c r="H4864" i="2"/>
  <c r="G4864" i="2"/>
  <c r="I4863" i="2"/>
  <c r="H4863" i="2"/>
  <c r="G4863" i="2"/>
  <c r="I4862" i="2"/>
  <c r="H4862" i="2"/>
  <c r="G4862" i="2"/>
  <c r="I4861" i="2"/>
  <c r="H4861" i="2"/>
  <c r="G4861" i="2"/>
  <c r="I4860" i="2"/>
  <c r="H4860" i="2"/>
  <c r="G4860" i="2"/>
  <c r="I4859" i="2"/>
  <c r="H4859" i="2"/>
  <c r="G4859" i="2"/>
  <c r="I4858" i="2"/>
  <c r="H4858" i="2"/>
  <c r="G4858" i="2"/>
  <c r="I4857" i="2"/>
  <c r="H4857" i="2"/>
  <c r="G4857" i="2"/>
  <c r="I4856" i="2"/>
  <c r="H4856" i="2"/>
  <c r="G4856" i="2"/>
  <c r="I4855" i="2"/>
  <c r="H4855" i="2"/>
  <c r="G4855" i="2"/>
  <c r="I4854" i="2"/>
  <c r="H4854" i="2"/>
  <c r="G4854" i="2"/>
  <c r="I4853" i="2"/>
  <c r="H4853" i="2"/>
  <c r="G4853" i="2"/>
  <c r="I4852" i="2"/>
  <c r="H4852" i="2"/>
  <c r="G4852" i="2"/>
  <c r="I4851" i="2"/>
  <c r="H4851" i="2"/>
  <c r="G4851" i="2"/>
  <c r="I4850" i="2"/>
  <c r="H4850" i="2"/>
  <c r="G4850" i="2"/>
  <c r="I4849" i="2"/>
  <c r="H4849" i="2"/>
  <c r="G4849" i="2"/>
  <c r="I4848" i="2"/>
  <c r="H4848" i="2"/>
  <c r="G4848" i="2"/>
  <c r="I4847" i="2"/>
  <c r="H4847" i="2"/>
  <c r="G4847" i="2"/>
  <c r="I4846" i="2"/>
  <c r="H4846" i="2"/>
  <c r="G4846" i="2"/>
  <c r="I4845" i="2"/>
  <c r="H4845" i="2"/>
  <c r="G4845" i="2"/>
  <c r="I4844" i="2"/>
  <c r="H4844" i="2"/>
  <c r="G4844" i="2"/>
  <c r="I4843" i="2"/>
  <c r="H4843" i="2"/>
  <c r="G4843" i="2"/>
  <c r="I4842" i="2"/>
  <c r="H4842" i="2"/>
  <c r="G4842" i="2"/>
  <c r="I4841" i="2"/>
  <c r="H4841" i="2"/>
  <c r="G4841" i="2"/>
  <c r="I4840" i="2"/>
  <c r="H4840" i="2"/>
  <c r="G4840" i="2"/>
  <c r="I4839" i="2"/>
  <c r="H4839" i="2"/>
  <c r="G4839" i="2"/>
  <c r="I4838" i="2"/>
  <c r="H4838" i="2"/>
  <c r="G4838" i="2"/>
  <c r="I4837" i="2"/>
  <c r="H4837" i="2"/>
  <c r="G4837" i="2"/>
  <c r="I4836" i="2"/>
  <c r="H4836" i="2"/>
  <c r="G4836" i="2"/>
  <c r="I4835" i="2"/>
  <c r="H4835" i="2"/>
  <c r="G4835" i="2"/>
  <c r="I4834" i="2"/>
  <c r="H4834" i="2"/>
  <c r="G4834" i="2"/>
  <c r="I4833" i="2"/>
  <c r="H4833" i="2"/>
  <c r="G4833" i="2"/>
  <c r="I4832" i="2"/>
  <c r="H4832" i="2"/>
  <c r="G4832" i="2"/>
  <c r="I4831" i="2"/>
  <c r="H4831" i="2"/>
  <c r="G4831" i="2"/>
  <c r="I4830" i="2"/>
  <c r="H4830" i="2"/>
  <c r="G4830" i="2"/>
  <c r="I4829" i="2"/>
  <c r="H4829" i="2"/>
  <c r="G4829" i="2"/>
  <c r="I4828" i="2"/>
  <c r="H4828" i="2"/>
  <c r="G4828" i="2"/>
  <c r="I4827" i="2"/>
  <c r="H4827" i="2"/>
  <c r="G4827" i="2"/>
  <c r="I4826" i="2"/>
  <c r="H4826" i="2"/>
  <c r="G4826" i="2"/>
  <c r="I4825" i="2"/>
  <c r="H4825" i="2"/>
  <c r="G4825" i="2"/>
  <c r="I4824" i="2"/>
  <c r="H4824" i="2"/>
  <c r="G4824" i="2"/>
  <c r="I4823" i="2"/>
  <c r="H4823" i="2"/>
  <c r="G4823" i="2"/>
  <c r="I4822" i="2"/>
  <c r="H4822" i="2"/>
  <c r="G4822" i="2"/>
  <c r="I4821" i="2"/>
  <c r="H4821" i="2"/>
  <c r="G4821" i="2"/>
  <c r="I4820" i="2"/>
  <c r="H4820" i="2"/>
  <c r="G4820" i="2"/>
  <c r="I4819" i="2"/>
  <c r="H4819" i="2"/>
  <c r="G4819" i="2"/>
  <c r="I4818" i="2"/>
  <c r="H4818" i="2"/>
  <c r="G4818" i="2"/>
  <c r="I4817" i="2"/>
  <c r="H4817" i="2"/>
  <c r="G4817" i="2"/>
  <c r="I4816" i="2"/>
  <c r="H4816" i="2"/>
  <c r="G4816" i="2"/>
  <c r="I4815" i="2"/>
  <c r="H4815" i="2"/>
  <c r="G4815" i="2"/>
  <c r="I4814" i="2"/>
  <c r="H4814" i="2"/>
  <c r="G4814" i="2"/>
  <c r="I4813" i="2"/>
  <c r="H4813" i="2"/>
  <c r="G4813" i="2"/>
  <c r="I4812" i="2"/>
  <c r="H4812" i="2"/>
  <c r="G4812" i="2"/>
  <c r="I4811" i="2"/>
  <c r="H4811" i="2"/>
  <c r="G4811" i="2"/>
  <c r="I4810" i="2"/>
  <c r="H4810" i="2"/>
  <c r="G4810" i="2"/>
  <c r="I4809" i="2"/>
  <c r="H4809" i="2"/>
  <c r="G4809" i="2"/>
  <c r="I4808" i="2"/>
  <c r="H4808" i="2"/>
  <c r="G4808" i="2"/>
  <c r="I4807" i="2"/>
  <c r="H4807" i="2"/>
  <c r="G4807" i="2"/>
  <c r="I4806" i="2"/>
  <c r="H4806" i="2"/>
  <c r="G4806" i="2"/>
  <c r="I4805" i="2"/>
  <c r="H4805" i="2"/>
  <c r="G4805" i="2"/>
  <c r="I4804" i="2"/>
  <c r="H4804" i="2"/>
  <c r="G4804" i="2"/>
  <c r="I4803" i="2"/>
  <c r="H4803" i="2"/>
  <c r="G4803" i="2"/>
  <c r="I4802" i="2"/>
  <c r="H4802" i="2"/>
  <c r="G4802" i="2"/>
  <c r="I4801" i="2"/>
  <c r="H4801" i="2"/>
  <c r="G4801" i="2"/>
  <c r="I4800" i="2"/>
  <c r="H4800" i="2"/>
  <c r="G4800" i="2"/>
  <c r="I4799" i="2"/>
  <c r="H4799" i="2"/>
  <c r="G4799" i="2"/>
  <c r="I4798" i="2"/>
  <c r="H4798" i="2"/>
  <c r="G4798" i="2"/>
  <c r="I4797" i="2"/>
  <c r="H4797" i="2"/>
  <c r="G4797" i="2"/>
  <c r="I4796" i="2"/>
  <c r="H4796" i="2"/>
  <c r="G4796" i="2"/>
  <c r="I4795" i="2"/>
  <c r="H4795" i="2"/>
  <c r="G4795" i="2"/>
  <c r="I4794" i="2"/>
  <c r="H4794" i="2"/>
  <c r="G4794" i="2"/>
  <c r="I4793" i="2"/>
  <c r="H4793" i="2"/>
  <c r="G4793" i="2"/>
  <c r="I4792" i="2"/>
  <c r="H4792" i="2"/>
  <c r="G4792" i="2"/>
  <c r="I4791" i="2"/>
  <c r="H4791" i="2"/>
  <c r="G4791" i="2"/>
  <c r="I4790" i="2"/>
  <c r="H4790" i="2"/>
  <c r="G4790" i="2"/>
  <c r="I4789" i="2"/>
  <c r="H4789" i="2"/>
  <c r="G4789" i="2"/>
  <c r="I4788" i="2"/>
  <c r="H4788" i="2"/>
  <c r="G4788" i="2"/>
  <c r="I4787" i="2"/>
  <c r="H4787" i="2"/>
  <c r="G4787" i="2"/>
  <c r="I4786" i="2"/>
  <c r="H4786" i="2"/>
  <c r="G4786" i="2"/>
  <c r="I4785" i="2"/>
  <c r="H4785" i="2"/>
  <c r="G4785" i="2"/>
  <c r="I4784" i="2"/>
  <c r="H4784" i="2"/>
  <c r="G4784" i="2"/>
  <c r="I4783" i="2"/>
  <c r="H4783" i="2"/>
  <c r="G4783" i="2"/>
  <c r="I4782" i="2"/>
  <c r="H4782" i="2"/>
  <c r="G4782" i="2"/>
  <c r="I4781" i="2"/>
  <c r="H4781" i="2"/>
  <c r="G4781" i="2"/>
  <c r="I4780" i="2"/>
  <c r="H4780" i="2"/>
  <c r="G4780" i="2"/>
  <c r="I4779" i="2"/>
  <c r="H4779" i="2"/>
  <c r="G4779" i="2"/>
  <c r="I4778" i="2"/>
  <c r="H4778" i="2"/>
  <c r="G4778" i="2"/>
  <c r="I4777" i="2"/>
  <c r="H4777" i="2"/>
  <c r="G4777" i="2"/>
  <c r="I4776" i="2"/>
  <c r="H4776" i="2"/>
  <c r="G4776" i="2"/>
  <c r="I4775" i="2"/>
  <c r="H4775" i="2"/>
  <c r="G4775" i="2"/>
  <c r="I4774" i="2"/>
  <c r="H4774" i="2"/>
  <c r="G4774" i="2"/>
  <c r="I4773" i="2"/>
  <c r="H4773" i="2"/>
  <c r="G4773" i="2"/>
  <c r="I4772" i="2"/>
  <c r="H4772" i="2"/>
  <c r="G4772" i="2"/>
  <c r="I4771" i="2"/>
  <c r="H4771" i="2"/>
  <c r="G4771" i="2"/>
  <c r="I4770" i="2"/>
  <c r="H4770" i="2"/>
  <c r="G4770" i="2"/>
  <c r="I4769" i="2"/>
  <c r="H4769" i="2"/>
  <c r="G4769" i="2"/>
  <c r="I4768" i="2"/>
  <c r="H4768" i="2"/>
  <c r="G4768" i="2"/>
  <c r="I4767" i="2"/>
  <c r="H4767" i="2"/>
  <c r="G4767" i="2"/>
  <c r="I4766" i="2"/>
  <c r="H4766" i="2"/>
  <c r="G4766" i="2"/>
  <c r="I4765" i="2"/>
  <c r="H4765" i="2"/>
  <c r="G4765" i="2"/>
  <c r="I4764" i="2"/>
  <c r="H4764" i="2"/>
  <c r="G4764" i="2"/>
  <c r="I4763" i="2"/>
  <c r="H4763" i="2"/>
  <c r="G4763" i="2"/>
  <c r="I4762" i="2"/>
  <c r="H4762" i="2"/>
  <c r="G4762" i="2"/>
  <c r="I4761" i="2"/>
  <c r="H4761" i="2"/>
  <c r="G4761" i="2"/>
  <c r="I4760" i="2"/>
  <c r="H4760" i="2"/>
  <c r="G4760" i="2"/>
  <c r="I4759" i="2"/>
  <c r="H4759" i="2"/>
  <c r="G4759" i="2"/>
  <c r="I4758" i="2"/>
  <c r="H4758" i="2"/>
  <c r="G4758" i="2"/>
  <c r="I4757" i="2"/>
  <c r="H4757" i="2"/>
  <c r="G4757" i="2"/>
  <c r="I4756" i="2"/>
  <c r="H4756" i="2"/>
  <c r="G4756" i="2"/>
  <c r="I4755" i="2"/>
  <c r="H4755" i="2"/>
  <c r="G4755" i="2"/>
  <c r="I4754" i="2"/>
  <c r="H4754" i="2"/>
  <c r="G4754" i="2"/>
  <c r="I4753" i="2"/>
  <c r="H4753" i="2"/>
  <c r="G4753" i="2"/>
  <c r="I4752" i="2"/>
  <c r="H4752" i="2"/>
  <c r="G4752" i="2"/>
  <c r="I4751" i="2"/>
  <c r="H4751" i="2"/>
  <c r="G4751" i="2"/>
  <c r="I4750" i="2"/>
  <c r="H4750" i="2"/>
  <c r="G4750" i="2"/>
  <c r="I4749" i="2"/>
  <c r="H4749" i="2"/>
  <c r="G4749" i="2"/>
  <c r="I4748" i="2"/>
  <c r="H4748" i="2"/>
  <c r="G4748" i="2"/>
  <c r="I4747" i="2"/>
  <c r="H4747" i="2"/>
  <c r="G4747" i="2"/>
  <c r="I4746" i="2"/>
  <c r="H4746" i="2"/>
  <c r="G4746" i="2"/>
  <c r="I4745" i="2"/>
  <c r="H4745" i="2"/>
  <c r="G4745" i="2"/>
  <c r="I4744" i="2"/>
  <c r="H4744" i="2"/>
  <c r="G4744" i="2"/>
  <c r="I4743" i="2"/>
  <c r="H4743" i="2"/>
  <c r="G4743" i="2"/>
  <c r="I4742" i="2"/>
  <c r="H4742" i="2"/>
  <c r="G4742" i="2"/>
  <c r="I4741" i="2"/>
  <c r="H4741" i="2"/>
  <c r="G4741" i="2"/>
  <c r="I4740" i="2"/>
  <c r="H4740" i="2"/>
  <c r="G4740" i="2"/>
  <c r="I4739" i="2"/>
  <c r="H4739" i="2"/>
  <c r="G4739" i="2"/>
  <c r="I4738" i="2"/>
  <c r="H4738" i="2"/>
  <c r="G4738" i="2"/>
  <c r="I4737" i="2"/>
  <c r="H4737" i="2"/>
  <c r="G4737" i="2"/>
  <c r="I4736" i="2"/>
  <c r="H4736" i="2"/>
  <c r="G4736" i="2"/>
  <c r="I4735" i="2"/>
  <c r="H4735" i="2"/>
  <c r="G4735" i="2"/>
  <c r="I4734" i="2"/>
  <c r="H4734" i="2"/>
  <c r="G4734" i="2"/>
  <c r="I4733" i="2"/>
  <c r="H4733" i="2"/>
  <c r="G4733" i="2"/>
  <c r="I4732" i="2"/>
  <c r="H4732" i="2"/>
  <c r="G4732" i="2"/>
  <c r="I4731" i="2"/>
  <c r="H4731" i="2"/>
  <c r="G4731" i="2"/>
  <c r="I4730" i="2"/>
  <c r="H4730" i="2"/>
  <c r="G4730" i="2"/>
  <c r="I4729" i="2"/>
  <c r="H4729" i="2"/>
  <c r="G4729" i="2"/>
  <c r="I4728" i="2"/>
  <c r="H4728" i="2"/>
  <c r="G4728" i="2"/>
  <c r="I4727" i="2"/>
  <c r="H4727" i="2"/>
  <c r="G4727" i="2"/>
  <c r="I4726" i="2"/>
  <c r="H4726" i="2"/>
  <c r="G4726" i="2"/>
  <c r="I4725" i="2"/>
  <c r="H4725" i="2"/>
  <c r="G4725" i="2"/>
  <c r="I4724" i="2"/>
  <c r="H4724" i="2"/>
  <c r="G4724" i="2"/>
  <c r="I4723" i="2"/>
  <c r="H4723" i="2"/>
  <c r="G4723" i="2"/>
  <c r="I4722" i="2"/>
  <c r="H4722" i="2"/>
  <c r="G4722" i="2"/>
  <c r="I4721" i="2"/>
  <c r="H4721" i="2"/>
  <c r="G4721" i="2"/>
  <c r="I4720" i="2"/>
  <c r="H4720" i="2"/>
  <c r="G4720" i="2"/>
  <c r="I4719" i="2"/>
  <c r="H4719" i="2"/>
  <c r="G4719" i="2"/>
  <c r="I4718" i="2"/>
  <c r="H4718" i="2"/>
  <c r="G4718" i="2"/>
  <c r="I4717" i="2"/>
  <c r="H4717" i="2"/>
  <c r="G4717" i="2"/>
  <c r="I4716" i="2"/>
  <c r="H4716" i="2"/>
  <c r="G4716" i="2"/>
  <c r="I4715" i="2"/>
  <c r="H4715" i="2"/>
  <c r="G4715" i="2"/>
  <c r="I4714" i="2"/>
  <c r="H4714" i="2"/>
  <c r="G4714" i="2"/>
  <c r="I4713" i="2"/>
  <c r="H4713" i="2"/>
  <c r="G4713" i="2"/>
  <c r="I4712" i="2"/>
  <c r="H4712" i="2"/>
  <c r="G4712" i="2"/>
  <c r="I4711" i="2"/>
  <c r="H4711" i="2"/>
  <c r="G4711" i="2"/>
  <c r="I4710" i="2"/>
  <c r="H4710" i="2"/>
  <c r="G4710" i="2"/>
  <c r="I4709" i="2"/>
  <c r="H4709" i="2"/>
  <c r="G4709" i="2"/>
  <c r="I4708" i="2"/>
  <c r="H4708" i="2"/>
  <c r="G4708" i="2"/>
  <c r="I4707" i="2"/>
  <c r="H4707" i="2"/>
  <c r="G4707" i="2"/>
  <c r="I4706" i="2"/>
  <c r="H4706" i="2"/>
  <c r="G4706" i="2"/>
  <c r="I4705" i="2"/>
  <c r="H4705" i="2"/>
  <c r="G4705" i="2"/>
  <c r="I4704" i="2"/>
  <c r="H4704" i="2"/>
  <c r="G4704" i="2"/>
  <c r="I4703" i="2"/>
  <c r="H4703" i="2"/>
  <c r="G4703" i="2"/>
  <c r="I4702" i="2"/>
  <c r="H4702" i="2"/>
  <c r="G4702" i="2"/>
  <c r="I4701" i="2"/>
  <c r="H4701" i="2"/>
  <c r="G4701" i="2"/>
  <c r="I4700" i="2"/>
  <c r="H4700" i="2"/>
  <c r="G4700" i="2"/>
  <c r="I4699" i="2"/>
  <c r="H4699" i="2"/>
  <c r="G4699" i="2"/>
  <c r="I4698" i="2"/>
  <c r="H4698" i="2"/>
  <c r="G4698" i="2"/>
  <c r="I4697" i="2"/>
  <c r="H4697" i="2"/>
  <c r="G4697" i="2"/>
  <c r="I4696" i="2"/>
  <c r="H4696" i="2"/>
  <c r="G4696" i="2"/>
  <c r="I4695" i="2"/>
  <c r="H4695" i="2"/>
  <c r="G4695" i="2"/>
  <c r="I4694" i="2"/>
  <c r="H4694" i="2"/>
  <c r="G4694" i="2"/>
  <c r="I4693" i="2"/>
  <c r="H4693" i="2"/>
  <c r="G4693" i="2"/>
  <c r="I4692" i="2"/>
  <c r="H4692" i="2"/>
  <c r="G4692" i="2"/>
  <c r="I4691" i="2"/>
  <c r="H4691" i="2"/>
  <c r="G4691" i="2"/>
  <c r="I4690" i="2"/>
  <c r="H4690" i="2"/>
  <c r="G4690" i="2"/>
  <c r="I4689" i="2"/>
  <c r="H4689" i="2"/>
  <c r="G4689" i="2"/>
  <c r="I4688" i="2"/>
  <c r="H4688" i="2"/>
  <c r="G4688" i="2"/>
  <c r="I4687" i="2"/>
  <c r="H4687" i="2"/>
  <c r="G4687" i="2"/>
  <c r="I4686" i="2"/>
  <c r="H4686" i="2"/>
  <c r="G4686" i="2"/>
  <c r="I4685" i="2"/>
  <c r="H4685" i="2"/>
  <c r="G4685" i="2"/>
  <c r="I4684" i="2"/>
  <c r="H4684" i="2"/>
  <c r="G4684" i="2"/>
  <c r="I4683" i="2"/>
  <c r="H4683" i="2"/>
  <c r="G4683" i="2"/>
  <c r="I4682" i="2"/>
  <c r="H4682" i="2"/>
  <c r="G4682" i="2"/>
  <c r="I4681" i="2"/>
  <c r="H4681" i="2"/>
  <c r="G4681" i="2"/>
  <c r="I4680" i="2"/>
  <c r="H4680" i="2"/>
  <c r="G4680" i="2"/>
  <c r="I4679" i="2"/>
  <c r="H4679" i="2"/>
  <c r="G4679" i="2"/>
  <c r="I4678" i="2"/>
  <c r="H4678" i="2"/>
  <c r="G4678" i="2"/>
  <c r="I4677" i="2"/>
  <c r="H4677" i="2"/>
  <c r="G4677" i="2"/>
  <c r="I4676" i="2"/>
  <c r="H4676" i="2"/>
  <c r="G4676" i="2"/>
  <c r="I4675" i="2"/>
  <c r="H4675" i="2"/>
  <c r="G4675" i="2"/>
  <c r="I4674" i="2"/>
  <c r="H4674" i="2"/>
  <c r="G4674" i="2"/>
  <c r="I4673" i="2"/>
  <c r="H4673" i="2"/>
  <c r="G4673" i="2"/>
  <c r="I4672" i="2"/>
  <c r="H4672" i="2"/>
  <c r="G4672" i="2"/>
  <c r="I4671" i="2"/>
  <c r="H4671" i="2"/>
  <c r="G4671" i="2"/>
  <c r="I4670" i="2"/>
  <c r="H4670" i="2"/>
  <c r="G4670" i="2"/>
  <c r="I4669" i="2"/>
  <c r="H4669" i="2"/>
  <c r="G4669" i="2"/>
  <c r="I4668" i="2"/>
  <c r="H4668" i="2"/>
  <c r="G4668" i="2"/>
  <c r="I4667" i="2"/>
  <c r="H4667" i="2"/>
  <c r="G4667" i="2"/>
  <c r="I4666" i="2"/>
  <c r="H4666" i="2"/>
  <c r="G4666" i="2"/>
  <c r="I4665" i="2"/>
  <c r="H4665" i="2"/>
  <c r="G4665" i="2"/>
  <c r="I4664" i="2"/>
  <c r="H4664" i="2"/>
  <c r="G4664" i="2"/>
  <c r="I4663" i="2"/>
  <c r="H4663" i="2"/>
  <c r="G4663" i="2"/>
  <c r="I4662" i="2"/>
  <c r="H4662" i="2"/>
  <c r="G4662" i="2"/>
  <c r="I4661" i="2"/>
  <c r="H4661" i="2"/>
  <c r="G4661" i="2"/>
  <c r="I4660" i="2"/>
  <c r="H4660" i="2"/>
  <c r="G4660" i="2"/>
  <c r="I4659" i="2"/>
  <c r="H4659" i="2"/>
  <c r="G4659" i="2"/>
  <c r="I4658" i="2"/>
  <c r="H4658" i="2"/>
  <c r="G4658" i="2"/>
  <c r="I4657" i="2"/>
  <c r="H4657" i="2"/>
  <c r="G4657" i="2"/>
  <c r="I4656" i="2"/>
  <c r="H4656" i="2"/>
  <c r="G4656" i="2"/>
  <c r="I4655" i="2"/>
  <c r="H4655" i="2"/>
  <c r="G4655" i="2"/>
  <c r="I4654" i="2"/>
  <c r="H4654" i="2"/>
  <c r="G4654" i="2"/>
  <c r="I4653" i="2"/>
  <c r="H4653" i="2"/>
  <c r="G4653" i="2"/>
  <c r="I4652" i="2"/>
  <c r="H4652" i="2"/>
  <c r="G4652" i="2"/>
  <c r="I4651" i="2"/>
  <c r="H4651" i="2"/>
  <c r="G4651" i="2"/>
  <c r="I4650" i="2"/>
  <c r="H4650" i="2"/>
  <c r="G4650" i="2"/>
  <c r="I4649" i="2"/>
  <c r="H4649" i="2"/>
  <c r="G4649" i="2"/>
  <c r="I4648" i="2"/>
  <c r="H4648" i="2"/>
  <c r="G4648" i="2"/>
  <c r="I4647" i="2"/>
  <c r="H4647" i="2"/>
  <c r="G4647" i="2"/>
  <c r="I4646" i="2"/>
  <c r="H4646" i="2"/>
  <c r="G4646" i="2"/>
  <c r="I4645" i="2"/>
  <c r="H4645" i="2"/>
  <c r="G4645" i="2"/>
  <c r="I4644" i="2"/>
  <c r="H4644" i="2"/>
  <c r="G4644" i="2"/>
  <c r="I4643" i="2"/>
  <c r="H4643" i="2"/>
  <c r="G4643" i="2"/>
  <c r="I4642" i="2"/>
  <c r="H4642" i="2"/>
  <c r="G4642" i="2"/>
  <c r="I4641" i="2"/>
  <c r="H4641" i="2"/>
  <c r="G4641" i="2"/>
  <c r="I4640" i="2"/>
  <c r="H4640" i="2"/>
  <c r="G4640" i="2"/>
  <c r="I4639" i="2"/>
  <c r="H4639" i="2"/>
  <c r="G4639" i="2"/>
  <c r="I4638" i="2"/>
  <c r="H4638" i="2"/>
  <c r="G4638" i="2"/>
  <c r="I4637" i="2"/>
  <c r="H4637" i="2"/>
  <c r="G4637" i="2"/>
  <c r="I4636" i="2"/>
  <c r="H4636" i="2"/>
  <c r="G4636" i="2"/>
  <c r="I4635" i="2"/>
  <c r="H4635" i="2"/>
  <c r="G4635" i="2"/>
  <c r="I4634" i="2"/>
  <c r="H4634" i="2"/>
  <c r="G4634" i="2"/>
  <c r="I4633" i="2"/>
  <c r="H4633" i="2"/>
  <c r="G4633" i="2"/>
  <c r="I4632" i="2"/>
  <c r="H4632" i="2"/>
  <c r="G4632" i="2"/>
  <c r="I4631" i="2"/>
  <c r="H4631" i="2"/>
  <c r="G4631" i="2"/>
  <c r="I4630" i="2"/>
  <c r="H4630" i="2"/>
  <c r="G4630" i="2"/>
  <c r="I4629" i="2"/>
  <c r="H4629" i="2"/>
  <c r="G4629" i="2"/>
  <c r="I4628" i="2"/>
  <c r="H4628" i="2"/>
  <c r="G4628" i="2"/>
  <c r="I4627" i="2"/>
  <c r="H4627" i="2"/>
  <c r="G4627" i="2"/>
  <c r="I4626" i="2"/>
  <c r="H4626" i="2"/>
  <c r="G4626" i="2"/>
  <c r="I4625" i="2"/>
  <c r="H4625" i="2"/>
  <c r="G4625" i="2"/>
  <c r="I4624" i="2"/>
  <c r="H4624" i="2"/>
  <c r="G4624" i="2"/>
  <c r="I4623" i="2"/>
  <c r="H4623" i="2"/>
  <c r="G4623" i="2"/>
  <c r="I4622" i="2"/>
  <c r="H4622" i="2"/>
  <c r="G4622" i="2"/>
  <c r="I4621" i="2"/>
  <c r="H4621" i="2"/>
  <c r="G4621" i="2"/>
  <c r="I4620" i="2"/>
  <c r="H4620" i="2"/>
  <c r="G4620" i="2"/>
  <c r="I4619" i="2"/>
  <c r="H4619" i="2"/>
  <c r="G4619" i="2"/>
  <c r="I4618" i="2"/>
  <c r="H4618" i="2"/>
  <c r="G4618" i="2"/>
  <c r="I4617" i="2"/>
  <c r="H4617" i="2"/>
  <c r="G4617" i="2"/>
  <c r="I4616" i="2"/>
  <c r="H4616" i="2"/>
  <c r="G4616" i="2"/>
  <c r="I4615" i="2"/>
  <c r="H4615" i="2"/>
  <c r="G4615" i="2"/>
  <c r="I4614" i="2"/>
  <c r="H4614" i="2"/>
  <c r="G4614" i="2"/>
  <c r="I4613" i="2"/>
  <c r="H4613" i="2"/>
  <c r="G4613" i="2"/>
  <c r="I4612" i="2"/>
  <c r="H4612" i="2"/>
  <c r="G4612" i="2"/>
  <c r="I4611" i="2"/>
  <c r="H4611" i="2"/>
  <c r="G4611" i="2"/>
  <c r="I4610" i="2"/>
  <c r="H4610" i="2"/>
  <c r="G4610" i="2"/>
  <c r="I4609" i="2"/>
  <c r="H4609" i="2"/>
  <c r="G4609" i="2"/>
  <c r="I4608" i="2"/>
  <c r="H4608" i="2"/>
  <c r="G4608" i="2"/>
  <c r="I4607" i="2"/>
  <c r="H4607" i="2"/>
  <c r="G4607" i="2"/>
  <c r="I4606" i="2"/>
  <c r="H4606" i="2"/>
  <c r="G4606" i="2"/>
  <c r="I4605" i="2"/>
  <c r="H4605" i="2"/>
  <c r="G4605" i="2"/>
  <c r="I4604" i="2"/>
  <c r="H4604" i="2"/>
  <c r="G4604" i="2"/>
  <c r="I4603" i="2"/>
  <c r="H4603" i="2"/>
  <c r="G4603" i="2"/>
  <c r="I4602" i="2"/>
  <c r="H4602" i="2"/>
  <c r="G4602" i="2"/>
  <c r="I4601" i="2"/>
  <c r="H4601" i="2"/>
  <c r="G4601" i="2"/>
  <c r="I4600" i="2"/>
  <c r="H4600" i="2"/>
  <c r="G4600" i="2"/>
  <c r="I4599" i="2"/>
  <c r="H4599" i="2"/>
  <c r="G4599" i="2"/>
  <c r="I4598" i="2"/>
  <c r="H4598" i="2"/>
  <c r="G4598" i="2"/>
  <c r="I4597" i="2"/>
  <c r="H4597" i="2"/>
  <c r="G4597" i="2"/>
  <c r="I4596" i="2"/>
  <c r="H4596" i="2"/>
  <c r="G4596" i="2"/>
  <c r="I4595" i="2"/>
  <c r="H4595" i="2"/>
  <c r="G4595" i="2"/>
  <c r="I4594" i="2"/>
  <c r="H4594" i="2"/>
  <c r="G4594" i="2"/>
  <c r="I4593" i="2"/>
  <c r="H4593" i="2"/>
  <c r="G4593" i="2"/>
  <c r="I4592" i="2"/>
  <c r="H4592" i="2"/>
  <c r="G4592" i="2"/>
  <c r="I4591" i="2"/>
  <c r="H4591" i="2"/>
  <c r="G4591" i="2"/>
  <c r="I4590" i="2"/>
  <c r="H4590" i="2"/>
  <c r="G4590" i="2"/>
  <c r="I4589" i="2"/>
  <c r="H4589" i="2"/>
  <c r="G4589" i="2"/>
  <c r="I4588" i="2"/>
  <c r="H4588" i="2"/>
  <c r="G4588" i="2"/>
  <c r="I4587" i="2"/>
  <c r="H4587" i="2"/>
  <c r="G4587" i="2"/>
  <c r="I4586" i="2"/>
  <c r="H4586" i="2"/>
  <c r="G4586" i="2"/>
  <c r="I4585" i="2"/>
  <c r="H4585" i="2"/>
  <c r="G4585" i="2"/>
  <c r="I4584" i="2"/>
  <c r="H4584" i="2"/>
  <c r="G4584" i="2"/>
  <c r="I4583" i="2"/>
  <c r="H4583" i="2"/>
  <c r="G4583" i="2"/>
  <c r="I4582" i="2"/>
  <c r="H4582" i="2"/>
  <c r="G4582" i="2"/>
  <c r="I4581" i="2"/>
  <c r="H4581" i="2"/>
  <c r="G4581" i="2"/>
  <c r="I4580" i="2"/>
  <c r="H4580" i="2"/>
  <c r="G4580" i="2"/>
  <c r="I4579" i="2"/>
  <c r="H4579" i="2"/>
  <c r="G4579" i="2"/>
  <c r="I4578" i="2"/>
  <c r="H4578" i="2"/>
  <c r="G4578" i="2"/>
  <c r="I4577" i="2"/>
  <c r="H4577" i="2"/>
  <c r="G4577" i="2"/>
  <c r="I4576" i="2"/>
  <c r="H4576" i="2"/>
  <c r="G4576" i="2"/>
  <c r="I4575" i="2"/>
  <c r="H4575" i="2"/>
  <c r="G4575" i="2"/>
  <c r="I4574" i="2"/>
  <c r="H4574" i="2"/>
  <c r="G4574" i="2"/>
  <c r="I4573" i="2"/>
  <c r="H4573" i="2"/>
  <c r="G4573" i="2"/>
  <c r="I4572" i="2"/>
  <c r="H4572" i="2"/>
  <c r="G4572" i="2"/>
  <c r="I4571" i="2"/>
  <c r="H4571" i="2"/>
  <c r="G4571" i="2"/>
  <c r="I4570" i="2"/>
  <c r="H4570" i="2"/>
  <c r="G4570" i="2"/>
  <c r="I4569" i="2"/>
  <c r="H4569" i="2"/>
  <c r="G4569" i="2"/>
  <c r="I4568" i="2"/>
  <c r="H4568" i="2"/>
  <c r="G4568" i="2"/>
  <c r="I4567" i="2"/>
  <c r="H4567" i="2"/>
  <c r="G4567" i="2"/>
  <c r="I4566" i="2"/>
  <c r="H4566" i="2"/>
  <c r="G4566" i="2"/>
  <c r="I4565" i="2"/>
  <c r="H4565" i="2"/>
  <c r="G4565" i="2"/>
  <c r="I4564" i="2"/>
  <c r="H4564" i="2"/>
  <c r="G4564" i="2"/>
  <c r="I4563" i="2"/>
  <c r="H4563" i="2"/>
  <c r="G4563" i="2"/>
  <c r="I4562" i="2"/>
  <c r="H4562" i="2"/>
  <c r="G4562" i="2"/>
  <c r="I4561" i="2"/>
  <c r="H4561" i="2"/>
  <c r="G4561" i="2"/>
  <c r="I4560" i="2"/>
  <c r="H4560" i="2"/>
  <c r="G4560" i="2"/>
  <c r="I4559" i="2"/>
  <c r="H4559" i="2"/>
  <c r="G4559" i="2"/>
  <c r="I4558" i="2"/>
  <c r="H4558" i="2"/>
  <c r="G4558" i="2"/>
  <c r="I4557" i="2"/>
  <c r="H4557" i="2"/>
  <c r="G4557" i="2"/>
  <c r="I4556" i="2"/>
  <c r="H4556" i="2"/>
  <c r="G4556" i="2"/>
  <c r="I4555" i="2"/>
  <c r="H4555" i="2"/>
  <c r="G4555" i="2"/>
  <c r="I4554" i="2"/>
  <c r="H4554" i="2"/>
  <c r="G4554" i="2"/>
  <c r="I4553" i="2"/>
  <c r="H4553" i="2"/>
  <c r="G4553" i="2"/>
  <c r="I4552" i="2"/>
  <c r="H4552" i="2"/>
  <c r="G4552" i="2"/>
  <c r="I4551" i="2"/>
  <c r="H4551" i="2"/>
  <c r="G4551" i="2"/>
  <c r="I4550" i="2"/>
  <c r="H4550" i="2"/>
  <c r="G4550" i="2"/>
  <c r="I4549" i="2"/>
  <c r="H4549" i="2"/>
  <c r="G4549" i="2"/>
  <c r="I4548" i="2"/>
  <c r="H4548" i="2"/>
  <c r="G4548" i="2"/>
  <c r="I4547" i="2"/>
  <c r="H4547" i="2"/>
  <c r="G4547" i="2"/>
  <c r="I4546" i="2"/>
  <c r="H4546" i="2"/>
  <c r="G4546" i="2"/>
  <c r="I4545" i="2"/>
  <c r="H4545" i="2"/>
  <c r="G4545" i="2"/>
  <c r="I4544" i="2"/>
  <c r="H4544" i="2"/>
  <c r="G4544" i="2"/>
  <c r="I4543" i="2"/>
  <c r="H4543" i="2"/>
  <c r="G4543" i="2"/>
  <c r="I4542" i="2"/>
  <c r="H4542" i="2"/>
  <c r="G4542" i="2"/>
  <c r="I4541" i="2"/>
  <c r="H4541" i="2"/>
  <c r="G4541" i="2"/>
  <c r="I4540" i="2"/>
  <c r="H4540" i="2"/>
  <c r="G4540" i="2"/>
  <c r="I4539" i="2"/>
  <c r="H4539" i="2"/>
  <c r="G4539" i="2"/>
  <c r="I4538" i="2"/>
  <c r="H4538" i="2"/>
  <c r="G4538" i="2"/>
  <c r="I4537" i="2"/>
  <c r="H4537" i="2"/>
  <c r="G4537" i="2"/>
  <c r="I4536" i="2"/>
  <c r="H4536" i="2"/>
  <c r="G4536" i="2"/>
  <c r="I4535" i="2"/>
  <c r="H4535" i="2"/>
  <c r="G4535" i="2"/>
  <c r="I4534" i="2"/>
  <c r="H4534" i="2"/>
  <c r="G4534" i="2"/>
  <c r="I4533" i="2"/>
  <c r="H4533" i="2"/>
  <c r="G4533" i="2"/>
  <c r="I4532" i="2"/>
  <c r="H4532" i="2"/>
  <c r="G4532" i="2"/>
  <c r="I4531" i="2"/>
  <c r="H4531" i="2"/>
  <c r="G4531" i="2"/>
  <c r="I4530" i="2"/>
  <c r="H4530" i="2"/>
  <c r="G4530" i="2"/>
  <c r="I4529" i="2"/>
  <c r="H4529" i="2"/>
  <c r="G4529" i="2"/>
  <c r="I4528" i="2"/>
  <c r="H4528" i="2"/>
  <c r="G4528" i="2"/>
  <c r="I4527" i="2"/>
  <c r="H4527" i="2"/>
  <c r="G4527" i="2"/>
  <c r="I4526" i="2"/>
  <c r="H4526" i="2"/>
  <c r="G4526" i="2"/>
  <c r="I4525" i="2"/>
  <c r="H4525" i="2"/>
  <c r="G4525" i="2"/>
  <c r="I4524" i="2"/>
  <c r="H4524" i="2"/>
  <c r="G4524" i="2"/>
  <c r="I4523" i="2"/>
  <c r="H4523" i="2"/>
  <c r="G4523" i="2"/>
  <c r="I4522" i="2"/>
  <c r="H4522" i="2"/>
  <c r="G4522" i="2"/>
  <c r="I4521" i="2"/>
  <c r="H4521" i="2"/>
  <c r="G4521" i="2"/>
  <c r="I4520" i="2"/>
  <c r="H4520" i="2"/>
  <c r="G4520" i="2"/>
  <c r="I4519" i="2"/>
  <c r="H4519" i="2"/>
  <c r="G4519" i="2"/>
  <c r="I4518" i="2"/>
  <c r="H4518" i="2"/>
  <c r="G4518" i="2"/>
  <c r="I4517" i="2"/>
  <c r="H4517" i="2"/>
  <c r="G4517" i="2"/>
  <c r="I4516" i="2"/>
  <c r="H4516" i="2"/>
  <c r="G4516" i="2"/>
  <c r="I4515" i="2"/>
  <c r="H4515" i="2"/>
  <c r="G4515" i="2"/>
  <c r="I4514" i="2"/>
  <c r="H4514" i="2"/>
  <c r="G4514" i="2"/>
  <c r="I4513" i="2"/>
  <c r="H4513" i="2"/>
  <c r="G4513" i="2"/>
  <c r="I4512" i="2"/>
  <c r="H4512" i="2"/>
  <c r="G4512" i="2"/>
  <c r="I4511" i="2"/>
  <c r="H4511" i="2"/>
  <c r="G4511" i="2"/>
  <c r="I4510" i="2"/>
  <c r="H4510" i="2"/>
  <c r="G4510" i="2"/>
  <c r="I4509" i="2"/>
  <c r="H4509" i="2"/>
  <c r="G4509" i="2"/>
  <c r="I4508" i="2"/>
  <c r="H4508" i="2"/>
  <c r="G4508" i="2"/>
  <c r="I4507" i="2"/>
  <c r="H4507" i="2"/>
  <c r="G4507" i="2"/>
  <c r="I4506" i="2"/>
  <c r="H4506" i="2"/>
  <c r="G4506" i="2"/>
  <c r="I4505" i="2"/>
  <c r="H4505" i="2"/>
  <c r="G4505" i="2"/>
  <c r="I4504" i="2"/>
  <c r="H4504" i="2"/>
  <c r="G4504" i="2"/>
  <c r="I4503" i="2"/>
  <c r="H4503" i="2"/>
  <c r="G4503" i="2"/>
  <c r="I4502" i="2"/>
  <c r="H4502" i="2"/>
  <c r="G4502" i="2"/>
  <c r="I4501" i="2"/>
  <c r="H4501" i="2"/>
  <c r="G4501" i="2"/>
  <c r="I4500" i="2"/>
  <c r="H4500" i="2"/>
  <c r="G4500" i="2"/>
  <c r="I4499" i="2"/>
  <c r="H4499" i="2"/>
  <c r="G4499" i="2"/>
  <c r="I4498" i="2"/>
  <c r="H4498" i="2"/>
  <c r="G4498" i="2"/>
  <c r="I4497" i="2"/>
  <c r="H4497" i="2"/>
  <c r="G4497" i="2"/>
  <c r="I4496" i="2"/>
  <c r="H4496" i="2"/>
  <c r="G4496" i="2"/>
  <c r="I4495" i="2"/>
  <c r="H4495" i="2"/>
  <c r="G4495" i="2"/>
  <c r="I4494" i="2"/>
  <c r="H4494" i="2"/>
  <c r="G4494" i="2"/>
  <c r="I4493" i="2"/>
  <c r="H4493" i="2"/>
  <c r="G4493" i="2"/>
  <c r="I4492" i="2"/>
  <c r="H4492" i="2"/>
  <c r="G4492" i="2"/>
  <c r="I4491" i="2"/>
  <c r="H4491" i="2"/>
  <c r="G4491" i="2"/>
  <c r="I4490" i="2"/>
  <c r="H4490" i="2"/>
  <c r="G4490" i="2"/>
  <c r="I4489" i="2"/>
  <c r="H4489" i="2"/>
  <c r="G4489" i="2"/>
  <c r="I4488" i="2"/>
  <c r="H4488" i="2"/>
  <c r="G4488" i="2"/>
  <c r="I4487" i="2"/>
  <c r="H4487" i="2"/>
  <c r="G4487" i="2"/>
  <c r="I4486" i="2"/>
  <c r="H4486" i="2"/>
  <c r="G4486" i="2"/>
  <c r="I4485" i="2"/>
  <c r="H4485" i="2"/>
  <c r="G4485" i="2"/>
  <c r="I4484" i="2"/>
  <c r="H4484" i="2"/>
  <c r="G4484" i="2"/>
  <c r="I4483" i="2"/>
  <c r="H4483" i="2"/>
  <c r="G4483" i="2"/>
  <c r="I4482" i="2"/>
  <c r="H4482" i="2"/>
  <c r="G4482" i="2"/>
  <c r="I4481" i="2"/>
  <c r="H4481" i="2"/>
  <c r="G4481" i="2"/>
  <c r="I4480" i="2"/>
  <c r="H4480" i="2"/>
  <c r="G4480" i="2"/>
  <c r="I4479" i="2"/>
  <c r="H4479" i="2"/>
  <c r="G4479" i="2"/>
  <c r="I4478" i="2"/>
  <c r="H4478" i="2"/>
  <c r="G4478" i="2"/>
  <c r="I4477" i="2"/>
  <c r="H4477" i="2"/>
  <c r="G4477" i="2"/>
  <c r="I4476" i="2"/>
  <c r="H4476" i="2"/>
  <c r="G4476" i="2"/>
  <c r="I4475" i="2"/>
  <c r="H4475" i="2"/>
  <c r="G4475" i="2"/>
  <c r="I4474" i="2"/>
  <c r="H4474" i="2"/>
  <c r="G4474" i="2"/>
  <c r="I4473" i="2"/>
  <c r="H4473" i="2"/>
  <c r="G4473" i="2"/>
  <c r="I4472" i="2"/>
  <c r="H4472" i="2"/>
  <c r="G4472" i="2"/>
  <c r="I4471" i="2"/>
  <c r="H4471" i="2"/>
  <c r="G4471" i="2"/>
  <c r="I4470" i="2"/>
  <c r="H4470" i="2"/>
  <c r="G4470" i="2"/>
  <c r="I4469" i="2"/>
  <c r="H4469" i="2"/>
  <c r="G4469" i="2"/>
  <c r="I4468" i="2"/>
  <c r="H4468" i="2"/>
  <c r="G4468" i="2"/>
  <c r="I4467" i="2"/>
  <c r="H4467" i="2"/>
  <c r="G4467" i="2"/>
  <c r="I4466" i="2"/>
  <c r="H4466" i="2"/>
  <c r="G4466" i="2"/>
  <c r="I4465" i="2"/>
  <c r="H4465" i="2"/>
  <c r="G4465" i="2"/>
  <c r="I4464" i="2"/>
  <c r="H4464" i="2"/>
  <c r="G4464" i="2"/>
  <c r="I4463" i="2"/>
  <c r="H4463" i="2"/>
  <c r="G4463" i="2"/>
  <c r="I4462" i="2"/>
  <c r="H4462" i="2"/>
  <c r="G4462" i="2"/>
  <c r="I4461" i="2"/>
  <c r="H4461" i="2"/>
  <c r="G4461" i="2"/>
  <c r="I4460" i="2"/>
  <c r="H4460" i="2"/>
  <c r="G4460" i="2"/>
  <c r="I4459" i="2"/>
  <c r="H4459" i="2"/>
  <c r="G4459" i="2"/>
  <c r="I4458" i="2"/>
  <c r="H4458" i="2"/>
  <c r="G4458" i="2"/>
  <c r="I4457" i="2"/>
  <c r="H4457" i="2"/>
  <c r="G4457" i="2"/>
  <c r="I4456" i="2"/>
  <c r="H4456" i="2"/>
  <c r="G4456" i="2"/>
  <c r="I4455" i="2"/>
  <c r="H4455" i="2"/>
  <c r="G4455" i="2"/>
  <c r="I4454" i="2"/>
  <c r="H4454" i="2"/>
  <c r="G4454" i="2"/>
  <c r="I4453" i="2"/>
  <c r="H4453" i="2"/>
  <c r="G4453" i="2"/>
  <c r="I4452" i="2"/>
  <c r="H4452" i="2"/>
  <c r="G4452" i="2"/>
  <c r="I4451" i="2"/>
  <c r="H4451" i="2"/>
  <c r="G4451" i="2"/>
  <c r="I4450" i="2"/>
  <c r="H4450" i="2"/>
  <c r="G4450" i="2"/>
  <c r="I4449" i="2"/>
  <c r="H4449" i="2"/>
  <c r="G4449" i="2"/>
  <c r="I4448" i="2"/>
  <c r="H4448" i="2"/>
  <c r="G4448" i="2"/>
  <c r="I4447" i="2"/>
  <c r="H4447" i="2"/>
  <c r="G4447" i="2"/>
  <c r="I4446" i="2"/>
  <c r="H4446" i="2"/>
  <c r="G4446" i="2"/>
  <c r="I4445" i="2"/>
  <c r="H4445" i="2"/>
  <c r="G4445" i="2"/>
  <c r="I4444" i="2"/>
  <c r="H4444" i="2"/>
  <c r="G4444" i="2"/>
  <c r="I4443" i="2"/>
  <c r="H4443" i="2"/>
  <c r="G4443" i="2"/>
  <c r="I4442" i="2"/>
  <c r="H4442" i="2"/>
  <c r="G4442" i="2"/>
  <c r="I4441" i="2"/>
  <c r="H4441" i="2"/>
  <c r="G4441" i="2"/>
  <c r="I4440" i="2"/>
  <c r="H4440" i="2"/>
  <c r="G4440" i="2"/>
  <c r="I4439" i="2"/>
  <c r="H4439" i="2"/>
  <c r="G4439" i="2"/>
  <c r="I4438" i="2"/>
  <c r="H4438" i="2"/>
  <c r="G4438" i="2"/>
  <c r="I4437" i="2"/>
  <c r="H4437" i="2"/>
  <c r="G4437" i="2"/>
  <c r="I4436" i="2"/>
  <c r="H4436" i="2"/>
  <c r="G4436" i="2"/>
  <c r="I4435" i="2"/>
  <c r="H4435" i="2"/>
  <c r="G4435" i="2"/>
  <c r="I4434" i="2"/>
  <c r="H4434" i="2"/>
  <c r="G4434" i="2"/>
  <c r="I4433" i="2"/>
  <c r="H4433" i="2"/>
  <c r="G4433" i="2"/>
  <c r="I4432" i="2"/>
  <c r="H4432" i="2"/>
  <c r="G4432" i="2"/>
  <c r="I4431" i="2"/>
  <c r="H4431" i="2"/>
  <c r="G4431" i="2"/>
  <c r="I4430" i="2"/>
  <c r="H4430" i="2"/>
  <c r="G4430" i="2"/>
  <c r="I4429" i="2"/>
  <c r="H4429" i="2"/>
  <c r="G4429" i="2"/>
  <c r="I4428" i="2"/>
  <c r="H4428" i="2"/>
  <c r="G4428" i="2"/>
  <c r="I4427" i="2"/>
  <c r="H4427" i="2"/>
  <c r="G4427" i="2"/>
  <c r="I4426" i="2"/>
  <c r="H4426" i="2"/>
  <c r="G4426" i="2"/>
  <c r="I4425" i="2"/>
  <c r="H4425" i="2"/>
  <c r="G4425" i="2"/>
  <c r="I4424" i="2"/>
  <c r="H4424" i="2"/>
  <c r="G4424" i="2"/>
  <c r="I4423" i="2"/>
  <c r="H4423" i="2"/>
  <c r="G4423" i="2"/>
  <c r="I4422" i="2"/>
  <c r="H4422" i="2"/>
  <c r="G4422" i="2"/>
  <c r="I4421" i="2"/>
  <c r="H4421" i="2"/>
  <c r="G4421" i="2"/>
  <c r="I4420" i="2"/>
  <c r="H4420" i="2"/>
  <c r="G4420" i="2"/>
  <c r="I4419" i="2"/>
  <c r="H4419" i="2"/>
  <c r="G4419" i="2"/>
  <c r="I4418" i="2"/>
  <c r="H4418" i="2"/>
  <c r="G4418" i="2"/>
  <c r="I4417" i="2"/>
  <c r="H4417" i="2"/>
  <c r="G4417" i="2"/>
  <c r="I4416" i="2"/>
  <c r="H4416" i="2"/>
  <c r="G4416" i="2"/>
  <c r="I4415" i="2"/>
  <c r="H4415" i="2"/>
  <c r="G4415" i="2"/>
  <c r="I4414" i="2"/>
  <c r="H4414" i="2"/>
  <c r="G4414" i="2"/>
  <c r="I4413" i="2"/>
  <c r="H4413" i="2"/>
  <c r="G4413" i="2"/>
  <c r="I4412" i="2"/>
  <c r="H4412" i="2"/>
  <c r="G4412" i="2"/>
  <c r="I4411" i="2"/>
  <c r="H4411" i="2"/>
  <c r="G4411" i="2"/>
  <c r="I4410" i="2"/>
  <c r="H4410" i="2"/>
  <c r="G4410" i="2"/>
  <c r="I4409" i="2"/>
  <c r="H4409" i="2"/>
  <c r="G4409" i="2"/>
  <c r="I4408" i="2"/>
  <c r="H4408" i="2"/>
  <c r="G4408" i="2"/>
  <c r="I4407" i="2"/>
  <c r="H4407" i="2"/>
  <c r="G4407" i="2"/>
  <c r="I4406" i="2"/>
  <c r="H4406" i="2"/>
  <c r="G4406" i="2"/>
  <c r="I4405" i="2"/>
  <c r="H4405" i="2"/>
  <c r="G4405" i="2"/>
  <c r="I4404" i="2"/>
  <c r="H4404" i="2"/>
  <c r="G4404" i="2"/>
  <c r="I4403" i="2"/>
  <c r="H4403" i="2"/>
  <c r="G4403" i="2"/>
  <c r="I4402" i="2"/>
  <c r="H4402" i="2"/>
  <c r="G4402" i="2"/>
  <c r="I4401" i="2"/>
  <c r="H4401" i="2"/>
  <c r="G4401" i="2"/>
  <c r="I4400" i="2"/>
  <c r="H4400" i="2"/>
  <c r="G4400" i="2"/>
  <c r="I4399" i="2"/>
  <c r="H4399" i="2"/>
  <c r="G4399" i="2"/>
  <c r="I4398" i="2"/>
  <c r="H4398" i="2"/>
  <c r="G4398" i="2"/>
  <c r="I4397" i="2"/>
  <c r="H4397" i="2"/>
  <c r="G4397" i="2"/>
  <c r="I4396" i="2"/>
  <c r="H4396" i="2"/>
  <c r="G4396" i="2"/>
  <c r="I4395" i="2"/>
  <c r="H4395" i="2"/>
  <c r="G4395" i="2"/>
  <c r="I4394" i="2"/>
  <c r="H4394" i="2"/>
  <c r="G4394" i="2"/>
  <c r="I4393" i="2"/>
  <c r="H4393" i="2"/>
  <c r="G4393" i="2"/>
  <c r="I4392" i="2"/>
  <c r="H4392" i="2"/>
  <c r="G4392" i="2"/>
  <c r="I4391" i="2"/>
  <c r="H4391" i="2"/>
  <c r="G4391" i="2"/>
  <c r="I4390" i="2"/>
  <c r="H4390" i="2"/>
  <c r="G4390" i="2"/>
  <c r="I4389" i="2"/>
  <c r="H4389" i="2"/>
  <c r="G4389" i="2"/>
  <c r="I4388" i="2"/>
  <c r="H4388" i="2"/>
  <c r="G4388" i="2"/>
  <c r="I4387" i="2"/>
  <c r="H4387" i="2"/>
  <c r="G4387" i="2"/>
  <c r="I4386" i="2"/>
  <c r="H4386" i="2"/>
  <c r="G4386" i="2"/>
  <c r="I4385" i="2"/>
  <c r="H4385" i="2"/>
  <c r="G4385" i="2"/>
  <c r="I4384" i="2"/>
  <c r="H4384" i="2"/>
  <c r="G4384" i="2"/>
  <c r="I4383" i="2"/>
  <c r="H4383" i="2"/>
  <c r="G4383" i="2"/>
  <c r="I4382" i="2"/>
  <c r="H4382" i="2"/>
  <c r="G4382" i="2"/>
  <c r="I4381" i="2"/>
  <c r="H4381" i="2"/>
  <c r="G4381" i="2"/>
  <c r="I4380" i="2"/>
  <c r="H4380" i="2"/>
  <c r="G4380" i="2"/>
  <c r="I4379" i="2"/>
  <c r="H4379" i="2"/>
  <c r="G4379" i="2"/>
  <c r="I4378" i="2"/>
  <c r="H4378" i="2"/>
  <c r="G4378" i="2"/>
  <c r="I4377" i="2"/>
  <c r="H4377" i="2"/>
  <c r="G4377" i="2"/>
  <c r="I4376" i="2"/>
  <c r="H4376" i="2"/>
  <c r="G4376" i="2"/>
  <c r="I4375" i="2"/>
  <c r="H4375" i="2"/>
  <c r="G4375" i="2"/>
  <c r="I4374" i="2"/>
  <c r="H4374" i="2"/>
  <c r="G4374" i="2"/>
  <c r="I4373" i="2"/>
  <c r="H4373" i="2"/>
  <c r="G4373" i="2"/>
  <c r="I4372" i="2"/>
  <c r="H4372" i="2"/>
  <c r="G4372" i="2"/>
  <c r="I4371" i="2"/>
  <c r="H4371" i="2"/>
  <c r="G4371" i="2"/>
  <c r="I4370" i="2"/>
  <c r="H4370" i="2"/>
  <c r="G4370" i="2"/>
  <c r="I4369" i="2"/>
  <c r="H4369" i="2"/>
  <c r="G4369" i="2"/>
  <c r="I4368" i="2"/>
  <c r="H4368" i="2"/>
  <c r="G4368" i="2"/>
  <c r="I4367" i="2"/>
  <c r="H4367" i="2"/>
  <c r="G4367" i="2"/>
  <c r="I4366" i="2"/>
  <c r="H4366" i="2"/>
  <c r="G4366" i="2"/>
  <c r="I4365" i="2"/>
  <c r="H4365" i="2"/>
  <c r="G4365" i="2"/>
  <c r="I4364" i="2"/>
  <c r="H4364" i="2"/>
  <c r="G4364" i="2"/>
  <c r="I4363" i="2"/>
  <c r="H4363" i="2"/>
  <c r="G4363" i="2"/>
  <c r="I4362" i="2"/>
  <c r="H4362" i="2"/>
  <c r="G4362" i="2"/>
  <c r="I4361" i="2"/>
  <c r="H4361" i="2"/>
  <c r="G4361" i="2"/>
  <c r="I4360" i="2"/>
  <c r="H4360" i="2"/>
  <c r="G4360" i="2"/>
  <c r="I4359" i="2"/>
  <c r="H4359" i="2"/>
  <c r="G4359" i="2"/>
  <c r="I4358" i="2"/>
  <c r="H4358" i="2"/>
  <c r="G4358" i="2"/>
  <c r="I4357" i="2"/>
  <c r="H4357" i="2"/>
  <c r="G4357" i="2"/>
  <c r="I4356" i="2"/>
  <c r="H4356" i="2"/>
  <c r="G4356" i="2"/>
  <c r="I4355" i="2"/>
  <c r="H4355" i="2"/>
  <c r="G4355" i="2"/>
  <c r="I4354" i="2"/>
  <c r="H4354" i="2"/>
  <c r="G4354" i="2"/>
  <c r="I4353" i="2"/>
  <c r="H4353" i="2"/>
  <c r="G4353" i="2"/>
  <c r="I4352" i="2"/>
  <c r="H4352" i="2"/>
  <c r="G4352" i="2"/>
  <c r="I4351" i="2"/>
  <c r="H4351" i="2"/>
  <c r="G4351" i="2"/>
  <c r="I4350" i="2"/>
  <c r="H4350" i="2"/>
  <c r="G4350" i="2"/>
  <c r="I4349" i="2"/>
  <c r="H4349" i="2"/>
  <c r="G4349" i="2"/>
  <c r="I4348" i="2"/>
  <c r="H4348" i="2"/>
  <c r="G4348" i="2"/>
  <c r="I4347" i="2"/>
  <c r="H4347" i="2"/>
  <c r="G4347" i="2"/>
  <c r="I4346" i="2"/>
  <c r="H4346" i="2"/>
  <c r="G4346" i="2"/>
  <c r="I4345" i="2"/>
  <c r="H4345" i="2"/>
  <c r="G4345" i="2"/>
  <c r="I4344" i="2"/>
  <c r="H4344" i="2"/>
  <c r="G4344" i="2"/>
  <c r="I4343" i="2"/>
  <c r="H4343" i="2"/>
  <c r="G4343" i="2"/>
  <c r="I4342" i="2"/>
  <c r="H4342" i="2"/>
  <c r="G4342" i="2"/>
  <c r="I4341" i="2"/>
  <c r="H4341" i="2"/>
  <c r="G4341" i="2"/>
  <c r="I4340" i="2"/>
  <c r="H4340" i="2"/>
  <c r="G4340" i="2"/>
  <c r="I4339" i="2"/>
  <c r="H4339" i="2"/>
  <c r="G4339" i="2"/>
  <c r="I4338" i="2"/>
  <c r="H4338" i="2"/>
  <c r="G4338" i="2"/>
  <c r="I4337" i="2"/>
  <c r="H4337" i="2"/>
  <c r="G4337" i="2"/>
  <c r="I4336" i="2"/>
  <c r="H4336" i="2"/>
  <c r="G4336" i="2"/>
  <c r="I4335" i="2"/>
  <c r="H4335" i="2"/>
  <c r="G4335" i="2"/>
  <c r="I4334" i="2"/>
  <c r="H4334" i="2"/>
  <c r="G4334" i="2"/>
  <c r="I4333" i="2"/>
  <c r="H4333" i="2"/>
  <c r="G4333" i="2"/>
  <c r="I4332" i="2"/>
  <c r="H4332" i="2"/>
  <c r="G4332" i="2"/>
  <c r="I4331" i="2"/>
  <c r="H4331" i="2"/>
  <c r="G4331" i="2"/>
  <c r="I4330" i="2"/>
  <c r="H4330" i="2"/>
  <c r="G4330" i="2"/>
  <c r="I4329" i="2"/>
  <c r="H4329" i="2"/>
  <c r="G4329" i="2"/>
  <c r="I4328" i="2"/>
  <c r="H4328" i="2"/>
  <c r="G4328" i="2"/>
  <c r="I4327" i="2"/>
  <c r="H4327" i="2"/>
  <c r="G4327" i="2"/>
  <c r="I4326" i="2"/>
  <c r="H4326" i="2"/>
  <c r="G4326" i="2"/>
  <c r="I4325" i="2"/>
  <c r="H4325" i="2"/>
  <c r="G4325" i="2"/>
  <c r="I4324" i="2"/>
  <c r="H4324" i="2"/>
  <c r="G4324" i="2"/>
  <c r="I4323" i="2"/>
  <c r="H4323" i="2"/>
  <c r="G4323" i="2"/>
  <c r="I4322" i="2"/>
  <c r="H4322" i="2"/>
  <c r="G4322" i="2"/>
  <c r="I4321" i="2"/>
  <c r="H4321" i="2"/>
  <c r="G4321" i="2"/>
  <c r="I4320" i="2"/>
  <c r="H4320" i="2"/>
  <c r="G4320" i="2"/>
  <c r="I4319" i="2"/>
  <c r="H4319" i="2"/>
  <c r="G4319" i="2"/>
  <c r="I4318" i="2"/>
  <c r="H4318" i="2"/>
  <c r="G4318" i="2"/>
  <c r="I4317" i="2"/>
  <c r="H4317" i="2"/>
  <c r="G4317" i="2"/>
  <c r="I4316" i="2"/>
  <c r="H4316" i="2"/>
  <c r="G4316" i="2"/>
  <c r="I4315" i="2"/>
  <c r="H4315" i="2"/>
  <c r="G4315" i="2"/>
  <c r="I4314" i="2"/>
  <c r="H4314" i="2"/>
  <c r="G4314" i="2"/>
  <c r="I4313" i="2"/>
  <c r="H4313" i="2"/>
  <c r="G4313" i="2"/>
  <c r="I4312" i="2"/>
  <c r="H4312" i="2"/>
  <c r="G4312" i="2"/>
  <c r="I4311" i="2"/>
  <c r="H4311" i="2"/>
  <c r="G4311" i="2"/>
  <c r="I4310" i="2"/>
  <c r="H4310" i="2"/>
  <c r="G4310" i="2"/>
  <c r="I4309" i="2"/>
  <c r="H4309" i="2"/>
  <c r="G4309" i="2"/>
  <c r="I4308" i="2"/>
  <c r="H4308" i="2"/>
  <c r="G4308" i="2"/>
  <c r="I4307" i="2"/>
  <c r="H4307" i="2"/>
  <c r="G4307" i="2"/>
  <c r="I4306" i="2"/>
  <c r="H4306" i="2"/>
  <c r="G4306" i="2"/>
  <c r="I4305" i="2"/>
  <c r="H4305" i="2"/>
  <c r="G4305" i="2"/>
  <c r="I4304" i="2"/>
  <c r="H4304" i="2"/>
  <c r="G4304" i="2"/>
  <c r="I4303" i="2"/>
  <c r="H4303" i="2"/>
  <c r="G4303" i="2"/>
  <c r="I4302" i="2"/>
  <c r="H4302" i="2"/>
  <c r="G4302" i="2"/>
  <c r="I4301" i="2"/>
  <c r="H4301" i="2"/>
  <c r="G4301" i="2"/>
  <c r="I4300" i="2"/>
  <c r="H4300" i="2"/>
  <c r="G4300" i="2"/>
  <c r="I4299" i="2"/>
  <c r="H4299" i="2"/>
  <c r="G4299" i="2"/>
  <c r="I4298" i="2"/>
  <c r="H4298" i="2"/>
  <c r="G4298" i="2"/>
  <c r="I4297" i="2"/>
  <c r="H4297" i="2"/>
  <c r="G4297" i="2"/>
  <c r="I4296" i="2"/>
  <c r="H4296" i="2"/>
  <c r="G4296" i="2"/>
  <c r="I4295" i="2"/>
  <c r="H4295" i="2"/>
  <c r="G4295" i="2"/>
  <c r="I4294" i="2"/>
  <c r="H4294" i="2"/>
  <c r="G4294" i="2"/>
  <c r="I4293" i="2"/>
  <c r="H4293" i="2"/>
  <c r="G4293" i="2"/>
  <c r="I4292" i="2"/>
  <c r="H4292" i="2"/>
  <c r="G4292" i="2"/>
  <c r="I4291" i="2"/>
  <c r="H4291" i="2"/>
  <c r="G4291" i="2"/>
  <c r="I4290" i="2"/>
  <c r="H4290" i="2"/>
  <c r="G4290" i="2"/>
  <c r="I4289" i="2"/>
  <c r="H4289" i="2"/>
  <c r="G4289" i="2"/>
  <c r="I4288" i="2"/>
  <c r="H4288" i="2"/>
  <c r="G4288" i="2"/>
  <c r="I4287" i="2"/>
  <c r="H4287" i="2"/>
  <c r="G4287" i="2"/>
  <c r="I4286" i="2"/>
  <c r="H4286" i="2"/>
  <c r="G4286" i="2"/>
  <c r="I4285" i="2"/>
  <c r="H4285" i="2"/>
  <c r="G4285" i="2"/>
  <c r="I4284" i="2"/>
  <c r="H4284" i="2"/>
  <c r="G4284" i="2"/>
  <c r="I4283" i="2"/>
  <c r="H4283" i="2"/>
  <c r="G4283" i="2"/>
  <c r="I4282" i="2"/>
  <c r="H4282" i="2"/>
  <c r="G4282" i="2"/>
  <c r="I4281" i="2"/>
  <c r="H4281" i="2"/>
  <c r="G4281" i="2"/>
  <c r="I4280" i="2"/>
  <c r="H4280" i="2"/>
  <c r="G4280" i="2"/>
  <c r="I4279" i="2"/>
  <c r="H4279" i="2"/>
  <c r="G4279" i="2"/>
  <c r="I4278" i="2"/>
  <c r="H4278" i="2"/>
  <c r="G4278" i="2"/>
  <c r="I4277" i="2"/>
  <c r="H4277" i="2"/>
  <c r="G4277" i="2"/>
  <c r="I4276" i="2"/>
  <c r="H4276" i="2"/>
  <c r="G4276" i="2"/>
  <c r="I4275" i="2"/>
  <c r="H4275" i="2"/>
  <c r="G4275" i="2"/>
  <c r="I4274" i="2"/>
  <c r="H4274" i="2"/>
  <c r="G4274" i="2"/>
  <c r="I4273" i="2"/>
  <c r="H4273" i="2"/>
  <c r="G4273" i="2"/>
  <c r="I4272" i="2"/>
  <c r="H4272" i="2"/>
  <c r="G4272" i="2"/>
  <c r="I4271" i="2"/>
  <c r="H4271" i="2"/>
  <c r="G4271" i="2"/>
  <c r="I4270" i="2"/>
  <c r="H4270" i="2"/>
  <c r="G4270" i="2"/>
  <c r="I4269" i="2"/>
  <c r="H4269" i="2"/>
  <c r="G4269" i="2"/>
  <c r="I4268" i="2"/>
  <c r="H4268" i="2"/>
  <c r="G4268" i="2"/>
  <c r="I4267" i="2"/>
  <c r="H4267" i="2"/>
  <c r="G4267" i="2"/>
  <c r="I4266" i="2"/>
  <c r="H4266" i="2"/>
  <c r="G4266" i="2"/>
  <c r="I4265" i="2"/>
  <c r="H4265" i="2"/>
  <c r="G4265" i="2"/>
  <c r="I4264" i="2"/>
  <c r="H4264" i="2"/>
  <c r="G4264" i="2"/>
  <c r="I4263" i="2"/>
  <c r="H4263" i="2"/>
  <c r="G4263" i="2"/>
  <c r="I4262" i="2"/>
  <c r="H4262" i="2"/>
  <c r="G4262" i="2"/>
  <c r="I4261" i="2"/>
  <c r="H4261" i="2"/>
  <c r="G4261" i="2"/>
  <c r="I4260" i="2"/>
  <c r="H4260" i="2"/>
  <c r="G4260" i="2"/>
  <c r="I4259" i="2"/>
  <c r="H4259" i="2"/>
  <c r="G4259" i="2"/>
  <c r="I4258" i="2"/>
  <c r="H4258" i="2"/>
  <c r="G4258" i="2"/>
  <c r="I4257" i="2"/>
  <c r="H4257" i="2"/>
  <c r="G4257" i="2"/>
  <c r="I4256" i="2"/>
  <c r="H4256" i="2"/>
  <c r="G4256" i="2"/>
  <c r="I4255" i="2"/>
  <c r="H4255" i="2"/>
  <c r="G4255" i="2"/>
  <c r="I4254" i="2"/>
  <c r="H4254" i="2"/>
  <c r="G4254" i="2"/>
  <c r="I4253" i="2"/>
  <c r="H4253" i="2"/>
  <c r="G4253" i="2"/>
  <c r="I4252" i="2"/>
  <c r="H4252" i="2"/>
  <c r="G4252" i="2"/>
  <c r="I4251" i="2"/>
  <c r="H4251" i="2"/>
  <c r="G4251" i="2"/>
  <c r="I4250" i="2"/>
  <c r="H4250" i="2"/>
  <c r="G4250" i="2"/>
  <c r="I4249" i="2"/>
  <c r="H4249" i="2"/>
  <c r="G4249" i="2"/>
  <c r="I4248" i="2"/>
  <c r="H4248" i="2"/>
  <c r="G4248" i="2"/>
  <c r="I4247" i="2"/>
  <c r="H4247" i="2"/>
  <c r="G4247" i="2"/>
  <c r="I4246" i="2"/>
  <c r="H4246" i="2"/>
  <c r="G4246" i="2"/>
  <c r="I4245" i="2"/>
  <c r="H4245" i="2"/>
  <c r="G4245" i="2"/>
  <c r="I4244" i="2"/>
  <c r="H4244" i="2"/>
  <c r="G4244" i="2"/>
  <c r="I4243" i="2"/>
  <c r="H4243" i="2"/>
  <c r="G4243" i="2"/>
  <c r="I4242" i="2"/>
  <c r="H4242" i="2"/>
  <c r="G4242" i="2"/>
  <c r="I4241" i="2"/>
  <c r="H4241" i="2"/>
  <c r="G4241" i="2"/>
  <c r="I4240" i="2"/>
  <c r="H4240" i="2"/>
  <c r="G4240" i="2"/>
  <c r="I4239" i="2"/>
  <c r="H4239" i="2"/>
  <c r="G4239" i="2"/>
  <c r="I4238" i="2"/>
  <c r="H4238" i="2"/>
  <c r="G4238" i="2"/>
  <c r="I4237" i="2"/>
  <c r="H4237" i="2"/>
  <c r="G4237" i="2"/>
  <c r="I4236" i="2"/>
  <c r="H4236" i="2"/>
  <c r="G4236" i="2"/>
  <c r="I4235" i="2"/>
  <c r="H4235" i="2"/>
  <c r="G4235" i="2"/>
  <c r="I4234" i="2"/>
  <c r="H4234" i="2"/>
  <c r="G4234" i="2"/>
  <c r="I4233" i="2"/>
  <c r="H4233" i="2"/>
  <c r="G4233" i="2"/>
  <c r="I4232" i="2"/>
  <c r="H4232" i="2"/>
  <c r="G4232" i="2"/>
  <c r="I4231" i="2"/>
  <c r="H4231" i="2"/>
  <c r="G4231" i="2"/>
  <c r="I4230" i="2"/>
  <c r="H4230" i="2"/>
  <c r="G4230" i="2"/>
  <c r="I4229" i="2"/>
  <c r="H4229" i="2"/>
  <c r="G4229" i="2"/>
  <c r="I4228" i="2"/>
  <c r="H4228" i="2"/>
  <c r="G4228" i="2"/>
  <c r="I4227" i="2"/>
  <c r="H4227" i="2"/>
  <c r="G4227" i="2"/>
  <c r="I4226" i="2"/>
  <c r="H4226" i="2"/>
  <c r="G4226" i="2"/>
  <c r="I4225" i="2"/>
  <c r="H4225" i="2"/>
  <c r="G4225" i="2"/>
  <c r="I4224" i="2"/>
  <c r="H4224" i="2"/>
  <c r="G4224" i="2"/>
  <c r="I4223" i="2"/>
  <c r="H4223" i="2"/>
  <c r="G4223" i="2"/>
  <c r="I4222" i="2"/>
  <c r="H4222" i="2"/>
  <c r="G4222" i="2"/>
  <c r="I4221" i="2"/>
  <c r="H4221" i="2"/>
  <c r="G4221" i="2"/>
  <c r="I4220" i="2"/>
  <c r="H4220" i="2"/>
  <c r="G4220" i="2"/>
  <c r="I4219" i="2"/>
  <c r="H4219" i="2"/>
  <c r="G4219" i="2"/>
  <c r="I4218" i="2"/>
  <c r="H4218" i="2"/>
  <c r="G4218" i="2"/>
  <c r="I4217" i="2"/>
  <c r="H4217" i="2"/>
  <c r="G4217" i="2"/>
  <c r="I4216" i="2"/>
  <c r="H4216" i="2"/>
  <c r="G4216" i="2"/>
  <c r="I4215" i="2"/>
  <c r="H4215" i="2"/>
  <c r="G4215" i="2"/>
  <c r="I4214" i="2"/>
  <c r="H4214" i="2"/>
  <c r="G4214" i="2"/>
  <c r="I4213" i="2"/>
  <c r="H4213" i="2"/>
  <c r="G4213" i="2"/>
  <c r="I4212" i="2"/>
  <c r="H4212" i="2"/>
  <c r="G4212" i="2"/>
  <c r="I4211" i="2"/>
  <c r="H4211" i="2"/>
  <c r="G4211" i="2"/>
  <c r="I4210" i="2"/>
  <c r="H4210" i="2"/>
  <c r="G4210" i="2"/>
  <c r="I4209" i="2"/>
  <c r="H4209" i="2"/>
  <c r="G4209" i="2"/>
  <c r="I4208" i="2"/>
  <c r="H4208" i="2"/>
  <c r="G4208" i="2"/>
  <c r="I4207" i="2"/>
  <c r="H4207" i="2"/>
  <c r="G4207" i="2"/>
  <c r="I4206" i="2"/>
  <c r="H4206" i="2"/>
  <c r="G4206" i="2"/>
  <c r="I4205" i="2"/>
  <c r="H4205" i="2"/>
  <c r="G4205" i="2"/>
  <c r="I4204" i="2"/>
  <c r="H4204" i="2"/>
  <c r="G4204" i="2"/>
  <c r="I4203" i="2"/>
  <c r="H4203" i="2"/>
  <c r="G4203" i="2"/>
  <c r="I4202" i="2"/>
  <c r="H4202" i="2"/>
  <c r="G4202" i="2"/>
  <c r="I4201" i="2"/>
  <c r="H4201" i="2"/>
  <c r="G4201" i="2"/>
  <c r="I4200" i="2"/>
  <c r="H4200" i="2"/>
  <c r="G4200" i="2"/>
  <c r="I4199" i="2"/>
  <c r="H4199" i="2"/>
  <c r="G4199" i="2"/>
  <c r="I4198" i="2"/>
  <c r="H4198" i="2"/>
  <c r="G4198" i="2"/>
  <c r="I4197" i="2"/>
  <c r="H4197" i="2"/>
  <c r="G4197" i="2"/>
  <c r="I4196" i="2"/>
  <c r="H4196" i="2"/>
  <c r="G4196" i="2"/>
  <c r="I4195" i="2"/>
  <c r="H4195" i="2"/>
  <c r="G4195" i="2"/>
  <c r="I4194" i="2"/>
  <c r="H4194" i="2"/>
  <c r="G4194" i="2"/>
  <c r="I4193" i="2"/>
  <c r="H4193" i="2"/>
  <c r="G4193" i="2"/>
  <c r="I4192" i="2"/>
  <c r="H4192" i="2"/>
  <c r="G4192" i="2"/>
  <c r="I4191" i="2"/>
  <c r="H4191" i="2"/>
  <c r="G4191" i="2"/>
  <c r="I4190" i="2"/>
  <c r="H4190" i="2"/>
  <c r="G4190" i="2"/>
  <c r="I4189" i="2"/>
  <c r="H4189" i="2"/>
  <c r="G4189" i="2"/>
  <c r="I4188" i="2"/>
  <c r="H4188" i="2"/>
  <c r="G4188" i="2"/>
  <c r="I4187" i="2"/>
  <c r="H4187" i="2"/>
  <c r="G4187" i="2"/>
  <c r="I4186" i="2"/>
  <c r="H4186" i="2"/>
  <c r="G4186" i="2"/>
  <c r="I4185" i="2"/>
  <c r="H4185" i="2"/>
  <c r="G4185" i="2"/>
  <c r="I4184" i="2"/>
  <c r="H4184" i="2"/>
  <c r="G4184" i="2"/>
  <c r="I4183" i="2"/>
  <c r="H4183" i="2"/>
  <c r="G4183" i="2"/>
  <c r="I4182" i="2"/>
  <c r="H4182" i="2"/>
  <c r="G4182" i="2"/>
  <c r="I4181" i="2"/>
  <c r="H4181" i="2"/>
  <c r="G4181" i="2"/>
  <c r="I4180" i="2"/>
  <c r="H4180" i="2"/>
  <c r="G4180" i="2"/>
  <c r="I4179" i="2"/>
  <c r="H4179" i="2"/>
  <c r="G4179" i="2"/>
  <c r="I4178" i="2"/>
  <c r="H4178" i="2"/>
  <c r="G4178" i="2"/>
  <c r="I4177" i="2"/>
  <c r="H4177" i="2"/>
  <c r="G4177" i="2"/>
  <c r="I4176" i="2"/>
  <c r="H4176" i="2"/>
  <c r="G4176" i="2"/>
  <c r="I4175" i="2"/>
  <c r="H4175" i="2"/>
  <c r="G4175" i="2"/>
  <c r="I4174" i="2"/>
  <c r="H4174" i="2"/>
  <c r="G4174" i="2"/>
  <c r="I4173" i="2"/>
  <c r="H4173" i="2"/>
  <c r="G4173" i="2"/>
  <c r="I4172" i="2"/>
  <c r="H4172" i="2"/>
  <c r="G4172" i="2"/>
  <c r="I4171" i="2"/>
  <c r="H4171" i="2"/>
  <c r="G4171" i="2"/>
  <c r="I4170" i="2"/>
  <c r="H4170" i="2"/>
  <c r="G4170" i="2"/>
  <c r="I4169" i="2"/>
  <c r="H4169" i="2"/>
  <c r="G4169" i="2"/>
  <c r="I4168" i="2"/>
  <c r="H4168" i="2"/>
  <c r="G4168" i="2"/>
  <c r="I4167" i="2"/>
  <c r="H4167" i="2"/>
  <c r="G4167" i="2"/>
  <c r="I4166" i="2"/>
  <c r="H4166" i="2"/>
  <c r="G4166" i="2"/>
  <c r="I4165" i="2"/>
  <c r="H4165" i="2"/>
  <c r="G4165" i="2"/>
  <c r="I4164" i="2"/>
  <c r="H4164" i="2"/>
  <c r="G4164" i="2"/>
  <c r="I4163" i="2"/>
  <c r="H4163" i="2"/>
  <c r="G4163" i="2"/>
  <c r="I4162" i="2"/>
  <c r="H4162" i="2"/>
  <c r="G4162" i="2"/>
  <c r="I4161" i="2"/>
  <c r="H4161" i="2"/>
  <c r="G4161" i="2"/>
  <c r="I4160" i="2"/>
  <c r="H4160" i="2"/>
  <c r="G4160" i="2"/>
  <c r="I4159" i="2"/>
  <c r="H4159" i="2"/>
  <c r="G4159" i="2"/>
  <c r="I4158" i="2"/>
  <c r="H4158" i="2"/>
  <c r="G4158" i="2"/>
  <c r="I4157" i="2"/>
  <c r="H4157" i="2"/>
  <c r="G4157" i="2"/>
  <c r="I4156" i="2"/>
  <c r="H4156" i="2"/>
  <c r="G4156" i="2"/>
  <c r="I4155" i="2"/>
  <c r="H4155" i="2"/>
  <c r="G4155" i="2"/>
  <c r="I4154" i="2"/>
  <c r="H4154" i="2"/>
  <c r="G4154" i="2"/>
  <c r="I4153" i="2"/>
  <c r="H4153" i="2"/>
  <c r="G4153" i="2"/>
  <c r="I4152" i="2"/>
  <c r="H4152" i="2"/>
  <c r="G4152" i="2"/>
  <c r="I4151" i="2"/>
  <c r="H4151" i="2"/>
  <c r="G4151" i="2"/>
  <c r="I4150" i="2"/>
  <c r="H4150" i="2"/>
  <c r="G4150" i="2"/>
  <c r="I4149" i="2"/>
  <c r="H4149" i="2"/>
  <c r="G4149" i="2"/>
  <c r="I4148" i="2"/>
  <c r="H4148" i="2"/>
  <c r="G4148" i="2"/>
  <c r="I4147" i="2"/>
  <c r="H4147" i="2"/>
  <c r="G4147" i="2"/>
  <c r="I4146" i="2"/>
  <c r="H4146" i="2"/>
  <c r="G4146" i="2"/>
  <c r="I4145" i="2"/>
  <c r="H4145" i="2"/>
  <c r="G4145" i="2"/>
  <c r="I4144" i="2"/>
  <c r="H4144" i="2"/>
  <c r="G4144" i="2"/>
  <c r="I4143" i="2"/>
  <c r="H4143" i="2"/>
  <c r="G4143" i="2"/>
  <c r="I4142" i="2"/>
  <c r="H4142" i="2"/>
  <c r="G4142" i="2"/>
  <c r="I4141" i="2"/>
  <c r="H4141" i="2"/>
  <c r="G4141" i="2"/>
  <c r="I4140" i="2"/>
  <c r="H4140" i="2"/>
  <c r="G4140" i="2"/>
  <c r="I4139" i="2"/>
  <c r="H4139" i="2"/>
  <c r="G4139" i="2"/>
  <c r="I4138" i="2"/>
  <c r="H4138" i="2"/>
  <c r="G4138" i="2"/>
  <c r="I4137" i="2"/>
  <c r="H4137" i="2"/>
  <c r="G4137" i="2"/>
  <c r="I4136" i="2"/>
  <c r="H4136" i="2"/>
  <c r="G4136" i="2"/>
  <c r="I4135" i="2"/>
  <c r="H4135" i="2"/>
  <c r="G4135" i="2"/>
  <c r="I4134" i="2"/>
  <c r="H4134" i="2"/>
  <c r="G4134" i="2"/>
  <c r="I4133" i="2"/>
  <c r="H4133" i="2"/>
  <c r="G4133" i="2"/>
  <c r="I4132" i="2"/>
  <c r="H4132" i="2"/>
  <c r="G4132" i="2"/>
  <c r="I4131" i="2"/>
  <c r="H4131" i="2"/>
  <c r="G4131" i="2"/>
  <c r="I4130" i="2"/>
  <c r="H4130" i="2"/>
  <c r="G4130" i="2"/>
  <c r="I4129" i="2"/>
  <c r="H4129" i="2"/>
  <c r="G4129" i="2"/>
  <c r="I4128" i="2"/>
  <c r="H4128" i="2"/>
  <c r="G4128" i="2"/>
  <c r="I4127" i="2"/>
  <c r="H4127" i="2"/>
  <c r="G4127" i="2"/>
  <c r="I4126" i="2"/>
  <c r="H4126" i="2"/>
  <c r="G4126" i="2"/>
  <c r="I4125" i="2"/>
  <c r="H4125" i="2"/>
  <c r="G4125" i="2"/>
  <c r="I4124" i="2"/>
  <c r="H4124" i="2"/>
  <c r="G4124" i="2"/>
  <c r="I4123" i="2"/>
  <c r="H4123" i="2"/>
  <c r="G4123" i="2"/>
  <c r="I4122" i="2"/>
  <c r="H4122" i="2"/>
  <c r="G4122" i="2"/>
  <c r="I4121" i="2"/>
  <c r="H4121" i="2"/>
  <c r="G4121" i="2"/>
  <c r="I4120" i="2"/>
  <c r="H4120" i="2"/>
  <c r="G4120" i="2"/>
  <c r="I4119" i="2"/>
  <c r="H4119" i="2"/>
  <c r="G4119" i="2"/>
  <c r="I4118" i="2"/>
  <c r="H4118" i="2"/>
  <c r="G4118" i="2"/>
  <c r="I4117" i="2"/>
  <c r="H4117" i="2"/>
  <c r="G4117" i="2"/>
  <c r="I4116" i="2"/>
  <c r="H4116" i="2"/>
  <c r="G4116" i="2"/>
  <c r="I4115" i="2"/>
  <c r="H4115" i="2"/>
  <c r="G4115" i="2"/>
  <c r="I4114" i="2"/>
  <c r="H4114" i="2"/>
  <c r="G4114" i="2"/>
  <c r="I4113" i="2"/>
  <c r="H4113" i="2"/>
  <c r="G4113" i="2"/>
  <c r="I4112" i="2"/>
  <c r="H4112" i="2"/>
  <c r="G4112" i="2"/>
  <c r="I4111" i="2"/>
  <c r="H4111" i="2"/>
  <c r="G4111" i="2"/>
  <c r="I4110" i="2"/>
  <c r="H4110" i="2"/>
  <c r="G4110" i="2"/>
  <c r="I4109" i="2"/>
  <c r="H4109" i="2"/>
  <c r="G4109" i="2"/>
  <c r="I4108" i="2"/>
  <c r="H4108" i="2"/>
  <c r="G4108" i="2"/>
  <c r="I4107" i="2"/>
  <c r="H4107" i="2"/>
  <c r="G4107" i="2"/>
  <c r="I4106" i="2"/>
  <c r="H4106" i="2"/>
  <c r="G4106" i="2"/>
  <c r="I4105" i="2"/>
  <c r="H4105" i="2"/>
  <c r="G4105" i="2"/>
  <c r="I4104" i="2"/>
  <c r="H4104" i="2"/>
  <c r="G4104" i="2"/>
  <c r="I4103" i="2"/>
  <c r="H4103" i="2"/>
  <c r="G4103" i="2"/>
  <c r="I4102" i="2"/>
  <c r="H4102" i="2"/>
  <c r="G4102" i="2"/>
  <c r="I4101" i="2"/>
  <c r="H4101" i="2"/>
  <c r="G4101" i="2"/>
  <c r="I4100" i="2"/>
  <c r="H4100" i="2"/>
  <c r="G4100" i="2"/>
  <c r="I4099" i="2"/>
  <c r="H4099" i="2"/>
  <c r="G4099" i="2"/>
  <c r="I4098" i="2"/>
  <c r="H4098" i="2"/>
  <c r="G4098" i="2"/>
  <c r="I4097" i="2"/>
  <c r="H4097" i="2"/>
  <c r="G4097" i="2"/>
  <c r="I4096" i="2"/>
  <c r="H4096" i="2"/>
  <c r="G4096" i="2"/>
  <c r="I4095" i="2"/>
  <c r="H4095" i="2"/>
  <c r="G4095" i="2"/>
  <c r="I4094" i="2"/>
  <c r="H4094" i="2"/>
  <c r="G4094" i="2"/>
  <c r="I4093" i="2"/>
  <c r="H4093" i="2"/>
  <c r="G4093" i="2"/>
  <c r="I4092" i="2"/>
  <c r="H4092" i="2"/>
  <c r="G4092" i="2"/>
  <c r="I4091" i="2"/>
  <c r="H4091" i="2"/>
  <c r="G4091" i="2"/>
  <c r="I4090" i="2"/>
  <c r="H4090" i="2"/>
  <c r="G4090" i="2"/>
  <c r="I4089" i="2"/>
  <c r="H4089" i="2"/>
  <c r="G4089" i="2"/>
  <c r="I4088" i="2"/>
  <c r="H4088" i="2"/>
  <c r="G4088" i="2"/>
  <c r="I4087" i="2"/>
  <c r="H4087" i="2"/>
  <c r="G4087" i="2"/>
  <c r="I4086" i="2"/>
  <c r="H4086" i="2"/>
  <c r="G4086" i="2"/>
  <c r="I4085" i="2"/>
  <c r="H4085" i="2"/>
  <c r="G4085" i="2"/>
  <c r="I4084" i="2"/>
  <c r="H4084" i="2"/>
  <c r="G4084" i="2"/>
  <c r="I4083" i="2"/>
  <c r="H4083" i="2"/>
  <c r="G4083" i="2"/>
  <c r="I4082" i="2"/>
  <c r="H4082" i="2"/>
  <c r="G4082" i="2"/>
  <c r="I4081" i="2"/>
  <c r="H4081" i="2"/>
  <c r="G4081" i="2"/>
  <c r="I4080" i="2"/>
  <c r="H4080" i="2"/>
  <c r="G4080" i="2"/>
  <c r="I4079" i="2"/>
  <c r="H4079" i="2"/>
  <c r="G4079" i="2"/>
  <c r="I4078" i="2"/>
  <c r="H4078" i="2"/>
  <c r="G4078" i="2"/>
  <c r="I4077" i="2"/>
  <c r="H4077" i="2"/>
  <c r="G4077" i="2"/>
  <c r="I4076" i="2"/>
  <c r="H4076" i="2"/>
  <c r="G4076" i="2"/>
  <c r="I4075" i="2"/>
  <c r="H4075" i="2"/>
  <c r="G4075" i="2"/>
  <c r="I4074" i="2"/>
  <c r="H4074" i="2"/>
  <c r="G4074" i="2"/>
  <c r="I4073" i="2"/>
  <c r="H4073" i="2"/>
  <c r="G4073" i="2"/>
  <c r="I4072" i="2"/>
  <c r="H4072" i="2"/>
  <c r="G4072" i="2"/>
  <c r="I4071" i="2"/>
  <c r="H4071" i="2"/>
  <c r="G4071" i="2"/>
  <c r="I4070" i="2"/>
  <c r="H4070" i="2"/>
  <c r="G4070" i="2"/>
  <c r="I4069" i="2"/>
  <c r="H4069" i="2"/>
  <c r="G4069" i="2"/>
  <c r="I4068" i="2"/>
  <c r="H4068" i="2"/>
  <c r="G4068" i="2"/>
  <c r="I4067" i="2"/>
  <c r="H4067" i="2"/>
  <c r="G4067" i="2"/>
  <c r="I4066" i="2"/>
  <c r="H4066" i="2"/>
  <c r="G4066" i="2"/>
  <c r="I4065" i="2"/>
  <c r="H4065" i="2"/>
  <c r="G4065" i="2"/>
  <c r="I4064" i="2"/>
  <c r="H4064" i="2"/>
  <c r="G4064" i="2"/>
  <c r="I4063" i="2"/>
  <c r="H4063" i="2"/>
  <c r="G4063" i="2"/>
  <c r="I4062" i="2"/>
  <c r="H4062" i="2"/>
  <c r="G4062" i="2"/>
  <c r="I4061" i="2"/>
  <c r="H4061" i="2"/>
  <c r="G4061" i="2"/>
  <c r="I4060" i="2"/>
  <c r="H4060" i="2"/>
  <c r="G4060" i="2"/>
  <c r="I4059" i="2"/>
  <c r="H4059" i="2"/>
  <c r="G4059" i="2"/>
  <c r="I4058" i="2"/>
  <c r="H4058" i="2"/>
  <c r="G4058" i="2"/>
  <c r="I4057" i="2"/>
  <c r="H4057" i="2"/>
  <c r="G4057" i="2"/>
  <c r="I4056" i="2"/>
  <c r="H4056" i="2"/>
  <c r="G4056" i="2"/>
  <c r="I4055" i="2"/>
  <c r="H4055" i="2"/>
  <c r="G4055" i="2"/>
  <c r="I4054" i="2"/>
  <c r="H4054" i="2"/>
  <c r="G4054" i="2"/>
  <c r="I4053" i="2"/>
  <c r="H4053" i="2"/>
  <c r="G4053" i="2"/>
  <c r="I4052" i="2"/>
  <c r="H4052" i="2"/>
  <c r="G4052" i="2"/>
  <c r="I4051" i="2"/>
  <c r="H4051" i="2"/>
  <c r="G4051" i="2"/>
  <c r="I4050" i="2"/>
  <c r="H4050" i="2"/>
  <c r="G4050" i="2"/>
  <c r="I4049" i="2"/>
  <c r="H4049" i="2"/>
  <c r="G4049" i="2"/>
  <c r="I4048" i="2"/>
  <c r="H4048" i="2"/>
  <c r="G4048" i="2"/>
  <c r="I4047" i="2"/>
  <c r="H4047" i="2"/>
  <c r="G4047" i="2"/>
  <c r="I4046" i="2"/>
  <c r="H4046" i="2"/>
  <c r="G4046" i="2"/>
  <c r="I4045" i="2"/>
  <c r="H4045" i="2"/>
  <c r="G4045" i="2"/>
  <c r="I4044" i="2"/>
  <c r="H4044" i="2"/>
  <c r="G4044" i="2"/>
  <c r="I4043" i="2"/>
  <c r="H4043" i="2"/>
  <c r="G4043" i="2"/>
  <c r="I4042" i="2"/>
  <c r="H4042" i="2"/>
  <c r="G4042" i="2"/>
  <c r="I4041" i="2"/>
  <c r="H4041" i="2"/>
  <c r="G4041" i="2"/>
  <c r="I4040" i="2"/>
  <c r="H4040" i="2"/>
  <c r="G4040" i="2"/>
  <c r="I4039" i="2"/>
  <c r="H4039" i="2"/>
  <c r="G4039" i="2"/>
  <c r="I4038" i="2"/>
  <c r="H4038" i="2"/>
  <c r="G4038" i="2"/>
  <c r="I4037" i="2"/>
  <c r="H4037" i="2"/>
  <c r="G4037" i="2"/>
  <c r="I4036" i="2"/>
  <c r="H4036" i="2"/>
  <c r="G4036" i="2"/>
  <c r="I4035" i="2"/>
  <c r="H4035" i="2"/>
  <c r="G4035" i="2"/>
  <c r="I4034" i="2"/>
  <c r="H4034" i="2"/>
  <c r="G4034" i="2"/>
  <c r="I4033" i="2"/>
  <c r="H4033" i="2"/>
  <c r="G4033" i="2"/>
  <c r="I4032" i="2"/>
  <c r="H4032" i="2"/>
  <c r="G4032" i="2"/>
  <c r="I4031" i="2"/>
  <c r="H4031" i="2"/>
  <c r="G4031" i="2"/>
  <c r="I4030" i="2"/>
  <c r="H4030" i="2"/>
  <c r="G4030" i="2"/>
  <c r="I4029" i="2"/>
  <c r="H4029" i="2"/>
  <c r="G4029" i="2"/>
  <c r="I4028" i="2"/>
  <c r="H4028" i="2"/>
  <c r="G4028" i="2"/>
  <c r="I4027" i="2"/>
  <c r="H4027" i="2"/>
  <c r="G4027" i="2"/>
  <c r="I4026" i="2"/>
  <c r="H4026" i="2"/>
  <c r="G4026" i="2"/>
  <c r="I4025" i="2"/>
  <c r="H4025" i="2"/>
  <c r="G4025" i="2"/>
  <c r="I4024" i="2"/>
  <c r="H4024" i="2"/>
  <c r="G4024" i="2"/>
  <c r="I4023" i="2"/>
  <c r="H4023" i="2"/>
  <c r="G4023" i="2"/>
  <c r="I4022" i="2"/>
  <c r="H4022" i="2"/>
  <c r="G4022" i="2"/>
  <c r="I4021" i="2"/>
  <c r="H4021" i="2"/>
  <c r="G4021" i="2"/>
  <c r="I4020" i="2"/>
  <c r="H4020" i="2"/>
  <c r="G4020" i="2"/>
  <c r="I4019" i="2"/>
  <c r="H4019" i="2"/>
  <c r="G4019" i="2"/>
  <c r="I4018" i="2"/>
  <c r="H4018" i="2"/>
  <c r="G4018" i="2"/>
  <c r="I4017" i="2"/>
  <c r="H4017" i="2"/>
  <c r="G4017" i="2"/>
  <c r="I4016" i="2"/>
  <c r="H4016" i="2"/>
  <c r="G4016" i="2"/>
  <c r="I4015" i="2"/>
  <c r="H4015" i="2"/>
  <c r="G4015" i="2"/>
  <c r="I4014" i="2"/>
  <c r="H4014" i="2"/>
  <c r="G4014" i="2"/>
  <c r="I4013" i="2"/>
  <c r="H4013" i="2"/>
  <c r="G4013" i="2"/>
  <c r="I4012" i="2"/>
  <c r="H4012" i="2"/>
  <c r="G4012" i="2"/>
  <c r="I4011" i="2"/>
  <c r="H4011" i="2"/>
  <c r="G4011" i="2"/>
  <c r="I4010" i="2"/>
  <c r="H4010" i="2"/>
  <c r="G4010" i="2"/>
  <c r="I4009" i="2"/>
  <c r="H4009" i="2"/>
  <c r="G4009" i="2"/>
  <c r="I4008" i="2"/>
  <c r="H4008" i="2"/>
  <c r="G4008" i="2"/>
  <c r="I4007" i="2"/>
  <c r="H4007" i="2"/>
  <c r="G4007" i="2"/>
  <c r="I4006" i="2"/>
  <c r="H4006" i="2"/>
  <c r="G4006" i="2"/>
  <c r="I4005" i="2"/>
  <c r="H4005" i="2"/>
  <c r="G4005" i="2"/>
  <c r="I4004" i="2"/>
  <c r="H4004" i="2"/>
  <c r="G4004" i="2"/>
  <c r="I4003" i="2"/>
  <c r="H4003" i="2"/>
  <c r="G4003" i="2"/>
  <c r="I4002" i="2"/>
  <c r="H4002" i="2"/>
  <c r="G4002" i="2"/>
  <c r="I4001" i="2"/>
  <c r="H4001" i="2"/>
  <c r="G4001" i="2"/>
  <c r="I4000" i="2"/>
  <c r="H4000" i="2"/>
  <c r="G4000" i="2"/>
  <c r="I3999" i="2"/>
  <c r="H3999" i="2"/>
  <c r="G3999" i="2"/>
  <c r="I3998" i="2"/>
  <c r="H3998" i="2"/>
  <c r="G3998" i="2"/>
  <c r="I3997" i="2"/>
  <c r="H3997" i="2"/>
  <c r="G3997" i="2"/>
  <c r="I3996" i="2"/>
  <c r="H3996" i="2"/>
  <c r="G3996" i="2"/>
  <c r="I3995" i="2"/>
  <c r="H3995" i="2"/>
  <c r="G3995" i="2"/>
  <c r="I3994" i="2"/>
  <c r="H3994" i="2"/>
  <c r="G3994" i="2"/>
  <c r="I3993" i="2"/>
  <c r="H3993" i="2"/>
  <c r="G3993" i="2"/>
  <c r="I3992" i="2"/>
  <c r="H3992" i="2"/>
  <c r="G3992" i="2"/>
  <c r="I3991" i="2"/>
  <c r="H3991" i="2"/>
  <c r="G3991" i="2"/>
  <c r="I3990" i="2"/>
  <c r="H3990" i="2"/>
  <c r="G3990" i="2"/>
  <c r="I3989" i="2"/>
  <c r="H3989" i="2"/>
  <c r="G3989" i="2"/>
  <c r="I3988" i="2"/>
  <c r="H3988" i="2"/>
  <c r="G3988" i="2"/>
  <c r="I3987" i="2"/>
  <c r="H3987" i="2"/>
  <c r="G3987" i="2"/>
  <c r="I3986" i="2"/>
  <c r="H3986" i="2"/>
  <c r="G3986" i="2"/>
  <c r="I3985" i="2"/>
  <c r="H3985" i="2"/>
  <c r="G3985" i="2"/>
  <c r="I3984" i="2"/>
  <c r="H3984" i="2"/>
  <c r="G3984" i="2"/>
  <c r="I3983" i="2"/>
  <c r="H3983" i="2"/>
  <c r="G3983" i="2"/>
  <c r="I3982" i="2"/>
  <c r="H3982" i="2"/>
  <c r="G3982" i="2"/>
  <c r="I3981" i="2"/>
  <c r="H3981" i="2"/>
  <c r="G3981" i="2"/>
  <c r="I3980" i="2"/>
  <c r="H3980" i="2"/>
  <c r="G3980" i="2"/>
  <c r="I3979" i="2"/>
  <c r="H3979" i="2"/>
  <c r="G3979" i="2"/>
  <c r="I3978" i="2"/>
  <c r="H3978" i="2"/>
  <c r="G3978" i="2"/>
  <c r="I3977" i="2"/>
  <c r="H3977" i="2"/>
  <c r="G3977" i="2"/>
  <c r="I3976" i="2"/>
  <c r="H3976" i="2"/>
  <c r="G3976" i="2"/>
  <c r="I3975" i="2"/>
  <c r="H3975" i="2"/>
  <c r="G3975" i="2"/>
  <c r="I3974" i="2"/>
  <c r="H3974" i="2"/>
  <c r="G3974" i="2"/>
  <c r="I3973" i="2"/>
  <c r="H3973" i="2"/>
  <c r="G3973" i="2"/>
  <c r="I3972" i="2"/>
  <c r="H3972" i="2"/>
  <c r="G3972" i="2"/>
  <c r="I3971" i="2"/>
  <c r="H3971" i="2"/>
  <c r="G3971" i="2"/>
  <c r="I3970" i="2"/>
  <c r="H3970" i="2"/>
  <c r="G3970" i="2"/>
  <c r="I3969" i="2"/>
  <c r="H3969" i="2"/>
  <c r="G3969" i="2"/>
  <c r="I3968" i="2"/>
  <c r="H3968" i="2"/>
  <c r="G3968" i="2"/>
  <c r="I3967" i="2"/>
  <c r="H3967" i="2"/>
  <c r="G3967" i="2"/>
  <c r="I3966" i="2"/>
  <c r="H3966" i="2"/>
  <c r="G3966" i="2"/>
  <c r="I3965" i="2"/>
  <c r="H3965" i="2"/>
  <c r="G3965" i="2"/>
  <c r="I3964" i="2"/>
  <c r="H3964" i="2"/>
  <c r="G3964" i="2"/>
  <c r="I3963" i="2"/>
  <c r="H3963" i="2"/>
  <c r="G3963" i="2"/>
  <c r="I3962" i="2"/>
  <c r="H3962" i="2"/>
  <c r="G3962" i="2"/>
  <c r="I3961" i="2"/>
  <c r="H3961" i="2"/>
  <c r="G3961" i="2"/>
  <c r="I3960" i="2"/>
  <c r="H3960" i="2"/>
  <c r="G3960" i="2"/>
  <c r="I3959" i="2"/>
  <c r="H3959" i="2"/>
  <c r="G3959" i="2"/>
  <c r="I3958" i="2"/>
  <c r="H3958" i="2"/>
  <c r="G3958" i="2"/>
  <c r="I3957" i="2"/>
  <c r="H3957" i="2"/>
  <c r="G3957" i="2"/>
  <c r="I3956" i="2"/>
  <c r="H3956" i="2"/>
  <c r="G3956" i="2"/>
  <c r="I3955" i="2"/>
  <c r="H3955" i="2"/>
  <c r="G3955" i="2"/>
  <c r="I3954" i="2"/>
  <c r="H3954" i="2"/>
  <c r="G3954" i="2"/>
  <c r="I3953" i="2"/>
  <c r="H3953" i="2"/>
  <c r="G3953" i="2"/>
  <c r="I3952" i="2"/>
  <c r="H3952" i="2"/>
  <c r="G3952" i="2"/>
  <c r="I3951" i="2"/>
  <c r="H3951" i="2"/>
  <c r="G3951" i="2"/>
  <c r="I3950" i="2"/>
  <c r="H3950" i="2"/>
  <c r="G3950" i="2"/>
  <c r="I3949" i="2"/>
  <c r="H3949" i="2"/>
  <c r="G3949" i="2"/>
  <c r="I3948" i="2"/>
  <c r="H3948" i="2"/>
  <c r="G3948" i="2"/>
  <c r="I3947" i="2"/>
  <c r="H3947" i="2"/>
  <c r="G3947" i="2"/>
  <c r="I3946" i="2"/>
  <c r="H3946" i="2"/>
  <c r="G3946" i="2"/>
  <c r="I3945" i="2"/>
  <c r="H3945" i="2"/>
  <c r="G3945" i="2"/>
  <c r="I3944" i="2"/>
  <c r="H3944" i="2"/>
  <c r="G3944" i="2"/>
  <c r="I3943" i="2"/>
  <c r="H3943" i="2"/>
  <c r="G3943" i="2"/>
  <c r="I3942" i="2"/>
  <c r="H3942" i="2"/>
  <c r="G3942" i="2"/>
  <c r="I3941" i="2"/>
  <c r="H3941" i="2"/>
  <c r="G3941" i="2"/>
  <c r="I3940" i="2"/>
  <c r="H3940" i="2"/>
  <c r="G3940" i="2"/>
  <c r="I3939" i="2"/>
  <c r="H3939" i="2"/>
  <c r="G3939" i="2"/>
  <c r="I3938" i="2"/>
  <c r="H3938" i="2"/>
  <c r="G3938" i="2"/>
  <c r="I3937" i="2"/>
  <c r="H3937" i="2"/>
  <c r="G3937" i="2"/>
  <c r="I3936" i="2"/>
  <c r="H3936" i="2"/>
  <c r="G3936" i="2"/>
  <c r="I3935" i="2"/>
  <c r="H3935" i="2"/>
  <c r="G3935" i="2"/>
  <c r="I3934" i="2"/>
  <c r="H3934" i="2"/>
  <c r="G3934" i="2"/>
  <c r="I3933" i="2"/>
  <c r="H3933" i="2"/>
  <c r="G3933" i="2"/>
  <c r="I3932" i="2"/>
  <c r="H3932" i="2"/>
  <c r="G3932" i="2"/>
  <c r="I3931" i="2"/>
  <c r="H3931" i="2"/>
  <c r="G3931" i="2"/>
  <c r="I3930" i="2"/>
  <c r="H3930" i="2"/>
  <c r="G3930" i="2"/>
  <c r="I3929" i="2"/>
  <c r="H3929" i="2"/>
  <c r="G3929" i="2"/>
  <c r="I3928" i="2"/>
  <c r="H3928" i="2"/>
  <c r="G3928" i="2"/>
  <c r="I3927" i="2"/>
  <c r="H3927" i="2"/>
  <c r="G3927" i="2"/>
  <c r="I3926" i="2"/>
  <c r="H3926" i="2"/>
  <c r="G3926" i="2"/>
  <c r="I3925" i="2"/>
  <c r="H3925" i="2"/>
  <c r="G3925" i="2"/>
  <c r="I3924" i="2"/>
  <c r="H3924" i="2"/>
  <c r="G3924" i="2"/>
  <c r="I3923" i="2"/>
  <c r="H3923" i="2"/>
  <c r="G3923" i="2"/>
  <c r="I3922" i="2"/>
  <c r="H3922" i="2"/>
  <c r="G3922" i="2"/>
  <c r="I3921" i="2"/>
  <c r="H3921" i="2"/>
  <c r="G3921" i="2"/>
  <c r="I3920" i="2"/>
  <c r="H3920" i="2"/>
  <c r="G3920" i="2"/>
  <c r="I3919" i="2"/>
  <c r="H3919" i="2"/>
  <c r="G3919" i="2"/>
  <c r="I3918" i="2"/>
  <c r="H3918" i="2"/>
  <c r="G3918" i="2"/>
  <c r="I3917" i="2"/>
  <c r="H3917" i="2"/>
  <c r="G3917" i="2"/>
  <c r="I3916" i="2"/>
  <c r="H3916" i="2"/>
  <c r="G3916" i="2"/>
  <c r="I3915" i="2"/>
  <c r="H3915" i="2"/>
  <c r="G3915" i="2"/>
  <c r="I3914" i="2"/>
  <c r="H3914" i="2"/>
  <c r="G3914" i="2"/>
  <c r="I3913" i="2"/>
  <c r="H3913" i="2"/>
  <c r="G3913" i="2"/>
  <c r="I3912" i="2"/>
  <c r="H3912" i="2"/>
  <c r="G3912" i="2"/>
  <c r="I3911" i="2"/>
  <c r="H3911" i="2"/>
  <c r="G3911" i="2"/>
  <c r="I3910" i="2"/>
  <c r="H3910" i="2"/>
  <c r="G3910" i="2"/>
  <c r="I3909" i="2"/>
  <c r="H3909" i="2"/>
  <c r="G3909" i="2"/>
  <c r="I3908" i="2"/>
  <c r="H3908" i="2"/>
  <c r="G3908" i="2"/>
  <c r="I3907" i="2"/>
  <c r="H3907" i="2"/>
  <c r="G3907" i="2"/>
  <c r="I3906" i="2"/>
  <c r="H3906" i="2"/>
  <c r="G3906" i="2"/>
  <c r="I3905" i="2"/>
  <c r="H3905" i="2"/>
  <c r="G3905" i="2"/>
  <c r="I3904" i="2"/>
  <c r="H3904" i="2"/>
  <c r="G3904" i="2"/>
  <c r="I3903" i="2"/>
  <c r="H3903" i="2"/>
  <c r="G3903" i="2"/>
  <c r="I3902" i="2"/>
  <c r="H3902" i="2"/>
  <c r="G3902" i="2"/>
  <c r="I3901" i="2"/>
  <c r="H3901" i="2"/>
  <c r="G3901" i="2"/>
  <c r="I3900" i="2"/>
  <c r="H3900" i="2"/>
  <c r="G3900" i="2"/>
  <c r="I3899" i="2"/>
  <c r="H3899" i="2"/>
  <c r="G3899" i="2"/>
  <c r="I3898" i="2"/>
  <c r="H3898" i="2"/>
  <c r="G3898" i="2"/>
  <c r="I3897" i="2"/>
  <c r="H3897" i="2"/>
  <c r="G3897" i="2"/>
  <c r="I3896" i="2"/>
  <c r="H3896" i="2"/>
  <c r="G3896" i="2"/>
  <c r="I3895" i="2"/>
  <c r="H3895" i="2"/>
  <c r="G3895" i="2"/>
  <c r="I3894" i="2"/>
  <c r="H3894" i="2"/>
  <c r="G3894" i="2"/>
  <c r="I3893" i="2"/>
  <c r="H3893" i="2"/>
  <c r="G3893" i="2"/>
  <c r="I3892" i="2"/>
  <c r="H3892" i="2"/>
  <c r="G3892" i="2"/>
  <c r="I3891" i="2"/>
  <c r="H3891" i="2"/>
  <c r="G3891" i="2"/>
  <c r="I3890" i="2"/>
  <c r="H3890" i="2"/>
  <c r="G3890" i="2"/>
  <c r="I3889" i="2"/>
  <c r="H3889" i="2"/>
  <c r="G3889" i="2"/>
  <c r="I3888" i="2"/>
  <c r="H3888" i="2"/>
  <c r="G3888" i="2"/>
  <c r="I3887" i="2"/>
  <c r="H3887" i="2"/>
  <c r="G3887" i="2"/>
  <c r="I3886" i="2"/>
  <c r="H3886" i="2"/>
  <c r="G3886" i="2"/>
  <c r="I3885" i="2"/>
  <c r="H3885" i="2"/>
  <c r="G3885" i="2"/>
  <c r="I3884" i="2"/>
  <c r="H3884" i="2"/>
  <c r="G3884" i="2"/>
  <c r="I3883" i="2"/>
  <c r="H3883" i="2"/>
  <c r="G3883" i="2"/>
  <c r="I3882" i="2"/>
  <c r="H3882" i="2"/>
  <c r="G3882" i="2"/>
  <c r="I3881" i="2"/>
  <c r="H3881" i="2"/>
  <c r="G3881" i="2"/>
  <c r="I3880" i="2"/>
  <c r="H3880" i="2"/>
  <c r="G3880" i="2"/>
  <c r="I3879" i="2"/>
  <c r="H3879" i="2"/>
  <c r="G3879" i="2"/>
  <c r="I3878" i="2"/>
  <c r="H3878" i="2"/>
  <c r="G3878" i="2"/>
  <c r="I3877" i="2"/>
  <c r="H3877" i="2"/>
  <c r="G3877" i="2"/>
  <c r="I3876" i="2"/>
  <c r="H3876" i="2"/>
  <c r="G3876" i="2"/>
  <c r="I3875" i="2"/>
  <c r="H3875" i="2"/>
  <c r="G3875" i="2"/>
  <c r="I3874" i="2"/>
  <c r="H3874" i="2"/>
  <c r="G3874" i="2"/>
  <c r="I3873" i="2"/>
  <c r="H3873" i="2"/>
  <c r="G3873" i="2"/>
  <c r="I3872" i="2"/>
  <c r="H3872" i="2"/>
  <c r="G3872" i="2"/>
  <c r="I3871" i="2"/>
  <c r="H3871" i="2"/>
  <c r="G3871" i="2"/>
  <c r="I3870" i="2"/>
  <c r="H3870" i="2"/>
  <c r="G3870" i="2"/>
  <c r="I3869" i="2"/>
  <c r="H3869" i="2"/>
  <c r="G3869" i="2"/>
  <c r="I3868" i="2"/>
  <c r="H3868" i="2"/>
  <c r="G3868" i="2"/>
  <c r="I3867" i="2"/>
  <c r="H3867" i="2"/>
  <c r="G3867" i="2"/>
  <c r="I3866" i="2"/>
  <c r="H3866" i="2"/>
  <c r="G3866" i="2"/>
  <c r="I3865" i="2"/>
  <c r="H3865" i="2"/>
  <c r="G3865" i="2"/>
  <c r="I3864" i="2"/>
  <c r="H3864" i="2"/>
  <c r="G3864" i="2"/>
  <c r="I3863" i="2"/>
  <c r="H3863" i="2"/>
  <c r="G3863" i="2"/>
  <c r="I3862" i="2"/>
  <c r="H3862" i="2"/>
  <c r="G3862" i="2"/>
  <c r="I3861" i="2"/>
  <c r="H3861" i="2"/>
  <c r="G3861" i="2"/>
  <c r="I3860" i="2"/>
  <c r="H3860" i="2"/>
  <c r="G3860" i="2"/>
  <c r="I3859" i="2"/>
  <c r="H3859" i="2"/>
  <c r="G3859" i="2"/>
  <c r="I3858" i="2"/>
  <c r="H3858" i="2"/>
  <c r="G3858" i="2"/>
  <c r="I3857" i="2"/>
  <c r="H3857" i="2"/>
  <c r="G3857" i="2"/>
  <c r="I3856" i="2"/>
  <c r="H3856" i="2"/>
  <c r="G3856" i="2"/>
  <c r="I3855" i="2"/>
  <c r="H3855" i="2"/>
  <c r="G3855" i="2"/>
  <c r="I3854" i="2"/>
  <c r="H3854" i="2"/>
  <c r="G3854" i="2"/>
  <c r="I3853" i="2"/>
  <c r="H3853" i="2"/>
  <c r="G3853" i="2"/>
  <c r="I3852" i="2"/>
  <c r="H3852" i="2"/>
  <c r="G3852" i="2"/>
  <c r="I3851" i="2"/>
  <c r="H3851" i="2"/>
  <c r="G3851" i="2"/>
  <c r="I3850" i="2"/>
  <c r="H3850" i="2"/>
  <c r="G3850" i="2"/>
  <c r="I3849" i="2"/>
  <c r="H3849" i="2"/>
  <c r="G3849" i="2"/>
  <c r="I3848" i="2"/>
  <c r="H3848" i="2"/>
  <c r="G3848" i="2"/>
  <c r="I3847" i="2"/>
  <c r="H3847" i="2"/>
  <c r="G3847" i="2"/>
  <c r="I3846" i="2"/>
  <c r="H3846" i="2"/>
  <c r="G3846" i="2"/>
  <c r="I3845" i="2"/>
  <c r="H3845" i="2"/>
  <c r="G3845" i="2"/>
  <c r="I3844" i="2"/>
  <c r="H3844" i="2"/>
  <c r="G3844" i="2"/>
  <c r="I3843" i="2"/>
  <c r="H3843" i="2"/>
  <c r="G3843" i="2"/>
  <c r="I3842" i="2"/>
  <c r="H3842" i="2"/>
  <c r="G3842" i="2"/>
  <c r="I3841" i="2"/>
  <c r="H3841" i="2"/>
  <c r="G3841" i="2"/>
  <c r="I3840" i="2"/>
  <c r="H3840" i="2"/>
  <c r="G3840" i="2"/>
  <c r="I3839" i="2"/>
  <c r="H3839" i="2"/>
  <c r="G3839" i="2"/>
  <c r="I3838" i="2"/>
  <c r="H3838" i="2"/>
  <c r="G3838" i="2"/>
  <c r="I3837" i="2"/>
  <c r="H3837" i="2"/>
  <c r="G3837" i="2"/>
  <c r="I3836" i="2"/>
  <c r="H3836" i="2"/>
  <c r="G3836" i="2"/>
  <c r="I3835" i="2"/>
  <c r="H3835" i="2"/>
  <c r="G3835" i="2"/>
  <c r="I3834" i="2"/>
  <c r="H3834" i="2"/>
  <c r="G3834" i="2"/>
  <c r="I3833" i="2"/>
  <c r="H3833" i="2"/>
  <c r="G3833" i="2"/>
  <c r="I3832" i="2"/>
  <c r="H3832" i="2"/>
  <c r="G3832" i="2"/>
  <c r="I3831" i="2"/>
  <c r="H3831" i="2"/>
  <c r="G3831" i="2"/>
  <c r="I3830" i="2"/>
  <c r="H3830" i="2"/>
  <c r="G3830" i="2"/>
  <c r="I3829" i="2"/>
  <c r="H3829" i="2"/>
  <c r="G3829" i="2"/>
  <c r="I3828" i="2"/>
  <c r="H3828" i="2"/>
  <c r="G3828" i="2"/>
  <c r="I3827" i="2"/>
  <c r="H3827" i="2"/>
  <c r="G3827" i="2"/>
  <c r="I3826" i="2"/>
  <c r="H3826" i="2"/>
  <c r="G3826" i="2"/>
  <c r="I3825" i="2"/>
  <c r="H3825" i="2"/>
  <c r="G3825" i="2"/>
  <c r="I3824" i="2"/>
  <c r="H3824" i="2"/>
  <c r="G3824" i="2"/>
  <c r="I3823" i="2"/>
  <c r="H3823" i="2"/>
  <c r="G3823" i="2"/>
  <c r="I3822" i="2"/>
  <c r="H3822" i="2"/>
  <c r="G3822" i="2"/>
  <c r="I3821" i="2"/>
  <c r="H3821" i="2"/>
  <c r="G3821" i="2"/>
  <c r="I3820" i="2"/>
  <c r="H3820" i="2"/>
  <c r="G3820" i="2"/>
  <c r="I3819" i="2"/>
  <c r="H3819" i="2"/>
  <c r="G3819" i="2"/>
  <c r="I3818" i="2"/>
  <c r="H3818" i="2"/>
  <c r="G3818" i="2"/>
  <c r="I3817" i="2"/>
  <c r="H3817" i="2"/>
  <c r="G3817" i="2"/>
  <c r="I3816" i="2"/>
  <c r="H3816" i="2"/>
  <c r="G3816" i="2"/>
  <c r="I3815" i="2"/>
  <c r="H3815" i="2"/>
  <c r="G3815" i="2"/>
  <c r="I3814" i="2"/>
  <c r="H3814" i="2"/>
  <c r="G3814" i="2"/>
  <c r="I3813" i="2"/>
  <c r="H3813" i="2"/>
  <c r="G3813" i="2"/>
  <c r="I3812" i="2"/>
  <c r="H3812" i="2"/>
  <c r="G3812" i="2"/>
  <c r="I3811" i="2"/>
  <c r="H3811" i="2"/>
  <c r="G3811" i="2"/>
  <c r="I3810" i="2"/>
  <c r="H3810" i="2"/>
  <c r="G3810" i="2"/>
  <c r="I3809" i="2"/>
  <c r="H3809" i="2"/>
  <c r="G3809" i="2"/>
  <c r="I3808" i="2"/>
  <c r="H3808" i="2"/>
  <c r="G3808" i="2"/>
  <c r="I3807" i="2"/>
  <c r="H3807" i="2"/>
  <c r="G3807" i="2"/>
  <c r="I3806" i="2"/>
  <c r="H3806" i="2"/>
  <c r="G3806" i="2"/>
  <c r="I3805" i="2"/>
  <c r="H3805" i="2"/>
  <c r="G3805" i="2"/>
  <c r="I3804" i="2"/>
  <c r="H3804" i="2"/>
  <c r="G3804" i="2"/>
  <c r="I3803" i="2"/>
  <c r="H3803" i="2"/>
  <c r="G3803" i="2"/>
  <c r="I3802" i="2"/>
  <c r="H3802" i="2"/>
  <c r="G3802" i="2"/>
  <c r="I3801" i="2"/>
  <c r="H3801" i="2"/>
  <c r="G3801" i="2"/>
  <c r="I3800" i="2"/>
  <c r="H3800" i="2"/>
  <c r="G3800" i="2"/>
  <c r="I3799" i="2"/>
  <c r="H3799" i="2"/>
  <c r="G3799" i="2"/>
  <c r="I3798" i="2"/>
  <c r="H3798" i="2"/>
  <c r="G3798" i="2"/>
  <c r="I3797" i="2"/>
  <c r="H3797" i="2"/>
  <c r="G3797" i="2"/>
  <c r="I3796" i="2"/>
  <c r="H3796" i="2"/>
  <c r="G3796" i="2"/>
  <c r="I3795" i="2"/>
  <c r="H3795" i="2"/>
  <c r="G3795" i="2"/>
  <c r="I3794" i="2"/>
  <c r="H3794" i="2"/>
  <c r="G3794" i="2"/>
  <c r="I3793" i="2"/>
  <c r="H3793" i="2"/>
  <c r="G3793" i="2"/>
  <c r="I3792" i="2"/>
  <c r="H3792" i="2"/>
  <c r="G3792" i="2"/>
  <c r="I3791" i="2"/>
  <c r="H3791" i="2"/>
  <c r="G3791" i="2"/>
  <c r="I3790" i="2"/>
  <c r="H3790" i="2"/>
  <c r="G3790" i="2"/>
  <c r="I3789" i="2"/>
  <c r="H3789" i="2"/>
  <c r="G3789" i="2"/>
  <c r="I3788" i="2"/>
  <c r="H3788" i="2"/>
  <c r="G3788" i="2"/>
  <c r="I3787" i="2"/>
  <c r="H3787" i="2"/>
  <c r="G3787" i="2"/>
  <c r="I3786" i="2"/>
  <c r="H3786" i="2"/>
  <c r="G3786" i="2"/>
  <c r="I3785" i="2"/>
  <c r="H3785" i="2"/>
  <c r="G3785" i="2"/>
  <c r="I3784" i="2"/>
  <c r="H3784" i="2"/>
  <c r="G3784" i="2"/>
  <c r="I3783" i="2"/>
  <c r="H3783" i="2"/>
  <c r="G3783" i="2"/>
  <c r="I3782" i="2"/>
  <c r="H3782" i="2"/>
  <c r="G3782" i="2"/>
  <c r="I3781" i="2"/>
  <c r="H3781" i="2"/>
  <c r="G3781" i="2"/>
  <c r="I3780" i="2"/>
  <c r="H3780" i="2"/>
  <c r="G3780" i="2"/>
  <c r="I3779" i="2"/>
  <c r="H3779" i="2"/>
  <c r="G3779" i="2"/>
  <c r="I3778" i="2"/>
  <c r="H3778" i="2"/>
  <c r="G3778" i="2"/>
  <c r="I3777" i="2"/>
  <c r="H3777" i="2"/>
  <c r="G3777" i="2"/>
  <c r="I3776" i="2"/>
  <c r="H3776" i="2"/>
  <c r="G3776" i="2"/>
  <c r="I3775" i="2"/>
  <c r="H3775" i="2"/>
  <c r="G3775" i="2"/>
  <c r="I3774" i="2"/>
  <c r="H3774" i="2"/>
  <c r="G3774" i="2"/>
  <c r="I3773" i="2"/>
  <c r="H3773" i="2"/>
  <c r="G3773" i="2"/>
  <c r="I3772" i="2"/>
  <c r="H3772" i="2"/>
  <c r="G3772" i="2"/>
  <c r="I3771" i="2"/>
  <c r="H3771" i="2"/>
  <c r="G3771" i="2"/>
  <c r="I3770" i="2"/>
  <c r="H3770" i="2"/>
  <c r="G3770" i="2"/>
  <c r="I3769" i="2"/>
  <c r="H3769" i="2"/>
  <c r="G3769" i="2"/>
  <c r="I3768" i="2"/>
  <c r="H3768" i="2"/>
  <c r="G3768" i="2"/>
  <c r="I3767" i="2"/>
  <c r="H3767" i="2"/>
  <c r="G3767" i="2"/>
  <c r="I3766" i="2"/>
  <c r="H3766" i="2"/>
  <c r="G3766" i="2"/>
  <c r="I3765" i="2"/>
  <c r="H3765" i="2"/>
  <c r="G3765" i="2"/>
  <c r="I3764" i="2"/>
  <c r="H3764" i="2"/>
  <c r="G3764" i="2"/>
  <c r="I3763" i="2"/>
  <c r="H3763" i="2"/>
  <c r="G3763" i="2"/>
  <c r="I3762" i="2"/>
  <c r="H3762" i="2"/>
  <c r="G3762" i="2"/>
  <c r="I3761" i="2"/>
  <c r="H3761" i="2"/>
  <c r="G3761" i="2"/>
  <c r="I3760" i="2"/>
  <c r="H3760" i="2"/>
  <c r="G3760" i="2"/>
  <c r="I3759" i="2"/>
  <c r="H3759" i="2"/>
  <c r="G3759" i="2"/>
  <c r="I3758" i="2"/>
  <c r="H3758" i="2"/>
  <c r="G3758" i="2"/>
  <c r="I3757" i="2"/>
  <c r="H3757" i="2"/>
  <c r="G3757" i="2"/>
  <c r="I3756" i="2"/>
  <c r="H3756" i="2"/>
  <c r="G3756" i="2"/>
  <c r="I3755" i="2"/>
  <c r="H3755" i="2"/>
  <c r="G3755" i="2"/>
  <c r="I3754" i="2"/>
  <c r="H3754" i="2"/>
  <c r="G3754" i="2"/>
  <c r="I3753" i="2"/>
  <c r="H3753" i="2"/>
  <c r="G3753" i="2"/>
  <c r="I3752" i="2"/>
  <c r="H3752" i="2"/>
  <c r="G3752" i="2"/>
  <c r="I3751" i="2"/>
  <c r="H3751" i="2"/>
  <c r="G3751" i="2"/>
  <c r="I3750" i="2"/>
  <c r="H3750" i="2"/>
  <c r="G3750" i="2"/>
  <c r="I3749" i="2"/>
  <c r="H3749" i="2"/>
  <c r="G3749" i="2"/>
  <c r="I3748" i="2"/>
  <c r="H3748" i="2"/>
  <c r="G3748" i="2"/>
  <c r="I3747" i="2"/>
  <c r="H3747" i="2"/>
  <c r="G3747" i="2"/>
  <c r="I3746" i="2"/>
  <c r="H3746" i="2"/>
  <c r="G3746" i="2"/>
  <c r="I3745" i="2"/>
  <c r="H3745" i="2"/>
  <c r="G3745" i="2"/>
  <c r="I3744" i="2"/>
  <c r="H3744" i="2"/>
  <c r="G3744" i="2"/>
  <c r="I3743" i="2"/>
  <c r="H3743" i="2"/>
  <c r="G3743" i="2"/>
  <c r="I3742" i="2"/>
  <c r="H3742" i="2"/>
  <c r="G3742" i="2"/>
  <c r="I3741" i="2"/>
  <c r="H3741" i="2"/>
  <c r="G3741" i="2"/>
  <c r="I3740" i="2"/>
  <c r="H3740" i="2"/>
  <c r="G3740" i="2"/>
  <c r="I3739" i="2"/>
  <c r="H3739" i="2"/>
  <c r="G3739" i="2"/>
  <c r="I3738" i="2"/>
  <c r="H3738" i="2"/>
  <c r="G3738" i="2"/>
  <c r="I3737" i="2"/>
  <c r="H3737" i="2"/>
  <c r="G3737" i="2"/>
  <c r="I3736" i="2"/>
  <c r="H3736" i="2"/>
  <c r="G3736" i="2"/>
  <c r="I3735" i="2"/>
  <c r="H3735" i="2"/>
  <c r="G3735" i="2"/>
  <c r="I3734" i="2"/>
  <c r="H3734" i="2"/>
  <c r="G3734" i="2"/>
  <c r="I3733" i="2"/>
  <c r="H3733" i="2"/>
  <c r="G3733" i="2"/>
  <c r="I3732" i="2"/>
  <c r="H3732" i="2"/>
  <c r="G3732" i="2"/>
  <c r="I3731" i="2"/>
  <c r="H3731" i="2"/>
  <c r="G3731" i="2"/>
  <c r="I3730" i="2"/>
  <c r="H3730" i="2"/>
  <c r="G3730" i="2"/>
  <c r="I3729" i="2"/>
  <c r="H3729" i="2"/>
  <c r="G3729" i="2"/>
  <c r="I3728" i="2"/>
  <c r="H3728" i="2"/>
  <c r="G3728" i="2"/>
  <c r="I3727" i="2"/>
  <c r="H3727" i="2"/>
  <c r="G3727" i="2"/>
  <c r="I3726" i="2"/>
  <c r="H3726" i="2"/>
  <c r="G3726" i="2"/>
  <c r="I3725" i="2"/>
  <c r="H3725" i="2"/>
  <c r="G3725" i="2"/>
  <c r="I3724" i="2"/>
  <c r="H3724" i="2"/>
  <c r="G3724" i="2"/>
  <c r="I3723" i="2"/>
  <c r="H3723" i="2"/>
  <c r="G3723" i="2"/>
  <c r="I3722" i="2"/>
  <c r="H3722" i="2"/>
  <c r="G3722" i="2"/>
  <c r="I3721" i="2"/>
  <c r="H3721" i="2"/>
  <c r="G3721" i="2"/>
  <c r="I3720" i="2"/>
  <c r="H3720" i="2"/>
  <c r="G3720" i="2"/>
  <c r="I3719" i="2"/>
  <c r="H3719" i="2"/>
  <c r="G3719" i="2"/>
  <c r="I3718" i="2"/>
  <c r="H3718" i="2"/>
  <c r="G3718" i="2"/>
  <c r="I3717" i="2"/>
  <c r="H3717" i="2"/>
  <c r="G3717" i="2"/>
  <c r="I3716" i="2"/>
  <c r="H3716" i="2"/>
  <c r="G3716" i="2"/>
  <c r="I3715" i="2"/>
  <c r="H3715" i="2"/>
  <c r="G3715" i="2"/>
  <c r="I3714" i="2"/>
  <c r="H3714" i="2"/>
  <c r="G3714" i="2"/>
  <c r="I3713" i="2"/>
  <c r="H3713" i="2"/>
  <c r="G3713" i="2"/>
  <c r="I3712" i="2"/>
  <c r="H3712" i="2"/>
  <c r="G3712" i="2"/>
  <c r="I3711" i="2"/>
  <c r="H3711" i="2"/>
  <c r="G3711" i="2"/>
  <c r="I3710" i="2"/>
  <c r="H3710" i="2"/>
  <c r="G3710" i="2"/>
  <c r="I3709" i="2"/>
  <c r="H3709" i="2"/>
  <c r="G3709" i="2"/>
  <c r="I3708" i="2"/>
  <c r="H3708" i="2"/>
  <c r="G3708" i="2"/>
  <c r="I3707" i="2"/>
  <c r="H3707" i="2"/>
  <c r="G3707" i="2"/>
  <c r="I3706" i="2"/>
  <c r="H3706" i="2"/>
  <c r="G3706" i="2"/>
  <c r="I3705" i="2"/>
  <c r="H3705" i="2"/>
  <c r="G3705" i="2"/>
  <c r="I3704" i="2"/>
  <c r="H3704" i="2"/>
  <c r="G3704" i="2"/>
  <c r="I3703" i="2"/>
  <c r="H3703" i="2"/>
  <c r="G3703" i="2"/>
  <c r="I3702" i="2"/>
  <c r="H3702" i="2"/>
  <c r="G3702" i="2"/>
  <c r="I3701" i="2"/>
  <c r="H3701" i="2"/>
  <c r="G3701" i="2"/>
  <c r="I3700" i="2"/>
  <c r="H3700" i="2"/>
  <c r="G3700" i="2"/>
  <c r="I3699" i="2"/>
  <c r="H3699" i="2"/>
  <c r="G3699" i="2"/>
  <c r="I3698" i="2"/>
  <c r="H3698" i="2"/>
  <c r="G3698" i="2"/>
  <c r="I3697" i="2"/>
  <c r="H3697" i="2"/>
  <c r="G3697" i="2"/>
  <c r="I3696" i="2"/>
  <c r="H3696" i="2"/>
  <c r="G3696" i="2"/>
  <c r="I3695" i="2"/>
  <c r="H3695" i="2"/>
  <c r="G3695" i="2"/>
  <c r="I3694" i="2"/>
  <c r="H3694" i="2"/>
  <c r="G3694" i="2"/>
  <c r="I3693" i="2"/>
  <c r="H3693" i="2"/>
  <c r="G3693" i="2"/>
  <c r="I3692" i="2"/>
  <c r="H3692" i="2"/>
  <c r="G3692" i="2"/>
  <c r="I3691" i="2"/>
  <c r="H3691" i="2"/>
  <c r="G3691" i="2"/>
  <c r="I3690" i="2"/>
  <c r="H3690" i="2"/>
  <c r="G3690" i="2"/>
  <c r="I3689" i="2"/>
  <c r="H3689" i="2"/>
  <c r="G3689" i="2"/>
  <c r="I3688" i="2"/>
  <c r="H3688" i="2"/>
  <c r="G3688" i="2"/>
  <c r="I3687" i="2"/>
  <c r="H3687" i="2"/>
  <c r="G3687" i="2"/>
  <c r="I3686" i="2"/>
  <c r="H3686" i="2"/>
  <c r="G3686" i="2"/>
  <c r="I3685" i="2"/>
  <c r="H3685" i="2"/>
  <c r="G3685" i="2"/>
  <c r="I3684" i="2"/>
  <c r="H3684" i="2"/>
  <c r="G3684" i="2"/>
  <c r="I3683" i="2"/>
  <c r="H3683" i="2"/>
  <c r="G3683" i="2"/>
  <c r="I3682" i="2"/>
  <c r="H3682" i="2"/>
  <c r="G3682" i="2"/>
  <c r="I3681" i="2"/>
  <c r="H3681" i="2"/>
  <c r="G3681" i="2"/>
  <c r="I3680" i="2"/>
  <c r="H3680" i="2"/>
  <c r="G3680" i="2"/>
  <c r="I3679" i="2"/>
  <c r="H3679" i="2"/>
  <c r="G3679" i="2"/>
  <c r="I3678" i="2"/>
  <c r="H3678" i="2"/>
  <c r="G3678" i="2"/>
  <c r="I3677" i="2"/>
  <c r="H3677" i="2"/>
  <c r="G3677" i="2"/>
  <c r="I3676" i="2"/>
  <c r="H3676" i="2"/>
  <c r="G3676" i="2"/>
  <c r="I3675" i="2"/>
  <c r="H3675" i="2"/>
  <c r="G3675" i="2"/>
  <c r="I3674" i="2"/>
  <c r="H3674" i="2"/>
  <c r="G3674" i="2"/>
  <c r="I3673" i="2"/>
  <c r="H3673" i="2"/>
  <c r="G3673" i="2"/>
  <c r="I3672" i="2"/>
  <c r="H3672" i="2"/>
  <c r="G3672" i="2"/>
  <c r="I3671" i="2"/>
  <c r="H3671" i="2"/>
  <c r="G3671" i="2"/>
  <c r="I3670" i="2"/>
  <c r="H3670" i="2"/>
  <c r="G3670" i="2"/>
  <c r="I3669" i="2"/>
  <c r="H3669" i="2"/>
  <c r="G3669" i="2"/>
  <c r="I3668" i="2"/>
  <c r="H3668" i="2"/>
  <c r="G3668" i="2"/>
  <c r="I3667" i="2"/>
  <c r="H3667" i="2"/>
  <c r="G3667" i="2"/>
  <c r="I3666" i="2"/>
  <c r="H3666" i="2"/>
  <c r="G3666" i="2"/>
  <c r="I3665" i="2"/>
  <c r="H3665" i="2"/>
  <c r="G3665" i="2"/>
  <c r="I3664" i="2"/>
  <c r="H3664" i="2"/>
  <c r="G3664" i="2"/>
  <c r="I3663" i="2"/>
  <c r="H3663" i="2"/>
  <c r="G3663" i="2"/>
  <c r="I3662" i="2"/>
  <c r="H3662" i="2"/>
  <c r="G3662" i="2"/>
  <c r="I3661" i="2"/>
  <c r="H3661" i="2"/>
  <c r="G3661" i="2"/>
  <c r="I3660" i="2"/>
  <c r="H3660" i="2"/>
  <c r="G3660" i="2"/>
  <c r="I3659" i="2"/>
  <c r="H3659" i="2"/>
  <c r="G3659" i="2"/>
  <c r="I3658" i="2"/>
  <c r="H3658" i="2"/>
  <c r="G3658" i="2"/>
  <c r="I3657" i="2"/>
  <c r="H3657" i="2"/>
  <c r="G3657" i="2"/>
  <c r="I3656" i="2"/>
  <c r="H3656" i="2"/>
  <c r="G3656" i="2"/>
  <c r="I3655" i="2"/>
  <c r="H3655" i="2"/>
  <c r="G3655" i="2"/>
  <c r="I3654" i="2"/>
  <c r="H3654" i="2"/>
  <c r="G3654" i="2"/>
  <c r="I3653" i="2"/>
  <c r="H3653" i="2"/>
  <c r="G3653" i="2"/>
  <c r="I3652" i="2"/>
  <c r="H3652" i="2"/>
  <c r="G3652" i="2"/>
  <c r="I3651" i="2"/>
  <c r="H3651" i="2"/>
  <c r="G3651" i="2"/>
  <c r="I3650" i="2"/>
  <c r="H3650" i="2"/>
  <c r="G3650" i="2"/>
  <c r="I3649" i="2"/>
  <c r="H3649" i="2"/>
  <c r="G3649" i="2"/>
  <c r="I3648" i="2"/>
  <c r="H3648" i="2"/>
  <c r="G3648" i="2"/>
  <c r="I3647" i="2"/>
  <c r="H3647" i="2"/>
  <c r="G3647" i="2"/>
  <c r="I3646" i="2"/>
  <c r="H3646" i="2"/>
  <c r="G3646" i="2"/>
  <c r="I3645" i="2"/>
  <c r="H3645" i="2"/>
  <c r="G3645" i="2"/>
  <c r="I3644" i="2"/>
  <c r="H3644" i="2"/>
  <c r="G3644" i="2"/>
  <c r="I3643" i="2"/>
  <c r="H3643" i="2"/>
  <c r="G3643" i="2"/>
  <c r="I3642" i="2"/>
  <c r="H3642" i="2"/>
  <c r="G3642" i="2"/>
  <c r="I3641" i="2"/>
  <c r="H3641" i="2"/>
  <c r="G3641" i="2"/>
  <c r="I3640" i="2"/>
  <c r="H3640" i="2"/>
  <c r="G3640" i="2"/>
  <c r="I3639" i="2"/>
  <c r="H3639" i="2"/>
  <c r="G3639" i="2"/>
  <c r="I3638" i="2"/>
  <c r="H3638" i="2"/>
  <c r="G3638" i="2"/>
  <c r="I3637" i="2"/>
  <c r="H3637" i="2"/>
  <c r="G3637" i="2"/>
  <c r="I3636" i="2"/>
  <c r="H3636" i="2"/>
  <c r="G3636" i="2"/>
  <c r="I3635" i="2"/>
  <c r="H3635" i="2"/>
  <c r="G3635" i="2"/>
  <c r="I3634" i="2"/>
  <c r="H3634" i="2"/>
  <c r="G3634" i="2"/>
  <c r="I3633" i="2"/>
  <c r="H3633" i="2"/>
  <c r="G3633" i="2"/>
  <c r="I3632" i="2"/>
  <c r="H3632" i="2"/>
  <c r="G3632" i="2"/>
  <c r="I3631" i="2"/>
  <c r="H3631" i="2"/>
  <c r="G3631" i="2"/>
  <c r="I3630" i="2"/>
  <c r="H3630" i="2"/>
  <c r="G3630" i="2"/>
  <c r="I3629" i="2"/>
  <c r="H3629" i="2"/>
  <c r="G3629" i="2"/>
  <c r="I3628" i="2"/>
  <c r="H3628" i="2"/>
  <c r="G3628" i="2"/>
  <c r="I3627" i="2"/>
  <c r="H3627" i="2"/>
  <c r="G3627" i="2"/>
  <c r="I3626" i="2"/>
  <c r="H3626" i="2"/>
  <c r="G3626" i="2"/>
  <c r="I3625" i="2"/>
  <c r="H3625" i="2"/>
  <c r="G3625" i="2"/>
  <c r="I3624" i="2"/>
  <c r="H3624" i="2"/>
  <c r="G3624" i="2"/>
  <c r="I3623" i="2"/>
  <c r="H3623" i="2"/>
  <c r="G3623" i="2"/>
  <c r="I3622" i="2"/>
  <c r="H3622" i="2"/>
  <c r="G3622" i="2"/>
  <c r="I3621" i="2"/>
  <c r="H3621" i="2"/>
  <c r="G3621" i="2"/>
  <c r="I3620" i="2"/>
  <c r="H3620" i="2"/>
  <c r="G3620" i="2"/>
  <c r="I3619" i="2"/>
  <c r="H3619" i="2"/>
  <c r="G3619" i="2"/>
  <c r="I3618" i="2"/>
  <c r="H3618" i="2"/>
  <c r="G3618" i="2"/>
  <c r="I3617" i="2"/>
  <c r="H3617" i="2"/>
  <c r="G3617" i="2"/>
  <c r="I3616" i="2"/>
  <c r="H3616" i="2"/>
  <c r="G3616" i="2"/>
  <c r="I3615" i="2"/>
  <c r="H3615" i="2"/>
  <c r="G3615" i="2"/>
  <c r="I3614" i="2"/>
  <c r="H3614" i="2"/>
  <c r="G3614" i="2"/>
  <c r="I3613" i="2"/>
  <c r="H3613" i="2"/>
  <c r="G3613" i="2"/>
  <c r="I3612" i="2"/>
  <c r="H3612" i="2"/>
  <c r="G3612" i="2"/>
  <c r="I3611" i="2"/>
  <c r="H3611" i="2"/>
  <c r="G3611" i="2"/>
  <c r="I3610" i="2"/>
  <c r="H3610" i="2"/>
  <c r="G3610" i="2"/>
  <c r="I3609" i="2"/>
  <c r="H3609" i="2"/>
  <c r="G3609" i="2"/>
  <c r="I3608" i="2"/>
  <c r="H3608" i="2"/>
  <c r="G3608" i="2"/>
  <c r="I3607" i="2"/>
  <c r="H3607" i="2"/>
  <c r="G3607" i="2"/>
  <c r="I3606" i="2"/>
  <c r="H3606" i="2"/>
  <c r="G3606" i="2"/>
  <c r="I3605" i="2"/>
  <c r="H3605" i="2"/>
  <c r="G3605" i="2"/>
  <c r="I3604" i="2"/>
  <c r="H3604" i="2"/>
  <c r="G3604" i="2"/>
  <c r="I3603" i="2"/>
  <c r="H3603" i="2"/>
  <c r="G3603" i="2"/>
  <c r="I3602" i="2"/>
  <c r="H3602" i="2"/>
  <c r="G3602" i="2"/>
  <c r="I3601" i="2"/>
  <c r="H3601" i="2"/>
  <c r="G3601" i="2"/>
  <c r="I3600" i="2"/>
  <c r="H3600" i="2"/>
  <c r="G3600" i="2"/>
  <c r="I3599" i="2"/>
  <c r="H3599" i="2"/>
  <c r="G3599" i="2"/>
  <c r="I3598" i="2"/>
  <c r="H3598" i="2"/>
  <c r="G3598" i="2"/>
  <c r="I3597" i="2"/>
  <c r="H3597" i="2"/>
  <c r="G3597" i="2"/>
  <c r="I3596" i="2"/>
  <c r="H3596" i="2"/>
  <c r="G3596" i="2"/>
  <c r="I3595" i="2"/>
  <c r="H3595" i="2"/>
  <c r="G3595" i="2"/>
  <c r="I3594" i="2"/>
  <c r="H3594" i="2"/>
  <c r="G3594" i="2"/>
  <c r="I3593" i="2"/>
  <c r="H3593" i="2"/>
  <c r="G3593" i="2"/>
  <c r="I3592" i="2"/>
  <c r="H3592" i="2"/>
  <c r="G3592" i="2"/>
  <c r="I3591" i="2"/>
  <c r="H3591" i="2"/>
  <c r="G3591" i="2"/>
  <c r="I3590" i="2"/>
  <c r="H3590" i="2"/>
  <c r="G3590" i="2"/>
  <c r="I3589" i="2"/>
  <c r="H3589" i="2"/>
  <c r="G3589" i="2"/>
  <c r="I3588" i="2"/>
  <c r="H3588" i="2"/>
  <c r="G3588" i="2"/>
  <c r="I3587" i="2"/>
  <c r="H3587" i="2"/>
  <c r="G3587" i="2"/>
  <c r="I3586" i="2"/>
  <c r="H3586" i="2"/>
  <c r="G3586" i="2"/>
  <c r="I3585" i="2"/>
  <c r="H3585" i="2"/>
  <c r="G3585" i="2"/>
  <c r="I3584" i="2"/>
  <c r="H3584" i="2"/>
  <c r="G3584" i="2"/>
  <c r="I3583" i="2"/>
  <c r="H3583" i="2"/>
  <c r="G3583" i="2"/>
  <c r="I3582" i="2"/>
  <c r="H3582" i="2"/>
  <c r="G3582" i="2"/>
  <c r="I3581" i="2"/>
  <c r="H3581" i="2"/>
  <c r="G3581" i="2"/>
  <c r="I3580" i="2"/>
  <c r="H3580" i="2"/>
  <c r="G3580" i="2"/>
  <c r="I3579" i="2"/>
  <c r="H3579" i="2"/>
  <c r="G3579" i="2"/>
  <c r="I3578" i="2"/>
  <c r="H3578" i="2"/>
  <c r="G3578" i="2"/>
  <c r="I3577" i="2"/>
  <c r="H3577" i="2"/>
  <c r="G3577" i="2"/>
  <c r="I3576" i="2"/>
  <c r="H3576" i="2"/>
  <c r="G3576" i="2"/>
  <c r="I3575" i="2"/>
  <c r="H3575" i="2"/>
  <c r="G3575" i="2"/>
  <c r="I3574" i="2"/>
  <c r="H3574" i="2"/>
  <c r="G3574" i="2"/>
  <c r="I3573" i="2"/>
  <c r="H3573" i="2"/>
  <c r="G3573" i="2"/>
  <c r="I3572" i="2"/>
  <c r="H3572" i="2"/>
  <c r="G3572" i="2"/>
  <c r="I3571" i="2"/>
  <c r="H3571" i="2"/>
  <c r="G3571" i="2"/>
  <c r="I3570" i="2"/>
  <c r="H3570" i="2"/>
  <c r="G3570" i="2"/>
  <c r="I3569" i="2"/>
  <c r="H3569" i="2"/>
  <c r="G3569" i="2"/>
  <c r="I3568" i="2"/>
  <c r="H3568" i="2"/>
  <c r="G3568" i="2"/>
  <c r="I3567" i="2"/>
  <c r="H3567" i="2"/>
  <c r="G3567" i="2"/>
  <c r="I3566" i="2"/>
  <c r="H3566" i="2"/>
  <c r="G3566" i="2"/>
  <c r="I3565" i="2"/>
  <c r="H3565" i="2"/>
  <c r="G3565" i="2"/>
  <c r="I3564" i="2"/>
  <c r="H3564" i="2"/>
  <c r="G3564" i="2"/>
  <c r="I3563" i="2"/>
  <c r="H3563" i="2"/>
  <c r="G3563" i="2"/>
  <c r="I3562" i="2"/>
  <c r="H3562" i="2"/>
  <c r="G3562" i="2"/>
  <c r="I3561" i="2"/>
  <c r="H3561" i="2"/>
  <c r="G3561" i="2"/>
  <c r="I3560" i="2"/>
  <c r="H3560" i="2"/>
  <c r="G3560" i="2"/>
  <c r="I3559" i="2"/>
  <c r="H3559" i="2"/>
  <c r="G3559" i="2"/>
  <c r="I3558" i="2"/>
  <c r="H3558" i="2"/>
  <c r="G3558" i="2"/>
  <c r="I3557" i="2"/>
  <c r="H3557" i="2"/>
  <c r="G3557" i="2"/>
  <c r="I3556" i="2"/>
  <c r="H3556" i="2"/>
  <c r="G3556" i="2"/>
  <c r="I3555" i="2"/>
  <c r="H3555" i="2"/>
  <c r="G3555" i="2"/>
  <c r="I3554" i="2"/>
  <c r="H3554" i="2"/>
  <c r="G3554" i="2"/>
  <c r="I3553" i="2"/>
  <c r="H3553" i="2"/>
  <c r="G3553" i="2"/>
  <c r="I3552" i="2"/>
  <c r="H3552" i="2"/>
  <c r="G3552" i="2"/>
  <c r="I3551" i="2"/>
  <c r="H3551" i="2"/>
  <c r="G3551" i="2"/>
  <c r="I3550" i="2"/>
  <c r="H3550" i="2"/>
  <c r="G3550" i="2"/>
  <c r="I3549" i="2"/>
  <c r="H3549" i="2"/>
  <c r="G3549" i="2"/>
  <c r="I3548" i="2"/>
  <c r="H3548" i="2"/>
  <c r="G3548" i="2"/>
  <c r="I3547" i="2"/>
  <c r="H3547" i="2"/>
  <c r="G3547" i="2"/>
  <c r="I3546" i="2"/>
  <c r="H3546" i="2"/>
  <c r="G3546" i="2"/>
  <c r="I3545" i="2"/>
  <c r="H3545" i="2"/>
  <c r="G3545" i="2"/>
  <c r="I3544" i="2"/>
  <c r="H3544" i="2"/>
  <c r="G3544" i="2"/>
  <c r="I3543" i="2"/>
  <c r="H3543" i="2"/>
  <c r="G3543" i="2"/>
  <c r="I3542" i="2"/>
  <c r="H3542" i="2"/>
  <c r="G3542" i="2"/>
  <c r="I3541" i="2"/>
  <c r="H3541" i="2"/>
  <c r="G3541" i="2"/>
  <c r="I3540" i="2"/>
  <c r="H3540" i="2"/>
  <c r="G3540" i="2"/>
  <c r="I3539" i="2"/>
  <c r="H3539" i="2"/>
  <c r="G3539" i="2"/>
  <c r="I3538" i="2"/>
  <c r="H3538" i="2"/>
  <c r="G3538" i="2"/>
  <c r="I3537" i="2"/>
  <c r="H3537" i="2"/>
  <c r="G3537" i="2"/>
  <c r="I3536" i="2"/>
  <c r="H3536" i="2"/>
  <c r="G3536" i="2"/>
  <c r="I3535" i="2"/>
  <c r="H3535" i="2"/>
  <c r="G3535" i="2"/>
  <c r="I3534" i="2"/>
  <c r="H3534" i="2"/>
  <c r="G3534" i="2"/>
  <c r="I3533" i="2"/>
  <c r="H3533" i="2"/>
  <c r="G3533" i="2"/>
  <c r="I3532" i="2"/>
  <c r="H3532" i="2"/>
  <c r="G3532" i="2"/>
  <c r="I3531" i="2"/>
  <c r="H3531" i="2"/>
  <c r="G3531" i="2"/>
  <c r="I3530" i="2"/>
  <c r="H3530" i="2"/>
  <c r="G3530" i="2"/>
  <c r="I3529" i="2"/>
  <c r="H3529" i="2"/>
  <c r="G3529" i="2"/>
  <c r="I3528" i="2"/>
  <c r="H3528" i="2"/>
  <c r="G3528" i="2"/>
  <c r="I3527" i="2"/>
  <c r="H3527" i="2"/>
  <c r="G3527" i="2"/>
  <c r="I3526" i="2"/>
  <c r="H3526" i="2"/>
  <c r="G3526" i="2"/>
  <c r="I3525" i="2"/>
  <c r="H3525" i="2"/>
  <c r="G3525" i="2"/>
  <c r="I3524" i="2"/>
  <c r="H3524" i="2"/>
  <c r="G3524" i="2"/>
  <c r="I3523" i="2"/>
  <c r="H3523" i="2"/>
  <c r="G3523" i="2"/>
  <c r="I3522" i="2"/>
  <c r="H3522" i="2"/>
  <c r="G3522" i="2"/>
  <c r="I3521" i="2"/>
  <c r="H3521" i="2"/>
  <c r="G3521" i="2"/>
  <c r="I3520" i="2"/>
  <c r="H3520" i="2"/>
  <c r="G3520" i="2"/>
  <c r="I3519" i="2"/>
  <c r="H3519" i="2"/>
  <c r="G3519" i="2"/>
  <c r="I3518" i="2"/>
  <c r="H3518" i="2"/>
  <c r="G3518" i="2"/>
  <c r="I3517" i="2"/>
  <c r="H3517" i="2"/>
  <c r="G3517" i="2"/>
  <c r="I3516" i="2"/>
  <c r="H3516" i="2"/>
  <c r="G3516" i="2"/>
  <c r="I3515" i="2"/>
  <c r="H3515" i="2"/>
  <c r="G3515" i="2"/>
  <c r="I3514" i="2"/>
  <c r="H3514" i="2"/>
  <c r="G3514" i="2"/>
  <c r="I3513" i="2"/>
  <c r="H3513" i="2"/>
  <c r="G3513" i="2"/>
  <c r="I3512" i="2"/>
  <c r="H3512" i="2"/>
  <c r="G3512" i="2"/>
  <c r="I3511" i="2"/>
  <c r="H3511" i="2"/>
  <c r="G3511" i="2"/>
  <c r="I3510" i="2"/>
  <c r="H3510" i="2"/>
  <c r="G3510" i="2"/>
  <c r="I3509" i="2"/>
  <c r="H3509" i="2"/>
  <c r="G3509" i="2"/>
  <c r="I3508" i="2"/>
  <c r="H3508" i="2"/>
  <c r="G3508" i="2"/>
  <c r="I3507" i="2"/>
  <c r="H3507" i="2"/>
  <c r="G3507" i="2"/>
  <c r="I3506" i="2"/>
  <c r="H3506" i="2"/>
  <c r="G3506" i="2"/>
  <c r="I3505" i="2"/>
  <c r="H3505" i="2"/>
  <c r="G3505" i="2"/>
  <c r="I3504" i="2"/>
  <c r="H3504" i="2"/>
  <c r="G3504" i="2"/>
  <c r="I3503" i="2"/>
  <c r="H3503" i="2"/>
  <c r="G3503" i="2"/>
  <c r="I3502" i="2"/>
  <c r="H3502" i="2"/>
  <c r="G3502" i="2"/>
  <c r="I3501" i="2"/>
  <c r="H3501" i="2"/>
  <c r="G3501" i="2"/>
  <c r="I3500" i="2"/>
  <c r="H3500" i="2"/>
  <c r="G3500" i="2"/>
  <c r="I3499" i="2"/>
  <c r="H3499" i="2"/>
  <c r="G3499" i="2"/>
  <c r="I3498" i="2"/>
  <c r="H3498" i="2"/>
  <c r="G3498" i="2"/>
  <c r="I3497" i="2"/>
  <c r="H3497" i="2"/>
  <c r="G3497" i="2"/>
  <c r="I3496" i="2"/>
  <c r="H3496" i="2"/>
  <c r="G3496" i="2"/>
  <c r="I3495" i="2"/>
  <c r="H3495" i="2"/>
  <c r="G3495" i="2"/>
  <c r="I3494" i="2"/>
  <c r="H3494" i="2"/>
  <c r="G3494" i="2"/>
  <c r="I3493" i="2"/>
  <c r="H3493" i="2"/>
  <c r="G3493" i="2"/>
  <c r="I3492" i="2"/>
  <c r="H3492" i="2"/>
  <c r="G3492" i="2"/>
  <c r="I3491" i="2"/>
  <c r="H3491" i="2"/>
  <c r="G3491" i="2"/>
  <c r="I3490" i="2"/>
  <c r="H3490" i="2"/>
  <c r="G3490" i="2"/>
  <c r="I3489" i="2"/>
  <c r="H3489" i="2"/>
  <c r="G3489" i="2"/>
  <c r="I3488" i="2"/>
  <c r="H3488" i="2"/>
  <c r="G3488" i="2"/>
  <c r="I3487" i="2"/>
  <c r="H3487" i="2"/>
  <c r="G3487" i="2"/>
  <c r="I3486" i="2"/>
  <c r="H3486" i="2"/>
  <c r="G3486" i="2"/>
  <c r="I3485" i="2"/>
  <c r="H3485" i="2"/>
  <c r="G3485" i="2"/>
  <c r="I3484" i="2"/>
  <c r="H3484" i="2"/>
  <c r="G3484" i="2"/>
  <c r="I3483" i="2"/>
  <c r="H3483" i="2"/>
  <c r="G3483" i="2"/>
  <c r="I3482" i="2"/>
  <c r="H3482" i="2"/>
  <c r="G3482" i="2"/>
  <c r="I3481" i="2"/>
  <c r="H3481" i="2"/>
  <c r="G3481" i="2"/>
  <c r="I3480" i="2"/>
  <c r="H3480" i="2"/>
  <c r="G3480" i="2"/>
  <c r="I3479" i="2"/>
  <c r="H3479" i="2"/>
  <c r="G3479" i="2"/>
  <c r="I3478" i="2"/>
  <c r="H3478" i="2"/>
  <c r="G3478" i="2"/>
  <c r="I3477" i="2"/>
  <c r="H3477" i="2"/>
  <c r="G3477" i="2"/>
  <c r="I3476" i="2"/>
  <c r="H3476" i="2"/>
  <c r="G3476" i="2"/>
  <c r="I3475" i="2"/>
  <c r="H3475" i="2"/>
  <c r="G3475" i="2"/>
  <c r="I3474" i="2"/>
  <c r="H3474" i="2"/>
  <c r="G3474" i="2"/>
  <c r="I3473" i="2"/>
  <c r="H3473" i="2"/>
  <c r="G3473" i="2"/>
  <c r="I3472" i="2"/>
  <c r="H3472" i="2"/>
  <c r="G3472" i="2"/>
  <c r="I3471" i="2"/>
  <c r="H3471" i="2"/>
  <c r="G3471" i="2"/>
  <c r="I3470" i="2"/>
  <c r="H3470" i="2"/>
  <c r="G3470" i="2"/>
  <c r="I3469" i="2"/>
  <c r="H3469" i="2"/>
  <c r="G3469" i="2"/>
  <c r="I3468" i="2"/>
  <c r="H3468" i="2"/>
  <c r="G3468" i="2"/>
  <c r="I3467" i="2"/>
  <c r="H3467" i="2"/>
  <c r="G3467" i="2"/>
  <c r="I3466" i="2"/>
  <c r="H3466" i="2"/>
  <c r="G3466" i="2"/>
  <c r="I3465" i="2"/>
  <c r="H3465" i="2"/>
  <c r="G3465" i="2"/>
  <c r="I3464" i="2"/>
  <c r="H3464" i="2"/>
  <c r="G3464" i="2"/>
  <c r="I3463" i="2"/>
  <c r="H3463" i="2"/>
  <c r="G3463" i="2"/>
  <c r="I3462" i="2"/>
  <c r="H3462" i="2"/>
  <c r="G3462" i="2"/>
  <c r="I3461" i="2"/>
  <c r="H3461" i="2"/>
  <c r="G3461" i="2"/>
  <c r="I3460" i="2"/>
  <c r="H3460" i="2"/>
  <c r="G3460" i="2"/>
  <c r="I3459" i="2"/>
  <c r="H3459" i="2"/>
  <c r="G3459" i="2"/>
  <c r="I3458" i="2"/>
  <c r="H3458" i="2"/>
  <c r="G3458" i="2"/>
  <c r="I3457" i="2"/>
  <c r="H3457" i="2"/>
  <c r="G3457" i="2"/>
  <c r="I3456" i="2"/>
  <c r="H3456" i="2"/>
  <c r="G3456" i="2"/>
  <c r="I3455" i="2"/>
  <c r="H3455" i="2"/>
  <c r="G3455" i="2"/>
  <c r="I3454" i="2"/>
  <c r="H3454" i="2"/>
  <c r="G3454" i="2"/>
  <c r="I3453" i="2"/>
  <c r="H3453" i="2"/>
  <c r="G3453" i="2"/>
  <c r="I3452" i="2"/>
  <c r="H3452" i="2"/>
  <c r="G3452" i="2"/>
  <c r="I3451" i="2"/>
  <c r="H3451" i="2"/>
  <c r="G3451" i="2"/>
  <c r="I3450" i="2"/>
  <c r="H3450" i="2"/>
  <c r="G3450" i="2"/>
  <c r="I3449" i="2"/>
  <c r="H3449" i="2"/>
  <c r="G3449" i="2"/>
  <c r="I3448" i="2"/>
  <c r="H3448" i="2"/>
  <c r="G3448" i="2"/>
  <c r="I3447" i="2"/>
  <c r="H3447" i="2"/>
  <c r="G3447" i="2"/>
  <c r="I3446" i="2"/>
  <c r="H3446" i="2"/>
  <c r="G3446" i="2"/>
  <c r="I3445" i="2"/>
  <c r="H3445" i="2"/>
  <c r="G3445" i="2"/>
  <c r="I3444" i="2"/>
  <c r="H3444" i="2"/>
  <c r="G3444" i="2"/>
  <c r="I3443" i="2"/>
  <c r="H3443" i="2"/>
  <c r="G3443" i="2"/>
  <c r="I3442" i="2"/>
  <c r="H3442" i="2"/>
  <c r="G3442" i="2"/>
  <c r="I3441" i="2"/>
  <c r="H3441" i="2"/>
  <c r="G3441" i="2"/>
  <c r="I3440" i="2"/>
  <c r="H3440" i="2"/>
  <c r="G3440" i="2"/>
  <c r="I3439" i="2"/>
  <c r="H3439" i="2"/>
  <c r="G3439" i="2"/>
  <c r="I3438" i="2"/>
  <c r="H3438" i="2"/>
  <c r="G3438" i="2"/>
  <c r="I3437" i="2"/>
  <c r="H3437" i="2"/>
  <c r="G3437" i="2"/>
  <c r="I3436" i="2"/>
  <c r="H3436" i="2"/>
  <c r="G3436" i="2"/>
  <c r="I3435" i="2"/>
  <c r="H3435" i="2"/>
  <c r="G3435" i="2"/>
  <c r="I3434" i="2"/>
  <c r="H3434" i="2"/>
  <c r="G3434" i="2"/>
  <c r="I3433" i="2"/>
  <c r="H3433" i="2"/>
  <c r="G3433" i="2"/>
  <c r="I3432" i="2"/>
  <c r="H3432" i="2"/>
  <c r="G3432" i="2"/>
  <c r="I3431" i="2"/>
  <c r="H3431" i="2"/>
  <c r="G3431" i="2"/>
  <c r="I3430" i="2"/>
  <c r="H3430" i="2"/>
  <c r="G3430" i="2"/>
  <c r="I3429" i="2"/>
  <c r="H3429" i="2"/>
  <c r="G3429" i="2"/>
  <c r="I3428" i="2"/>
  <c r="H3428" i="2"/>
  <c r="G3428" i="2"/>
  <c r="I3427" i="2"/>
  <c r="H3427" i="2"/>
  <c r="G3427" i="2"/>
  <c r="I3426" i="2"/>
  <c r="H3426" i="2"/>
  <c r="G3426" i="2"/>
  <c r="I3425" i="2"/>
  <c r="H3425" i="2"/>
  <c r="G3425" i="2"/>
  <c r="I3424" i="2"/>
  <c r="H3424" i="2"/>
  <c r="G3424" i="2"/>
  <c r="I3423" i="2"/>
  <c r="H3423" i="2"/>
  <c r="G3423" i="2"/>
  <c r="I3422" i="2"/>
  <c r="H3422" i="2"/>
  <c r="G3422" i="2"/>
  <c r="I3421" i="2"/>
  <c r="H3421" i="2"/>
  <c r="G3421" i="2"/>
  <c r="I3420" i="2"/>
  <c r="H3420" i="2"/>
  <c r="G3420" i="2"/>
  <c r="I3419" i="2"/>
  <c r="H3419" i="2"/>
  <c r="G3419" i="2"/>
  <c r="I3418" i="2"/>
  <c r="H3418" i="2"/>
  <c r="G3418" i="2"/>
  <c r="I3417" i="2"/>
  <c r="H3417" i="2"/>
  <c r="G3417" i="2"/>
  <c r="I3416" i="2"/>
  <c r="H3416" i="2"/>
  <c r="G3416" i="2"/>
  <c r="I3415" i="2"/>
  <c r="H3415" i="2"/>
  <c r="G3415" i="2"/>
  <c r="I3414" i="2"/>
  <c r="H3414" i="2"/>
  <c r="G3414" i="2"/>
  <c r="I3413" i="2"/>
  <c r="H3413" i="2"/>
  <c r="G3413" i="2"/>
  <c r="I3412" i="2"/>
  <c r="H3412" i="2"/>
  <c r="G3412" i="2"/>
  <c r="I3411" i="2"/>
  <c r="H3411" i="2"/>
  <c r="G3411" i="2"/>
  <c r="I3410" i="2"/>
  <c r="H3410" i="2"/>
  <c r="G3410" i="2"/>
  <c r="I3409" i="2"/>
  <c r="H3409" i="2"/>
  <c r="G3409" i="2"/>
  <c r="I3408" i="2"/>
  <c r="H3408" i="2"/>
  <c r="G3408" i="2"/>
  <c r="I3407" i="2"/>
  <c r="H3407" i="2"/>
  <c r="G3407" i="2"/>
  <c r="I3406" i="2"/>
  <c r="H3406" i="2"/>
  <c r="G3406" i="2"/>
  <c r="I3405" i="2"/>
  <c r="H3405" i="2"/>
  <c r="G3405" i="2"/>
  <c r="I3404" i="2"/>
  <c r="H3404" i="2"/>
  <c r="G3404" i="2"/>
  <c r="I3403" i="2"/>
  <c r="H3403" i="2"/>
  <c r="G3403" i="2"/>
  <c r="I3402" i="2"/>
  <c r="H3402" i="2"/>
  <c r="G3402" i="2"/>
  <c r="I3401" i="2"/>
  <c r="H3401" i="2"/>
  <c r="G3401" i="2"/>
  <c r="I3400" i="2"/>
  <c r="H3400" i="2"/>
  <c r="G3400" i="2"/>
  <c r="I3399" i="2"/>
  <c r="H3399" i="2"/>
  <c r="G3399" i="2"/>
  <c r="I3398" i="2"/>
  <c r="H3398" i="2"/>
  <c r="G3398" i="2"/>
  <c r="I3397" i="2"/>
  <c r="H3397" i="2"/>
  <c r="G3397" i="2"/>
  <c r="I3396" i="2"/>
  <c r="H3396" i="2"/>
  <c r="G3396" i="2"/>
  <c r="I3395" i="2"/>
  <c r="H3395" i="2"/>
  <c r="G3395" i="2"/>
  <c r="I3394" i="2"/>
  <c r="H3394" i="2"/>
  <c r="G3394" i="2"/>
  <c r="I3393" i="2"/>
  <c r="H3393" i="2"/>
  <c r="G3393" i="2"/>
  <c r="I3392" i="2"/>
  <c r="H3392" i="2"/>
  <c r="G3392" i="2"/>
  <c r="I3391" i="2"/>
  <c r="H3391" i="2"/>
  <c r="G3391" i="2"/>
  <c r="I3390" i="2"/>
  <c r="H3390" i="2"/>
  <c r="G3390" i="2"/>
  <c r="I3389" i="2"/>
  <c r="H3389" i="2"/>
  <c r="G3389" i="2"/>
  <c r="I3388" i="2"/>
  <c r="H3388" i="2"/>
  <c r="G3388" i="2"/>
  <c r="I3387" i="2"/>
  <c r="H3387" i="2"/>
  <c r="G3387" i="2"/>
  <c r="I3386" i="2"/>
  <c r="H3386" i="2"/>
  <c r="G3386" i="2"/>
  <c r="I3385" i="2"/>
  <c r="H3385" i="2"/>
  <c r="G3385" i="2"/>
  <c r="I3384" i="2"/>
  <c r="H3384" i="2"/>
  <c r="G3384" i="2"/>
  <c r="I3383" i="2"/>
  <c r="H3383" i="2"/>
  <c r="G3383" i="2"/>
  <c r="I3382" i="2"/>
  <c r="H3382" i="2"/>
  <c r="G3382" i="2"/>
  <c r="I3381" i="2"/>
  <c r="H3381" i="2"/>
  <c r="G3381" i="2"/>
  <c r="I3380" i="2"/>
  <c r="H3380" i="2"/>
  <c r="G3380" i="2"/>
  <c r="I3379" i="2"/>
  <c r="H3379" i="2"/>
  <c r="G3379" i="2"/>
  <c r="I3378" i="2"/>
  <c r="H3378" i="2"/>
  <c r="G3378" i="2"/>
  <c r="I3377" i="2"/>
  <c r="H3377" i="2"/>
  <c r="G3377" i="2"/>
  <c r="I3376" i="2"/>
  <c r="H3376" i="2"/>
  <c r="G3376" i="2"/>
  <c r="I3375" i="2"/>
  <c r="H3375" i="2"/>
  <c r="G3375" i="2"/>
  <c r="I3374" i="2"/>
  <c r="H3374" i="2"/>
  <c r="G3374" i="2"/>
  <c r="I3373" i="2"/>
  <c r="H3373" i="2"/>
  <c r="G3373" i="2"/>
  <c r="I3372" i="2"/>
  <c r="H3372" i="2"/>
  <c r="G3372" i="2"/>
  <c r="I3371" i="2"/>
  <c r="H3371" i="2"/>
  <c r="G3371" i="2"/>
  <c r="I3370" i="2"/>
  <c r="H3370" i="2"/>
  <c r="G3370" i="2"/>
  <c r="I3369" i="2"/>
  <c r="H3369" i="2"/>
  <c r="G3369" i="2"/>
  <c r="I3368" i="2"/>
  <c r="H3368" i="2"/>
  <c r="G3368" i="2"/>
  <c r="I3367" i="2"/>
  <c r="H3367" i="2"/>
  <c r="G3367" i="2"/>
  <c r="I3366" i="2"/>
  <c r="H3366" i="2"/>
  <c r="G3366" i="2"/>
  <c r="I3365" i="2"/>
  <c r="H3365" i="2"/>
  <c r="G3365" i="2"/>
  <c r="I3364" i="2"/>
  <c r="H3364" i="2"/>
  <c r="G3364" i="2"/>
  <c r="I3363" i="2"/>
  <c r="H3363" i="2"/>
  <c r="G3363" i="2"/>
  <c r="I3362" i="2"/>
  <c r="H3362" i="2"/>
  <c r="G3362" i="2"/>
  <c r="I3361" i="2"/>
  <c r="H3361" i="2"/>
  <c r="G3361" i="2"/>
  <c r="I3360" i="2"/>
  <c r="H3360" i="2"/>
  <c r="G3360" i="2"/>
  <c r="I3359" i="2"/>
  <c r="H3359" i="2"/>
  <c r="G3359" i="2"/>
  <c r="I3358" i="2"/>
  <c r="H3358" i="2"/>
  <c r="G3358" i="2"/>
  <c r="I3357" i="2"/>
  <c r="H3357" i="2"/>
  <c r="G3357" i="2"/>
  <c r="I3356" i="2"/>
  <c r="H3356" i="2"/>
  <c r="G3356" i="2"/>
  <c r="I3355" i="2"/>
  <c r="H3355" i="2"/>
  <c r="G3355" i="2"/>
  <c r="I3354" i="2"/>
  <c r="H3354" i="2"/>
  <c r="G3354" i="2"/>
  <c r="I3353" i="2"/>
  <c r="H3353" i="2"/>
  <c r="G3353" i="2"/>
  <c r="I3352" i="2"/>
  <c r="H3352" i="2"/>
  <c r="G3352" i="2"/>
  <c r="I3351" i="2"/>
  <c r="H3351" i="2"/>
  <c r="G3351" i="2"/>
  <c r="I3350" i="2"/>
  <c r="H3350" i="2"/>
  <c r="G3350" i="2"/>
  <c r="I3349" i="2"/>
  <c r="H3349" i="2"/>
  <c r="G3349" i="2"/>
  <c r="I3348" i="2"/>
  <c r="H3348" i="2"/>
  <c r="G3348" i="2"/>
  <c r="I3347" i="2"/>
  <c r="H3347" i="2"/>
  <c r="G3347" i="2"/>
  <c r="I3346" i="2"/>
  <c r="H3346" i="2"/>
  <c r="G3346" i="2"/>
  <c r="I3345" i="2"/>
  <c r="H3345" i="2"/>
  <c r="G3345" i="2"/>
  <c r="I3344" i="2"/>
  <c r="H3344" i="2"/>
  <c r="G3344" i="2"/>
  <c r="I3343" i="2"/>
  <c r="H3343" i="2"/>
  <c r="G3343" i="2"/>
  <c r="I3342" i="2"/>
  <c r="H3342" i="2"/>
  <c r="G3342" i="2"/>
  <c r="I3341" i="2"/>
  <c r="H3341" i="2"/>
  <c r="G3341" i="2"/>
  <c r="I3340" i="2"/>
  <c r="H3340" i="2"/>
  <c r="G3340" i="2"/>
  <c r="I3339" i="2"/>
  <c r="H3339" i="2"/>
  <c r="G3339" i="2"/>
  <c r="I3338" i="2"/>
  <c r="H3338" i="2"/>
  <c r="G3338" i="2"/>
  <c r="I3337" i="2"/>
  <c r="H3337" i="2"/>
  <c r="G3337" i="2"/>
  <c r="I3336" i="2"/>
  <c r="H3336" i="2"/>
  <c r="G3336" i="2"/>
  <c r="I3335" i="2"/>
  <c r="H3335" i="2"/>
  <c r="G3335" i="2"/>
  <c r="I3334" i="2"/>
  <c r="H3334" i="2"/>
  <c r="G3334" i="2"/>
  <c r="I3333" i="2"/>
  <c r="H3333" i="2"/>
  <c r="G3333" i="2"/>
  <c r="I3332" i="2"/>
  <c r="H3332" i="2"/>
  <c r="G3332" i="2"/>
  <c r="I3331" i="2"/>
  <c r="H3331" i="2"/>
  <c r="G3331" i="2"/>
  <c r="I3330" i="2"/>
  <c r="H3330" i="2"/>
  <c r="G3330" i="2"/>
  <c r="I3329" i="2"/>
  <c r="H3329" i="2"/>
  <c r="G3329" i="2"/>
  <c r="I3328" i="2"/>
  <c r="H3328" i="2"/>
  <c r="G3328" i="2"/>
  <c r="I3327" i="2"/>
  <c r="H3327" i="2"/>
  <c r="G3327" i="2"/>
  <c r="I3326" i="2"/>
  <c r="H3326" i="2"/>
  <c r="G3326" i="2"/>
  <c r="I3325" i="2"/>
  <c r="H3325" i="2"/>
  <c r="G3325" i="2"/>
  <c r="I3324" i="2"/>
  <c r="H3324" i="2"/>
  <c r="G3324" i="2"/>
  <c r="I3323" i="2"/>
  <c r="H3323" i="2"/>
  <c r="G3323" i="2"/>
  <c r="I3322" i="2"/>
  <c r="H3322" i="2"/>
  <c r="G3322" i="2"/>
  <c r="I3321" i="2"/>
  <c r="H3321" i="2"/>
  <c r="G3321" i="2"/>
  <c r="I3320" i="2"/>
  <c r="H3320" i="2"/>
  <c r="G3320" i="2"/>
  <c r="I3319" i="2"/>
  <c r="H3319" i="2"/>
  <c r="G3319" i="2"/>
  <c r="I3318" i="2"/>
  <c r="H3318" i="2"/>
  <c r="G3318" i="2"/>
  <c r="I3317" i="2"/>
  <c r="H3317" i="2"/>
  <c r="G3317" i="2"/>
  <c r="I3316" i="2"/>
  <c r="H3316" i="2"/>
  <c r="G3316" i="2"/>
  <c r="I3315" i="2"/>
  <c r="H3315" i="2"/>
  <c r="G3315" i="2"/>
  <c r="I3314" i="2"/>
  <c r="H3314" i="2"/>
  <c r="G3314" i="2"/>
  <c r="I3313" i="2"/>
  <c r="H3313" i="2"/>
  <c r="G3313" i="2"/>
  <c r="I3312" i="2"/>
  <c r="H3312" i="2"/>
  <c r="G3312" i="2"/>
  <c r="I3311" i="2"/>
  <c r="H3311" i="2"/>
  <c r="G3311" i="2"/>
  <c r="I3310" i="2"/>
  <c r="H3310" i="2"/>
  <c r="G3310" i="2"/>
  <c r="I3309" i="2"/>
  <c r="H3309" i="2"/>
  <c r="G3309" i="2"/>
  <c r="I3308" i="2"/>
  <c r="H3308" i="2"/>
  <c r="G3308" i="2"/>
  <c r="I3307" i="2"/>
  <c r="H3307" i="2"/>
  <c r="G3307" i="2"/>
  <c r="I3306" i="2"/>
  <c r="H3306" i="2"/>
  <c r="G3306" i="2"/>
  <c r="I3305" i="2"/>
  <c r="H3305" i="2"/>
  <c r="G3305" i="2"/>
  <c r="I3304" i="2"/>
  <c r="H3304" i="2"/>
  <c r="G3304" i="2"/>
  <c r="I3303" i="2"/>
  <c r="H3303" i="2"/>
  <c r="G3303" i="2"/>
  <c r="I3302" i="2"/>
  <c r="H3302" i="2"/>
  <c r="G3302" i="2"/>
  <c r="I3301" i="2"/>
  <c r="H3301" i="2"/>
  <c r="G3301" i="2"/>
  <c r="I3300" i="2"/>
  <c r="H3300" i="2"/>
  <c r="G3300" i="2"/>
  <c r="I3299" i="2"/>
  <c r="H3299" i="2"/>
  <c r="G3299" i="2"/>
  <c r="I3298" i="2"/>
  <c r="H3298" i="2"/>
  <c r="G3298" i="2"/>
  <c r="I3297" i="2"/>
  <c r="H3297" i="2"/>
  <c r="G3297" i="2"/>
  <c r="I3296" i="2"/>
  <c r="H3296" i="2"/>
  <c r="G3296" i="2"/>
  <c r="I3295" i="2"/>
  <c r="H3295" i="2"/>
  <c r="G3295" i="2"/>
  <c r="I3294" i="2"/>
  <c r="H3294" i="2"/>
  <c r="G3294" i="2"/>
  <c r="I3293" i="2"/>
  <c r="H3293" i="2"/>
  <c r="G3293" i="2"/>
  <c r="I3292" i="2"/>
  <c r="H3292" i="2"/>
  <c r="G3292" i="2"/>
  <c r="I3291" i="2"/>
  <c r="H3291" i="2"/>
  <c r="G3291" i="2"/>
  <c r="I3290" i="2"/>
  <c r="H3290" i="2"/>
  <c r="G3290" i="2"/>
  <c r="I3289" i="2"/>
  <c r="H3289" i="2"/>
  <c r="G3289" i="2"/>
  <c r="I3288" i="2"/>
  <c r="H3288" i="2"/>
  <c r="G3288" i="2"/>
  <c r="I3287" i="2"/>
  <c r="H3287" i="2"/>
  <c r="G3287" i="2"/>
  <c r="I3286" i="2"/>
  <c r="H3286" i="2"/>
  <c r="G3286" i="2"/>
  <c r="I3285" i="2"/>
  <c r="H3285" i="2"/>
  <c r="G3285" i="2"/>
  <c r="I3284" i="2"/>
  <c r="H3284" i="2"/>
  <c r="G3284" i="2"/>
  <c r="I3283" i="2"/>
  <c r="H3283" i="2"/>
  <c r="G3283" i="2"/>
  <c r="I3282" i="2"/>
  <c r="H3282" i="2"/>
  <c r="G3282" i="2"/>
  <c r="I3281" i="2"/>
  <c r="H3281" i="2"/>
  <c r="G3281" i="2"/>
  <c r="I3280" i="2"/>
  <c r="H3280" i="2"/>
  <c r="G3280" i="2"/>
  <c r="I3279" i="2"/>
  <c r="H3279" i="2"/>
  <c r="G3279" i="2"/>
  <c r="I3278" i="2"/>
  <c r="H3278" i="2"/>
  <c r="G3278" i="2"/>
  <c r="I3277" i="2"/>
  <c r="H3277" i="2"/>
  <c r="G3277" i="2"/>
  <c r="I3276" i="2"/>
  <c r="H3276" i="2"/>
  <c r="G3276" i="2"/>
  <c r="I3275" i="2"/>
  <c r="H3275" i="2"/>
  <c r="G3275" i="2"/>
  <c r="I3274" i="2"/>
  <c r="H3274" i="2"/>
  <c r="G3274" i="2"/>
  <c r="I3273" i="2"/>
  <c r="H3273" i="2"/>
  <c r="G3273" i="2"/>
  <c r="I3272" i="2"/>
  <c r="H3272" i="2"/>
  <c r="G3272" i="2"/>
  <c r="I3271" i="2"/>
  <c r="H3271" i="2"/>
  <c r="G3271" i="2"/>
  <c r="I3270" i="2"/>
  <c r="H3270" i="2"/>
  <c r="G3270" i="2"/>
  <c r="I3269" i="2"/>
  <c r="H3269" i="2"/>
  <c r="G3269" i="2"/>
  <c r="I3268" i="2"/>
  <c r="H3268" i="2"/>
  <c r="G3268" i="2"/>
  <c r="I3267" i="2"/>
  <c r="H3267" i="2"/>
  <c r="G3267" i="2"/>
  <c r="I3266" i="2"/>
  <c r="H3266" i="2"/>
  <c r="G3266" i="2"/>
  <c r="I3265" i="2"/>
  <c r="H3265" i="2"/>
  <c r="G3265" i="2"/>
  <c r="I3264" i="2"/>
  <c r="H3264" i="2"/>
  <c r="G3264" i="2"/>
  <c r="I3263" i="2"/>
  <c r="H3263" i="2"/>
  <c r="G3263" i="2"/>
  <c r="I3262" i="2"/>
  <c r="H3262" i="2"/>
  <c r="G3262" i="2"/>
  <c r="I3261" i="2"/>
  <c r="H3261" i="2"/>
  <c r="G3261" i="2"/>
  <c r="I3260" i="2"/>
  <c r="H3260" i="2"/>
  <c r="G3260" i="2"/>
  <c r="I3259" i="2"/>
  <c r="H3259" i="2"/>
  <c r="G3259" i="2"/>
  <c r="I3258" i="2"/>
  <c r="H3258" i="2"/>
  <c r="G3258" i="2"/>
  <c r="I3257" i="2"/>
  <c r="H3257" i="2"/>
  <c r="G3257" i="2"/>
  <c r="I3256" i="2"/>
  <c r="H3256" i="2"/>
  <c r="G3256" i="2"/>
  <c r="I3255" i="2"/>
  <c r="H3255" i="2"/>
  <c r="G3255" i="2"/>
  <c r="I3254" i="2"/>
  <c r="H3254" i="2"/>
  <c r="G3254" i="2"/>
  <c r="I3253" i="2"/>
  <c r="H3253" i="2"/>
  <c r="G3253" i="2"/>
  <c r="I3252" i="2"/>
  <c r="H3252" i="2"/>
  <c r="G3252" i="2"/>
  <c r="I3251" i="2"/>
  <c r="H3251" i="2"/>
  <c r="G3251" i="2"/>
  <c r="I3250" i="2"/>
  <c r="H3250" i="2"/>
  <c r="G3250" i="2"/>
  <c r="I3249" i="2"/>
  <c r="H3249" i="2"/>
  <c r="G3249" i="2"/>
  <c r="I3248" i="2"/>
  <c r="H3248" i="2"/>
  <c r="G3248" i="2"/>
  <c r="I3247" i="2"/>
  <c r="H3247" i="2"/>
  <c r="G3247" i="2"/>
  <c r="I3246" i="2"/>
  <c r="H3246" i="2"/>
  <c r="G3246" i="2"/>
  <c r="I3245" i="2"/>
  <c r="H3245" i="2"/>
  <c r="G3245" i="2"/>
  <c r="I3244" i="2"/>
  <c r="H3244" i="2"/>
  <c r="G3244" i="2"/>
  <c r="I3243" i="2"/>
  <c r="H3243" i="2"/>
  <c r="G3243" i="2"/>
  <c r="I3242" i="2"/>
  <c r="H3242" i="2"/>
  <c r="G3242" i="2"/>
  <c r="I3241" i="2"/>
  <c r="H3241" i="2"/>
  <c r="G3241" i="2"/>
  <c r="I3240" i="2"/>
  <c r="H3240" i="2"/>
  <c r="G3240" i="2"/>
  <c r="I3239" i="2"/>
  <c r="H3239" i="2"/>
  <c r="G3239" i="2"/>
  <c r="I3238" i="2"/>
  <c r="H3238" i="2"/>
  <c r="G3238" i="2"/>
  <c r="I3237" i="2"/>
  <c r="H3237" i="2"/>
  <c r="G3237" i="2"/>
  <c r="I3236" i="2"/>
  <c r="H3236" i="2"/>
  <c r="G3236" i="2"/>
  <c r="I3235" i="2"/>
  <c r="H3235" i="2"/>
  <c r="G3235" i="2"/>
  <c r="I3234" i="2"/>
  <c r="H3234" i="2"/>
  <c r="G3234" i="2"/>
  <c r="I3233" i="2"/>
  <c r="H3233" i="2"/>
  <c r="G3233" i="2"/>
  <c r="I3232" i="2"/>
  <c r="H3232" i="2"/>
  <c r="G3232" i="2"/>
  <c r="I3231" i="2"/>
  <c r="H3231" i="2"/>
  <c r="G3231" i="2"/>
  <c r="I3230" i="2"/>
  <c r="H3230" i="2"/>
  <c r="G3230" i="2"/>
  <c r="I3229" i="2"/>
  <c r="H3229" i="2"/>
  <c r="G3229" i="2"/>
  <c r="I3228" i="2"/>
  <c r="H3228" i="2"/>
  <c r="G3228" i="2"/>
  <c r="I3227" i="2"/>
  <c r="H3227" i="2"/>
  <c r="G3227" i="2"/>
  <c r="I3226" i="2"/>
  <c r="H3226" i="2"/>
  <c r="G3226" i="2"/>
  <c r="I3225" i="2"/>
  <c r="H3225" i="2"/>
  <c r="G3225" i="2"/>
  <c r="I3224" i="2"/>
  <c r="H3224" i="2"/>
  <c r="G3224" i="2"/>
  <c r="I3223" i="2"/>
  <c r="H3223" i="2"/>
  <c r="G3223" i="2"/>
  <c r="I3222" i="2"/>
  <c r="H3222" i="2"/>
  <c r="G3222" i="2"/>
  <c r="I3221" i="2"/>
  <c r="H3221" i="2"/>
  <c r="G3221" i="2"/>
  <c r="I3220" i="2"/>
  <c r="H3220" i="2"/>
  <c r="G3220" i="2"/>
  <c r="I3219" i="2"/>
  <c r="H3219" i="2"/>
  <c r="G3219" i="2"/>
  <c r="I3218" i="2"/>
  <c r="H3218" i="2"/>
  <c r="G3218" i="2"/>
  <c r="I3217" i="2"/>
  <c r="H3217" i="2"/>
  <c r="G3217" i="2"/>
  <c r="I3216" i="2"/>
  <c r="H3216" i="2"/>
  <c r="G3216" i="2"/>
  <c r="I3215" i="2"/>
  <c r="H3215" i="2"/>
  <c r="G3215" i="2"/>
  <c r="I3214" i="2"/>
  <c r="H3214" i="2"/>
  <c r="G3214" i="2"/>
  <c r="I3213" i="2"/>
  <c r="H3213" i="2"/>
  <c r="G3213" i="2"/>
  <c r="I3212" i="2"/>
  <c r="H3212" i="2"/>
  <c r="G3212" i="2"/>
  <c r="I3211" i="2"/>
  <c r="H3211" i="2"/>
  <c r="G3211" i="2"/>
  <c r="I3210" i="2"/>
  <c r="H3210" i="2"/>
  <c r="G3210" i="2"/>
  <c r="I3209" i="2"/>
  <c r="H3209" i="2"/>
  <c r="G3209" i="2"/>
  <c r="I3208" i="2"/>
  <c r="H3208" i="2"/>
  <c r="G3208" i="2"/>
  <c r="I3207" i="2"/>
  <c r="H3207" i="2"/>
  <c r="G3207" i="2"/>
  <c r="I3206" i="2"/>
  <c r="H3206" i="2"/>
  <c r="G3206" i="2"/>
  <c r="I3205" i="2"/>
  <c r="H3205" i="2"/>
  <c r="G3205" i="2"/>
  <c r="I3204" i="2"/>
  <c r="H3204" i="2"/>
  <c r="G3204" i="2"/>
  <c r="I3203" i="2"/>
  <c r="H3203" i="2"/>
  <c r="G3203" i="2"/>
  <c r="I3202" i="2"/>
  <c r="H3202" i="2"/>
  <c r="G3202" i="2"/>
  <c r="I3201" i="2"/>
  <c r="H3201" i="2"/>
  <c r="G3201" i="2"/>
  <c r="I3200" i="2"/>
  <c r="H3200" i="2"/>
  <c r="G3200" i="2"/>
  <c r="I3199" i="2"/>
  <c r="H3199" i="2"/>
  <c r="G3199" i="2"/>
  <c r="I3198" i="2"/>
  <c r="H3198" i="2"/>
  <c r="G3198" i="2"/>
  <c r="I3197" i="2"/>
  <c r="H3197" i="2"/>
  <c r="G3197" i="2"/>
  <c r="I3196" i="2"/>
  <c r="H3196" i="2"/>
  <c r="G3196" i="2"/>
  <c r="I3195" i="2"/>
  <c r="H3195" i="2"/>
  <c r="G3195" i="2"/>
  <c r="I3194" i="2"/>
  <c r="H3194" i="2"/>
  <c r="G3194" i="2"/>
  <c r="I3193" i="2"/>
  <c r="H3193" i="2"/>
  <c r="G3193" i="2"/>
  <c r="I3192" i="2"/>
  <c r="H3192" i="2"/>
  <c r="G3192" i="2"/>
  <c r="I3191" i="2"/>
  <c r="H3191" i="2"/>
  <c r="G3191" i="2"/>
  <c r="I3190" i="2"/>
  <c r="H3190" i="2"/>
  <c r="G3190" i="2"/>
  <c r="I3189" i="2"/>
  <c r="H3189" i="2"/>
  <c r="G3189" i="2"/>
  <c r="I3188" i="2"/>
  <c r="H3188" i="2"/>
  <c r="G3188" i="2"/>
  <c r="I3187" i="2"/>
  <c r="H3187" i="2"/>
  <c r="G3187" i="2"/>
  <c r="I3186" i="2"/>
  <c r="H3186" i="2"/>
  <c r="G3186" i="2"/>
  <c r="I3185" i="2"/>
  <c r="H3185" i="2"/>
  <c r="G3185" i="2"/>
  <c r="I3184" i="2"/>
  <c r="H3184" i="2"/>
  <c r="G3184" i="2"/>
  <c r="I3183" i="2"/>
  <c r="H3183" i="2"/>
  <c r="G3183" i="2"/>
  <c r="I3182" i="2"/>
  <c r="H3182" i="2"/>
  <c r="G3182" i="2"/>
  <c r="I3181" i="2"/>
  <c r="H3181" i="2"/>
  <c r="G3181" i="2"/>
  <c r="I3180" i="2"/>
  <c r="H3180" i="2"/>
  <c r="G3180" i="2"/>
  <c r="I3179" i="2"/>
  <c r="H3179" i="2"/>
  <c r="G3179" i="2"/>
  <c r="I3178" i="2"/>
  <c r="H3178" i="2"/>
  <c r="G3178" i="2"/>
  <c r="I3177" i="2"/>
  <c r="H3177" i="2"/>
  <c r="G3177" i="2"/>
  <c r="I3176" i="2"/>
  <c r="H3176" i="2"/>
  <c r="G3176" i="2"/>
  <c r="I3175" i="2"/>
  <c r="H3175" i="2"/>
  <c r="G3175" i="2"/>
  <c r="I3174" i="2"/>
  <c r="H3174" i="2"/>
  <c r="G3174" i="2"/>
  <c r="I3173" i="2"/>
  <c r="H3173" i="2"/>
  <c r="G3173" i="2"/>
  <c r="I3172" i="2"/>
  <c r="H3172" i="2"/>
  <c r="G3172" i="2"/>
  <c r="I3171" i="2"/>
  <c r="H3171" i="2"/>
  <c r="G3171" i="2"/>
  <c r="I3170" i="2"/>
  <c r="H3170" i="2"/>
  <c r="G3170" i="2"/>
  <c r="I3169" i="2"/>
  <c r="H3169" i="2"/>
  <c r="G3169" i="2"/>
  <c r="I3168" i="2"/>
  <c r="H3168" i="2"/>
  <c r="G3168" i="2"/>
  <c r="I3167" i="2"/>
  <c r="H3167" i="2"/>
  <c r="G3167" i="2"/>
  <c r="I3166" i="2"/>
  <c r="H3166" i="2"/>
  <c r="G3166" i="2"/>
  <c r="I3165" i="2"/>
  <c r="H3165" i="2"/>
  <c r="G3165" i="2"/>
  <c r="I3164" i="2"/>
  <c r="H3164" i="2"/>
  <c r="G3164" i="2"/>
  <c r="I3163" i="2"/>
  <c r="H3163" i="2"/>
  <c r="G3163" i="2"/>
  <c r="I3162" i="2"/>
  <c r="H3162" i="2"/>
  <c r="G3162" i="2"/>
  <c r="I3161" i="2"/>
  <c r="H3161" i="2"/>
  <c r="G3161" i="2"/>
  <c r="I3160" i="2"/>
  <c r="H3160" i="2"/>
  <c r="G3160" i="2"/>
  <c r="I3159" i="2"/>
  <c r="H3159" i="2"/>
  <c r="G3159" i="2"/>
  <c r="I3158" i="2"/>
  <c r="H3158" i="2"/>
  <c r="G3158" i="2"/>
  <c r="I3157" i="2"/>
  <c r="H3157" i="2"/>
  <c r="G3157" i="2"/>
  <c r="I3156" i="2"/>
  <c r="H3156" i="2"/>
  <c r="G3156" i="2"/>
  <c r="I3155" i="2"/>
  <c r="H3155" i="2"/>
  <c r="G3155" i="2"/>
  <c r="I3154" i="2"/>
  <c r="H3154" i="2"/>
  <c r="G3154" i="2"/>
  <c r="I3153" i="2"/>
  <c r="H3153" i="2"/>
  <c r="G3153" i="2"/>
  <c r="I3152" i="2"/>
  <c r="H3152" i="2"/>
  <c r="G3152" i="2"/>
  <c r="I3151" i="2"/>
  <c r="H3151" i="2"/>
  <c r="G3151" i="2"/>
  <c r="I3150" i="2"/>
  <c r="H3150" i="2"/>
  <c r="G3150" i="2"/>
  <c r="I3149" i="2"/>
  <c r="H3149" i="2"/>
  <c r="G3149" i="2"/>
  <c r="I3148" i="2"/>
  <c r="H3148" i="2"/>
  <c r="G3148" i="2"/>
  <c r="I3147" i="2"/>
  <c r="H3147" i="2"/>
  <c r="G3147" i="2"/>
  <c r="I3146" i="2"/>
  <c r="H3146" i="2"/>
  <c r="G3146" i="2"/>
  <c r="I3145" i="2"/>
  <c r="H3145" i="2"/>
  <c r="G3145" i="2"/>
  <c r="I3144" i="2"/>
  <c r="H3144" i="2"/>
  <c r="G3144" i="2"/>
  <c r="I3143" i="2"/>
  <c r="H3143" i="2"/>
  <c r="G3143" i="2"/>
  <c r="I3142" i="2"/>
  <c r="H3142" i="2"/>
  <c r="G3142" i="2"/>
  <c r="I3141" i="2"/>
  <c r="H3141" i="2"/>
  <c r="G3141" i="2"/>
  <c r="I3140" i="2"/>
  <c r="H3140" i="2"/>
  <c r="G3140" i="2"/>
  <c r="I3139" i="2"/>
  <c r="H3139" i="2"/>
  <c r="G3139" i="2"/>
  <c r="I3138" i="2"/>
  <c r="H3138" i="2"/>
  <c r="G3138" i="2"/>
  <c r="I3137" i="2"/>
  <c r="H3137" i="2"/>
  <c r="G3137" i="2"/>
  <c r="I3136" i="2"/>
  <c r="H3136" i="2"/>
  <c r="G3136" i="2"/>
  <c r="I3135" i="2"/>
  <c r="H3135" i="2"/>
  <c r="G3135" i="2"/>
  <c r="I3134" i="2"/>
  <c r="H3134" i="2"/>
  <c r="G3134" i="2"/>
  <c r="I3133" i="2"/>
  <c r="H3133" i="2"/>
  <c r="G3133" i="2"/>
  <c r="I3132" i="2"/>
  <c r="H3132" i="2"/>
  <c r="G3132" i="2"/>
  <c r="I3131" i="2"/>
  <c r="H3131" i="2"/>
  <c r="G3131" i="2"/>
  <c r="I3130" i="2"/>
  <c r="H3130" i="2"/>
  <c r="G3130" i="2"/>
  <c r="I3129" i="2"/>
  <c r="H3129" i="2"/>
  <c r="G3129" i="2"/>
  <c r="I3128" i="2"/>
  <c r="H3128" i="2"/>
  <c r="G3128" i="2"/>
  <c r="I3127" i="2"/>
  <c r="H3127" i="2"/>
  <c r="G3127" i="2"/>
  <c r="I3126" i="2"/>
  <c r="H3126" i="2"/>
  <c r="G3126" i="2"/>
  <c r="I3125" i="2"/>
  <c r="H3125" i="2"/>
  <c r="G3125" i="2"/>
  <c r="I3124" i="2"/>
  <c r="H3124" i="2"/>
  <c r="G3124" i="2"/>
  <c r="I3123" i="2"/>
  <c r="H3123" i="2"/>
  <c r="G3123" i="2"/>
  <c r="I3122" i="2"/>
  <c r="H3122" i="2"/>
  <c r="G3122" i="2"/>
  <c r="I3121" i="2"/>
  <c r="H3121" i="2"/>
  <c r="G3121" i="2"/>
  <c r="I3120" i="2"/>
  <c r="H3120" i="2"/>
  <c r="G3120" i="2"/>
  <c r="I3119" i="2"/>
  <c r="H3119" i="2"/>
  <c r="G3119" i="2"/>
  <c r="I3118" i="2"/>
  <c r="H3118" i="2"/>
  <c r="G3118" i="2"/>
  <c r="I3117" i="2"/>
  <c r="H3117" i="2"/>
  <c r="G3117" i="2"/>
  <c r="I3116" i="2"/>
  <c r="H3116" i="2"/>
  <c r="G3116" i="2"/>
  <c r="I3115" i="2"/>
  <c r="H3115" i="2"/>
  <c r="G3115" i="2"/>
  <c r="I3114" i="2"/>
  <c r="H3114" i="2"/>
  <c r="G3114" i="2"/>
  <c r="I3113" i="2"/>
  <c r="H3113" i="2"/>
  <c r="G3113" i="2"/>
  <c r="I3112" i="2"/>
  <c r="H3112" i="2"/>
  <c r="G3112" i="2"/>
  <c r="I3111" i="2"/>
  <c r="H3111" i="2"/>
  <c r="G3111" i="2"/>
  <c r="I3110" i="2"/>
  <c r="H3110" i="2"/>
  <c r="G3110" i="2"/>
  <c r="I3109" i="2"/>
  <c r="H3109" i="2"/>
  <c r="G3109" i="2"/>
  <c r="I3108" i="2"/>
  <c r="H3108" i="2"/>
  <c r="G3108" i="2"/>
  <c r="I3107" i="2"/>
  <c r="H3107" i="2"/>
  <c r="G3107" i="2"/>
  <c r="I3106" i="2"/>
  <c r="H3106" i="2"/>
  <c r="G3106" i="2"/>
  <c r="I3105" i="2"/>
  <c r="H3105" i="2"/>
  <c r="G3105" i="2"/>
  <c r="I3104" i="2"/>
  <c r="H3104" i="2"/>
  <c r="G3104" i="2"/>
  <c r="I3103" i="2"/>
  <c r="H3103" i="2"/>
  <c r="G3103" i="2"/>
  <c r="I3102" i="2"/>
  <c r="H3102" i="2"/>
  <c r="G3102" i="2"/>
  <c r="I3101" i="2"/>
  <c r="H3101" i="2"/>
  <c r="G3101" i="2"/>
  <c r="I3100" i="2"/>
  <c r="H3100" i="2"/>
  <c r="G3100" i="2"/>
  <c r="I3099" i="2"/>
  <c r="H3099" i="2"/>
  <c r="G3099" i="2"/>
  <c r="I3098" i="2"/>
  <c r="H3098" i="2"/>
  <c r="G3098" i="2"/>
  <c r="I3097" i="2"/>
  <c r="H3097" i="2"/>
  <c r="G3097" i="2"/>
  <c r="I3096" i="2"/>
  <c r="H3096" i="2"/>
  <c r="G3096" i="2"/>
  <c r="I3095" i="2"/>
  <c r="H3095" i="2"/>
  <c r="G3095" i="2"/>
  <c r="I3094" i="2"/>
  <c r="H3094" i="2"/>
  <c r="G3094" i="2"/>
  <c r="I3093" i="2"/>
  <c r="H3093" i="2"/>
  <c r="G3093" i="2"/>
  <c r="I3092" i="2"/>
  <c r="H3092" i="2"/>
  <c r="G3092" i="2"/>
  <c r="I3091" i="2"/>
  <c r="H3091" i="2"/>
  <c r="G3091" i="2"/>
  <c r="I3090" i="2"/>
  <c r="H3090" i="2"/>
  <c r="G3090" i="2"/>
  <c r="I3089" i="2"/>
  <c r="H3089" i="2"/>
  <c r="G3089" i="2"/>
  <c r="I3088" i="2"/>
  <c r="H3088" i="2"/>
  <c r="G3088" i="2"/>
  <c r="I3087" i="2"/>
  <c r="H3087" i="2"/>
  <c r="G3087" i="2"/>
  <c r="I3086" i="2"/>
  <c r="H3086" i="2"/>
  <c r="G3086" i="2"/>
  <c r="I3085" i="2"/>
  <c r="H3085" i="2"/>
  <c r="G3085" i="2"/>
  <c r="I3084" i="2"/>
  <c r="H3084" i="2"/>
  <c r="G3084" i="2"/>
  <c r="I3083" i="2"/>
  <c r="H3083" i="2"/>
  <c r="G3083" i="2"/>
  <c r="I3082" i="2"/>
  <c r="H3082" i="2"/>
  <c r="G3082" i="2"/>
  <c r="I3081" i="2"/>
  <c r="H3081" i="2"/>
  <c r="G3081" i="2"/>
  <c r="I3080" i="2"/>
  <c r="H3080" i="2"/>
  <c r="G3080" i="2"/>
  <c r="I3079" i="2"/>
  <c r="H3079" i="2"/>
  <c r="G3079" i="2"/>
  <c r="I3078" i="2"/>
  <c r="H3078" i="2"/>
  <c r="G3078" i="2"/>
  <c r="I3077" i="2"/>
  <c r="H3077" i="2"/>
  <c r="G3077" i="2"/>
  <c r="I3076" i="2"/>
  <c r="H3076" i="2"/>
  <c r="G3076" i="2"/>
  <c r="I3075" i="2"/>
  <c r="H3075" i="2"/>
  <c r="G3075" i="2"/>
  <c r="I3074" i="2"/>
  <c r="H3074" i="2"/>
  <c r="G3074" i="2"/>
  <c r="I3073" i="2"/>
  <c r="H3073" i="2"/>
  <c r="G3073" i="2"/>
  <c r="I3072" i="2"/>
  <c r="H3072" i="2"/>
  <c r="G3072" i="2"/>
  <c r="I3071" i="2"/>
  <c r="H3071" i="2"/>
  <c r="G3071" i="2"/>
  <c r="I3070" i="2"/>
  <c r="H3070" i="2"/>
  <c r="G3070" i="2"/>
  <c r="I3069" i="2"/>
  <c r="H3069" i="2"/>
  <c r="G3069" i="2"/>
  <c r="I3068" i="2"/>
  <c r="H3068" i="2"/>
  <c r="G3068" i="2"/>
  <c r="I3067" i="2"/>
  <c r="H3067" i="2"/>
  <c r="G3067" i="2"/>
  <c r="I3066" i="2"/>
  <c r="H3066" i="2"/>
  <c r="G3066" i="2"/>
  <c r="I3065" i="2"/>
  <c r="H3065" i="2"/>
  <c r="G3065" i="2"/>
  <c r="I3064" i="2"/>
  <c r="H3064" i="2"/>
  <c r="G3064" i="2"/>
  <c r="I3063" i="2"/>
  <c r="H3063" i="2"/>
  <c r="G3063" i="2"/>
  <c r="I3062" i="2"/>
  <c r="H3062" i="2"/>
  <c r="G3062" i="2"/>
  <c r="I3061" i="2"/>
  <c r="H3061" i="2"/>
  <c r="G3061" i="2"/>
  <c r="I3060" i="2"/>
  <c r="H3060" i="2"/>
  <c r="G3060" i="2"/>
  <c r="I3059" i="2"/>
  <c r="H3059" i="2"/>
  <c r="G3059" i="2"/>
  <c r="I3058" i="2"/>
  <c r="H3058" i="2"/>
  <c r="G3058" i="2"/>
  <c r="I3057" i="2"/>
  <c r="H3057" i="2"/>
  <c r="G3057" i="2"/>
  <c r="I3056" i="2"/>
  <c r="H3056" i="2"/>
  <c r="G3056" i="2"/>
  <c r="I3055" i="2"/>
  <c r="H3055" i="2"/>
  <c r="G3055" i="2"/>
  <c r="I3054" i="2"/>
  <c r="H3054" i="2"/>
  <c r="G3054" i="2"/>
  <c r="I3053" i="2"/>
  <c r="H3053" i="2"/>
  <c r="G3053" i="2"/>
  <c r="I3052" i="2"/>
  <c r="H3052" i="2"/>
  <c r="G3052" i="2"/>
  <c r="I3051" i="2"/>
  <c r="H3051" i="2"/>
  <c r="G3051" i="2"/>
  <c r="I3050" i="2"/>
  <c r="H3050" i="2"/>
  <c r="G3050" i="2"/>
  <c r="I3049" i="2"/>
  <c r="H3049" i="2"/>
  <c r="G3049" i="2"/>
  <c r="I3048" i="2"/>
  <c r="H3048" i="2"/>
  <c r="G3048" i="2"/>
  <c r="I3047" i="2"/>
  <c r="H3047" i="2"/>
  <c r="G3047" i="2"/>
  <c r="I3046" i="2"/>
  <c r="H3046" i="2"/>
  <c r="G3046" i="2"/>
  <c r="I3045" i="2"/>
  <c r="H3045" i="2"/>
  <c r="G3045" i="2"/>
  <c r="I3044" i="2"/>
  <c r="H3044" i="2"/>
  <c r="G3044" i="2"/>
  <c r="I3043" i="2"/>
  <c r="H3043" i="2"/>
  <c r="G3043" i="2"/>
  <c r="I3042" i="2"/>
  <c r="H3042" i="2"/>
  <c r="G3042" i="2"/>
  <c r="I3041" i="2"/>
  <c r="H3041" i="2"/>
  <c r="G3041" i="2"/>
  <c r="I3040" i="2"/>
  <c r="H3040" i="2"/>
  <c r="G3040" i="2"/>
  <c r="I3039" i="2"/>
  <c r="H3039" i="2"/>
  <c r="G3039" i="2"/>
  <c r="I3038" i="2"/>
  <c r="H3038" i="2"/>
  <c r="G3038" i="2"/>
  <c r="I3037" i="2"/>
  <c r="H3037" i="2"/>
  <c r="G3037" i="2"/>
  <c r="I3036" i="2"/>
  <c r="H3036" i="2"/>
  <c r="G3036" i="2"/>
  <c r="I3035" i="2"/>
  <c r="H3035" i="2"/>
  <c r="G3035" i="2"/>
  <c r="I3034" i="2"/>
  <c r="H3034" i="2"/>
  <c r="G3034" i="2"/>
  <c r="I3033" i="2"/>
  <c r="H3033" i="2"/>
  <c r="G3033" i="2"/>
  <c r="I3032" i="2"/>
  <c r="H3032" i="2"/>
  <c r="G3032" i="2"/>
  <c r="I3031" i="2"/>
  <c r="H3031" i="2"/>
  <c r="G3031" i="2"/>
  <c r="I3030" i="2"/>
  <c r="H3030" i="2"/>
  <c r="G3030" i="2"/>
  <c r="I3029" i="2"/>
  <c r="H3029" i="2"/>
  <c r="G3029" i="2"/>
  <c r="I3028" i="2"/>
  <c r="H3028" i="2"/>
  <c r="G3028" i="2"/>
  <c r="I3027" i="2"/>
  <c r="H3027" i="2"/>
  <c r="G3027" i="2"/>
  <c r="I3026" i="2"/>
  <c r="H3026" i="2"/>
  <c r="G3026" i="2"/>
  <c r="I3025" i="2"/>
  <c r="H3025" i="2"/>
  <c r="G3025" i="2"/>
  <c r="I3024" i="2"/>
  <c r="H3024" i="2"/>
  <c r="G3024" i="2"/>
  <c r="I3023" i="2"/>
  <c r="H3023" i="2"/>
  <c r="G3023" i="2"/>
  <c r="I3022" i="2"/>
  <c r="H3022" i="2"/>
  <c r="G3022" i="2"/>
  <c r="I3021" i="2"/>
  <c r="H3021" i="2"/>
  <c r="G3021" i="2"/>
  <c r="I3020" i="2"/>
  <c r="H3020" i="2"/>
  <c r="G3020" i="2"/>
  <c r="I3019" i="2"/>
  <c r="H3019" i="2"/>
  <c r="G3019" i="2"/>
  <c r="I3018" i="2"/>
  <c r="H3018" i="2"/>
  <c r="G3018" i="2"/>
  <c r="I3017" i="2"/>
  <c r="H3017" i="2"/>
  <c r="G3017" i="2"/>
  <c r="I3016" i="2"/>
  <c r="H3016" i="2"/>
  <c r="G3016" i="2"/>
  <c r="I3015" i="2"/>
  <c r="H3015" i="2"/>
  <c r="G3015" i="2"/>
  <c r="I3014" i="2"/>
  <c r="H3014" i="2"/>
  <c r="G3014" i="2"/>
  <c r="I3013" i="2"/>
  <c r="H3013" i="2"/>
  <c r="G3013" i="2"/>
  <c r="I3012" i="2"/>
  <c r="H3012" i="2"/>
  <c r="G3012" i="2"/>
  <c r="I3011" i="2"/>
  <c r="H3011" i="2"/>
  <c r="G3011" i="2"/>
  <c r="I3010" i="2"/>
  <c r="H3010" i="2"/>
  <c r="G3010" i="2"/>
  <c r="I3009" i="2"/>
  <c r="H3009" i="2"/>
  <c r="G3009" i="2"/>
  <c r="I3008" i="2"/>
  <c r="H3008" i="2"/>
  <c r="G3008" i="2"/>
  <c r="I3007" i="2"/>
  <c r="H3007" i="2"/>
  <c r="G3007" i="2"/>
  <c r="I3006" i="2"/>
  <c r="H3006" i="2"/>
  <c r="G3006" i="2"/>
  <c r="I3005" i="2"/>
  <c r="H3005" i="2"/>
  <c r="G3005" i="2"/>
  <c r="I3004" i="2"/>
  <c r="H3004" i="2"/>
  <c r="G3004" i="2"/>
  <c r="I3003" i="2"/>
  <c r="H3003" i="2"/>
  <c r="G3003" i="2"/>
  <c r="I3002" i="2"/>
  <c r="H3002" i="2"/>
  <c r="G3002" i="2"/>
  <c r="I3001" i="2"/>
  <c r="H3001" i="2"/>
  <c r="G3001" i="2"/>
  <c r="I3000" i="2"/>
  <c r="H3000" i="2"/>
  <c r="G3000" i="2"/>
  <c r="I2999" i="2"/>
  <c r="H2999" i="2"/>
  <c r="G2999" i="2"/>
  <c r="I2998" i="2"/>
  <c r="H2998" i="2"/>
  <c r="G2998" i="2"/>
  <c r="I2997" i="2"/>
  <c r="H2997" i="2"/>
  <c r="G2997" i="2"/>
  <c r="I2996" i="2"/>
  <c r="H2996" i="2"/>
  <c r="G2996" i="2"/>
  <c r="I2995" i="2"/>
  <c r="H2995" i="2"/>
  <c r="G2995" i="2"/>
  <c r="I2994" i="2"/>
  <c r="H2994" i="2"/>
  <c r="G2994" i="2"/>
  <c r="I2993" i="2"/>
  <c r="H2993" i="2"/>
  <c r="G2993" i="2"/>
  <c r="I2992" i="2"/>
  <c r="H2992" i="2"/>
  <c r="G2992" i="2"/>
  <c r="I2991" i="2"/>
  <c r="H2991" i="2"/>
  <c r="G2991" i="2"/>
  <c r="I2990" i="2"/>
  <c r="H2990" i="2"/>
  <c r="G2990" i="2"/>
  <c r="I2989" i="2"/>
  <c r="H2989" i="2"/>
  <c r="G2989" i="2"/>
  <c r="I2988" i="2"/>
  <c r="H2988" i="2"/>
  <c r="G2988" i="2"/>
  <c r="I2987" i="2"/>
  <c r="H2987" i="2"/>
  <c r="G2987" i="2"/>
  <c r="I2986" i="2"/>
  <c r="H2986" i="2"/>
  <c r="G2986" i="2"/>
  <c r="I2985" i="2"/>
  <c r="H2985" i="2"/>
  <c r="G2985" i="2"/>
  <c r="I2984" i="2"/>
  <c r="H2984" i="2"/>
  <c r="G2984" i="2"/>
  <c r="I2983" i="2"/>
  <c r="H2983" i="2"/>
  <c r="G2983" i="2"/>
  <c r="I2982" i="2"/>
  <c r="H2982" i="2"/>
  <c r="G2982" i="2"/>
  <c r="I2981" i="2"/>
  <c r="H2981" i="2"/>
  <c r="G2981" i="2"/>
  <c r="I2980" i="2"/>
  <c r="H2980" i="2"/>
  <c r="G2980" i="2"/>
  <c r="I2979" i="2"/>
  <c r="H2979" i="2"/>
  <c r="G2979" i="2"/>
  <c r="I2978" i="2"/>
  <c r="H2978" i="2"/>
  <c r="G2978" i="2"/>
  <c r="I2977" i="2"/>
  <c r="H2977" i="2"/>
  <c r="G2977" i="2"/>
  <c r="I2976" i="2"/>
  <c r="H2976" i="2"/>
  <c r="G2976" i="2"/>
  <c r="I2975" i="2"/>
  <c r="H2975" i="2"/>
  <c r="G2975" i="2"/>
  <c r="I2974" i="2"/>
  <c r="H2974" i="2"/>
  <c r="G2974" i="2"/>
  <c r="I2973" i="2"/>
  <c r="H2973" i="2"/>
  <c r="G2973" i="2"/>
  <c r="I2972" i="2"/>
  <c r="H2972" i="2"/>
  <c r="G2972" i="2"/>
  <c r="I2971" i="2"/>
  <c r="H2971" i="2"/>
  <c r="G2971" i="2"/>
  <c r="I2970" i="2"/>
  <c r="H2970" i="2"/>
  <c r="G2970" i="2"/>
  <c r="I2969" i="2"/>
  <c r="H2969" i="2"/>
  <c r="G2969" i="2"/>
  <c r="I2968" i="2"/>
  <c r="H2968" i="2"/>
  <c r="G2968" i="2"/>
  <c r="I2967" i="2"/>
  <c r="H2967" i="2"/>
  <c r="G2967" i="2"/>
  <c r="I2966" i="2"/>
  <c r="H2966" i="2"/>
  <c r="G2966" i="2"/>
  <c r="I2965" i="2"/>
  <c r="H2965" i="2"/>
  <c r="G2965" i="2"/>
  <c r="I2964" i="2"/>
  <c r="H2964" i="2"/>
  <c r="G2964" i="2"/>
  <c r="I2963" i="2"/>
  <c r="H2963" i="2"/>
  <c r="G2963" i="2"/>
  <c r="I2962" i="2"/>
  <c r="H2962" i="2"/>
  <c r="G2962" i="2"/>
  <c r="I2961" i="2"/>
  <c r="H2961" i="2"/>
  <c r="G2961" i="2"/>
  <c r="I2960" i="2"/>
  <c r="H2960" i="2"/>
  <c r="G2960" i="2"/>
  <c r="I2959" i="2"/>
  <c r="H2959" i="2"/>
  <c r="G2959" i="2"/>
  <c r="I2958" i="2"/>
  <c r="H2958" i="2"/>
  <c r="G2958" i="2"/>
  <c r="I2957" i="2"/>
  <c r="H2957" i="2"/>
  <c r="G2957" i="2"/>
  <c r="I2956" i="2"/>
  <c r="H2956" i="2"/>
  <c r="G2956" i="2"/>
  <c r="I2955" i="2"/>
  <c r="H2955" i="2"/>
  <c r="G2955" i="2"/>
  <c r="I2954" i="2"/>
  <c r="H2954" i="2"/>
  <c r="G2954" i="2"/>
  <c r="I2953" i="2"/>
  <c r="H2953" i="2"/>
  <c r="G2953" i="2"/>
  <c r="I2952" i="2"/>
  <c r="H2952" i="2"/>
  <c r="G2952" i="2"/>
  <c r="I2951" i="2"/>
  <c r="H2951" i="2"/>
  <c r="G2951" i="2"/>
  <c r="I2950" i="2"/>
  <c r="H2950" i="2"/>
  <c r="G2950" i="2"/>
  <c r="I2949" i="2"/>
  <c r="H2949" i="2"/>
  <c r="G2949" i="2"/>
  <c r="I2948" i="2"/>
  <c r="H2948" i="2"/>
  <c r="G2948" i="2"/>
  <c r="I2947" i="2"/>
  <c r="H2947" i="2"/>
  <c r="G2947" i="2"/>
  <c r="I2946" i="2"/>
  <c r="H2946" i="2"/>
  <c r="G2946" i="2"/>
  <c r="I2945" i="2"/>
  <c r="H2945" i="2"/>
  <c r="G2945" i="2"/>
  <c r="I2944" i="2"/>
  <c r="H2944" i="2"/>
  <c r="G2944" i="2"/>
  <c r="I2943" i="2"/>
  <c r="H2943" i="2"/>
  <c r="G2943" i="2"/>
  <c r="I2942" i="2"/>
  <c r="H2942" i="2"/>
  <c r="G2942" i="2"/>
  <c r="I2941" i="2"/>
  <c r="H2941" i="2"/>
  <c r="G2941" i="2"/>
  <c r="I2940" i="2"/>
  <c r="H2940" i="2"/>
  <c r="G2940" i="2"/>
  <c r="I2939" i="2"/>
  <c r="H2939" i="2"/>
  <c r="G2939" i="2"/>
  <c r="I2938" i="2"/>
  <c r="H2938" i="2"/>
  <c r="G2938" i="2"/>
  <c r="I2937" i="2"/>
  <c r="H2937" i="2"/>
  <c r="G2937" i="2"/>
  <c r="I2936" i="2"/>
  <c r="H2936" i="2"/>
  <c r="G2936" i="2"/>
  <c r="I2935" i="2"/>
  <c r="H2935" i="2"/>
  <c r="G2935" i="2"/>
  <c r="I2934" i="2"/>
  <c r="H2934" i="2"/>
  <c r="G2934" i="2"/>
  <c r="I2933" i="2"/>
  <c r="H2933" i="2"/>
  <c r="G2933" i="2"/>
  <c r="I2932" i="2"/>
  <c r="H2932" i="2"/>
  <c r="G2932" i="2"/>
  <c r="I2931" i="2"/>
  <c r="H2931" i="2"/>
  <c r="G2931" i="2"/>
  <c r="I2930" i="2"/>
  <c r="H2930" i="2"/>
  <c r="G2930" i="2"/>
  <c r="I2929" i="2"/>
  <c r="H2929" i="2"/>
  <c r="G2929" i="2"/>
  <c r="I2928" i="2"/>
  <c r="H2928" i="2"/>
  <c r="G2928" i="2"/>
  <c r="I2927" i="2"/>
  <c r="H2927" i="2"/>
  <c r="G2927" i="2"/>
  <c r="I2926" i="2"/>
  <c r="H2926" i="2"/>
  <c r="G2926" i="2"/>
  <c r="I2925" i="2"/>
  <c r="H2925" i="2"/>
  <c r="G2925" i="2"/>
  <c r="I2924" i="2"/>
  <c r="H2924" i="2"/>
  <c r="G2924" i="2"/>
  <c r="I2923" i="2"/>
  <c r="H2923" i="2"/>
  <c r="G2923" i="2"/>
  <c r="I2922" i="2"/>
  <c r="H2922" i="2"/>
  <c r="G2922" i="2"/>
  <c r="I2921" i="2"/>
  <c r="H2921" i="2"/>
  <c r="G2921" i="2"/>
  <c r="I2920" i="2"/>
  <c r="H2920" i="2"/>
  <c r="G2920" i="2"/>
  <c r="I2919" i="2"/>
  <c r="H2919" i="2"/>
  <c r="G2919" i="2"/>
  <c r="I2918" i="2"/>
  <c r="H2918" i="2"/>
  <c r="G2918" i="2"/>
  <c r="I2917" i="2"/>
  <c r="H2917" i="2"/>
  <c r="G2917" i="2"/>
  <c r="I2916" i="2"/>
  <c r="H2916" i="2"/>
  <c r="G2916" i="2"/>
  <c r="I2915" i="2"/>
  <c r="H2915" i="2"/>
  <c r="G2915" i="2"/>
  <c r="I2914" i="2"/>
  <c r="H2914" i="2"/>
  <c r="G2914" i="2"/>
  <c r="I2913" i="2"/>
  <c r="H2913" i="2"/>
  <c r="G2913" i="2"/>
  <c r="I2912" i="2"/>
  <c r="H2912" i="2"/>
  <c r="G2912" i="2"/>
  <c r="I2911" i="2"/>
  <c r="H2911" i="2"/>
  <c r="G2911" i="2"/>
  <c r="I2910" i="2"/>
  <c r="H2910" i="2"/>
  <c r="G2910" i="2"/>
  <c r="I2909" i="2"/>
  <c r="H2909" i="2"/>
  <c r="G2909" i="2"/>
  <c r="I2908" i="2"/>
  <c r="H2908" i="2"/>
  <c r="G2908" i="2"/>
  <c r="I2907" i="2"/>
  <c r="H2907" i="2"/>
  <c r="G2907" i="2"/>
  <c r="I2906" i="2"/>
  <c r="H2906" i="2"/>
  <c r="G2906" i="2"/>
  <c r="I2905" i="2"/>
  <c r="H2905" i="2"/>
  <c r="G2905" i="2"/>
  <c r="I2904" i="2"/>
  <c r="H2904" i="2"/>
  <c r="G2904" i="2"/>
  <c r="I2903" i="2"/>
  <c r="H2903" i="2"/>
  <c r="G2903" i="2"/>
  <c r="I2902" i="2"/>
  <c r="H2902" i="2"/>
  <c r="G2902" i="2"/>
  <c r="I2901" i="2"/>
  <c r="H2901" i="2"/>
  <c r="G2901" i="2"/>
  <c r="I2900" i="2"/>
  <c r="H2900" i="2"/>
  <c r="G2900" i="2"/>
  <c r="I2899" i="2"/>
  <c r="H2899" i="2"/>
  <c r="G2899" i="2"/>
  <c r="I2898" i="2"/>
  <c r="H2898" i="2"/>
  <c r="G2898" i="2"/>
  <c r="I2897" i="2"/>
  <c r="H2897" i="2"/>
  <c r="G2897" i="2"/>
  <c r="I2896" i="2"/>
  <c r="H2896" i="2"/>
  <c r="G2896" i="2"/>
  <c r="I2895" i="2"/>
  <c r="H2895" i="2"/>
  <c r="G2895" i="2"/>
  <c r="I2894" i="2"/>
  <c r="H2894" i="2"/>
  <c r="G2894" i="2"/>
  <c r="I2893" i="2"/>
  <c r="H2893" i="2"/>
  <c r="G2893" i="2"/>
  <c r="I2892" i="2"/>
  <c r="H2892" i="2"/>
  <c r="G2892" i="2"/>
  <c r="I2891" i="2"/>
  <c r="H2891" i="2"/>
  <c r="G2891" i="2"/>
  <c r="I2890" i="2"/>
  <c r="H2890" i="2"/>
  <c r="G2890" i="2"/>
  <c r="I2889" i="2"/>
  <c r="H2889" i="2"/>
  <c r="G2889" i="2"/>
  <c r="I2888" i="2"/>
  <c r="H2888" i="2"/>
  <c r="G2888" i="2"/>
  <c r="I2887" i="2"/>
  <c r="H2887" i="2"/>
  <c r="G2887" i="2"/>
  <c r="I2886" i="2"/>
  <c r="H2886" i="2"/>
  <c r="G2886" i="2"/>
  <c r="I2885" i="2"/>
  <c r="H2885" i="2"/>
  <c r="G2885" i="2"/>
  <c r="I2884" i="2"/>
  <c r="H2884" i="2"/>
  <c r="G2884" i="2"/>
  <c r="I2883" i="2"/>
  <c r="H2883" i="2"/>
  <c r="G2883" i="2"/>
  <c r="I2882" i="2"/>
  <c r="H2882" i="2"/>
  <c r="G2882" i="2"/>
  <c r="I2881" i="2"/>
  <c r="H2881" i="2"/>
  <c r="G2881" i="2"/>
  <c r="I2880" i="2"/>
  <c r="H2880" i="2"/>
  <c r="G2880" i="2"/>
  <c r="I2879" i="2"/>
  <c r="H2879" i="2"/>
  <c r="G2879" i="2"/>
  <c r="I2878" i="2"/>
  <c r="H2878" i="2"/>
  <c r="G2878" i="2"/>
  <c r="I2877" i="2"/>
  <c r="H2877" i="2"/>
  <c r="G2877" i="2"/>
  <c r="I2876" i="2"/>
  <c r="H2876" i="2"/>
  <c r="G2876" i="2"/>
  <c r="I2875" i="2"/>
  <c r="H2875" i="2"/>
  <c r="G2875" i="2"/>
  <c r="I2874" i="2"/>
  <c r="H2874" i="2"/>
  <c r="G2874" i="2"/>
  <c r="I2873" i="2"/>
  <c r="H2873" i="2"/>
  <c r="G2873" i="2"/>
  <c r="I2872" i="2"/>
  <c r="H2872" i="2"/>
  <c r="G2872" i="2"/>
  <c r="I2871" i="2"/>
  <c r="H2871" i="2"/>
  <c r="G2871" i="2"/>
  <c r="I2870" i="2"/>
  <c r="H2870" i="2"/>
  <c r="G2870" i="2"/>
  <c r="I2869" i="2"/>
  <c r="H2869" i="2"/>
  <c r="G2869" i="2"/>
  <c r="I2868" i="2"/>
  <c r="H2868" i="2"/>
  <c r="G2868" i="2"/>
  <c r="I2867" i="2"/>
  <c r="H2867" i="2"/>
  <c r="G2867" i="2"/>
  <c r="I2866" i="2"/>
  <c r="H2866" i="2"/>
  <c r="G2866" i="2"/>
  <c r="I2865" i="2"/>
  <c r="H2865" i="2"/>
  <c r="G2865" i="2"/>
  <c r="I2864" i="2"/>
  <c r="H2864" i="2"/>
  <c r="G2864" i="2"/>
  <c r="I2863" i="2"/>
  <c r="H2863" i="2"/>
  <c r="G2863" i="2"/>
  <c r="I2862" i="2"/>
  <c r="H2862" i="2"/>
  <c r="G2862" i="2"/>
  <c r="I2861" i="2"/>
  <c r="H2861" i="2"/>
  <c r="G2861" i="2"/>
  <c r="I2860" i="2"/>
  <c r="H2860" i="2"/>
  <c r="G2860" i="2"/>
  <c r="I2859" i="2"/>
  <c r="H2859" i="2"/>
  <c r="G2859" i="2"/>
  <c r="I2858" i="2"/>
  <c r="H2858" i="2"/>
  <c r="G2858" i="2"/>
  <c r="I2857" i="2"/>
  <c r="H2857" i="2"/>
  <c r="G2857" i="2"/>
  <c r="I2856" i="2"/>
  <c r="H2856" i="2"/>
  <c r="G2856" i="2"/>
  <c r="I2855" i="2"/>
  <c r="H2855" i="2"/>
  <c r="G2855" i="2"/>
  <c r="I2854" i="2"/>
  <c r="H2854" i="2"/>
  <c r="G2854" i="2"/>
  <c r="I2853" i="2"/>
  <c r="H2853" i="2"/>
  <c r="G2853" i="2"/>
  <c r="I2852" i="2"/>
  <c r="H2852" i="2"/>
  <c r="G2852" i="2"/>
  <c r="I2851" i="2"/>
  <c r="H2851" i="2"/>
  <c r="G2851" i="2"/>
  <c r="I2850" i="2"/>
  <c r="H2850" i="2"/>
  <c r="G2850" i="2"/>
  <c r="I2849" i="2"/>
  <c r="H2849" i="2"/>
  <c r="G2849" i="2"/>
  <c r="I2848" i="2"/>
  <c r="H2848" i="2"/>
  <c r="G2848" i="2"/>
  <c r="I2847" i="2"/>
  <c r="H2847" i="2"/>
  <c r="G2847" i="2"/>
  <c r="I2846" i="2"/>
  <c r="H2846" i="2"/>
  <c r="G2846" i="2"/>
  <c r="I2845" i="2"/>
  <c r="H2845" i="2"/>
  <c r="G2845" i="2"/>
  <c r="I2844" i="2"/>
  <c r="H2844" i="2"/>
  <c r="G2844" i="2"/>
  <c r="I2843" i="2"/>
  <c r="H2843" i="2"/>
  <c r="G2843" i="2"/>
  <c r="I2842" i="2"/>
  <c r="H2842" i="2"/>
  <c r="G2842" i="2"/>
  <c r="I2841" i="2"/>
  <c r="H2841" i="2"/>
  <c r="G2841" i="2"/>
  <c r="I2840" i="2"/>
  <c r="H2840" i="2"/>
  <c r="G2840" i="2"/>
  <c r="I2839" i="2"/>
  <c r="H2839" i="2"/>
  <c r="G2839" i="2"/>
  <c r="I2838" i="2"/>
  <c r="H2838" i="2"/>
  <c r="G2838" i="2"/>
  <c r="I2837" i="2"/>
  <c r="H2837" i="2"/>
  <c r="G2837" i="2"/>
  <c r="I2836" i="2"/>
  <c r="H2836" i="2"/>
  <c r="G2836" i="2"/>
  <c r="I2835" i="2"/>
  <c r="H2835" i="2"/>
  <c r="G2835" i="2"/>
  <c r="I2834" i="2"/>
  <c r="H2834" i="2"/>
  <c r="G2834" i="2"/>
  <c r="I2833" i="2"/>
  <c r="H2833" i="2"/>
  <c r="G2833" i="2"/>
  <c r="I2832" i="2"/>
  <c r="H2832" i="2"/>
  <c r="G2832" i="2"/>
  <c r="I2831" i="2"/>
  <c r="H2831" i="2"/>
  <c r="G2831" i="2"/>
  <c r="I2830" i="2"/>
  <c r="H2830" i="2"/>
  <c r="G2830" i="2"/>
  <c r="I2829" i="2"/>
  <c r="H2829" i="2"/>
  <c r="G2829" i="2"/>
  <c r="I2828" i="2"/>
  <c r="H2828" i="2"/>
  <c r="G2828" i="2"/>
  <c r="I2827" i="2"/>
  <c r="H2827" i="2"/>
  <c r="G2827" i="2"/>
  <c r="I2826" i="2"/>
  <c r="H2826" i="2"/>
  <c r="G2826" i="2"/>
  <c r="I2825" i="2"/>
  <c r="H2825" i="2"/>
  <c r="G2825" i="2"/>
  <c r="I2824" i="2"/>
  <c r="H2824" i="2"/>
  <c r="G2824" i="2"/>
  <c r="I2823" i="2"/>
  <c r="H2823" i="2"/>
  <c r="G2823" i="2"/>
  <c r="I2822" i="2"/>
  <c r="H2822" i="2"/>
  <c r="G2822" i="2"/>
  <c r="I2821" i="2"/>
  <c r="H2821" i="2"/>
  <c r="G2821" i="2"/>
  <c r="I2820" i="2"/>
  <c r="H2820" i="2"/>
  <c r="G2820" i="2"/>
  <c r="I2819" i="2"/>
  <c r="H2819" i="2"/>
  <c r="G2819" i="2"/>
  <c r="I2818" i="2"/>
  <c r="H2818" i="2"/>
  <c r="G2818" i="2"/>
  <c r="I2817" i="2"/>
  <c r="H2817" i="2"/>
  <c r="G2817" i="2"/>
  <c r="I2816" i="2"/>
  <c r="H2816" i="2"/>
  <c r="G2816" i="2"/>
  <c r="I2815" i="2"/>
  <c r="H2815" i="2"/>
  <c r="G2815" i="2"/>
  <c r="I2814" i="2"/>
  <c r="H2814" i="2"/>
  <c r="G2814" i="2"/>
  <c r="I2813" i="2"/>
  <c r="H2813" i="2"/>
  <c r="G2813" i="2"/>
  <c r="I2812" i="2"/>
  <c r="H2812" i="2"/>
  <c r="G2812" i="2"/>
  <c r="I2811" i="2"/>
  <c r="H2811" i="2"/>
  <c r="G2811" i="2"/>
  <c r="I2810" i="2"/>
  <c r="H2810" i="2"/>
  <c r="G2810" i="2"/>
  <c r="I2809" i="2"/>
  <c r="H2809" i="2"/>
  <c r="G2809" i="2"/>
  <c r="I2808" i="2"/>
  <c r="H2808" i="2"/>
  <c r="G2808" i="2"/>
  <c r="I2807" i="2"/>
  <c r="H2807" i="2"/>
  <c r="G2807" i="2"/>
  <c r="I2806" i="2"/>
  <c r="H2806" i="2"/>
  <c r="G2806" i="2"/>
  <c r="I2805" i="2"/>
  <c r="H2805" i="2"/>
  <c r="G2805" i="2"/>
  <c r="I2804" i="2"/>
  <c r="H2804" i="2"/>
  <c r="G2804" i="2"/>
  <c r="I2803" i="2"/>
  <c r="H2803" i="2"/>
  <c r="G2803" i="2"/>
  <c r="I2802" i="2"/>
  <c r="H2802" i="2"/>
  <c r="G2802" i="2"/>
  <c r="I2801" i="2"/>
  <c r="H2801" i="2"/>
  <c r="G2801" i="2"/>
  <c r="I2800" i="2"/>
  <c r="H2800" i="2"/>
  <c r="G2800" i="2"/>
  <c r="I2799" i="2"/>
  <c r="H2799" i="2"/>
  <c r="G2799" i="2"/>
  <c r="I2798" i="2"/>
  <c r="H2798" i="2"/>
  <c r="G2798" i="2"/>
  <c r="I2797" i="2"/>
  <c r="H2797" i="2"/>
  <c r="G2797" i="2"/>
  <c r="I2796" i="2"/>
  <c r="H2796" i="2"/>
  <c r="G2796" i="2"/>
  <c r="I2795" i="2"/>
  <c r="H2795" i="2"/>
  <c r="G2795" i="2"/>
  <c r="I2794" i="2"/>
  <c r="H2794" i="2"/>
  <c r="G2794" i="2"/>
  <c r="I2793" i="2"/>
  <c r="H2793" i="2"/>
  <c r="G2793" i="2"/>
  <c r="I2792" i="2"/>
  <c r="H2792" i="2"/>
  <c r="G2792" i="2"/>
  <c r="I2791" i="2"/>
  <c r="H2791" i="2"/>
  <c r="G2791" i="2"/>
  <c r="I2790" i="2"/>
  <c r="H2790" i="2"/>
  <c r="G2790" i="2"/>
  <c r="I2789" i="2"/>
  <c r="H2789" i="2"/>
  <c r="G2789" i="2"/>
  <c r="I2788" i="2"/>
  <c r="H2788" i="2"/>
  <c r="G2788" i="2"/>
  <c r="I2787" i="2"/>
  <c r="H2787" i="2"/>
  <c r="G2787" i="2"/>
  <c r="I2786" i="2"/>
  <c r="H2786" i="2"/>
  <c r="G2786" i="2"/>
  <c r="I2785" i="2"/>
  <c r="H2785" i="2"/>
  <c r="G2785" i="2"/>
  <c r="I2784" i="2"/>
  <c r="H2784" i="2"/>
  <c r="G2784" i="2"/>
  <c r="I2783" i="2"/>
  <c r="H2783" i="2"/>
  <c r="G2783" i="2"/>
  <c r="I2782" i="2"/>
  <c r="H2782" i="2"/>
  <c r="G2782" i="2"/>
  <c r="I2781" i="2"/>
  <c r="H2781" i="2"/>
  <c r="G2781" i="2"/>
  <c r="I2780" i="2"/>
  <c r="H2780" i="2"/>
  <c r="G2780" i="2"/>
  <c r="I2779" i="2"/>
  <c r="H2779" i="2"/>
  <c r="G2779" i="2"/>
  <c r="I2778" i="2"/>
  <c r="H2778" i="2"/>
  <c r="G2778" i="2"/>
  <c r="I2777" i="2"/>
  <c r="H2777" i="2"/>
  <c r="G2777" i="2"/>
  <c r="I2776" i="2"/>
  <c r="H2776" i="2"/>
  <c r="G2776" i="2"/>
  <c r="I2775" i="2"/>
  <c r="H2775" i="2"/>
  <c r="G2775" i="2"/>
  <c r="I2774" i="2"/>
  <c r="H2774" i="2"/>
  <c r="G2774" i="2"/>
  <c r="I2773" i="2"/>
  <c r="H2773" i="2"/>
  <c r="G2773" i="2"/>
  <c r="I2772" i="2"/>
  <c r="H2772" i="2"/>
  <c r="G2772" i="2"/>
  <c r="I2771" i="2"/>
  <c r="H2771" i="2"/>
  <c r="G2771" i="2"/>
  <c r="I2770" i="2"/>
  <c r="H2770" i="2"/>
  <c r="G2770" i="2"/>
  <c r="I2769" i="2"/>
  <c r="H2769" i="2"/>
  <c r="G2769" i="2"/>
  <c r="I2768" i="2"/>
  <c r="H2768" i="2"/>
  <c r="G2768" i="2"/>
  <c r="I2767" i="2"/>
  <c r="H2767" i="2"/>
  <c r="G2767" i="2"/>
  <c r="I2766" i="2"/>
  <c r="H2766" i="2"/>
  <c r="G2766" i="2"/>
  <c r="I2765" i="2"/>
  <c r="H2765" i="2"/>
  <c r="G2765" i="2"/>
  <c r="I2764" i="2"/>
  <c r="H2764" i="2"/>
  <c r="G2764" i="2"/>
  <c r="I2763" i="2"/>
  <c r="H2763" i="2"/>
  <c r="G2763" i="2"/>
  <c r="I2762" i="2"/>
  <c r="H2762" i="2"/>
  <c r="G2762" i="2"/>
  <c r="I2761" i="2"/>
  <c r="H2761" i="2"/>
  <c r="G2761" i="2"/>
  <c r="I2760" i="2"/>
  <c r="H2760" i="2"/>
  <c r="G2760" i="2"/>
  <c r="I2759" i="2"/>
  <c r="H2759" i="2"/>
  <c r="G2759" i="2"/>
  <c r="I2758" i="2"/>
  <c r="H2758" i="2"/>
  <c r="G2758" i="2"/>
  <c r="I2757" i="2"/>
  <c r="H2757" i="2"/>
  <c r="G2757" i="2"/>
  <c r="I2756" i="2"/>
  <c r="H2756" i="2"/>
  <c r="G2756" i="2"/>
  <c r="I2755" i="2"/>
  <c r="H2755" i="2"/>
  <c r="G2755" i="2"/>
  <c r="I2754" i="2"/>
  <c r="H2754" i="2"/>
  <c r="G2754" i="2"/>
  <c r="I2753" i="2"/>
  <c r="H2753" i="2"/>
  <c r="G2753" i="2"/>
  <c r="I2752" i="2"/>
  <c r="H2752" i="2"/>
  <c r="G2752" i="2"/>
  <c r="I2751" i="2"/>
  <c r="H2751" i="2"/>
  <c r="G2751" i="2"/>
  <c r="I2750" i="2"/>
  <c r="H2750" i="2"/>
  <c r="G2750" i="2"/>
  <c r="I2749" i="2"/>
  <c r="H2749" i="2"/>
  <c r="G2749" i="2"/>
  <c r="I2748" i="2"/>
  <c r="H2748" i="2"/>
  <c r="G2748" i="2"/>
  <c r="I2747" i="2"/>
  <c r="H2747" i="2"/>
  <c r="G2747" i="2"/>
  <c r="I2746" i="2"/>
  <c r="H2746" i="2"/>
  <c r="G2746" i="2"/>
  <c r="I2745" i="2"/>
  <c r="H2745" i="2"/>
  <c r="G2745" i="2"/>
  <c r="I2744" i="2"/>
  <c r="H2744" i="2"/>
  <c r="G2744" i="2"/>
  <c r="I2743" i="2"/>
  <c r="H2743" i="2"/>
  <c r="G2743" i="2"/>
  <c r="I2742" i="2"/>
  <c r="H2742" i="2"/>
  <c r="G2742" i="2"/>
  <c r="I2741" i="2"/>
  <c r="H2741" i="2"/>
  <c r="G2741" i="2"/>
  <c r="I2740" i="2"/>
  <c r="H2740" i="2"/>
  <c r="G2740" i="2"/>
  <c r="I2739" i="2"/>
  <c r="H2739" i="2"/>
  <c r="G2739" i="2"/>
  <c r="I2738" i="2"/>
  <c r="H2738" i="2"/>
  <c r="G2738" i="2"/>
  <c r="I2737" i="2"/>
  <c r="H2737" i="2"/>
  <c r="G2737" i="2"/>
  <c r="I2736" i="2"/>
  <c r="H2736" i="2"/>
  <c r="G2736" i="2"/>
  <c r="I2735" i="2"/>
  <c r="H2735" i="2"/>
  <c r="G2735" i="2"/>
  <c r="I2734" i="2"/>
  <c r="H2734" i="2"/>
  <c r="G2734" i="2"/>
  <c r="I2733" i="2"/>
  <c r="H2733" i="2"/>
  <c r="G2733" i="2"/>
  <c r="I2732" i="2"/>
  <c r="H2732" i="2"/>
  <c r="G2732" i="2"/>
  <c r="I2731" i="2"/>
  <c r="H2731" i="2"/>
  <c r="G2731" i="2"/>
  <c r="I2730" i="2"/>
  <c r="H2730" i="2"/>
  <c r="G2730" i="2"/>
  <c r="I2729" i="2"/>
  <c r="H2729" i="2"/>
  <c r="G2729" i="2"/>
  <c r="I2728" i="2"/>
  <c r="H2728" i="2"/>
  <c r="G2728" i="2"/>
  <c r="I2727" i="2"/>
  <c r="H2727" i="2"/>
  <c r="G2727" i="2"/>
  <c r="I2726" i="2"/>
  <c r="H2726" i="2"/>
  <c r="G2726" i="2"/>
  <c r="I2725" i="2"/>
  <c r="H2725" i="2"/>
  <c r="G2725" i="2"/>
  <c r="I2724" i="2"/>
  <c r="H2724" i="2"/>
  <c r="G2724" i="2"/>
  <c r="I2723" i="2"/>
  <c r="H2723" i="2"/>
  <c r="G2723" i="2"/>
  <c r="I2722" i="2"/>
  <c r="H2722" i="2"/>
  <c r="G2722" i="2"/>
  <c r="I2721" i="2"/>
  <c r="H2721" i="2"/>
  <c r="G2721" i="2"/>
  <c r="I2720" i="2"/>
  <c r="H2720" i="2"/>
  <c r="G2720" i="2"/>
  <c r="I2719" i="2"/>
  <c r="H2719" i="2"/>
  <c r="G2719" i="2"/>
  <c r="I2718" i="2"/>
  <c r="H2718" i="2"/>
  <c r="G2718" i="2"/>
  <c r="I2717" i="2"/>
  <c r="H2717" i="2"/>
  <c r="G2717" i="2"/>
  <c r="I2716" i="2"/>
  <c r="H2716" i="2"/>
  <c r="G2716" i="2"/>
  <c r="I2715" i="2"/>
  <c r="H2715" i="2"/>
  <c r="G2715" i="2"/>
  <c r="I2714" i="2"/>
  <c r="H2714" i="2"/>
  <c r="G2714" i="2"/>
  <c r="I2713" i="2"/>
  <c r="H2713" i="2"/>
  <c r="G2713" i="2"/>
  <c r="I2712" i="2"/>
  <c r="H2712" i="2"/>
  <c r="G2712" i="2"/>
  <c r="I2711" i="2"/>
  <c r="H2711" i="2"/>
  <c r="G2711" i="2"/>
  <c r="I2710" i="2"/>
  <c r="H2710" i="2"/>
  <c r="G2710" i="2"/>
  <c r="I2709" i="2"/>
  <c r="H2709" i="2"/>
  <c r="G2709" i="2"/>
  <c r="I2708" i="2"/>
  <c r="H2708" i="2"/>
  <c r="G2708" i="2"/>
  <c r="I2707" i="2"/>
  <c r="H2707" i="2"/>
  <c r="G2707" i="2"/>
  <c r="I2706" i="2"/>
  <c r="H2706" i="2"/>
  <c r="G2706" i="2"/>
  <c r="I2705" i="2"/>
  <c r="H2705" i="2"/>
  <c r="G2705" i="2"/>
  <c r="I2704" i="2"/>
  <c r="H2704" i="2"/>
  <c r="G2704" i="2"/>
  <c r="I2703" i="2"/>
  <c r="H2703" i="2"/>
  <c r="G2703" i="2"/>
  <c r="I2702" i="2"/>
  <c r="H2702" i="2"/>
  <c r="G2702" i="2"/>
  <c r="I2701" i="2"/>
  <c r="H2701" i="2"/>
  <c r="G2701" i="2"/>
  <c r="I2700" i="2"/>
  <c r="H2700" i="2"/>
  <c r="G2700" i="2"/>
  <c r="I2699" i="2"/>
  <c r="H2699" i="2"/>
  <c r="G2699" i="2"/>
  <c r="I2698" i="2"/>
  <c r="H2698" i="2"/>
  <c r="G2698" i="2"/>
  <c r="I2697" i="2"/>
  <c r="H2697" i="2"/>
  <c r="G2697" i="2"/>
  <c r="I2696" i="2"/>
  <c r="H2696" i="2"/>
  <c r="G2696" i="2"/>
  <c r="I2695" i="2"/>
  <c r="H2695" i="2"/>
  <c r="G2695" i="2"/>
  <c r="I2694" i="2"/>
  <c r="H2694" i="2"/>
  <c r="G2694" i="2"/>
  <c r="I2693" i="2"/>
  <c r="H2693" i="2"/>
  <c r="G2693" i="2"/>
  <c r="I2692" i="2"/>
  <c r="H2692" i="2"/>
  <c r="G2692" i="2"/>
  <c r="I2691" i="2"/>
  <c r="H2691" i="2"/>
  <c r="G2691" i="2"/>
  <c r="I2690" i="2"/>
  <c r="H2690" i="2"/>
  <c r="G2690" i="2"/>
  <c r="I2689" i="2"/>
  <c r="H2689" i="2"/>
  <c r="G2689" i="2"/>
  <c r="I2688" i="2"/>
  <c r="H2688" i="2"/>
  <c r="G2688" i="2"/>
  <c r="I2687" i="2"/>
  <c r="H2687" i="2"/>
  <c r="G2687" i="2"/>
  <c r="I2686" i="2"/>
  <c r="H2686" i="2"/>
  <c r="G2686" i="2"/>
  <c r="I2685" i="2"/>
  <c r="H2685" i="2"/>
  <c r="G2685" i="2"/>
  <c r="I2684" i="2"/>
  <c r="H2684" i="2"/>
  <c r="G2684" i="2"/>
  <c r="I2683" i="2"/>
  <c r="H2683" i="2"/>
  <c r="G2683" i="2"/>
  <c r="I2682" i="2"/>
  <c r="H2682" i="2"/>
  <c r="G2682" i="2"/>
  <c r="I2681" i="2"/>
  <c r="H2681" i="2"/>
  <c r="G2681" i="2"/>
  <c r="I2680" i="2"/>
  <c r="H2680" i="2"/>
  <c r="G2680" i="2"/>
  <c r="I2679" i="2"/>
  <c r="H2679" i="2"/>
  <c r="G2679" i="2"/>
  <c r="I2678" i="2"/>
  <c r="H2678" i="2"/>
  <c r="G2678" i="2"/>
  <c r="I2677" i="2"/>
  <c r="H2677" i="2"/>
  <c r="G2677" i="2"/>
  <c r="I2676" i="2"/>
  <c r="H2676" i="2"/>
  <c r="G2676" i="2"/>
  <c r="I2675" i="2"/>
  <c r="H2675" i="2"/>
  <c r="G2675" i="2"/>
  <c r="I2674" i="2"/>
  <c r="H2674" i="2"/>
  <c r="G2674" i="2"/>
  <c r="I2673" i="2"/>
  <c r="H2673" i="2"/>
  <c r="G2673" i="2"/>
  <c r="I2672" i="2"/>
  <c r="H2672" i="2"/>
  <c r="G2672" i="2"/>
  <c r="I2671" i="2"/>
  <c r="H2671" i="2"/>
  <c r="G2671" i="2"/>
  <c r="I2670" i="2"/>
  <c r="H2670" i="2"/>
  <c r="G2670" i="2"/>
  <c r="I2669" i="2"/>
  <c r="H2669" i="2"/>
  <c r="G2669" i="2"/>
  <c r="I2668" i="2"/>
  <c r="H2668" i="2"/>
  <c r="G2668" i="2"/>
  <c r="I2667" i="2"/>
  <c r="H2667" i="2"/>
  <c r="G2667" i="2"/>
  <c r="I2666" i="2"/>
  <c r="H2666" i="2"/>
  <c r="G2666" i="2"/>
  <c r="I2665" i="2"/>
  <c r="H2665" i="2"/>
  <c r="G2665" i="2"/>
  <c r="I2664" i="2"/>
  <c r="H2664" i="2"/>
  <c r="G2664" i="2"/>
  <c r="I2663" i="2"/>
  <c r="H2663" i="2"/>
  <c r="G2663" i="2"/>
  <c r="I2662" i="2"/>
  <c r="H2662" i="2"/>
  <c r="G2662" i="2"/>
  <c r="I2661" i="2"/>
  <c r="H2661" i="2"/>
  <c r="G2661" i="2"/>
  <c r="I2660" i="2"/>
  <c r="H2660" i="2"/>
  <c r="G2660" i="2"/>
  <c r="I2659" i="2"/>
  <c r="H2659" i="2"/>
  <c r="G2659" i="2"/>
  <c r="I2658" i="2"/>
  <c r="H2658" i="2"/>
  <c r="G2658" i="2"/>
  <c r="I2657" i="2"/>
  <c r="H2657" i="2"/>
  <c r="G2657" i="2"/>
  <c r="I2656" i="2"/>
  <c r="H2656" i="2"/>
  <c r="G2656" i="2"/>
  <c r="I2655" i="2"/>
  <c r="H2655" i="2"/>
  <c r="G2655" i="2"/>
  <c r="I2654" i="2"/>
  <c r="H2654" i="2"/>
  <c r="G2654" i="2"/>
  <c r="I2653" i="2"/>
  <c r="H2653" i="2"/>
  <c r="G2653" i="2"/>
  <c r="I2652" i="2"/>
  <c r="H2652" i="2"/>
  <c r="G2652" i="2"/>
  <c r="I2651" i="2"/>
  <c r="H2651" i="2"/>
  <c r="G2651" i="2"/>
  <c r="I2650" i="2"/>
  <c r="H2650" i="2"/>
  <c r="G2650" i="2"/>
  <c r="I2649" i="2"/>
  <c r="H2649" i="2"/>
  <c r="G2649" i="2"/>
  <c r="I2648" i="2"/>
  <c r="H2648" i="2"/>
  <c r="G2648" i="2"/>
  <c r="I2647" i="2"/>
  <c r="H2647" i="2"/>
  <c r="G2647" i="2"/>
  <c r="I2646" i="2"/>
  <c r="H2646" i="2"/>
  <c r="G2646" i="2"/>
  <c r="I2645" i="2"/>
  <c r="H2645" i="2"/>
  <c r="G2645" i="2"/>
  <c r="I2644" i="2"/>
  <c r="H2644" i="2"/>
  <c r="G2644" i="2"/>
  <c r="I2643" i="2"/>
  <c r="H2643" i="2"/>
  <c r="G2643" i="2"/>
  <c r="I2642" i="2"/>
  <c r="H2642" i="2"/>
  <c r="G2642" i="2"/>
  <c r="I2641" i="2"/>
  <c r="H2641" i="2"/>
  <c r="G2641" i="2"/>
  <c r="I2640" i="2"/>
  <c r="H2640" i="2"/>
  <c r="G2640" i="2"/>
  <c r="I2639" i="2"/>
  <c r="H2639" i="2"/>
  <c r="G2639" i="2"/>
  <c r="I2638" i="2"/>
  <c r="H2638" i="2"/>
  <c r="G2638" i="2"/>
  <c r="I2637" i="2"/>
  <c r="H2637" i="2"/>
  <c r="G2637" i="2"/>
  <c r="I2636" i="2"/>
  <c r="H2636" i="2"/>
  <c r="G2636" i="2"/>
  <c r="I2635" i="2"/>
  <c r="H2635" i="2"/>
  <c r="G2635" i="2"/>
  <c r="I2634" i="2"/>
  <c r="H2634" i="2"/>
  <c r="G2634" i="2"/>
  <c r="I2633" i="2"/>
  <c r="H2633" i="2"/>
  <c r="G2633" i="2"/>
  <c r="I2632" i="2"/>
  <c r="H2632" i="2"/>
  <c r="G2632" i="2"/>
  <c r="I2631" i="2"/>
  <c r="H2631" i="2"/>
  <c r="G2631" i="2"/>
  <c r="I2630" i="2"/>
  <c r="H2630" i="2"/>
  <c r="G2630" i="2"/>
  <c r="I2629" i="2"/>
  <c r="H2629" i="2"/>
  <c r="G2629" i="2"/>
  <c r="I2628" i="2"/>
  <c r="H2628" i="2"/>
  <c r="G2628" i="2"/>
  <c r="I2627" i="2"/>
  <c r="H2627" i="2"/>
  <c r="G2627" i="2"/>
  <c r="I2626" i="2"/>
  <c r="H2626" i="2"/>
  <c r="G2626" i="2"/>
  <c r="I2625" i="2"/>
  <c r="H2625" i="2"/>
  <c r="G2625" i="2"/>
  <c r="I2624" i="2"/>
  <c r="H2624" i="2"/>
  <c r="G2624" i="2"/>
  <c r="I2623" i="2"/>
  <c r="H2623" i="2"/>
  <c r="G2623" i="2"/>
  <c r="I2622" i="2"/>
  <c r="H2622" i="2"/>
  <c r="G2622" i="2"/>
  <c r="I2621" i="2"/>
  <c r="H2621" i="2"/>
  <c r="G2621" i="2"/>
  <c r="I2620" i="2"/>
  <c r="H2620" i="2"/>
  <c r="G2620" i="2"/>
  <c r="I2619" i="2"/>
  <c r="H2619" i="2"/>
  <c r="G2619" i="2"/>
  <c r="I2618" i="2"/>
  <c r="H2618" i="2"/>
  <c r="G2618" i="2"/>
  <c r="I2617" i="2"/>
  <c r="H2617" i="2"/>
  <c r="G2617" i="2"/>
  <c r="I2616" i="2"/>
  <c r="H2616" i="2"/>
  <c r="G2616" i="2"/>
  <c r="I2615" i="2"/>
  <c r="H2615" i="2"/>
  <c r="G2615" i="2"/>
  <c r="I2614" i="2"/>
  <c r="H2614" i="2"/>
  <c r="G2614" i="2"/>
  <c r="I2613" i="2"/>
  <c r="H2613" i="2"/>
  <c r="G2613" i="2"/>
  <c r="I2612" i="2"/>
  <c r="H2612" i="2"/>
  <c r="G2612" i="2"/>
  <c r="I2611" i="2"/>
  <c r="H2611" i="2"/>
  <c r="G2611" i="2"/>
  <c r="I2610" i="2"/>
  <c r="H2610" i="2"/>
  <c r="G2610" i="2"/>
  <c r="I2609" i="2"/>
  <c r="H2609" i="2"/>
  <c r="G2609" i="2"/>
  <c r="I2608" i="2"/>
  <c r="H2608" i="2"/>
  <c r="G2608" i="2"/>
  <c r="I2607" i="2"/>
  <c r="H2607" i="2"/>
  <c r="G2607" i="2"/>
  <c r="I2606" i="2"/>
  <c r="H2606" i="2"/>
  <c r="G2606" i="2"/>
  <c r="I2605" i="2"/>
  <c r="H2605" i="2"/>
  <c r="G2605" i="2"/>
  <c r="I2604" i="2"/>
  <c r="H2604" i="2"/>
  <c r="G2604" i="2"/>
  <c r="I2603" i="2"/>
  <c r="H2603" i="2"/>
  <c r="G2603" i="2"/>
  <c r="I2602" i="2"/>
  <c r="H2602" i="2"/>
  <c r="G2602" i="2"/>
  <c r="I2601" i="2"/>
  <c r="H2601" i="2"/>
  <c r="G2601" i="2"/>
  <c r="I2600" i="2"/>
  <c r="H2600" i="2"/>
  <c r="G2600" i="2"/>
  <c r="I2599" i="2"/>
  <c r="H2599" i="2"/>
  <c r="G2599" i="2"/>
  <c r="I2598" i="2"/>
  <c r="H2598" i="2"/>
  <c r="G2598" i="2"/>
  <c r="I2597" i="2"/>
  <c r="H2597" i="2"/>
  <c r="G2597" i="2"/>
  <c r="I2596" i="2"/>
  <c r="H2596" i="2"/>
  <c r="G2596" i="2"/>
  <c r="I2595" i="2"/>
  <c r="H2595" i="2"/>
  <c r="G2595" i="2"/>
  <c r="I2594" i="2"/>
  <c r="H2594" i="2"/>
  <c r="G2594" i="2"/>
  <c r="I2593" i="2"/>
  <c r="H2593" i="2"/>
  <c r="G2593" i="2"/>
  <c r="I2592" i="2"/>
  <c r="H2592" i="2"/>
  <c r="G2592" i="2"/>
  <c r="I2591" i="2"/>
  <c r="H2591" i="2"/>
  <c r="G2591" i="2"/>
  <c r="I2590" i="2"/>
  <c r="H2590" i="2"/>
  <c r="G2590" i="2"/>
  <c r="I2589" i="2"/>
  <c r="H2589" i="2"/>
  <c r="G2589" i="2"/>
  <c r="I2588" i="2"/>
  <c r="H2588" i="2"/>
  <c r="G2588" i="2"/>
  <c r="I2587" i="2"/>
  <c r="H2587" i="2"/>
  <c r="G2587" i="2"/>
  <c r="I2586" i="2"/>
  <c r="H2586" i="2"/>
  <c r="G2586" i="2"/>
  <c r="I2585" i="2"/>
  <c r="H2585" i="2"/>
  <c r="G2585" i="2"/>
  <c r="I2584" i="2"/>
  <c r="H2584" i="2"/>
  <c r="G2584" i="2"/>
  <c r="I2583" i="2"/>
  <c r="H2583" i="2"/>
  <c r="G2583" i="2"/>
  <c r="I2582" i="2"/>
  <c r="H2582" i="2"/>
  <c r="G2582" i="2"/>
  <c r="I2581" i="2"/>
  <c r="H2581" i="2"/>
  <c r="G2581" i="2"/>
  <c r="I2580" i="2"/>
  <c r="H2580" i="2"/>
  <c r="G2580" i="2"/>
  <c r="I2579" i="2"/>
  <c r="H2579" i="2"/>
  <c r="G2579" i="2"/>
  <c r="I2578" i="2"/>
  <c r="H2578" i="2"/>
  <c r="G2578" i="2"/>
  <c r="I2577" i="2"/>
  <c r="H2577" i="2"/>
  <c r="G2577" i="2"/>
  <c r="I2576" i="2"/>
  <c r="H2576" i="2"/>
  <c r="G2576" i="2"/>
  <c r="I2575" i="2"/>
  <c r="H2575" i="2"/>
  <c r="G2575" i="2"/>
  <c r="I2574" i="2"/>
  <c r="H2574" i="2"/>
  <c r="G2574" i="2"/>
  <c r="I2573" i="2"/>
  <c r="H2573" i="2"/>
  <c r="G2573" i="2"/>
  <c r="I2572" i="2"/>
  <c r="H2572" i="2"/>
  <c r="G2572" i="2"/>
  <c r="I2571" i="2"/>
  <c r="H2571" i="2"/>
  <c r="G2571" i="2"/>
  <c r="I2570" i="2"/>
  <c r="H2570" i="2"/>
  <c r="G2570" i="2"/>
  <c r="I2569" i="2"/>
  <c r="H2569" i="2"/>
  <c r="G2569" i="2"/>
  <c r="I2568" i="2"/>
  <c r="H2568" i="2"/>
  <c r="G2568" i="2"/>
  <c r="I2567" i="2"/>
  <c r="H2567" i="2"/>
  <c r="G2567" i="2"/>
  <c r="I2566" i="2"/>
  <c r="H2566" i="2"/>
  <c r="G2566" i="2"/>
  <c r="I2565" i="2"/>
  <c r="H2565" i="2"/>
  <c r="G2565" i="2"/>
  <c r="I2564" i="2"/>
  <c r="H2564" i="2"/>
  <c r="G2564" i="2"/>
  <c r="I2563" i="2"/>
  <c r="H2563" i="2"/>
  <c r="G2563" i="2"/>
  <c r="I2562" i="2"/>
  <c r="H2562" i="2"/>
  <c r="G2562" i="2"/>
  <c r="I2561" i="2"/>
  <c r="H2561" i="2"/>
  <c r="G2561" i="2"/>
  <c r="I2560" i="2"/>
  <c r="H2560" i="2"/>
  <c r="G2560" i="2"/>
  <c r="I2559" i="2"/>
  <c r="H2559" i="2"/>
  <c r="G2559" i="2"/>
  <c r="I2558" i="2"/>
  <c r="H2558" i="2"/>
  <c r="G2558" i="2"/>
  <c r="I2557" i="2"/>
  <c r="H2557" i="2"/>
  <c r="G2557" i="2"/>
  <c r="I2556" i="2"/>
  <c r="H2556" i="2"/>
  <c r="G2556" i="2"/>
  <c r="I2555" i="2"/>
  <c r="H2555" i="2"/>
  <c r="G2555" i="2"/>
  <c r="I2554" i="2"/>
  <c r="H2554" i="2"/>
  <c r="G2554" i="2"/>
  <c r="I2553" i="2"/>
  <c r="H2553" i="2"/>
  <c r="G2553" i="2"/>
  <c r="I2552" i="2"/>
  <c r="H2552" i="2"/>
  <c r="G2552" i="2"/>
  <c r="I2551" i="2"/>
  <c r="H2551" i="2"/>
  <c r="G2551" i="2"/>
  <c r="I2550" i="2"/>
  <c r="H2550" i="2"/>
  <c r="G2550" i="2"/>
  <c r="I2549" i="2"/>
  <c r="H2549" i="2"/>
  <c r="G2549" i="2"/>
  <c r="I2548" i="2"/>
  <c r="H2548" i="2"/>
  <c r="G2548" i="2"/>
  <c r="I2547" i="2"/>
  <c r="H2547" i="2"/>
  <c r="G2547" i="2"/>
  <c r="I2546" i="2"/>
  <c r="H2546" i="2"/>
  <c r="G2546" i="2"/>
  <c r="I2545" i="2"/>
  <c r="H2545" i="2"/>
  <c r="G2545" i="2"/>
  <c r="I2544" i="2"/>
  <c r="H2544" i="2"/>
  <c r="G2544" i="2"/>
  <c r="I2543" i="2"/>
  <c r="H2543" i="2"/>
  <c r="G2543" i="2"/>
  <c r="I2542" i="2"/>
  <c r="H2542" i="2"/>
  <c r="G2542" i="2"/>
  <c r="I2541" i="2"/>
  <c r="H2541" i="2"/>
  <c r="G2541" i="2"/>
  <c r="I2540" i="2"/>
  <c r="H2540" i="2"/>
  <c r="G2540" i="2"/>
  <c r="I2539" i="2"/>
  <c r="H2539" i="2"/>
  <c r="G2539" i="2"/>
  <c r="I2538" i="2"/>
  <c r="H2538" i="2"/>
  <c r="G2538" i="2"/>
  <c r="I2537" i="2"/>
  <c r="H2537" i="2"/>
  <c r="G2537" i="2"/>
  <c r="I2536" i="2"/>
  <c r="H2536" i="2"/>
  <c r="G2536" i="2"/>
  <c r="I2535" i="2"/>
  <c r="H2535" i="2"/>
  <c r="G2535" i="2"/>
  <c r="I2534" i="2"/>
  <c r="H2534" i="2"/>
  <c r="G2534" i="2"/>
  <c r="I2533" i="2"/>
  <c r="H2533" i="2"/>
  <c r="G2533" i="2"/>
  <c r="I2532" i="2"/>
  <c r="H2532" i="2"/>
  <c r="G2532" i="2"/>
  <c r="I2531" i="2"/>
  <c r="H2531" i="2"/>
  <c r="G2531" i="2"/>
  <c r="I2530" i="2"/>
  <c r="H2530" i="2"/>
  <c r="G2530" i="2"/>
  <c r="I2529" i="2"/>
  <c r="H2529" i="2"/>
  <c r="G2529" i="2"/>
  <c r="I2528" i="2"/>
  <c r="H2528" i="2"/>
  <c r="G2528" i="2"/>
  <c r="I2527" i="2"/>
  <c r="H2527" i="2"/>
  <c r="G2527" i="2"/>
  <c r="I2526" i="2"/>
  <c r="H2526" i="2"/>
  <c r="G2526" i="2"/>
  <c r="I2525" i="2"/>
  <c r="H2525" i="2"/>
  <c r="G2525" i="2"/>
  <c r="I2524" i="2"/>
  <c r="H2524" i="2"/>
  <c r="G2524" i="2"/>
  <c r="I2523" i="2"/>
  <c r="H2523" i="2"/>
  <c r="G2523" i="2"/>
  <c r="I2522" i="2"/>
  <c r="H2522" i="2"/>
  <c r="G2522" i="2"/>
  <c r="I2521" i="2"/>
  <c r="H2521" i="2"/>
  <c r="G2521" i="2"/>
  <c r="I2520" i="2"/>
  <c r="H2520" i="2"/>
  <c r="G2520" i="2"/>
  <c r="I2519" i="2"/>
  <c r="H2519" i="2"/>
  <c r="G2519" i="2"/>
  <c r="I2518" i="2"/>
  <c r="H2518" i="2"/>
  <c r="G2518" i="2"/>
  <c r="I2517" i="2"/>
  <c r="H2517" i="2"/>
  <c r="G2517" i="2"/>
  <c r="I2516" i="2"/>
  <c r="H2516" i="2"/>
  <c r="G2516" i="2"/>
  <c r="I2515" i="2"/>
  <c r="H2515" i="2"/>
  <c r="G2515" i="2"/>
  <c r="I2514" i="2"/>
  <c r="H2514" i="2"/>
  <c r="G2514" i="2"/>
  <c r="I2513" i="2"/>
  <c r="H2513" i="2"/>
  <c r="G2513" i="2"/>
  <c r="I2512" i="2"/>
  <c r="H2512" i="2"/>
  <c r="G2512" i="2"/>
  <c r="I2511" i="2"/>
  <c r="H2511" i="2"/>
  <c r="G2511" i="2"/>
  <c r="I2510" i="2"/>
  <c r="H2510" i="2"/>
  <c r="G2510" i="2"/>
  <c r="I2509" i="2"/>
  <c r="H2509" i="2"/>
  <c r="G2509" i="2"/>
  <c r="I2508" i="2"/>
  <c r="H2508" i="2"/>
  <c r="G2508" i="2"/>
  <c r="I2507" i="2"/>
  <c r="H2507" i="2"/>
  <c r="G2507" i="2"/>
  <c r="I2506" i="2"/>
  <c r="H2506" i="2"/>
  <c r="G2506" i="2"/>
  <c r="I2505" i="2"/>
  <c r="H2505" i="2"/>
  <c r="G2505" i="2"/>
  <c r="I2504" i="2"/>
  <c r="H2504" i="2"/>
  <c r="G2504" i="2"/>
  <c r="I2503" i="2"/>
  <c r="H2503" i="2"/>
  <c r="G2503" i="2"/>
  <c r="I2502" i="2"/>
  <c r="H2502" i="2"/>
  <c r="G2502" i="2"/>
  <c r="I2501" i="2"/>
  <c r="H2501" i="2"/>
  <c r="G2501" i="2"/>
  <c r="I2500" i="2"/>
  <c r="H2500" i="2"/>
  <c r="G2500" i="2"/>
  <c r="I2499" i="2"/>
  <c r="H2499" i="2"/>
  <c r="G2499" i="2"/>
  <c r="I2498" i="2"/>
  <c r="H2498" i="2"/>
  <c r="G2498" i="2"/>
  <c r="I2497" i="2"/>
  <c r="H2497" i="2"/>
  <c r="G2497" i="2"/>
  <c r="I2496" i="2"/>
  <c r="H2496" i="2"/>
  <c r="G2496" i="2"/>
  <c r="I2495" i="2"/>
  <c r="H2495" i="2"/>
  <c r="G2495" i="2"/>
  <c r="I2494" i="2"/>
  <c r="H2494" i="2"/>
  <c r="G2494" i="2"/>
  <c r="I2493" i="2"/>
  <c r="H2493" i="2"/>
  <c r="G2493" i="2"/>
  <c r="I2492" i="2"/>
  <c r="H2492" i="2"/>
  <c r="G2492" i="2"/>
  <c r="I2491" i="2"/>
  <c r="H2491" i="2"/>
  <c r="G2491" i="2"/>
  <c r="I2490" i="2"/>
  <c r="H2490" i="2"/>
  <c r="G2490" i="2"/>
  <c r="I2489" i="2"/>
  <c r="H2489" i="2"/>
  <c r="G2489" i="2"/>
  <c r="I2488" i="2"/>
  <c r="H2488" i="2"/>
  <c r="G2488" i="2"/>
  <c r="I2487" i="2"/>
  <c r="H2487" i="2"/>
  <c r="G2487" i="2"/>
  <c r="I2486" i="2"/>
  <c r="H2486" i="2"/>
  <c r="G2486" i="2"/>
  <c r="I2485" i="2"/>
  <c r="H2485" i="2"/>
  <c r="G2485" i="2"/>
  <c r="I2484" i="2"/>
  <c r="H2484" i="2"/>
  <c r="G2484" i="2"/>
  <c r="I2483" i="2"/>
  <c r="H2483" i="2"/>
  <c r="G2483" i="2"/>
  <c r="I2482" i="2"/>
  <c r="H2482" i="2"/>
  <c r="G2482" i="2"/>
  <c r="I2481" i="2"/>
  <c r="H2481" i="2"/>
  <c r="G2481" i="2"/>
  <c r="I2480" i="2"/>
  <c r="H2480" i="2"/>
  <c r="G2480" i="2"/>
  <c r="I2479" i="2"/>
  <c r="H2479" i="2"/>
  <c r="G2479" i="2"/>
  <c r="I2478" i="2"/>
  <c r="H2478" i="2"/>
  <c r="G2478" i="2"/>
  <c r="I2477" i="2"/>
  <c r="H2477" i="2"/>
  <c r="G2477" i="2"/>
  <c r="I2476" i="2"/>
  <c r="H2476" i="2"/>
  <c r="G2476" i="2"/>
  <c r="I2475" i="2"/>
  <c r="H2475" i="2"/>
  <c r="G2475" i="2"/>
  <c r="I2474" i="2"/>
  <c r="H2474" i="2"/>
  <c r="G2474" i="2"/>
  <c r="I2473" i="2"/>
  <c r="H2473" i="2"/>
  <c r="G2473" i="2"/>
  <c r="I2472" i="2"/>
  <c r="H2472" i="2"/>
  <c r="G2472" i="2"/>
  <c r="I2471" i="2"/>
  <c r="H2471" i="2"/>
  <c r="G2471" i="2"/>
  <c r="I2470" i="2"/>
  <c r="H2470" i="2"/>
  <c r="G2470" i="2"/>
  <c r="I2469" i="2"/>
  <c r="H2469" i="2"/>
  <c r="G2469" i="2"/>
  <c r="I2468" i="2"/>
  <c r="H2468" i="2"/>
  <c r="G2468" i="2"/>
  <c r="I2467" i="2"/>
  <c r="H2467" i="2"/>
  <c r="G2467" i="2"/>
  <c r="I2466" i="2"/>
  <c r="H2466" i="2"/>
  <c r="G2466" i="2"/>
  <c r="I2465" i="2"/>
  <c r="H2465" i="2"/>
  <c r="G2465" i="2"/>
  <c r="I2464" i="2"/>
  <c r="H2464" i="2"/>
  <c r="G2464" i="2"/>
  <c r="I2463" i="2"/>
  <c r="H2463" i="2"/>
  <c r="G2463" i="2"/>
  <c r="I2462" i="2"/>
  <c r="H2462" i="2"/>
  <c r="G2462" i="2"/>
  <c r="I2461" i="2"/>
  <c r="H2461" i="2"/>
  <c r="G2461" i="2"/>
  <c r="I2460" i="2"/>
  <c r="H2460" i="2"/>
  <c r="G2460" i="2"/>
  <c r="I2459" i="2"/>
  <c r="H2459" i="2"/>
  <c r="G2459" i="2"/>
  <c r="I2458" i="2"/>
  <c r="H2458" i="2"/>
  <c r="G2458" i="2"/>
  <c r="I2457" i="2"/>
  <c r="H2457" i="2"/>
  <c r="G2457" i="2"/>
  <c r="I2456" i="2"/>
  <c r="H2456" i="2"/>
  <c r="G2456" i="2"/>
  <c r="I2455" i="2"/>
  <c r="H2455" i="2"/>
  <c r="G2455" i="2"/>
  <c r="I2454" i="2"/>
  <c r="H2454" i="2"/>
  <c r="G2454" i="2"/>
  <c r="I2453" i="2"/>
  <c r="H2453" i="2"/>
  <c r="G2453" i="2"/>
  <c r="I2452" i="2"/>
  <c r="H2452" i="2"/>
  <c r="G2452" i="2"/>
  <c r="I2451" i="2"/>
  <c r="H2451" i="2"/>
  <c r="G2451" i="2"/>
  <c r="I2450" i="2"/>
  <c r="H2450" i="2"/>
  <c r="G2450" i="2"/>
  <c r="I2449" i="2"/>
  <c r="H2449" i="2"/>
  <c r="G2449" i="2"/>
  <c r="I2448" i="2"/>
  <c r="H2448" i="2"/>
  <c r="G2448" i="2"/>
  <c r="I2447" i="2"/>
  <c r="H2447" i="2"/>
  <c r="G2447" i="2"/>
  <c r="I2446" i="2"/>
  <c r="H2446" i="2"/>
  <c r="G2446" i="2"/>
  <c r="I2445" i="2"/>
  <c r="H2445" i="2"/>
  <c r="G2445" i="2"/>
  <c r="I2444" i="2"/>
  <c r="H2444" i="2"/>
  <c r="G2444" i="2"/>
  <c r="I2443" i="2"/>
  <c r="H2443" i="2"/>
  <c r="G2443" i="2"/>
  <c r="I2442" i="2"/>
  <c r="H2442" i="2"/>
  <c r="G2442" i="2"/>
  <c r="I2441" i="2"/>
  <c r="H2441" i="2"/>
  <c r="G2441" i="2"/>
  <c r="I2440" i="2"/>
  <c r="H2440" i="2"/>
  <c r="G2440" i="2"/>
  <c r="I2439" i="2"/>
  <c r="H2439" i="2"/>
  <c r="G2439" i="2"/>
  <c r="I2438" i="2"/>
  <c r="H2438" i="2"/>
  <c r="G2438" i="2"/>
  <c r="I2437" i="2"/>
  <c r="H2437" i="2"/>
  <c r="G2437" i="2"/>
  <c r="I2436" i="2"/>
  <c r="H2436" i="2"/>
  <c r="G2436" i="2"/>
  <c r="I2435" i="2"/>
  <c r="H2435" i="2"/>
  <c r="G2435" i="2"/>
  <c r="I2434" i="2"/>
  <c r="H2434" i="2"/>
  <c r="G2434" i="2"/>
  <c r="I2433" i="2"/>
  <c r="H2433" i="2"/>
  <c r="G2433" i="2"/>
  <c r="I2432" i="2"/>
  <c r="H2432" i="2"/>
  <c r="G2432" i="2"/>
  <c r="I2431" i="2"/>
  <c r="H2431" i="2"/>
  <c r="G2431" i="2"/>
  <c r="I2430" i="2"/>
  <c r="H2430" i="2"/>
  <c r="G2430" i="2"/>
  <c r="I2429" i="2"/>
  <c r="H2429" i="2"/>
  <c r="G2429" i="2"/>
  <c r="I2428" i="2"/>
  <c r="H2428" i="2"/>
  <c r="G2428" i="2"/>
  <c r="I2427" i="2"/>
  <c r="H2427" i="2"/>
  <c r="G2427" i="2"/>
  <c r="I2426" i="2"/>
  <c r="H2426" i="2"/>
  <c r="G2426" i="2"/>
  <c r="I2425" i="2"/>
  <c r="H2425" i="2"/>
  <c r="G2425" i="2"/>
  <c r="I2424" i="2"/>
  <c r="H2424" i="2"/>
  <c r="G2424" i="2"/>
  <c r="I2423" i="2"/>
  <c r="H2423" i="2"/>
  <c r="G2423" i="2"/>
  <c r="I2422" i="2"/>
  <c r="H2422" i="2"/>
  <c r="G2422" i="2"/>
  <c r="I2421" i="2"/>
  <c r="H2421" i="2"/>
  <c r="G2421" i="2"/>
  <c r="I2420" i="2"/>
  <c r="H2420" i="2"/>
  <c r="G2420" i="2"/>
  <c r="I2419" i="2"/>
  <c r="H2419" i="2"/>
  <c r="G2419" i="2"/>
  <c r="I2418" i="2"/>
  <c r="H2418" i="2"/>
  <c r="G2418" i="2"/>
  <c r="I2417" i="2"/>
  <c r="H2417" i="2"/>
  <c r="G2417" i="2"/>
  <c r="I2416" i="2"/>
  <c r="H2416" i="2"/>
  <c r="G2416" i="2"/>
  <c r="I2415" i="2"/>
  <c r="H2415" i="2"/>
  <c r="G2415" i="2"/>
  <c r="I2414" i="2"/>
  <c r="H2414" i="2"/>
  <c r="G2414" i="2"/>
  <c r="I2413" i="2"/>
  <c r="H2413" i="2"/>
  <c r="G2413" i="2"/>
  <c r="I2412" i="2"/>
  <c r="H2412" i="2"/>
  <c r="G2412" i="2"/>
  <c r="I2411" i="2"/>
  <c r="H2411" i="2"/>
  <c r="G2411" i="2"/>
  <c r="I2410" i="2"/>
  <c r="H2410" i="2"/>
  <c r="G2410" i="2"/>
  <c r="I2409" i="2"/>
  <c r="H2409" i="2"/>
  <c r="G2409" i="2"/>
  <c r="I2408" i="2"/>
  <c r="H2408" i="2"/>
  <c r="G2408" i="2"/>
  <c r="I2407" i="2"/>
  <c r="H2407" i="2"/>
  <c r="G2407" i="2"/>
  <c r="I2406" i="2"/>
  <c r="H2406" i="2"/>
  <c r="G2406" i="2"/>
  <c r="I2405" i="2"/>
  <c r="H2405" i="2"/>
  <c r="G2405" i="2"/>
  <c r="I2404" i="2"/>
  <c r="H2404" i="2"/>
  <c r="G2404" i="2"/>
  <c r="I2403" i="2"/>
  <c r="H2403" i="2"/>
  <c r="G2403" i="2"/>
  <c r="I2402" i="2"/>
  <c r="H2402" i="2"/>
  <c r="G2402" i="2"/>
  <c r="I2401" i="2"/>
  <c r="H2401" i="2"/>
  <c r="G2401" i="2"/>
  <c r="I2400" i="2"/>
  <c r="H2400" i="2"/>
  <c r="G2400" i="2"/>
  <c r="I2399" i="2"/>
  <c r="H2399" i="2"/>
  <c r="G2399" i="2"/>
  <c r="I2398" i="2"/>
  <c r="H2398" i="2"/>
  <c r="G2398" i="2"/>
  <c r="I2397" i="2"/>
  <c r="H2397" i="2"/>
  <c r="G2397" i="2"/>
  <c r="I2396" i="2"/>
  <c r="H2396" i="2"/>
  <c r="G2396" i="2"/>
  <c r="I2395" i="2"/>
  <c r="H2395" i="2"/>
  <c r="G2395" i="2"/>
  <c r="I2394" i="2"/>
  <c r="H2394" i="2"/>
  <c r="G2394" i="2"/>
  <c r="I2393" i="2"/>
  <c r="H2393" i="2"/>
  <c r="G2393" i="2"/>
  <c r="I2392" i="2"/>
  <c r="H2392" i="2"/>
  <c r="G2392" i="2"/>
  <c r="I2391" i="2"/>
  <c r="H2391" i="2"/>
  <c r="G2391" i="2"/>
  <c r="I2390" i="2"/>
  <c r="H2390" i="2"/>
  <c r="G2390" i="2"/>
  <c r="I2389" i="2"/>
  <c r="H2389" i="2"/>
  <c r="G2389" i="2"/>
  <c r="I2388" i="2"/>
  <c r="H2388" i="2"/>
  <c r="G2388" i="2"/>
  <c r="I2387" i="2"/>
  <c r="H2387" i="2"/>
  <c r="G2387" i="2"/>
  <c r="I2386" i="2"/>
  <c r="H2386" i="2"/>
  <c r="G2386" i="2"/>
  <c r="I2385" i="2"/>
  <c r="H2385" i="2"/>
  <c r="G2385" i="2"/>
  <c r="I2384" i="2"/>
  <c r="H2384" i="2"/>
  <c r="G2384" i="2"/>
  <c r="I2383" i="2"/>
  <c r="H2383" i="2"/>
  <c r="G2383" i="2"/>
  <c r="I2382" i="2"/>
  <c r="H2382" i="2"/>
  <c r="G2382" i="2"/>
  <c r="I2381" i="2"/>
  <c r="H2381" i="2"/>
  <c r="G2381" i="2"/>
  <c r="I2380" i="2"/>
  <c r="H2380" i="2"/>
  <c r="G2380" i="2"/>
  <c r="I2379" i="2"/>
  <c r="H2379" i="2"/>
  <c r="G2379" i="2"/>
  <c r="I2378" i="2"/>
  <c r="H2378" i="2"/>
  <c r="G2378" i="2"/>
  <c r="I2377" i="2"/>
  <c r="H2377" i="2"/>
  <c r="G2377" i="2"/>
  <c r="I2376" i="2"/>
  <c r="H2376" i="2"/>
  <c r="G2376" i="2"/>
  <c r="I2375" i="2"/>
  <c r="H2375" i="2"/>
  <c r="G2375" i="2"/>
  <c r="I2374" i="2"/>
  <c r="H2374" i="2"/>
  <c r="G2374" i="2"/>
  <c r="I2373" i="2"/>
  <c r="H2373" i="2"/>
  <c r="G2373" i="2"/>
  <c r="I2372" i="2"/>
  <c r="H2372" i="2"/>
  <c r="G2372" i="2"/>
  <c r="I2371" i="2"/>
  <c r="H2371" i="2"/>
  <c r="G2371" i="2"/>
  <c r="I2370" i="2"/>
  <c r="H2370" i="2"/>
  <c r="G2370" i="2"/>
  <c r="I2369" i="2"/>
  <c r="H2369" i="2"/>
  <c r="G2369" i="2"/>
  <c r="I2368" i="2"/>
  <c r="H2368" i="2"/>
  <c r="G2368" i="2"/>
  <c r="I2367" i="2"/>
  <c r="H2367" i="2"/>
  <c r="G2367" i="2"/>
  <c r="I2366" i="2"/>
  <c r="H2366" i="2"/>
  <c r="G2366" i="2"/>
  <c r="I2365" i="2"/>
  <c r="H2365" i="2"/>
  <c r="G2365" i="2"/>
  <c r="I2364" i="2"/>
  <c r="H2364" i="2"/>
  <c r="G2364" i="2"/>
  <c r="I2363" i="2"/>
  <c r="H2363" i="2"/>
  <c r="G2363" i="2"/>
  <c r="I2362" i="2"/>
  <c r="H2362" i="2"/>
  <c r="G2362" i="2"/>
  <c r="I2361" i="2"/>
  <c r="H2361" i="2"/>
  <c r="G2361" i="2"/>
  <c r="I2360" i="2"/>
  <c r="H2360" i="2"/>
  <c r="G2360" i="2"/>
  <c r="I2359" i="2"/>
  <c r="H2359" i="2"/>
  <c r="G2359" i="2"/>
  <c r="I2358" i="2"/>
  <c r="H2358" i="2"/>
  <c r="G2358" i="2"/>
  <c r="I2357" i="2"/>
  <c r="H2357" i="2"/>
  <c r="G2357" i="2"/>
  <c r="I2356" i="2"/>
  <c r="H2356" i="2"/>
  <c r="G2356" i="2"/>
  <c r="I2355" i="2"/>
  <c r="H2355" i="2"/>
  <c r="G2355" i="2"/>
  <c r="I2354" i="2"/>
  <c r="H2354" i="2"/>
  <c r="G2354" i="2"/>
  <c r="I2353" i="2"/>
  <c r="H2353" i="2"/>
  <c r="G2353" i="2"/>
  <c r="I2352" i="2"/>
  <c r="H2352" i="2"/>
  <c r="G2352" i="2"/>
  <c r="I2351" i="2"/>
  <c r="H2351" i="2"/>
  <c r="G2351" i="2"/>
  <c r="I2350" i="2"/>
  <c r="H2350" i="2"/>
  <c r="G2350" i="2"/>
  <c r="I2349" i="2"/>
  <c r="H2349" i="2"/>
  <c r="G2349" i="2"/>
  <c r="I2348" i="2"/>
  <c r="H2348" i="2"/>
  <c r="G2348" i="2"/>
  <c r="I2347" i="2"/>
  <c r="H2347" i="2"/>
  <c r="G2347" i="2"/>
  <c r="I2346" i="2"/>
  <c r="H2346" i="2"/>
  <c r="G2346" i="2"/>
  <c r="I2345" i="2"/>
  <c r="H2345" i="2"/>
  <c r="G2345" i="2"/>
  <c r="I2344" i="2"/>
  <c r="H2344" i="2"/>
  <c r="G2344" i="2"/>
  <c r="I2343" i="2"/>
  <c r="H2343" i="2"/>
  <c r="G2343" i="2"/>
  <c r="I2342" i="2"/>
  <c r="H2342" i="2"/>
  <c r="G2342" i="2"/>
  <c r="I2341" i="2"/>
  <c r="H2341" i="2"/>
  <c r="G2341" i="2"/>
  <c r="I2340" i="2"/>
  <c r="H2340" i="2"/>
  <c r="G2340" i="2"/>
  <c r="I2339" i="2"/>
  <c r="H2339" i="2"/>
  <c r="G2339" i="2"/>
  <c r="I2338" i="2"/>
  <c r="H2338" i="2"/>
  <c r="G2338" i="2"/>
  <c r="I2337" i="2"/>
  <c r="H2337" i="2"/>
  <c r="G2337" i="2"/>
  <c r="I2336" i="2"/>
  <c r="H2336" i="2"/>
  <c r="G2336" i="2"/>
  <c r="I2335" i="2"/>
  <c r="H2335" i="2"/>
  <c r="G2335" i="2"/>
  <c r="I2334" i="2"/>
  <c r="H2334" i="2"/>
  <c r="G2334" i="2"/>
  <c r="I2333" i="2"/>
  <c r="H2333" i="2"/>
  <c r="G2333" i="2"/>
  <c r="I2332" i="2"/>
  <c r="H2332" i="2"/>
  <c r="G2332" i="2"/>
  <c r="I2331" i="2"/>
  <c r="H2331" i="2"/>
  <c r="G2331" i="2"/>
  <c r="I2330" i="2"/>
  <c r="H2330" i="2"/>
  <c r="G2330" i="2"/>
  <c r="I2329" i="2"/>
  <c r="H2329" i="2"/>
  <c r="G2329" i="2"/>
  <c r="I2328" i="2"/>
  <c r="H2328" i="2"/>
  <c r="G2328" i="2"/>
  <c r="I2327" i="2"/>
  <c r="H2327" i="2"/>
  <c r="G2327" i="2"/>
  <c r="I2326" i="2"/>
  <c r="H2326" i="2"/>
  <c r="G2326" i="2"/>
  <c r="I2325" i="2"/>
  <c r="H2325" i="2"/>
  <c r="G2325" i="2"/>
  <c r="I2324" i="2"/>
  <c r="H2324" i="2"/>
  <c r="G2324" i="2"/>
  <c r="I2323" i="2"/>
  <c r="H2323" i="2"/>
  <c r="G2323" i="2"/>
  <c r="I2322" i="2"/>
  <c r="H2322" i="2"/>
  <c r="G2322" i="2"/>
  <c r="I2321" i="2"/>
  <c r="H2321" i="2"/>
  <c r="G2321" i="2"/>
  <c r="I2320" i="2"/>
  <c r="H2320" i="2"/>
  <c r="G2320" i="2"/>
  <c r="I2319" i="2"/>
  <c r="H2319" i="2"/>
  <c r="G2319" i="2"/>
  <c r="I2318" i="2"/>
  <c r="H2318" i="2"/>
  <c r="G2318" i="2"/>
  <c r="I2317" i="2"/>
  <c r="H2317" i="2"/>
  <c r="G2317" i="2"/>
  <c r="I2316" i="2"/>
  <c r="H2316" i="2"/>
  <c r="G2316" i="2"/>
  <c r="I2315" i="2"/>
  <c r="H2315" i="2"/>
  <c r="G2315" i="2"/>
  <c r="I2314" i="2"/>
  <c r="H2314" i="2"/>
  <c r="G2314" i="2"/>
  <c r="I2313" i="2"/>
  <c r="H2313" i="2"/>
  <c r="G2313" i="2"/>
  <c r="I2312" i="2"/>
  <c r="H2312" i="2"/>
  <c r="G2312" i="2"/>
  <c r="I2311" i="2"/>
  <c r="H2311" i="2"/>
  <c r="G2311" i="2"/>
  <c r="I2310" i="2"/>
  <c r="H2310" i="2"/>
  <c r="G2310" i="2"/>
  <c r="I2309" i="2"/>
  <c r="H2309" i="2"/>
  <c r="G2309" i="2"/>
  <c r="I2308" i="2"/>
  <c r="H2308" i="2"/>
  <c r="G2308" i="2"/>
  <c r="I2307" i="2"/>
  <c r="H2307" i="2"/>
  <c r="G2307" i="2"/>
  <c r="I2306" i="2"/>
  <c r="H2306" i="2"/>
  <c r="G2306" i="2"/>
  <c r="I2305" i="2"/>
  <c r="H2305" i="2"/>
  <c r="G2305" i="2"/>
  <c r="I2304" i="2"/>
  <c r="H2304" i="2"/>
  <c r="G2304" i="2"/>
  <c r="I2303" i="2"/>
  <c r="H2303" i="2"/>
  <c r="G2303" i="2"/>
  <c r="I2302" i="2"/>
  <c r="H2302" i="2"/>
  <c r="G2302" i="2"/>
  <c r="I2301" i="2"/>
  <c r="H2301" i="2"/>
  <c r="G2301" i="2"/>
  <c r="I2300" i="2"/>
  <c r="H2300" i="2"/>
  <c r="G2300" i="2"/>
  <c r="I2299" i="2"/>
  <c r="H2299" i="2"/>
  <c r="G2299" i="2"/>
  <c r="I2298" i="2"/>
  <c r="H2298" i="2"/>
  <c r="G2298" i="2"/>
  <c r="I2297" i="2"/>
  <c r="H2297" i="2"/>
  <c r="G2297" i="2"/>
  <c r="I2296" i="2"/>
  <c r="H2296" i="2"/>
  <c r="G2296" i="2"/>
  <c r="I2295" i="2"/>
  <c r="H2295" i="2"/>
  <c r="G2295" i="2"/>
  <c r="I2294" i="2"/>
  <c r="H2294" i="2"/>
  <c r="G2294" i="2"/>
  <c r="I2293" i="2"/>
  <c r="H2293" i="2"/>
  <c r="G2293" i="2"/>
  <c r="I2292" i="2"/>
  <c r="H2292" i="2"/>
  <c r="G2292" i="2"/>
  <c r="I2291" i="2"/>
  <c r="H2291" i="2"/>
  <c r="G2291" i="2"/>
  <c r="I2290" i="2"/>
  <c r="H2290" i="2"/>
  <c r="G2290" i="2"/>
  <c r="I2289" i="2"/>
  <c r="H2289" i="2"/>
  <c r="G2289" i="2"/>
  <c r="I2288" i="2"/>
  <c r="H2288" i="2"/>
  <c r="G2288" i="2"/>
  <c r="I2287" i="2"/>
  <c r="H2287" i="2"/>
  <c r="G2287" i="2"/>
  <c r="I2286" i="2"/>
  <c r="H2286" i="2"/>
  <c r="G2286" i="2"/>
  <c r="I2285" i="2"/>
  <c r="H2285" i="2"/>
  <c r="G2285" i="2"/>
  <c r="I2284" i="2"/>
  <c r="H2284" i="2"/>
  <c r="G2284" i="2"/>
  <c r="I2283" i="2"/>
  <c r="H2283" i="2"/>
  <c r="G2283" i="2"/>
  <c r="I2282" i="2"/>
  <c r="H2282" i="2"/>
  <c r="G2282" i="2"/>
  <c r="I2281" i="2"/>
  <c r="H2281" i="2"/>
  <c r="G2281" i="2"/>
  <c r="I2280" i="2"/>
  <c r="H2280" i="2"/>
  <c r="G2280" i="2"/>
  <c r="I2279" i="2"/>
  <c r="H2279" i="2"/>
  <c r="G2279" i="2"/>
  <c r="I2278" i="2"/>
  <c r="H2278" i="2"/>
  <c r="G2278" i="2"/>
  <c r="I2277" i="2"/>
  <c r="H2277" i="2"/>
  <c r="G2277" i="2"/>
  <c r="I2276" i="2"/>
  <c r="H2276" i="2"/>
  <c r="G2276" i="2"/>
  <c r="I2275" i="2"/>
  <c r="H2275" i="2"/>
  <c r="G2275" i="2"/>
  <c r="I2274" i="2"/>
  <c r="H2274" i="2"/>
  <c r="G2274" i="2"/>
  <c r="I2273" i="2"/>
  <c r="H2273" i="2"/>
  <c r="G2273" i="2"/>
  <c r="I2272" i="2"/>
  <c r="H2272" i="2"/>
  <c r="G2272" i="2"/>
  <c r="I2271" i="2"/>
  <c r="H2271" i="2"/>
  <c r="G2271" i="2"/>
  <c r="I2270" i="2"/>
  <c r="H2270" i="2"/>
  <c r="G2270" i="2"/>
  <c r="I2269" i="2"/>
  <c r="H2269" i="2"/>
  <c r="G2269" i="2"/>
  <c r="I2268" i="2"/>
  <c r="H2268" i="2"/>
  <c r="G2268" i="2"/>
  <c r="I2267" i="2"/>
  <c r="H2267" i="2"/>
  <c r="G2267" i="2"/>
  <c r="I2266" i="2"/>
  <c r="H2266" i="2"/>
  <c r="G2266" i="2"/>
  <c r="I2265" i="2"/>
  <c r="H2265" i="2"/>
  <c r="G2265" i="2"/>
  <c r="I2264" i="2"/>
  <c r="H2264" i="2"/>
  <c r="G2264" i="2"/>
  <c r="I2263" i="2"/>
  <c r="H2263" i="2"/>
  <c r="G2263" i="2"/>
  <c r="I2262" i="2"/>
  <c r="H2262" i="2"/>
  <c r="G2262" i="2"/>
  <c r="I2261" i="2"/>
  <c r="H2261" i="2"/>
  <c r="G2261" i="2"/>
  <c r="I2260" i="2"/>
  <c r="H2260" i="2"/>
  <c r="G2260" i="2"/>
  <c r="I2259" i="2"/>
  <c r="H2259" i="2"/>
  <c r="G2259" i="2"/>
  <c r="I2258" i="2"/>
  <c r="H2258" i="2"/>
  <c r="G2258" i="2"/>
  <c r="I2257" i="2"/>
  <c r="H2257" i="2"/>
  <c r="G2257" i="2"/>
  <c r="I2256" i="2"/>
  <c r="H2256" i="2"/>
  <c r="G2256" i="2"/>
  <c r="I2255" i="2"/>
  <c r="H2255" i="2"/>
  <c r="G2255" i="2"/>
  <c r="I2254" i="2"/>
  <c r="H2254" i="2"/>
  <c r="G2254" i="2"/>
  <c r="I2253" i="2"/>
  <c r="H2253" i="2"/>
  <c r="G2253" i="2"/>
  <c r="I2252" i="2"/>
  <c r="H2252" i="2"/>
  <c r="G2252" i="2"/>
  <c r="I2251" i="2"/>
  <c r="H2251" i="2"/>
  <c r="G2251" i="2"/>
  <c r="I2250" i="2"/>
  <c r="H2250" i="2"/>
  <c r="G2250" i="2"/>
  <c r="I2249" i="2"/>
  <c r="H2249" i="2"/>
  <c r="G2249" i="2"/>
  <c r="I2248" i="2"/>
  <c r="H2248" i="2"/>
  <c r="G2248" i="2"/>
  <c r="I2247" i="2"/>
  <c r="H2247" i="2"/>
  <c r="G2247" i="2"/>
  <c r="I2246" i="2"/>
  <c r="H2246" i="2"/>
  <c r="G2246" i="2"/>
  <c r="I2245" i="2"/>
  <c r="H2245" i="2"/>
  <c r="G2245" i="2"/>
  <c r="I2244" i="2"/>
  <c r="H2244" i="2"/>
  <c r="G2244" i="2"/>
  <c r="I2243" i="2"/>
  <c r="H2243" i="2"/>
  <c r="G2243" i="2"/>
  <c r="I2242" i="2"/>
  <c r="H2242" i="2"/>
  <c r="G2242" i="2"/>
  <c r="I2241" i="2"/>
  <c r="H2241" i="2"/>
  <c r="G2241" i="2"/>
  <c r="I2240" i="2"/>
  <c r="H2240" i="2"/>
  <c r="G2240" i="2"/>
  <c r="I2239" i="2"/>
  <c r="H2239" i="2"/>
  <c r="G2239" i="2"/>
  <c r="I2238" i="2"/>
  <c r="H2238" i="2"/>
  <c r="G2238" i="2"/>
  <c r="I2237" i="2"/>
  <c r="H2237" i="2"/>
  <c r="G2237" i="2"/>
  <c r="I2236" i="2"/>
  <c r="H2236" i="2"/>
  <c r="G2236" i="2"/>
  <c r="I2235" i="2"/>
  <c r="H2235" i="2"/>
  <c r="G2235" i="2"/>
  <c r="I2234" i="2"/>
  <c r="H2234" i="2"/>
  <c r="G2234" i="2"/>
  <c r="I2233" i="2"/>
  <c r="H2233" i="2"/>
  <c r="G2233" i="2"/>
  <c r="I2232" i="2"/>
  <c r="H2232" i="2"/>
  <c r="G2232" i="2"/>
  <c r="I2231" i="2"/>
  <c r="H2231" i="2"/>
  <c r="G2231" i="2"/>
  <c r="I2230" i="2"/>
  <c r="H2230" i="2"/>
  <c r="G2230" i="2"/>
  <c r="I2229" i="2"/>
  <c r="H2229" i="2"/>
  <c r="G2229" i="2"/>
  <c r="I2228" i="2"/>
  <c r="H2228" i="2"/>
  <c r="G2228" i="2"/>
  <c r="I2227" i="2"/>
  <c r="H2227" i="2"/>
  <c r="G2227" i="2"/>
  <c r="I2226" i="2"/>
  <c r="H2226" i="2"/>
  <c r="G2226" i="2"/>
  <c r="I2225" i="2"/>
  <c r="H2225" i="2"/>
  <c r="G2225" i="2"/>
  <c r="I2224" i="2"/>
  <c r="H2224" i="2"/>
  <c r="G2224" i="2"/>
  <c r="I2223" i="2"/>
  <c r="H2223" i="2"/>
  <c r="G2223" i="2"/>
  <c r="I2222" i="2"/>
  <c r="H2222" i="2"/>
  <c r="G2222" i="2"/>
  <c r="I2221" i="2"/>
  <c r="H2221" i="2"/>
  <c r="G2221" i="2"/>
  <c r="I2220" i="2"/>
  <c r="H2220" i="2"/>
  <c r="G2220" i="2"/>
  <c r="I2219" i="2"/>
  <c r="H2219" i="2"/>
  <c r="G2219" i="2"/>
  <c r="I2218" i="2"/>
  <c r="H2218" i="2"/>
  <c r="G2218" i="2"/>
  <c r="I2217" i="2"/>
  <c r="H2217" i="2"/>
  <c r="G2217" i="2"/>
  <c r="I2216" i="2"/>
  <c r="H2216" i="2"/>
  <c r="G2216" i="2"/>
  <c r="I2215" i="2"/>
  <c r="H2215" i="2"/>
  <c r="G2215" i="2"/>
  <c r="I2214" i="2"/>
  <c r="H2214" i="2"/>
  <c r="G2214" i="2"/>
  <c r="I2213" i="2"/>
  <c r="H2213" i="2"/>
  <c r="G2213" i="2"/>
  <c r="I2212" i="2"/>
  <c r="H2212" i="2"/>
  <c r="G2212" i="2"/>
  <c r="I2211" i="2"/>
  <c r="H2211" i="2"/>
  <c r="G2211" i="2"/>
  <c r="I2210" i="2"/>
  <c r="H2210" i="2"/>
  <c r="G2210" i="2"/>
  <c r="I2209" i="2"/>
  <c r="H2209" i="2"/>
  <c r="G2209" i="2"/>
  <c r="I2208" i="2"/>
  <c r="H2208" i="2"/>
  <c r="G2208" i="2"/>
  <c r="I2207" i="2"/>
  <c r="H2207" i="2"/>
  <c r="G2207" i="2"/>
  <c r="I2206" i="2"/>
  <c r="H2206" i="2"/>
  <c r="G2206" i="2"/>
  <c r="I2205" i="2"/>
  <c r="H2205" i="2"/>
  <c r="G2205" i="2"/>
  <c r="I2204" i="2"/>
  <c r="H2204" i="2"/>
  <c r="G2204" i="2"/>
  <c r="I2203" i="2"/>
  <c r="H2203" i="2"/>
  <c r="G2203" i="2"/>
  <c r="I2202" i="2"/>
  <c r="H2202" i="2"/>
  <c r="G2202" i="2"/>
  <c r="I2201" i="2"/>
  <c r="H2201" i="2"/>
  <c r="G2201" i="2"/>
  <c r="I2200" i="2"/>
  <c r="H2200" i="2"/>
  <c r="G2200" i="2"/>
  <c r="I2199" i="2"/>
  <c r="H2199" i="2"/>
  <c r="G2199" i="2"/>
  <c r="I2198" i="2"/>
  <c r="H2198" i="2"/>
  <c r="G2198" i="2"/>
  <c r="I2197" i="2"/>
  <c r="H2197" i="2"/>
  <c r="G2197" i="2"/>
  <c r="I2196" i="2"/>
  <c r="H2196" i="2"/>
  <c r="G2196" i="2"/>
  <c r="I2195" i="2"/>
  <c r="H2195" i="2"/>
  <c r="G2195" i="2"/>
  <c r="I2194" i="2"/>
  <c r="H2194" i="2"/>
  <c r="G2194" i="2"/>
  <c r="I2193" i="2"/>
  <c r="H2193" i="2"/>
  <c r="G2193" i="2"/>
  <c r="I2192" i="2"/>
  <c r="H2192" i="2"/>
  <c r="G2192" i="2"/>
  <c r="I2191" i="2"/>
  <c r="H2191" i="2"/>
  <c r="G2191" i="2"/>
  <c r="I2190" i="2"/>
  <c r="H2190" i="2"/>
  <c r="G2190" i="2"/>
  <c r="I2189" i="2"/>
  <c r="H2189" i="2"/>
  <c r="G2189" i="2"/>
  <c r="I2188" i="2"/>
  <c r="H2188" i="2"/>
  <c r="G2188" i="2"/>
  <c r="I2187" i="2"/>
  <c r="H2187" i="2"/>
  <c r="G2187" i="2"/>
  <c r="I2186" i="2"/>
  <c r="H2186" i="2"/>
  <c r="G2186" i="2"/>
  <c r="I2185" i="2"/>
  <c r="H2185" i="2"/>
  <c r="G2185" i="2"/>
  <c r="I2184" i="2"/>
  <c r="H2184" i="2"/>
  <c r="G2184" i="2"/>
  <c r="I2183" i="2"/>
  <c r="H2183" i="2"/>
  <c r="G2183" i="2"/>
  <c r="I2182" i="2"/>
  <c r="H2182" i="2"/>
  <c r="G2182" i="2"/>
  <c r="I2181" i="2"/>
  <c r="H2181" i="2"/>
  <c r="G2181" i="2"/>
  <c r="I2180" i="2"/>
  <c r="H2180" i="2"/>
  <c r="G2180" i="2"/>
  <c r="I2179" i="2"/>
  <c r="H2179" i="2"/>
  <c r="G2179" i="2"/>
  <c r="I2178" i="2"/>
  <c r="H2178" i="2"/>
  <c r="G2178" i="2"/>
  <c r="I2177" i="2"/>
  <c r="H2177" i="2"/>
  <c r="G2177" i="2"/>
  <c r="I2176" i="2"/>
  <c r="H2176" i="2"/>
  <c r="G2176" i="2"/>
  <c r="I2175" i="2"/>
  <c r="H2175" i="2"/>
  <c r="G2175" i="2"/>
  <c r="I2174" i="2"/>
  <c r="H2174" i="2"/>
  <c r="G2174" i="2"/>
  <c r="I2173" i="2"/>
  <c r="H2173" i="2"/>
  <c r="G2173" i="2"/>
  <c r="I2172" i="2"/>
  <c r="H2172" i="2"/>
  <c r="G2172" i="2"/>
  <c r="I2171" i="2"/>
  <c r="H2171" i="2"/>
  <c r="G2171" i="2"/>
  <c r="I2170" i="2"/>
  <c r="H2170" i="2"/>
  <c r="G2170" i="2"/>
  <c r="I2169" i="2"/>
  <c r="H2169" i="2"/>
  <c r="G2169" i="2"/>
  <c r="I2168" i="2"/>
  <c r="H2168" i="2"/>
  <c r="G2168" i="2"/>
  <c r="I2167" i="2"/>
  <c r="H2167" i="2"/>
  <c r="G2167" i="2"/>
  <c r="I2166" i="2"/>
  <c r="H2166" i="2"/>
  <c r="G2166" i="2"/>
  <c r="I2165" i="2"/>
  <c r="H2165" i="2"/>
  <c r="G2165" i="2"/>
  <c r="I2164" i="2"/>
  <c r="H2164" i="2"/>
  <c r="G2164" i="2"/>
  <c r="I2163" i="2"/>
  <c r="H2163" i="2"/>
  <c r="G2163" i="2"/>
  <c r="I2162" i="2"/>
  <c r="H2162" i="2"/>
  <c r="G2162" i="2"/>
  <c r="I2161" i="2"/>
  <c r="H2161" i="2"/>
  <c r="G2161" i="2"/>
  <c r="I2160" i="2"/>
  <c r="H2160" i="2"/>
  <c r="G2160" i="2"/>
  <c r="I2159" i="2"/>
  <c r="H2159" i="2"/>
  <c r="G2159" i="2"/>
  <c r="I2158" i="2"/>
  <c r="H2158" i="2"/>
  <c r="G2158" i="2"/>
  <c r="I2157" i="2"/>
  <c r="H2157" i="2"/>
  <c r="G2157" i="2"/>
  <c r="I2156" i="2"/>
  <c r="H2156" i="2"/>
  <c r="G2156" i="2"/>
  <c r="I2155" i="2"/>
  <c r="H2155" i="2"/>
  <c r="G2155" i="2"/>
  <c r="I2154" i="2"/>
  <c r="H2154" i="2"/>
  <c r="G2154" i="2"/>
  <c r="I2153" i="2"/>
  <c r="H2153" i="2"/>
  <c r="G2153" i="2"/>
  <c r="I2152" i="2"/>
  <c r="H2152" i="2"/>
  <c r="G2152" i="2"/>
  <c r="I2151" i="2"/>
  <c r="H2151" i="2"/>
  <c r="G2151" i="2"/>
  <c r="I2150" i="2"/>
  <c r="H2150" i="2"/>
  <c r="G2150" i="2"/>
  <c r="I2149" i="2"/>
  <c r="H2149" i="2"/>
  <c r="G2149" i="2"/>
  <c r="I2148" i="2"/>
  <c r="H2148" i="2"/>
  <c r="G2148" i="2"/>
  <c r="I2147" i="2"/>
  <c r="H2147" i="2"/>
  <c r="G2147" i="2"/>
  <c r="I2146" i="2"/>
  <c r="H2146" i="2"/>
  <c r="G2146" i="2"/>
  <c r="I2145" i="2"/>
  <c r="H2145" i="2"/>
  <c r="G2145" i="2"/>
  <c r="I2144" i="2"/>
  <c r="H2144" i="2"/>
  <c r="G2144" i="2"/>
  <c r="I2143" i="2"/>
  <c r="H2143" i="2"/>
  <c r="G2143" i="2"/>
  <c r="I2142" i="2"/>
  <c r="H2142" i="2"/>
  <c r="G2142" i="2"/>
  <c r="I2141" i="2"/>
  <c r="H2141" i="2"/>
  <c r="G2141" i="2"/>
  <c r="I2140" i="2"/>
  <c r="H2140" i="2"/>
  <c r="G2140" i="2"/>
  <c r="I2139" i="2"/>
  <c r="H2139" i="2"/>
  <c r="G2139" i="2"/>
  <c r="I2138" i="2"/>
  <c r="H2138" i="2"/>
  <c r="G2138" i="2"/>
  <c r="I2137" i="2"/>
  <c r="H2137" i="2"/>
  <c r="G2137" i="2"/>
  <c r="I2136" i="2"/>
  <c r="H2136" i="2"/>
  <c r="G2136" i="2"/>
  <c r="I2135" i="2"/>
  <c r="H2135" i="2"/>
  <c r="G2135" i="2"/>
  <c r="I2134" i="2"/>
  <c r="H2134" i="2"/>
  <c r="G2134" i="2"/>
  <c r="I2133" i="2"/>
  <c r="H2133" i="2"/>
  <c r="G2133" i="2"/>
  <c r="I2132" i="2"/>
  <c r="H2132" i="2"/>
  <c r="G2132" i="2"/>
  <c r="I2131" i="2"/>
  <c r="H2131" i="2"/>
  <c r="G2131" i="2"/>
  <c r="I2130" i="2"/>
  <c r="H2130" i="2"/>
  <c r="G2130" i="2"/>
  <c r="I2129" i="2"/>
  <c r="H2129" i="2"/>
  <c r="G2129" i="2"/>
  <c r="I2128" i="2"/>
  <c r="H2128" i="2"/>
  <c r="G2128" i="2"/>
  <c r="I2127" i="2"/>
  <c r="H2127" i="2"/>
  <c r="G2127" i="2"/>
  <c r="I2126" i="2"/>
  <c r="H2126" i="2"/>
  <c r="G2126" i="2"/>
  <c r="I2125" i="2"/>
  <c r="H2125" i="2"/>
  <c r="G2125" i="2"/>
  <c r="I2124" i="2"/>
  <c r="H2124" i="2"/>
  <c r="G2124" i="2"/>
  <c r="I2123" i="2"/>
  <c r="H2123" i="2"/>
  <c r="G2123" i="2"/>
  <c r="I2122" i="2"/>
  <c r="H2122" i="2"/>
  <c r="G2122" i="2"/>
  <c r="I2121" i="2"/>
  <c r="H2121" i="2"/>
  <c r="G2121" i="2"/>
  <c r="I2120" i="2"/>
  <c r="H2120" i="2"/>
  <c r="G2120" i="2"/>
  <c r="I2119" i="2"/>
  <c r="H2119" i="2"/>
  <c r="G2119" i="2"/>
  <c r="I2118" i="2"/>
  <c r="H2118" i="2"/>
  <c r="G2118" i="2"/>
  <c r="I2117" i="2"/>
  <c r="H2117" i="2"/>
  <c r="G2117" i="2"/>
  <c r="I2116" i="2"/>
  <c r="H2116" i="2"/>
  <c r="G2116" i="2"/>
  <c r="I2115" i="2"/>
  <c r="H2115" i="2"/>
  <c r="G2115" i="2"/>
  <c r="I2114" i="2"/>
  <c r="H2114" i="2"/>
  <c r="G2114" i="2"/>
  <c r="I2113" i="2"/>
  <c r="H2113" i="2"/>
  <c r="G2113" i="2"/>
  <c r="I2112" i="2"/>
  <c r="H2112" i="2"/>
  <c r="G2112" i="2"/>
  <c r="I2111" i="2"/>
  <c r="H2111" i="2"/>
  <c r="G2111" i="2"/>
  <c r="I2110" i="2"/>
  <c r="H2110" i="2"/>
  <c r="G2110" i="2"/>
  <c r="I2109" i="2"/>
  <c r="H2109" i="2"/>
  <c r="G2109" i="2"/>
  <c r="I2108" i="2"/>
  <c r="H2108" i="2"/>
  <c r="G2108" i="2"/>
  <c r="I2107" i="2"/>
  <c r="H2107" i="2"/>
  <c r="G2107" i="2"/>
  <c r="I2106" i="2"/>
  <c r="H2106" i="2"/>
  <c r="G2106" i="2"/>
  <c r="I2105" i="2"/>
  <c r="H2105" i="2"/>
  <c r="G2105" i="2"/>
  <c r="I2104" i="2"/>
  <c r="H2104" i="2"/>
  <c r="G2104" i="2"/>
  <c r="I2103" i="2"/>
  <c r="H2103" i="2"/>
  <c r="G2103" i="2"/>
  <c r="I2102" i="2"/>
  <c r="H2102" i="2"/>
  <c r="G2102" i="2"/>
  <c r="I2101" i="2"/>
  <c r="H2101" i="2"/>
  <c r="G2101" i="2"/>
  <c r="I2100" i="2"/>
  <c r="H2100" i="2"/>
  <c r="G2100" i="2"/>
  <c r="I2099" i="2"/>
  <c r="H2099" i="2"/>
  <c r="G2099" i="2"/>
  <c r="I2098" i="2"/>
  <c r="H2098" i="2"/>
  <c r="G2098" i="2"/>
  <c r="I2097" i="2"/>
  <c r="H2097" i="2"/>
  <c r="G2097" i="2"/>
  <c r="I2096" i="2"/>
  <c r="H2096" i="2"/>
  <c r="G2096" i="2"/>
  <c r="I2095" i="2"/>
  <c r="H2095" i="2"/>
  <c r="G2095" i="2"/>
  <c r="I2094" i="2"/>
  <c r="H2094" i="2"/>
  <c r="G2094" i="2"/>
  <c r="I2093" i="2"/>
  <c r="H2093" i="2"/>
  <c r="G2093" i="2"/>
  <c r="I2092" i="2"/>
  <c r="H2092" i="2"/>
  <c r="G2092" i="2"/>
  <c r="I2091" i="2"/>
  <c r="H2091" i="2"/>
  <c r="G2091" i="2"/>
  <c r="I2090" i="2"/>
  <c r="H2090" i="2"/>
  <c r="G2090" i="2"/>
  <c r="I2089" i="2"/>
  <c r="H2089" i="2"/>
  <c r="G2089" i="2"/>
  <c r="I2088" i="2"/>
  <c r="H2088" i="2"/>
  <c r="G2088" i="2"/>
  <c r="I2087" i="2"/>
  <c r="H2087" i="2"/>
  <c r="G2087" i="2"/>
  <c r="I2086" i="2"/>
  <c r="H2086" i="2"/>
  <c r="G2086" i="2"/>
  <c r="I2085" i="2"/>
  <c r="H2085" i="2"/>
  <c r="G2085" i="2"/>
  <c r="I2084" i="2"/>
  <c r="H2084" i="2"/>
  <c r="G2084" i="2"/>
  <c r="I2083" i="2"/>
  <c r="H2083" i="2"/>
  <c r="G2083" i="2"/>
  <c r="I2082" i="2"/>
  <c r="H2082" i="2"/>
  <c r="G2082" i="2"/>
  <c r="I2081" i="2"/>
  <c r="H2081" i="2"/>
  <c r="G2081" i="2"/>
  <c r="I2080" i="2"/>
  <c r="H2080" i="2"/>
  <c r="G2080" i="2"/>
  <c r="I2079" i="2"/>
  <c r="H2079" i="2"/>
  <c r="G2079" i="2"/>
  <c r="I2078" i="2"/>
  <c r="H2078" i="2"/>
  <c r="G2078" i="2"/>
  <c r="I2077" i="2"/>
  <c r="H2077" i="2"/>
  <c r="G2077" i="2"/>
  <c r="I2076" i="2"/>
  <c r="H2076" i="2"/>
  <c r="G2076" i="2"/>
  <c r="I2075" i="2"/>
  <c r="H2075" i="2"/>
  <c r="G2075" i="2"/>
  <c r="I2074" i="2"/>
  <c r="H2074" i="2"/>
  <c r="G2074" i="2"/>
  <c r="I2073" i="2"/>
  <c r="H2073" i="2"/>
  <c r="G2073" i="2"/>
  <c r="I2072" i="2"/>
  <c r="H2072" i="2"/>
  <c r="G2072" i="2"/>
  <c r="I2071" i="2"/>
  <c r="H2071" i="2"/>
  <c r="G2071" i="2"/>
  <c r="I2070" i="2"/>
  <c r="H2070" i="2"/>
  <c r="G2070" i="2"/>
  <c r="I2069" i="2"/>
  <c r="H2069" i="2"/>
  <c r="G2069" i="2"/>
  <c r="I2068" i="2"/>
  <c r="H2068" i="2"/>
  <c r="G2068" i="2"/>
  <c r="I2067" i="2"/>
  <c r="H2067" i="2"/>
  <c r="G2067" i="2"/>
  <c r="I2066" i="2"/>
  <c r="H2066" i="2"/>
  <c r="G2066" i="2"/>
  <c r="I2065" i="2"/>
  <c r="H2065" i="2"/>
  <c r="G2065" i="2"/>
  <c r="I2064" i="2"/>
  <c r="H2064" i="2"/>
  <c r="G2064" i="2"/>
  <c r="I2063" i="2"/>
  <c r="H2063" i="2"/>
  <c r="G2063" i="2"/>
  <c r="I2062" i="2"/>
  <c r="H2062" i="2"/>
  <c r="G2062" i="2"/>
  <c r="I2061" i="2"/>
  <c r="H2061" i="2"/>
  <c r="G2061" i="2"/>
  <c r="I2060" i="2"/>
  <c r="H2060" i="2"/>
  <c r="G2060" i="2"/>
  <c r="I2059" i="2"/>
  <c r="H2059" i="2"/>
  <c r="G2059" i="2"/>
  <c r="I2058" i="2"/>
  <c r="H2058" i="2"/>
  <c r="G2058" i="2"/>
  <c r="I2057" i="2"/>
  <c r="H2057" i="2"/>
  <c r="G2057" i="2"/>
  <c r="I2056" i="2"/>
  <c r="H2056" i="2"/>
  <c r="G2056" i="2"/>
  <c r="I2055" i="2"/>
  <c r="H2055" i="2"/>
  <c r="G2055" i="2"/>
  <c r="I2054" i="2"/>
  <c r="H2054" i="2"/>
  <c r="G2054" i="2"/>
  <c r="I2053" i="2"/>
  <c r="H2053" i="2"/>
  <c r="G2053" i="2"/>
  <c r="I2052" i="2"/>
  <c r="H2052" i="2"/>
  <c r="G2052" i="2"/>
  <c r="I2051" i="2"/>
  <c r="H2051" i="2"/>
  <c r="G2051" i="2"/>
  <c r="I2050" i="2"/>
  <c r="H2050" i="2"/>
  <c r="G2050" i="2"/>
  <c r="I2049" i="2"/>
  <c r="H2049" i="2"/>
  <c r="G2049" i="2"/>
  <c r="I2048" i="2"/>
  <c r="H2048" i="2"/>
  <c r="G2048" i="2"/>
  <c r="I2047" i="2"/>
  <c r="H2047" i="2"/>
  <c r="G2047" i="2"/>
  <c r="I2046" i="2"/>
  <c r="H2046" i="2"/>
  <c r="G2046" i="2"/>
  <c r="I2045" i="2"/>
  <c r="H2045" i="2"/>
  <c r="G2045" i="2"/>
  <c r="I2044" i="2"/>
  <c r="H2044" i="2"/>
  <c r="G2044" i="2"/>
  <c r="I2043" i="2"/>
  <c r="H2043" i="2"/>
  <c r="G2043" i="2"/>
  <c r="I2042" i="2"/>
  <c r="H2042" i="2"/>
  <c r="G2042" i="2"/>
  <c r="I2041" i="2"/>
  <c r="H2041" i="2"/>
  <c r="G2041" i="2"/>
  <c r="I2040" i="2"/>
  <c r="H2040" i="2"/>
  <c r="G2040" i="2"/>
  <c r="I2039" i="2"/>
  <c r="H2039" i="2"/>
  <c r="G2039" i="2"/>
  <c r="I2038" i="2"/>
  <c r="H2038" i="2"/>
  <c r="G2038" i="2"/>
  <c r="I2037" i="2"/>
  <c r="H2037" i="2"/>
  <c r="G2037" i="2"/>
  <c r="I2036" i="2"/>
  <c r="H2036" i="2"/>
  <c r="G2036" i="2"/>
  <c r="I2035" i="2"/>
  <c r="H2035" i="2"/>
  <c r="G2035" i="2"/>
  <c r="I2034" i="2"/>
  <c r="H2034" i="2"/>
  <c r="G2034" i="2"/>
  <c r="I2033" i="2"/>
  <c r="H2033" i="2"/>
  <c r="G2033" i="2"/>
  <c r="I2032" i="2"/>
  <c r="H2032" i="2"/>
  <c r="G2032" i="2"/>
  <c r="I2031" i="2"/>
  <c r="H2031" i="2"/>
  <c r="G2031" i="2"/>
  <c r="I2030" i="2"/>
  <c r="H2030" i="2"/>
  <c r="G2030" i="2"/>
  <c r="I2029" i="2"/>
  <c r="H2029" i="2"/>
  <c r="G2029" i="2"/>
  <c r="I2028" i="2"/>
  <c r="H2028" i="2"/>
  <c r="G2028" i="2"/>
  <c r="I2027" i="2"/>
  <c r="H2027" i="2"/>
  <c r="G2027" i="2"/>
  <c r="I2026" i="2"/>
  <c r="H2026" i="2"/>
  <c r="G2026" i="2"/>
  <c r="I2025" i="2"/>
  <c r="H2025" i="2"/>
  <c r="G2025" i="2"/>
  <c r="I2024" i="2"/>
  <c r="H2024" i="2"/>
  <c r="G2024" i="2"/>
  <c r="I2023" i="2"/>
  <c r="H2023" i="2"/>
  <c r="G2023" i="2"/>
  <c r="I2022" i="2"/>
  <c r="H2022" i="2"/>
  <c r="G2022" i="2"/>
  <c r="I2021" i="2"/>
  <c r="H2021" i="2"/>
  <c r="G2021" i="2"/>
  <c r="I2020" i="2"/>
  <c r="H2020" i="2"/>
  <c r="G2020" i="2"/>
  <c r="I2019" i="2"/>
  <c r="H2019" i="2"/>
  <c r="G2019" i="2"/>
  <c r="I2018" i="2"/>
  <c r="H2018" i="2"/>
  <c r="G2018" i="2"/>
  <c r="I2017" i="2"/>
  <c r="H2017" i="2"/>
  <c r="G2017" i="2"/>
  <c r="I2016" i="2"/>
  <c r="H2016" i="2"/>
  <c r="G2016" i="2"/>
  <c r="I2015" i="2"/>
  <c r="H2015" i="2"/>
  <c r="G2015" i="2"/>
  <c r="I2014" i="2"/>
  <c r="H2014" i="2"/>
  <c r="G2014" i="2"/>
  <c r="I2013" i="2"/>
  <c r="H2013" i="2"/>
  <c r="G2013" i="2"/>
  <c r="I2012" i="2"/>
  <c r="H2012" i="2"/>
  <c r="G2012" i="2"/>
  <c r="I2011" i="2"/>
  <c r="H2011" i="2"/>
  <c r="G2011" i="2"/>
  <c r="I2010" i="2"/>
  <c r="H2010" i="2"/>
  <c r="G2010" i="2"/>
  <c r="I2009" i="2"/>
  <c r="H2009" i="2"/>
  <c r="G2009" i="2"/>
  <c r="I2008" i="2"/>
  <c r="H2008" i="2"/>
  <c r="G2008" i="2"/>
  <c r="I2007" i="2"/>
  <c r="H2007" i="2"/>
  <c r="G2007" i="2"/>
  <c r="I2006" i="2"/>
  <c r="H2006" i="2"/>
  <c r="G2006" i="2"/>
  <c r="I2005" i="2"/>
  <c r="H2005" i="2"/>
  <c r="G2005" i="2"/>
  <c r="I2004" i="2"/>
  <c r="H2004" i="2"/>
  <c r="G2004" i="2"/>
  <c r="I2003" i="2"/>
  <c r="H2003" i="2"/>
  <c r="G2003" i="2"/>
  <c r="I2002" i="2"/>
  <c r="H2002" i="2"/>
  <c r="G2002" i="2"/>
  <c r="I2001" i="2"/>
  <c r="H2001" i="2"/>
  <c r="G2001" i="2"/>
  <c r="I2000" i="2"/>
  <c r="H2000" i="2"/>
  <c r="G2000" i="2"/>
  <c r="I1999" i="2"/>
  <c r="H1999" i="2"/>
  <c r="G1999" i="2"/>
  <c r="I1998" i="2"/>
  <c r="H1998" i="2"/>
  <c r="G1998" i="2"/>
  <c r="I1997" i="2"/>
  <c r="H1997" i="2"/>
  <c r="G1997" i="2"/>
  <c r="I1996" i="2"/>
  <c r="H1996" i="2"/>
  <c r="G1996" i="2"/>
  <c r="I1995" i="2"/>
  <c r="H1995" i="2"/>
  <c r="G1995" i="2"/>
  <c r="I1994" i="2"/>
  <c r="H1994" i="2"/>
  <c r="G1994" i="2"/>
  <c r="I1993" i="2"/>
  <c r="H1993" i="2"/>
  <c r="G1993" i="2"/>
  <c r="I1992" i="2"/>
  <c r="H1992" i="2"/>
  <c r="G1992" i="2"/>
  <c r="I1991" i="2"/>
  <c r="H1991" i="2"/>
  <c r="G1991" i="2"/>
  <c r="I1990" i="2"/>
  <c r="H1990" i="2"/>
  <c r="G1990" i="2"/>
  <c r="I1989" i="2"/>
  <c r="H1989" i="2"/>
  <c r="G1989" i="2"/>
  <c r="I1988" i="2"/>
  <c r="H1988" i="2"/>
  <c r="G1988" i="2"/>
  <c r="I1987" i="2"/>
  <c r="H1987" i="2"/>
  <c r="G1987" i="2"/>
  <c r="I1986" i="2"/>
  <c r="H1986" i="2"/>
  <c r="G1986" i="2"/>
  <c r="I1985" i="2"/>
  <c r="H1985" i="2"/>
  <c r="G1985" i="2"/>
  <c r="I1984" i="2"/>
  <c r="H1984" i="2"/>
  <c r="G1984" i="2"/>
  <c r="I1983" i="2"/>
  <c r="H1983" i="2"/>
  <c r="G1983" i="2"/>
  <c r="I1982" i="2"/>
  <c r="H1982" i="2"/>
  <c r="G1982" i="2"/>
  <c r="I1981" i="2"/>
  <c r="H1981" i="2"/>
  <c r="G1981" i="2"/>
  <c r="I1980" i="2"/>
  <c r="H1980" i="2"/>
  <c r="G1980" i="2"/>
  <c r="I1979" i="2"/>
  <c r="H1979" i="2"/>
  <c r="G1979" i="2"/>
  <c r="I1978" i="2"/>
  <c r="H1978" i="2"/>
  <c r="G1978" i="2"/>
  <c r="I1977" i="2"/>
  <c r="H1977" i="2"/>
  <c r="G1977" i="2"/>
  <c r="I1976" i="2"/>
  <c r="H1976" i="2"/>
  <c r="G1976" i="2"/>
  <c r="I1975" i="2"/>
  <c r="H1975" i="2"/>
  <c r="G1975" i="2"/>
  <c r="I1974" i="2"/>
  <c r="H1974" i="2"/>
  <c r="G1974" i="2"/>
  <c r="I1973" i="2"/>
  <c r="H1973" i="2"/>
  <c r="G1973" i="2"/>
  <c r="I1972" i="2"/>
  <c r="H1972" i="2"/>
  <c r="G1972" i="2"/>
  <c r="I1971" i="2"/>
  <c r="H1971" i="2"/>
  <c r="G1971" i="2"/>
  <c r="I1970" i="2"/>
  <c r="H1970" i="2"/>
  <c r="G1970" i="2"/>
  <c r="I1969" i="2"/>
  <c r="H1969" i="2"/>
  <c r="G1969" i="2"/>
  <c r="I1968" i="2"/>
  <c r="H1968" i="2"/>
  <c r="G1968" i="2"/>
  <c r="I1967" i="2"/>
  <c r="H1967" i="2"/>
  <c r="G1967" i="2"/>
  <c r="I1966" i="2"/>
  <c r="H1966" i="2"/>
  <c r="G1966" i="2"/>
  <c r="I1965" i="2"/>
  <c r="H1965" i="2"/>
  <c r="G1965" i="2"/>
  <c r="I1964" i="2"/>
  <c r="H1964" i="2"/>
  <c r="G1964" i="2"/>
  <c r="I1963" i="2"/>
  <c r="H1963" i="2"/>
  <c r="G1963" i="2"/>
  <c r="I1962" i="2"/>
  <c r="H1962" i="2"/>
  <c r="G1962" i="2"/>
  <c r="I1961" i="2"/>
  <c r="H1961" i="2"/>
  <c r="G1961" i="2"/>
  <c r="I1960" i="2"/>
  <c r="H1960" i="2"/>
  <c r="G1960" i="2"/>
  <c r="I1959" i="2"/>
  <c r="H1959" i="2"/>
  <c r="G1959" i="2"/>
  <c r="I1958" i="2"/>
  <c r="H1958" i="2"/>
  <c r="G1958" i="2"/>
  <c r="I1957" i="2"/>
  <c r="H1957" i="2"/>
  <c r="G1957" i="2"/>
  <c r="I1956" i="2"/>
  <c r="H1956" i="2"/>
  <c r="G1956" i="2"/>
  <c r="I1955" i="2"/>
  <c r="H1955" i="2"/>
  <c r="G1955" i="2"/>
  <c r="I1954" i="2"/>
  <c r="H1954" i="2"/>
  <c r="G1954" i="2"/>
  <c r="I1953" i="2"/>
  <c r="H1953" i="2"/>
  <c r="G1953" i="2"/>
  <c r="I1952" i="2"/>
  <c r="H1952" i="2"/>
  <c r="G1952" i="2"/>
  <c r="I1951" i="2"/>
  <c r="H1951" i="2"/>
  <c r="G1951" i="2"/>
  <c r="I1950" i="2"/>
  <c r="H1950" i="2"/>
  <c r="G1950" i="2"/>
  <c r="I1949" i="2"/>
  <c r="H1949" i="2"/>
  <c r="G1949" i="2"/>
  <c r="I1948" i="2"/>
  <c r="H1948" i="2"/>
  <c r="G1948" i="2"/>
  <c r="I1947" i="2"/>
  <c r="H1947" i="2"/>
  <c r="G1947" i="2"/>
  <c r="I1946" i="2"/>
  <c r="H1946" i="2"/>
  <c r="G1946" i="2"/>
  <c r="I1945" i="2"/>
  <c r="H1945" i="2"/>
  <c r="G1945" i="2"/>
  <c r="I1944" i="2"/>
  <c r="H1944" i="2"/>
  <c r="G1944" i="2"/>
  <c r="I1943" i="2"/>
  <c r="H1943" i="2"/>
  <c r="G1943" i="2"/>
  <c r="I1942" i="2"/>
  <c r="H1942" i="2"/>
  <c r="G1942" i="2"/>
  <c r="I1941" i="2"/>
  <c r="H1941" i="2"/>
  <c r="G1941" i="2"/>
  <c r="I1940" i="2"/>
  <c r="H1940" i="2"/>
  <c r="G1940" i="2"/>
  <c r="I1939" i="2"/>
  <c r="H1939" i="2"/>
  <c r="G1939" i="2"/>
  <c r="I1938" i="2"/>
  <c r="H1938" i="2"/>
  <c r="G1938" i="2"/>
  <c r="I1937" i="2"/>
  <c r="H1937" i="2"/>
  <c r="G1937" i="2"/>
  <c r="I1936" i="2"/>
  <c r="H1936" i="2"/>
  <c r="G1936" i="2"/>
  <c r="I1935" i="2"/>
  <c r="H1935" i="2"/>
  <c r="G1935" i="2"/>
  <c r="I1934" i="2"/>
  <c r="H1934" i="2"/>
  <c r="G1934" i="2"/>
  <c r="I1933" i="2"/>
  <c r="H1933" i="2"/>
  <c r="G1933" i="2"/>
  <c r="I1932" i="2"/>
  <c r="H1932" i="2"/>
  <c r="G1932" i="2"/>
  <c r="I1931" i="2"/>
  <c r="H1931" i="2"/>
  <c r="G1931" i="2"/>
  <c r="I1930" i="2"/>
  <c r="H1930" i="2"/>
  <c r="G1930" i="2"/>
  <c r="I1929" i="2"/>
  <c r="H1929" i="2"/>
  <c r="G1929" i="2"/>
  <c r="I1928" i="2"/>
  <c r="H1928" i="2"/>
  <c r="G1928" i="2"/>
  <c r="I1927" i="2"/>
  <c r="H1927" i="2"/>
  <c r="G1927" i="2"/>
  <c r="I1926" i="2"/>
  <c r="H1926" i="2"/>
  <c r="G1926" i="2"/>
  <c r="I1925" i="2"/>
  <c r="H1925" i="2"/>
  <c r="G1925" i="2"/>
  <c r="I1924" i="2"/>
  <c r="H1924" i="2"/>
  <c r="G1924" i="2"/>
  <c r="I1923" i="2"/>
  <c r="H1923" i="2"/>
  <c r="G1923" i="2"/>
  <c r="I1922" i="2"/>
  <c r="H1922" i="2"/>
  <c r="G1922" i="2"/>
  <c r="I1921" i="2"/>
  <c r="H1921" i="2"/>
  <c r="G1921" i="2"/>
  <c r="I1920" i="2"/>
  <c r="H1920" i="2"/>
  <c r="G1920" i="2"/>
  <c r="I1919" i="2"/>
  <c r="H1919" i="2"/>
  <c r="G1919" i="2"/>
  <c r="I1918" i="2"/>
  <c r="H1918" i="2"/>
  <c r="G1918" i="2"/>
  <c r="I1917" i="2"/>
  <c r="H1917" i="2"/>
  <c r="G1917" i="2"/>
  <c r="I1916" i="2"/>
  <c r="H1916" i="2"/>
  <c r="G1916" i="2"/>
  <c r="I1915" i="2"/>
  <c r="H1915" i="2"/>
  <c r="G1915" i="2"/>
  <c r="I1914" i="2"/>
  <c r="H1914" i="2"/>
  <c r="G1914" i="2"/>
  <c r="I1913" i="2"/>
  <c r="H1913" i="2"/>
  <c r="G1913" i="2"/>
  <c r="I1912" i="2"/>
  <c r="H1912" i="2"/>
  <c r="G1912" i="2"/>
  <c r="I1911" i="2"/>
  <c r="H1911" i="2"/>
  <c r="G1911" i="2"/>
  <c r="I1910" i="2"/>
  <c r="H1910" i="2"/>
  <c r="G1910" i="2"/>
  <c r="I1909" i="2"/>
  <c r="H1909" i="2"/>
  <c r="G1909" i="2"/>
  <c r="I1908" i="2"/>
  <c r="H1908" i="2"/>
  <c r="G1908" i="2"/>
  <c r="I1907" i="2"/>
  <c r="H1907" i="2"/>
  <c r="G1907" i="2"/>
  <c r="I1906" i="2"/>
  <c r="H1906" i="2"/>
  <c r="G1906" i="2"/>
  <c r="I1905" i="2"/>
  <c r="H1905" i="2"/>
  <c r="G1905" i="2"/>
  <c r="I1904" i="2"/>
  <c r="H1904" i="2"/>
  <c r="G1904" i="2"/>
  <c r="I1903" i="2"/>
  <c r="H1903" i="2"/>
  <c r="G1903" i="2"/>
  <c r="I1902" i="2"/>
  <c r="H1902" i="2"/>
  <c r="G1902" i="2"/>
  <c r="I1901" i="2"/>
  <c r="H1901" i="2"/>
  <c r="G1901" i="2"/>
  <c r="I1900" i="2"/>
  <c r="H1900" i="2"/>
  <c r="G1900" i="2"/>
  <c r="I1899" i="2"/>
  <c r="H1899" i="2"/>
  <c r="G1899" i="2"/>
  <c r="I1898" i="2"/>
  <c r="H1898" i="2"/>
  <c r="G1898" i="2"/>
  <c r="I1897" i="2"/>
  <c r="H1897" i="2"/>
  <c r="G1897" i="2"/>
  <c r="I1896" i="2"/>
  <c r="H1896" i="2"/>
  <c r="G1896" i="2"/>
  <c r="I1895" i="2"/>
  <c r="H1895" i="2"/>
  <c r="G1895" i="2"/>
  <c r="I1894" i="2"/>
  <c r="H1894" i="2"/>
  <c r="G1894" i="2"/>
  <c r="I1893" i="2"/>
  <c r="H1893" i="2"/>
  <c r="G1893" i="2"/>
  <c r="I1892" i="2"/>
  <c r="H1892" i="2"/>
  <c r="G1892" i="2"/>
  <c r="I1891" i="2"/>
  <c r="H1891" i="2"/>
  <c r="G1891" i="2"/>
  <c r="I1890" i="2"/>
  <c r="H1890" i="2"/>
  <c r="G1890" i="2"/>
  <c r="I1889" i="2"/>
  <c r="H1889" i="2"/>
  <c r="G1889" i="2"/>
  <c r="I1888" i="2"/>
  <c r="H1888" i="2"/>
  <c r="G1888" i="2"/>
  <c r="I1887" i="2"/>
  <c r="H1887" i="2"/>
  <c r="G1887" i="2"/>
  <c r="I1886" i="2"/>
  <c r="H1886" i="2"/>
  <c r="G1886" i="2"/>
  <c r="I1885" i="2"/>
  <c r="H1885" i="2"/>
  <c r="G1885" i="2"/>
  <c r="I1884" i="2"/>
  <c r="H1884" i="2"/>
  <c r="G1884" i="2"/>
  <c r="I1883" i="2"/>
  <c r="H1883" i="2"/>
  <c r="G1883" i="2"/>
  <c r="I1882" i="2"/>
  <c r="H1882" i="2"/>
  <c r="G1882" i="2"/>
  <c r="I1881" i="2"/>
  <c r="H1881" i="2"/>
  <c r="G1881" i="2"/>
  <c r="I1880" i="2"/>
  <c r="H1880" i="2"/>
  <c r="G1880" i="2"/>
  <c r="I1879" i="2"/>
  <c r="H1879" i="2"/>
  <c r="G1879" i="2"/>
  <c r="I1878" i="2"/>
  <c r="H1878" i="2"/>
  <c r="G1878" i="2"/>
  <c r="I1877" i="2"/>
  <c r="H1877" i="2"/>
  <c r="G1877" i="2"/>
  <c r="I1876" i="2"/>
  <c r="H1876" i="2"/>
  <c r="G1876" i="2"/>
  <c r="I1875" i="2"/>
  <c r="H1875" i="2"/>
  <c r="G1875" i="2"/>
  <c r="I1874" i="2"/>
  <c r="H1874" i="2"/>
  <c r="G1874" i="2"/>
  <c r="I1873" i="2"/>
  <c r="H1873" i="2"/>
  <c r="G1873" i="2"/>
  <c r="I1872" i="2"/>
  <c r="H1872" i="2"/>
  <c r="G1872" i="2"/>
  <c r="I1871" i="2"/>
  <c r="H1871" i="2"/>
  <c r="G1871" i="2"/>
  <c r="I1870" i="2"/>
  <c r="H1870" i="2"/>
  <c r="G1870" i="2"/>
  <c r="I1869" i="2"/>
  <c r="H1869" i="2"/>
  <c r="G1869" i="2"/>
  <c r="I1868" i="2"/>
  <c r="H1868" i="2"/>
  <c r="G1868" i="2"/>
  <c r="I1867" i="2"/>
  <c r="H1867" i="2"/>
  <c r="G1867" i="2"/>
  <c r="I1866" i="2"/>
  <c r="H1866" i="2"/>
  <c r="G1866" i="2"/>
  <c r="I1865" i="2"/>
  <c r="H1865" i="2"/>
  <c r="G1865" i="2"/>
  <c r="I1864" i="2"/>
  <c r="H1864" i="2"/>
  <c r="G1864" i="2"/>
  <c r="I1863" i="2"/>
  <c r="H1863" i="2"/>
  <c r="G1863" i="2"/>
  <c r="I1862" i="2"/>
  <c r="H1862" i="2"/>
  <c r="G1862" i="2"/>
  <c r="I1861" i="2"/>
  <c r="H1861" i="2"/>
  <c r="G1861" i="2"/>
  <c r="I1860" i="2"/>
  <c r="H1860" i="2"/>
  <c r="G1860" i="2"/>
  <c r="I1859" i="2"/>
  <c r="H1859" i="2"/>
  <c r="G1859" i="2"/>
  <c r="I1858" i="2"/>
  <c r="H1858" i="2"/>
  <c r="G1858" i="2"/>
  <c r="I1857" i="2"/>
  <c r="H1857" i="2"/>
  <c r="G1857" i="2"/>
  <c r="I1856" i="2"/>
  <c r="H1856" i="2"/>
  <c r="G1856" i="2"/>
  <c r="I1855" i="2"/>
  <c r="H1855" i="2"/>
  <c r="G1855" i="2"/>
  <c r="I1854" i="2"/>
  <c r="H1854" i="2"/>
  <c r="G1854" i="2"/>
  <c r="I1853" i="2"/>
  <c r="H1853" i="2"/>
  <c r="G1853" i="2"/>
  <c r="I1852" i="2"/>
  <c r="H1852" i="2"/>
  <c r="G1852" i="2"/>
  <c r="I1851" i="2"/>
  <c r="H1851" i="2"/>
  <c r="G1851" i="2"/>
  <c r="I1850" i="2"/>
  <c r="H1850" i="2"/>
  <c r="G1850" i="2"/>
  <c r="I1849" i="2"/>
  <c r="H1849" i="2"/>
  <c r="G1849" i="2"/>
  <c r="I1848" i="2"/>
  <c r="H1848" i="2"/>
  <c r="G1848" i="2"/>
  <c r="I1847" i="2"/>
  <c r="H1847" i="2"/>
  <c r="G1847" i="2"/>
  <c r="I1846" i="2"/>
  <c r="H1846" i="2"/>
  <c r="G1846" i="2"/>
  <c r="I1845" i="2"/>
  <c r="H1845" i="2"/>
  <c r="G1845" i="2"/>
  <c r="I1844" i="2"/>
  <c r="H1844" i="2"/>
  <c r="G1844" i="2"/>
  <c r="I1843" i="2"/>
  <c r="H1843" i="2"/>
  <c r="G1843" i="2"/>
  <c r="I1842" i="2"/>
  <c r="H1842" i="2"/>
  <c r="G1842" i="2"/>
  <c r="I1841" i="2"/>
  <c r="H1841" i="2"/>
  <c r="G1841" i="2"/>
  <c r="I1840" i="2"/>
  <c r="H1840" i="2"/>
  <c r="G1840" i="2"/>
  <c r="I1839" i="2"/>
  <c r="H1839" i="2"/>
  <c r="G1839" i="2"/>
  <c r="I1838" i="2"/>
  <c r="H1838" i="2"/>
  <c r="G1838" i="2"/>
  <c r="I1837" i="2"/>
  <c r="H1837" i="2"/>
  <c r="G1837" i="2"/>
  <c r="I1836" i="2"/>
  <c r="H1836" i="2"/>
  <c r="G1836" i="2"/>
  <c r="I1835" i="2"/>
  <c r="H1835" i="2"/>
  <c r="G1835" i="2"/>
  <c r="I1834" i="2"/>
  <c r="H1834" i="2"/>
  <c r="G1834" i="2"/>
  <c r="I1833" i="2"/>
  <c r="H1833" i="2"/>
  <c r="G1833" i="2"/>
  <c r="I1832" i="2"/>
  <c r="H1832" i="2"/>
  <c r="G1832" i="2"/>
  <c r="I1831" i="2"/>
  <c r="H1831" i="2"/>
  <c r="G1831" i="2"/>
  <c r="I1830" i="2"/>
  <c r="H1830" i="2"/>
  <c r="G1830" i="2"/>
  <c r="I1829" i="2"/>
  <c r="H1829" i="2"/>
  <c r="G1829" i="2"/>
  <c r="I1828" i="2"/>
  <c r="H1828" i="2"/>
  <c r="G1828" i="2"/>
  <c r="I1827" i="2"/>
  <c r="H1827" i="2"/>
  <c r="G1827" i="2"/>
  <c r="I1826" i="2"/>
  <c r="H1826" i="2"/>
  <c r="G1826" i="2"/>
  <c r="I1825" i="2"/>
  <c r="H1825" i="2"/>
  <c r="G1825" i="2"/>
  <c r="I1824" i="2"/>
  <c r="H1824" i="2"/>
  <c r="G1824" i="2"/>
  <c r="I1823" i="2"/>
  <c r="H1823" i="2"/>
  <c r="G1823" i="2"/>
  <c r="I1822" i="2"/>
  <c r="H1822" i="2"/>
  <c r="G1822" i="2"/>
  <c r="I1821" i="2"/>
  <c r="H1821" i="2"/>
  <c r="G1821" i="2"/>
  <c r="I1820" i="2"/>
  <c r="H1820" i="2"/>
  <c r="G1820" i="2"/>
  <c r="I1819" i="2"/>
  <c r="H1819" i="2"/>
  <c r="G1819" i="2"/>
  <c r="I1818" i="2"/>
  <c r="H1818" i="2"/>
  <c r="G1818" i="2"/>
  <c r="I1817" i="2"/>
  <c r="H1817" i="2"/>
  <c r="G1817" i="2"/>
  <c r="I1816" i="2"/>
  <c r="H1816" i="2"/>
  <c r="G1816" i="2"/>
  <c r="I1815" i="2"/>
  <c r="H1815" i="2"/>
  <c r="G1815" i="2"/>
  <c r="I1814" i="2"/>
  <c r="H1814" i="2"/>
  <c r="G1814" i="2"/>
  <c r="I1813" i="2"/>
  <c r="H1813" i="2"/>
  <c r="G1813" i="2"/>
  <c r="I1812" i="2"/>
  <c r="H1812" i="2"/>
  <c r="G1812" i="2"/>
  <c r="I1811" i="2"/>
  <c r="H1811" i="2"/>
  <c r="G1811" i="2"/>
  <c r="I1810" i="2"/>
  <c r="H1810" i="2"/>
  <c r="G1810" i="2"/>
  <c r="I1809" i="2"/>
  <c r="H1809" i="2"/>
  <c r="G1809" i="2"/>
  <c r="I1808" i="2"/>
  <c r="H1808" i="2"/>
  <c r="G1808" i="2"/>
  <c r="I1807" i="2"/>
  <c r="H1807" i="2"/>
  <c r="G1807" i="2"/>
  <c r="I1806" i="2"/>
  <c r="H1806" i="2"/>
  <c r="G1806" i="2"/>
  <c r="I1805" i="2"/>
  <c r="H1805" i="2"/>
  <c r="G1805" i="2"/>
  <c r="I1804" i="2"/>
  <c r="H1804" i="2"/>
  <c r="G1804" i="2"/>
  <c r="I1803" i="2"/>
  <c r="H1803" i="2"/>
  <c r="G1803" i="2"/>
  <c r="I1802" i="2"/>
  <c r="H1802" i="2"/>
  <c r="G1802" i="2"/>
  <c r="I1801" i="2"/>
  <c r="H1801" i="2"/>
  <c r="G1801" i="2"/>
  <c r="I1800" i="2"/>
  <c r="H1800" i="2"/>
  <c r="G1800" i="2"/>
  <c r="I1799" i="2"/>
  <c r="H1799" i="2"/>
  <c r="G1799" i="2"/>
  <c r="I1798" i="2"/>
  <c r="H1798" i="2"/>
  <c r="G1798" i="2"/>
  <c r="I1797" i="2"/>
  <c r="H1797" i="2"/>
  <c r="G1797" i="2"/>
  <c r="I1796" i="2"/>
  <c r="H1796" i="2"/>
  <c r="G1796" i="2"/>
  <c r="I1795" i="2"/>
  <c r="H1795" i="2"/>
  <c r="G1795" i="2"/>
  <c r="I1794" i="2"/>
  <c r="H1794" i="2"/>
  <c r="G1794" i="2"/>
  <c r="I1793" i="2"/>
  <c r="H1793" i="2"/>
  <c r="G1793" i="2"/>
  <c r="I1792" i="2"/>
  <c r="H1792" i="2"/>
  <c r="G1792" i="2"/>
  <c r="I1791" i="2"/>
  <c r="H1791" i="2"/>
  <c r="G1791" i="2"/>
  <c r="I1790" i="2"/>
  <c r="H1790" i="2"/>
  <c r="G1790" i="2"/>
  <c r="I1789" i="2"/>
  <c r="H1789" i="2"/>
  <c r="G1789" i="2"/>
  <c r="I1788" i="2"/>
  <c r="H1788" i="2"/>
  <c r="G1788" i="2"/>
  <c r="I1787" i="2"/>
  <c r="H1787" i="2"/>
  <c r="G1787" i="2"/>
  <c r="I1786" i="2"/>
  <c r="H1786" i="2"/>
  <c r="G1786" i="2"/>
  <c r="I1785" i="2"/>
  <c r="H1785" i="2"/>
  <c r="G1785" i="2"/>
  <c r="I1784" i="2"/>
  <c r="H1784" i="2"/>
  <c r="G1784" i="2"/>
  <c r="I1783" i="2"/>
  <c r="H1783" i="2"/>
  <c r="G1783" i="2"/>
  <c r="I1782" i="2"/>
  <c r="H1782" i="2"/>
  <c r="G1782" i="2"/>
  <c r="I1781" i="2"/>
  <c r="H1781" i="2"/>
  <c r="G1781" i="2"/>
  <c r="I1780" i="2"/>
  <c r="H1780" i="2"/>
  <c r="G1780" i="2"/>
  <c r="I1779" i="2"/>
  <c r="H1779" i="2"/>
  <c r="G1779" i="2"/>
  <c r="I1778" i="2"/>
  <c r="H1778" i="2"/>
  <c r="G1778" i="2"/>
  <c r="I1777" i="2"/>
  <c r="H1777" i="2"/>
  <c r="G1777" i="2"/>
  <c r="I1776" i="2"/>
  <c r="H1776" i="2"/>
  <c r="G1776" i="2"/>
  <c r="I1775" i="2"/>
  <c r="H1775" i="2"/>
  <c r="G1775" i="2"/>
  <c r="I1774" i="2"/>
  <c r="H1774" i="2"/>
  <c r="G1774" i="2"/>
  <c r="I1773" i="2"/>
  <c r="H1773" i="2"/>
  <c r="G1773" i="2"/>
  <c r="I1772" i="2"/>
  <c r="H1772" i="2"/>
  <c r="G1772" i="2"/>
  <c r="I1771" i="2"/>
  <c r="H1771" i="2"/>
  <c r="G1771" i="2"/>
  <c r="I1770" i="2"/>
  <c r="H1770" i="2"/>
  <c r="G1770" i="2"/>
  <c r="I1769" i="2"/>
  <c r="H1769" i="2"/>
  <c r="G1769" i="2"/>
  <c r="I1768" i="2"/>
  <c r="H1768" i="2"/>
  <c r="G1768" i="2"/>
  <c r="I1767" i="2"/>
  <c r="H1767" i="2"/>
  <c r="G1767" i="2"/>
  <c r="I1766" i="2"/>
  <c r="H1766" i="2"/>
  <c r="G1766" i="2"/>
  <c r="I1765" i="2"/>
  <c r="H1765" i="2"/>
  <c r="G1765" i="2"/>
  <c r="I1764" i="2"/>
  <c r="H1764" i="2"/>
  <c r="G1764" i="2"/>
  <c r="I1763" i="2"/>
  <c r="H1763" i="2"/>
  <c r="G1763" i="2"/>
  <c r="I1762" i="2"/>
  <c r="H1762" i="2"/>
  <c r="G1762" i="2"/>
  <c r="I1761" i="2"/>
  <c r="H1761" i="2"/>
  <c r="G1761" i="2"/>
  <c r="I1760" i="2"/>
  <c r="H1760" i="2"/>
  <c r="G1760" i="2"/>
  <c r="I1759" i="2"/>
  <c r="H1759" i="2"/>
  <c r="G1759" i="2"/>
  <c r="I1758" i="2"/>
  <c r="H1758" i="2"/>
  <c r="G1758" i="2"/>
  <c r="I1757" i="2"/>
  <c r="H1757" i="2"/>
  <c r="G1757" i="2"/>
  <c r="I1756" i="2"/>
  <c r="H1756" i="2"/>
  <c r="G1756" i="2"/>
  <c r="I1755" i="2"/>
  <c r="H1755" i="2"/>
  <c r="G1755" i="2"/>
  <c r="I1754" i="2"/>
  <c r="H1754" i="2"/>
  <c r="G1754" i="2"/>
  <c r="I1753" i="2"/>
  <c r="H1753" i="2"/>
  <c r="G1753" i="2"/>
  <c r="I1752" i="2"/>
  <c r="H1752" i="2"/>
  <c r="G1752" i="2"/>
  <c r="I1751" i="2"/>
  <c r="H1751" i="2"/>
  <c r="G1751" i="2"/>
  <c r="I1750" i="2"/>
  <c r="H1750" i="2"/>
  <c r="G1750" i="2"/>
  <c r="I1749" i="2"/>
  <c r="H1749" i="2"/>
  <c r="G1749" i="2"/>
  <c r="I1748" i="2"/>
  <c r="H1748" i="2"/>
  <c r="G1748" i="2"/>
  <c r="I1747" i="2"/>
  <c r="H1747" i="2"/>
  <c r="G1747" i="2"/>
  <c r="I1746" i="2"/>
  <c r="H1746" i="2"/>
  <c r="G1746" i="2"/>
  <c r="I1745" i="2"/>
  <c r="H1745" i="2"/>
  <c r="G1745" i="2"/>
  <c r="I1744" i="2"/>
  <c r="H1744" i="2"/>
  <c r="G1744" i="2"/>
  <c r="I1743" i="2"/>
  <c r="H1743" i="2"/>
  <c r="G1743" i="2"/>
  <c r="I1742" i="2"/>
  <c r="H1742" i="2"/>
  <c r="G1742" i="2"/>
  <c r="I1741" i="2"/>
  <c r="H1741" i="2"/>
  <c r="G1741" i="2"/>
  <c r="I1740" i="2"/>
  <c r="H1740" i="2"/>
  <c r="G1740" i="2"/>
  <c r="I1739" i="2"/>
  <c r="H1739" i="2"/>
  <c r="G1739" i="2"/>
  <c r="I1738" i="2"/>
  <c r="H1738" i="2"/>
  <c r="G1738" i="2"/>
  <c r="I1737" i="2"/>
  <c r="H1737" i="2"/>
  <c r="G1737" i="2"/>
  <c r="I1736" i="2"/>
  <c r="H1736" i="2"/>
  <c r="G1736" i="2"/>
  <c r="I1735" i="2"/>
  <c r="H1735" i="2"/>
  <c r="G1735" i="2"/>
  <c r="I1734" i="2"/>
  <c r="H1734" i="2"/>
  <c r="G1734" i="2"/>
  <c r="I1733" i="2"/>
  <c r="H1733" i="2"/>
  <c r="G1733" i="2"/>
  <c r="I1732" i="2"/>
  <c r="H1732" i="2"/>
  <c r="G1732" i="2"/>
  <c r="I1731" i="2"/>
  <c r="H1731" i="2"/>
  <c r="G1731" i="2"/>
  <c r="I1730" i="2"/>
  <c r="H1730" i="2"/>
  <c r="G1730" i="2"/>
  <c r="I1729" i="2"/>
  <c r="H1729" i="2"/>
  <c r="G1729" i="2"/>
  <c r="I1728" i="2"/>
  <c r="H1728" i="2"/>
  <c r="G1728" i="2"/>
  <c r="I1727" i="2"/>
  <c r="H1727" i="2"/>
  <c r="G1727" i="2"/>
  <c r="I1726" i="2"/>
  <c r="H1726" i="2"/>
  <c r="G1726" i="2"/>
  <c r="I1725" i="2"/>
  <c r="H1725" i="2"/>
  <c r="G1725" i="2"/>
  <c r="I1724" i="2"/>
  <c r="H1724" i="2"/>
  <c r="G1724" i="2"/>
  <c r="I1723" i="2"/>
  <c r="H1723" i="2"/>
  <c r="G1723" i="2"/>
  <c r="I1722" i="2"/>
  <c r="H1722" i="2"/>
  <c r="G1722" i="2"/>
  <c r="I1721" i="2"/>
  <c r="H1721" i="2"/>
  <c r="G1721" i="2"/>
  <c r="I1720" i="2"/>
  <c r="H1720" i="2"/>
  <c r="G1720" i="2"/>
  <c r="I1719" i="2"/>
  <c r="H1719" i="2"/>
  <c r="G1719" i="2"/>
  <c r="I1718" i="2"/>
  <c r="H1718" i="2"/>
  <c r="G1718" i="2"/>
  <c r="I1717" i="2"/>
  <c r="H1717" i="2"/>
  <c r="G1717" i="2"/>
  <c r="I1716" i="2"/>
  <c r="H1716" i="2"/>
  <c r="G1716" i="2"/>
  <c r="I1715" i="2"/>
  <c r="H1715" i="2"/>
  <c r="G1715" i="2"/>
  <c r="I1714" i="2"/>
  <c r="H1714" i="2"/>
  <c r="G1714" i="2"/>
  <c r="I1713" i="2"/>
  <c r="H1713" i="2"/>
  <c r="G1713" i="2"/>
  <c r="I1712" i="2"/>
  <c r="H1712" i="2"/>
  <c r="G1712" i="2"/>
  <c r="I1711" i="2"/>
  <c r="H1711" i="2"/>
  <c r="G1711" i="2"/>
  <c r="I1710" i="2"/>
  <c r="H1710" i="2"/>
  <c r="G1710" i="2"/>
  <c r="I1709" i="2"/>
  <c r="H1709" i="2"/>
  <c r="G1709" i="2"/>
  <c r="I1708" i="2"/>
  <c r="H1708" i="2"/>
  <c r="G1708" i="2"/>
  <c r="I1707" i="2"/>
  <c r="H1707" i="2"/>
  <c r="G1707" i="2"/>
  <c r="I1706" i="2"/>
  <c r="H1706" i="2"/>
  <c r="G1706" i="2"/>
  <c r="I1705" i="2"/>
  <c r="H1705" i="2"/>
  <c r="G1705" i="2"/>
  <c r="I1704" i="2"/>
  <c r="H1704" i="2"/>
  <c r="G1704" i="2"/>
  <c r="I1703" i="2"/>
  <c r="H1703" i="2"/>
  <c r="G1703" i="2"/>
  <c r="I1702" i="2"/>
  <c r="H1702" i="2"/>
  <c r="G1702" i="2"/>
  <c r="I1701" i="2"/>
  <c r="H1701" i="2"/>
  <c r="G1701" i="2"/>
  <c r="I1700" i="2"/>
  <c r="H1700" i="2"/>
  <c r="G1700" i="2"/>
  <c r="I1699" i="2"/>
  <c r="H1699" i="2"/>
  <c r="G1699" i="2"/>
  <c r="I1698" i="2"/>
  <c r="H1698" i="2"/>
  <c r="G1698" i="2"/>
  <c r="I1697" i="2"/>
  <c r="H1697" i="2"/>
  <c r="G1697" i="2"/>
  <c r="I1696" i="2"/>
  <c r="H1696" i="2"/>
  <c r="G1696" i="2"/>
  <c r="I1695" i="2"/>
  <c r="H1695" i="2"/>
  <c r="G1695" i="2"/>
  <c r="I1694" i="2"/>
  <c r="H1694" i="2"/>
  <c r="G1694" i="2"/>
  <c r="I1693" i="2"/>
  <c r="H1693" i="2"/>
  <c r="G1693" i="2"/>
  <c r="I1692" i="2"/>
  <c r="H1692" i="2"/>
  <c r="G1692" i="2"/>
  <c r="I1691" i="2"/>
  <c r="H1691" i="2"/>
  <c r="G1691" i="2"/>
  <c r="I1690" i="2"/>
  <c r="H1690" i="2"/>
  <c r="G1690" i="2"/>
  <c r="I1689" i="2"/>
  <c r="H1689" i="2"/>
  <c r="G1689" i="2"/>
  <c r="I1688" i="2"/>
  <c r="H1688" i="2"/>
  <c r="G1688" i="2"/>
  <c r="I1687" i="2"/>
  <c r="H1687" i="2"/>
  <c r="G1687" i="2"/>
  <c r="I1686" i="2"/>
  <c r="H1686" i="2"/>
  <c r="G1686" i="2"/>
  <c r="I1685" i="2"/>
  <c r="H1685" i="2"/>
  <c r="G1685" i="2"/>
  <c r="I1684" i="2"/>
  <c r="H1684" i="2"/>
  <c r="G1684" i="2"/>
  <c r="I1683" i="2"/>
  <c r="H1683" i="2"/>
  <c r="G1683" i="2"/>
  <c r="I1682" i="2"/>
  <c r="H1682" i="2"/>
  <c r="G1682" i="2"/>
  <c r="I1681" i="2"/>
  <c r="H1681" i="2"/>
  <c r="G1681" i="2"/>
  <c r="I1680" i="2"/>
  <c r="H1680" i="2"/>
  <c r="G1680" i="2"/>
  <c r="I1679" i="2"/>
  <c r="H1679" i="2"/>
  <c r="G1679" i="2"/>
  <c r="I1678" i="2"/>
  <c r="H1678" i="2"/>
  <c r="G1678" i="2"/>
  <c r="I1677" i="2"/>
  <c r="H1677" i="2"/>
  <c r="G1677" i="2"/>
  <c r="I1676" i="2"/>
  <c r="H1676" i="2"/>
  <c r="G1676" i="2"/>
  <c r="I1675" i="2"/>
  <c r="H1675" i="2"/>
  <c r="G1675" i="2"/>
  <c r="I1674" i="2"/>
  <c r="H1674" i="2"/>
  <c r="G1674" i="2"/>
  <c r="I1673" i="2"/>
  <c r="H1673" i="2"/>
  <c r="G1673" i="2"/>
  <c r="I1672" i="2"/>
  <c r="H1672" i="2"/>
  <c r="G1672" i="2"/>
  <c r="I1671" i="2"/>
  <c r="H1671" i="2"/>
  <c r="G1671" i="2"/>
  <c r="I1670" i="2"/>
  <c r="H1670" i="2"/>
  <c r="G1670" i="2"/>
  <c r="I1669" i="2"/>
  <c r="H1669" i="2"/>
  <c r="G1669" i="2"/>
  <c r="I1668" i="2"/>
  <c r="H1668" i="2"/>
  <c r="G1668" i="2"/>
  <c r="I1667" i="2"/>
  <c r="H1667" i="2"/>
  <c r="G1667" i="2"/>
  <c r="I1666" i="2"/>
  <c r="H1666" i="2"/>
  <c r="G1666" i="2"/>
  <c r="I1665" i="2"/>
  <c r="H1665" i="2"/>
  <c r="G1665" i="2"/>
  <c r="I1664" i="2"/>
  <c r="H1664" i="2"/>
  <c r="G1664" i="2"/>
  <c r="I1663" i="2"/>
  <c r="H1663" i="2"/>
  <c r="G1663" i="2"/>
  <c r="I1662" i="2"/>
  <c r="H1662" i="2"/>
  <c r="G1662" i="2"/>
  <c r="I1661" i="2"/>
  <c r="H1661" i="2"/>
  <c r="G1661" i="2"/>
  <c r="I1660" i="2"/>
  <c r="H1660" i="2"/>
  <c r="G1660" i="2"/>
  <c r="I1659" i="2"/>
  <c r="H1659" i="2"/>
  <c r="G1659" i="2"/>
  <c r="I1658" i="2"/>
  <c r="H1658" i="2"/>
  <c r="G1658" i="2"/>
  <c r="I1657" i="2"/>
  <c r="H1657" i="2"/>
  <c r="G1657" i="2"/>
  <c r="I1656" i="2"/>
  <c r="H1656" i="2"/>
  <c r="G1656" i="2"/>
  <c r="I1655" i="2"/>
  <c r="H1655" i="2"/>
  <c r="G1655" i="2"/>
  <c r="I1654" i="2"/>
  <c r="H1654" i="2"/>
  <c r="G1654" i="2"/>
  <c r="I1653" i="2"/>
  <c r="H1653" i="2"/>
  <c r="G1653" i="2"/>
  <c r="I1652" i="2"/>
  <c r="H1652" i="2"/>
  <c r="G1652" i="2"/>
  <c r="I1651" i="2"/>
  <c r="H1651" i="2"/>
  <c r="G1651" i="2"/>
  <c r="I1650" i="2"/>
  <c r="H1650" i="2"/>
  <c r="G1650" i="2"/>
  <c r="I1649" i="2"/>
  <c r="H1649" i="2"/>
  <c r="G1649" i="2"/>
  <c r="I1648" i="2"/>
  <c r="H1648" i="2"/>
  <c r="G1648" i="2"/>
  <c r="I1647" i="2"/>
  <c r="H1647" i="2"/>
  <c r="G1647" i="2"/>
  <c r="I1646" i="2"/>
  <c r="H1646" i="2"/>
  <c r="G1646" i="2"/>
  <c r="I1645" i="2"/>
  <c r="H1645" i="2"/>
  <c r="G1645" i="2"/>
  <c r="I1644" i="2"/>
  <c r="H1644" i="2"/>
  <c r="G1644" i="2"/>
  <c r="I1643" i="2"/>
  <c r="H1643" i="2"/>
  <c r="G1643" i="2"/>
  <c r="I1642" i="2"/>
  <c r="H1642" i="2"/>
  <c r="G1642" i="2"/>
  <c r="I1641" i="2"/>
  <c r="H1641" i="2"/>
  <c r="G1641" i="2"/>
  <c r="I1640" i="2"/>
  <c r="H1640" i="2"/>
  <c r="G1640" i="2"/>
  <c r="I1639" i="2"/>
  <c r="H1639" i="2"/>
  <c r="G1639" i="2"/>
  <c r="I1638" i="2"/>
  <c r="H1638" i="2"/>
  <c r="G1638" i="2"/>
  <c r="I1637" i="2"/>
  <c r="H1637" i="2"/>
  <c r="G1637" i="2"/>
  <c r="I1636" i="2"/>
  <c r="H1636" i="2"/>
  <c r="G1636" i="2"/>
  <c r="I1635" i="2"/>
  <c r="H1635" i="2"/>
  <c r="G1635" i="2"/>
  <c r="I1634" i="2"/>
  <c r="H1634" i="2"/>
  <c r="G1634" i="2"/>
  <c r="I1633" i="2"/>
  <c r="H1633" i="2"/>
  <c r="G1633" i="2"/>
  <c r="I1632" i="2"/>
  <c r="H1632" i="2"/>
  <c r="G1632" i="2"/>
  <c r="I1631" i="2"/>
  <c r="H1631" i="2"/>
  <c r="G1631" i="2"/>
  <c r="I1630" i="2"/>
  <c r="H1630" i="2"/>
  <c r="G1630" i="2"/>
  <c r="I1629" i="2"/>
  <c r="H1629" i="2"/>
  <c r="G1629" i="2"/>
  <c r="I1628" i="2"/>
  <c r="H1628" i="2"/>
  <c r="G1628" i="2"/>
  <c r="I1627" i="2"/>
  <c r="H1627" i="2"/>
  <c r="G1627" i="2"/>
  <c r="I1626" i="2"/>
  <c r="H1626" i="2"/>
  <c r="G1626" i="2"/>
  <c r="I1625" i="2"/>
  <c r="H1625" i="2"/>
  <c r="G1625" i="2"/>
  <c r="I1624" i="2"/>
  <c r="H1624" i="2"/>
  <c r="G1624" i="2"/>
  <c r="I1623" i="2"/>
  <c r="H1623" i="2"/>
  <c r="G1623" i="2"/>
  <c r="I1622" i="2"/>
  <c r="H1622" i="2"/>
  <c r="G1622" i="2"/>
  <c r="I1621" i="2"/>
  <c r="H1621" i="2"/>
  <c r="G1621" i="2"/>
  <c r="I1620" i="2"/>
  <c r="H1620" i="2"/>
  <c r="G1620" i="2"/>
  <c r="I1619" i="2"/>
  <c r="H1619" i="2"/>
  <c r="G1619" i="2"/>
  <c r="I1618" i="2"/>
  <c r="H1618" i="2"/>
  <c r="G1618" i="2"/>
  <c r="I1617" i="2"/>
  <c r="H1617" i="2"/>
  <c r="G1617" i="2"/>
  <c r="I1616" i="2"/>
  <c r="H1616" i="2"/>
  <c r="G1616" i="2"/>
  <c r="I1615" i="2"/>
  <c r="H1615" i="2"/>
  <c r="G1615" i="2"/>
  <c r="I1614" i="2"/>
  <c r="H1614" i="2"/>
  <c r="G1614" i="2"/>
  <c r="I1613" i="2"/>
  <c r="H1613" i="2"/>
  <c r="G1613" i="2"/>
  <c r="I1612" i="2"/>
  <c r="H1612" i="2"/>
  <c r="G1612" i="2"/>
  <c r="I1611" i="2"/>
  <c r="H1611" i="2"/>
  <c r="G1611" i="2"/>
  <c r="I1610" i="2"/>
  <c r="H1610" i="2"/>
  <c r="G1610" i="2"/>
  <c r="I1609" i="2"/>
  <c r="H1609" i="2"/>
  <c r="G1609" i="2"/>
  <c r="I1608" i="2"/>
  <c r="H1608" i="2"/>
  <c r="G1608" i="2"/>
  <c r="I1607" i="2"/>
  <c r="H1607" i="2"/>
  <c r="G1607" i="2"/>
  <c r="I1606" i="2"/>
  <c r="H1606" i="2"/>
  <c r="G1606" i="2"/>
  <c r="I1605" i="2"/>
  <c r="H1605" i="2"/>
  <c r="G1605" i="2"/>
  <c r="I1604" i="2"/>
  <c r="H1604" i="2"/>
  <c r="G1604" i="2"/>
  <c r="I1603" i="2"/>
  <c r="H1603" i="2"/>
  <c r="G1603" i="2"/>
  <c r="I1602" i="2"/>
  <c r="H1602" i="2"/>
  <c r="G1602" i="2"/>
  <c r="I1601" i="2"/>
  <c r="H1601" i="2"/>
  <c r="G1601" i="2"/>
  <c r="I1600" i="2"/>
  <c r="H1600" i="2"/>
  <c r="G1600" i="2"/>
  <c r="I1599" i="2"/>
  <c r="H1599" i="2"/>
  <c r="G1599" i="2"/>
  <c r="I1598" i="2"/>
  <c r="H1598" i="2"/>
  <c r="G1598" i="2"/>
  <c r="I1597" i="2"/>
  <c r="H1597" i="2"/>
  <c r="G1597" i="2"/>
  <c r="I1596" i="2"/>
  <c r="H1596" i="2"/>
  <c r="G1596" i="2"/>
  <c r="I1595" i="2"/>
  <c r="H1595" i="2"/>
  <c r="G1595" i="2"/>
  <c r="I1594" i="2"/>
  <c r="H1594" i="2"/>
  <c r="G1594" i="2"/>
  <c r="I1593" i="2"/>
  <c r="H1593" i="2"/>
  <c r="G1593" i="2"/>
  <c r="I1592" i="2"/>
  <c r="H1592" i="2"/>
  <c r="G1592" i="2"/>
  <c r="I1591" i="2"/>
  <c r="H1591" i="2"/>
  <c r="G1591" i="2"/>
  <c r="I1590" i="2"/>
  <c r="H1590" i="2"/>
  <c r="G1590" i="2"/>
  <c r="I1589" i="2"/>
  <c r="H1589" i="2"/>
  <c r="G1589" i="2"/>
  <c r="I1588" i="2"/>
  <c r="H1588" i="2"/>
  <c r="G1588" i="2"/>
  <c r="I1587" i="2"/>
  <c r="H1587" i="2"/>
  <c r="G1587" i="2"/>
  <c r="I1586" i="2"/>
  <c r="H1586" i="2"/>
  <c r="G1586" i="2"/>
  <c r="I1585" i="2"/>
  <c r="H1585" i="2"/>
  <c r="G1585" i="2"/>
  <c r="I1584" i="2"/>
  <c r="H1584" i="2"/>
  <c r="G1584" i="2"/>
  <c r="I1583" i="2"/>
  <c r="H1583" i="2"/>
  <c r="G1583" i="2"/>
  <c r="I1582" i="2"/>
  <c r="H1582" i="2"/>
  <c r="G1582" i="2"/>
  <c r="I1581" i="2"/>
  <c r="H1581" i="2"/>
  <c r="G1581" i="2"/>
  <c r="I1580" i="2"/>
  <c r="H1580" i="2"/>
  <c r="G1580" i="2"/>
  <c r="I1579" i="2"/>
  <c r="H1579" i="2"/>
  <c r="G1579" i="2"/>
  <c r="I1578" i="2"/>
  <c r="H1578" i="2"/>
  <c r="G1578" i="2"/>
  <c r="I1577" i="2"/>
  <c r="H1577" i="2"/>
  <c r="G1577" i="2"/>
  <c r="I1576" i="2"/>
  <c r="H1576" i="2"/>
  <c r="G1576" i="2"/>
  <c r="I1575" i="2"/>
  <c r="H1575" i="2"/>
  <c r="G1575" i="2"/>
  <c r="I1574" i="2"/>
  <c r="H1574" i="2"/>
  <c r="G1574" i="2"/>
  <c r="I1573" i="2"/>
  <c r="H1573" i="2"/>
  <c r="G1573" i="2"/>
  <c r="I1572" i="2"/>
  <c r="H1572" i="2"/>
  <c r="G1572" i="2"/>
  <c r="I1571" i="2"/>
  <c r="H1571" i="2"/>
  <c r="G1571" i="2"/>
  <c r="I1570" i="2"/>
  <c r="H1570" i="2"/>
  <c r="G1570" i="2"/>
  <c r="I1569" i="2"/>
  <c r="H1569" i="2"/>
  <c r="G1569" i="2"/>
  <c r="I1568" i="2"/>
  <c r="H1568" i="2"/>
  <c r="G1568" i="2"/>
  <c r="I1567" i="2"/>
  <c r="H1567" i="2"/>
  <c r="G1567" i="2"/>
  <c r="I1566" i="2"/>
  <c r="H1566" i="2"/>
  <c r="G1566" i="2"/>
  <c r="I1565" i="2"/>
  <c r="H1565" i="2"/>
  <c r="G1565" i="2"/>
  <c r="I1564" i="2"/>
  <c r="H1564" i="2"/>
  <c r="G1564" i="2"/>
  <c r="I1563" i="2"/>
  <c r="H1563" i="2"/>
  <c r="G1563" i="2"/>
  <c r="I1562" i="2"/>
  <c r="H1562" i="2"/>
  <c r="G1562" i="2"/>
  <c r="I1561" i="2"/>
  <c r="H1561" i="2"/>
  <c r="G1561" i="2"/>
  <c r="I1560" i="2"/>
  <c r="H1560" i="2"/>
  <c r="G1560" i="2"/>
  <c r="I1559" i="2"/>
  <c r="H1559" i="2"/>
  <c r="G1559" i="2"/>
  <c r="I1558" i="2"/>
  <c r="H1558" i="2"/>
  <c r="G1558" i="2"/>
  <c r="I1557" i="2"/>
  <c r="H1557" i="2"/>
  <c r="G1557" i="2"/>
  <c r="I1556" i="2"/>
  <c r="H1556" i="2"/>
  <c r="G1556" i="2"/>
  <c r="I1555" i="2"/>
  <c r="H1555" i="2"/>
  <c r="G1555" i="2"/>
  <c r="I1554" i="2"/>
  <c r="H1554" i="2"/>
  <c r="G1554" i="2"/>
  <c r="I1553" i="2"/>
  <c r="H1553" i="2"/>
  <c r="G1553" i="2"/>
  <c r="I1552" i="2"/>
  <c r="H1552" i="2"/>
  <c r="G1552" i="2"/>
  <c r="I1551" i="2"/>
  <c r="H1551" i="2"/>
  <c r="G1551" i="2"/>
  <c r="I1550" i="2"/>
  <c r="H1550" i="2"/>
  <c r="G1550" i="2"/>
  <c r="I1549" i="2"/>
  <c r="H1549" i="2"/>
  <c r="G1549" i="2"/>
  <c r="I1548" i="2"/>
  <c r="H1548" i="2"/>
  <c r="G1548" i="2"/>
  <c r="I1547" i="2"/>
  <c r="H1547" i="2"/>
  <c r="G1547" i="2"/>
  <c r="I1546" i="2"/>
  <c r="H1546" i="2"/>
  <c r="G1546" i="2"/>
  <c r="I1545" i="2"/>
  <c r="H1545" i="2"/>
  <c r="G1545" i="2"/>
  <c r="I1544" i="2"/>
  <c r="H1544" i="2"/>
  <c r="G1544" i="2"/>
  <c r="I1543" i="2"/>
  <c r="H1543" i="2"/>
  <c r="G1543" i="2"/>
  <c r="I1542" i="2"/>
  <c r="H1542" i="2"/>
  <c r="G1542" i="2"/>
  <c r="I1541" i="2"/>
  <c r="H1541" i="2"/>
  <c r="G1541" i="2"/>
  <c r="I1540" i="2"/>
  <c r="H1540" i="2"/>
  <c r="G1540" i="2"/>
  <c r="I1539" i="2"/>
  <c r="H1539" i="2"/>
  <c r="G1539" i="2"/>
  <c r="I1538" i="2"/>
  <c r="H1538" i="2"/>
  <c r="G1538" i="2"/>
  <c r="I1537" i="2"/>
  <c r="H1537" i="2"/>
  <c r="G1537" i="2"/>
  <c r="I1536" i="2"/>
  <c r="H1536" i="2"/>
  <c r="G1536" i="2"/>
  <c r="I1535" i="2"/>
  <c r="H1535" i="2"/>
  <c r="G1535" i="2"/>
  <c r="I1534" i="2"/>
  <c r="H1534" i="2"/>
  <c r="G1534" i="2"/>
  <c r="I1533" i="2"/>
  <c r="H1533" i="2"/>
  <c r="G1533" i="2"/>
  <c r="I1532" i="2"/>
  <c r="H1532" i="2"/>
  <c r="G1532" i="2"/>
  <c r="I1531" i="2"/>
  <c r="H1531" i="2"/>
  <c r="G1531" i="2"/>
  <c r="I1530" i="2"/>
  <c r="H1530" i="2"/>
  <c r="G1530" i="2"/>
  <c r="I1529" i="2"/>
  <c r="H1529" i="2"/>
  <c r="G1529" i="2"/>
  <c r="I1528" i="2"/>
  <c r="H1528" i="2"/>
  <c r="G1528" i="2"/>
  <c r="I1527" i="2"/>
  <c r="H1527" i="2"/>
  <c r="G1527" i="2"/>
  <c r="I1526" i="2"/>
  <c r="H1526" i="2"/>
  <c r="G1526" i="2"/>
  <c r="I1525" i="2"/>
  <c r="H1525" i="2"/>
  <c r="G1525" i="2"/>
  <c r="I1524" i="2"/>
  <c r="H1524" i="2"/>
  <c r="G1524" i="2"/>
  <c r="I1523" i="2"/>
  <c r="H1523" i="2"/>
  <c r="G1523" i="2"/>
  <c r="I1522" i="2"/>
  <c r="H1522" i="2"/>
  <c r="G1522" i="2"/>
  <c r="I1521" i="2"/>
  <c r="H1521" i="2"/>
  <c r="G1521" i="2"/>
  <c r="I1520" i="2"/>
  <c r="H1520" i="2"/>
  <c r="G1520" i="2"/>
  <c r="I1519" i="2"/>
  <c r="H1519" i="2"/>
  <c r="G1519" i="2"/>
  <c r="I1518" i="2"/>
  <c r="H1518" i="2"/>
  <c r="G1518" i="2"/>
  <c r="I1517" i="2"/>
  <c r="H1517" i="2"/>
  <c r="G1517" i="2"/>
  <c r="I1516" i="2"/>
  <c r="H1516" i="2"/>
  <c r="G1516" i="2"/>
  <c r="I1515" i="2"/>
  <c r="H1515" i="2"/>
  <c r="G1515" i="2"/>
  <c r="I1514" i="2"/>
  <c r="H1514" i="2"/>
  <c r="G1514" i="2"/>
  <c r="I1513" i="2"/>
  <c r="H1513" i="2"/>
  <c r="G1513" i="2"/>
  <c r="I1512" i="2"/>
  <c r="H1512" i="2"/>
  <c r="G1512" i="2"/>
  <c r="I1511" i="2"/>
  <c r="H1511" i="2"/>
  <c r="G1511" i="2"/>
  <c r="I1510" i="2"/>
  <c r="H1510" i="2"/>
  <c r="G1510" i="2"/>
  <c r="I1509" i="2"/>
  <c r="H1509" i="2"/>
  <c r="G1509" i="2"/>
  <c r="I1508" i="2"/>
  <c r="H1508" i="2"/>
  <c r="G1508" i="2"/>
  <c r="I1507" i="2"/>
  <c r="H1507" i="2"/>
  <c r="G1507" i="2"/>
  <c r="I1506" i="2"/>
  <c r="H1506" i="2"/>
  <c r="G1506" i="2"/>
  <c r="I1505" i="2"/>
  <c r="H1505" i="2"/>
  <c r="G1505" i="2"/>
  <c r="I1504" i="2"/>
  <c r="H1504" i="2"/>
  <c r="G1504" i="2"/>
  <c r="I1503" i="2"/>
  <c r="H1503" i="2"/>
  <c r="G1503" i="2"/>
  <c r="I1502" i="2"/>
  <c r="H1502" i="2"/>
  <c r="G1502" i="2"/>
  <c r="I1501" i="2"/>
  <c r="H1501" i="2"/>
  <c r="G1501" i="2"/>
  <c r="I1500" i="2"/>
  <c r="H1500" i="2"/>
  <c r="G1500" i="2"/>
  <c r="I1499" i="2"/>
  <c r="H1499" i="2"/>
  <c r="G1499" i="2"/>
  <c r="I1498" i="2"/>
  <c r="H1498" i="2"/>
  <c r="G1498" i="2"/>
  <c r="I1497" i="2"/>
  <c r="H1497" i="2"/>
  <c r="G1497" i="2"/>
  <c r="I1496" i="2"/>
  <c r="H1496" i="2"/>
  <c r="G1496" i="2"/>
  <c r="I1495" i="2"/>
  <c r="H1495" i="2"/>
  <c r="G1495" i="2"/>
  <c r="I1494" i="2"/>
  <c r="H1494" i="2"/>
  <c r="G1494" i="2"/>
  <c r="I1493" i="2"/>
  <c r="H1493" i="2"/>
  <c r="G1493" i="2"/>
  <c r="I1492" i="2"/>
  <c r="H1492" i="2"/>
  <c r="G1492" i="2"/>
  <c r="I1491" i="2"/>
  <c r="H1491" i="2"/>
  <c r="G1491" i="2"/>
  <c r="I1490" i="2"/>
  <c r="H1490" i="2"/>
  <c r="G1490" i="2"/>
  <c r="I1489" i="2"/>
  <c r="H1489" i="2"/>
  <c r="G1489" i="2"/>
  <c r="I1488" i="2"/>
  <c r="H1488" i="2"/>
  <c r="G1488" i="2"/>
  <c r="I1487" i="2"/>
  <c r="H1487" i="2"/>
  <c r="G1487" i="2"/>
  <c r="I1486" i="2"/>
  <c r="H1486" i="2"/>
  <c r="G1486" i="2"/>
  <c r="I1485" i="2"/>
  <c r="H1485" i="2"/>
  <c r="G1485" i="2"/>
  <c r="I1484" i="2"/>
  <c r="H1484" i="2"/>
  <c r="G1484" i="2"/>
  <c r="I1483" i="2"/>
  <c r="H1483" i="2"/>
  <c r="G1483" i="2"/>
  <c r="I1482" i="2"/>
  <c r="H1482" i="2"/>
  <c r="G1482" i="2"/>
  <c r="I1481" i="2"/>
  <c r="H1481" i="2"/>
  <c r="G1481" i="2"/>
  <c r="I1480" i="2"/>
  <c r="H1480" i="2"/>
  <c r="G1480" i="2"/>
  <c r="I1479" i="2"/>
  <c r="H1479" i="2"/>
  <c r="G1479" i="2"/>
  <c r="I1478" i="2"/>
  <c r="H1478" i="2"/>
  <c r="G1478" i="2"/>
  <c r="I1477" i="2"/>
  <c r="H1477" i="2"/>
  <c r="G1477" i="2"/>
  <c r="I1476" i="2"/>
  <c r="H1476" i="2"/>
  <c r="G1476" i="2"/>
  <c r="I1475" i="2"/>
  <c r="H1475" i="2"/>
  <c r="G1475" i="2"/>
  <c r="I1474" i="2"/>
  <c r="H1474" i="2"/>
  <c r="G1474" i="2"/>
  <c r="I1473" i="2"/>
  <c r="H1473" i="2"/>
  <c r="G1473" i="2"/>
  <c r="I1472" i="2"/>
  <c r="H1472" i="2"/>
  <c r="G1472" i="2"/>
  <c r="I1471" i="2"/>
  <c r="H1471" i="2"/>
  <c r="G1471" i="2"/>
  <c r="I1470" i="2"/>
  <c r="H1470" i="2"/>
  <c r="G1470" i="2"/>
  <c r="I1469" i="2"/>
  <c r="H1469" i="2"/>
  <c r="G1469" i="2"/>
  <c r="I1468" i="2"/>
  <c r="H1468" i="2"/>
  <c r="G1468" i="2"/>
  <c r="I1467" i="2"/>
  <c r="H1467" i="2"/>
  <c r="G1467" i="2"/>
  <c r="I1466" i="2"/>
  <c r="H1466" i="2"/>
  <c r="G1466" i="2"/>
  <c r="I1465" i="2"/>
  <c r="H1465" i="2"/>
  <c r="G1465" i="2"/>
  <c r="I1464" i="2"/>
  <c r="H1464" i="2"/>
  <c r="G1464" i="2"/>
  <c r="I1463" i="2"/>
  <c r="H1463" i="2"/>
  <c r="G1463" i="2"/>
  <c r="I1462" i="2"/>
  <c r="H1462" i="2"/>
  <c r="G1462" i="2"/>
  <c r="I1461" i="2"/>
  <c r="H1461" i="2"/>
  <c r="G1461" i="2"/>
  <c r="I1460" i="2"/>
  <c r="H1460" i="2"/>
  <c r="G1460" i="2"/>
  <c r="I1459" i="2"/>
  <c r="H1459" i="2"/>
  <c r="G1459" i="2"/>
  <c r="I1458" i="2"/>
  <c r="H1458" i="2"/>
  <c r="G1458" i="2"/>
  <c r="I1457" i="2"/>
  <c r="H1457" i="2"/>
  <c r="G1457" i="2"/>
  <c r="I1456" i="2"/>
  <c r="H1456" i="2"/>
  <c r="G1456" i="2"/>
  <c r="I1455" i="2"/>
  <c r="H1455" i="2"/>
  <c r="G1455" i="2"/>
  <c r="I1454" i="2"/>
  <c r="H1454" i="2"/>
  <c r="G1454" i="2"/>
  <c r="I1453" i="2"/>
  <c r="H1453" i="2"/>
  <c r="G1453" i="2"/>
  <c r="I1452" i="2"/>
  <c r="H1452" i="2"/>
  <c r="G1452" i="2"/>
  <c r="I1451" i="2"/>
  <c r="H1451" i="2"/>
  <c r="G1451" i="2"/>
  <c r="I1450" i="2"/>
  <c r="H1450" i="2"/>
  <c r="G1450" i="2"/>
  <c r="I1449" i="2"/>
  <c r="H1449" i="2"/>
  <c r="G1449" i="2"/>
  <c r="I1448" i="2"/>
  <c r="H1448" i="2"/>
  <c r="G1448" i="2"/>
  <c r="I1447" i="2"/>
  <c r="H1447" i="2"/>
  <c r="G1447" i="2"/>
  <c r="I1446" i="2"/>
  <c r="H1446" i="2"/>
  <c r="G1446" i="2"/>
  <c r="I1445" i="2"/>
  <c r="H1445" i="2"/>
  <c r="G1445" i="2"/>
  <c r="I1444" i="2"/>
  <c r="H1444" i="2"/>
  <c r="G1444" i="2"/>
  <c r="I1443" i="2"/>
  <c r="H1443" i="2"/>
  <c r="G1443" i="2"/>
  <c r="I1442" i="2"/>
  <c r="H1442" i="2"/>
  <c r="G1442" i="2"/>
  <c r="I1441" i="2"/>
  <c r="H1441" i="2"/>
  <c r="G1441" i="2"/>
  <c r="I1440" i="2"/>
  <c r="H1440" i="2"/>
  <c r="G1440" i="2"/>
  <c r="I1439" i="2"/>
  <c r="H1439" i="2"/>
  <c r="G1439" i="2"/>
  <c r="I1438" i="2"/>
  <c r="H1438" i="2"/>
  <c r="G1438" i="2"/>
  <c r="I1437" i="2"/>
  <c r="H1437" i="2"/>
  <c r="G1437" i="2"/>
  <c r="I1436" i="2"/>
  <c r="H1436" i="2"/>
  <c r="G1436" i="2"/>
  <c r="I1435" i="2"/>
  <c r="H1435" i="2"/>
  <c r="G1435" i="2"/>
  <c r="I1434" i="2"/>
  <c r="H1434" i="2"/>
  <c r="G1434" i="2"/>
  <c r="I1433" i="2"/>
  <c r="H1433" i="2"/>
  <c r="G1433" i="2"/>
  <c r="I1432" i="2"/>
  <c r="H1432" i="2"/>
  <c r="G1432" i="2"/>
  <c r="I1431" i="2"/>
  <c r="H1431" i="2"/>
  <c r="G1431" i="2"/>
  <c r="I1430" i="2"/>
  <c r="H1430" i="2"/>
  <c r="G1430" i="2"/>
  <c r="I1429" i="2"/>
  <c r="H1429" i="2"/>
  <c r="G1429" i="2"/>
  <c r="I1428" i="2"/>
  <c r="H1428" i="2"/>
  <c r="G1428" i="2"/>
  <c r="I1427" i="2"/>
  <c r="H1427" i="2"/>
  <c r="G1427" i="2"/>
  <c r="I1426" i="2"/>
  <c r="H1426" i="2"/>
  <c r="G1426" i="2"/>
  <c r="I1425" i="2"/>
  <c r="H1425" i="2"/>
  <c r="G1425" i="2"/>
  <c r="I1424" i="2"/>
  <c r="H1424" i="2"/>
  <c r="G1424" i="2"/>
  <c r="I1423" i="2"/>
  <c r="H1423" i="2"/>
  <c r="G1423" i="2"/>
  <c r="I1422" i="2"/>
  <c r="H1422" i="2"/>
  <c r="G1422" i="2"/>
  <c r="I1421" i="2"/>
  <c r="H1421" i="2"/>
  <c r="G1421" i="2"/>
  <c r="I1420" i="2"/>
  <c r="H1420" i="2"/>
  <c r="G1420" i="2"/>
  <c r="I1419" i="2"/>
  <c r="H1419" i="2"/>
  <c r="G1419" i="2"/>
  <c r="I1418" i="2"/>
  <c r="H1418" i="2"/>
  <c r="G1418" i="2"/>
  <c r="I1417" i="2"/>
  <c r="H1417" i="2"/>
  <c r="G1417" i="2"/>
  <c r="I1416" i="2"/>
  <c r="H1416" i="2"/>
  <c r="G1416" i="2"/>
  <c r="I1415" i="2"/>
  <c r="H1415" i="2"/>
  <c r="G1415" i="2"/>
  <c r="I1414" i="2"/>
  <c r="H1414" i="2"/>
  <c r="G1414" i="2"/>
  <c r="I1413" i="2"/>
  <c r="H1413" i="2"/>
  <c r="G1413" i="2"/>
  <c r="I1412" i="2"/>
  <c r="H1412" i="2"/>
  <c r="G1412" i="2"/>
  <c r="I1411" i="2"/>
  <c r="H1411" i="2"/>
  <c r="G1411" i="2"/>
  <c r="I1410" i="2"/>
  <c r="H1410" i="2"/>
  <c r="G1410" i="2"/>
  <c r="I1409" i="2"/>
  <c r="H1409" i="2"/>
  <c r="G1409" i="2"/>
  <c r="I1408" i="2"/>
  <c r="H1408" i="2"/>
  <c r="G1408" i="2"/>
  <c r="I1407" i="2"/>
  <c r="H1407" i="2"/>
  <c r="G1407" i="2"/>
  <c r="I1406" i="2"/>
  <c r="H1406" i="2"/>
  <c r="G1406" i="2"/>
  <c r="I1405" i="2"/>
  <c r="H1405" i="2"/>
  <c r="G1405" i="2"/>
  <c r="I1404" i="2"/>
  <c r="H1404" i="2"/>
  <c r="G1404" i="2"/>
  <c r="I1403" i="2"/>
  <c r="H1403" i="2"/>
  <c r="G1403" i="2"/>
  <c r="I1402" i="2"/>
  <c r="H1402" i="2"/>
  <c r="G1402" i="2"/>
  <c r="I1401" i="2"/>
  <c r="H1401" i="2"/>
  <c r="G1401" i="2"/>
  <c r="I1400" i="2"/>
  <c r="H1400" i="2"/>
  <c r="G1400" i="2"/>
  <c r="I1399" i="2"/>
  <c r="H1399" i="2"/>
  <c r="G1399" i="2"/>
  <c r="I1398" i="2"/>
  <c r="H1398" i="2"/>
  <c r="G1398" i="2"/>
  <c r="I1397" i="2"/>
  <c r="H1397" i="2"/>
  <c r="G1397" i="2"/>
  <c r="I1396" i="2"/>
  <c r="H1396" i="2"/>
  <c r="G1396" i="2"/>
  <c r="I1395" i="2"/>
  <c r="H1395" i="2"/>
  <c r="G1395" i="2"/>
  <c r="I1394" i="2"/>
  <c r="H1394" i="2"/>
  <c r="G1394" i="2"/>
  <c r="I1393" i="2"/>
  <c r="H1393" i="2"/>
  <c r="G1393" i="2"/>
  <c r="I1392" i="2"/>
  <c r="H1392" i="2"/>
  <c r="G1392" i="2"/>
  <c r="I1391" i="2"/>
  <c r="H1391" i="2"/>
  <c r="G1391" i="2"/>
  <c r="I1390" i="2"/>
  <c r="H1390" i="2"/>
  <c r="G1390" i="2"/>
  <c r="I1389" i="2"/>
  <c r="H1389" i="2"/>
  <c r="G1389" i="2"/>
  <c r="I1388" i="2"/>
  <c r="H1388" i="2"/>
  <c r="G1388" i="2"/>
  <c r="I1387" i="2"/>
  <c r="H1387" i="2"/>
  <c r="G1387" i="2"/>
  <c r="I1386" i="2"/>
  <c r="H1386" i="2"/>
  <c r="G1386" i="2"/>
  <c r="I1385" i="2"/>
  <c r="H1385" i="2"/>
  <c r="G1385" i="2"/>
  <c r="I1384" i="2"/>
  <c r="H1384" i="2"/>
  <c r="G1384" i="2"/>
  <c r="I1383" i="2"/>
  <c r="H1383" i="2"/>
  <c r="G1383" i="2"/>
  <c r="I1382" i="2"/>
  <c r="H1382" i="2"/>
  <c r="G1382" i="2"/>
  <c r="I1381" i="2"/>
  <c r="H1381" i="2"/>
  <c r="G1381" i="2"/>
  <c r="I1380" i="2"/>
  <c r="H1380" i="2"/>
  <c r="G1380" i="2"/>
  <c r="I1379" i="2"/>
  <c r="H1379" i="2"/>
  <c r="G1379" i="2"/>
  <c r="I1378" i="2"/>
  <c r="H1378" i="2"/>
  <c r="G1378" i="2"/>
  <c r="I1377" i="2"/>
  <c r="H1377" i="2"/>
  <c r="G1377" i="2"/>
  <c r="I1376" i="2"/>
  <c r="H1376" i="2"/>
  <c r="G1376" i="2"/>
  <c r="I1375" i="2"/>
  <c r="H1375" i="2"/>
  <c r="G1375" i="2"/>
  <c r="I1374" i="2"/>
  <c r="H1374" i="2"/>
  <c r="G1374" i="2"/>
  <c r="I1373" i="2"/>
  <c r="H1373" i="2"/>
  <c r="G1373" i="2"/>
  <c r="I1372" i="2"/>
  <c r="H1372" i="2"/>
  <c r="G1372" i="2"/>
  <c r="I1371" i="2"/>
  <c r="H1371" i="2"/>
  <c r="G1371" i="2"/>
  <c r="I1370" i="2"/>
  <c r="H1370" i="2"/>
  <c r="G1370" i="2"/>
  <c r="I1369" i="2"/>
  <c r="H1369" i="2"/>
  <c r="G1369" i="2"/>
  <c r="I1368" i="2"/>
  <c r="H1368" i="2"/>
  <c r="G1368" i="2"/>
  <c r="I1367" i="2"/>
  <c r="H1367" i="2"/>
  <c r="G1367" i="2"/>
  <c r="I1366" i="2"/>
  <c r="H1366" i="2"/>
  <c r="G1366" i="2"/>
  <c r="I1365" i="2"/>
  <c r="H1365" i="2"/>
  <c r="G1365" i="2"/>
  <c r="I1364" i="2"/>
  <c r="H1364" i="2"/>
  <c r="G1364" i="2"/>
  <c r="I1363" i="2"/>
  <c r="H1363" i="2"/>
  <c r="G1363" i="2"/>
  <c r="I1362" i="2"/>
  <c r="H1362" i="2"/>
  <c r="G1362" i="2"/>
  <c r="I1361" i="2"/>
  <c r="H1361" i="2"/>
  <c r="G1361" i="2"/>
  <c r="I1360" i="2"/>
  <c r="H1360" i="2"/>
  <c r="G1360" i="2"/>
  <c r="I1359" i="2"/>
  <c r="H1359" i="2"/>
  <c r="G1359" i="2"/>
  <c r="I1358" i="2"/>
  <c r="H1358" i="2"/>
  <c r="G1358" i="2"/>
  <c r="I1357" i="2"/>
  <c r="H1357" i="2"/>
  <c r="G1357" i="2"/>
  <c r="I1356" i="2"/>
  <c r="H1356" i="2"/>
  <c r="G1356" i="2"/>
  <c r="I1355" i="2"/>
  <c r="H1355" i="2"/>
  <c r="G1355" i="2"/>
  <c r="I1354" i="2"/>
  <c r="H1354" i="2"/>
  <c r="G1354" i="2"/>
  <c r="I1353" i="2"/>
  <c r="H1353" i="2"/>
  <c r="G1353" i="2"/>
  <c r="I1352" i="2"/>
  <c r="H1352" i="2"/>
  <c r="G1352" i="2"/>
  <c r="I1351" i="2"/>
  <c r="H1351" i="2"/>
  <c r="G1351" i="2"/>
  <c r="I1350" i="2"/>
  <c r="H1350" i="2"/>
  <c r="G1350" i="2"/>
  <c r="I1349" i="2"/>
  <c r="H1349" i="2"/>
  <c r="G1349" i="2"/>
  <c r="I1348" i="2"/>
  <c r="H1348" i="2"/>
  <c r="G1348" i="2"/>
  <c r="I1347" i="2"/>
  <c r="H1347" i="2"/>
  <c r="G1347" i="2"/>
  <c r="I1346" i="2"/>
  <c r="H1346" i="2"/>
  <c r="G1346" i="2"/>
  <c r="I1345" i="2"/>
  <c r="H1345" i="2"/>
  <c r="G1345" i="2"/>
  <c r="I1344" i="2"/>
  <c r="H1344" i="2"/>
  <c r="G1344" i="2"/>
  <c r="I1343" i="2"/>
  <c r="H1343" i="2"/>
  <c r="G1343" i="2"/>
  <c r="I1342" i="2"/>
  <c r="H1342" i="2"/>
  <c r="G1342" i="2"/>
  <c r="I1341" i="2"/>
  <c r="H1341" i="2"/>
  <c r="G1341" i="2"/>
  <c r="I1340" i="2"/>
  <c r="H1340" i="2"/>
  <c r="G1340" i="2"/>
  <c r="I1339" i="2"/>
  <c r="H1339" i="2"/>
  <c r="G1339" i="2"/>
  <c r="I1338" i="2"/>
  <c r="H1338" i="2"/>
  <c r="G1338" i="2"/>
  <c r="I1337" i="2"/>
  <c r="H1337" i="2"/>
  <c r="G1337" i="2"/>
  <c r="I1336" i="2"/>
  <c r="H1336" i="2"/>
  <c r="G1336" i="2"/>
  <c r="I1335" i="2"/>
  <c r="H1335" i="2"/>
  <c r="G1335" i="2"/>
  <c r="I1334" i="2"/>
  <c r="H1334" i="2"/>
  <c r="G1334" i="2"/>
  <c r="I1333" i="2"/>
  <c r="H1333" i="2"/>
  <c r="G1333" i="2"/>
  <c r="I1332" i="2"/>
  <c r="H1332" i="2"/>
  <c r="G1332" i="2"/>
  <c r="I1331" i="2"/>
  <c r="H1331" i="2"/>
  <c r="G1331" i="2"/>
  <c r="I1330" i="2"/>
  <c r="H1330" i="2"/>
  <c r="G1330" i="2"/>
  <c r="I1329" i="2"/>
  <c r="H1329" i="2"/>
  <c r="G1329" i="2"/>
  <c r="I1328" i="2"/>
  <c r="H1328" i="2"/>
  <c r="G1328" i="2"/>
  <c r="I1327" i="2"/>
  <c r="H1327" i="2"/>
  <c r="G1327" i="2"/>
  <c r="I1326" i="2"/>
  <c r="H1326" i="2"/>
  <c r="G1326" i="2"/>
  <c r="I1325" i="2"/>
  <c r="H1325" i="2"/>
  <c r="G1325" i="2"/>
  <c r="I1324" i="2"/>
  <c r="H1324" i="2"/>
  <c r="G1324" i="2"/>
  <c r="I1323" i="2"/>
  <c r="H1323" i="2"/>
  <c r="G1323" i="2"/>
  <c r="I1322" i="2"/>
  <c r="H1322" i="2"/>
  <c r="G1322" i="2"/>
  <c r="I1321" i="2"/>
  <c r="H1321" i="2"/>
  <c r="G1321" i="2"/>
  <c r="I1320" i="2"/>
  <c r="H1320" i="2"/>
  <c r="G1320" i="2"/>
  <c r="I1319" i="2"/>
  <c r="H1319" i="2"/>
  <c r="G1319" i="2"/>
  <c r="I1318" i="2"/>
  <c r="H1318" i="2"/>
  <c r="G1318" i="2"/>
  <c r="I1317" i="2"/>
  <c r="H1317" i="2"/>
  <c r="G1317" i="2"/>
  <c r="I1316" i="2"/>
  <c r="H1316" i="2"/>
  <c r="G1316" i="2"/>
  <c r="I1315" i="2"/>
  <c r="H1315" i="2"/>
  <c r="G1315" i="2"/>
  <c r="I1314" i="2"/>
  <c r="H1314" i="2"/>
  <c r="G1314" i="2"/>
  <c r="I1313" i="2"/>
  <c r="H1313" i="2"/>
  <c r="G1313" i="2"/>
  <c r="I1312" i="2"/>
  <c r="H1312" i="2"/>
  <c r="G1312" i="2"/>
  <c r="I1311" i="2"/>
  <c r="H1311" i="2"/>
  <c r="G1311" i="2"/>
  <c r="I1310" i="2"/>
  <c r="H1310" i="2"/>
  <c r="G1310" i="2"/>
  <c r="I1309" i="2"/>
  <c r="H1309" i="2"/>
  <c r="G1309" i="2"/>
  <c r="I1308" i="2"/>
  <c r="H1308" i="2"/>
  <c r="G1308" i="2"/>
  <c r="I1307" i="2"/>
  <c r="H1307" i="2"/>
  <c r="G1307" i="2"/>
  <c r="I1306" i="2"/>
  <c r="H1306" i="2"/>
  <c r="G1306" i="2"/>
  <c r="I1305" i="2"/>
  <c r="H1305" i="2"/>
  <c r="G1305" i="2"/>
  <c r="I1304" i="2"/>
  <c r="H1304" i="2"/>
  <c r="G1304" i="2"/>
  <c r="I1303" i="2"/>
  <c r="H1303" i="2"/>
  <c r="G1303" i="2"/>
  <c r="I1302" i="2"/>
  <c r="H1302" i="2"/>
  <c r="G1302" i="2"/>
  <c r="I1301" i="2"/>
  <c r="H1301" i="2"/>
  <c r="G1301" i="2"/>
  <c r="I1300" i="2"/>
  <c r="H1300" i="2"/>
  <c r="G1300" i="2"/>
  <c r="I1299" i="2"/>
  <c r="H1299" i="2"/>
  <c r="G1299" i="2"/>
  <c r="I1298" i="2"/>
  <c r="H1298" i="2"/>
  <c r="G1298" i="2"/>
  <c r="I1297" i="2"/>
  <c r="H1297" i="2"/>
  <c r="G1297" i="2"/>
  <c r="I1296" i="2"/>
  <c r="H1296" i="2"/>
  <c r="G1296" i="2"/>
  <c r="I1295" i="2"/>
  <c r="H1295" i="2"/>
  <c r="G1295" i="2"/>
  <c r="I1294" i="2"/>
  <c r="H1294" i="2"/>
  <c r="G1294" i="2"/>
  <c r="I1293" i="2"/>
  <c r="H1293" i="2"/>
  <c r="G1293" i="2"/>
  <c r="I1292" i="2"/>
  <c r="H1292" i="2"/>
  <c r="G1292" i="2"/>
  <c r="I1291" i="2"/>
  <c r="H1291" i="2"/>
  <c r="G1291" i="2"/>
  <c r="I1290" i="2"/>
  <c r="H1290" i="2"/>
  <c r="G1290" i="2"/>
  <c r="I1289" i="2"/>
  <c r="H1289" i="2"/>
  <c r="G1289" i="2"/>
  <c r="I1288" i="2"/>
  <c r="H1288" i="2"/>
  <c r="G1288" i="2"/>
  <c r="I1287" i="2"/>
  <c r="H1287" i="2"/>
  <c r="G1287" i="2"/>
  <c r="I1286" i="2"/>
  <c r="H1286" i="2"/>
  <c r="G1286" i="2"/>
  <c r="I1285" i="2"/>
  <c r="H1285" i="2"/>
  <c r="G1285" i="2"/>
  <c r="I1284" i="2"/>
  <c r="H1284" i="2"/>
  <c r="G1284" i="2"/>
  <c r="I1283" i="2"/>
  <c r="H1283" i="2"/>
  <c r="G1283" i="2"/>
  <c r="I1282" i="2"/>
  <c r="H1282" i="2"/>
  <c r="G1282" i="2"/>
  <c r="I1281" i="2"/>
  <c r="H1281" i="2"/>
  <c r="G1281" i="2"/>
  <c r="I1280" i="2"/>
  <c r="H1280" i="2"/>
  <c r="G1280" i="2"/>
  <c r="I1279" i="2"/>
  <c r="H1279" i="2"/>
  <c r="G1279" i="2"/>
  <c r="I1278" i="2"/>
  <c r="H1278" i="2"/>
  <c r="G1278" i="2"/>
  <c r="I1277" i="2"/>
  <c r="H1277" i="2"/>
  <c r="G1277" i="2"/>
  <c r="I1276" i="2"/>
  <c r="H1276" i="2"/>
  <c r="G1276" i="2"/>
  <c r="I1275" i="2"/>
  <c r="H1275" i="2"/>
  <c r="G1275" i="2"/>
  <c r="I1274" i="2"/>
  <c r="H1274" i="2"/>
  <c r="G1274" i="2"/>
  <c r="I1273" i="2"/>
  <c r="H1273" i="2"/>
  <c r="G1273" i="2"/>
  <c r="I1272" i="2"/>
  <c r="H1272" i="2"/>
  <c r="G1272" i="2"/>
  <c r="I1271" i="2"/>
  <c r="H1271" i="2"/>
  <c r="G1271" i="2"/>
  <c r="I1270" i="2"/>
  <c r="H1270" i="2"/>
  <c r="G1270" i="2"/>
  <c r="I1269" i="2"/>
  <c r="H1269" i="2"/>
  <c r="G1269" i="2"/>
  <c r="I1268" i="2"/>
  <c r="H1268" i="2"/>
  <c r="G1268" i="2"/>
  <c r="I1267" i="2"/>
  <c r="H1267" i="2"/>
  <c r="G1267" i="2"/>
  <c r="I1266" i="2"/>
  <c r="H1266" i="2"/>
  <c r="G1266" i="2"/>
  <c r="I1265" i="2"/>
  <c r="H1265" i="2"/>
  <c r="G1265" i="2"/>
  <c r="I1264" i="2"/>
  <c r="H1264" i="2"/>
  <c r="G1264" i="2"/>
  <c r="I1263" i="2"/>
  <c r="H1263" i="2"/>
  <c r="G1263" i="2"/>
  <c r="I1262" i="2"/>
  <c r="H1262" i="2"/>
  <c r="G1262" i="2"/>
  <c r="I1261" i="2"/>
  <c r="H1261" i="2"/>
  <c r="G1261" i="2"/>
  <c r="I1260" i="2"/>
  <c r="H1260" i="2"/>
  <c r="G1260" i="2"/>
  <c r="I1259" i="2"/>
  <c r="H1259" i="2"/>
  <c r="G1259" i="2"/>
  <c r="I1258" i="2"/>
  <c r="H1258" i="2"/>
  <c r="G1258" i="2"/>
  <c r="I1257" i="2"/>
  <c r="H1257" i="2"/>
  <c r="G1257" i="2"/>
  <c r="I1256" i="2"/>
  <c r="H1256" i="2"/>
  <c r="G1256" i="2"/>
  <c r="I1255" i="2"/>
  <c r="H1255" i="2"/>
  <c r="G1255" i="2"/>
  <c r="I1254" i="2"/>
  <c r="H1254" i="2"/>
  <c r="G1254" i="2"/>
  <c r="I1253" i="2"/>
  <c r="H1253" i="2"/>
  <c r="G1253" i="2"/>
  <c r="I1252" i="2"/>
  <c r="H1252" i="2"/>
  <c r="G1252" i="2"/>
  <c r="I1251" i="2"/>
  <c r="H1251" i="2"/>
  <c r="G1251" i="2"/>
  <c r="I1250" i="2"/>
  <c r="H1250" i="2"/>
  <c r="G1250" i="2"/>
  <c r="I1249" i="2"/>
  <c r="H1249" i="2"/>
  <c r="G1249" i="2"/>
  <c r="I1248" i="2"/>
  <c r="H1248" i="2"/>
  <c r="G1248" i="2"/>
  <c r="I1247" i="2"/>
  <c r="H1247" i="2"/>
  <c r="G1247" i="2"/>
  <c r="I1246" i="2"/>
  <c r="H1246" i="2"/>
  <c r="G1246" i="2"/>
  <c r="I1245" i="2"/>
  <c r="H1245" i="2"/>
  <c r="G1245" i="2"/>
  <c r="I1244" i="2"/>
  <c r="H1244" i="2"/>
  <c r="G1244" i="2"/>
  <c r="I1243" i="2"/>
  <c r="H1243" i="2"/>
  <c r="G1243" i="2"/>
  <c r="I1242" i="2"/>
  <c r="H1242" i="2"/>
  <c r="G1242" i="2"/>
  <c r="I1241" i="2"/>
  <c r="H1241" i="2"/>
  <c r="G1241" i="2"/>
  <c r="I1240" i="2"/>
  <c r="H1240" i="2"/>
  <c r="G1240" i="2"/>
  <c r="I1239" i="2"/>
  <c r="H1239" i="2"/>
  <c r="G1239" i="2"/>
  <c r="I1238" i="2"/>
  <c r="H1238" i="2"/>
  <c r="G1238" i="2"/>
  <c r="I1237" i="2"/>
  <c r="H1237" i="2"/>
  <c r="G1237" i="2"/>
  <c r="I1236" i="2"/>
  <c r="H1236" i="2"/>
  <c r="G1236" i="2"/>
  <c r="I1235" i="2"/>
  <c r="H1235" i="2"/>
  <c r="G1235" i="2"/>
  <c r="I1234" i="2"/>
  <c r="H1234" i="2"/>
  <c r="G1234" i="2"/>
  <c r="I1233" i="2"/>
  <c r="H1233" i="2"/>
  <c r="G1233" i="2"/>
  <c r="I1232" i="2"/>
  <c r="H1232" i="2"/>
  <c r="G1232" i="2"/>
  <c r="I1231" i="2"/>
  <c r="H1231" i="2"/>
  <c r="G1231" i="2"/>
  <c r="I1230" i="2"/>
  <c r="H1230" i="2"/>
  <c r="G1230" i="2"/>
  <c r="I1229" i="2"/>
  <c r="H1229" i="2"/>
  <c r="G1229" i="2"/>
  <c r="I1228" i="2"/>
  <c r="H1228" i="2"/>
  <c r="G1228" i="2"/>
  <c r="I1227" i="2"/>
  <c r="H1227" i="2"/>
  <c r="G1227" i="2"/>
  <c r="I1226" i="2"/>
  <c r="H1226" i="2"/>
  <c r="G1226" i="2"/>
  <c r="I1225" i="2"/>
  <c r="H1225" i="2"/>
  <c r="G1225" i="2"/>
  <c r="I1224" i="2"/>
  <c r="H1224" i="2"/>
  <c r="G1224" i="2"/>
  <c r="I1223" i="2"/>
  <c r="H1223" i="2"/>
  <c r="G1223" i="2"/>
  <c r="I1222" i="2"/>
  <c r="H1222" i="2"/>
  <c r="G1222" i="2"/>
  <c r="I1221" i="2"/>
  <c r="H1221" i="2"/>
  <c r="G1221" i="2"/>
  <c r="I1220" i="2"/>
  <c r="H1220" i="2"/>
  <c r="G1220" i="2"/>
  <c r="I1219" i="2"/>
  <c r="H1219" i="2"/>
  <c r="G1219" i="2"/>
  <c r="I1218" i="2"/>
  <c r="H1218" i="2"/>
  <c r="G1218" i="2"/>
  <c r="I1217" i="2"/>
  <c r="H1217" i="2"/>
  <c r="G1217" i="2"/>
  <c r="I1216" i="2"/>
  <c r="H1216" i="2"/>
  <c r="G1216" i="2"/>
  <c r="I1215" i="2"/>
  <c r="H1215" i="2"/>
  <c r="G1215" i="2"/>
  <c r="I1214" i="2"/>
  <c r="H1214" i="2"/>
  <c r="G1214" i="2"/>
  <c r="I1213" i="2"/>
  <c r="H1213" i="2"/>
  <c r="G1213" i="2"/>
  <c r="I1212" i="2"/>
  <c r="H1212" i="2"/>
  <c r="G1212" i="2"/>
  <c r="I1211" i="2"/>
  <c r="H1211" i="2"/>
  <c r="G1211" i="2"/>
  <c r="I1210" i="2"/>
  <c r="H1210" i="2"/>
  <c r="G1210" i="2"/>
  <c r="I1209" i="2"/>
  <c r="H1209" i="2"/>
  <c r="G1209" i="2"/>
  <c r="I1208" i="2"/>
  <c r="H1208" i="2"/>
  <c r="G1208" i="2"/>
  <c r="I1207" i="2"/>
  <c r="H1207" i="2"/>
  <c r="G1207" i="2"/>
  <c r="I1206" i="2"/>
  <c r="H1206" i="2"/>
  <c r="G1206" i="2"/>
  <c r="I1205" i="2"/>
  <c r="H1205" i="2"/>
  <c r="G1205" i="2"/>
  <c r="I1204" i="2"/>
  <c r="H1204" i="2"/>
  <c r="G1204" i="2"/>
  <c r="I1203" i="2"/>
  <c r="H1203" i="2"/>
  <c r="G1203" i="2"/>
  <c r="I1202" i="2"/>
  <c r="H1202" i="2"/>
  <c r="G1202" i="2"/>
  <c r="I1201" i="2"/>
  <c r="H1201" i="2"/>
  <c r="G1201" i="2"/>
  <c r="I1200" i="2"/>
  <c r="H1200" i="2"/>
  <c r="G1200" i="2"/>
  <c r="I1199" i="2"/>
  <c r="H1199" i="2"/>
  <c r="G1199" i="2"/>
  <c r="I1198" i="2"/>
  <c r="H1198" i="2"/>
  <c r="G1198" i="2"/>
  <c r="I1197" i="2"/>
  <c r="H1197" i="2"/>
  <c r="G1197" i="2"/>
  <c r="I1196" i="2"/>
  <c r="H1196" i="2"/>
  <c r="G1196" i="2"/>
  <c r="I1195" i="2"/>
  <c r="H1195" i="2"/>
  <c r="G1195" i="2"/>
  <c r="I1194" i="2"/>
  <c r="H1194" i="2"/>
  <c r="G1194" i="2"/>
  <c r="I1193" i="2"/>
  <c r="H1193" i="2"/>
  <c r="G1193" i="2"/>
  <c r="I1192" i="2"/>
  <c r="H1192" i="2"/>
  <c r="G1192" i="2"/>
  <c r="I1191" i="2"/>
  <c r="H1191" i="2"/>
  <c r="G1191" i="2"/>
  <c r="I1190" i="2"/>
  <c r="H1190" i="2"/>
  <c r="G1190" i="2"/>
  <c r="I1189" i="2"/>
  <c r="H1189" i="2"/>
  <c r="G1189" i="2"/>
  <c r="I1188" i="2"/>
  <c r="H1188" i="2"/>
  <c r="G1188" i="2"/>
  <c r="I1187" i="2"/>
  <c r="H1187" i="2"/>
  <c r="G1187" i="2"/>
  <c r="I1186" i="2"/>
  <c r="H1186" i="2"/>
  <c r="G1186" i="2"/>
  <c r="I1185" i="2"/>
  <c r="H1185" i="2"/>
  <c r="G1185" i="2"/>
  <c r="I1184" i="2"/>
  <c r="H1184" i="2"/>
  <c r="G1184" i="2"/>
  <c r="I1183" i="2"/>
  <c r="H1183" i="2"/>
  <c r="G1183" i="2"/>
  <c r="I1182" i="2"/>
  <c r="H1182" i="2"/>
  <c r="G1182" i="2"/>
  <c r="I1181" i="2"/>
  <c r="H1181" i="2"/>
  <c r="G1181" i="2"/>
  <c r="I1180" i="2"/>
  <c r="H1180" i="2"/>
  <c r="G1180" i="2"/>
  <c r="I1179" i="2"/>
  <c r="H1179" i="2"/>
  <c r="G1179" i="2"/>
  <c r="I1178" i="2"/>
  <c r="H1178" i="2"/>
  <c r="G1178" i="2"/>
  <c r="I1177" i="2"/>
  <c r="H1177" i="2"/>
  <c r="G1177" i="2"/>
  <c r="I1176" i="2"/>
  <c r="H1176" i="2"/>
  <c r="G1176" i="2"/>
  <c r="I1175" i="2"/>
  <c r="H1175" i="2"/>
  <c r="G1175" i="2"/>
  <c r="I1174" i="2"/>
  <c r="H1174" i="2"/>
  <c r="G1174" i="2"/>
  <c r="I1173" i="2"/>
  <c r="H1173" i="2"/>
  <c r="G1173" i="2"/>
  <c r="I1172" i="2"/>
  <c r="H1172" i="2"/>
  <c r="G1172" i="2"/>
  <c r="I1171" i="2"/>
  <c r="H1171" i="2"/>
  <c r="G1171" i="2"/>
  <c r="I1170" i="2"/>
  <c r="H1170" i="2"/>
  <c r="G1170" i="2"/>
  <c r="I1169" i="2"/>
  <c r="H1169" i="2"/>
  <c r="G1169" i="2"/>
  <c r="I1168" i="2"/>
  <c r="H1168" i="2"/>
  <c r="G1168" i="2"/>
  <c r="I1167" i="2"/>
  <c r="H1167" i="2"/>
  <c r="G1167" i="2"/>
  <c r="I1166" i="2"/>
  <c r="H1166" i="2"/>
  <c r="G1166" i="2"/>
  <c r="I1165" i="2"/>
  <c r="H1165" i="2"/>
  <c r="G1165" i="2"/>
  <c r="I1164" i="2"/>
  <c r="H1164" i="2"/>
  <c r="G1164" i="2"/>
  <c r="I1163" i="2"/>
  <c r="H1163" i="2"/>
  <c r="G1163" i="2"/>
  <c r="I1162" i="2"/>
  <c r="H1162" i="2"/>
  <c r="G1162" i="2"/>
  <c r="I1161" i="2"/>
  <c r="H1161" i="2"/>
  <c r="G1161" i="2"/>
  <c r="I1160" i="2"/>
  <c r="H1160" i="2"/>
  <c r="G1160" i="2"/>
  <c r="I1159" i="2"/>
  <c r="H1159" i="2"/>
  <c r="G1159" i="2"/>
  <c r="I1158" i="2"/>
  <c r="H1158" i="2"/>
  <c r="G1158" i="2"/>
  <c r="I1157" i="2"/>
  <c r="H1157" i="2"/>
  <c r="G1157" i="2"/>
  <c r="I1156" i="2"/>
  <c r="H1156" i="2"/>
  <c r="G1156" i="2"/>
  <c r="I1155" i="2"/>
  <c r="H1155" i="2"/>
  <c r="G1155" i="2"/>
  <c r="I1154" i="2"/>
  <c r="H1154" i="2"/>
  <c r="G1154" i="2"/>
  <c r="I1153" i="2"/>
  <c r="H1153" i="2"/>
  <c r="G1153" i="2"/>
  <c r="I1152" i="2"/>
  <c r="H1152" i="2"/>
  <c r="G1152" i="2"/>
  <c r="I1151" i="2"/>
  <c r="H1151" i="2"/>
  <c r="G1151" i="2"/>
  <c r="I1150" i="2"/>
  <c r="H1150" i="2"/>
  <c r="G1150" i="2"/>
  <c r="I1149" i="2"/>
  <c r="H1149" i="2"/>
  <c r="G1149" i="2"/>
  <c r="I1148" i="2"/>
  <c r="H1148" i="2"/>
  <c r="G1148" i="2"/>
  <c r="I1147" i="2"/>
  <c r="H1147" i="2"/>
  <c r="G1147" i="2"/>
  <c r="I1146" i="2"/>
  <c r="H1146" i="2"/>
  <c r="G1146" i="2"/>
  <c r="I1145" i="2"/>
  <c r="H1145" i="2"/>
  <c r="G1145" i="2"/>
  <c r="I1144" i="2"/>
  <c r="H1144" i="2"/>
  <c r="G1144" i="2"/>
  <c r="I1143" i="2"/>
  <c r="H1143" i="2"/>
  <c r="G1143" i="2"/>
  <c r="I1142" i="2"/>
  <c r="H1142" i="2"/>
  <c r="G1142" i="2"/>
  <c r="I1141" i="2"/>
  <c r="H1141" i="2"/>
  <c r="G1141" i="2"/>
  <c r="I1140" i="2"/>
  <c r="H1140" i="2"/>
  <c r="G1140" i="2"/>
  <c r="I1139" i="2"/>
  <c r="H1139" i="2"/>
  <c r="G1139" i="2"/>
  <c r="I1138" i="2"/>
  <c r="H1138" i="2"/>
  <c r="G1138" i="2"/>
  <c r="I1137" i="2"/>
  <c r="H1137" i="2"/>
  <c r="G1137" i="2"/>
  <c r="I1136" i="2"/>
  <c r="H1136" i="2"/>
  <c r="G1136" i="2"/>
  <c r="I1135" i="2"/>
  <c r="H1135" i="2"/>
  <c r="G1135" i="2"/>
  <c r="I1134" i="2"/>
  <c r="H1134" i="2"/>
  <c r="G1134" i="2"/>
  <c r="I1133" i="2"/>
  <c r="H1133" i="2"/>
  <c r="G1133" i="2"/>
  <c r="I1132" i="2"/>
  <c r="H1132" i="2"/>
  <c r="G1132" i="2"/>
  <c r="I1131" i="2"/>
  <c r="H1131" i="2"/>
  <c r="G1131" i="2"/>
  <c r="I1130" i="2"/>
  <c r="H1130" i="2"/>
  <c r="G1130" i="2"/>
  <c r="I1129" i="2"/>
  <c r="H1129" i="2"/>
  <c r="G1129" i="2"/>
  <c r="I1128" i="2"/>
  <c r="H1128" i="2"/>
  <c r="G1128" i="2"/>
  <c r="I1127" i="2"/>
  <c r="H1127" i="2"/>
  <c r="G1127" i="2"/>
  <c r="I1126" i="2"/>
  <c r="H1126" i="2"/>
  <c r="G1126" i="2"/>
  <c r="I1125" i="2"/>
  <c r="H1125" i="2"/>
  <c r="G1125" i="2"/>
  <c r="I1124" i="2"/>
  <c r="H1124" i="2"/>
  <c r="G1124" i="2"/>
  <c r="I1123" i="2"/>
  <c r="H1123" i="2"/>
  <c r="G1123" i="2"/>
  <c r="I1122" i="2"/>
  <c r="H1122" i="2"/>
  <c r="G1122" i="2"/>
  <c r="I1121" i="2"/>
  <c r="H1121" i="2"/>
  <c r="G1121" i="2"/>
  <c r="I1120" i="2"/>
  <c r="H1120" i="2"/>
  <c r="G1120" i="2"/>
  <c r="I1119" i="2"/>
  <c r="H1119" i="2"/>
  <c r="G1119" i="2"/>
  <c r="I1118" i="2"/>
  <c r="H1118" i="2"/>
  <c r="G1118" i="2"/>
  <c r="I1117" i="2"/>
  <c r="H1117" i="2"/>
  <c r="G1117" i="2"/>
  <c r="I1116" i="2"/>
  <c r="H1116" i="2"/>
  <c r="G1116" i="2"/>
  <c r="I1115" i="2"/>
  <c r="H1115" i="2"/>
  <c r="G1115" i="2"/>
  <c r="I1114" i="2"/>
  <c r="H1114" i="2"/>
  <c r="G1114" i="2"/>
  <c r="I1113" i="2"/>
  <c r="H1113" i="2"/>
  <c r="G1113" i="2"/>
  <c r="I1112" i="2"/>
  <c r="H1112" i="2"/>
  <c r="G1112" i="2"/>
  <c r="I1111" i="2"/>
  <c r="H1111" i="2"/>
  <c r="G1111" i="2"/>
  <c r="I1110" i="2"/>
  <c r="H1110" i="2"/>
  <c r="G1110" i="2"/>
  <c r="I1109" i="2"/>
  <c r="H1109" i="2"/>
  <c r="G1109" i="2"/>
  <c r="I1108" i="2"/>
  <c r="H1108" i="2"/>
  <c r="G1108" i="2"/>
  <c r="I1107" i="2"/>
  <c r="H1107" i="2"/>
  <c r="G1107" i="2"/>
  <c r="I1106" i="2"/>
  <c r="H1106" i="2"/>
  <c r="G1106" i="2"/>
  <c r="I1105" i="2"/>
  <c r="H1105" i="2"/>
  <c r="G1105" i="2"/>
  <c r="I1104" i="2"/>
  <c r="H1104" i="2"/>
  <c r="G1104" i="2"/>
  <c r="I1103" i="2"/>
  <c r="H1103" i="2"/>
  <c r="G1103" i="2"/>
  <c r="I1102" i="2"/>
  <c r="H1102" i="2"/>
  <c r="G1102" i="2"/>
  <c r="I1101" i="2"/>
  <c r="H1101" i="2"/>
  <c r="G1101" i="2"/>
  <c r="I1100" i="2"/>
  <c r="H1100" i="2"/>
  <c r="G1100" i="2"/>
  <c r="I1099" i="2"/>
  <c r="H1099" i="2"/>
  <c r="G1099" i="2"/>
  <c r="I1098" i="2"/>
  <c r="H1098" i="2"/>
  <c r="G1098" i="2"/>
  <c r="I1097" i="2"/>
  <c r="H1097" i="2"/>
  <c r="G1097" i="2"/>
  <c r="I1096" i="2"/>
  <c r="H1096" i="2"/>
  <c r="G1096" i="2"/>
  <c r="I1095" i="2"/>
  <c r="H1095" i="2"/>
  <c r="G1095" i="2"/>
  <c r="I1094" i="2"/>
  <c r="H1094" i="2"/>
  <c r="G1094" i="2"/>
  <c r="I1093" i="2"/>
  <c r="H1093" i="2"/>
  <c r="G1093" i="2"/>
  <c r="I1092" i="2"/>
  <c r="H1092" i="2"/>
  <c r="G1092" i="2"/>
  <c r="I1091" i="2"/>
  <c r="H1091" i="2"/>
  <c r="G1091" i="2"/>
  <c r="I1090" i="2"/>
  <c r="H1090" i="2"/>
  <c r="G1090" i="2"/>
  <c r="I1089" i="2"/>
  <c r="H1089" i="2"/>
  <c r="G1089" i="2"/>
  <c r="I1088" i="2"/>
  <c r="H1088" i="2"/>
  <c r="G1088" i="2"/>
  <c r="I1087" i="2"/>
  <c r="H1087" i="2"/>
  <c r="G1087" i="2"/>
  <c r="I1086" i="2"/>
  <c r="H1086" i="2"/>
  <c r="G1086" i="2"/>
  <c r="I1085" i="2"/>
  <c r="H1085" i="2"/>
  <c r="G1085" i="2"/>
  <c r="I1084" i="2"/>
  <c r="H1084" i="2"/>
  <c r="G1084" i="2"/>
  <c r="I1083" i="2"/>
  <c r="H1083" i="2"/>
  <c r="G1083" i="2"/>
  <c r="I1082" i="2"/>
  <c r="H1082" i="2"/>
  <c r="G1082" i="2"/>
  <c r="I1081" i="2"/>
  <c r="H1081" i="2"/>
  <c r="G1081" i="2"/>
  <c r="I1080" i="2"/>
  <c r="H1080" i="2"/>
  <c r="G1080" i="2"/>
  <c r="I1079" i="2"/>
  <c r="H1079" i="2"/>
  <c r="G1079" i="2"/>
  <c r="I1078" i="2"/>
  <c r="H1078" i="2"/>
  <c r="G1078" i="2"/>
  <c r="I1077" i="2"/>
  <c r="H1077" i="2"/>
  <c r="G1077" i="2"/>
  <c r="I1076" i="2"/>
  <c r="H1076" i="2"/>
  <c r="G1076" i="2"/>
  <c r="I1075" i="2"/>
  <c r="H1075" i="2"/>
  <c r="G1075" i="2"/>
  <c r="I1074" i="2"/>
  <c r="H1074" i="2"/>
  <c r="G1074" i="2"/>
  <c r="I1073" i="2"/>
  <c r="H1073" i="2"/>
  <c r="G1073" i="2"/>
  <c r="I1072" i="2"/>
  <c r="H1072" i="2"/>
  <c r="G1072" i="2"/>
  <c r="I1071" i="2"/>
  <c r="H1071" i="2"/>
  <c r="G1071" i="2"/>
  <c r="I1070" i="2"/>
  <c r="H1070" i="2"/>
  <c r="G1070" i="2"/>
  <c r="I1069" i="2"/>
  <c r="H1069" i="2"/>
  <c r="G1069" i="2"/>
  <c r="I1068" i="2"/>
  <c r="H1068" i="2"/>
  <c r="G1068" i="2"/>
  <c r="I1067" i="2"/>
  <c r="H1067" i="2"/>
  <c r="G1067" i="2"/>
  <c r="I1066" i="2"/>
  <c r="H1066" i="2"/>
  <c r="G1066" i="2"/>
  <c r="I1065" i="2"/>
  <c r="H1065" i="2"/>
  <c r="G1065" i="2"/>
  <c r="I1064" i="2"/>
  <c r="H1064" i="2"/>
  <c r="G1064" i="2"/>
  <c r="I1063" i="2"/>
  <c r="H1063" i="2"/>
  <c r="G1063" i="2"/>
  <c r="I1062" i="2"/>
  <c r="H1062" i="2"/>
  <c r="G1062" i="2"/>
  <c r="I1061" i="2"/>
  <c r="H1061" i="2"/>
  <c r="G1061" i="2"/>
  <c r="I1060" i="2"/>
  <c r="H1060" i="2"/>
  <c r="G1060" i="2"/>
  <c r="I1059" i="2"/>
  <c r="H1059" i="2"/>
  <c r="G1059" i="2"/>
  <c r="I1058" i="2"/>
  <c r="H1058" i="2"/>
  <c r="G1058" i="2"/>
  <c r="I1057" i="2"/>
  <c r="H1057" i="2"/>
  <c r="G1057" i="2"/>
  <c r="I1056" i="2"/>
  <c r="H1056" i="2"/>
  <c r="G1056" i="2"/>
  <c r="I1055" i="2"/>
  <c r="H1055" i="2"/>
  <c r="G1055" i="2"/>
  <c r="I1054" i="2"/>
  <c r="H1054" i="2"/>
  <c r="G1054" i="2"/>
  <c r="I1053" i="2"/>
  <c r="H1053" i="2"/>
  <c r="G1053" i="2"/>
  <c r="I1052" i="2"/>
  <c r="H1052" i="2"/>
  <c r="G1052" i="2"/>
  <c r="I1051" i="2"/>
  <c r="H1051" i="2"/>
  <c r="G1051" i="2"/>
  <c r="I1050" i="2"/>
  <c r="H1050" i="2"/>
  <c r="G1050" i="2"/>
  <c r="I1049" i="2"/>
  <c r="H1049" i="2"/>
  <c r="G1049" i="2"/>
  <c r="I1048" i="2"/>
  <c r="H1048" i="2"/>
  <c r="G1048" i="2"/>
  <c r="I1047" i="2"/>
  <c r="H1047" i="2"/>
  <c r="G1047" i="2"/>
  <c r="I1046" i="2"/>
  <c r="H1046" i="2"/>
  <c r="G1046" i="2"/>
  <c r="I1045" i="2"/>
  <c r="H1045" i="2"/>
  <c r="G1045" i="2"/>
  <c r="I1044" i="2"/>
  <c r="H1044" i="2"/>
  <c r="G1044" i="2"/>
  <c r="I1043" i="2"/>
  <c r="H1043" i="2"/>
  <c r="G1043" i="2"/>
  <c r="I1042" i="2"/>
  <c r="H1042" i="2"/>
  <c r="G1042" i="2"/>
  <c r="I1041" i="2"/>
  <c r="H1041" i="2"/>
  <c r="G1041" i="2"/>
  <c r="I1040" i="2"/>
  <c r="H1040" i="2"/>
  <c r="G1040" i="2"/>
  <c r="I1039" i="2"/>
  <c r="H1039" i="2"/>
  <c r="G1039" i="2"/>
  <c r="I1038" i="2"/>
  <c r="H1038" i="2"/>
  <c r="G1038" i="2"/>
  <c r="I1037" i="2"/>
  <c r="H1037" i="2"/>
  <c r="G1037" i="2"/>
  <c r="I1036" i="2"/>
  <c r="H1036" i="2"/>
  <c r="G1036" i="2"/>
  <c r="I1035" i="2"/>
  <c r="H1035" i="2"/>
  <c r="G1035" i="2"/>
  <c r="I1034" i="2"/>
  <c r="H1034" i="2"/>
  <c r="G1034" i="2"/>
  <c r="I1033" i="2"/>
  <c r="H1033" i="2"/>
  <c r="G1033" i="2"/>
  <c r="I1032" i="2"/>
  <c r="H1032" i="2"/>
  <c r="G1032" i="2"/>
  <c r="I1031" i="2"/>
  <c r="H1031" i="2"/>
  <c r="G1031" i="2"/>
  <c r="I1030" i="2"/>
  <c r="H1030" i="2"/>
  <c r="G1030" i="2"/>
  <c r="I1029" i="2"/>
  <c r="H1029" i="2"/>
  <c r="G1029" i="2"/>
  <c r="I1028" i="2"/>
  <c r="H1028" i="2"/>
  <c r="G1028" i="2"/>
  <c r="I1027" i="2"/>
  <c r="H1027" i="2"/>
  <c r="G1027" i="2"/>
  <c r="I1026" i="2"/>
  <c r="H1026" i="2"/>
  <c r="G1026" i="2"/>
  <c r="I1025" i="2"/>
  <c r="H1025" i="2"/>
  <c r="G1025" i="2"/>
  <c r="I1024" i="2"/>
  <c r="H1024" i="2"/>
  <c r="G1024" i="2"/>
  <c r="I1023" i="2"/>
  <c r="H1023" i="2"/>
  <c r="G1023" i="2"/>
  <c r="I1022" i="2"/>
  <c r="H1022" i="2"/>
  <c r="G1022" i="2"/>
  <c r="I1021" i="2"/>
  <c r="H1021" i="2"/>
  <c r="G1021" i="2"/>
  <c r="I1020" i="2"/>
  <c r="H1020" i="2"/>
  <c r="G1020" i="2"/>
  <c r="I1019" i="2"/>
  <c r="H1019" i="2"/>
  <c r="G1019" i="2"/>
  <c r="I1018" i="2"/>
  <c r="H1018" i="2"/>
  <c r="G1018" i="2"/>
  <c r="I1017" i="2"/>
  <c r="H1017" i="2"/>
  <c r="G1017" i="2"/>
  <c r="I1016" i="2"/>
  <c r="H1016" i="2"/>
  <c r="G1016" i="2"/>
  <c r="I1015" i="2"/>
  <c r="H1015" i="2"/>
  <c r="G1015" i="2"/>
  <c r="I1014" i="2"/>
  <c r="H1014" i="2"/>
  <c r="G1014" i="2"/>
  <c r="I1013" i="2"/>
  <c r="H1013" i="2"/>
  <c r="G1013" i="2"/>
  <c r="I1012" i="2"/>
  <c r="H1012" i="2"/>
  <c r="G1012" i="2"/>
  <c r="I1011" i="2"/>
  <c r="H1011" i="2"/>
  <c r="G1011" i="2"/>
  <c r="I1010" i="2"/>
  <c r="H1010" i="2"/>
  <c r="G1010" i="2"/>
  <c r="I1009" i="2"/>
  <c r="H1009" i="2"/>
  <c r="G1009" i="2"/>
  <c r="I1008" i="2"/>
  <c r="H1008" i="2"/>
  <c r="G1008" i="2"/>
  <c r="I1007" i="2"/>
  <c r="H1007" i="2"/>
  <c r="G1007" i="2"/>
  <c r="I1006" i="2"/>
  <c r="H1006" i="2"/>
  <c r="G1006" i="2"/>
  <c r="I1005" i="2"/>
  <c r="H1005" i="2"/>
  <c r="G1005" i="2"/>
  <c r="I1004" i="2"/>
  <c r="H1004" i="2"/>
  <c r="G1004" i="2"/>
  <c r="I1003" i="2"/>
  <c r="H1003" i="2"/>
  <c r="G1003" i="2"/>
  <c r="I1002" i="2"/>
  <c r="H1002" i="2"/>
  <c r="G1002" i="2"/>
  <c r="I1001" i="2"/>
  <c r="H1001" i="2"/>
  <c r="G1001" i="2"/>
  <c r="I1000" i="2"/>
  <c r="H1000" i="2"/>
  <c r="G1000" i="2"/>
  <c r="I999" i="2"/>
  <c r="H999" i="2"/>
  <c r="G999" i="2"/>
  <c r="I998" i="2"/>
  <c r="H998" i="2"/>
  <c r="G998" i="2"/>
  <c r="I997" i="2"/>
  <c r="H997" i="2"/>
  <c r="G997" i="2"/>
  <c r="I996" i="2"/>
  <c r="H996" i="2"/>
  <c r="G996" i="2"/>
  <c r="I995" i="2"/>
  <c r="H995" i="2"/>
  <c r="G995" i="2"/>
  <c r="I994" i="2"/>
  <c r="H994" i="2"/>
  <c r="G994" i="2"/>
  <c r="I993" i="2"/>
  <c r="H993" i="2"/>
  <c r="G993" i="2"/>
  <c r="I992" i="2"/>
  <c r="H992" i="2"/>
  <c r="G992" i="2"/>
  <c r="I991" i="2"/>
  <c r="H991" i="2"/>
  <c r="G991" i="2"/>
  <c r="I990" i="2"/>
  <c r="H990" i="2"/>
  <c r="G990" i="2"/>
  <c r="I989" i="2"/>
  <c r="H989" i="2"/>
  <c r="G989" i="2"/>
  <c r="I988" i="2"/>
  <c r="H988" i="2"/>
  <c r="G988" i="2"/>
  <c r="I987" i="2"/>
  <c r="H987" i="2"/>
  <c r="G987" i="2"/>
  <c r="I986" i="2"/>
  <c r="H986" i="2"/>
  <c r="G986" i="2"/>
  <c r="I985" i="2"/>
  <c r="H985" i="2"/>
  <c r="G985" i="2"/>
  <c r="I984" i="2"/>
  <c r="H984" i="2"/>
  <c r="G984" i="2"/>
  <c r="I983" i="2"/>
  <c r="H983" i="2"/>
  <c r="G983" i="2"/>
  <c r="I982" i="2"/>
  <c r="H982" i="2"/>
  <c r="G982" i="2"/>
  <c r="I981" i="2"/>
  <c r="H981" i="2"/>
  <c r="G981" i="2"/>
  <c r="I980" i="2"/>
  <c r="H980" i="2"/>
  <c r="G980" i="2"/>
  <c r="I979" i="2"/>
  <c r="H979" i="2"/>
  <c r="G979" i="2"/>
  <c r="I978" i="2"/>
  <c r="H978" i="2"/>
  <c r="G978" i="2"/>
  <c r="I977" i="2"/>
  <c r="H977" i="2"/>
  <c r="G977" i="2"/>
  <c r="I976" i="2"/>
  <c r="H976" i="2"/>
  <c r="G976" i="2"/>
  <c r="I975" i="2"/>
  <c r="H975" i="2"/>
  <c r="G975" i="2"/>
  <c r="I974" i="2"/>
  <c r="H974" i="2"/>
  <c r="G974" i="2"/>
  <c r="I973" i="2"/>
  <c r="H973" i="2"/>
  <c r="G973" i="2"/>
  <c r="I972" i="2"/>
  <c r="H972" i="2"/>
  <c r="G972" i="2"/>
  <c r="I971" i="2"/>
  <c r="H971" i="2"/>
  <c r="G971" i="2"/>
  <c r="I970" i="2"/>
  <c r="H970" i="2"/>
  <c r="G970" i="2"/>
  <c r="I969" i="2"/>
  <c r="H969" i="2"/>
  <c r="G969" i="2"/>
  <c r="I968" i="2"/>
  <c r="H968" i="2"/>
  <c r="G968" i="2"/>
  <c r="I967" i="2"/>
  <c r="H967" i="2"/>
  <c r="G967" i="2"/>
  <c r="I966" i="2"/>
  <c r="H966" i="2"/>
  <c r="G966" i="2"/>
  <c r="I965" i="2"/>
  <c r="H965" i="2"/>
  <c r="G965" i="2"/>
  <c r="I964" i="2"/>
  <c r="H964" i="2"/>
  <c r="G964" i="2"/>
  <c r="I963" i="2"/>
  <c r="H963" i="2"/>
  <c r="G963" i="2"/>
  <c r="I962" i="2"/>
  <c r="H962" i="2"/>
  <c r="G962" i="2"/>
  <c r="I961" i="2"/>
  <c r="H961" i="2"/>
  <c r="G961" i="2"/>
  <c r="I960" i="2"/>
  <c r="H960" i="2"/>
  <c r="G960" i="2"/>
  <c r="I959" i="2"/>
  <c r="H959" i="2"/>
  <c r="G959" i="2"/>
  <c r="I958" i="2"/>
  <c r="H958" i="2"/>
  <c r="G958" i="2"/>
  <c r="I957" i="2"/>
  <c r="H957" i="2"/>
  <c r="G957" i="2"/>
  <c r="I956" i="2"/>
  <c r="H956" i="2"/>
  <c r="G956" i="2"/>
  <c r="I955" i="2"/>
  <c r="H955" i="2"/>
  <c r="G955" i="2"/>
  <c r="I954" i="2"/>
  <c r="H954" i="2"/>
  <c r="G954" i="2"/>
  <c r="I953" i="2"/>
  <c r="H953" i="2"/>
  <c r="G953" i="2"/>
  <c r="I952" i="2"/>
  <c r="H952" i="2"/>
  <c r="G952" i="2"/>
  <c r="I951" i="2"/>
  <c r="H951" i="2"/>
  <c r="G951" i="2"/>
  <c r="I950" i="2"/>
  <c r="H950" i="2"/>
  <c r="G950" i="2"/>
  <c r="I949" i="2"/>
  <c r="H949" i="2"/>
  <c r="G949" i="2"/>
  <c r="I948" i="2"/>
  <c r="H948" i="2"/>
  <c r="G948" i="2"/>
  <c r="I947" i="2"/>
  <c r="H947" i="2"/>
  <c r="G947" i="2"/>
  <c r="I946" i="2"/>
  <c r="H946" i="2"/>
  <c r="G946" i="2"/>
  <c r="I945" i="2"/>
  <c r="H945" i="2"/>
  <c r="G945" i="2"/>
  <c r="I944" i="2"/>
  <c r="H944" i="2"/>
  <c r="G944" i="2"/>
  <c r="I943" i="2"/>
  <c r="H943" i="2"/>
  <c r="G943" i="2"/>
  <c r="I942" i="2"/>
  <c r="H942" i="2"/>
  <c r="G942" i="2"/>
  <c r="I941" i="2"/>
  <c r="H941" i="2"/>
  <c r="G941" i="2"/>
  <c r="I940" i="2"/>
  <c r="H940" i="2"/>
  <c r="G940" i="2"/>
  <c r="I939" i="2"/>
  <c r="H939" i="2"/>
  <c r="G939" i="2"/>
  <c r="I938" i="2"/>
  <c r="H938" i="2"/>
  <c r="G938" i="2"/>
  <c r="I937" i="2"/>
  <c r="H937" i="2"/>
  <c r="G937" i="2"/>
  <c r="I936" i="2"/>
  <c r="H936" i="2"/>
  <c r="G936" i="2"/>
  <c r="I935" i="2"/>
  <c r="H935" i="2"/>
  <c r="G935" i="2"/>
  <c r="I934" i="2"/>
  <c r="H934" i="2"/>
  <c r="G934" i="2"/>
  <c r="I933" i="2"/>
  <c r="H933" i="2"/>
  <c r="G933" i="2"/>
  <c r="I932" i="2"/>
  <c r="H932" i="2"/>
  <c r="G932" i="2"/>
  <c r="I931" i="2"/>
  <c r="H931" i="2"/>
  <c r="G931" i="2"/>
  <c r="I930" i="2"/>
  <c r="H930" i="2"/>
  <c r="G930" i="2"/>
  <c r="I929" i="2"/>
  <c r="H929" i="2"/>
  <c r="G929" i="2"/>
  <c r="I928" i="2"/>
  <c r="H928" i="2"/>
  <c r="G928" i="2"/>
  <c r="I927" i="2"/>
  <c r="H927" i="2"/>
  <c r="G927" i="2"/>
  <c r="I926" i="2"/>
  <c r="H926" i="2"/>
  <c r="G926" i="2"/>
  <c r="I925" i="2"/>
  <c r="H925" i="2"/>
  <c r="G925" i="2"/>
  <c r="I924" i="2"/>
  <c r="H924" i="2"/>
  <c r="G924" i="2"/>
  <c r="I923" i="2"/>
  <c r="H923" i="2"/>
  <c r="G923" i="2"/>
  <c r="I922" i="2"/>
  <c r="H922" i="2"/>
  <c r="G922" i="2"/>
  <c r="I921" i="2"/>
  <c r="H921" i="2"/>
  <c r="G921" i="2"/>
  <c r="I920" i="2"/>
  <c r="H920" i="2"/>
  <c r="G920" i="2"/>
  <c r="I919" i="2"/>
  <c r="H919" i="2"/>
  <c r="G919" i="2"/>
  <c r="I918" i="2"/>
  <c r="H918" i="2"/>
  <c r="G918" i="2"/>
  <c r="I917" i="2"/>
  <c r="H917" i="2"/>
  <c r="G917" i="2"/>
  <c r="I916" i="2"/>
  <c r="H916" i="2"/>
  <c r="G916" i="2"/>
  <c r="I915" i="2"/>
  <c r="H915" i="2"/>
  <c r="G915" i="2"/>
  <c r="I914" i="2"/>
  <c r="H914" i="2"/>
  <c r="G914" i="2"/>
  <c r="I913" i="2"/>
  <c r="H913" i="2"/>
  <c r="G913" i="2"/>
  <c r="I912" i="2"/>
  <c r="H912" i="2"/>
  <c r="G912" i="2"/>
  <c r="I911" i="2"/>
  <c r="H911" i="2"/>
  <c r="G911" i="2"/>
  <c r="I910" i="2"/>
  <c r="H910" i="2"/>
  <c r="G910" i="2"/>
  <c r="I909" i="2"/>
  <c r="H909" i="2"/>
  <c r="G909" i="2"/>
  <c r="I908" i="2"/>
  <c r="H908" i="2"/>
  <c r="G908" i="2"/>
  <c r="I907" i="2"/>
  <c r="H907" i="2"/>
  <c r="G907" i="2"/>
  <c r="I906" i="2"/>
  <c r="H906" i="2"/>
  <c r="G906" i="2"/>
  <c r="I905" i="2"/>
  <c r="H905" i="2"/>
  <c r="G905" i="2"/>
  <c r="I904" i="2"/>
  <c r="H904" i="2"/>
  <c r="G904" i="2"/>
  <c r="I903" i="2"/>
  <c r="H903" i="2"/>
  <c r="G903" i="2"/>
  <c r="I902" i="2"/>
  <c r="H902" i="2"/>
  <c r="G902" i="2"/>
  <c r="I901" i="2"/>
  <c r="H901" i="2"/>
  <c r="G901" i="2"/>
  <c r="I900" i="2"/>
  <c r="H900" i="2"/>
  <c r="G900" i="2"/>
  <c r="I899" i="2"/>
  <c r="H899" i="2"/>
  <c r="G899" i="2"/>
  <c r="I898" i="2"/>
  <c r="H898" i="2"/>
  <c r="G898" i="2"/>
  <c r="I897" i="2"/>
  <c r="H897" i="2"/>
  <c r="G897" i="2"/>
  <c r="I896" i="2"/>
  <c r="H896" i="2"/>
  <c r="G896" i="2"/>
  <c r="I895" i="2"/>
  <c r="H895" i="2"/>
  <c r="G895" i="2"/>
  <c r="I894" i="2"/>
  <c r="H894" i="2"/>
  <c r="G894" i="2"/>
  <c r="I893" i="2"/>
  <c r="H893" i="2"/>
  <c r="G893" i="2"/>
  <c r="I892" i="2"/>
  <c r="H892" i="2"/>
  <c r="G892" i="2"/>
  <c r="I891" i="2"/>
  <c r="H891" i="2"/>
  <c r="G891" i="2"/>
  <c r="I890" i="2"/>
  <c r="H890" i="2"/>
  <c r="G890" i="2"/>
  <c r="I889" i="2"/>
  <c r="H889" i="2"/>
  <c r="G889" i="2"/>
  <c r="I888" i="2"/>
  <c r="H888" i="2"/>
  <c r="G888" i="2"/>
  <c r="I887" i="2"/>
  <c r="H887" i="2"/>
  <c r="G887" i="2"/>
  <c r="I886" i="2"/>
  <c r="H886" i="2"/>
  <c r="G886" i="2"/>
  <c r="I885" i="2"/>
  <c r="H885" i="2"/>
  <c r="G885" i="2"/>
  <c r="I884" i="2"/>
  <c r="H884" i="2"/>
  <c r="G884" i="2"/>
  <c r="I883" i="2"/>
  <c r="H883" i="2"/>
  <c r="G883" i="2"/>
  <c r="I882" i="2"/>
  <c r="H882" i="2"/>
  <c r="G882" i="2"/>
  <c r="I881" i="2"/>
  <c r="H881" i="2"/>
  <c r="G881" i="2"/>
  <c r="I880" i="2"/>
  <c r="H880" i="2"/>
  <c r="G880" i="2"/>
  <c r="I879" i="2"/>
  <c r="H879" i="2"/>
  <c r="G879" i="2"/>
  <c r="I878" i="2"/>
  <c r="H878" i="2"/>
  <c r="G878" i="2"/>
  <c r="I877" i="2"/>
  <c r="H877" i="2"/>
  <c r="G877" i="2"/>
  <c r="I876" i="2"/>
  <c r="H876" i="2"/>
  <c r="G876" i="2"/>
  <c r="I875" i="2"/>
  <c r="H875" i="2"/>
  <c r="G875" i="2"/>
  <c r="I874" i="2"/>
  <c r="H874" i="2"/>
  <c r="G874" i="2"/>
  <c r="I873" i="2"/>
  <c r="H873" i="2"/>
  <c r="G873" i="2"/>
  <c r="I872" i="2"/>
  <c r="H872" i="2"/>
  <c r="G872" i="2"/>
  <c r="I871" i="2"/>
  <c r="H871" i="2"/>
  <c r="G871" i="2"/>
  <c r="I870" i="2"/>
  <c r="H870" i="2"/>
  <c r="G870" i="2"/>
  <c r="I869" i="2"/>
  <c r="H869" i="2"/>
  <c r="G869" i="2"/>
  <c r="I868" i="2"/>
  <c r="H868" i="2"/>
  <c r="G868" i="2"/>
  <c r="I867" i="2"/>
  <c r="H867" i="2"/>
  <c r="G867" i="2"/>
  <c r="I866" i="2"/>
  <c r="H866" i="2"/>
  <c r="G866" i="2"/>
  <c r="I865" i="2"/>
  <c r="H865" i="2"/>
  <c r="G865" i="2"/>
  <c r="I864" i="2"/>
  <c r="H864" i="2"/>
  <c r="G864" i="2"/>
  <c r="I863" i="2"/>
  <c r="H863" i="2"/>
  <c r="G863" i="2"/>
  <c r="I862" i="2"/>
  <c r="H862" i="2"/>
  <c r="G862" i="2"/>
  <c r="I861" i="2"/>
  <c r="H861" i="2"/>
  <c r="G861" i="2"/>
  <c r="I860" i="2"/>
  <c r="H860" i="2"/>
  <c r="G860" i="2"/>
  <c r="I859" i="2"/>
  <c r="H859" i="2"/>
  <c r="G859" i="2"/>
  <c r="I858" i="2"/>
  <c r="H858" i="2"/>
  <c r="G858" i="2"/>
  <c r="I857" i="2"/>
  <c r="H857" i="2"/>
  <c r="G857" i="2"/>
  <c r="I856" i="2"/>
  <c r="H856" i="2"/>
  <c r="G856" i="2"/>
  <c r="I855" i="2"/>
  <c r="H855" i="2"/>
  <c r="G855" i="2"/>
  <c r="I854" i="2"/>
  <c r="H854" i="2"/>
  <c r="G854" i="2"/>
  <c r="I853" i="2"/>
  <c r="H853" i="2"/>
  <c r="G853" i="2"/>
  <c r="I852" i="2"/>
  <c r="H852" i="2"/>
  <c r="G852" i="2"/>
  <c r="I851" i="2"/>
  <c r="H851" i="2"/>
  <c r="G851" i="2"/>
  <c r="I850" i="2"/>
  <c r="H850" i="2"/>
  <c r="G850" i="2"/>
  <c r="I849" i="2"/>
  <c r="H849" i="2"/>
  <c r="G849" i="2"/>
  <c r="I848" i="2"/>
  <c r="H848" i="2"/>
  <c r="G848" i="2"/>
  <c r="I847" i="2"/>
  <c r="H847" i="2"/>
  <c r="G847" i="2"/>
  <c r="I846" i="2"/>
  <c r="H846" i="2"/>
  <c r="G846" i="2"/>
  <c r="I845" i="2"/>
  <c r="H845" i="2"/>
  <c r="G845" i="2"/>
  <c r="I844" i="2"/>
  <c r="H844" i="2"/>
  <c r="G844" i="2"/>
  <c r="I843" i="2"/>
  <c r="H843" i="2"/>
  <c r="G843" i="2"/>
  <c r="I842" i="2"/>
  <c r="H842" i="2"/>
  <c r="G842" i="2"/>
  <c r="I841" i="2"/>
  <c r="H841" i="2"/>
  <c r="G841" i="2"/>
  <c r="I840" i="2"/>
  <c r="H840" i="2"/>
  <c r="G840" i="2"/>
  <c r="I839" i="2"/>
  <c r="H839" i="2"/>
  <c r="G839" i="2"/>
  <c r="I838" i="2"/>
  <c r="H838" i="2"/>
  <c r="G838" i="2"/>
  <c r="I837" i="2"/>
  <c r="H837" i="2"/>
  <c r="G837" i="2"/>
  <c r="I836" i="2"/>
  <c r="H836" i="2"/>
  <c r="G836" i="2"/>
  <c r="I835" i="2"/>
  <c r="H835" i="2"/>
  <c r="G835" i="2"/>
  <c r="I834" i="2"/>
  <c r="H834" i="2"/>
  <c r="G834" i="2"/>
  <c r="I833" i="2"/>
  <c r="H833" i="2"/>
  <c r="G833" i="2"/>
  <c r="I832" i="2"/>
  <c r="H832" i="2"/>
  <c r="G832" i="2"/>
  <c r="I831" i="2"/>
  <c r="H831" i="2"/>
  <c r="G831" i="2"/>
  <c r="I830" i="2"/>
  <c r="H830" i="2"/>
  <c r="G830" i="2"/>
  <c r="I829" i="2"/>
  <c r="H829" i="2"/>
  <c r="G829" i="2"/>
  <c r="I828" i="2"/>
  <c r="H828" i="2"/>
  <c r="G828" i="2"/>
  <c r="I827" i="2"/>
  <c r="H827" i="2"/>
  <c r="G827" i="2"/>
  <c r="I826" i="2"/>
  <c r="H826" i="2"/>
  <c r="G826" i="2"/>
  <c r="I825" i="2"/>
  <c r="H825" i="2"/>
  <c r="G825" i="2"/>
  <c r="I824" i="2"/>
  <c r="H824" i="2"/>
  <c r="G824" i="2"/>
  <c r="I823" i="2"/>
  <c r="H823" i="2"/>
  <c r="G823" i="2"/>
  <c r="I822" i="2"/>
  <c r="H822" i="2"/>
  <c r="G822" i="2"/>
  <c r="I821" i="2"/>
  <c r="H821" i="2"/>
  <c r="G821" i="2"/>
  <c r="I820" i="2"/>
  <c r="H820" i="2"/>
  <c r="G820" i="2"/>
  <c r="I819" i="2"/>
  <c r="H819" i="2"/>
  <c r="G819" i="2"/>
  <c r="I818" i="2"/>
  <c r="H818" i="2"/>
  <c r="G818" i="2"/>
  <c r="I817" i="2"/>
  <c r="H817" i="2"/>
  <c r="G817" i="2"/>
  <c r="I816" i="2"/>
  <c r="H816" i="2"/>
  <c r="G816" i="2"/>
  <c r="I815" i="2"/>
  <c r="H815" i="2"/>
  <c r="G815" i="2"/>
  <c r="I814" i="2"/>
  <c r="H814" i="2"/>
  <c r="G814" i="2"/>
  <c r="I813" i="2"/>
  <c r="H813" i="2"/>
  <c r="G813" i="2"/>
  <c r="I812" i="2"/>
  <c r="H812" i="2"/>
  <c r="G812" i="2"/>
  <c r="I811" i="2"/>
  <c r="H811" i="2"/>
  <c r="G811" i="2"/>
  <c r="I810" i="2"/>
  <c r="H810" i="2"/>
  <c r="G810" i="2"/>
  <c r="I809" i="2"/>
  <c r="H809" i="2"/>
  <c r="G809" i="2"/>
  <c r="I808" i="2"/>
  <c r="H808" i="2"/>
  <c r="G808" i="2"/>
  <c r="I807" i="2"/>
  <c r="H807" i="2"/>
  <c r="G807" i="2"/>
  <c r="I806" i="2"/>
  <c r="H806" i="2"/>
  <c r="G806" i="2"/>
  <c r="I805" i="2"/>
  <c r="H805" i="2"/>
  <c r="G805" i="2"/>
  <c r="I804" i="2"/>
  <c r="H804" i="2"/>
  <c r="G804" i="2"/>
  <c r="I803" i="2"/>
  <c r="H803" i="2"/>
  <c r="G803" i="2"/>
  <c r="I802" i="2"/>
  <c r="H802" i="2"/>
  <c r="G802" i="2"/>
  <c r="I801" i="2"/>
  <c r="H801" i="2"/>
  <c r="G801" i="2"/>
  <c r="I800" i="2"/>
  <c r="H800" i="2"/>
  <c r="G800" i="2"/>
  <c r="I799" i="2"/>
  <c r="H799" i="2"/>
  <c r="G799" i="2"/>
  <c r="I798" i="2"/>
  <c r="H798" i="2"/>
  <c r="G798" i="2"/>
  <c r="I797" i="2"/>
  <c r="H797" i="2"/>
  <c r="G797" i="2"/>
  <c r="I796" i="2"/>
  <c r="H796" i="2"/>
  <c r="G796" i="2"/>
  <c r="I795" i="2"/>
  <c r="H795" i="2"/>
  <c r="G795" i="2"/>
  <c r="I794" i="2"/>
  <c r="H794" i="2"/>
  <c r="G794" i="2"/>
  <c r="I793" i="2"/>
  <c r="H793" i="2"/>
  <c r="G793" i="2"/>
  <c r="I792" i="2"/>
  <c r="H792" i="2"/>
  <c r="G792" i="2"/>
  <c r="I791" i="2"/>
  <c r="H791" i="2"/>
  <c r="G791" i="2"/>
  <c r="I790" i="2"/>
  <c r="H790" i="2"/>
  <c r="G790" i="2"/>
  <c r="I789" i="2"/>
  <c r="H789" i="2"/>
  <c r="G789" i="2"/>
  <c r="I788" i="2"/>
  <c r="H788" i="2"/>
  <c r="G788" i="2"/>
  <c r="I787" i="2"/>
  <c r="H787" i="2"/>
  <c r="G787" i="2"/>
  <c r="I786" i="2"/>
  <c r="H786" i="2"/>
  <c r="G786" i="2"/>
  <c r="I785" i="2"/>
  <c r="H785" i="2"/>
  <c r="G785" i="2"/>
  <c r="I784" i="2"/>
  <c r="H784" i="2"/>
  <c r="G784" i="2"/>
  <c r="I783" i="2"/>
  <c r="H783" i="2"/>
  <c r="G783" i="2"/>
  <c r="I782" i="2"/>
  <c r="H782" i="2"/>
  <c r="G782" i="2"/>
  <c r="I781" i="2"/>
  <c r="H781" i="2"/>
  <c r="G781" i="2"/>
  <c r="I780" i="2"/>
  <c r="H780" i="2"/>
  <c r="G780" i="2"/>
  <c r="I779" i="2"/>
  <c r="H779" i="2"/>
  <c r="G779" i="2"/>
  <c r="I778" i="2"/>
  <c r="H778" i="2"/>
  <c r="G778" i="2"/>
  <c r="I777" i="2"/>
  <c r="H777" i="2"/>
  <c r="G777" i="2"/>
  <c r="I776" i="2"/>
  <c r="H776" i="2"/>
  <c r="G776" i="2"/>
  <c r="I775" i="2"/>
  <c r="H775" i="2"/>
  <c r="G775" i="2"/>
  <c r="I774" i="2"/>
  <c r="H774" i="2"/>
  <c r="G774" i="2"/>
  <c r="I773" i="2"/>
  <c r="H773" i="2"/>
  <c r="G773" i="2"/>
  <c r="I772" i="2"/>
  <c r="H772" i="2"/>
  <c r="G772" i="2"/>
  <c r="I771" i="2"/>
  <c r="H771" i="2"/>
  <c r="G771" i="2"/>
  <c r="I770" i="2"/>
  <c r="H770" i="2"/>
  <c r="G770" i="2"/>
  <c r="I769" i="2"/>
  <c r="H769" i="2"/>
  <c r="G769" i="2"/>
  <c r="I768" i="2"/>
  <c r="H768" i="2"/>
  <c r="G768" i="2"/>
  <c r="I767" i="2"/>
  <c r="H767" i="2"/>
  <c r="G767" i="2"/>
  <c r="I766" i="2"/>
  <c r="H766" i="2"/>
  <c r="G766" i="2"/>
  <c r="I765" i="2"/>
  <c r="H765" i="2"/>
  <c r="G765" i="2"/>
  <c r="I764" i="2"/>
  <c r="H764" i="2"/>
  <c r="G764" i="2"/>
  <c r="I763" i="2"/>
  <c r="H763" i="2"/>
  <c r="G763" i="2"/>
  <c r="I762" i="2"/>
  <c r="H762" i="2"/>
  <c r="G762" i="2"/>
  <c r="I761" i="2"/>
  <c r="H761" i="2"/>
  <c r="G761" i="2"/>
  <c r="I760" i="2"/>
  <c r="H760" i="2"/>
  <c r="G760" i="2"/>
  <c r="I759" i="2"/>
  <c r="H759" i="2"/>
  <c r="G759" i="2"/>
  <c r="I758" i="2"/>
  <c r="H758" i="2"/>
  <c r="G758" i="2"/>
  <c r="I757" i="2"/>
  <c r="H757" i="2"/>
  <c r="G757" i="2"/>
  <c r="I756" i="2"/>
  <c r="H756" i="2"/>
  <c r="G756" i="2"/>
  <c r="I755" i="2"/>
  <c r="H755" i="2"/>
  <c r="G755" i="2"/>
  <c r="I754" i="2"/>
  <c r="H754" i="2"/>
  <c r="G754" i="2"/>
  <c r="I753" i="2"/>
  <c r="H753" i="2"/>
  <c r="G753" i="2"/>
  <c r="I752" i="2"/>
  <c r="H752" i="2"/>
  <c r="G752" i="2"/>
  <c r="I751" i="2"/>
  <c r="H751" i="2"/>
  <c r="G751" i="2"/>
  <c r="I750" i="2"/>
  <c r="H750" i="2"/>
  <c r="G750" i="2"/>
  <c r="I749" i="2"/>
  <c r="H749" i="2"/>
  <c r="G749" i="2"/>
  <c r="I748" i="2"/>
  <c r="H748" i="2"/>
  <c r="G748" i="2"/>
  <c r="I747" i="2"/>
  <c r="H747" i="2"/>
  <c r="G747" i="2"/>
  <c r="I746" i="2"/>
  <c r="H746" i="2"/>
  <c r="G746" i="2"/>
  <c r="I745" i="2"/>
  <c r="H745" i="2"/>
  <c r="G745" i="2"/>
  <c r="I744" i="2"/>
  <c r="H744" i="2"/>
  <c r="G744" i="2"/>
  <c r="I743" i="2"/>
  <c r="H743" i="2"/>
  <c r="G743" i="2"/>
  <c r="I742" i="2"/>
  <c r="H742" i="2"/>
  <c r="G742" i="2"/>
  <c r="I741" i="2"/>
  <c r="H741" i="2"/>
  <c r="G741" i="2"/>
  <c r="I740" i="2"/>
  <c r="H740" i="2"/>
  <c r="G740" i="2"/>
  <c r="I739" i="2"/>
  <c r="H739" i="2"/>
  <c r="G739" i="2"/>
  <c r="I738" i="2"/>
  <c r="H738" i="2"/>
  <c r="G738" i="2"/>
  <c r="I737" i="2"/>
  <c r="H737" i="2"/>
  <c r="G737" i="2"/>
  <c r="I736" i="2"/>
  <c r="H736" i="2"/>
  <c r="G736" i="2"/>
  <c r="I735" i="2"/>
  <c r="H735" i="2"/>
  <c r="G735" i="2"/>
  <c r="I734" i="2"/>
  <c r="H734" i="2"/>
  <c r="G734" i="2"/>
  <c r="I733" i="2"/>
  <c r="H733" i="2"/>
  <c r="G733" i="2"/>
  <c r="I732" i="2"/>
  <c r="H732" i="2"/>
  <c r="G732" i="2"/>
  <c r="I731" i="2"/>
  <c r="H731" i="2"/>
  <c r="G731" i="2"/>
  <c r="I730" i="2"/>
  <c r="H730" i="2"/>
  <c r="G730" i="2"/>
  <c r="I729" i="2"/>
  <c r="H729" i="2"/>
  <c r="G729" i="2"/>
  <c r="I728" i="2"/>
  <c r="H728" i="2"/>
  <c r="G728" i="2"/>
  <c r="I727" i="2"/>
  <c r="H727" i="2"/>
  <c r="G727" i="2"/>
  <c r="I726" i="2"/>
  <c r="H726" i="2"/>
  <c r="G726" i="2"/>
  <c r="I725" i="2"/>
  <c r="H725" i="2"/>
  <c r="G725" i="2"/>
  <c r="I724" i="2"/>
  <c r="H724" i="2"/>
  <c r="G724" i="2"/>
  <c r="I723" i="2"/>
  <c r="H723" i="2"/>
  <c r="G723" i="2"/>
  <c r="I722" i="2"/>
  <c r="H722" i="2"/>
  <c r="G722" i="2"/>
  <c r="I721" i="2"/>
  <c r="H721" i="2"/>
  <c r="G721" i="2"/>
  <c r="I720" i="2"/>
  <c r="H720" i="2"/>
  <c r="G720" i="2"/>
  <c r="I719" i="2"/>
  <c r="H719" i="2"/>
  <c r="G719" i="2"/>
  <c r="I718" i="2"/>
  <c r="H718" i="2"/>
  <c r="G718" i="2"/>
  <c r="I717" i="2"/>
  <c r="H717" i="2"/>
  <c r="G717" i="2"/>
  <c r="I716" i="2"/>
  <c r="H716" i="2"/>
  <c r="G716" i="2"/>
  <c r="I715" i="2"/>
  <c r="H715" i="2"/>
  <c r="G715" i="2"/>
  <c r="I714" i="2"/>
  <c r="H714" i="2"/>
  <c r="G714" i="2"/>
  <c r="I713" i="2"/>
  <c r="H713" i="2"/>
  <c r="G713" i="2"/>
  <c r="I712" i="2"/>
  <c r="H712" i="2"/>
  <c r="G712" i="2"/>
  <c r="I711" i="2"/>
  <c r="H711" i="2"/>
  <c r="G711" i="2"/>
  <c r="I710" i="2"/>
  <c r="H710" i="2"/>
  <c r="G710" i="2"/>
  <c r="I709" i="2"/>
  <c r="H709" i="2"/>
  <c r="G709" i="2"/>
  <c r="I708" i="2"/>
  <c r="H708" i="2"/>
  <c r="G708" i="2"/>
  <c r="I707" i="2"/>
  <c r="H707" i="2"/>
  <c r="G707" i="2"/>
  <c r="I706" i="2"/>
  <c r="H706" i="2"/>
  <c r="G706" i="2"/>
  <c r="I705" i="2"/>
  <c r="H705" i="2"/>
  <c r="G705" i="2"/>
  <c r="I704" i="2"/>
  <c r="H704" i="2"/>
  <c r="G704" i="2"/>
  <c r="I703" i="2"/>
  <c r="H703" i="2"/>
  <c r="G703" i="2"/>
  <c r="I702" i="2"/>
  <c r="H702" i="2"/>
  <c r="G702" i="2"/>
  <c r="I701" i="2"/>
  <c r="H701" i="2"/>
  <c r="G701" i="2"/>
  <c r="I700" i="2"/>
  <c r="H700" i="2"/>
  <c r="G700" i="2"/>
  <c r="I699" i="2"/>
  <c r="H699" i="2"/>
  <c r="G699" i="2"/>
  <c r="I698" i="2"/>
  <c r="H698" i="2"/>
  <c r="G698" i="2"/>
  <c r="I697" i="2"/>
  <c r="H697" i="2"/>
  <c r="G697" i="2"/>
  <c r="I696" i="2"/>
  <c r="H696" i="2"/>
  <c r="G696" i="2"/>
  <c r="I695" i="2"/>
  <c r="H695" i="2"/>
  <c r="G695" i="2"/>
  <c r="I694" i="2"/>
  <c r="H694" i="2"/>
  <c r="G694" i="2"/>
  <c r="I693" i="2"/>
  <c r="H693" i="2"/>
  <c r="G693" i="2"/>
  <c r="I692" i="2"/>
  <c r="H692" i="2"/>
  <c r="G692" i="2"/>
  <c r="I691" i="2"/>
  <c r="H691" i="2"/>
  <c r="G691" i="2"/>
  <c r="I690" i="2"/>
  <c r="H690" i="2"/>
  <c r="G690" i="2"/>
  <c r="I689" i="2"/>
  <c r="H689" i="2"/>
  <c r="G689" i="2"/>
  <c r="I688" i="2"/>
  <c r="H688" i="2"/>
  <c r="G688" i="2"/>
  <c r="I687" i="2"/>
  <c r="H687" i="2"/>
  <c r="G687" i="2"/>
  <c r="I686" i="2"/>
  <c r="H686" i="2"/>
  <c r="G686" i="2"/>
  <c r="I685" i="2"/>
  <c r="H685" i="2"/>
  <c r="G685" i="2"/>
  <c r="I684" i="2"/>
  <c r="H684" i="2"/>
  <c r="G684" i="2"/>
  <c r="I683" i="2"/>
  <c r="H683" i="2"/>
  <c r="G683" i="2"/>
  <c r="I682" i="2"/>
  <c r="H682" i="2"/>
  <c r="G682" i="2"/>
  <c r="I681" i="2"/>
  <c r="H681" i="2"/>
  <c r="G681" i="2"/>
  <c r="I680" i="2"/>
  <c r="H680" i="2"/>
  <c r="G680" i="2"/>
  <c r="I679" i="2"/>
  <c r="H679" i="2"/>
  <c r="G679" i="2"/>
  <c r="I678" i="2"/>
  <c r="H678" i="2"/>
  <c r="G678" i="2"/>
  <c r="I677" i="2"/>
  <c r="H677" i="2"/>
  <c r="G677" i="2"/>
  <c r="I676" i="2"/>
  <c r="H676" i="2"/>
  <c r="G676" i="2"/>
  <c r="I675" i="2"/>
  <c r="H675" i="2"/>
  <c r="G675" i="2"/>
  <c r="I674" i="2"/>
  <c r="H674" i="2"/>
  <c r="G674" i="2"/>
  <c r="I673" i="2"/>
  <c r="H673" i="2"/>
  <c r="G673" i="2"/>
  <c r="I672" i="2"/>
  <c r="H672" i="2"/>
  <c r="G672" i="2"/>
  <c r="I671" i="2"/>
  <c r="H671" i="2"/>
  <c r="G671" i="2"/>
  <c r="I670" i="2"/>
  <c r="H670" i="2"/>
  <c r="G670" i="2"/>
  <c r="I669" i="2"/>
  <c r="H669" i="2"/>
  <c r="G669" i="2"/>
  <c r="I668" i="2"/>
  <c r="H668" i="2"/>
  <c r="G668" i="2"/>
  <c r="I667" i="2"/>
  <c r="H667" i="2"/>
  <c r="G667" i="2"/>
  <c r="I666" i="2"/>
  <c r="H666" i="2"/>
  <c r="G666" i="2"/>
  <c r="I665" i="2"/>
  <c r="H665" i="2"/>
  <c r="G665" i="2"/>
  <c r="I664" i="2"/>
  <c r="H664" i="2"/>
  <c r="G664" i="2"/>
  <c r="I663" i="2"/>
  <c r="H663" i="2"/>
  <c r="G663" i="2"/>
  <c r="I662" i="2"/>
  <c r="H662" i="2"/>
  <c r="G662" i="2"/>
  <c r="I661" i="2"/>
  <c r="H661" i="2"/>
  <c r="G661" i="2"/>
  <c r="I660" i="2"/>
  <c r="H660" i="2"/>
  <c r="G660" i="2"/>
  <c r="I659" i="2"/>
  <c r="H659" i="2"/>
  <c r="G659" i="2"/>
  <c r="I658" i="2"/>
  <c r="H658" i="2"/>
  <c r="G658" i="2"/>
  <c r="I657" i="2"/>
  <c r="H657" i="2"/>
  <c r="G657" i="2"/>
  <c r="I656" i="2"/>
  <c r="H656" i="2"/>
  <c r="G656" i="2"/>
  <c r="I655" i="2"/>
  <c r="H655" i="2"/>
  <c r="G655" i="2"/>
  <c r="I654" i="2"/>
  <c r="H654" i="2"/>
  <c r="G654" i="2"/>
  <c r="I653" i="2"/>
  <c r="H653" i="2"/>
  <c r="G653" i="2"/>
  <c r="I652" i="2"/>
  <c r="H652" i="2"/>
  <c r="G652" i="2"/>
  <c r="I651" i="2"/>
  <c r="H651" i="2"/>
  <c r="G651" i="2"/>
  <c r="I650" i="2"/>
  <c r="H650" i="2"/>
  <c r="G650" i="2"/>
  <c r="I649" i="2"/>
  <c r="H649" i="2"/>
  <c r="G649" i="2"/>
  <c r="I648" i="2"/>
  <c r="H648" i="2"/>
  <c r="G648" i="2"/>
  <c r="I647" i="2"/>
  <c r="H647" i="2"/>
  <c r="G647" i="2"/>
  <c r="I646" i="2"/>
  <c r="H646" i="2"/>
  <c r="G646" i="2"/>
  <c r="I645" i="2"/>
  <c r="H645" i="2"/>
  <c r="G645" i="2"/>
  <c r="I644" i="2"/>
  <c r="H644" i="2"/>
  <c r="G644" i="2"/>
  <c r="I643" i="2"/>
  <c r="H643" i="2"/>
  <c r="G643" i="2"/>
  <c r="I642" i="2"/>
  <c r="H642" i="2"/>
  <c r="G642" i="2"/>
  <c r="I641" i="2"/>
  <c r="H641" i="2"/>
  <c r="G641" i="2"/>
  <c r="I640" i="2"/>
  <c r="H640" i="2"/>
  <c r="G640" i="2"/>
  <c r="I639" i="2"/>
  <c r="H639" i="2"/>
  <c r="G639" i="2"/>
  <c r="I638" i="2"/>
  <c r="H638" i="2"/>
  <c r="G638" i="2"/>
  <c r="I637" i="2"/>
  <c r="H637" i="2"/>
  <c r="G637" i="2"/>
  <c r="I636" i="2"/>
  <c r="H636" i="2"/>
  <c r="G636" i="2"/>
  <c r="I635" i="2"/>
  <c r="H635" i="2"/>
  <c r="G635" i="2"/>
  <c r="I634" i="2"/>
  <c r="H634" i="2"/>
  <c r="G634" i="2"/>
  <c r="I633" i="2"/>
  <c r="H633" i="2"/>
  <c r="G633" i="2"/>
  <c r="I632" i="2"/>
  <c r="H632" i="2"/>
  <c r="G632" i="2"/>
  <c r="I631" i="2"/>
  <c r="H631" i="2"/>
  <c r="G631" i="2"/>
  <c r="I630" i="2"/>
  <c r="H630" i="2"/>
  <c r="G630" i="2"/>
  <c r="I629" i="2"/>
  <c r="H629" i="2"/>
  <c r="G629" i="2"/>
  <c r="I628" i="2"/>
  <c r="H628" i="2"/>
  <c r="G628" i="2"/>
  <c r="I627" i="2"/>
  <c r="H627" i="2"/>
  <c r="G627" i="2"/>
  <c r="I626" i="2"/>
  <c r="H626" i="2"/>
  <c r="G626" i="2"/>
  <c r="I625" i="2"/>
  <c r="H625" i="2"/>
  <c r="G625" i="2"/>
  <c r="I624" i="2"/>
  <c r="H624" i="2"/>
  <c r="G624" i="2"/>
  <c r="I623" i="2"/>
  <c r="H623" i="2"/>
  <c r="G623" i="2"/>
  <c r="I622" i="2"/>
  <c r="H622" i="2"/>
  <c r="G622" i="2"/>
  <c r="I621" i="2"/>
  <c r="H621" i="2"/>
  <c r="G621" i="2"/>
  <c r="I620" i="2"/>
  <c r="H620" i="2"/>
  <c r="G620" i="2"/>
  <c r="I619" i="2"/>
  <c r="H619" i="2"/>
  <c r="G619" i="2"/>
  <c r="I618" i="2"/>
  <c r="H618" i="2"/>
  <c r="G618" i="2"/>
  <c r="I617" i="2"/>
  <c r="H617" i="2"/>
  <c r="G617" i="2"/>
  <c r="I616" i="2"/>
  <c r="H616" i="2"/>
  <c r="G616" i="2"/>
  <c r="I615" i="2"/>
  <c r="H615" i="2"/>
  <c r="G615" i="2"/>
  <c r="I614" i="2"/>
  <c r="H614" i="2"/>
  <c r="G614" i="2"/>
  <c r="I613" i="2"/>
  <c r="H613" i="2"/>
  <c r="G613" i="2"/>
  <c r="I612" i="2"/>
  <c r="H612" i="2"/>
  <c r="G612" i="2"/>
  <c r="I611" i="2"/>
  <c r="H611" i="2"/>
  <c r="G611" i="2"/>
  <c r="I610" i="2"/>
  <c r="H610" i="2"/>
  <c r="G610" i="2"/>
  <c r="I609" i="2"/>
  <c r="H609" i="2"/>
  <c r="G609" i="2"/>
  <c r="I608" i="2"/>
  <c r="H608" i="2"/>
  <c r="G608" i="2"/>
  <c r="I607" i="2"/>
  <c r="H607" i="2"/>
  <c r="G607" i="2"/>
  <c r="I606" i="2"/>
  <c r="H606" i="2"/>
  <c r="G606" i="2"/>
  <c r="I605" i="2"/>
  <c r="H605" i="2"/>
  <c r="G605" i="2"/>
  <c r="I604" i="2"/>
  <c r="H604" i="2"/>
  <c r="G604" i="2"/>
  <c r="I603" i="2"/>
  <c r="H603" i="2"/>
  <c r="G603" i="2"/>
  <c r="I602" i="2"/>
  <c r="H602" i="2"/>
  <c r="G602" i="2"/>
  <c r="I601" i="2"/>
  <c r="H601" i="2"/>
  <c r="G601" i="2"/>
  <c r="I600" i="2"/>
  <c r="H600" i="2"/>
  <c r="G600" i="2"/>
  <c r="I599" i="2"/>
  <c r="H599" i="2"/>
  <c r="G599" i="2"/>
  <c r="I598" i="2"/>
  <c r="H598" i="2"/>
  <c r="G598" i="2"/>
  <c r="I597" i="2"/>
  <c r="H597" i="2"/>
  <c r="G597" i="2"/>
  <c r="I596" i="2"/>
  <c r="H596" i="2"/>
  <c r="G596" i="2"/>
  <c r="I595" i="2"/>
  <c r="H595" i="2"/>
  <c r="G595" i="2"/>
  <c r="I594" i="2"/>
  <c r="H594" i="2"/>
  <c r="G594" i="2"/>
  <c r="I593" i="2"/>
  <c r="H593" i="2"/>
  <c r="G593" i="2"/>
  <c r="I592" i="2"/>
  <c r="H592" i="2"/>
  <c r="G592" i="2"/>
  <c r="I591" i="2"/>
  <c r="H591" i="2"/>
  <c r="G591" i="2"/>
  <c r="I590" i="2"/>
  <c r="H590" i="2"/>
  <c r="G590" i="2"/>
  <c r="I589" i="2"/>
  <c r="H589" i="2"/>
  <c r="G589" i="2"/>
  <c r="I588" i="2"/>
  <c r="H588" i="2"/>
  <c r="G588" i="2"/>
  <c r="I587" i="2"/>
  <c r="H587" i="2"/>
  <c r="G587" i="2"/>
  <c r="I586" i="2"/>
  <c r="H586" i="2"/>
  <c r="G586" i="2"/>
  <c r="I585" i="2"/>
  <c r="H585" i="2"/>
  <c r="G585" i="2"/>
  <c r="I584" i="2"/>
  <c r="H584" i="2"/>
  <c r="G584" i="2"/>
  <c r="I583" i="2"/>
  <c r="H583" i="2"/>
  <c r="G583" i="2"/>
  <c r="I582" i="2"/>
  <c r="H582" i="2"/>
  <c r="G582" i="2"/>
  <c r="I581" i="2"/>
  <c r="H581" i="2"/>
  <c r="G581" i="2"/>
  <c r="I580" i="2"/>
  <c r="H580" i="2"/>
  <c r="G580" i="2"/>
  <c r="I579" i="2"/>
  <c r="H579" i="2"/>
  <c r="G579" i="2"/>
  <c r="I578" i="2"/>
  <c r="H578" i="2"/>
  <c r="G578" i="2"/>
  <c r="I577" i="2"/>
  <c r="H577" i="2"/>
  <c r="G577" i="2"/>
  <c r="I576" i="2"/>
  <c r="H576" i="2"/>
  <c r="G576" i="2"/>
  <c r="I575" i="2"/>
  <c r="H575" i="2"/>
  <c r="G575" i="2"/>
  <c r="I574" i="2"/>
  <c r="H574" i="2"/>
  <c r="G574" i="2"/>
  <c r="I573" i="2"/>
  <c r="H573" i="2"/>
  <c r="G573" i="2"/>
  <c r="I572" i="2"/>
  <c r="H572" i="2"/>
  <c r="G572" i="2"/>
  <c r="I571" i="2"/>
  <c r="H571" i="2"/>
  <c r="G571" i="2"/>
  <c r="I570" i="2"/>
  <c r="H570" i="2"/>
  <c r="G570" i="2"/>
  <c r="I569" i="2"/>
  <c r="H569" i="2"/>
  <c r="G569" i="2"/>
  <c r="I568" i="2"/>
  <c r="H568" i="2"/>
  <c r="G568" i="2"/>
  <c r="I567" i="2"/>
  <c r="H567" i="2"/>
  <c r="G567" i="2"/>
  <c r="I566" i="2"/>
  <c r="H566" i="2"/>
  <c r="G566" i="2"/>
  <c r="I565" i="2"/>
  <c r="H565" i="2"/>
  <c r="G565" i="2"/>
  <c r="I564" i="2"/>
  <c r="H564" i="2"/>
  <c r="G564" i="2"/>
  <c r="I563" i="2"/>
  <c r="H563" i="2"/>
  <c r="G563" i="2"/>
  <c r="I562" i="2"/>
  <c r="H562" i="2"/>
  <c r="G562" i="2"/>
  <c r="I561" i="2"/>
  <c r="H561" i="2"/>
  <c r="G561" i="2"/>
  <c r="I560" i="2"/>
  <c r="H560" i="2"/>
  <c r="G560" i="2"/>
  <c r="I559" i="2"/>
  <c r="H559" i="2"/>
  <c r="G559" i="2"/>
  <c r="I558" i="2"/>
  <c r="H558" i="2"/>
  <c r="G558" i="2"/>
  <c r="I557" i="2"/>
  <c r="H557" i="2"/>
  <c r="G557" i="2"/>
  <c r="I556" i="2"/>
  <c r="H556" i="2"/>
  <c r="G556" i="2"/>
  <c r="I555" i="2"/>
  <c r="H555" i="2"/>
  <c r="G555" i="2"/>
  <c r="I554" i="2"/>
  <c r="H554" i="2"/>
  <c r="G554" i="2"/>
  <c r="I553" i="2"/>
  <c r="H553" i="2"/>
  <c r="G553" i="2"/>
  <c r="I552" i="2"/>
  <c r="H552" i="2"/>
  <c r="G552" i="2"/>
  <c r="I551" i="2"/>
  <c r="H551" i="2"/>
  <c r="G551" i="2"/>
  <c r="I550" i="2"/>
  <c r="H550" i="2"/>
  <c r="G550" i="2"/>
  <c r="I549" i="2"/>
  <c r="H549" i="2"/>
  <c r="G549" i="2"/>
  <c r="I548" i="2"/>
  <c r="H548" i="2"/>
  <c r="G548" i="2"/>
  <c r="I547" i="2"/>
  <c r="H547" i="2"/>
  <c r="G547" i="2"/>
  <c r="I546" i="2"/>
  <c r="H546" i="2"/>
  <c r="G546" i="2"/>
  <c r="I545" i="2"/>
  <c r="H545" i="2"/>
  <c r="G545" i="2"/>
  <c r="I544" i="2"/>
  <c r="H544" i="2"/>
  <c r="G544" i="2"/>
  <c r="I543" i="2"/>
  <c r="H543" i="2"/>
  <c r="G543" i="2"/>
  <c r="I542" i="2"/>
  <c r="H542" i="2"/>
  <c r="G542" i="2"/>
  <c r="I541" i="2"/>
  <c r="H541" i="2"/>
  <c r="G541" i="2"/>
  <c r="I540" i="2"/>
  <c r="H540" i="2"/>
  <c r="G540" i="2"/>
  <c r="I539" i="2"/>
  <c r="H539" i="2"/>
  <c r="G539" i="2"/>
  <c r="I538" i="2"/>
  <c r="H538" i="2"/>
  <c r="G538" i="2"/>
  <c r="I537" i="2"/>
  <c r="H537" i="2"/>
  <c r="G537" i="2"/>
  <c r="I536" i="2"/>
  <c r="H536" i="2"/>
  <c r="G536" i="2"/>
  <c r="I535" i="2"/>
  <c r="H535" i="2"/>
  <c r="G535" i="2"/>
  <c r="I534" i="2"/>
  <c r="H534" i="2"/>
  <c r="G534" i="2"/>
  <c r="I533" i="2"/>
  <c r="H533" i="2"/>
  <c r="G533" i="2"/>
  <c r="I532" i="2"/>
  <c r="H532" i="2"/>
  <c r="G532" i="2"/>
  <c r="I531" i="2"/>
  <c r="H531" i="2"/>
  <c r="G531" i="2"/>
  <c r="I530" i="2"/>
  <c r="H530" i="2"/>
  <c r="G530" i="2"/>
  <c r="I529" i="2"/>
  <c r="H529" i="2"/>
  <c r="G529" i="2"/>
  <c r="I528" i="2"/>
  <c r="H528" i="2"/>
  <c r="G528" i="2"/>
  <c r="I527" i="2"/>
  <c r="H527" i="2"/>
  <c r="G527" i="2"/>
  <c r="I526" i="2"/>
  <c r="H526" i="2"/>
  <c r="G526" i="2"/>
  <c r="I525" i="2"/>
  <c r="H525" i="2"/>
  <c r="G525" i="2"/>
  <c r="I524" i="2"/>
  <c r="H524" i="2"/>
  <c r="G524" i="2"/>
  <c r="I523" i="2"/>
  <c r="H523" i="2"/>
  <c r="G523" i="2"/>
  <c r="I522" i="2"/>
  <c r="H522" i="2"/>
  <c r="G522" i="2"/>
  <c r="I521" i="2"/>
  <c r="H521" i="2"/>
  <c r="G521" i="2"/>
  <c r="I520" i="2"/>
  <c r="H520" i="2"/>
  <c r="G520" i="2"/>
  <c r="I519" i="2"/>
  <c r="H519" i="2"/>
  <c r="G519" i="2"/>
  <c r="I518" i="2"/>
  <c r="H518" i="2"/>
  <c r="G518" i="2"/>
  <c r="I517" i="2"/>
  <c r="H517" i="2"/>
  <c r="G517" i="2"/>
  <c r="I516" i="2"/>
  <c r="H516" i="2"/>
  <c r="G516" i="2"/>
  <c r="I515" i="2"/>
  <c r="H515" i="2"/>
  <c r="G515" i="2"/>
  <c r="I514" i="2"/>
  <c r="H514" i="2"/>
  <c r="G514" i="2"/>
  <c r="I513" i="2"/>
  <c r="H513" i="2"/>
  <c r="G513" i="2"/>
  <c r="I512" i="2"/>
  <c r="H512" i="2"/>
  <c r="G512" i="2"/>
  <c r="I511" i="2"/>
  <c r="H511" i="2"/>
  <c r="G511" i="2"/>
  <c r="I510" i="2"/>
  <c r="H510" i="2"/>
  <c r="G510" i="2"/>
  <c r="I509" i="2"/>
  <c r="H509" i="2"/>
  <c r="G509" i="2"/>
  <c r="I508" i="2"/>
  <c r="H508" i="2"/>
  <c r="G508" i="2"/>
  <c r="I507" i="2"/>
  <c r="H507" i="2"/>
  <c r="G507" i="2"/>
  <c r="I506" i="2"/>
  <c r="H506" i="2"/>
  <c r="G506" i="2"/>
  <c r="I505" i="2"/>
  <c r="H505" i="2"/>
  <c r="G505" i="2"/>
  <c r="I504" i="2"/>
  <c r="H504" i="2"/>
  <c r="G504" i="2"/>
  <c r="I503" i="2"/>
  <c r="H503" i="2"/>
  <c r="G503" i="2"/>
  <c r="I502" i="2"/>
  <c r="H502" i="2"/>
  <c r="G502" i="2"/>
  <c r="I501" i="2"/>
  <c r="H501" i="2"/>
  <c r="G501" i="2"/>
  <c r="I500" i="2"/>
  <c r="H500" i="2"/>
  <c r="G500" i="2"/>
  <c r="I499" i="2"/>
  <c r="H499" i="2"/>
  <c r="G499" i="2"/>
  <c r="I498" i="2"/>
  <c r="H498" i="2"/>
  <c r="G498" i="2"/>
  <c r="I497" i="2"/>
  <c r="H497" i="2"/>
  <c r="G497" i="2"/>
  <c r="I496" i="2"/>
  <c r="H496" i="2"/>
  <c r="G496" i="2"/>
  <c r="I495" i="2"/>
  <c r="H495" i="2"/>
  <c r="G495" i="2"/>
  <c r="I494" i="2"/>
  <c r="H494" i="2"/>
  <c r="G494" i="2"/>
  <c r="I493" i="2"/>
  <c r="H493" i="2"/>
  <c r="G493" i="2"/>
  <c r="I492" i="2"/>
  <c r="H492" i="2"/>
  <c r="G492" i="2"/>
  <c r="I491" i="2"/>
  <c r="H491" i="2"/>
  <c r="G491" i="2"/>
  <c r="I490" i="2"/>
  <c r="H490" i="2"/>
  <c r="G490" i="2"/>
  <c r="I489" i="2"/>
  <c r="H489" i="2"/>
  <c r="G489" i="2"/>
  <c r="I488" i="2"/>
  <c r="H488" i="2"/>
  <c r="G488" i="2"/>
  <c r="I487" i="2"/>
  <c r="H487" i="2"/>
  <c r="G487" i="2"/>
  <c r="I486" i="2"/>
  <c r="H486" i="2"/>
  <c r="G486" i="2"/>
  <c r="I485" i="2"/>
  <c r="H485" i="2"/>
  <c r="G485" i="2"/>
  <c r="I484" i="2"/>
  <c r="H484" i="2"/>
  <c r="G484" i="2"/>
  <c r="I483" i="2"/>
  <c r="H483" i="2"/>
  <c r="G483" i="2"/>
  <c r="I482" i="2"/>
  <c r="H482" i="2"/>
  <c r="G482" i="2"/>
  <c r="I481" i="2"/>
  <c r="H481" i="2"/>
  <c r="G481" i="2"/>
  <c r="I480" i="2"/>
  <c r="H480" i="2"/>
  <c r="G480" i="2"/>
  <c r="I479" i="2"/>
  <c r="H479" i="2"/>
  <c r="G479" i="2"/>
  <c r="I478" i="2"/>
  <c r="H478" i="2"/>
  <c r="G478" i="2"/>
  <c r="I477" i="2"/>
  <c r="H477" i="2"/>
  <c r="G477" i="2"/>
  <c r="I476" i="2"/>
  <c r="H476" i="2"/>
  <c r="G476" i="2"/>
  <c r="I475" i="2"/>
  <c r="H475" i="2"/>
  <c r="G475" i="2"/>
  <c r="I474" i="2"/>
  <c r="H474" i="2"/>
  <c r="G474" i="2"/>
  <c r="I473" i="2"/>
  <c r="H473" i="2"/>
  <c r="G473" i="2"/>
  <c r="I472" i="2"/>
  <c r="H472" i="2"/>
  <c r="G472" i="2"/>
  <c r="I471" i="2"/>
  <c r="H471" i="2"/>
  <c r="G471" i="2"/>
  <c r="I470" i="2"/>
  <c r="H470" i="2"/>
  <c r="G470" i="2"/>
  <c r="I469" i="2"/>
  <c r="H469" i="2"/>
  <c r="G469" i="2"/>
  <c r="I468" i="2"/>
  <c r="H468" i="2"/>
  <c r="G468" i="2"/>
  <c r="I467" i="2"/>
  <c r="H467" i="2"/>
  <c r="G467" i="2"/>
  <c r="I466" i="2"/>
  <c r="H466" i="2"/>
  <c r="G466" i="2"/>
  <c r="I465" i="2"/>
  <c r="H465" i="2"/>
  <c r="G465" i="2"/>
  <c r="I464" i="2"/>
  <c r="H464" i="2"/>
  <c r="G464" i="2"/>
  <c r="I463" i="2"/>
  <c r="H463" i="2"/>
  <c r="G463" i="2"/>
  <c r="I462" i="2"/>
  <c r="H462" i="2"/>
  <c r="G462" i="2"/>
  <c r="I461" i="2"/>
  <c r="H461" i="2"/>
  <c r="G461" i="2"/>
  <c r="I460" i="2"/>
  <c r="H460" i="2"/>
  <c r="G460" i="2"/>
  <c r="I459" i="2"/>
  <c r="H459" i="2"/>
  <c r="G459" i="2"/>
  <c r="I458" i="2"/>
  <c r="H458" i="2"/>
  <c r="G458" i="2"/>
  <c r="I457" i="2"/>
  <c r="H457" i="2"/>
  <c r="G457" i="2"/>
  <c r="I456" i="2"/>
  <c r="H456" i="2"/>
  <c r="G456" i="2"/>
  <c r="I455" i="2"/>
  <c r="H455" i="2"/>
  <c r="G455" i="2"/>
  <c r="I454" i="2"/>
  <c r="H454" i="2"/>
  <c r="G454" i="2"/>
  <c r="I453" i="2"/>
  <c r="H453" i="2"/>
  <c r="G453" i="2"/>
  <c r="I452" i="2"/>
  <c r="H452" i="2"/>
  <c r="G452" i="2"/>
  <c r="I451" i="2"/>
  <c r="H451" i="2"/>
  <c r="G451" i="2"/>
  <c r="I450" i="2"/>
  <c r="H450" i="2"/>
  <c r="G450" i="2"/>
  <c r="I449" i="2"/>
  <c r="H449" i="2"/>
  <c r="G449" i="2"/>
  <c r="I448" i="2"/>
  <c r="H448" i="2"/>
  <c r="G448" i="2"/>
  <c r="I447" i="2"/>
  <c r="H447" i="2"/>
  <c r="G447" i="2"/>
  <c r="I446" i="2"/>
  <c r="H446" i="2"/>
  <c r="G446" i="2"/>
  <c r="I445" i="2"/>
  <c r="H445" i="2"/>
  <c r="G445" i="2"/>
  <c r="I444" i="2"/>
  <c r="H444" i="2"/>
  <c r="G444" i="2"/>
  <c r="I443" i="2"/>
  <c r="H443" i="2"/>
  <c r="G443" i="2"/>
  <c r="I442" i="2"/>
  <c r="H442" i="2"/>
  <c r="G442" i="2"/>
  <c r="I441" i="2"/>
  <c r="H441" i="2"/>
  <c r="G441" i="2"/>
  <c r="I440" i="2"/>
  <c r="H440" i="2"/>
  <c r="G440" i="2"/>
  <c r="I439" i="2"/>
  <c r="H439" i="2"/>
  <c r="G439" i="2"/>
  <c r="I438" i="2"/>
  <c r="H438" i="2"/>
  <c r="G438" i="2"/>
  <c r="I437" i="2"/>
  <c r="H437" i="2"/>
  <c r="G437" i="2"/>
  <c r="I436" i="2"/>
  <c r="H436" i="2"/>
  <c r="G436" i="2"/>
  <c r="I435" i="2"/>
  <c r="H435" i="2"/>
  <c r="G435" i="2"/>
  <c r="I434" i="2"/>
  <c r="H434" i="2"/>
  <c r="G434" i="2"/>
  <c r="I433" i="2"/>
  <c r="H433" i="2"/>
  <c r="G433" i="2"/>
  <c r="I432" i="2"/>
  <c r="H432" i="2"/>
  <c r="G432" i="2"/>
  <c r="I431" i="2"/>
  <c r="H431" i="2"/>
  <c r="G431" i="2"/>
  <c r="I430" i="2"/>
  <c r="H430" i="2"/>
  <c r="G430" i="2"/>
  <c r="I429" i="2"/>
  <c r="H429" i="2"/>
  <c r="G429" i="2"/>
  <c r="I428" i="2"/>
  <c r="H428" i="2"/>
  <c r="G428" i="2"/>
  <c r="I427" i="2"/>
  <c r="H427" i="2"/>
  <c r="G427" i="2"/>
  <c r="I426" i="2"/>
  <c r="H426" i="2"/>
  <c r="G426" i="2"/>
  <c r="I425" i="2"/>
  <c r="H425" i="2"/>
  <c r="G425" i="2"/>
  <c r="I424" i="2"/>
  <c r="H424" i="2"/>
  <c r="G424" i="2"/>
  <c r="I423" i="2"/>
  <c r="H423" i="2"/>
  <c r="G423" i="2"/>
  <c r="I422" i="2"/>
  <c r="H422" i="2"/>
  <c r="G422" i="2"/>
  <c r="I421" i="2"/>
  <c r="H421" i="2"/>
  <c r="G421" i="2"/>
  <c r="I420" i="2"/>
  <c r="H420" i="2"/>
  <c r="G420" i="2"/>
  <c r="I419" i="2"/>
  <c r="H419" i="2"/>
  <c r="G419" i="2"/>
  <c r="I418" i="2"/>
  <c r="H418" i="2"/>
  <c r="G418" i="2"/>
  <c r="I417" i="2"/>
  <c r="H417" i="2"/>
  <c r="G417" i="2"/>
  <c r="I416" i="2"/>
  <c r="H416" i="2"/>
  <c r="G416" i="2"/>
  <c r="I415" i="2"/>
  <c r="H415" i="2"/>
  <c r="G415" i="2"/>
  <c r="I414" i="2"/>
  <c r="H414" i="2"/>
  <c r="G414" i="2"/>
  <c r="I413" i="2"/>
  <c r="H413" i="2"/>
  <c r="G413" i="2"/>
  <c r="I412" i="2"/>
  <c r="H412" i="2"/>
  <c r="G412" i="2"/>
  <c r="I411" i="2"/>
  <c r="H411" i="2"/>
  <c r="G411" i="2"/>
  <c r="I410" i="2"/>
  <c r="H410" i="2"/>
  <c r="G410" i="2"/>
  <c r="I409" i="2"/>
  <c r="H409" i="2"/>
  <c r="G409" i="2"/>
  <c r="I408" i="2"/>
  <c r="H408" i="2"/>
  <c r="G408" i="2"/>
  <c r="I407" i="2"/>
  <c r="H407" i="2"/>
  <c r="G407" i="2"/>
  <c r="I406" i="2"/>
  <c r="H406" i="2"/>
  <c r="G406" i="2"/>
  <c r="I405" i="2"/>
  <c r="H405" i="2"/>
  <c r="G405" i="2"/>
  <c r="I404" i="2"/>
  <c r="H404" i="2"/>
  <c r="G404" i="2"/>
  <c r="I403" i="2"/>
  <c r="H403" i="2"/>
  <c r="G403" i="2"/>
  <c r="I402" i="2"/>
  <c r="H402" i="2"/>
  <c r="G402" i="2"/>
  <c r="I401" i="2"/>
  <c r="H401" i="2"/>
  <c r="G401" i="2"/>
  <c r="I400" i="2"/>
  <c r="H400" i="2"/>
  <c r="G400" i="2"/>
  <c r="I399" i="2"/>
  <c r="H399" i="2"/>
  <c r="G399" i="2"/>
  <c r="I398" i="2"/>
  <c r="H398" i="2"/>
  <c r="G398" i="2"/>
  <c r="I397" i="2"/>
  <c r="H397" i="2"/>
  <c r="G397" i="2"/>
  <c r="I396" i="2"/>
  <c r="H396" i="2"/>
  <c r="G396" i="2"/>
  <c r="I395" i="2"/>
  <c r="H395" i="2"/>
  <c r="G395" i="2"/>
  <c r="I394" i="2"/>
  <c r="H394" i="2"/>
  <c r="G394" i="2"/>
  <c r="I393" i="2"/>
  <c r="H393" i="2"/>
  <c r="G393" i="2"/>
  <c r="I392" i="2"/>
  <c r="H392" i="2"/>
  <c r="G392" i="2"/>
  <c r="I391" i="2"/>
  <c r="H391" i="2"/>
  <c r="G391" i="2"/>
  <c r="I390" i="2"/>
  <c r="H390" i="2"/>
  <c r="G390" i="2"/>
  <c r="I389" i="2"/>
  <c r="H389" i="2"/>
  <c r="G389" i="2"/>
  <c r="I388" i="2"/>
  <c r="H388" i="2"/>
  <c r="G388" i="2"/>
  <c r="I387" i="2"/>
  <c r="H387" i="2"/>
  <c r="G387" i="2"/>
  <c r="I386" i="2"/>
  <c r="H386" i="2"/>
  <c r="G386" i="2"/>
  <c r="I385" i="2"/>
  <c r="H385" i="2"/>
  <c r="G385" i="2"/>
  <c r="I384" i="2"/>
  <c r="H384" i="2"/>
  <c r="G384" i="2"/>
  <c r="I383" i="2"/>
  <c r="H383" i="2"/>
  <c r="G383" i="2"/>
  <c r="I382" i="2"/>
  <c r="H382" i="2"/>
  <c r="G382" i="2"/>
  <c r="I381" i="2"/>
  <c r="H381" i="2"/>
  <c r="G381" i="2"/>
  <c r="I380" i="2"/>
  <c r="H380" i="2"/>
  <c r="G380" i="2"/>
  <c r="I379" i="2"/>
  <c r="H379" i="2"/>
  <c r="G379" i="2"/>
  <c r="I378" i="2"/>
  <c r="H378" i="2"/>
  <c r="G378" i="2"/>
  <c r="I377" i="2"/>
  <c r="H377" i="2"/>
  <c r="G377" i="2"/>
  <c r="I376" i="2"/>
  <c r="H376" i="2"/>
  <c r="G376" i="2"/>
  <c r="I375" i="2"/>
  <c r="H375" i="2"/>
  <c r="G375" i="2"/>
  <c r="I374" i="2"/>
  <c r="H374" i="2"/>
  <c r="G374" i="2"/>
  <c r="I373" i="2"/>
  <c r="H373" i="2"/>
  <c r="G373" i="2"/>
  <c r="I372" i="2"/>
  <c r="H372" i="2"/>
  <c r="G372" i="2"/>
  <c r="I371" i="2"/>
  <c r="H371" i="2"/>
  <c r="G371" i="2"/>
  <c r="I370" i="2"/>
  <c r="H370" i="2"/>
  <c r="G370" i="2"/>
  <c r="I369" i="2"/>
  <c r="H369" i="2"/>
  <c r="G369" i="2"/>
  <c r="I368" i="2"/>
  <c r="H368" i="2"/>
  <c r="G368" i="2"/>
  <c r="I367" i="2"/>
  <c r="H367" i="2"/>
  <c r="G367" i="2"/>
  <c r="I366" i="2"/>
  <c r="H366" i="2"/>
  <c r="G366" i="2"/>
  <c r="I365" i="2"/>
  <c r="H365" i="2"/>
  <c r="G365" i="2"/>
  <c r="I364" i="2"/>
  <c r="H364" i="2"/>
  <c r="G364" i="2"/>
  <c r="I363" i="2"/>
  <c r="H363" i="2"/>
  <c r="G363" i="2"/>
  <c r="I362" i="2"/>
  <c r="H362" i="2"/>
  <c r="G362" i="2"/>
  <c r="I361" i="2"/>
  <c r="H361" i="2"/>
  <c r="G361" i="2"/>
  <c r="I360" i="2"/>
  <c r="H360" i="2"/>
  <c r="G360" i="2"/>
  <c r="I359" i="2"/>
  <c r="H359" i="2"/>
  <c r="G359" i="2"/>
  <c r="I358" i="2"/>
  <c r="H358" i="2"/>
  <c r="G358" i="2"/>
  <c r="I357" i="2"/>
  <c r="H357" i="2"/>
  <c r="G357" i="2"/>
  <c r="I356" i="2"/>
  <c r="H356" i="2"/>
  <c r="G356" i="2"/>
  <c r="I355" i="2"/>
  <c r="H355" i="2"/>
  <c r="G355" i="2"/>
  <c r="I354" i="2"/>
  <c r="H354" i="2"/>
  <c r="G354" i="2"/>
  <c r="I353" i="2"/>
  <c r="H353" i="2"/>
  <c r="G353" i="2"/>
  <c r="I352" i="2"/>
  <c r="H352" i="2"/>
  <c r="G352" i="2"/>
  <c r="I351" i="2"/>
  <c r="H351" i="2"/>
  <c r="G351" i="2"/>
  <c r="I350" i="2"/>
  <c r="H350" i="2"/>
  <c r="G350" i="2"/>
  <c r="I349" i="2"/>
  <c r="H349" i="2"/>
  <c r="G349" i="2"/>
  <c r="I348" i="2"/>
  <c r="H348" i="2"/>
  <c r="G348" i="2"/>
  <c r="I347" i="2"/>
  <c r="H347" i="2"/>
  <c r="G347" i="2"/>
  <c r="I346" i="2"/>
  <c r="H346" i="2"/>
  <c r="G346" i="2"/>
  <c r="I345" i="2"/>
  <c r="H345" i="2"/>
  <c r="G345" i="2"/>
  <c r="I344" i="2"/>
  <c r="H344" i="2"/>
  <c r="G344" i="2"/>
  <c r="I343" i="2"/>
  <c r="H343" i="2"/>
  <c r="G343" i="2"/>
  <c r="I342" i="2"/>
  <c r="H342" i="2"/>
  <c r="G342" i="2"/>
  <c r="I341" i="2"/>
  <c r="H341" i="2"/>
  <c r="G341" i="2"/>
  <c r="I340" i="2"/>
  <c r="H340" i="2"/>
  <c r="G340" i="2"/>
  <c r="I339" i="2"/>
  <c r="H339" i="2"/>
  <c r="G339" i="2"/>
  <c r="I338" i="2"/>
  <c r="H338" i="2"/>
  <c r="G338" i="2"/>
  <c r="I337" i="2"/>
  <c r="H337" i="2"/>
  <c r="G337" i="2"/>
  <c r="I336" i="2"/>
  <c r="H336" i="2"/>
  <c r="G336" i="2"/>
  <c r="I335" i="2"/>
  <c r="H335" i="2"/>
  <c r="G335" i="2"/>
  <c r="I334" i="2"/>
  <c r="H334" i="2"/>
  <c r="G334" i="2"/>
  <c r="I333" i="2"/>
  <c r="H333" i="2"/>
  <c r="G333" i="2"/>
  <c r="I332" i="2"/>
  <c r="H332" i="2"/>
  <c r="G332" i="2"/>
  <c r="I331" i="2"/>
  <c r="H331" i="2"/>
  <c r="G331" i="2"/>
  <c r="I330" i="2"/>
  <c r="H330" i="2"/>
  <c r="G330" i="2"/>
  <c r="I329" i="2"/>
  <c r="H329" i="2"/>
  <c r="G329" i="2"/>
  <c r="I328" i="2"/>
  <c r="H328" i="2"/>
  <c r="G328" i="2"/>
  <c r="I327" i="2"/>
  <c r="H327" i="2"/>
  <c r="G327" i="2"/>
  <c r="I326" i="2"/>
  <c r="H326" i="2"/>
  <c r="G326" i="2"/>
  <c r="I325" i="2"/>
  <c r="H325" i="2"/>
  <c r="G325" i="2"/>
  <c r="I324" i="2"/>
  <c r="H324" i="2"/>
  <c r="G324" i="2"/>
  <c r="I323" i="2"/>
  <c r="H323" i="2"/>
  <c r="G323" i="2"/>
  <c r="I322" i="2"/>
  <c r="H322" i="2"/>
  <c r="G322" i="2"/>
  <c r="I321" i="2"/>
  <c r="H321" i="2"/>
  <c r="G321" i="2"/>
  <c r="I320" i="2"/>
  <c r="H320" i="2"/>
  <c r="G320" i="2"/>
  <c r="I319" i="2"/>
  <c r="H319" i="2"/>
  <c r="G319" i="2"/>
  <c r="I318" i="2"/>
  <c r="H318" i="2"/>
  <c r="G318" i="2"/>
  <c r="I317" i="2"/>
  <c r="H317" i="2"/>
  <c r="G317" i="2"/>
  <c r="I316" i="2"/>
  <c r="H316" i="2"/>
  <c r="G316" i="2"/>
  <c r="I315" i="2"/>
  <c r="H315" i="2"/>
  <c r="G315" i="2"/>
  <c r="I314" i="2"/>
  <c r="H314" i="2"/>
  <c r="G314" i="2"/>
  <c r="I313" i="2"/>
  <c r="H313" i="2"/>
  <c r="G313" i="2"/>
  <c r="I312" i="2"/>
  <c r="H312" i="2"/>
  <c r="G312" i="2"/>
  <c r="I311" i="2"/>
  <c r="H311" i="2"/>
  <c r="G311" i="2"/>
  <c r="I310" i="2"/>
  <c r="H310" i="2"/>
  <c r="G310" i="2"/>
  <c r="I309" i="2"/>
  <c r="H309" i="2"/>
  <c r="G309" i="2"/>
  <c r="I308" i="2"/>
  <c r="H308" i="2"/>
  <c r="G308" i="2"/>
  <c r="I307" i="2"/>
  <c r="H307" i="2"/>
  <c r="G307" i="2"/>
  <c r="I306" i="2"/>
  <c r="H306" i="2"/>
  <c r="G306" i="2"/>
  <c r="I305" i="2"/>
  <c r="H305" i="2"/>
  <c r="G305" i="2"/>
  <c r="I304" i="2"/>
  <c r="H304" i="2"/>
  <c r="G304" i="2"/>
  <c r="I303" i="2"/>
  <c r="H303" i="2"/>
  <c r="G303" i="2"/>
  <c r="I302" i="2"/>
  <c r="H302" i="2"/>
  <c r="G302" i="2"/>
  <c r="I301" i="2"/>
  <c r="H301" i="2"/>
  <c r="G301" i="2"/>
  <c r="I300" i="2"/>
  <c r="H300" i="2"/>
  <c r="G300" i="2"/>
  <c r="I299" i="2"/>
  <c r="H299" i="2"/>
  <c r="G299" i="2"/>
  <c r="I298" i="2"/>
  <c r="H298" i="2"/>
  <c r="G298" i="2"/>
  <c r="I297" i="2"/>
  <c r="H297" i="2"/>
  <c r="G297" i="2"/>
  <c r="I296" i="2"/>
  <c r="H296" i="2"/>
  <c r="G296" i="2"/>
  <c r="I295" i="2"/>
  <c r="H295" i="2"/>
  <c r="G295" i="2"/>
  <c r="I294" i="2"/>
  <c r="H294" i="2"/>
  <c r="G294" i="2"/>
  <c r="I293" i="2"/>
  <c r="H293" i="2"/>
  <c r="G293" i="2"/>
  <c r="I292" i="2"/>
  <c r="H292" i="2"/>
  <c r="G292" i="2"/>
  <c r="I291" i="2"/>
  <c r="H291" i="2"/>
  <c r="G291" i="2"/>
  <c r="I290" i="2"/>
  <c r="H290" i="2"/>
  <c r="G290" i="2"/>
  <c r="I289" i="2"/>
  <c r="H289" i="2"/>
  <c r="G289" i="2"/>
  <c r="I288" i="2"/>
  <c r="H288" i="2"/>
  <c r="G288" i="2"/>
  <c r="I287" i="2"/>
  <c r="H287" i="2"/>
  <c r="G287" i="2"/>
  <c r="I286" i="2"/>
  <c r="H286" i="2"/>
  <c r="G286" i="2"/>
  <c r="I285" i="2"/>
  <c r="H285" i="2"/>
  <c r="G285" i="2"/>
  <c r="I284" i="2"/>
  <c r="H284" i="2"/>
  <c r="G284" i="2"/>
  <c r="I283" i="2"/>
  <c r="H283" i="2"/>
  <c r="G283" i="2"/>
  <c r="I282" i="2"/>
  <c r="H282" i="2"/>
  <c r="G282" i="2"/>
  <c r="I281" i="2"/>
  <c r="H281" i="2"/>
  <c r="G281" i="2"/>
  <c r="I280" i="2"/>
  <c r="H280" i="2"/>
  <c r="G280" i="2"/>
  <c r="I279" i="2"/>
  <c r="H279" i="2"/>
  <c r="G279" i="2"/>
  <c r="I278" i="2"/>
  <c r="H278" i="2"/>
  <c r="G278" i="2"/>
  <c r="I277" i="2"/>
  <c r="H277" i="2"/>
  <c r="G277" i="2"/>
  <c r="I276" i="2"/>
  <c r="H276" i="2"/>
  <c r="G276" i="2"/>
  <c r="I275" i="2"/>
  <c r="H275" i="2"/>
  <c r="G275" i="2"/>
  <c r="I274" i="2"/>
  <c r="H274" i="2"/>
  <c r="G274" i="2"/>
  <c r="I273" i="2"/>
  <c r="H273" i="2"/>
  <c r="G273" i="2"/>
  <c r="I272" i="2"/>
  <c r="H272" i="2"/>
  <c r="G272" i="2"/>
  <c r="I271" i="2"/>
  <c r="H271" i="2"/>
  <c r="G271" i="2"/>
  <c r="I270" i="2"/>
  <c r="H270" i="2"/>
  <c r="G270" i="2"/>
  <c r="I269" i="2"/>
  <c r="H269" i="2"/>
  <c r="G269" i="2"/>
  <c r="I268" i="2"/>
  <c r="H268" i="2"/>
  <c r="G268" i="2"/>
  <c r="I267" i="2"/>
  <c r="H267" i="2"/>
  <c r="G267" i="2"/>
  <c r="I266" i="2"/>
  <c r="H266" i="2"/>
  <c r="G266" i="2"/>
  <c r="I265" i="2"/>
  <c r="H265" i="2"/>
  <c r="G265" i="2"/>
  <c r="I264" i="2"/>
  <c r="H264" i="2"/>
  <c r="G264" i="2"/>
  <c r="I263" i="2"/>
  <c r="H263" i="2"/>
  <c r="G263" i="2"/>
  <c r="I262" i="2"/>
  <c r="H262" i="2"/>
  <c r="G262" i="2"/>
  <c r="I261" i="2"/>
  <c r="H261" i="2"/>
  <c r="G261" i="2"/>
  <c r="I260" i="2"/>
  <c r="H260" i="2"/>
  <c r="G260" i="2"/>
  <c r="I259" i="2"/>
  <c r="H259" i="2"/>
  <c r="G259" i="2"/>
  <c r="I258" i="2"/>
  <c r="H258" i="2"/>
  <c r="G258" i="2"/>
  <c r="I257" i="2"/>
  <c r="H257" i="2"/>
  <c r="G257" i="2"/>
  <c r="I256" i="2"/>
  <c r="H256" i="2"/>
  <c r="G256" i="2"/>
  <c r="I255" i="2"/>
  <c r="H255" i="2"/>
  <c r="G255" i="2"/>
  <c r="I254" i="2"/>
  <c r="H254" i="2"/>
  <c r="G254" i="2"/>
  <c r="I253" i="2"/>
  <c r="H253" i="2"/>
  <c r="G253" i="2"/>
  <c r="I252" i="2"/>
  <c r="H252" i="2"/>
  <c r="G252" i="2"/>
  <c r="I251" i="2"/>
  <c r="H251" i="2"/>
  <c r="G251" i="2"/>
  <c r="I250" i="2"/>
  <c r="H250" i="2"/>
  <c r="G250" i="2"/>
  <c r="I249" i="2"/>
  <c r="H249" i="2"/>
  <c r="G249" i="2"/>
  <c r="I248" i="2"/>
  <c r="H248" i="2"/>
  <c r="G248" i="2"/>
  <c r="I247" i="2"/>
  <c r="H247" i="2"/>
  <c r="G247" i="2"/>
  <c r="I246" i="2"/>
  <c r="H246" i="2"/>
  <c r="G246" i="2"/>
  <c r="I245" i="2"/>
  <c r="H245" i="2"/>
  <c r="G245" i="2"/>
  <c r="I244" i="2"/>
  <c r="H244" i="2"/>
  <c r="G244" i="2"/>
  <c r="I243" i="2"/>
  <c r="H243" i="2"/>
  <c r="G243" i="2"/>
  <c r="I242" i="2"/>
  <c r="H242" i="2"/>
  <c r="G242" i="2"/>
  <c r="I241" i="2"/>
  <c r="H241" i="2"/>
  <c r="G241" i="2"/>
  <c r="I240" i="2"/>
  <c r="H240" i="2"/>
  <c r="G240" i="2"/>
  <c r="I239" i="2"/>
  <c r="H239" i="2"/>
  <c r="G239" i="2"/>
  <c r="I238" i="2"/>
  <c r="H238" i="2"/>
  <c r="G238" i="2"/>
  <c r="I237" i="2"/>
  <c r="H237" i="2"/>
  <c r="G237" i="2"/>
  <c r="I236" i="2"/>
  <c r="H236" i="2"/>
  <c r="G236" i="2"/>
  <c r="I235" i="2"/>
  <c r="H235" i="2"/>
  <c r="G235" i="2"/>
  <c r="I234" i="2"/>
  <c r="H234" i="2"/>
  <c r="G234" i="2"/>
  <c r="I233" i="2"/>
  <c r="H233" i="2"/>
  <c r="G233" i="2"/>
  <c r="I232" i="2"/>
  <c r="H232" i="2"/>
  <c r="G232" i="2"/>
  <c r="I231" i="2"/>
  <c r="H231" i="2"/>
  <c r="G231" i="2"/>
  <c r="I230" i="2"/>
  <c r="H230" i="2"/>
  <c r="G230" i="2"/>
  <c r="I229" i="2"/>
  <c r="H229" i="2"/>
  <c r="G229" i="2"/>
  <c r="I228" i="2"/>
  <c r="H228" i="2"/>
  <c r="G228" i="2"/>
  <c r="I227" i="2"/>
  <c r="H227" i="2"/>
  <c r="G227" i="2"/>
  <c r="I226" i="2"/>
  <c r="H226" i="2"/>
  <c r="G226" i="2"/>
  <c r="I225" i="2"/>
  <c r="H225" i="2"/>
  <c r="G225" i="2"/>
  <c r="I224" i="2"/>
  <c r="H224" i="2"/>
  <c r="G224" i="2"/>
  <c r="I223" i="2"/>
  <c r="H223" i="2"/>
  <c r="G223" i="2"/>
  <c r="I222" i="2"/>
  <c r="H222" i="2"/>
  <c r="G222" i="2"/>
  <c r="I221" i="2"/>
  <c r="H221" i="2"/>
  <c r="G221" i="2"/>
  <c r="I220" i="2"/>
  <c r="H220" i="2"/>
  <c r="G220" i="2"/>
  <c r="I219" i="2"/>
  <c r="H219" i="2"/>
  <c r="G219" i="2"/>
  <c r="I218" i="2"/>
  <c r="H218" i="2"/>
  <c r="G218" i="2"/>
  <c r="I217" i="2"/>
  <c r="H217" i="2"/>
  <c r="G217" i="2"/>
  <c r="I216" i="2"/>
  <c r="H216" i="2"/>
  <c r="G216" i="2"/>
  <c r="I215" i="2"/>
  <c r="H215" i="2"/>
  <c r="G215" i="2"/>
  <c r="I214" i="2"/>
  <c r="H214" i="2"/>
  <c r="G214" i="2"/>
  <c r="I213" i="2"/>
  <c r="H213" i="2"/>
  <c r="G213" i="2"/>
  <c r="I212" i="2"/>
  <c r="H212" i="2"/>
  <c r="G212" i="2"/>
  <c r="I211" i="2"/>
  <c r="H211" i="2"/>
  <c r="G211" i="2"/>
  <c r="I210" i="2"/>
  <c r="H210" i="2"/>
  <c r="G210" i="2"/>
  <c r="I209" i="2"/>
  <c r="H209" i="2"/>
  <c r="G209" i="2"/>
  <c r="I208" i="2"/>
  <c r="H208" i="2"/>
  <c r="G208" i="2"/>
  <c r="I207" i="2"/>
  <c r="H207" i="2"/>
  <c r="G207" i="2"/>
  <c r="I206" i="2"/>
  <c r="H206" i="2"/>
  <c r="G206" i="2"/>
  <c r="I205" i="2"/>
  <c r="H205" i="2"/>
  <c r="G205" i="2"/>
  <c r="I204" i="2"/>
  <c r="H204" i="2"/>
  <c r="G204" i="2"/>
  <c r="I203" i="2"/>
  <c r="H203" i="2"/>
  <c r="G203" i="2"/>
  <c r="I202" i="2"/>
  <c r="H202" i="2"/>
  <c r="G202" i="2"/>
  <c r="I201" i="2"/>
  <c r="H201" i="2"/>
  <c r="G201" i="2"/>
  <c r="I200" i="2"/>
  <c r="H200" i="2"/>
  <c r="G200" i="2"/>
  <c r="I199" i="2"/>
  <c r="H199" i="2"/>
  <c r="G199" i="2"/>
  <c r="I198" i="2"/>
  <c r="H198" i="2"/>
  <c r="G198" i="2"/>
  <c r="I197" i="2"/>
  <c r="H197" i="2"/>
  <c r="G197" i="2"/>
  <c r="I196" i="2"/>
  <c r="H196" i="2"/>
  <c r="G196" i="2"/>
  <c r="I195" i="2"/>
  <c r="H195" i="2"/>
  <c r="G195" i="2"/>
  <c r="I194" i="2"/>
  <c r="H194" i="2"/>
  <c r="G194" i="2"/>
  <c r="I193" i="2"/>
  <c r="H193" i="2"/>
  <c r="G193" i="2"/>
  <c r="I192" i="2"/>
  <c r="H192" i="2"/>
  <c r="G192" i="2"/>
  <c r="I191" i="2"/>
  <c r="H191" i="2"/>
  <c r="G191" i="2"/>
  <c r="I190" i="2"/>
  <c r="H190" i="2"/>
  <c r="G190" i="2"/>
  <c r="I189" i="2"/>
  <c r="H189" i="2"/>
  <c r="G189" i="2"/>
  <c r="I188" i="2"/>
  <c r="H188" i="2"/>
  <c r="G188" i="2"/>
  <c r="I187" i="2"/>
  <c r="H187" i="2"/>
  <c r="G187" i="2"/>
  <c r="I186" i="2"/>
  <c r="H186" i="2"/>
  <c r="G186" i="2"/>
  <c r="I185" i="2"/>
  <c r="H185" i="2"/>
  <c r="G185" i="2"/>
  <c r="I184" i="2"/>
  <c r="H184" i="2"/>
  <c r="G184" i="2"/>
  <c r="I183" i="2"/>
  <c r="H183" i="2"/>
  <c r="G183" i="2"/>
  <c r="I182" i="2"/>
  <c r="H182" i="2"/>
  <c r="G182" i="2"/>
  <c r="I181" i="2"/>
  <c r="H181" i="2"/>
  <c r="G181" i="2"/>
  <c r="I180" i="2"/>
  <c r="H180" i="2"/>
  <c r="G180" i="2"/>
  <c r="I179" i="2"/>
  <c r="H179" i="2"/>
  <c r="G179" i="2"/>
  <c r="I178" i="2"/>
  <c r="H178" i="2"/>
  <c r="G178" i="2"/>
  <c r="I177" i="2"/>
  <c r="H177" i="2"/>
  <c r="G177" i="2"/>
  <c r="I176" i="2"/>
  <c r="H176" i="2"/>
  <c r="G176" i="2"/>
  <c r="I175" i="2"/>
  <c r="H175" i="2"/>
  <c r="G175" i="2"/>
  <c r="I174" i="2"/>
  <c r="H174" i="2"/>
  <c r="G174" i="2"/>
  <c r="I173" i="2"/>
  <c r="H173" i="2"/>
  <c r="G173" i="2"/>
  <c r="I172" i="2"/>
  <c r="H172" i="2"/>
  <c r="G172" i="2"/>
  <c r="I171" i="2"/>
  <c r="H171" i="2"/>
  <c r="G171" i="2"/>
  <c r="I170" i="2"/>
  <c r="H170" i="2"/>
  <c r="G170" i="2"/>
  <c r="I169" i="2"/>
  <c r="H169" i="2"/>
  <c r="G169" i="2"/>
  <c r="I168" i="2"/>
  <c r="H168" i="2"/>
  <c r="G168" i="2"/>
  <c r="I167" i="2"/>
  <c r="H167" i="2"/>
  <c r="G167" i="2"/>
  <c r="I166" i="2"/>
  <c r="H166" i="2"/>
  <c r="G166" i="2"/>
  <c r="I165" i="2"/>
  <c r="H165" i="2"/>
  <c r="G165" i="2"/>
  <c r="I164" i="2"/>
  <c r="H164" i="2"/>
  <c r="G164" i="2"/>
  <c r="I163" i="2"/>
  <c r="H163" i="2"/>
  <c r="G163" i="2"/>
  <c r="I162" i="2"/>
  <c r="H162" i="2"/>
  <c r="G162" i="2"/>
  <c r="I161" i="2"/>
  <c r="H161" i="2"/>
  <c r="G161" i="2"/>
  <c r="I160" i="2"/>
  <c r="H160" i="2"/>
  <c r="G160" i="2"/>
  <c r="I159" i="2"/>
  <c r="H159" i="2"/>
  <c r="G159" i="2"/>
  <c r="I158" i="2"/>
  <c r="H158" i="2"/>
  <c r="G158" i="2"/>
  <c r="I157" i="2"/>
  <c r="H157" i="2"/>
  <c r="G157" i="2"/>
  <c r="I156" i="2"/>
  <c r="H156" i="2"/>
  <c r="G156" i="2"/>
  <c r="I155" i="2"/>
  <c r="H155" i="2"/>
  <c r="G155" i="2"/>
  <c r="I154" i="2"/>
  <c r="H154" i="2"/>
  <c r="G154" i="2"/>
  <c r="I153" i="2"/>
  <c r="H153" i="2"/>
  <c r="G153" i="2"/>
  <c r="I152" i="2"/>
  <c r="H152" i="2"/>
  <c r="G152" i="2"/>
  <c r="I151" i="2"/>
  <c r="H151" i="2"/>
  <c r="G151" i="2"/>
  <c r="I150" i="2"/>
  <c r="H150" i="2"/>
  <c r="G150" i="2"/>
  <c r="I149" i="2"/>
  <c r="H149" i="2"/>
  <c r="G149" i="2"/>
  <c r="I148" i="2"/>
  <c r="H148" i="2"/>
  <c r="G148" i="2"/>
  <c r="I147" i="2"/>
  <c r="H147" i="2"/>
  <c r="G147" i="2"/>
  <c r="I146" i="2"/>
  <c r="H146" i="2"/>
  <c r="G146" i="2"/>
  <c r="I145" i="2"/>
  <c r="H145" i="2"/>
  <c r="G145" i="2"/>
  <c r="I144" i="2"/>
  <c r="H144" i="2"/>
  <c r="G144" i="2"/>
  <c r="I143" i="2"/>
  <c r="H143" i="2"/>
  <c r="G143" i="2"/>
  <c r="I142" i="2"/>
  <c r="H142" i="2"/>
  <c r="G142" i="2"/>
  <c r="I141" i="2"/>
  <c r="H141" i="2"/>
  <c r="G141" i="2"/>
  <c r="I140" i="2"/>
  <c r="H140" i="2"/>
  <c r="G140" i="2"/>
  <c r="I139" i="2"/>
  <c r="H139" i="2"/>
  <c r="G139" i="2"/>
  <c r="I138" i="2"/>
  <c r="H138" i="2"/>
  <c r="G138" i="2"/>
  <c r="I137" i="2"/>
  <c r="H137" i="2"/>
  <c r="G137" i="2"/>
  <c r="I136" i="2"/>
  <c r="H136" i="2"/>
  <c r="G136" i="2"/>
  <c r="I135" i="2"/>
  <c r="H135" i="2"/>
  <c r="G135" i="2"/>
  <c r="I134" i="2"/>
  <c r="H134" i="2"/>
  <c r="G134" i="2"/>
  <c r="I133" i="2"/>
  <c r="H133" i="2"/>
  <c r="G133" i="2"/>
  <c r="I132" i="2"/>
  <c r="H132" i="2"/>
  <c r="G132" i="2"/>
  <c r="I131" i="2"/>
  <c r="H131" i="2"/>
  <c r="G131" i="2"/>
  <c r="I130" i="2"/>
  <c r="H130" i="2"/>
  <c r="G130" i="2"/>
  <c r="I129" i="2"/>
  <c r="H129" i="2"/>
  <c r="G129" i="2"/>
  <c r="I128" i="2"/>
  <c r="H128" i="2"/>
  <c r="G128" i="2"/>
  <c r="I127" i="2"/>
  <c r="H127" i="2"/>
  <c r="G127" i="2"/>
  <c r="I126" i="2"/>
  <c r="H126" i="2"/>
  <c r="G126" i="2"/>
  <c r="I125" i="2"/>
  <c r="H125" i="2"/>
  <c r="G125" i="2"/>
  <c r="I124" i="2"/>
  <c r="H124" i="2"/>
  <c r="G124" i="2"/>
  <c r="I123" i="2"/>
  <c r="H123" i="2"/>
  <c r="G123" i="2"/>
  <c r="I122" i="2"/>
  <c r="H122" i="2"/>
  <c r="G122" i="2"/>
  <c r="I121" i="2"/>
  <c r="H121" i="2"/>
  <c r="G121" i="2"/>
  <c r="I120" i="2"/>
  <c r="H120" i="2"/>
  <c r="G120" i="2"/>
  <c r="I119" i="2"/>
  <c r="H119" i="2"/>
  <c r="G119" i="2"/>
  <c r="I118" i="2"/>
  <c r="H118" i="2"/>
  <c r="G118" i="2"/>
  <c r="I117" i="2"/>
  <c r="H117" i="2"/>
  <c r="G117" i="2"/>
  <c r="I116" i="2"/>
  <c r="H116" i="2"/>
  <c r="G116" i="2"/>
  <c r="I115" i="2"/>
  <c r="H115" i="2"/>
  <c r="G115" i="2"/>
  <c r="I114" i="2"/>
  <c r="H114" i="2"/>
  <c r="G114" i="2"/>
  <c r="I113" i="2"/>
  <c r="H113" i="2"/>
  <c r="G113" i="2"/>
  <c r="I112" i="2"/>
  <c r="H112" i="2"/>
  <c r="G112" i="2"/>
  <c r="I111" i="2"/>
  <c r="H111" i="2"/>
  <c r="G111" i="2"/>
  <c r="I110" i="2"/>
  <c r="H110" i="2"/>
  <c r="G110" i="2"/>
  <c r="I109" i="2"/>
  <c r="H109" i="2"/>
  <c r="G109" i="2"/>
  <c r="I108" i="2"/>
  <c r="H108" i="2"/>
  <c r="G108" i="2"/>
  <c r="I107" i="2"/>
  <c r="H107" i="2"/>
  <c r="G107" i="2"/>
  <c r="I106" i="2"/>
  <c r="H106" i="2"/>
  <c r="G106" i="2"/>
  <c r="I105" i="2"/>
  <c r="H105" i="2"/>
  <c r="G105" i="2"/>
  <c r="I104" i="2"/>
  <c r="H104" i="2"/>
  <c r="G104" i="2"/>
  <c r="I103" i="2"/>
  <c r="H103" i="2"/>
  <c r="G103" i="2"/>
  <c r="I102" i="2"/>
  <c r="H102" i="2"/>
  <c r="G102" i="2"/>
  <c r="I101" i="2"/>
  <c r="H101" i="2"/>
  <c r="G101" i="2"/>
  <c r="I100" i="2"/>
  <c r="H100" i="2"/>
  <c r="G100" i="2"/>
  <c r="I99" i="2"/>
  <c r="H99" i="2"/>
  <c r="G99" i="2"/>
  <c r="I98" i="2"/>
  <c r="H98" i="2"/>
  <c r="G98" i="2"/>
  <c r="I97" i="2"/>
  <c r="H97" i="2"/>
  <c r="G97" i="2"/>
  <c r="I96" i="2"/>
  <c r="H96" i="2"/>
  <c r="G96" i="2"/>
  <c r="I95" i="2"/>
  <c r="H95" i="2"/>
  <c r="G95" i="2"/>
  <c r="I94" i="2"/>
  <c r="H94" i="2"/>
  <c r="G94" i="2"/>
  <c r="I93" i="2"/>
  <c r="H93" i="2"/>
  <c r="G93" i="2"/>
  <c r="I92" i="2"/>
  <c r="H92" i="2"/>
  <c r="G92" i="2"/>
  <c r="I91" i="2"/>
  <c r="H91" i="2"/>
  <c r="G91" i="2"/>
  <c r="I90" i="2"/>
  <c r="H90" i="2"/>
  <c r="G90" i="2"/>
  <c r="I89" i="2"/>
  <c r="H89" i="2"/>
  <c r="G89" i="2"/>
  <c r="I88" i="2"/>
  <c r="H88" i="2"/>
  <c r="G88" i="2"/>
  <c r="I87" i="2"/>
  <c r="H87" i="2"/>
  <c r="G87" i="2"/>
  <c r="I86" i="2"/>
  <c r="H86" i="2"/>
  <c r="G86" i="2"/>
  <c r="I85" i="2"/>
  <c r="H85" i="2"/>
  <c r="G85" i="2"/>
  <c r="I84" i="2"/>
  <c r="H84" i="2"/>
  <c r="G84" i="2"/>
  <c r="I83" i="2"/>
  <c r="H83" i="2"/>
  <c r="G83" i="2"/>
  <c r="I82" i="2"/>
  <c r="H82" i="2"/>
  <c r="G82" i="2"/>
  <c r="I81" i="2"/>
  <c r="H81" i="2"/>
  <c r="G81" i="2"/>
  <c r="I80" i="2"/>
  <c r="H80" i="2"/>
  <c r="G80" i="2"/>
  <c r="I79" i="2"/>
  <c r="H79" i="2"/>
  <c r="G79" i="2"/>
  <c r="I78" i="2"/>
  <c r="H78" i="2"/>
  <c r="G78" i="2"/>
  <c r="I77" i="2"/>
  <c r="H77" i="2"/>
  <c r="G77" i="2"/>
  <c r="I76" i="2"/>
  <c r="H76" i="2"/>
  <c r="G76" i="2"/>
  <c r="I75" i="2"/>
  <c r="H75" i="2"/>
  <c r="G75" i="2"/>
  <c r="I74" i="2"/>
  <c r="H74" i="2"/>
  <c r="G74" i="2"/>
  <c r="I73" i="2"/>
  <c r="H73" i="2"/>
  <c r="G73" i="2"/>
  <c r="I72" i="2"/>
  <c r="H72" i="2"/>
  <c r="G72" i="2"/>
  <c r="I71" i="2"/>
  <c r="H71" i="2"/>
  <c r="G71" i="2"/>
  <c r="I70" i="2"/>
  <c r="H70" i="2"/>
  <c r="G70" i="2"/>
  <c r="I69" i="2"/>
  <c r="H69" i="2"/>
  <c r="G69" i="2"/>
  <c r="I68" i="2"/>
  <c r="H68" i="2"/>
  <c r="G68" i="2"/>
  <c r="I67" i="2"/>
  <c r="H67" i="2"/>
  <c r="G67" i="2"/>
  <c r="I66" i="2"/>
  <c r="H66" i="2"/>
  <c r="G66" i="2"/>
  <c r="I65" i="2"/>
  <c r="H65" i="2"/>
  <c r="G65" i="2"/>
  <c r="I64" i="2"/>
  <c r="H64" i="2"/>
  <c r="G64" i="2"/>
  <c r="I63" i="2"/>
  <c r="H63" i="2"/>
  <c r="G63" i="2"/>
  <c r="I62" i="2"/>
  <c r="H62" i="2"/>
  <c r="G62" i="2"/>
  <c r="I61" i="2"/>
  <c r="H61" i="2"/>
  <c r="G61" i="2"/>
  <c r="I60" i="2"/>
  <c r="H60" i="2"/>
  <c r="G60" i="2"/>
  <c r="I59" i="2"/>
  <c r="H59" i="2"/>
  <c r="G59" i="2"/>
  <c r="I58" i="2"/>
  <c r="H58" i="2"/>
  <c r="G58" i="2"/>
  <c r="I57" i="2"/>
  <c r="H57" i="2"/>
  <c r="G57" i="2"/>
  <c r="I56" i="2"/>
  <c r="H56" i="2"/>
  <c r="G56" i="2"/>
  <c r="I55" i="2"/>
  <c r="H55" i="2"/>
  <c r="G55" i="2"/>
  <c r="I54" i="2"/>
  <c r="H54" i="2"/>
  <c r="G54" i="2"/>
  <c r="I53" i="2"/>
  <c r="H53" i="2"/>
  <c r="G53" i="2"/>
  <c r="I52" i="2"/>
  <c r="H52" i="2"/>
  <c r="G52" i="2"/>
  <c r="I51" i="2"/>
  <c r="H51" i="2"/>
  <c r="G51" i="2"/>
  <c r="I50" i="2"/>
  <c r="H50" i="2"/>
  <c r="G50" i="2"/>
  <c r="I49" i="2"/>
  <c r="H49" i="2"/>
  <c r="G49" i="2"/>
  <c r="I48" i="2"/>
  <c r="H48" i="2"/>
  <c r="G48" i="2"/>
  <c r="I47" i="2"/>
  <c r="H47" i="2"/>
  <c r="G47" i="2"/>
  <c r="I46" i="2"/>
  <c r="H46" i="2"/>
  <c r="G46" i="2"/>
  <c r="I45" i="2"/>
  <c r="H45" i="2"/>
  <c r="G45" i="2"/>
  <c r="I44" i="2"/>
  <c r="H44" i="2"/>
  <c r="G44" i="2"/>
  <c r="I43" i="2"/>
  <c r="H43" i="2"/>
  <c r="G43" i="2"/>
  <c r="I42" i="2"/>
  <c r="H42" i="2"/>
  <c r="G42" i="2"/>
  <c r="I41" i="2"/>
  <c r="H41" i="2"/>
  <c r="G41" i="2"/>
  <c r="I40" i="2"/>
  <c r="H40" i="2"/>
  <c r="G40" i="2"/>
  <c r="I39" i="2"/>
  <c r="H39" i="2"/>
  <c r="G39" i="2"/>
  <c r="I38" i="2"/>
  <c r="H38" i="2"/>
  <c r="G38" i="2"/>
  <c r="I37" i="2"/>
  <c r="H37" i="2"/>
  <c r="G37" i="2"/>
  <c r="I36" i="2"/>
  <c r="H36" i="2"/>
  <c r="G36" i="2"/>
  <c r="I35" i="2"/>
  <c r="H35" i="2"/>
  <c r="G35" i="2"/>
  <c r="I34" i="2"/>
  <c r="H34" i="2"/>
  <c r="G34" i="2"/>
  <c r="I33" i="2"/>
  <c r="H33" i="2"/>
  <c r="G33" i="2"/>
  <c r="I32" i="2"/>
  <c r="H32" i="2"/>
  <c r="G32" i="2"/>
  <c r="I31" i="2"/>
  <c r="H31" i="2"/>
  <c r="G31" i="2"/>
  <c r="I30" i="2"/>
  <c r="H30" i="2"/>
  <c r="G30" i="2"/>
  <c r="I29" i="2"/>
  <c r="H29" i="2"/>
  <c r="G29" i="2"/>
  <c r="I28" i="2"/>
  <c r="H28" i="2"/>
  <c r="G28" i="2"/>
  <c r="I27" i="2"/>
  <c r="H27" i="2"/>
  <c r="G27" i="2"/>
  <c r="I26" i="2"/>
  <c r="H26" i="2"/>
  <c r="G26" i="2"/>
  <c r="I25" i="2"/>
  <c r="H25" i="2"/>
  <c r="G25" i="2"/>
  <c r="I24" i="2"/>
  <c r="H24" i="2"/>
  <c r="G24" i="2"/>
  <c r="I23" i="2"/>
  <c r="H23" i="2"/>
  <c r="G23" i="2"/>
  <c r="I22" i="2"/>
  <c r="H22" i="2"/>
  <c r="G22" i="2"/>
  <c r="I21" i="2"/>
  <c r="H21" i="2"/>
  <c r="G21" i="2"/>
  <c r="I20" i="2"/>
  <c r="H20" i="2"/>
  <c r="G20" i="2"/>
  <c r="I19" i="2"/>
  <c r="H19" i="2"/>
  <c r="G19" i="2"/>
  <c r="I18" i="2"/>
  <c r="H18" i="2"/>
  <c r="G18" i="2"/>
  <c r="I17" i="2"/>
  <c r="H17" i="2"/>
  <c r="G17" i="2"/>
  <c r="I16" i="2"/>
  <c r="H16" i="2"/>
  <c r="G16" i="2"/>
  <c r="I15" i="2"/>
  <c r="H15" i="2"/>
  <c r="G15" i="2"/>
  <c r="I14" i="2"/>
  <c r="H14" i="2"/>
  <c r="G14" i="2"/>
  <c r="I13" i="2"/>
  <c r="H13" i="2"/>
  <c r="G13" i="2"/>
  <c r="I12" i="2"/>
  <c r="H12" i="2"/>
  <c r="G12" i="2"/>
  <c r="I11" i="2"/>
  <c r="H11" i="2"/>
  <c r="G11" i="2"/>
  <c r="I10" i="2"/>
  <c r="H10" i="2"/>
  <c r="G10" i="2"/>
  <c r="I9" i="2"/>
  <c r="H9" i="2"/>
  <c r="G9" i="2"/>
  <c r="I8" i="2"/>
  <c r="H8" i="2"/>
  <c r="G8" i="2"/>
  <c r="I7" i="2"/>
  <c r="H7" i="2"/>
  <c r="G7" i="2"/>
  <c r="I6" i="2"/>
  <c r="H6" i="2"/>
  <c r="G6" i="2"/>
  <c r="I5" i="2"/>
  <c r="H5" i="2"/>
  <c r="G5" i="2"/>
  <c r="I4" i="2"/>
  <c r="H4" i="2"/>
  <c r="G4" i="2"/>
  <c r="I3" i="2"/>
  <c r="H3" i="2"/>
  <c r="G3" i="2"/>
  <c r="I2" i="2"/>
  <c r="H2" i="2"/>
  <c r="G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2" i="2"/>
</calcChain>
</file>

<file path=xl/sharedStrings.xml><?xml version="1.0" encoding="utf-8"?>
<sst xmlns="http://schemas.openxmlformats.org/spreadsheetml/2006/main" count="5893" uniqueCount="43">
  <si>
    <t>Store#1</t>
  </si>
  <si>
    <t>Store#2</t>
  </si>
  <si>
    <t>Store#3</t>
  </si>
  <si>
    <t>Catering</t>
  </si>
  <si>
    <t>DineIn</t>
  </si>
  <si>
    <t>DriveThru</t>
  </si>
  <si>
    <t>ToGo</t>
  </si>
  <si>
    <t>Total</t>
  </si>
  <si>
    <t>Store Name-&gt;</t>
  </si>
  <si>
    <t>Segment-&gt;</t>
  </si>
  <si>
    <t>StoreNumber</t>
  </si>
  <si>
    <t>Business Date</t>
  </si>
  <si>
    <t>Sales Segment</t>
  </si>
  <si>
    <t>Net Sales</t>
  </si>
  <si>
    <t>Net Sales - Prior Year</t>
  </si>
  <si>
    <t>Date</t>
  </si>
  <si>
    <t>Fiscal Year</t>
  </si>
  <si>
    <t>Fiscal Period</t>
  </si>
  <si>
    <t>Fiscal Week</t>
  </si>
  <si>
    <t>Store Name</t>
  </si>
  <si>
    <t>Column Labels</t>
  </si>
  <si>
    <t>Grand Total</t>
  </si>
  <si>
    <t>2019 Total</t>
  </si>
  <si>
    <t>2020 Total</t>
  </si>
  <si>
    <t>Row Labels</t>
  </si>
  <si>
    <t>Sum of Net Sales</t>
  </si>
  <si>
    <t>Total Sum of Net Sales</t>
  </si>
  <si>
    <t>Total Sum of Net Sales - Prior Year</t>
  </si>
  <si>
    <t>Sum of Net Sales - Prior Year</t>
  </si>
  <si>
    <t>Sum of Net Sales Growth %</t>
  </si>
  <si>
    <t>Total Sum of Net Sales Growth %</t>
  </si>
  <si>
    <t>Fiscal Year-&gt;</t>
  </si>
  <si>
    <t>Fiscal Period-&gt;</t>
  </si>
  <si>
    <t>Store#1 Sum of Net Sales</t>
  </si>
  <si>
    <t>Store#1 Sum of Net Sales - Prior Year</t>
  </si>
  <si>
    <t>Store#1 Sum of Net Sales Growth %</t>
  </si>
  <si>
    <t>Store#2 Sum of Net Sales</t>
  </si>
  <si>
    <t>Store#2 Sum of Net Sales - Prior Year</t>
  </si>
  <si>
    <t>Store#2 Sum of Net Sales Growth %</t>
  </si>
  <si>
    <t>Store#3 Sum of Net Sales</t>
  </si>
  <si>
    <t>Store#3 Sum of Net Sales - Prior Year</t>
  </si>
  <si>
    <t>Store#3 Sum of Net Sales Growth %</t>
  </si>
  <si>
    <t>Sales Growth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</si>
</sst>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71" formatCode="_(&quot;$&quot;* #,##0_);_(&quot;$&quot;* \(#,##0\);_(&quot;$&quot;* &quot;-&quot;??_);_(@_)"/>
    <numFmt numFmtId="172" formatCode="0.0%;\(0.0%\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name val="Calibri"/>
      <family val="2"/>
      <charset val="204"/>
    </font>
    <font>
      <b/>
      <sz val="11"/>
      <color theme="0"/>
      <name val="Calibri"/>
      <family val="2"/>
      <charset val="204"/>
    </font>
    <font>
      <b/>
      <i/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">
    <xf numFmtId="0" fontId="0" fillId="0" borderId="0" xfId="0"/>
    <xf numFmtId="0" fontId="4" fillId="0" borderId="0" xfId="0" applyFont="1"/>
    <xf numFmtId="0" fontId="4" fillId="0" borderId="0" xfId="0" applyFont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1" xfId="0" applyFont="1" applyFill="1" applyBorder="1"/>
    <xf numFmtId="14" fontId="5" fillId="3" borderId="1" xfId="0" applyNumberFormat="1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3" fontId="0" fillId="0" borderId="0" xfId="0" applyNumberFormat="1"/>
    <xf numFmtId="14" fontId="0" fillId="0" borderId="0" xfId="0" applyNumberFormat="1"/>
    <xf numFmtId="49" fontId="0" fillId="0" borderId="0" xfId="0" applyNumberFormat="1"/>
    <xf numFmtId="43" fontId="0" fillId="0" borderId="0" xfId="1" applyFont="1"/>
    <xf numFmtId="0" fontId="6" fillId="4" borderId="0" xfId="0" applyFont="1" applyFill="1" applyBorder="1" applyAlignment="1">
      <alignment horizontal="center"/>
    </xf>
    <xf numFmtId="14" fontId="2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0" fontId="0" fillId="0" borderId="0" xfId="0" applyNumberFormat="1"/>
    <xf numFmtId="0" fontId="4" fillId="5" borderId="0" xfId="0" applyFont="1" applyFill="1"/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right"/>
    </xf>
    <xf numFmtId="0" fontId="4" fillId="6" borderId="3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left" indent="2"/>
    </xf>
    <xf numFmtId="0" fontId="8" fillId="0" borderId="0" xfId="0" applyFont="1"/>
    <xf numFmtId="3" fontId="4" fillId="0" borderId="0" xfId="0" applyNumberFormat="1" applyFont="1"/>
    <xf numFmtId="171" fontId="8" fillId="0" borderId="6" xfId="2" applyNumberFormat="1" applyFont="1" applyBorder="1"/>
    <xf numFmtId="171" fontId="8" fillId="0" borderId="7" xfId="2" applyNumberFormat="1" applyFont="1" applyBorder="1"/>
    <xf numFmtId="171" fontId="8" fillId="0" borderId="8" xfId="2" applyNumberFormat="1" applyFont="1" applyBorder="1"/>
    <xf numFmtId="171" fontId="4" fillId="0" borderId="0" xfId="2" applyNumberFormat="1" applyFont="1"/>
    <xf numFmtId="0" fontId="4" fillId="0" borderId="0" xfId="0" applyFont="1" applyAlignment="1">
      <alignment horizontal="left"/>
    </xf>
    <xf numFmtId="172" fontId="8" fillId="0" borderId="6" xfId="0" applyNumberFormat="1" applyFont="1" applyBorder="1"/>
    <xf numFmtId="172" fontId="8" fillId="0" borderId="7" xfId="0" applyNumberFormat="1" applyFont="1" applyBorder="1"/>
    <xf numFmtId="172" fontId="8" fillId="0" borderId="8" xfId="0" applyNumberFormat="1" applyFont="1" applyBorder="1"/>
  </cellXfs>
  <cellStyles count="3">
    <cellStyle name="Comma" xfId="1" builtinId="3"/>
    <cellStyle name="Currency" xfId="2" builtinId="4"/>
    <cellStyle name="Normal" xfId="0" builtinId="0"/>
  </cellStyles>
  <dxfs count="9">
    <dxf>
      <numFmt numFmtId="3" formatCode="#,##0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Summary!$C$31</c:f>
              <c:strCache>
                <c:ptCount val="1"/>
                <c:pt idx="0">
                  <c:v>ToGo Growth 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Summary!$D$31:$S$31</c:f>
              <c:numCache>
                <c:formatCode>0.0%;\(0.0%\)</c:formatCode>
                <c:ptCount val="16"/>
                <c:pt idx="0">
                  <c:v>-0.36739396055157958</c:v>
                </c:pt>
                <c:pt idx="1">
                  <c:v>-0.37509090772637954</c:v>
                </c:pt>
                <c:pt idx="2">
                  <c:v>-0.36696699252630405</c:v>
                </c:pt>
                <c:pt idx="3">
                  <c:v>-0.41243292420898536</c:v>
                </c:pt>
                <c:pt idx="4">
                  <c:v>-0.3618532970020133</c:v>
                </c:pt>
                <c:pt idx="5">
                  <c:v>-0.34967352765505</c:v>
                </c:pt>
                <c:pt idx="6">
                  <c:v>-0.34419465450675801</c:v>
                </c:pt>
                <c:pt idx="7">
                  <c:v>-0.36730986933273613</c:v>
                </c:pt>
                <c:pt idx="8">
                  <c:v>-0.12343059725642447</c:v>
                </c:pt>
                <c:pt idx="9">
                  <c:v>-0.28536807411022602</c:v>
                </c:pt>
                <c:pt idx="10">
                  <c:v>2.579135125384302E-2</c:v>
                </c:pt>
                <c:pt idx="11">
                  <c:v>-2.1892792257796057E-2</c:v>
                </c:pt>
                <c:pt idx="12">
                  <c:v>0.12502602235649785</c:v>
                </c:pt>
                <c:pt idx="13">
                  <c:v>4.4390941324488065E-2</c:v>
                </c:pt>
                <c:pt idx="14">
                  <c:v>0.58186781350310279</c:v>
                </c:pt>
                <c:pt idx="15">
                  <c:v>1.7280029470720679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4-4BCF-A9E6-E06C42847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666840"/>
        <c:axId val="718668808"/>
      </c:barChart>
      <c:catAx>
        <c:axId val="7186668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68808"/>
        <c:crosses val="autoZero"/>
        <c:auto val="1"/>
        <c:lblAlgn val="ctr"/>
        <c:lblOffset val="100"/>
        <c:noMultiLvlLbl val="0"/>
      </c:catAx>
      <c:valAx>
        <c:axId val="718668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;\(0.0%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6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31</xdr:row>
      <xdr:rowOff>19050</xdr:rowOff>
    </xdr:from>
    <xdr:to>
      <xdr:col>19</xdr:col>
      <xdr:colOff>0</xdr:colOff>
      <xdr:row>50</xdr:row>
      <xdr:rowOff>47625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33247AD-6400-8EDF-CFE2-E0B4726A59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ny Trotter" refreshedDate="44697.906380787033" createdVersion="7" refreshedVersion="7" minRefreshableVersion="3" recordCount="5784" xr:uid="{37583D94-08B6-4265-9B2C-E2BF0B2FAB3F}">
  <cacheSource type="worksheet">
    <worksheetSource ref="A1:I5785" sheet="SalesData"/>
  </cacheSource>
  <cacheFields count="10">
    <cacheField name="StoreNumber" numFmtId="3">
      <sharedItems containsSemiMixedTypes="0" containsString="0" containsNumber="1" containsInteger="1" minValue="1" maxValue="3"/>
    </cacheField>
    <cacheField name="Business Date" numFmtId="14">
      <sharedItems containsSemiMixedTypes="0" containsNonDate="0" containsDate="1" containsString="0" minDate="2019-01-01T00:00:00" maxDate="2020-04-27T00:00:00"/>
    </cacheField>
    <cacheField name="Sales Segment" numFmtId="49">
      <sharedItems count="4">
        <s v="DineIn"/>
        <s v="DriveThru"/>
        <s v="ToGo"/>
        <s v="Catering"/>
      </sharedItems>
    </cacheField>
    <cacheField name="Net Sales" numFmtId="43">
      <sharedItems containsSemiMixedTypes="0" containsString="0" containsNumber="1" minValue="-80.961999999999989" maxValue="7122.5"/>
    </cacheField>
    <cacheField name="Net Sales - Prior Year" numFmtId="43">
      <sharedItems containsSemiMixedTypes="0" containsString="0" containsNumber="1" minValue="0" maxValue="8104.9849999999988"/>
    </cacheField>
    <cacheField name="Store Name" numFmtId="0">
      <sharedItems count="3">
        <s v="Store#1"/>
        <s v="Store#2"/>
        <s v="Store#3"/>
      </sharedItems>
    </cacheField>
    <cacheField name="Fiscal Year" numFmtId="0">
      <sharedItems containsSemiMixedTypes="0" containsString="0" containsNumber="1" containsInteger="1" minValue="2019" maxValue="2020" count="2">
        <n v="2019"/>
        <n v="2020"/>
      </sharedItems>
    </cacheField>
    <cacheField name="Fiscal Period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Fiscal Week" numFmtId="0">
      <sharedItems containsSemiMixedTypes="0" containsString="0" containsNumber="1" containsInteger="1" minValue="1" maxValue="5"/>
    </cacheField>
    <cacheField name="Net Sales Growth %" numFmtId="0" formula=" ('Net Sales'-'Net Sales - Prior Year' )/'Net Sales - Prior Year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84">
  <r>
    <n v="1"/>
    <d v="2019-01-01T00:00:00"/>
    <x v="0"/>
    <n v="4381.2649999999994"/>
    <n v="4820.6409999999996"/>
    <x v="0"/>
    <x v="0"/>
    <x v="0"/>
    <n v="1"/>
  </r>
  <r>
    <n v="1"/>
    <d v="2019-01-01T00:00:00"/>
    <x v="1"/>
    <n v="2567.4459999999999"/>
    <n v="0"/>
    <x v="0"/>
    <x v="0"/>
    <x v="0"/>
    <n v="1"/>
  </r>
  <r>
    <n v="1"/>
    <d v="2019-01-01T00:00:00"/>
    <x v="2"/>
    <n v="937.3839999999999"/>
    <n v="1107.162"/>
    <x v="0"/>
    <x v="0"/>
    <x v="0"/>
    <n v="1"/>
  </r>
  <r>
    <n v="1"/>
    <d v="2019-01-01T00:00:00"/>
    <x v="3"/>
    <n v="11.186"/>
    <n v="0"/>
    <x v="0"/>
    <x v="0"/>
    <x v="0"/>
    <n v="1"/>
  </r>
  <r>
    <n v="1"/>
    <d v="2019-01-02T00:00:00"/>
    <x v="2"/>
    <n v="768.08199999999999"/>
    <n v="1131.7669999999998"/>
    <x v="0"/>
    <x v="0"/>
    <x v="0"/>
    <n v="1"/>
  </r>
  <r>
    <n v="1"/>
    <d v="2019-01-02T00:00:00"/>
    <x v="1"/>
    <n v="2551.3249999999998"/>
    <n v="0"/>
    <x v="0"/>
    <x v="0"/>
    <x v="0"/>
    <n v="1"/>
  </r>
  <r>
    <n v="1"/>
    <d v="2019-01-02T00:00:00"/>
    <x v="3"/>
    <n v="0"/>
    <n v="532.30099999999993"/>
    <x v="0"/>
    <x v="0"/>
    <x v="0"/>
    <n v="1"/>
  </r>
  <r>
    <n v="1"/>
    <d v="2019-01-02T00:00:00"/>
    <x v="0"/>
    <n v="4489.317"/>
    <n v="5074.9439999999995"/>
    <x v="0"/>
    <x v="0"/>
    <x v="0"/>
    <n v="1"/>
  </r>
  <r>
    <n v="1"/>
    <d v="2019-01-03T00:00:00"/>
    <x v="1"/>
    <n v="3296.9649999999997"/>
    <n v="0"/>
    <x v="0"/>
    <x v="0"/>
    <x v="0"/>
    <n v="1"/>
  </r>
  <r>
    <n v="1"/>
    <d v="2019-01-03T00:00:00"/>
    <x v="2"/>
    <n v="752.77300000000002"/>
    <n v="1356.1379999999999"/>
    <x v="0"/>
    <x v="0"/>
    <x v="0"/>
    <n v="1"/>
  </r>
  <r>
    <n v="1"/>
    <d v="2019-01-03T00:00:00"/>
    <x v="0"/>
    <n v="4832.2820000000002"/>
    <n v="6200.1659999999993"/>
    <x v="0"/>
    <x v="0"/>
    <x v="0"/>
    <n v="1"/>
  </r>
  <r>
    <n v="1"/>
    <d v="2019-01-03T00:00:00"/>
    <x v="3"/>
    <n v="0"/>
    <n v="742.71399999999994"/>
    <x v="0"/>
    <x v="0"/>
    <x v="0"/>
    <n v="1"/>
  </r>
  <r>
    <n v="1"/>
    <d v="2019-01-04T00:00:00"/>
    <x v="2"/>
    <n v="991.49400000000003"/>
    <n v="1910.2859999999998"/>
    <x v="0"/>
    <x v="0"/>
    <x v="0"/>
    <n v="1"/>
  </r>
  <r>
    <n v="1"/>
    <d v="2019-01-04T00:00:00"/>
    <x v="1"/>
    <n v="3297.8890000000001"/>
    <n v="0"/>
    <x v="0"/>
    <x v="0"/>
    <x v="0"/>
    <n v="1"/>
  </r>
  <r>
    <n v="1"/>
    <d v="2019-01-04T00:00:00"/>
    <x v="3"/>
    <n v="254.86299999999997"/>
    <n v="553.17499999999995"/>
    <x v="0"/>
    <x v="0"/>
    <x v="0"/>
    <n v="1"/>
  </r>
  <r>
    <n v="1"/>
    <d v="2019-01-04T00:00:00"/>
    <x v="0"/>
    <n v="5844.1739999999991"/>
    <n v="6832.4690000000001"/>
    <x v="0"/>
    <x v="0"/>
    <x v="0"/>
    <n v="1"/>
  </r>
  <r>
    <n v="1"/>
    <d v="2019-01-05T00:00:00"/>
    <x v="0"/>
    <n v="6107.0169999999989"/>
    <n v="7045.3879999999999"/>
    <x v="0"/>
    <x v="0"/>
    <x v="0"/>
    <n v="1"/>
  </r>
  <r>
    <n v="1"/>
    <d v="2019-01-05T00:00:00"/>
    <x v="3"/>
    <n v="18.402999999999999"/>
    <n v="284.51499999999999"/>
    <x v="0"/>
    <x v="0"/>
    <x v="0"/>
    <n v="1"/>
  </r>
  <r>
    <n v="1"/>
    <d v="2019-01-05T00:00:00"/>
    <x v="1"/>
    <n v="3523.4920000000002"/>
    <n v="0"/>
    <x v="0"/>
    <x v="0"/>
    <x v="0"/>
    <n v="1"/>
  </r>
  <r>
    <n v="1"/>
    <d v="2019-01-05T00:00:00"/>
    <x v="2"/>
    <n v="1457.5049999999999"/>
    <n v="1863.2739999999999"/>
    <x v="0"/>
    <x v="0"/>
    <x v="0"/>
    <n v="1"/>
  </r>
  <r>
    <n v="1"/>
    <d v="2019-01-06T00:00:00"/>
    <x v="3"/>
    <n v="41.495999999999995"/>
    <n v="15.372"/>
    <x v="0"/>
    <x v="0"/>
    <x v="0"/>
    <n v="1"/>
  </r>
  <r>
    <n v="1"/>
    <d v="2019-01-06T00:00:00"/>
    <x v="2"/>
    <n v="383.52299999999997"/>
    <n v="360.95499999999998"/>
    <x v="0"/>
    <x v="0"/>
    <x v="0"/>
    <n v="1"/>
  </r>
  <r>
    <n v="1"/>
    <d v="2019-01-06T00:00:00"/>
    <x v="0"/>
    <n v="2105.5229999999997"/>
    <n v="2898.3219999999997"/>
    <x v="0"/>
    <x v="0"/>
    <x v="0"/>
    <n v="1"/>
  </r>
  <r>
    <n v="1"/>
    <d v="2019-01-06T00:00:00"/>
    <x v="1"/>
    <n v="1735.1809999999998"/>
    <n v="0"/>
    <x v="0"/>
    <x v="0"/>
    <x v="0"/>
    <n v="1"/>
  </r>
  <r>
    <n v="1"/>
    <d v="2019-01-07T00:00:00"/>
    <x v="3"/>
    <n v="0"/>
    <n v="4568.5919999999996"/>
    <x v="0"/>
    <x v="0"/>
    <x v="0"/>
    <n v="2"/>
  </r>
  <r>
    <n v="1"/>
    <d v="2019-01-07T00:00:00"/>
    <x v="2"/>
    <n v="1151.9759999999999"/>
    <n v="1060.8009999999999"/>
    <x v="0"/>
    <x v="0"/>
    <x v="0"/>
    <n v="2"/>
  </r>
  <r>
    <n v="1"/>
    <d v="2019-01-07T00:00:00"/>
    <x v="0"/>
    <n v="4181.3310000000001"/>
    <n v="4100.1589999999997"/>
    <x v="0"/>
    <x v="0"/>
    <x v="0"/>
    <n v="2"/>
  </r>
  <r>
    <n v="1"/>
    <d v="2019-01-07T00:00:00"/>
    <x v="1"/>
    <n v="2980.3760000000002"/>
    <n v="0"/>
    <x v="0"/>
    <x v="0"/>
    <x v="0"/>
    <n v="2"/>
  </r>
  <r>
    <n v="1"/>
    <d v="2019-01-08T00:00:00"/>
    <x v="2"/>
    <n v="671.08299999999997"/>
    <n v="1050.8679999999999"/>
    <x v="0"/>
    <x v="0"/>
    <x v="0"/>
    <n v="2"/>
  </r>
  <r>
    <n v="1"/>
    <d v="2019-01-08T00:00:00"/>
    <x v="0"/>
    <n v="4098.9829999999993"/>
    <n v="4101.6499999999996"/>
    <x v="0"/>
    <x v="0"/>
    <x v="0"/>
    <n v="2"/>
  </r>
  <r>
    <n v="1"/>
    <d v="2019-01-08T00:00:00"/>
    <x v="1"/>
    <n v="2824.5699999999997"/>
    <n v="0"/>
    <x v="0"/>
    <x v="0"/>
    <x v="0"/>
    <n v="2"/>
  </r>
  <r>
    <n v="1"/>
    <d v="2019-01-08T00:00:00"/>
    <x v="3"/>
    <n v="0"/>
    <n v="445.80899999999997"/>
    <x v="0"/>
    <x v="0"/>
    <x v="0"/>
    <n v="2"/>
  </r>
  <r>
    <n v="1"/>
    <d v="2019-01-09T00:00:00"/>
    <x v="2"/>
    <n v="1226.19"/>
    <n v="1261.19"/>
    <x v="0"/>
    <x v="0"/>
    <x v="0"/>
    <n v="2"/>
  </r>
  <r>
    <n v="1"/>
    <d v="2019-01-09T00:00:00"/>
    <x v="1"/>
    <n v="2985.2200000000003"/>
    <n v="0"/>
    <x v="0"/>
    <x v="0"/>
    <x v="0"/>
    <n v="2"/>
  </r>
  <r>
    <n v="1"/>
    <d v="2019-01-09T00:00:00"/>
    <x v="0"/>
    <n v="3912.1809999999996"/>
    <n v="4624.8230000000003"/>
    <x v="0"/>
    <x v="0"/>
    <x v="0"/>
    <n v="2"/>
  </r>
  <r>
    <n v="1"/>
    <d v="2019-01-09T00:00:00"/>
    <x v="3"/>
    <n v="18.507999999999999"/>
    <n v="1016.1199999999999"/>
    <x v="0"/>
    <x v="0"/>
    <x v="0"/>
    <n v="2"/>
  </r>
  <r>
    <n v="1"/>
    <d v="2019-01-10T00:00:00"/>
    <x v="0"/>
    <n v="4760.91"/>
    <n v="5367.5859999999993"/>
    <x v="0"/>
    <x v="0"/>
    <x v="0"/>
    <n v="2"/>
  </r>
  <r>
    <n v="1"/>
    <d v="2019-01-10T00:00:00"/>
    <x v="2"/>
    <n v="1006.5999999999999"/>
    <n v="1455.9929999999997"/>
    <x v="0"/>
    <x v="0"/>
    <x v="0"/>
    <n v="2"/>
  </r>
  <r>
    <n v="1"/>
    <d v="2019-01-10T00:00:00"/>
    <x v="3"/>
    <n v="0"/>
    <n v="507.024"/>
    <x v="0"/>
    <x v="0"/>
    <x v="0"/>
    <n v="2"/>
  </r>
  <r>
    <n v="1"/>
    <d v="2019-01-10T00:00:00"/>
    <x v="1"/>
    <n v="3402.357"/>
    <n v="0"/>
    <x v="0"/>
    <x v="0"/>
    <x v="0"/>
    <n v="2"/>
  </r>
  <r>
    <n v="1"/>
    <d v="2019-01-11T00:00:00"/>
    <x v="0"/>
    <n v="6356.1119999999992"/>
    <n v="6318.2280000000001"/>
    <x v="0"/>
    <x v="0"/>
    <x v="0"/>
    <n v="2"/>
  </r>
  <r>
    <n v="1"/>
    <d v="2019-01-11T00:00:00"/>
    <x v="2"/>
    <n v="1299.991"/>
    <n v="1751.211"/>
    <x v="0"/>
    <x v="0"/>
    <x v="0"/>
    <n v="2"/>
  </r>
  <r>
    <n v="1"/>
    <d v="2019-01-11T00:00:00"/>
    <x v="1"/>
    <n v="3693.6549999999993"/>
    <n v="0"/>
    <x v="0"/>
    <x v="0"/>
    <x v="0"/>
    <n v="2"/>
  </r>
  <r>
    <n v="1"/>
    <d v="2019-01-11T00:00:00"/>
    <x v="3"/>
    <n v="0"/>
    <n v="1040.837"/>
    <x v="0"/>
    <x v="0"/>
    <x v="0"/>
    <n v="2"/>
  </r>
  <r>
    <n v="1"/>
    <d v="2019-01-12T00:00:00"/>
    <x v="0"/>
    <n v="6734.5879999999997"/>
    <n v="6746.7190000000001"/>
    <x v="0"/>
    <x v="0"/>
    <x v="0"/>
    <n v="2"/>
  </r>
  <r>
    <n v="1"/>
    <d v="2019-01-12T00:00:00"/>
    <x v="1"/>
    <n v="4097.5059999999994"/>
    <n v="0"/>
    <x v="0"/>
    <x v="0"/>
    <x v="0"/>
    <n v="2"/>
  </r>
  <r>
    <n v="1"/>
    <d v="2019-01-12T00:00:00"/>
    <x v="3"/>
    <n v="648.33299999999997"/>
    <n v="0"/>
    <x v="0"/>
    <x v="0"/>
    <x v="0"/>
    <n v="2"/>
  </r>
  <r>
    <n v="1"/>
    <d v="2019-01-12T00:00:00"/>
    <x v="2"/>
    <n v="1192.4359999999999"/>
    <n v="1747.8440000000001"/>
    <x v="0"/>
    <x v="0"/>
    <x v="0"/>
    <n v="2"/>
  </r>
  <r>
    <n v="1"/>
    <d v="2019-01-13T00:00:00"/>
    <x v="0"/>
    <n v="1821.421"/>
    <n v="1989.1689999999999"/>
    <x v="0"/>
    <x v="0"/>
    <x v="0"/>
    <n v="2"/>
  </r>
  <r>
    <n v="1"/>
    <d v="2019-01-13T00:00:00"/>
    <x v="1"/>
    <n v="1646.7919999999999"/>
    <n v="0"/>
    <x v="0"/>
    <x v="0"/>
    <x v="0"/>
    <n v="2"/>
  </r>
  <r>
    <n v="1"/>
    <d v="2019-01-13T00:00:00"/>
    <x v="3"/>
    <n v="0"/>
    <n v="0"/>
    <x v="0"/>
    <x v="0"/>
    <x v="0"/>
    <n v="2"/>
  </r>
  <r>
    <n v="1"/>
    <d v="2019-01-13T00:00:00"/>
    <x v="2"/>
    <n v="241.39500000000001"/>
    <n v="347.63399999999996"/>
    <x v="0"/>
    <x v="0"/>
    <x v="0"/>
    <n v="2"/>
  </r>
  <r>
    <n v="1"/>
    <d v="2019-01-14T00:00:00"/>
    <x v="2"/>
    <n v="567.02799999999991"/>
    <n v="1498.5179999999998"/>
    <x v="0"/>
    <x v="0"/>
    <x v="0"/>
    <n v="3"/>
  </r>
  <r>
    <n v="1"/>
    <d v="2019-01-14T00:00:00"/>
    <x v="0"/>
    <n v="3610.194"/>
    <n v="5617.0869999999995"/>
    <x v="0"/>
    <x v="0"/>
    <x v="0"/>
    <n v="3"/>
  </r>
  <r>
    <n v="1"/>
    <d v="2019-01-14T00:00:00"/>
    <x v="3"/>
    <n v="168.53899999999999"/>
    <n v="0"/>
    <x v="0"/>
    <x v="0"/>
    <x v="0"/>
    <n v="3"/>
  </r>
  <r>
    <n v="1"/>
    <d v="2019-01-14T00:00:00"/>
    <x v="1"/>
    <n v="2546.2919999999999"/>
    <n v="0"/>
    <x v="0"/>
    <x v="0"/>
    <x v="0"/>
    <n v="3"/>
  </r>
  <r>
    <n v="1"/>
    <d v="2019-01-15T00:00:00"/>
    <x v="3"/>
    <n v="230.08299999999997"/>
    <n v="683.12299999999993"/>
    <x v="0"/>
    <x v="0"/>
    <x v="0"/>
    <n v="3"/>
  </r>
  <r>
    <n v="1"/>
    <d v="2019-01-15T00:00:00"/>
    <x v="1"/>
    <n v="3061.4920000000002"/>
    <n v="0"/>
    <x v="0"/>
    <x v="0"/>
    <x v="0"/>
    <n v="3"/>
  </r>
  <r>
    <n v="1"/>
    <d v="2019-01-15T00:00:00"/>
    <x v="2"/>
    <n v="592.35399999999993"/>
    <n v="1081.087"/>
    <x v="0"/>
    <x v="0"/>
    <x v="0"/>
    <n v="3"/>
  </r>
  <r>
    <n v="1"/>
    <d v="2019-01-15T00:00:00"/>
    <x v="0"/>
    <n v="3437.0489999999995"/>
    <n v="4324.509"/>
    <x v="0"/>
    <x v="0"/>
    <x v="0"/>
    <n v="3"/>
  </r>
  <r>
    <n v="1"/>
    <d v="2019-01-16T00:00:00"/>
    <x v="1"/>
    <n v="3109.3440000000001"/>
    <n v="0"/>
    <x v="0"/>
    <x v="0"/>
    <x v="0"/>
    <n v="3"/>
  </r>
  <r>
    <n v="1"/>
    <d v="2019-01-16T00:00:00"/>
    <x v="2"/>
    <n v="955.26199999999994"/>
    <n v="1096.144"/>
    <x v="0"/>
    <x v="0"/>
    <x v="0"/>
    <n v="3"/>
  </r>
  <r>
    <n v="1"/>
    <d v="2019-01-16T00:00:00"/>
    <x v="0"/>
    <n v="4823.8890000000001"/>
    <n v="4008.123"/>
    <x v="0"/>
    <x v="0"/>
    <x v="0"/>
    <n v="3"/>
  </r>
  <r>
    <n v="1"/>
    <d v="2019-01-16T00:00:00"/>
    <x v="3"/>
    <n v="154.88199999999998"/>
    <n v="308.40599999999995"/>
    <x v="0"/>
    <x v="0"/>
    <x v="0"/>
    <n v="3"/>
  </r>
  <r>
    <n v="1"/>
    <d v="2019-01-17T00:00:00"/>
    <x v="2"/>
    <n v="774.89299999999992"/>
    <n v="1826.0409999999999"/>
    <x v="0"/>
    <x v="0"/>
    <x v="0"/>
    <n v="3"/>
  </r>
  <r>
    <n v="1"/>
    <d v="2019-01-17T00:00:00"/>
    <x v="0"/>
    <n v="4240.4459999999999"/>
    <n v="6019.1039999999994"/>
    <x v="0"/>
    <x v="0"/>
    <x v="0"/>
    <n v="3"/>
  </r>
  <r>
    <n v="1"/>
    <d v="2019-01-17T00:00:00"/>
    <x v="3"/>
    <n v="47.746999999999993"/>
    <n v="151.40299999999999"/>
    <x v="0"/>
    <x v="0"/>
    <x v="0"/>
    <n v="3"/>
  </r>
  <r>
    <n v="1"/>
    <d v="2019-01-17T00:00:00"/>
    <x v="1"/>
    <n v="3295.6349999999998"/>
    <n v="0"/>
    <x v="0"/>
    <x v="0"/>
    <x v="0"/>
    <n v="3"/>
  </r>
  <r>
    <n v="1"/>
    <d v="2019-01-18T00:00:00"/>
    <x v="0"/>
    <n v="6541.7520000000004"/>
    <n v="6931.2249999999995"/>
    <x v="0"/>
    <x v="0"/>
    <x v="0"/>
    <n v="3"/>
  </r>
  <r>
    <n v="1"/>
    <d v="2019-01-18T00:00:00"/>
    <x v="1"/>
    <n v="3856.4119999999998"/>
    <n v="0"/>
    <x v="0"/>
    <x v="0"/>
    <x v="0"/>
    <n v="3"/>
  </r>
  <r>
    <n v="1"/>
    <d v="2019-01-18T00:00:00"/>
    <x v="3"/>
    <n v="0"/>
    <n v="1367.751"/>
    <x v="0"/>
    <x v="0"/>
    <x v="0"/>
    <n v="3"/>
  </r>
  <r>
    <n v="1"/>
    <d v="2019-01-18T00:00:00"/>
    <x v="2"/>
    <n v="1322.8809999999999"/>
    <n v="2566.4169999999999"/>
    <x v="0"/>
    <x v="0"/>
    <x v="0"/>
    <n v="3"/>
  </r>
  <r>
    <n v="1"/>
    <d v="2019-01-19T00:00:00"/>
    <x v="0"/>
    <n v="5850.8939999999993"/>
    <n v="7064.2179999999998"/>
    <x v="0"/>
    <x v="0"/>
    <x v="0"/>
    <n v="3"/>
  </r>
  <r>
    <n v="1"/>
    <d v="2019-01-19T00:00:00"/>
    <x v="2"/>
    <n v="661.69599999999991"/>
    <n v="1530.6479999999999"/>
    <x v="0"/>
    <x v="0"/>
    <x v="0"/>
    <n v="3"/>
  </r>
  <r>
    <n v="1"/>
    <d v="2019-01-19T00:00:00"/>
    <x v="1"/>
    <n v="3188.1219999999998"/>
    <n v="0"/>
    <x v="0"/>
    <x v="0"/>
    <x v="0"/>
    <n v="3"/>
  </r>
  <r>
    <n v="1"/>
    <d v="2019-01-19T00:00:00"/>
    <x v="3"/>
    <n v="0"/>
    <n v="0"/>
    <x v="0"/>
    <x v="0"/>
    <x v="0"/>
    <n v="3"/>
  </r>
  <r>
    <n v="1"/>
    <d v="2019-01-20T00:00:00"/>
    <x v="2"/>
    <n v="167.69199999999998"/>
    <n v="316.65199999999999"/>
    <x v="0"/>
    <x v="0"/>
    <x v="0"/>
    <n v="3"/>
  </r>
  <r>
    <n v="1"/>
    <d v="2019-01-20T00:00:00"/>
    <x v="1"/>
    <n v="1532.58"/>
    <n v="0"/>
    <x v="0"/>
    <x v="0"/>
    <x v="0"/>
    <n v="3"/>
  </r>
  <r>
    <n v="1"/>
    <d v="2019-01-20T00:00:00"/>
    <x v="3"/>
    <n v="0"/>
    <n v="0"/>
    <x v="0"/>
    <x v="0"/>
    <x v="0"/>
    <n v="3"/>
  </r>
  <r>
    <n v="1"/>
    <d v="2019-01-20T00:00:00"/>
    <x v="0"/>
    <n v="2374.855"/>
    <n v="2560.8589999999999"/>
    <x v="0"/>
    <x v="0"/>
    <x v="0"/>
    <n v="3"/>
  </r>
  <r>
    <n v="1"/>
    <d v="2019-01-21T00:00:00"/>
    <x v="2"/>
    <n v="1218.9870000000001"/>
    <n v="1483.7619999999997"/>
    <x v="0"/>
    <x v="0"/>
    <x v="0"/>
    <n v="4"/>
  </r>
  <r>
    <n v="1"/>
    <d v="2019-01-21T00:00:00"/>
    <x v="0"/>
    <n v="4970.1539999999995"/>
    <n v="4355.2669999999998"/>
    <x v="0"/>
    <x v="0"/>
    <x v="0"/>
    <n v="4"/>
  </r>
  <r>
    <n v="1"/>
    <d v="2019-01-21T00:00:00"/>
    <x v="3"/>
    <n v="169.93899999999999"/>
    <n v="490.41999999999996"/>
    <x v="0"/>
    <x v="0"/>
    <x v="0"/>
    <n v="4"/>
  </r>
  <r>
    <n v="1"/>
    <d v="2019-01-21T00:00:00"/>
    <x v="1"/>
    <n v="2949.8140000000003"/>
    <n v="0"/>
    <x v="0"/>
    <x v="0"/>
    <x v="0"/>
    <n v="4"/>
  </r>
  <r>
    <n v="1"/>
    <d v="2019-01-22T00:00:00"/>
    <x v="2"/>
    <n v="672.96600000000001"/>
    <n v="989.46399999999994"/>
    <x v="0"/>
    <x v="0"/>
    <x v="0"/>
    <n v="4"/>
  </r>
  <r>
    <n v="1"/>
    <d v="2019-01-22T00:00:00"/>
    <x v="0"/>
    <n v="3944.3459999999995"/>
    <n v="4936.3859999999995"/>
    <x v="0"/>
    <x v="0"/>
    <x v="0"/>
    <n v="4"/>
  </r>
  <r>
    <n v="1"/>
    <d v="2019-01-22T00:00:00"/>
    <x v="1"/>
    <n v="3002.8319999999999"/>
    <n v="0"/>
    <x v="0"/>
    <x v="0"/>
    <x v="0"/>
    <n v="4"/>
  </r>
  <r>
    <n v="1"/>
    <d v="2019-01-22T00:00:00"/>
    <x v="3"/>
    <n v="0"/>
    <n v="353.892"/>
    <x v="0"/>
    <x v="0"/>
    <x v="0"/>
    <n v="4"/>
  </r>
  <r>
    <n v="1"/>
    <d v="2019-01-23T00:00:00"/>
    <x v="0"/>
    <n v="3789.3449999999998"/>
    <n v="4973.3319999999994"/>
    <x v="0"/>
    <x v="0"/>
    <x v="0"/>
    <n v="4"/>
  </r>
  <r>
    <n v="1"/>
    <d v="2019-01-23T00:00:00"/>
    <x v="2"/>
    <n v="503.84599999999995"/>
    <n v="1001.329"/>
    <x v="0"/>
    <x v="0"/>
    <x v="0"/>
    <n v="4"/>
  </r>
  <r>
    <n v="1"/>
    <d v="2019-01-23T00:00:00"/>
    <x v="1"/>
    <n v="2951.9209999999998"/>
    <n v="0"/>
    <x v="0"/>
    <x v="0"/>
    <x v="0"/>
    <n v="4"/>
  </r>
  <r>
    <n v="1"/>
    <d v="2019-01-23T00:00:00"/>
    <x v="3"/>
    <n v="19.200999999999997"/>
    <n v="400.65899999999999"/>
    <x v="0"/>
    <x v="0"/>
    <x v="0"/>
    <n v="4"/>
  </r>
  <r>
    <n v="1"/>
    <d v="2019-01-24T00:00:00"/>
    <x v="1"/>
    <n v="2878.7219999999998"/>
    <n v="0"/>
    <x v="0"/>
    <x v="0"/>
    <x v="0"/>
    <n v="4"/>
  </r>
  <r>
    <n v="1"/>
    <d v="2019-01-24T00:00:00"/>
    <x v="3"/>
    <n v="9.0509999999999984"/>
    <n v="712.08899999999994"/>
    <x v="0"/>
    <x v="0"/>
    <x v="0"/>
    <n v="4"/>
  </r>
  <r>
    <n v="1"/>
    <d v="2019-01-24T00:00:00"/>
    <x v="0"/>
    <n v="4590.8450000000003"/>
    <n v="6273.7709999999997"/>
    <x v="0"/>
    <x v="0"/>
    <x v="0"/>
    <n v="4"/>
  </r>
  <r>
    <n v="1"/>
    <d v="2019-01-24T00:00:00"/>
    <x v="2"/>
    <n v="1028.356"/>
    <n v="1754.1579999999999"/>
    <x v="0"/>
    <x v="0"/>
    <x v="0"/>
    <n v="4"/>
  </r>
  <r>
    <n v="1"/>
    <d v="2019-01-25T00:00:00"/>
    <x v="0"/>
    <n v="6429.5770000000002"/>
    <n v="7269.4719999999988"/>
    <x v="0"/>
    <x v="0"/>
    <x v="0"/>
    <n v="4"/>
  </r>
  <r>
    <n v="1"/>
    <d v="2019-01-25T00:00:00"/>
    <x v="2"/>
    <n v="1315.174"/>
    <n v="2858.6880000000001"/>
    <x v="0"/>
    <x v="0"/>
    <x v="0"/>
    <n v="4"/>
  </r>
  <r>
    <n v="1"/>
    <d v="2019-01-25T00:00:00"/>
    <x v="1"/>
    <n v="3484.4179999999997"/>
    <n v="0"/>
    <x v="0"/>
    <x v="0"/>
    <x v="0"/>
    <n v="4"/>
  </r>
  <r>
    <n v="1"/>
    <d v="2019-01-25T00:00:00"/>
    <x v="3"/>
    <n v="16.744"/>
    <n v="1595.4189999999999"/>
    <x v="0"/>
    <x v="0"/>
    <x v="0"/>
    <n v="4"/>
  </r>
  <r>
    <n v="1"/>
    <d v="2019-01-26T00:00:00"/>
    <x v="0"/>
    <n v="6076.2939999999999"/>
    <n v="7367.4789999999994"/>
    <x v="0"/>
    <x v="0"/>
    <x v="0"/>
    <n v="4"/>
  </r>
  <r>
    <n v="1"/>
    <d v="2019-01-26T00:00:00"/>
    <x v="3"/>
    <n v="923.15999999999985"/>
    <n v="1037.0919999999999"/>
    <x v="0"/>
    <x v="0"/>
    <x v="0"/>
    <n v="4"/>
  </r>
  <r>
    <n v="1"/>
    <d v="2019-01-26T00:00:00"/>
    <x v="1"/>
    <n v="3142.9230000000002"/>
    <n v="0"/>
    <x v="0"/>
    <x v="0"/>
    <x v="0"/>
    <n v="4"/>
  </r>
  <r>
    <n v="1"/>
    <d v="2019-01-26T00:00:00"/>
    <x v="2"/>
    <n v="1151.8219999999999"/>
    <n v="1838.8929999999998"/>
    <x v="0"/>
    <x v="0"/>
    <x v="0"/>
    <n v="4"/>
  </r>
  <r>
    <n v="1"/>
    <d v="2019-01-27T00:00:00"/>
    <x v="1"/>
    <n v="1250.2069999999999"/>
    <n v="0"/>
    <x v="0"/>
    <x v="0"/>
    <x v="0"/>
    <n v="4"/>
  </r>
  <r>
    <n v="1"/>
    <d v="2019-01-27T00:00:00"/>
    <x v="2"/>
    <n v="199.61199999999999"/>
    <n v="447.32099999999997"/>
    <x v="0"/>
    <x v="0"/>
    <x v="0"/>
    <n v="4"/>
  </r>
  <r>
    <n v="1"/>
    <d v="2019-01-27T00:00:00"/>
    <x v="3"/>
    <n v="0"/>
    <n v="0"/>
    <x v="0"/>
    <x v="0"/>
    <x v="0"/>
    <n v="4"/>
  </r>
  <r>
    <n v="1"/>
    <d v="2019-01-27T00:00:00"/>
    <x v="0"/>
    <n v="2451.9669999999996"/>
    <n v="2558.0169999999998"/>
    <x v="0"/>
    <x v="0"/>
    <x v="0"/>
    <n v="4"/>
  </r>
  <r>
    <n v="1"/>
    <d v="2019-01-28T00:00:00"/>
    <x v="1"/>
    <n v="2813.5099999999998"/>
    <n v="0"/>
    <x v="0"/>
    <x v="0"/>
    <x v="1"/>
    <n v="1"/>
  </r>
  <r>
    <n v="1"/>
    <d v="2019-01-28T00:00:00"/>
    <x v="2"/>
    <n v="839.32799999999997"/>
    <n v="1281.819"/>
    <x v="0"/>
    <x v="0"/>
    <x v="1"/>
    <n v="1"/>
  </r>
  <r>
    <n v="1"/>
    <d v="2019-01-28T00:00:00"/>
    <x v="0"/>
    <n v="3416.4479999999999"/>
    <n v="4603.3399999999992"/>
    <x v="0"/>
    <x v="0"/>
    <x v="1"/>
    <n v="1"/>
  </r>
  <r>
    <n v="1"/>
    <d v="2019-01-28T00:00:00"/>
    <x v="3"/>
    <n v="615.43999999999994"/>
    <n v="161.54599999999999"/>
    <x v="0"/>
    <x v="0"/>
    <x v="1"/>
    <n v="1"/>
  </r>
  <r>
    <n v="1"/>
    <d v="2019-01-29T00:00:00"/>
    <x v="2"/>
    <n v="1023.9879999999998"/>
    <n v="1521.0719999999999"/>
    <x v="0"/>
    <x v="0"/>
    <x v="1"/>
    <n v="1"/>
  </r>
  <r>
    <n v="1"/>
    <d v="2019-01-29T00:00:00"/>
    <x v="0"/>
    <n v="3428.1799999999994"/>
    <n v="4378.1570000000002"/>
    <x v="0"/>
    <x v="0"/>
    <x v="1"/>
    <n v="1"/>
  </r>
  <r>
    <n v="1"/>
    <d v="2019-01-29T00:00:00"/>
    <x v="3"/>
    <n v="17.773"/>
    <n v="1164.6529999999998"/>
    <x v="0"/>
    <x v="0"/>
    <x v="1"/>
    <n v="1"/>
  </r>
  <r>
    <n v="1"/>
    <d v="2019-01-29T00:00:00"/>
    <x v="1"/>
    <n v="2796.3249999999998"/>
    <n v="0"/>
    <x v="0"/>
    <x v="0"/>
    <x v="1"/>
    <n v="1"/>
  </r>
  <r>
    <n v="1"/>
    <d v="2019-01-30T00:00:00"/>
    <x v="2"/>
    <n v="1005.872"/>
    <n v="1179.087"/>
    <x v="0"/>
    <x v="0"/>
    <x v="1"/>
    <n v="1"/>
  </r>
  <r>
    <n v="1"/>
    <d v="2019-01-30T00:00:00"/>
    <x v="0"/>
    <n v="4319.4129999999996"/>
    <n v="4740.7849999999999"/>
    <x v="0"/>
    <x v="0"/>
    <x v="1"/>
    <n v="1"/>
  </r>
  <r>
    <n v="1"/>
    <d v="2019-01-30T00:00:00"/>
    <x v="3"/>
    <n v="0"/>
    <n v="2734.8020000000001"/>
    <x v="0"/>
    <x v="0"/>
    <x v="1"/>
    <n v="1"/>
  </r>
  <r>
    <n v="1"/>
    <d v="2019-01-30T00:00:00"/>
    <x v="1"/>
    <n v="2948.8689999999997"/>
    <n v="0"/>
    <x v="0"/>
    <x v="0"/>
    <x v="1"/>
    <n v="1"/>
  </r>
  <r>
    <n v="1"/>
    <d v="2019-01-31T00:00:00"/>
    <x v="0"/>
    <n v="4515.3359999999993"/>
    <n v="5178.7539999999999"/>
    <x v="0"/>
    <x v="0"/>
    <x v="1"/>
    <n v="1"/>
  </r>
  <r>
    <n v="1"/>
    <d v="2019-01-31T00:00:00"/>
    <x v="3"/>
    <n v="352.49199999999996"/>
    <n v="1107.001"/>
    <x v="0"/>
    <x v="0"/>
    <x v="1"/>
    <n v="1"/>
  </r>
  <r>
    <n v="1"/>
    <d v="2019-01-31T00:00:00"/>
    <x v="2"/>
    <n v="1196.6079999999999"/>
    <n v="1308.9649999999999"/>
    <x v="0"/>
    <x v="0"/>
    <x v="1"/>
    <n v="1"/>
  </r>
  <r>
    <n v="1"/>
    <d v="2019-01-31T00:00:00"/>
    <x v="1"/>
    <n v="2987.0679999999998"/>
    <n v="0"/>
    <x v="0"/>
    <x v="0"/>
    <x v="1"/>
    <n v="1"/>
  </r>
  <r>
    <n v="1"/>
    <d v="2019-02-01T00:00:00"/>
    <x v="0"/>
    <n v="5835.2"/>
    <n v="6813.8629999999994"/>
    <x v="0"/>
    <x v="0"/>
    <x v="1"/>
    <n v="1"/>
  </r>
  <r>
    <n v="1"/>
    <d v="2019-02-01T00:00:00"/>
    <x v="1"/>
    <n v="3625.5450000000001"/>
    <n v="0"/>
    <x v="0"/>
    <x v="0"/>
    <x v="1"/>
    <n v="1"/>
  </r>
  <r>
    <n v="1"/>
    <d v="2019-02-01T00:00:00"/>
    <x v="3"/>
    <n v="256.68299999999999"/>
    <n v="823.02499999999998"/>
    <x v="0"/>
    <x v="0"/>
    <x v="1"/>
    <n v="1"/>
  </r>
  <r>
    <n v="1"/>
    <d v="2019-02-01T00:00:00"/>
    <x v="2"/>
    <n v="1130.4019999999998"/>
    <n v="1897.9449999999997"/>
    <x v="0"/>
    <x v="0"/>
    <x v="1"/>
    <n v="1"/>
  </r>
  <r>
    <n v="1"/>
    <d v="2019-02-02T00:00:00"/>
    <x v="2"/>
    <n v="1284.6609999999998"/>
    <n v="2175.0189999999998"/>
    <x v="0"/>
    <x v="0"/>
    <x v="1"/>
    <n v="1"/>
  </r>
  <r>
    <n v="1"/>
    <d v="2019-02-02T00:00:00"/>
    <x v="3"/>
    <n v="346.21999999999997"/>
    <n v="620.89299999999992"/>
    <x v="0"/>
    <x v="0"/>
    <x v="1"/>
    <n v="1"/>
  </r>
  <r>
    <n v="1"/>
    <d v="2019-02-02T00:00:00"/>
    <x v="0"/>
    <n v="6323.2749999999996"/>
    <n v="6568.933"/>
    <x v="0"/>
    <x v="0"/>
    <x v="1"/>
    <n v="1"/>
  </r>
  <r>
    <n v="1"/>
    <d v="2019-02-02T00:00:00"/>
    <x v="1"/>
    <n v="3449.0189999999998"/>
    <n v="0"/>
    <x v="0"/>
    <x v="0"/>
    <x v="1"/>
    <n v="1"/>
  </r>
  <r>
    <n v="1"/>
    <d v="2019-02-03T00:00:00"/>
    <x v="1"/>
    <n v="1534.4979999999998"/>
    <n v="0"/>
    <x v="0"/>
    <x v="0"/>
    <x v="1"/>
    <n v="1"/>
  </r>
  <r>
    <n v="1"/>
    <d v="2019-02-03T00:00:00"/>
    <x v="3"/>
    <n v="190.93199999999999"/>
    <n v="37.688000000000002"/>
    <x v="0"/>
    <x v="0"/>
    <x v="1"/>
    <n v="1"/>
  </r>
  <r>
    <n v="1"/>
    <d v="2019-02-03T00:00:00"/>
    <x v="0"/>
    <n v="1550.2829999999999"/>
    <n v="2263.0089999999996"/>
    <x v="0"/>
    <x v="0"/>
    <x v="1"/>
    <n v="1"/>
  </r>
  <r>
    <n v="1"/>
    <d v="2019-02-03T00:00:00"/>
    <x v="2"/>
    <n v="296.29599999999994"/>
    <n v="486.35299999999995"/>
    <x v="0"/>
    <x v="0"/>
    <x v="1"/>
    <n v="1"/>
  </r>
  <r>
    <n v="1"/>
    <d v="2019-02-04T00:00:00"/>
    <x v="1"/>
    <n v="2554.9789999999998"/>
    <n v="0"/>
    <x v="0"/>
    <x v="0"/>
    <x v="1"/>
    <n v="2"/>
  </r>
  <r>
    <n v="1"/>
    <d v="2019-02-04T00:00:00"/>
    <x v="3"/>
    <n v="1195.0119999999999"/>
    <n v="10.493"/>
    <x v="0"/>
    <x v="0"/>
    <x v="1"/>
    <n v="2"/>
  </r>
  <r>
    <n v="1"/>
    <d v="2019-02-04T00:00:00"/>
    <x v="0"/>
    <n v="3705.6179999999995"/>
    <n v="4253.3819999999996"/>
    <x v="0"/>
    <x v="0"/>
    <x v="1"/>
    <n v="2"/>
  </r>
  <r>
    <n v="1"/>
    <d v="2019-02-04T00:00:00"/>
    <x v="2"/>
    <n v="817.46699999999987"/>
    <n v="1169.616"/>
    <x v="0"/>
    <x v="0"/>
    <x v="1"/>
    <n v="2"/>
  </r>
  <r>
    <n v="1"/>
    <d v="2019-02-05T00:00:00"/>
    <x v="2"/>
    <n v="493.20600000000002"/>
    <n v="1009.218"/>
    <x v="0"/>
    <x v="0"/>
    <x v="1"/>
    <n v="2"/>
  </r>
  <r>
    <n v="1"/>
    <d v="2019-02-05T00:00:00"/>
    <x v="3"/>
    <n v="192.32499999999999"/>
    <n v="475.47499999999997"/>
    <x v="0"/>
    <x v="0"/>
    <x v="1"/>
    <n v="2"/>
  </r>
  <r>
    <n v="1"/>
    <d v="2019-02-05T00:00:00"/>
    <x v="0"/>
    <n v="3779.8879999999999"/>
    <n v="3912.3909999999996"/>
    <x v="0"/>
    <x v="0"/>
    <x v="1"/>
    <n v="2"/>
  </r>
  <r>
    <n v="1"/>
    <d v="2019-02-05T00:00:00"/>
    <x v="1"/>
    <n v="3011.8059999999996"/>
    <n v="0"/>
    <x v="0"/>
    <x v="0"/>
    <x v="1"/>
    <n v="2"/>
  </r>
  <r>
    <n v="1"/>
    <d v="2019-02-06T00:00:00"/>
    <x v="1"/>
    <n v="2926.8049999999994"/>
    <n v="0"/>
    <x v="0"/>
    <x v="0"/>
    <x v="1"/>
    <n v="2"/>
  </r>
  <r>
    <n v="1"/>
    <d v="2019-02-06T00:00:00"/>
    <x v="3"/>
    <n v="85.322999999999993"/>
    <n v="677.36199999999997"/>
    <x v="0"/>
    <x v="0"/>
    <x v="1"/>
    <n v="2"/>
  </r>
  <r>
    <n v="1"/>
    <d v="2019-02-06T00:00:00"/>
    <x v="0"/>
    <n v="3292.9119999999998"/>
    <n v="4604.1099999999997"/>
    <x v="0"/>
    <x v="0"/>
    <x v="1"/>
    <n v="2"/>
  </r>
  <r>
    <n v="1"/>
    <d v="2019-02-06T00:00:00"/>
    <x v="2"/>
    <n v="735.5809999999999"/>
    <n v="1286.6980000000001"/>
    <x v="0"/>
    <x v="0"/>
    <x v="1"/>
    <n v="2"/>
  </r>
  <r>
    <n v="1"/>
    <d v="2019-02-07T00:00:00"/>
    <x v="0"/>
    <n v="3945.5639999999999"/>
    <n v="5095.3489999999993"/>
    <x v="0"/>
    <x v="0"/>
    <x v="1"/>
    <n v="2"/>
  </r>
  <r>
    <n v="1"/>
    <d v="2019-02-07T00:00:00"/>
    <x v="1"/>
    <n v="3154.4939999999997"/>
    <n v="0"/>
    <x v="0"/>
    <x v="0"/>
    <x v="1"/>
    <n v="2"/>
  </r>
  <r>
    <n v="1"/>
    <d v="2019-02-07T00:00:00"/>
    <x v="2"/>
    <n v="764.31600000000003"/>
    <n v="1681.519"/>
    <x v="0"/>
    <x v="0"/>
    <x v="1"/>
    <n v="2"/>
  </r>
  <r>
    <n v="1"/>
    <d v="2019-02-07T00:00:00"/>
    <x v="3"/>
    <n v="648.35399999999993"/>
    <n v="1497.5729999999999"/>
    <x v="0"/>
    <x v="0"/>
    <x v="1"/>
    <n v="2"/>
  </r>
  <r>
    <n v="1"/>
    <d v="2019-02-08T00:00:00"/>
    <x v="2"/>
    <n v="1366.3440000000001"/>
    <n v="2180.0449999999996"/>
    <x v="0"/>
    <x v="0"/>
    <x v="1"/>
    <n v="2"/>
  </r>
  <r>
    <n v="1"/>
    <d v="2019-02-08T00:00:00"/>
    <x v="0"/>
    <n v="6358.8209999999999"/>
    <n v="6914.753999999999"/>
    <x v="0"/>
    <x v="0"/>
    <x v="1"/>
    <n v="2"/>
  </r>
  <r>
    <n v="1"/>
    <d v="2019-02-08T00:00:00"/>
    <x v="3"/>
    <n v="0"/>
    <n v="1174.0329999999999"/>
    <x v="0"/>
    <x v="0"/>
    <x v="1"/>
    <n v="2"/>
  </r>
  <r>
    <n v="1"/>
    <d v="2019-02-08T00:00:00"/>
    <x v="1"/>
    <n v="3496.8359999999993"/>
    <n v="0"/>
    <x v="0"/>
    <x v="0"/>
    <x v="1"/>
    <n v="2"/>
  </r>
  <r>
    <n v="1"/>
    <d v="2019-02-09T00:00:00"/>
    <x v="2"/>
    <n v="914.85799999999995"/>
    <n v="2021.7889999999998"/>
    <x v="0"/>
    <x v="0"/>
    <x v="1"/>
    <n v="2"/>
  </r>
  <r>
    <n v="1"/>
    <d v="2019-02-09T00:00:00"/>
    <x v="0"/>
    <n v="6172.8659999999991"/>
    <n v="6240.1639999999998"/>
    <x v="0"/>
    <x v="0"/>
    <x v="1"/>
    <n v="2"/>
  </r>
  <r>
    <n v="1"/>
    <d v="2019-02-09T00:00:00"/>
    <x v="3"/>
    <n v="309.60300000000001"/>
    <n v="14.328999999999999"/>
    <x v="0"/>
    <x v="0"/>
    <x v="1"/>
    <n v="2"/>
  </r>
  <r>
    <n v="1"/>
    <d v="2019-02-09T00:00:00"/>
    <x v="1"/>
    <n v="3202.1989999999996"/>
    <n v="0"/>
    <x v="0"/>
    <x v="0"/>
    <x v="1"/>
    <n v="2"/>
  </r>
  <r>
    <n v="1"/>
    <d v="2019-02-10T00:00:00"/>
    <x v="2"/>
    <n v="219.17000000000002"/>
    <n v="458.93399999999997"/>
    <x v="0"/>
    <x v="0"/>
    <x v="1"/>
    <n v="2"/>
  </r>
  <r>
    <n v="1"/>
    <d v="2019-02-10T00:00:00"/>
    <x v="0"/>
    <n v="1786.386"/>
    <n v="2443.7559999999999"/>
    <x v="0"/>
    <x v="0"/>
    <x v="1"/>
    <n v="2"/>
  </r>
  <r>
    <n v="1"/>
    <d v="2019-02-10T00:00:00"/>
    <x v="3"/>
    <n v="0"/>
    <n v="3.4929999999999999"/>
    <x v="0"/>
    <x v="0"/>
    <x v="1"/>
    <n v="2"/>
  </r>
  <r>
    <n v="1"/>
    <d v="2019-02-10T00:00:00"/>
    <x v="1"/>
    <n v="1755.1589999999999"/>
    <n v="0"/>
    <x v="0"/>
    <x v="0"/>
    <x v="1"/>
    <n v="2"/>
  </r>
  <r>
    <n v="1"/>
    <d v="2019-02-11T00:00:00"/>
    <x v="1"/>
    <n v="2483.46"/>
    <n v="0"/>
    <x v="0"/>
    <x v="0"/>
    <x v="1"/>
    <n v="3"/>
  </r>
  <r>
    <n v="1"/>
    <d v="2019-02-11T00:00:00"/>
    <x v="2"/>
    <n v="833.71399999999994"/>
    <n v="1018.3739999999999"/>
    <x v="0"/>
    <x v="0"/>
    <x v="1"/>
    <n v="3"/>
  </r>
  <r>
    <n v="1"/>
    <d v="2019-02-11T00:00:00"/>
    <x v="0"/>
    <n v="3054.3799999999997"/>
    <n v="3646.9159999999997"/>
    <x v="0"/>
    <x v="0"/>
    <x v="1"/>
    <n v="3"/>
  </r>
  <r>
    <n v="1"/>
    <d v="2019-02-11T00:00:00"/>
    <x v="3"/>
    <n v="26.186999999999998"/>
    <n v="946.27399999999989"/>
    <x v="0"/>
    <x v="0"/>
    <x v="1"/>
    <n v="3"/>
  </r>
  <r>
    <n v="1"/>
    <d v="2019-02-12T00:00:00"/>
    <x v="2"/>
    <n v="643.18799999999999"/>
    <n v="1011.066"/>
    <x v="0"/>
    <x v="0"/>
    <x v="1"/>
    <n v="3"/>
  </r>
  <r>
    <n v="1"/>
    <d v="2019-02-12T00:00:00"/>
    <x v="1"/>
    <n v="2662.9469999999997"/>
    <n v="0"/>
    <x v="0"/>
    <x v="0"/>
    <x v="1"/>
    <n v="3"/>
  </r>
  <r>
    <n v="1"/>
    <d v="2019-02-12T00:00:00"/>
    <x v="3"/>
    <n v="115.39499999999998"/>
    <n v="423.12200000000001"/>
    <x v="0"/>
    <x v="0"/>
    <x v="1"/>
    <n v="3"/>
  </r>
  <r>
    <n v="1"/>
    <d v="2019-02-12T00:00:00"/>
    <x v="0"/>
    <n v="3696.9659999999999"/>
    <n v="4316.7739999999994"/>
    <x v="0"/>
    <x v="0"/>
    <x v="1"/>
    <n v="3"/>
  </r>
  <r>
    <n v="1"/>
    <d v="2019-02-13T00:00:00"/>
    <x v="3"/>
    <n v="69.257999999999996"/>
    <n v="650.048"/>
    <x v="0"/>
    <x v="0"/>
    <x v="1"/>
    <n v="3"/>
  </r>
  <r>
    <n v="1"/>
    <d v="2019-02-13T00:00:00"/>
    <x v="1"/>
    <n v="2401.5879999999997"/>
    <n v="0"/>
    <x v="0"/>
    <x v="0"/>
    <x v="1"/>
    <n v="3"/>
  </r>
  <r>
    <n v="1"/>
    <d v="2019-02-13T00:00:00"/>
    <x v="2"/>
    <n v="728.67899999999997"/>
    <n v="2369.7799999999997"/>
    <x v="0"/>
    <x v="0"/>
    <x v="1"/>
    <n v="3"/>
  </r>
  <r>
    <n v="1"/>
    <d v="2019-02-13T00:00:00"/>
    <x v="0"/>
    <n v="4159.5329999999994"/>
    <n v="5396.5869999999995"/>
    <x v="0"/>
    <x v="0"/>
    <x v="1"/>
    <n v="3"/>
  </r>
  <r>
    <n v="1"/>
    <d v="2019-02-14T00:00:00"/>
    <x v="1"/>
    <n v="3811.0799999999995"/>
    <n v="0"/>
    <x v="0"/>
    <x v="0"/>
    <x v="1"/>
    <n v="3"/>
  </r>
  <r>
    <n v="1"/>
    <d v="2019-02-14T00:00:00"/>
    <x v="2"/>
    <n v="1618.4979999999998"/>
    <n v="975.947"/>
    <x v="0"/>
    <x v="0"/>
    <x v="1"/>
    <n v="3"/>
  </r>
  <r>
    <n v="1"/>
    <d v="2019-02-14T00:00:00"/>
    <x v="0"/>
    <n v="5438.741"/>
    <n v="5330.8919999999998"/>
    <x v="0"/>
    <x v="0"/>
    <x v="1"/>
    <n v="3"/>
  </r>
  <r>
    <n v="1"/>
    <d v="2019-02-14T00:00:00"/>
    <x v="3"/>
    <n v="69.698999999999984"/>
    <n v="1876.4619999999998"/>
    <x v="0"/>
    <x v="0"/>
    <x v="1"/>
    <n v="3"/>
  </r>
  <r>
    <n v="1"/>
    <d v="2019-02-15T00:00:00"/>
    <x v="1"/>
    <n v="3560.6759999999999"/>
    <n v="0"/>
    <x v="0"/>
    <x v="0"/>
    <x v="1"/>
    <n v="3"/>
  </r>
  <r>
    <n v="1"/>
    <d v="2019-02-15T00:00:00"/>
    <x v="2"/>
    <n v="1253.4690000000001"/>
    <n v="1474.1999999999998"/>
    <x v="0"/>
    <x v="0"/>
    <x v="1"/>
    <n v="3"/>
  </r>
  <r>
    <n v="1"/>
    <d v="2019-02-15T00:00:00"/>
    <x v="3"/>
    <n v="18.521999999999998"/>
    <n v="0"/>
    <x v="0"/>
    <x v="0"/>
    <x v="1"/>
    <n v="3"/>
  </r>
  <r>
    <n v="1"/>
    <d v="2019-02-15T00:00:00"/>
    <x v="0"/>
    <n v="5137.6289999999999"/>
    <n v="5940.5849999999991"/>
    <x v="0"/>
    <x v="0"/>
    <x v="1"/>
    <n v="3"/>
  </r>
  <r>
    <n v="1"/>
    <d v="2019-02-16T00:00:00"/>
    <x v="0"/>
    <n v="5543.110999999999"/>
    <n v="5689.8379999999997"/>
    <x v="0"/>
    <x v="0"/>
    <x v="1"/>
    <n v="3"/>
  </r>
  <r>
    <n v="1"/>
    <d v="2019-02-16T00:00:00"/>
    <x v="3"/>
    <n v="23.414999999999999"/>
    <n v="284.291"/>
    <x v="0"/>
    <x v="0"/>
    <x v="1"/>
    <n v="3"/>
  </r>
  <r>
    <n v="1"/>
    <d v="2019-02-16T00:00:00"/>
    <x v="2"/>
    <n v="996.29599999999994"/>
    <n v="1401.8969999999999"/>
    <x v="0"/>
    <x v="0"/>
    <x v="1"/>
    <n v="3"/>
  </r>
  <r>
    <n v="1"/>
    <d v="2019-02-16T00:00:00"/>
    <x v="1"/>
    <n v="3309.0049999999997"/>
    <n v="0"/>
    <x v="0"/>
    <x v="0"/>
    <x v="1"/>
    <n v="3"/>
  </r>
  <r>
    <n v="1"/>
    <d v="2019-02-17T00:00:00"/>
    <x v="0"/>
    <n v="2060.5549999999998"/>
    <n v="2906.3789999999999"/>
    <x v="0"/>
    <x v="0"/>
    <x v="1"/>
    <n v="3"/>
  </r>
  <r>
    <n v="1"/>
    <d v="2019-02-17T00:00:00"/>
    <x v="3"/>
    <n v="0"/>
    <n v="155.946"/>
    <x v="0"/>
    <x v="0"/>
    <x v="1"/>
    <n v="3"/>
  </r>
  <r>
    <n v="1"/>
    <d v="2019-02-17T00:00:00"/>
    <x v="2"/>
    <n v="98.839999999999989"/>
    <n v="388.10099999999994"/>
    <x v="0"/>
    <x v="0"/>
    <x v="1"/>
    <n v="3"/>
  </r>
  <r>
    <n v="1"/>
    <d v="2019-02-17T00:00:00"/>
    <x v="1"/>
    <n v="1317.4839999999999"/>
    <n v="0"/>
    <x v="0"/>
    <x v="0"/>
    <x v="1"/>
    <n v="3"/>
  </r>
  <r>
    <n v="1"/>
    <d v="2019-02-18T00:00:00"/>
    <x v="2"/>
    <n v="806.06399999999996"/>
    <n v="1479.7439999999999"/>
    <x v="0"/>
    <x v="0"/>
    <x v="1"/>
    <n v="4"/>
  </r>
  <r>
    <n v="1"/>
    <d v="2019-02-18T00:00:00"/>
    <x v="1"/>
    <n v="3265.7170000000001"/>
    <n v="0"/>
    <x v="0"/>
    <x v="0"/>
    <x v="1"/>
    <n v="4"/>
  </r>
  <r>
    <n v="1"/>
    <d v="2019-02-18T00:00:00"/>
    <x v="0"/>
    <n v="5271.4059999999999"/>
    <n v="5537.0420000000004"/>
    <x v="0"/>
    <x v="0"/>
    <x v="1"/>
    <n v="4"/>
  </r>
  <r>
    <n v="1"/>
    <d v="2019-02-18T00:00:00"/>
    <x v="3"/>
    <n v="11.186"/>
    <n v="0"/>
    <x v="0"/>
    <x v="0"/>
    <x v="1"/>
    <n v="4"/>
  </r>
  <r>
    <n v="1"/>
    <d v="2019-02-19T00:00:00"/>
    <x v="2"/>
    <n v="1005.8089999999999"/>
    <n v="1142.953"/>
    <x v="0"/>
    <x v="0"/>
    <x v="1"/>
    <n v="4"/>
  </r>
  <r>
    <n v="1"/>
    <d v="2019-02-19T00:00:00"/>
    <x v="0"/>
    <n v="3366.2929999999997"/>
    <n v="4438.6719999999996"/>
    <x v="0"/>
    <x v="0"/>
    <x v="1"/>
    <n v="4"/>
  </r>
  <r>
    <n v="1"/>
    <d v="2019-02-19T00:00:00"/>
    <x v="3"/>
    <n v="125.181"/>
    <n v="1017.5899999999999"/>
    <x v="0"/>
    <x v="0"/>
    <x v="1"/>
    <n v="4"/>
  </r>
  <r>
    <n v="1"/>
    <d v="2019-02-19T00:00:00"/>
    <x v="1"/>
    <n v="2967.9159999999997"/>
    <n v="0"/>
    <x v="0"/>
    <x v="0"/>
    <x v="1"/>
    <n v="4"/>
  </r>
  <r>
    <n v="1"/>
    <d v="2019-02-20T00:00:00"/>
    <x v="0"/>
    <n v="3887.1279999999997"/>
    <n v="5094.4319999999998"/>
    <x v="0"/>
    <x v="0"/>
    <x v="1"/>
    <n v="4"/>
  </r>
  <r>
    <n v="1"/>
    <d v="2019-02-20T00:00:00"/>
    <x v="3"/>
    <n v="0"/>
    <n v="1234.03"/>
    <x v="0"/>
    <x v="0"/>
    <x v="1"/>
    <n v="4"/>
  </r>
  <r>
    <n v="1"/>
    <d v="2019-02-20T00:00:00"/>
    <x v="1"/>
    <n v="2818.5429999999997"/>
    <n v="0"/>
    <x v="0"/>
    <x v="0"/>
    <x v="1"/>
    <n v="4"/>
  </r>
  <r>
    <n v="1"/>
    <d v="2019-02-20T00:00:00"/>
    <x v="2"/>
    <n v="1114.547"/>
    <n v="1587.271"/>
    <x v="0"/>
    <x v="0"/>
    <x v="1"/>
    <n v="4"/>
  </r>
  <r>
    <n v="1"/>
    <d v="2019-02-21T00:00:00"/>
    <x v="1"/>
    <n v="3444.1189999999997"/>
    <n v="0"/>
    <x v="0"/>
    <x v="0"/>
    <x v="1"/>
    <n v="4"/>
  </r>
  <r>
    <n v="1"/>
    <d v="2019-02-21T00:00:00"/>
    <x v="0"/>
    <n v="4281.4589999999998"/>
    <n v="5338.9489999999996"/>
    <x v="0"/>
    <x v="0"/>
    <x v="1"/>
    <n v="4"/>
  </r>
  <r>
    <n v="1"/>
    <d v="2019-02-21T00:00:00"/>
    <x v="2"/>
    <n v="1245.1599999999999"/>
    <n v="1539.7619999999997"/>
    <x v="0"/>
    <x v="0"/>
    <x v="1"/>
    <n v="4"/>
  </r>
  <r>
    <n v="1"/>
    <d v="2019-02-21T00:00:00"/>
    <x v="3"/>
    <n v="289.54799999999994"/>
    <n v="2528.6379999999999"/>
    <x v="0"/>
    <x v="0"/>
    <x v="1"/>
    <n v="4"/>
  </r>
  <r>
    <n v="1"/>
    <d v="2019-02-22T00:00:00"/>
    <x v="3"/>
    <n v="600.45299999999997"/>
    <n v="403.86500000000001"/>
    <x v="0"/>
    <x v="0"/>
    <x v="1"/>
    <n v="4"/>
  </r>
  <r>
    <n v="1"/>
    <d v="2019-02-22T00:00:00"/>
    <x v="1"/>
    <n v="4109.7769999999991"/>
    <n v="0"/>
    <x v="0"/>
    <x v="0"/>
    <x v="1"/>
    <n v="4"/>
  </r>
  <r>
    <n v="1"/>
    <d v="2019-02-22T00:00:00"/>
    <x v="0"/>
    <n v="6077.0709999999999"/>
    <n v="6568.0509999999995"/>
    <x v="0"/>
    <x v="0"/>
    <x v="1"/>
    <n v="4"/>
  </r>
  <r>
    <n v="1"/>
    <d v="2019-02-22T00:00:00"/>
    <x v="2"/>
    <n v="873.31299999999987"/>
    <n v="1945.566"/>
    <x v="0"/>
    <x v="0"/>
    <x v="1"/>
    <n v="4"/>
  </r>
  <r>
    <n v="1"/>
    <d v="2019-02-23T00:00:00"/>
    <x v="3"/>
    <n v="65.73"/>
    <n v="363.48199999999997"/>
    <x v="0"/>
    <x v="0"/>
    <x v="1"/>
    <n v="4"/>
  </r>
  <r>
    <n v="1"/>
    <d v="2019-02-23T00:00:00"/>
    <x v="1"/>
    <n v="3199.623"/>
    <n v="0"/>
    <x v="0"/>
    <x v="0"/>
    <x v="1"/>
    <n v="4"/>
  </r>
  <r>
    <n v="1"/>
    <d v="2019-02-23T00:00:00"/>
    <x v="2"/>
    <n v="1057.49"/>
    <n v="2786.105"/>
    <x v="0"/>
    <x v="0"/>
    <x v="1"/>
    <n v="4"/>
  </r>
  <r>
    <n v="1"/>
    <d v="2019-02-23T00:00:00"/>
    <x v="0"/>
    <n v="5946.4650000000001"/>
    <n v="6872.7749999999996"/>
    <x v="0"/>
    <x v="0"/>
    <x v="1"/>
    <n v="4"/>
  </r>
  <r>
    <n v="1"/>
    <d v="2019-02-24T00:00:00"/>
    <x v="1"/>
    <n v="1409.9189999999999"/>
    <n v="0"/>
    <x v="0"/>
    <x v="0"/>
    <x v="1"/>
    <n v="4"/>
  </r>
  <r>
    <n v="1"/>
    <d v="2019-02-24T00:00:00"/>
    <x v="2"/>
    <n v="117.23599999999999"/>
    <n v="395.49299999999999"/>
    <x v="0"/>
    <x v="0"/>
    <x v="1"/>
    <n v="4"/>
  </r>
  <r>
    <n v="1"/>
    <d v="2019-02-24T00:00:00"/>
    <x v="0"/>
    <n v="2073.799"/>
    <n v="2178.9459999999999"/>
    <x v="0"/>
    <x v="0"/>
    <x v="1"/>
    <n v="4"/>
  </r>
  <r>
    <n v="1"/>
    <d v="2019-02-24T00:00:00"/>
    <x v="3"/>
    <n v="22.715"/>
    <n v="0"/>
    <x v="0"/>
    <x v="0"/>
    <x v="1"/>
    <n v="4"/>
  </r>
  <r>
    <n v="1"/>
    <d v="2019-02-25T00:00:00"/>
    <x v="3"/>
    <n v="164.70299999999997"/>
    <n v="178.52799999999999"/>
    <x v="0"/>
    <x v="0"/>
    <x v="2"/>
    <n v="1"/>
  </r>
  <r>
    <n v="1"/>
    <d v="2019-02-25T00:00:00"/>
    <x v="0"/>
    <n v="3569.8179999999998"/>
    <n v="4242.9799999999996"/>
    <x v="0"/>
    <x v="0"/>
    <x v="2"/>
    <n v="1"/>
  </r>
  <r>
    <n v="1"/>
    <d v="2019-02-25T00:00:00"/>
    <x v="2"/>
    <n v="806.24599999999998"/>
    <n v="788.32600000000002"/>
    <x v="0"/>
    <x v="0"/>
    <x v="2"/>
    <n v="1"/>
  </r>
  <r>
    <n v="1"/>
    <d v="2019-02-25T00:00:00"/>
    <x v="1"/>
    <n v="2728.971"/>
    <n v="0"/>
    <x v="0"/>
    <x v="0"/>
    <x v="2"/>
    <n v="1"/>
  </r>
  <r>
    <n v="1"/>
    <d v="2019-02-26T00:00:00"/>
    <x v="2"/>
    <n v="1163.0359999999998"/>
    <n v="1237.3409999999999"/>
    <x v="0"/>
    <x v="0"/>
    <x v="2"/>
    <n v="1"/>
  </r>
  <r>
    <n v="1"/>
    <d v="2019-02-26T00:00:00"/>
    <x v="3"/>
    <n v="0"/>
    <n v="438.08100000000002"/>
    <x v="0"/>
    <x v="0"/>
    <x v="2"/>
    <n v="1"/>
  </r>
  <r>
    <n v="1"/>
    <d v="2019-02-26T00:00:00"/>
    <x v="0"/>
    <n v="3732.3229999999999"/>
    <n v="4428.2910000000002"/>
    <x v="0"/>
    <x v="0"/>
    <x v="2"/>
    <n v="1"/>
  </r>
  <r>
    <n v="1"/>
    <d v="2019-02-26T00:00:00"/>
    <x v="1"/>
    <n v="2873.2269999999994"/>
    <n v="0"/>
    <x v="0"/>
    <x v="0"/>
    <x v="2"/>
    <n v="1"/>
  </r>
  <r>
    <n v="1"/>
    <d v="2019-02-27T00:00:00"/>
    <x v="1"/>
    <n v="3058.4259999999999"/>
    <n v="0"/>
    <x v="0"/>
    <x v="0"/>
    <x v="2"/>
    <n v="1"/>
  </r>
  <r>
    <n v="1"/>
    <d v="2019-02-27T00:00:00"/>
    <x v="0"/>
    <n v="3937.1709999999994"/>
    <n v="5439.4129999999996"/>
    <x v="0"/>
    <x v="0"/>
    <x v="2"/>
    <n v="1"/>
  </r>
  <r>
    <n v="1"/>
    <d v="2019-02-27T00:00:00"/>
    <x v="3"/>
    <n v="481.46699999999993"/>
    <n v="1125.4599999999998"/>
    <x v="0"/>
    <x v="0"/>
    <x v="2"/>
    <n v="1"/>
  </r>
  <r>
    <n v="1"/>
    <d v="2019-02-27T00:00:00"/>
    <x v="2"/>
    <n v="718.44499999999994"/>
    <n v="1229.039"/>
    <x v="0"/>
    <x v="0"/>
    <x v="2"/>
    <n v="1"/>
  </r>
  <r>
    <n v="1"/>
    <d v="2019-02-28T00:00:00"/>
    <x v="1"/>
    <n v="3364.62"/>
    <n v="0"/>
    <x v="0"/>
    <x v="0"/>
    <x v="2"/>
    <n v="1"/>
  </r>
  <r>
    <n v="1"/>
    <d v="2019-02-28T00:00:00"/>
    <x v="2"/>
    <n v="560.0139999999999"/>
    <n v="1880.9699999999998"/>
    <x v="0"/>
    <x v="0"/>
    <x v="2"/>
    <n v="1"/>
  </r>
  <r>
    <n v="1"/>
    <d v="2019-02-28T00:00:00"/>
    <x v="0"/>
    <n v="4815.5940000000001"/>
    <n v="5430.2290000000003"/>
    <x v="0"/>
    <x v="0"/>
    <x v="2"/>
    <n v="1"/>
  </r>
  <r>
    <n v="1"/>
    <d v="2019-02-28T00:00:00"/>
    <x v="3"/>
    <n v="351.07799999999997"/>
    <n v="0"/>
    <x v="0"/>
    <x v="0"/>
    <x v="2"/>
    <n v="1"/>
  </r>
  <r>
    <n v="1"/>
    <d v="2019-03-01T00:00:00"/>
    <x v="2"/>
    <n v="1440.607"/>
    <n v="2005.1499999999999"/>
    <x v="0"/>
    <x v="0"/>
    <x v="2"/>
    <n v="1"/>
  </r>
  <r>
    <n v="1"/>
    <d v="2019-03-01T00:00:00"/>
    <x v="1"/>
    <n v="3494.3649999999998"/>
    <n v="0"/>
    <x v="0"/>
    <x v="0"/>
    <x v="2"/>
    <n v="1"/>
  </r>
  <r>
    <n v="1"/>
    <d v="2019-03-01T00:00:00"/>
    <x v="0"/>
    <n v="5385.2959999999994"/>
    <n v="5902.847999999999"/>
    <x v="0"/>
    <x v="0"/>
    <x v="2"/>
    <n v="1"/>
  </r>
  <r>
    <n v="1"/>
    <d v="2019-03-01T00:00:00"/>
    <x v="3"/>
    <n v="548.21899999999994"/>
    <n v="4310.7749999999996"/>
    <x v="0"/>
    <x v="0"/>
    <x v="2"/>
    <n v="1"/>
  </r>
  <r>
    <n v="1"/>
    <d v="2019-03-02T00:00:00"/>
    <x v="0"/>
    <n v="5962.9219999999987"/>
    <n v="5749.5479999999989"/>
    <x v="0"/>
    <x v="0"/>
    <x v="2"/>
    <n v="1"/>
  </r>
  <r>
    <n v="1"/>
    <d v="2019-03-02T00:00:00"/>
    <x v="3"/>
    <n v="153.85999999999999"/>
    <n v="0"/>
    <x v="0"/>
    <x v="0"/>
    <x v="2"/>
    <n v="1"/>
  </r>
  <r>
    <n v="1"/>
    <d v="2019-03-02T00:00:00"/>
    <x v="1"/>
    <n v="3707.9209999999994"/>
    <n v="0"/>
    <x v="0"/>
    <x v="0"/>
    <x v="2"/>
    <n v="1"/>
  </r>
  <r>
    <n v="1"/>
    <d v="2019-03-02T00:00:00"/>
    <x v="2"/>
    <n v="932.14800000000002"/>
    <n v="1741.8589999999999"/>
    <x v="0"/>
    <x v="0"/>
    <x v="2"/>
    <n v="1"/>
  </r>
  <r>
    <n v="1"/>
    <d v="2019-03-03T00:00:00"/>
    <x v="1"/>
    <n v="1552.8240000000001"/>
    <n v="0"/>
    <x v="0"/>
    <x v="0"/>
    <x v="2"/>
    <n v="1"/>
  </r>
  <r>
    <n v="1"/>
    <d v="2019-03-03T00:00:00"/>
    <x v="0"/>
    <n v="2170.63"/>
    <n v="2326.4009999999998"/>
    <x v="0"/>
    <x v="0"/>
    <x v="2"/>
    <n v="1"/>
  </r>
  <r>
    <n v="1"/>
    <d v="2019-03-03T00:00:00"/>
    <x v="3"/>
    <n v="0"/>
    <n v="36.357999999999997"/>
    <x v="0"/>
    <x v="0"/>
    <x v="2"/>
    <n v="1"/>
  </r>
  <r>
    <n v="1"/>
    <d v="2019-03-03T00:00:00"/>
    <x v="2"/>
    <n v="259.56"/>
    <n v="634.98399999999992"/>
    <x v="0"/>
    <x v="0"/>
    <x v="2"/>
    <n v="1"/>
  </r>
  <r>
    <n v="1"/>
    <d v="2019-03-04T00:00:00"/>
    <x v="2"/>
    <n v="643.81799999999998"/>
    <n v="1067.115"/>
    <x v="0"/>
    <x v="0"/>
    <x v="2"/>
    <n v="2"/>
  </r>
  <r>
    <n v="1"/>
    <d v="2019-03-04T00:00:00"/>
    <x v="3"/>
    <n v="263.452"/>
    <n v="0"/>
    <x v="0"/>
    <x v="0"/>
    <x v="2"/>
    <n v="2"/>
  </r>
  <r>
    <n v="1"/>
    <d v="2019-03-04T00:00:00"/>
    <x v="0"/>
    <n v="3618.9159999999997"/>
    <n v="4708.1089999999995"/>
    <x v="0"/>
    <x v="0"/>
    <x v="2"/>
    <n v="2"/>
  </r>
  <r>
    <n v="1"/>
    <d v="2019-03-04T00:00:00"/>
    <x v="1"/>
    <n v="2835.5740000000001"/>
    <n v="0"/>
    <x v="0"/>
    <x v="0"/>
    <x v="2"/>
    <n v="2"/>
  </r>
  <r>
    <n v="1"/>
    <d v="2019-03-05T00:00:00"/>
    <x v="0"/>
    <n v="3748.4089999999997"/>
    <n v="4471.7820000000002"/>
    <x v="0"/>
    <x v="0"/>
    <x v="2"/>
    <n v="2"/>
  </r>
  <r>
    <n v="1"/>
    <d v="2019-03-05T00:00:00"/>
    <x v="3"/>
    <n v="168.30799999999999"/>
    <n v="201.929"/>
    <x v="0"/>
    <x v="0"/>
    <x v="2"/>
    <n v="2"/>
  </r>
  <r>
    <n v="1"/>
    <d v="2019-03-05T00:00:00"/>
    <x v="1"/>
    <n v="2777.4809999999998"/>
    <n v="0"/>
    <x v="0"/>
    <x v="0"/>
    <x v="2"/>
    <n v="2"/>
  </r>
  <r>
    <n v="1"/>
    <d v="2019-03-05T00:00:00"/>
    <x v="2"/>
    <n v="1134.9099999999999"/>
    <n v="1162.6789999999999"/>
    <x v="0"/>
    <x v="0"/>
    <x v="2"/>
    <n v="2"/>
  </r>
  <r>
    <n v="1"/>
    <d v="2019-03-06T00:00:00"/>
    <x v="0"/>
    <n v="4254.1239999999998"/>
    <n v="4537.5189999999993"/>
    <x v="0"/>
    <x v="0"/>
    <x v="2"/>
    <n v="2"/>
  </r>
  <r>
    <n v="1"/>
    <d v="2019-03-06T00:00:00"/>
    <x v="2"/>
    <n v="689.35299999999995"/>
    <n v="1410.3039999999999"/>
    <x v="0"/>
    <x v="0"/>
    <x v="2"/>
    <n v="2"/>
  </r>
  <r>
    <n v="1"/>
    <d v="2019-03-06T00:00:00"/>
    <x v="1"/>
    <n v="3304.7420000000002"/>
    <n v="0"/>
    <x v="0"/>
    <x v="0"/>
    <x v="2"/>
    <n v="2"/>
  </r>
  <r>
    <n v="1"/>
    <d v="2019-03-06T00:00:00"/>
    <x v="3"/>
    <n v="458.78"/>
    <n v="1687.049"/>
    <x v="0"/>
    <x v="0"/>
    <x v="2"/>
    <n v="2"/>
  </r>
  <r>
    <n v="1"/>
    <d v="2019-03-07T00:00:00"/>
    <x v="2"/>
    <n v="1375.9059999999999"/>
    <n v="1570.9259999999997"/>
    <x v="0"/>
    <x v="0"/>
    <x v="2"/>
    <n v="2"/>
  </r>
  <r>
    <n v="1"/>
    <d v="2019-03-07T00:00:00"/>
    <x v="0"/>
    <n v="5028.6529999999993"/>
    <n v="5765.5289999999995"/>
    <x v="0"/>
    <x v="0"/>
    <x v="2"/>
    <n v="2"/>
  </r>
  <r>
    <n v="1"/>
    <d v="2019-03-07T00:00:00"/>
    <x v="1"/>
    <n v="3795.2809999999995"/>
    <n v="0"/>
    <x v="0"/>
    <x v="0"/>
    <x v="2"/>
    <n v="2"/>
  </r>
  <r>
    <n v="1"/>
    <d v="2019-03-07T00:00:00"/>
    <x v="3"/>
    <n v="145.376"/>
    <n v="1218.308"/>
    <x v="0"/>
    <x v="0"/>
    <x v="2"/>
    <n v="2"/>
  </r>
  <r>
    <n v="1"/>
    <d v="2019-03-08T00:00:00"/>
    <x v="1"/>
    <n v="3927.3359999999993"/>
    <n v="0"/>
    <x v="0"/>
    <x v="0"/>
    <x v="2"/>
    <n v="2"/>
  </r>
  <r>
    <n v="1"/>
    <d v="2019-03-08T00:00:00"/>
    <x v="0"/>
    <n v="6248.1019999999999"/>
    <n v="7082.6909999999989"/>
    <x v="0"/>
    <x v="0"/>
    <x v="2"/>
    <n v="2"/>
  </r>
  <r>
    <n v="1"/>
    <d v="2019-03-08T00:00:00"/>
    <x v="2"/>
    <n v="1504.3839999999998"/>
    <n v="1826.6429999999998"/>
    <x v="0"/>
    <x v="0"/>
    <x v="2"/>
    <n v="2"/>
  </r>
  <r>
    <n v="1"/>
    <d v="2019-03-08T00:00:00"/>
    <x v="3"/>
    <n v="113.57499999999999"/>
    <n v="1402.1"/>
    <x v="0"/>
    <x v="0"/>
    <x v="2"/>
    <n v="2"/>
  </r>
  <r>
    <n v="1"/>
    <d v="2019-03-09T00:00:00"/>
    <x v="3"/>
    <n v="577.04499999999996"/>
    <n v="837.45199999999988"/>
    <x v="0"/>
    <x v="0"/>
    <x v="2"/>
    <n v="2"/>
  </r>
  <r>
    <n v="1"/>
    <d v="2019-03-09T00:00:00"/>
    <x v="1"/>
    <n v="4151.1679999999997"/>
    <n v="0"/>
    <x v="0"/>
    <x v="0"/>
    <x v="2"/>
    <n v="2"/>
  </r>
  <r>
    <n v="1"/>
    <d v="2019-03-09T00:00:00"/>
    <x v="2"/>
    <n v="1112.79"/>
    <n v="1969.499"/>
    <x v="0"/>
    <x v="0"/>
    <x v="2"/>
    <n v="2"/>
  </r>
  <r>
    <n v="1"/>
    <d v="2019-03-09T00:00:00"/>
    <x v="0"/>
    <n v="6416.6059999999998"/>
    <n v="6841.17"/>
    <x v="0"/>
    <x v="0"/>
    <x v="2"/>
    <n v="2"/>
  </r>
  <r>
    <n v="1"/>
    <d v="2019-03-10T00:00:00"/>
    <x v="3"/>
    <n v="0"/>
    <n v="0"/>
    <x v="0"/>
    <x v="0"/>
    <x v="2"/>
    <n v="2"/>
  </r>
  <r>
    <n v="1"/>
    <d v="2019-03-10T00:00:00"/>
    <x v="2"/>
    <n v="319.03899999999999"/>
    <n v="531.76899999999989"/>
    <x v="0"/>
    <x v="0"/>
    <x v="2"/>
    <n v="2"/>
  </r>
  <r>
    <n v="1"/>
    <d v="2019-03-10T00:00:00"/>
    <x v="0"/>
    <n v="2249.3869999999997"/>
    <n v="2436.819"/>
    <x v="0"/>
    <x v="0"/>
    <x v="2"/>
    <n v="2"/>
  </r>
  <r>
    <n v="1"/>
    <d v="2019-03-10T00:00:00"/>
    <x v="1"/>
    <n v="1408.68"/>
    <n v="0"/>
    <x v="0"/>
    <x v="0"/>
    <x v="2"/>
    <n v="2"/>
  </r>
  <r>
    <n v="1"/>
    <d v="2019-03-11T00:00:00"/>
    <x v="3"/>
    <n v="0"/>
    <n v="584.94799999999998"/>
    <x v="0"/>
    <x v="0"/>
    <x v="2"/>
    <n v="3"/>
  </r>
  <r>
    <n v="1"/>
    <d v="2019-03-11T00:00:00"/>
    <x v="1"/>
    <n v="2675.2460000000001"/>
    <n v="0"/>
    <x v="0"/>
    <x v="0"/>
    <x v="2"/>
    <n v="3"/>
  </r>
  <r>
    <n v="1"/>
    <d v="2019-03-11T00:00:00"/>
    <x v="2"/>
    <n v="719.15199999999993"/>
    <n v="1224.615"/>
    <x v="0"/>
    <x v="0"/>
    <x v="2"/>
    <n v="3"/>
  </r>
  <r>
    <n v="1"/>
    <d v="2019-03-11T00:00:00"/>
    <x v="0"/>
    <n v="3699.92"/>
    <n v="4579.0079999999998"/>
    <x v="0"/>
    <x v="0"/>
    <x v="2"/>
    <n v="3"/>
  </r>
  <r>
    <n v="1"/>
    <d v="2019-03-12T00:00:00"/>
    <x v="2"/>
    <n v="811.55199999999991"/>
    <n v="1339.807"/>
    <x v="0"/>
    <x v="0"/>
    <x v="2"/>
    <n v="3"/>
  </r>
  <r>
    <n v="1"/>
    <d v="2019-03-12T00:00:00"/>
    <x v="3"/>
    <n v="184.97499999999999"/>
    <n v="366.40800000000002"/>
    <x v="0"/>
    <x v="0"/>
    <x v="2"/>
    <n v="3"/>
  </r>
  <r>
    <n v="1"/>
    <d v="2019-03-12T00:00:00"/>
    <x v="0"/>
    <n v="3968.7339999999995"/>
    <n v="4654.0619999999999"/>
    <x v="0"/>
    <x v="0"/>
    <x v="2"/>
    <n v="3"/>
  </r>
  <r>
    <n v="1"/>
    <d v="2019-03-12T00:00:00"/>
    <x v="1"/>
    <n v="2542.232"/>
    <n v="0"/>
    <x v="0"/>
    <x v="0"/>
    <x v="2"/>
    <n v="3"/>
  </r>
  <r>
    <n v="1"/>
    <d v="2019-03-13T00:00:00"/>
    <x v="0"/>
    <n v="4207.9659999999994"/>
    <n v="4216.9609999999993"/>
    <x v="0"/>
    <x v="0"/>
    <x v="2"/>
    <n v="3"/>
  </r>
  <r>
    <n v="1"/>
    <d v="2019-03-13T00:00:00"/>
    <x v="2"/>
    <n v="589.35799999999995"/>
    <n v="1067.423"/>
    <x v="0"/>
    <x v="0"/>
    <x v="2"/>
    <n v="3"/>
  </r>
  <r>
    <n v="1"/>
    <d v="2019-03-13T00:00:00"/>
    <x v="1"/>
    <n v="3401.482"/>
    <n v="0"/>
    <x v="0"/>
    <x v="0"/>
    <x v="2"/>
    <n v="3"/>
  </r>
  <r>
    <n v="1"/>
    <d v="2019-03-13T00:00:00"/>
    <x v="3"/>
    <n v="0"/>
    <n v="333.78799999999995"/>
    <x v="0"/>
    <x v="0"/>
    <x v="2"/>
    <n v="3"/>
  </r>
  <r>
    <n v="1"/>
    <d v="2019-03-14T00:00:00"/>
    <x v="2"/>
    <n v="578.31899999999996"/>
    <n v="2073.9809999999998"/>
    <x v="0"/>
    <x v="0"/>
    <x v="2"/>
    <n v="3"/>
  </r>
  <r>
    <n v="1"/>
    <d v="2019-03-14T00:00:00"/>
    <x v="1"/>
    <n v="3209.8429999999998"/>
    <n v="0"/>
    <x v="0"/>
    <x v="0"/>
    <x v="2"/>
    <n v="3"/>
  </r>
  <r>
    <n v="1"/>
    <d v="2019-03-14T00:00:00"/>
    <x v="0"/>
    <n v="5231.0720000000001"/>
    <n v="6216"/>
    <x v="0"/>
    <x v="0"/>
    <x v="2"/>
    <n v="3"/>
  </r>
  <r>
    <n v="1"/>
    <d v="2019-03-14T00:00:00"/>
    <x v="3"/>
    <n v="193.03899999999999"/>
    <n v="2312.7089999999998"/>
    <x v="0"/>
    <x v="0"/>
    <x v="2"/>
    <n v="3"/>
  </r>
  <r>
    <n v="1"/>
    <d v="2019-03-15T00:00:00"/>
    <x v="1"/>
    <n v="3289.0339999999997"/>
    <n v="0"/>
    <x v="0"/>
    <x v="0"/>
    <x v="2"/>
    <n v="3"/>
  </r>
  <r>
    <n v="1"/>
    <d v="2019-03-15T00:00:00"/>
    <x v="3"/>
    <n v="0"/>
    <n v="1613.3879999999999"/>
    <x v="0"/>
    <x v="0"/>
    <x v="2"/>
    <n v="3"/>
  </r>
  <r>
    <n v="1"/>
    <d v="2019-03-15T00:00:00"/>
    <x v="0"/>
    <n v="6109.0119999999997"/>
    <n v="6549.0460000000003"/>
    <x v="0"/>
    <x v="0"/>
    <x v="2"/>
    <n v="3"/>
  </r>
  <r>
    <n v="1"/>
    <d v="2019-03-15T00:00:00"/>
    <x v="2"/>
    <n v="1167.7749999999999"/>
    <n v="1789.8999999999999"/>
    <x v="0"/>
    <x v="0"/>
    <x v="2"/>
    <n v="3"/>
  </r>
  <r>
    <n v="1"/>
    <d v="2019-03-16T00:00:00"/>
    <x v="2"/>
    <n v="1069.9849999999999"/>
    <n v="1771.385"/>
    <x v="0"/>
    <x v="0"/>
    <x v="2"/>
    <n v="3"/>
  </r>
  <r>
    <n v="1"/>
    <d v="2019-03-16T00:00:00"/>
    <x v="0"/>
    <n v="6108.4309999999996"/>
    <n v="5394.1439999999993"/>
    <x v="0"/>
    <x v="0"/>
    <x v="2"/>
    <n v="3"/>
  </r>
  <r>
    <n v="1"/>
    <d v="2019-03-16T00:00:00"/>
    <x v="1"/>
    <n v="3388.7279999999996"/>
    <n v="0"/>
    <x v="0"/>
    <x v="0"/>
    <x v="2"/>
    <n v="3"/>
  </r>
  <r>
    <n v="1"/>
    <d v="2019-03-16T00:00:00"/>
    <x v="3"/>
    <n v="861.61599999999999"/>
    <n v="644.30099999999993"/>
    <x v="0"/>
    <x v="0"/>
    <x v="2"/>
    <n v="3"/>
  </r>
  <r>
    <n v="1"/>
    <d v="2019-03-17T00:00:00"/>
    <x v="0"/>
    <n v="2512.37"/>
    <n v="2904.3489999999997"/>
    <x v="0"/>
    <x v="0"/>
    <x v="2"/>
    <n v="3"/>
  </r>
  <r>
    <n v="1"/>
    <d v="2019-03-17T00:00:00"/>
    <x v="2"/>
    <n v="286.03399999999999"/>
    <n v="306.06099999999998"/>
    <x v="0"/>
    <x v="0"/>
    <x v="2"/>
    <n v="3"/>
  </r>
  <r>
    <n v="1"/>
    <d v="2019-03-17T00:00:00"/>
    <x v="1"/>
    <n v="1587.6139999999998"/>
    <n v="0"/>
    <x v="0"/>
    <x v="0"/>
    <x v="2"/>
    <n v="3"/>
  </r>
  <r>
    <n v="1"/>
    <d v="2019-03-17T00:00:00"/>
    <x v="3"/>
    <n v="192.32499999999999"/>
    <n v="0"/>
    <x v="0"/>
    <x v="0"/>
    <x v="2"/>
    <n v="3"/>
  </r>
  <r>
    <n v="1"/>
    <d v="2019-03-18T00:00:00"/>
    <x v="2"/>
    <n v="788.81600000000003"/>
    <n v="908.31999999999982"/>
    <x v="0"/>
    <x v="0"/>
    <x v="2"/>
    <n v="4"/>
  </r>
  <r>
    <n v="1"/>
    <d v="2019-03-18T00:00:00"/>
    <x v="0"/>
    <n v="3908.7999999999997"/>
    <n v="5282.829999999999"/>
    <x v="0"/>
    <x v="0"/>
    <x v="2"/>
    <n v="4"/>
  </r>
  <r>
    <n v="1"/>
    <d v="2019-03-18T00:00:00"/>
    <x v="3"/>
    <n v="0"/>
    <n v="192.32499999999999"/>
    <x v="0"/>
    <x v="0"/>
    <x v="2"/>
    <n v="4"/>
  </r>
  <r>
    <n v="1"/>
    <d v="2019-03-18T00:00:00"/>
    <x v="1"/>
    <n v="2794.5399999999995"/>
    <n v="0"/>
    <x v="0"/>
    <x v="0"/>
    <x v="2"/>
    <n v="4"/>
  </r>
  <r>
    <n v="1"/>
    <d v="2019-03-19T00:00:00"/>
    <x v="2"/>
    <n v="965.87399999999991"/>
    <n v="1237.04"/>
    <x v="0"/>
    <x v="0"/>
    <x v="2"/>
    <n v="4"/>
  </r>
  <r>
    <n v="1"/>
    <d v="2019-03-19T00:00:00"/>
    <x v="1"/>
    <n v="2967.797"/>
    <n v="0"/>
    <x v="0"/>
    <x v="0"/>
    <x v="2"/>
    <n v="4"/>
  </r>
  <r>
    <n v="1"/>
    <d v="2019-03-19T00:00:00"/>
    <x v="3"/>
    <n v="0"/>
    <n v="416.55599999999998"/>
    <x v="0"/>
    <x v="0"/>
    <x v="2"/>
    <n v="4"/>
  </r>
  <r>
    <n v="1"/>
    <d v="2019-03-19T00:00:00"/>
    <x v="0"/>
    <n v="3772.3909999999996"/>
    <n v="4874.5410000000002"/>
    <x v="0"/>
    <x v="0"/>
    <x v="2"/>
    <n v="4"/>
  </r>
  <r>
    <n v="1"/>
    <d v="2019-03-20T00:00:00"/>
    <x v="3"/>
    <n v="0"/>
    <n v="1102.2199999999998"/>
    <x v="0"/>
    <x v="0"/>
    <x v="2"/>
    <n v="4"/>
  </r>
  <r>
    <n v="1"/>
    <d v="2019-03-20T00:00:00"/>
    <x v="2"/>
    <n v="613.88599999999997"/>
    <n v="1279.3409999999999"/>
    <x v="0"/>
    <x v="0"/>
    <x v="2"/>
    <n v="4"/>
  </r>
  <r>
    <n v="1"/>
    <d v="2019-03-20T00:00:00"/>
    <x v="1"/>
    <n v="3188.7519999999995"/>
    <n v="0"/>
    <x v="0"/>
    <x v="0"/>
    <x v="2"/>
    <n v="4"/>
  </r>
  <r>
    <n v="1"/>
    <d v="2019-03-20T00:00:00"/>
    <x v="0"/>
    <n v="4479.0129999999999"/>
    <n v="4703.1319999999996"/>
    <x v="0"/>
    <x v="0"/>
    <x v="2"/>
    <n v="4"/>
  </r>
  <r>
    <n v="1"/>
    <d v="2019-03-21T00:00:00"/>
    <x v="0"/>
    <n v="5121.4589999999998"/>
    <n v="6106.4359999999997"/>
    <x v="0"/>
    <x v="0"/>
    <x v="2"/>
    <n v="4"/>
  </r>
  <r>
    <n v="1"/>
    <d v="2019-03-21T00:00:00"/>
    <x v="2"/>
    <n v="728.71399999999994"/>
    <n v="1847.0059999999999"/>
    <x v="0"/>
    <x v="0"/>
    <x v="2"/>
    <n v="4"/>
  </r>
  <r>
    <n v="1"/>
    <d v="2019-03-21T00:00:00"/>
    <x v="1"/>
    <n v="3535.1189999999997"/>
    <n v="0"/>
    <x v="0"/>
    <x v="0"/>
    <x v="2"/>
    <n v="4"/>
  </r>
  <r>
    <n v="1"/>
    <d v="2019-03-21T00:00:00"/>
    <x v="3"/>
    <n v="173.43199999999999"/>
    <n v="1264.3119999999999"/>
    <x v="0"/>
    <x v="0"/>
    <x v="2"/>
    <n v="4"/>
  </r>
  <r>
    <n v="1"/>
    <d v="2019-03-22T00:00:00"/>
    <x v="0"/>
    <n v="5629.0079999999998"/>
    <n v="7379.5539999999992"/>
    <x v="0"/>
    <x v="0"/>
    <x v="2"/>
    <n v="4"/>
  </r>
  <r>
    <n v="1"/>
    <d v="2019-03-22T00:00:00"/>
    <x v="3"/>
    <n v="230.78999999999996"/>
    <n v="617.87599999999998"/>
    <x v="0"/>
    <x v="0"/>
    <x v="2"/>
    <n v="4"/>
  </r>
  <r>
    <n v="1"/>
    <d v="2019-03-22T00:00:00"/>
    <x v="1"/>
    <n v="4138.9529999999995"/>
    <n v="0"/>
    <x v="0"/>
    <x v="0"/>
    <x v="2"/>
    <n v="4"/>
  </r>
  <r>
    <n v="1"/>
    <d v="2019-03-22T00:00:00"/>
    <x v="2"/>
    <n v="1346.394"/>
    <n v="1898.1059999999998"/>
    <x v="0"/>
    <x v="0"/>
    <x v="2"/>
    <n v="4"/>
  </r>
  <r>
    <n v="1"/>
    <d v="2019-03-23T00:00:00"/>
    <x v="2"/>
    <n v="1066.9259999999999"/>
    <n v="2153.5009999999997"/>
    <x v="0"/>
    <x v="0"/>
    <x v="2"/>
    <n v="4"/>
  </r>
  <r>
    <n v="1"/>
    <d v="2019-03-23T00:00:00"/>
    <x v="0"/>
    <n v="7038.3809999999994"/>
    <n v="7039.4309999999996"/>
    <x v="0"/>
    <x v="0"/>
    <x v="2"/>
    <n v="4"/>
  </r>
  <r>
    <n v="1"/>
    <d v="2019-03-23T00:00:00"/>
    <x v="3"/>
    <n v="12.928999999999998"/>
    <n v="0"/>
    <x v="0"/>
    <x v="0"/>
    <x v="2"/>
    <n v="4"/>
  </r>
  <r>
    <n v="1"/>
    <d v="2019-03-23T00:00:00"/>
    <x v="1"/>
    <n v="3918.0540000000001"/>
    <n v="0"/>
    <x v="0"/>
    <x v="0"/>
    <x v="2"/>
    <n v="4"/>
  </r>
  <r>
    <n v="1"/>
    <d v="2019-03-24T00:00:00"/>
    <x v="2"/>
    <n v="389.96999999999997"/>
    <n v="707.41300000000001"/>
    <x v="0"/>
    <x v="0"/>
    <x v="2"/>
    <n v="4"/>
  </r>
  <r>
    <n v="1"/>
    <d v="2019-03-24T00:00:00"/>
    <x v="1"/>
    <n v="2101.9879999999998"/>
    <n v="0"/>
    <x v="0"/>
    <x v="0"/>
    <x v="2"/>
    <n v="4"/>
  </r>
  <r>
    <n v="1"/>
    <d v="2019-03-24T00:00:00"/>
    <x v="3"/>
    <n v="192.32499999999999"/>
    <n v="0"/>
    <x v="0"/>
    <x v="0"/>
    <x v="2"/>
    <n v="4"/>
  </r>
  <r>
    <n v="1"/>
    <d v="2019-03-24T00:00:00"/>
    <x v="0"/>
    <n v="3014.7599999999998"/>
    <n v="3214.8829999999994"/>
    <x v="0"/>
    <x v="0"/>
    <x v="2"/>
    <n v="4"/>
  </r>
  <r>
    <n v="1"/>
    <d v="2019-03-25T00:00:00"/>
    <x v="3"/>
    <n v="27.573"/>
    <n v="1026.298"/>
    <x v="0"/>
    <x v="0"/>
    <x v="2"/>
    <n v="5"/>
  </r>
  <r>
    <n v="1"/>
    <d v="2019-03-25T00:00:00"/>
    <x v="1"/>
    <n v="3217.0529999999999"/>
    <n v="0"/>
    <x v="0"/>
    <x v="0"/>
    <x v="2"/>
    <n v="5"/>
  </r>
  <r>
    <n v="1"/>
    <d v="2019-03-25T00:00:00"/>
    <x v="2"/>
    <n v="706.67799999999988"/>
    <n v="1279.5509999999999"/>
    <x v="0"/>
    <x v="0"/>
    <x v="2"/>
    <n v="5"/>
  </r>
  <r>
    <n v="1"/>
    <d v="2019-03-25T00:00:00"/>
    <x v="0"/>
    <n v="3893.0149999999994"/>
    <n v="5008.6329999999998"/>
    <x v="0"/>
    <x v="0"/>
    <x v="2"/>
    <n v="5"/>
  </r>
  <r>
    <n v="1"/>
    <d v="2019-03-26T00:00:00"/>
    <x v="0"/>
    <n v="4007.3879999999999"/>
    <n v="4789.3509999999997"/>
    <x v="0"/>
    <x v="0"/>
    <x v="2"/>
    <n v="5"/>
  </r>
  <r>
    <n v="1"/>
    <d v="2019-03-26T00:00:00"/>
    <x v="2"/>
    <n v="782.69799999999998"/>
    <n v="912.84899999999993"/>
    <x v="0"/>
    <x v="0"/>
    <x v="2"/>
    <n v="5"/>
  </r>
  <r>
    <n v="1"/>
    <d v="2019-03-26T00:00:00"/>
    <x v="1"/>
    <n v="3003.8820000000001"/>
    <n v="0"/>
    <x v="0"/>
    <x v="0"/>
    <x v="2"/>
    <n v="5"/>
  </r>
  <r>
    <n v="1"/>
    <d v="2019-03-26T00:00:00"/>
    <x v="3"/>
    <n v="0"/>
    <n v="569.47799999999995"/>
    <x v="0"/>
    <x v="0"/>
    <x v="2"/>
    <n v="5"/>
  </r>
  <r>
    <n v="1"/>
    <d v="2019-03-27T00:00:00"/>
    <x v="0"/>
    <n v="4617.0950000000003"/>
    <n v="5671.4209999999994"/>
    <x v="0"/>
    <x v="0"/>
    <x v="2"/>
    <n v="5"/>
  </r>
  <r>
    <n v="1"/>
    <d v="2019-03-27T00:00:00"/>
    <x v="1"/>
    <n v="3313.7719999999999"/>
    <n v="0"/>
    <x v="0"/>
    <x v="0"/>
    <x v="2"/>
    <n v="5"/>
  </r>
  <r>
    <n v="1"/>
    <d v="2019-03-27T00:00:00"/>
    <x v="3"/>
    <n v="0"/>
    <n v="1227.1489999999999"/>
    <x v="0"/>
    <x v="0"/>
    <x v="2"/>
    <n v="5"/>
  </r>
  <r>
    <n v="1"/>
    <d v="2019-03-27T00:00:00"/>
    <x v="2"/>
    <n v="1077.867"/>
    <n v="1671.8869999999997"/>
    <x v="0"/>
    <x v="0"/>
    <x v="2"/>
    <n v="5"/>
  </r>
  <r>
    <n v="1"/>
    <d v="2019-03-28T00:00:00"/>
    <x v="1"/>
    <n v="3763.1019999999994"/>
    <n v="0"/>
    <x v="0"/>
    <x v="0"/>
    <x v="2"/>
    <n v="5"/>
  </r>
  <r>
    <n v="1"/>
    <d v="2019-03-28T00:00:00"/>
    <x v="2"/>
    <n v="1084.2019999999998"/>
    <n v="1349.866"/>
    <x v="0"/>
    <x v="0"/>
    <x v="2"/>
    <n v="5"/>
  </r>
  <r>
    <n v="1"/>
    <d v="2019-03-28T00:00:00"/>
    <x v="3"/>
    <n v="0"/>
    <n v="2813.4259999999999"/>
    <x v="0"/>
    <x v="0"/>
    <x v="2"/>
    <n v="5"/>
  </r>
  <r>
    <n v="1"/>
    <d v="2019-03-28T00:00:00"/>
    <x v="0"/>
    <n v="5816.1880000000001"/>
    <n v="6833.3019999999997"/>
    <x v="0"/>
    <x v="0"/>
    <x v="2"/>
    <n v="5"/>
  </r>
  <r>
    <n v="1"/>
    <d v="2019-03-29T00:00:00"/>
    <x v="1"/>
    <n v="3983.8119999999994"/>
    <n v="0"/>
    <x v="0"/>
    <x v="0"/>
    <x v="2"/>
    <n v="5"/>
  </r>
  <r>
    <n v="1"/>
    <d v="2019-03-29T00:00:00"/>
    <x v="3"/>
    <n v="371.36399999999998"/>
    <n v="3011.2179999999998"/>
    <x v="0"/>
    <x v="0"/>
    <x v="2"/>
    <n v="5"/>
  </r>
  <r>
    <n v="1"/>
    <d v="2019-03-29T00:00:00"/>
    <x v="2"/>
    <n v="1843.0859999999998"/>
    <n v="2070.194"/>
    <x v="0"/>
    <x v="0"/>
    <x v="2"/>
    <n v="5"/>
  </r>
  <r>
    <n v="1"/>
    <d v="2019-03-29T00:00:00"/>
    <x v="0"/>
    <n v="5257.0140000000001"/>
    <n v="7379.3649999999998"/>
    <x v="0"/>
    <x v="0"/>
    <x v="2"/>
    <n v="5"/>
  </r>
  <r>
    <n v="1"/>
    <d v="2019-03-30T00:00:00"/>
    <x v="2"/>
    <n v="1036.567"/>
    <n v="2092.2860000000001"/>
    <x v="0"/>
    <x v="0"/>
    <x v="2"/>
    <n v="5"/>
  </r>
  <r>
    <n v="1"/>
    <d v="2019-03-30T00:00:00"/>
    <x v="3"/>
    <n v="50.365000000000002"/>
    <n v="323.09199999999998"/>
    <x v="0"/>
    <x v="0"/>
    <x v="2"/>
    <n v="5"/>
  </r>
  <r>
    <n v="1"/>
    <d v="2019-03-30T00:00:00"/>
    <x v="1"/>
    <n v="3742.0879999999997"/>
    <n v="0"/>
    <x v="0"/>
    <x v="0"/>
    <x v="2"/>
    <n v="5"/>
  </r>
  <r>
    <n v="1"/>
    <d v="2019-03-30T00:00:00"/>
    <x v="0"/>
    <n v="6236.7689999999993"/>
    <n v="5934.6280000000006"/>
    <x v="0"/>
    <x v="0"/>
    <x v="2"/>
    <n v="5"/>
  </r>
  <r>
    <n v="1"/>
    <d v="2019-03-31T00:00:00"/>
    <x v="3"/>
    <n v="0"/>
    <n v="64.007999999999996"/>
    <x v="0"/>
    <x v="0"/>
    <x v="2"/>
    <n v="5"/>
  </r>
  <r>
    <n v="1"/>
    <d v="2019-03-31T00:00:00"/>
    <x v="1"/>
    <n v="1714.027"/>
    <n v="0"/>
    <x v="0"/>
    <x v="0"/>
    <x v="2"/>
    <n v="5"/>
  </r>
  <r>
    <n v="1"/>
    <d v="2019-03-31T00:00:00"/>
    <x v="0"/>
    <n v="2912.8049999999994"/>
    <n v="2669.7999999999997"/>
    <x v="0"/>
    <x v="0"/>
    <x v="2"/>
    <n v="5"/>
  </r>
  <r>
    <n v="1"/>
    <d v="2019-03-31T00:00:00"/>
    <x v="2"/>
    <n v="299.03299999999996"/>
    <n v="322.33600000000001"/>
    <x v="0"/>
    <x v="0"/>
    <x v="2"/>
    <n v="5"/>
  </r>
  <r>
    <n v="1"/>
    <d v="2019-04-01T00:00:00"/>
    <x v="0"/>
    <n v="3623.2839999999997"/>
    <n v="4655.7629999999999"/>
    <x v="0"/>
    <x v="0"/>
    <x v="3"/>
    <n v="1"/>
  </r>
  <r>
    <n v="1"/>
    <d v="2019-04-01T00:00:00"/>
    <x v="1"/>
    <n v="3001.7119999999995"/>
    <n v="0"/>
    <x v="0"/>
    <x v="0"/>
    <x v="3"/>
    <n v="1"/>
  </r>
  <r>
    <n v="1"/>
    <d v="2019-04-01T00:00:00"/>
    <x v="2"/>
    <n v="660.51300000000003"/>
    <n v="1185.3309999999999"/>
    <x v="0"/>
    <x v="0"/>
    <x v="3"/>
    <n v="1"/>
  </r>
  <r>
    <n v="1"/>
    <d v="2019-04-01T00:00:00"/>
    <x v="3"/>
    <n v="0"/>
    <n v="861.65800000000002"/>
    <x v="0"/>
    <x v="0"/>
    <x v="3"/>
    <n v="1"/>
  </r>
  <r>
    <n v="1"/>
    <d v="2019-04-02T00:00:00"/>
    <x v="0"/>
    <n v="4149.607"/>
    <n v="4980.4439999999995"/>
    <x v="0"/>
    <x v="0"/>
    <x v="3"/>
    <n v="1"/>
  </r>
  <r>
    <n v="1"/>
    <d v="2019-04-02T00:00:00"/>
    <x v="2"/>
    <n v="1350.3139999999999"/>
    <n v="905.24"/>
    <x v="0"/>
    <x v="0"/>
    <x v="3"/>
    <n v="1"/>
  </r>
  <r>
    <n v="1"/>
    <d v="2019-04-02T00:00:00"/>
    <x v="1"/>
    <n v="3314.8290000000002"/>
    <n v="0"/>
    <x v="0"/>
    <x v="0"/>
    <x v="3"/>
    <n v="1"/>
  </r>
  <r>
    <n v="1"/>
    <d v="2019-04-02T00:00:00"/>
    <x v="3"/>
    <n v="153.85999999999999"/>
    <n v="0"/>
    <x v="0"/>
    <x v="0"/>
    <x v="3"/>
    <n v="1"/>
  </r>
  <r>
    <n v="1"/>
    <d v="2019-04-03T00:00:00"/>
    <x v="2"/>
    <n v="829.70299999999997"/>
    <n v="1288.2379999999998"/>
    <x v="0"/>
    <x v="0"/>
    <x v="3"/>
    <n v="1"/>
  </r>
  <r>
    <n v="1"/>
    <d v="2019-04-03T00:00:00"/>
    <x v="0"/>
    <n v="4821.1030000000001"/>
    <n v="5003.5999999999995"/>
    <x v="0"/>
    <x v="0"/>
    <x v="3"/>
    <n v="1"/>
  </r>
  <r>
    <n v="1"/>
    <d v="2019-04-03T00:00:00"/>
    <x v="3"/>
    <n v="0"/>
    <n v="1205.2249999999999"/>
    <x v="0"/>
    <x v="0"/>
    <x v="3"/>
    <n v="1"/>
  </r>
  <r>
    <n v="1"/>
    <d v="2019-04-03T00:00:00"/>
    <x v="1"/>
    <n v="3124.9189999999999"/>
    <n v="0"/>
    <x v="0"/>
    <x v="0"/>
    <x v="3"/>
    <n v="1"/>
  </r>
  <r>
    <n v="1"/>
    <d v="2019-04-04T00:00:00"/>
    <x v="1"/>
    <n v="3857.1679999999997"/>
    <n v="0"/>
    <x v="0"/>
    <x v="0"/>
    <x v="3"/>
    <n v="1"/>
  </r>
  <r>
    <n v="1"/>
    <d v="2019-04-04T00:00:00"/>
    <x v="2"/>
    <n v="1534.617"/>
    <n v="3477.2919999999999"/>
    <x v="0"/>
    <x v="0"/>
    <x v="3"/>
    <n v="1"/>
  </r>
  <r>
    <n v="1"/>
    <d v="2019-04-04T00:00:00"/>
    <x v="0"/>
    <n v="6681.3039999999992"/>
    <n v="8104.9849999999988"/>
    <x v="0"/>
    <x v="0"/>
    <x v="3"/>
    <n v="1"/>
  </r>
  <r>
    <n v="1"/>
    <d v="2019-04-04T00:00:00"/>
    <x v="3"/>
    <n v="0"/>
    <n v="914.01799999999992"/>
    <x v="0"/>
    <x v="0"/>
    <x v="3"/>
    <n v="1"/>
  </r>
  <r>
    <n v="1"/>
    <d v="2019-04-05T00:00:00"/>
    <x v="3"/>
    <n v="36.140999999999998"/>
    <n v="2924.2779999999998"/>
    <x v="0"/>
    <x v="0"/>
    <x v="3"/>
    <n v="1"/>
  </r>
  <r>
    <n v="1"/>
    <d v="2019-04-05T00:00:00"/>
    <x v="2"/>
    <n v="1011.1709999999999"/>
    <n v="1854.3839999999998"/>
    <x v="0"/>
    <x v="0"/>
    <x v="3"/>
    <n v="1"/>
  </r>
  <r>
    <n v="1"/>
    <d v="2019-04-05T00:00:00"/>
    <x v="0"/>
    <n v="5840.4289999999992"/>
    <n v="6421.9539999999988"/>
    <x v="0"/>
    <x v="0"/>
    <x v="3"/>
    <n v="1"/>
  </r>
  <r>
    <n v="1"/>
    <d v="2019-04-05T00:00:00"/>
    <x v="1"/>
    <n v="3709.1039999999998"/>
    <n v="0"/>
    <x v="0"/>
    <x v="0"/>
    <x v="3"/>
    <n v="1"/>
  </r>
  <r>
    <n v="1"/>
    <d v="2019-04-06T00:00:00"/>
    <x v="2"/>
    <n v="1115.8559999999998"/>
    <n v="2003.8339999999998"/>
    <x v="0"/>
    <x v="0"/>
    <x v="3"/>
    <n v="1"/>
  </r>
  <r>
    <n v="1"/>
    <d v="2019-04-06T00:00:00"/>
    <x v="1"/>
    <n v="3345.1320000000001"/>
    <n v="0"/>
    <x v="0"/>
    <x v="0"/>
    <x v="3"/>
    <n v="1"/>
  </r>
  <r>
    <n v="1"/>
    <d v="2019-04-06T00:00:00"/>
    <x v="3"/>
    <n v="733.59299999999996"/>
    <n v="169.946"/>
    <x v="0"/>
    <x v="0"/>
    <x v="3"/>
    <n v="1"/>
  </r>
  <r>
    <n v="1"/>
    <d v="2019-04-06T00:00:00"/>
    <x v="0"/>
    <n v="4327.0919999999996"/>
    <n v="6423.3890000000001"/>
    <x v="0"/>
    <x v="0"/>
    <x v="3"/>
    <n v="1"/>
  </r>
  <r>
    <n v="1"/>
    <d v="2019-04-07T00:00:00"/>
    <x v="1"/>
    <n v="1770.664"/>
    <n v="0"/>
    <x v="0"/>
    <x v="0"/>
    <x v="3"/>
    <n v="1"/>
  </r>
  <r>
    <n v="1"/>
    <d v="2019-04-07T00:00:00"/>
    <x v="3"/>
    <n v="0"/>
    <n v="279.64999999999998"/>
    <x v="0"/>
    <x v="0"/>
    <x v="3"/>
    <n v="1"/>
  </r>
  <r>
    <n v="1"/>
    <d v="2019-04-07T00:00:00"/>
    <x v="2"/>
    <n v="242.33299999999997"/>
    <n v="492.11399999999998"/>
    <x v="0"/>
    <x v="0"/>
    <x v="3"/>
    <n v="1"/>
  </r>
  <r>
    <n v="1"/>
    <d v="2019-04-07T00:00:00"/>
    <x v="0"/>
    <n v="2572.0449999999996"/>
    <n v="2844.6389999999997"/>
    <x v="0"/>
    <x v="0"/>
    <x v="3"/>
    <n v="1"/>
  </r>
  <r>
    <n v="1"/>
    <d v="2019-04-08T00:00:00"/>
    <x v="3"/>
    <n v="192.32499999999999"/>
    <n v="1255.751"/>
    <x v="0"/>
    <x v="0"/>
    <x v="3"/>
    <n v="2"/>
  </r>
  <r>
    <n v="1"/>
    <d v="2019-04-08T00:00:00"/>
    <x v="0"/>
    <n v="3366.8249999999998"/>
    <n v="4473.7349999999997"/>
    <x v="0"/>
    <x v="0"/>
    <x v="3"/>
    <n v="2"/>
  </r>
  <r>
    <n v="1"/>
    <d v="2019-04-08T00:00:00"/>
    <x v="1"/>
    <n v="3035.1299999999997"/>
    <n v="0"/>
    <x v="0"/>
    <x v="0"/>
    <x v="3"/>
    <n v="2"/>
  </r>
  <r>
    <n v="1"/>
    <d v="2019-04-08T00:00:00"/>
    <x v="2"/>
    <n v="744.97499999999991"/>
    <n v="1377.271"/>
    <x v="0"/>
    <x v="0"/>
    <x v="3"/>
    <n v="2"/>
  </r>
  <r>
    <n v="1"/>
    <d v="2019-04-09T00:00:00"/>
    <x v="0"/>
    <n v="3267.1239999999998"/>
    <n v="4612.951"/>
    <x v="0"/>
    <x v="0"/>
    <x v="3"/>
    <n v="2"/>
  </r>
  <r>
    <n v="1"/>
    <d v="2019-04-09T00:00:00"/>
    <x v="3"/>
    <n v="200.018"/>
    <n v="506.29599999999994"/>
    <x v="0"/>
    <x v="0"/>
    <x v="3"/>
    <n v="2"/>
  </r>
  <r>
    <n v="1"/>
    <d v="2019-04-09T00:00:00"/>
    <x v="1"/>
    <n v="3192.0909999999999"/>
    <n v="0"/>
    <x v="0"/>
    <x v="0"/>
    <x v="3"/>
    <n v="2"/>
  </r>
  <r>
    <n v="1"/>
    <d v="2019-04-09T00:00:00"/>
    <x v="2"/>
    <n v="638.33699999999999"/>
    <n v="1072.309"/>
    <x v="0"/>
    <x v="0"/>
    <x v="3"/>
    <n v="2"/>
  </r>
  <r>
    <n v="1"/>
    <d v="2019-04-10T00:00:00"/>
    <x v="0"/>
    <n v="4777.2129999999997"/>
    <n v="4421.326"/>
    <x v="0"/>
    <x v="0"/>
    <x v="3"/>
    <n v="2"/>
  </r>
  <r>
    <n v="1"/>
    <d v="2019-04-10T00:00:00"/>
    <x v="3"/>
    <n v="1136.779"/>
    <n v="694.22499999999991"/>
    <x v="0"/>
    <x v="0"/>
    <x v="3"/>
    <n v="2"/>
  </r>
  <r>
    <n v="1"/>
    <d v="2019-04-10T00:00:00"/>
    <x v="1"/>
    <n v="3613.1480000000001"/>
    <n v="0"/>
    <x v="0"/>
    <x v="0"/>
    <x v="3"/>
    <n v="2"/>
  </r>
  <r>
    <n v="1"/>
    <d v="2019-04-10T00:00:00"/>
    <x v="2"/>
    <n v="825.52399999999989"/>
    <n v="1349.25"/>
    <x v="0"/>
    <x v="0"/>
    <x v="3"/>
    <n v="2"/>
  </r>
  <r>
    <n v="1"/>
    <d v="2019-04-11T00:00:00"/>
    <x v="3"/>
    <n v="615.43999999999994"/>
    <n v="333.42399999999998"/>
    <x v="0"/>
    <x v="0"/>
    <x v="3"/>
    <n v="2"/>
  </r>
  <r>
    <n v="1"/>
    <d v="2019-04-11T00:00:00"/>
    <x v="2"/>
    <n v="1252.713"/>
    <n v="1885.8419999999999"/>
    <x v="0"/>
    <x v="0"/>
    <x v="3"/>
    <n v="2"/>
  </r>
  <r>
    <n v="1"/>
    <d v="2019-04-11T00:00:00"/>
    <x v="0"/>
    <n v="4825.6670000000004"/>
    <n v="5121.7739999999994"/>
    <x v="0"/>
    <x v="0"/>
    <x v="3"/>
    <n v="2"/>
  </r>
  <r>
    <n v="1"/>
    <d v="2019-04-11T00:00:00"/>
    <x v="1"/>
    <n v="3719.2329999999993"/>
    <n v="0"/>
    <x v="0"/>
    <x v="0"/>
    <x v="3"/>
    <n v="2"/>
  </r>
  <r>
    <n v="1"/>
    <d v="2019-04-12T00:00:00"/>
    <x v="1"/>
    <n v="4086.0119999999997"/>
    <n v="0"/>
    <x v="0"/>
    <x v="0"/>
    <x v="3"/>
    <n v="2"/>
  </r>
  <r>
    <n v="1"/>
    <d v="2019-04-12T00:00:00"/>
    <x v="0"/>
    <n v="5957.8469999999988"/>
    <n v="6768.0409999999993"/>
    <x v="0"/>
    <x v="0"/>
    <x v="3"/>
    <n v="2"/>
  </r>
  <r>
    <n v="1"/>
    <d v="2019-04-12T00:00:00"/>
    <x v="3"/>
    <n v="243.22199999999998"/>
    <n v="3635.9679999999994"/>
    <x v="0"/>
    <x v="0"/>
    <x v="3"/>
    <n v="2"/>
  </r>
  <r>
    <n v="1"/>
    <d v="2019-04-12T00:00:00"/>
    <x v="2"/>
    <n v="1159.0739999999998"/>
    <n v="2081.0720000000001"/>
    <x v="0"/>
    <x v="0"/>
    <x v="3"/>
    <n v="2"/>
  </r>
  <r>
    <n v="1"/>
    <d v="2019-04-13T00:00:00"/>
    <x v="0"/>
    <n v="6158.0049999999992"/>
    <n v="5950.0209999999997"/>
    <x v="0"/>
    <x v="0"/>
    <x v="3"/>
    <n v="2"/>
  </r>
  <r>
    <n v="1"/>
    <d v="2019-04-13T00:00:00"/>
    <x v="3"/>
    <n v="0"/>
    <n v="1355.2699999999998"/>
    <x v="0"/>
    <x v="0"/>
    <x v="3"/>
    <n v="2"/>
  </r>
  <r>
    <n v="1"/>
    <d v="2019-04-13T00:00:00"/>
    <x v="1"/>
    <n v="3959.8579999999993"/>
    <n v="0"/>
    <x v="0"/>
    <x v="0"/>
    <x v="3"/>
    <n v="2"/>
  </r>
  <r>
    <n v="1"/>
    <d v="2019-04-13T00:00:00"/>
    <x v="2"/>
    <n v="898.05099999999993"/>
    <n v="1718.7309999999998"/>
    <x v="0"/>
    <x v="0"/>
    <x v="3"/>
    <n v="2"/>
  </r>
  <r>
    <n v="1"/>
    <d v="2019-04-14T00:00:00"/>
    <x v="0"/>
    <n v="3001.348"/>
    <n v="2983.4559999999997"/>
    <x v="0"/>
    <x v="0"/>
    <x v="3"/>
    <n v="2"/>
  </r>
  <r>
    <n v="1"/>
    <d v="2019-04-14T00:00:00"/>
    <x v="3"/>
    <n v="376.23599999999999"/>
    <n v="0"/>
    <x v="0"/>
    <x v="0"/>
    <x v="3"/>
    <n v="2"/>
  </r>
  <r>
    <n v="1"/>
    <d v="2019-04-14T00:00:00"/>
    <x v="1"/>
    <n v="1795.7449999999999"/>
    <n v="0"/>
    <x v="0"/>
    <x v="0"/>
    <x v="3"/>
    <n v="2"/>
  </r>
  <r>
    <n v="1"/>
    <d v="2019-04-14T00:00:00"/>
    <x v="2"/>
    <n v="284.56399999999996"/>
    <n v="657.00599999999997"/>
    <x v="0"/>
    <x v="0"/>
    <x v="3"/>
    <n v="2"/>
  </r>
  <r>
    <n v="1"/>
    <d v="2019-04-15T00:00:00"/>
    <x v="0"/>
    <n v="4005.6589999999997"/>
    <n v="4149.53"/>
    <x v="0"/>
    <x v="0"/>
    <x v="3"/>
    <n v="3"/>
  </r>
  <r>
    <n v="1"/>
    <d v="2019-04-15T00:00:00"/>
    <x v="3"/>
    <n v="167.85999999999999"/>
    <n v="2665.145"/>
    <x v="0"/>
    <x v="0"/>
    <x v="3"/>
    <n v="3"/>
  </r>
  <r>
    <n v="1"/>
    <d v="2019-04-15T00:00:00"/>
    <x v="1"/>
    <n v="3206.3779999999997"/>
    <n v="0"/>
    <x v="0"/>
    <x v="0"/>
    <x v="3"/>
    <n v="3"/>
  </r>
  <r>
    <n v="1"/>
    <d v="2019-04-15T00:00:00"/>
    <x v="2"/>
    <n v="454.93699999999995"/>
    <n v="947.37300000000005"/>
    <x v="0"/>
    <x v="0"/>
    <x v="3"/>
    <n v="3"/>
  </r>
  <r>
    <n v="1"/>
    <d v="2019-04-16T00:00:00"/>
    <x v="1"/>
    <n v="3383.9469999999997"/>
    <n v="0"/>
    <x v="0"/>
    <x v="0"/>
    <x v="3"/>
    <n v="3"/>
  </r>
  <r>
    <n v="1"/>
    <d v="2019-04-16T00:00:00"/>
    <x v="3"/>
    <n v="576.97499999999991"/>
    <n v="5846.2739999999994"/>
    <x v="0"/>
    <x v="0"/>
    <x v="3"/>
    <n v="3"/>
  </r>
  <r>
    <n v="1"/>
    <d v="2019-04-16T00:00:00"/>
    <x v="0"/>
    <n v="3673.0399999999995"/>
    <n v="4309.2349999999997"/>
    <x v="0"/>
    <x v="0"/>
    <x v="3"/>
    <n v="3"/>
  </r>
  <r>
    <n v="1"/>
    <d v="2019-04-16T00:00:00"/>
    <x v="2"/>
    <n v="836.61900000000003"/>
    <n v="1258.068"/>
    <x v="0"/>
    <x v="0"/>
    <x v="3"/>
    <n v="3"/>
  </r>
  <r>
    <n v="1"/>
    <d v="2019-04-17T00:00:00"/>
    <x v="2"/>
    <n v="827.83399999999983"/>
    <n v="1367.828"/>
    <x v="0"/>
    <x v="0"/>
    <x v="3"/>
    <n v="3"/>
  </r>
  <r>
    <n v="1"/>
    <d v="2019-04-17T00:00:00"/>
    <x v="0"/>
    <n v="4771.9489999999996"/>
    <n v="5291.8040000000001"/>
    <x v="0"/>
    <x v="0"/>
    <x v="3"/>
    <n v="3"/>
  </r>
  <r>
    <n v="1"/>
    <d v="2019-04-17T00:00:00"/>
    <x v="3"/>
    <n v="346.185"/>
    <n v="1552.2289999999998"/>
    <x v="0"/>
    <x v="0"/>
    <x v="3"/>
    <n v="3"/>
  </r>
  <r>
    <n v="1"/>
    <d v="2019-04-17T00:00:00"/>
    <x v="1"/>
    <n v="3498.2149999999997"/>
    <n v="0"/>
    <x v="0"/>
    <x v="0"/>
    <x v="3"/>
    <n v="3"/>
  </r>
  <r>
    <n v="1"/>
    <d v="2019-04-18T00:00:00"/>
    <x v="2"/>
    <n v="1322.104"/>
    <n v="2920.8760000000002"/>
    <x v="0"/>
    <x v="0"/>
    <x v="3"/>
    <n v="3"/>
  </r>
  <r>
    <n v="1"/>
    <d v="2019-04-18T00:00:00"/>
    <x v="0"/>
    <n v="4917.8499999999995"/>
    <n v="5683.3559999999998"/>
    <x v="0"/>
    <x v="0"/>
    <x v="3"/>
    <n v="3"/>
  </r>
  <r>
    <n v="1"/>
    <d v="2019-04-18T00:00:00"/>
    <x v="1"/>
    <n v="3958.2829999999994"/>
    <n v="0"/>
    <x v="0"/>
    <x v="0"/>
    <x v="3"/>
    <n v="3"/>
  </r>
  <r>
    <n v="1"/>
    <d v="2019-04-18T00:00:00"/>
    <x v="3"/>
    <n v="393.73599999999999"/>
    <n v="3944.654"/>
    <x v="0"/>
    <x v="0"/>
    <x v="3"/>
    <n v="3"/>
  </r>
  <r>
    <n v="1"/>
    <d v="2019-04-19T00:00:00"/>
    <x v="0"/>
    <n v="5368.9369999999999"/>
    <n v="5799.2619999999997"/>
    <x v="0"/>
    <x v="0"/>
    <x v="3"/>
    <n v="3"/>
  </r>
  <r>
    <n v="1"/>
    <d v="2019-04-19T00:00:00"/>
    <x v="3"/>
    <n v="365.43499999999995"/>
    <n v="1212.82"/>
    <x v="0"/>
    <x v="0"/>
    <x v="3"/>
    <n v="3"/>
  </r>
  <r>
    <n v="1"/>
    <d v="2019-04-19T00:00:00"/>
    <x v="1"/>
    <n v="3664.5629999999996"/>
    <n v="0"/>
    <x v="0"/>
    <x v="0"/>
    <x v="3"/>
    <n v="3"/>
  </r>
  <r>
    <n v="1"/>
    <d v="2019-04-19T00:00:00"/>
    <x v="2"/>
    <n v="1469.3839999999998"/>
    <n v="2062.2629999999999"/>
    <x v="0"/>
    <x v="0"/>
    <x v="3"/>
    <n v="3"/>
  </r>
  <r>
    <n v="1"/>
    <d v="2019-04-20T00:00:00"/>
    <x v="2"/>
    <n v="735.67899999999997"/>
    <n v="1704.7660000000001"/>
    <x v="0"/>
    <x v="0"/>
    <x v="3"/>
    <n v="3"/>
  </r>
  <r>
    <n v="1"/>
    <d v="2019-04-20T00:00:00"/>
    <x v="3"/>
    <n v="384.65"/>
    <n v="1129.0929999999998"/>
    <x v="0"/>
    <x v="0"/>
    <x v="3"/>
    <n v="3"/>
  </r>
  <r>
    <n v="1"/>
    <d v="2019-04-20T00:00:00"/>
    <x v="0"/>
    <n v="6003.5640000000003"/>
    <n v="6358.6739999999991"/>
    <x v="0"/>
    <x v="0"/>
    <x v="3"/>
    <n v="3"/>
  </r>
  <r>
    <n v="1"/>
    <d v="2019-04-20T00:00:00"/>
    <x v="1"/>
    <n v="3740.9679999999994"/>
    <n v="0"/>
    <x v="0"/>
    <x v="0"/>
    <x v="3"/>
    <n v="3"/>
  </r>
  <r>
    <n v="1"/>
    <d v="2019-04-21T00:00:00"/>
    <x v="0"/>
    <n v="2076.732"/>
    <n v="3179.6029999999996"/>
    <x v="0"/>
    <x v="0"/>
    <x v="3"/>
    <n v="3"/>
  </r>
  <r>
    <n v="1"/>
    <d v="2019-04-21T00:00:00"/>
    <x v="2"/>
    <n v="317.13499999999999"/>
    <n v="487.22099999999995"/>
    <x v="0"/>
    <x v="0"/>
    <x v="3"/>
    <n v="3"/>
  </r>
  <r>
    <n v="1"/>
    <d v="2019-04-21T00:00:00"/>
    <x v="1"/>
    <n v="1629.894"/>
    <n v="0"/>
    <x v="0"/>
    <x v="0"/>
    <x v="3"/>
    <n v="3"/>
  </r>
  <r>
    <n v="1"/>
    <d v="2019-04-21T00:00:00"/>
    <x v="3"/>
    <n v="0"/>
    <n v="15.372"/>
    <x v="0"/>
    <x v="0"/>
    <x v="3"/>
    <n v="3"/>
  </r>
  <r>
    <n v="1"/>
    <d v="2019-04-22T00:00:00"/>
    <x v="0"/>
    <n v="5001.9059999999999"/>
    <n v="4936.3859999999995"/>
    <x v="0"/>
    <x v="0"/>
    <x v="3"/>
    <n v="4"/>
  </r>
  <r>
    <n v="1"/>
    <d v="2019-04-22T00:00:00"/>
    <x v="3"/>
    <n v="168.53899999999999"/>
    <n v="614.90099999999995"/>
    <x v="0"/>
    <x v="0"/>
    <x v="3"/>
    <n v="4"/>
  </r>
  <r>
    <n v="1"/>
    <d v="2019-04-22T00:00:00"/>
    <x v="1"/>
    <n v="3201.7579999999994"/>
    <n v="0"/>
    <x v="0"/>
    <x v="0"/>
    <x v="3"/>
    <n v="4"/>
  </r>
  <r>
    <n v="1"/>
    <d v="2019-04-22T00:00:00"/>
    <x v="2"/>
    <n v="1151.6609999999998"/>
    <n v="1374.5269999999998"/>
    <x v="0"/>
    <x v="0"/>
    <x v="3"/>
    <n v="4"/>
  </r>
  <r>
    <n v="1"/>
    <d v="2019-04-23T00:00:00"/>
    <x v="0"/>
    <n v="4740.8059999999996"/>
    <n v="5597.5219999999999"/>
    <x v="0"/>
    <x v="0"/>
    <x v="3"/>
    <n v="4"/>
  </r>
  <r>
    <n v="1"/>
    <d v="2019-04-23T00:00:00"/>
    <x v="3"/>
    <n v="183.21799999999999"/>
    <n v="932.22499999999991"/>
    <x v="0"/>
    <x v="0"/>
    <x v="3"/>
    <n v="4"/>
  </r>
  <r>
    <n v="1"/>
    <d v="2019-04-23T00:00:00"/>
    <x v="1"/>
    <n v="3424.0149999999999"/>
    <n v="0"/>
    <x v="0"/>
    <x v="0"/>
    <x v="3"/>
    <n v="4"/>
  </r>
  <r>
    <n v="1"/>
    <d v="2019-04-23T00:00:00"/>
    <x v="2"/>
    <n v="900.05299999999988"/>
    <n v="1312.7239999999999"/>
    <x v="0"/>
    <x v="0"/>
    <x v="3"/>
    <n v="4"/>
  </r>
  <r>
    <n v="1"/>
    <d v="2019-04-24T00:00:00"/>
    <x v="0"/>
    <n v="5524.7219999999998"/>
    <n v="6249.915"/>
    <x v="0"/>
    <x v="0"/>
    <x v="3"/>
    <n v="4"/>
  </r>
  <r>
    <n v="1"/>
    <d v="2019-04-24T00:00:00"/>
    <x v="3"/>
    <n v="11.542999999999997"/>
    <n v="515.01800000000003"/>
    <x v="0"/>
    <x v="0"/>
    <x v="3"/>
    <n v="4"/>
  </r>
  <r>
    <n v="1"/>
    <d v="2019-04-24T00:00:00"/>
    <x v="2"/>
    <n v="1279.0819999999999"/>
    <n v="2643.4519999999998"/>
    <x v="0"/>
    <x v="0"/>
    <x v="3"/>
    <n v="4"/>
  </r>
  <r>
    <n v="1"/>
    <d v="2019-04-24T00:00:00"/>
    <x v="1"/>
    <n v="4331.9709999999995"/>
    <n v="0"/>
    <x v="0"/>
    <x v="0"/>
    <x v="3"/>
    <n v="4"/>
  </r>
  <r>
    <n v="1"/>
    <d v="2019-04-25T00:00:00"/>
    <x v="2"/>
    <n v="1940.8829999999998"/>
    <n v="2882.873"/>
    <x v="0"/>
    <x v="0"/>
    <x v="3"/>
    <n v="4"/>
  </r>
  <r>
    <n v="1"/>
    <d v="2019-04-25T00:00:00"/>
    <x v="0"/>
    <n v="5933.9419999999991"/>
    <n v="5961.0809999999992"/>
    <x v="0"/>
    <x v="0"/>
    <x v="3"/>
    <n v="4"/>
  </r>
  <r>
    <n v="1"/>
    <d v="2019-04-25T00:00:00"/>
    <x v="3"/>
    <n v="341.29199999999997"/>
    <n v="758.40800000000002"/>
    <x v="0"/>
    <x v="0"/>
    <x v="3"/>
    <n v="4"/>
  </r>
  <r>
    <n v="1"/>
    <d v="2019-04-25T00:00:00"/>
    <x v="1"/>
    <n v="4078.4799999999996"/>
    <n v="0"/>
    <x v="0"/>
    <x v="0"/>
    <x v="3"/>
    <n v="4"/>
  </r>
  <r>
    <n v="1"/>
    <d v="2019-04-26T00:00:00"/>
    <x v="2"/>
    <n v="1845.2629999999999"/>
    <n v="2877.8119999999999"/>
    <x v="0"/>
    <x v="0"/>
    <x v="3"/>
    <n v="4"/>
  </r>
  <r>
    <n v="1"/>
    <d v="2019-04-26T00:00:00"/>
    <x v="0"/>
    <n v="6413.2599999999993"/>
    <n v="6253.6179999999995"/>
    <x v="0"/>
    <x v="0"/>
    <x v="3"/>
    <n v="4"/>
  </r>
  <r>
    <n v="1"/>
    <d v="2019-04-26T00:00:00"/>
    <x v="3"/>
    <n v="654.58399999999995"/>
    <n v="1561.8259999999998"/>
    <x v="0"/>
    <x v="0"/>
    <x v="3"/>
    <n v="4"/>
  </r>
  <r>
    <n v="1"/>
    <d v="2019-04-26T00:00:00"/>
    <x v="1"/>
    <n v="4197.4799999999996"/>
    <n v="0"/>
    <x v="0"/>
    <x v="0"/>
    <x v="3"/>
    <n v="4"/>
  </r>
  <r>
    <n v="1"/>
    <d v="2019-04-27T00:00:00"/>
    <x v="1"/>
    <n v="3656.835"/>
    <n v="0"/>
    <x v="0"/>
    <x v="0"/>
    <x v="3"/>
    <n v="4"/>
  </r>
  <r>
    <n v="1"/>
    <d v="2019-04-27T00:00:00"/>
    <x v="3"/>
    <n v="230.78999999999996"/>
    <n v="0"/>
    <x v="0"/>
    <x v="0"/>
    <x v="3"/>
    <n v="4"/>
  </r>
  <r>
    <n v="1"/>
    <d v="2019-04-27T00:00:00"/>
    <x v="2"/>
    <n v="1326.6120000000001"/>
    <n v="2335.1859999999997"/>
    <x v="0"/>
    <x v="0"/>
    <x v="3"/>
    <n v="4"/>
  </r>
  <r>
    <n v="1"/>
    <d v="2019-04-27T00:00:00"/>
    <x v="0"/>
    <n v="6809.7609999999995"/>
    <n v="6711.0679999999993"/>
    <x v="0"/>
    <x v="0"/>
    <x v="3"/>
    <n v="4"/>
  </r>
  <r>
    <n v="1"/>
    <d v="2019-04-28T00:00:00"/>
    <x v="3"/>
    <n v="0"/>
    <n v="0"/>
    <x v="0"/>
    <x v="0"/>
    <x v="3"/>
    <n v="4"/>
  </r>
  <r>
    <n v="1"/>
    <d v="2019-04-28T00:00:00"/>
    <x v="1"/>
    <n v="2033.1149999999998"/>
    <n v="0"/>
    <x v="0"/>
    <x v="0"/>
    <x v="3"/>
    <n v="4"/>
  </r>
  <r>
    <n v="1"/>
    <d v="2019-04-28T00:00:00"/>
    <x v="2"/>
    <n v="255.745"/>
    <n v="787.976"/>
    <x v="0"/>
    <x v="0"/>
    <x v="3"/>
    <n v="4"/>
  </r>
  <r>
    <n v="1"/>
    <d v="2019-04-28T00:00:00"/>
    <x v="0"/>
    <n v="2581.4319999999998"/>
    <n v="3437.6649999999995"/>
    <x v="0"/>
    <x v="0"/>
    <x v="3"/>
    <n v="4"/>
  </r>
  <r>
    <n v="1"/>
    <d v="2019-04-29T00:00:00"/>
    <x v="0"/>
    <n v="4706.366"/>
    <n v="4992.5540000000001"/>
    <x v="0"/>
    <x v="0"/>
    <x v="4"/>
    <n v="1"/>
  </r>
  <r>
    <n v="1"/>
    <d v="2019-04-29T00:00:00"/>
    <x v="2"/>
    <n v="1369.8789999999999"/>
    <n v="1086.2529999999999"/>
    <x v="0"/>
    <x v="0"/>
    <x v="4"/>
    <n v="1"/>
  </r>
  <r>
    <n v="1"/>
    <d v="2019-04-29T00:00:00"/>
    <x v="1"/>
    <n v="3679.8299999999995"/>
    <n v="0"/>
    <x v="0"/>
    <x v="0"/>
    <x v="4"/>
    <n v="1"/>
  </r>
  <r>
    <n v="1"/>
    <d v="2019-04-29T00:00:00"/>
    <x v="3"/>
    <n v="20.811"/>
    <n v="393.46300000000002"/>
    <x v="0"/>
    <x v="0"/>
    <x v="4"/>
    <n v="1"/>
  </r>
  <r>
    <n v="1"/>
    <d v="2019-04-30T00:00:00"/>
    <x v="0"/>
    <n v="3422.5309999999999"/>
    <n v="4854.0309999999999"/>
    <x v="0"/>
    <x v="0"/>
    <x v="4"/>
    <n v="1"/>
  </r>
  <r>
    <n v="1"/>
    <d v="2019-04-30T00:00:00"/>
    <x v="1"/>
    <n v="3430.5390000000002"/>
    <n v="0"/>
    <x v="0"/>
    <x v="0"/>
    <x v="4"/>
    <n v="1"/>
  </r>
  <r>
    <n v="1"/>
    <d v="2019-04-30T00:00:00"/>
    <x v="3"/>
    <n v="0"/>
    <n v="1171.212"/>
    <x v="0"/>
    <x v="0"/>
    <x v="4"/>
    <n v="1"/>
  </r>
  <r>
    <n v="1"/>
    <d v="2019-04-30T00:00:00"/>
    <x v="2"/>
    <n v="784.41999999999985"/>
    <n v="818.77599999999995"/>
    <x v="0"/>
    <x v="0"/>
    <x v="4"/>
    <n v="1"/>
  </r>
  <r>
    <n v="1"/>
    <d v="2019-05-01T00:00:00"/>
    <x v="2"/>
    <n v="712.61399999999992"/>
    <n v="1774.4229999999998"/>
    <x v="0"/>
    <x v="0"/>
    <x v="4"/>
    <n v="1"/>
  </r>
  <r>
    <n v="1"/>
    <d v="2019-05-01T00:00:00"/>
    <x v="0"/>
    <n v="4324.46"/>
    <n v="5970.1809999999996"/>
    <x v="0"/>
    <x v="0"/>
    <x v="4"/>
    <n v="1"/>
  </r>
  <r>
    <n v="1"/>
    <d v="2019-05-01T00:00:00"/>
    <x v="3"/>
    <n v="0"/>
    <n v="124.37599999999999"/>
    <x v="0"/>
    <x v="0"/>
    <x v="4"/>
    <n v="1"/>
  </r>
  <r>
    <n v="1"/>
    <d v="2019-05-01T00:00:00"/>
    <x v="1"/>
    <n v="3244.6819999999998"/>
    <n v="0"/>
    <x v="0"/>
    <x v="0"/>
    <x v="4"/>
    <n v="1"/>
  </r>
  <r>
    <n v="1"/>
    <d v="2019-05-02T00:00:00"/>
    <x v="2"/>
    <n v="1244.915"/>
    <n v="1169.4199999999998"/>
    <x v="0"/>
    <x v="0"/>
    <x v="4"/>
    <n v="1"/>
  </r>
  <r>
    <n v="1"/>
    <d v="2019-05-02T00:00:00"/>
    <x v="1"/>
    <n v="3353.3149999999996"/>
    <n v="0"/>
    <x v="0"/>
    <x v="0"/>
    <x v="4"/>
    <n v="1"/>
  </r>
  <r>
    <n v="1"/>
    <d v="2019-05-02T00:00:00"/>
    <x v="0"/>
    <n v="4954.4669999999996"/>
    <n v="6005.7830000000004"/>
    <x v="0"/>
    <x v="0"/>
    <x v="4"/>
    <n v="1"/>
  </r>
  <r>
    <n v="1"/>
    <d v="2019-05-02T00:00:00"/>
    <x v="3"/>
    <n v="384.65"/>
    <n v="252.52499999999998"/>
    <x v="0"/>
    <x v="0"/>
    <x v="4"/>
    <n v="1"/>
  </r>
  <r>
    <n v="1"/>
    <d v="2019-05-03T00:00:00"/>
    <x v="3"/>
    <n v="207.96299999999997"/>
    <n v="50.616999999999997"/>
    <x v="0"/>
    <x v="0"/>
    <x v="4"/>
    <n v="1"/>
  </r>
  <r>
    <n v="1"/>
    <d v="2019-05-03T00:00:00"/>
    <x v="1"/>
    <n v="4076.7369999999996"/>
    <n v="0"/>
    <x v="0"/>
    <x v="0"/>
    <x v="4"/>
    <n v="1"/>
  </r>
  <r>
    <n v="1"/>
    <d v="2019-05-03T00:00:00"/>
    <x v="0"/>
    <n v="5530.7629999999999"/>
    <n v="7633.7869999999994"/>
    <x v="0"/>
    <x v="0"/>
    <x v="4"/>
    <n v="1"/>
  </r>
  <r>
    <n v="1"/>
    <d v="2019-05-03T00:00:00"/>
    <x v="2"/>
    <n v="1053.1779999999999"/>
    <n v="2986.9839999999999"/>
    <x v="0"/>
    <x v="0"/>
    <x v="4"/>
    <n v="1"/>
  </r>
  <r>
    <n v="1"/>
    <d v="2019-05-04T00:00:00"/>
    <x v="2"/>
    <n v="754.29199999999992"/>
    <n v="2247.203"/>
    <x v="0"/>
    <x v="0"/>
    <x v="4"/>
    <n v="1"/>
  </r>
  <r>
    <n v="1"/>
    <d v="2019-05-04T00:00:00"/>
    <x v="1"/>
    <n v="4081.8119999999994"/>
    <n v="0"/>
    <x v="0"/>
    <x v="0"/>
    <x v="4"/>
    <n v="1"/>
  </r>
  <r>
    <n v="1"/>
    <d v="2019-05-04T00:00:00"/>
    <x v="0"/>
    <n v="4423.0199999999995"/>
    <n v="6290.0809999999992"/>
    <x v="0"/>
    <x v="0"/>
    <x v="4"/>
    <n v="1"/>
  </r>
  <r>
    <n v="1"/>
    <d v="2019-05-04T00:00:00"/>
    <x v="3"/>
    <n v="438.697"/>
    <n v="1106.7629999999999"/>
    <x v="0"/>
    <x v="0"/>
    <x v="4"/>
    <n v="1"/>
  </r>
  <r>
    <n v="1"/>
    <d v="2019-05-05T00:00:00"/>
    <x v="3"/>
    <n v="261.709"/>
    <n v="0"/>
    <x v="0"/>
    <x v="0"/>
    <x v="4"/>
    <n v="1"/>
  </r>
  <r>
    <n v="1"/>
    <d v="2019-05-05T00:00:00"/>
    <x v="2"/>
    <n v="297.64"/>
    <n v="445.85099999999994"/>
    <x v="0"/>
    <x v="0"/>
    <x v="4"/>
    <n v="1"/>
  </r>
  <r>
    <n v="1"/>
    <d v="2019-05-05T00:00:00"/>
    <x v="1"/>
    <n v="1696.366"/>
    <n v="0"/>
    <x v="0"/>
    <x v="0"/>
    <x v="4"/>
    <n v="1"/>
  </r>
  <r>
    <n v="1"/>
    <d v="2019-05-05T00:00:00"/>
    <x v="0"/>
    <n v="2142.875"/>
    <n v="2568.3629999999998"/>
    <x v="0"/>
    <x v="0"/>
    <x v="4"/>
    <n v="1"/>
  </r>
  <r>
    <n v="1"/>
    <d v="2019-05-06T00:00:00"/>
    <x v="0"/>
    <n v="2733.2269999999999"/>
    <n v="3314.0170000000003"/>
    <x v="0"/>
    <x v="0"/>
    <x v="4"/>
    <n v="2"/>
  </r>
  <r>
    <n v="1"/>
    <d v="2019-05-06T00:00:00"/>
    <x v="3"/>
    <n v="0"/>
    <n v="151.14399999999998"/>
    <x v="0"/>
    <x v="0"/>
    <x v="4"/>
    <n v="2"/>
  </r>
  <r>
    <n v="1"/>
    <d v="2019-05-06T00:00:00"/>
    <x v="2"/>
    <n v="418.20800000000003"/>
    <n v="1054.8019999999999"/>
    <x v="0"/>
    <x v="0"/>
    <x v="4"/>
    <n v="2"/>
  </r>
  <r>
    <n v="1"/>
    <d v="2019-05-06T00:00:00"/>
    <x v="1"/>
    <n v="2560.6839999999997"/>
    <n v="0"/>
    <x v="0"/>
    <x v="0"/>
    <x v="4"/>
    <n v="2"/>
  </r>
  <r>
    <n v="1"/>
    <d v="2019-05-07T00:00:00"/>
    <x v="2"/>
    <n v="804.77599999999995"/>
    <n v="993.68499999999995"/>
    <x v="0"/>
    <x v="0"/>
    <x v="4"/>
    <n v="2"/>
  </r>
  <r>
    <n v="1"/>
    <d v="2019-05-07T00:00:00"/>
    <x v="3"/>
    <n v="239.17599999999999"/>
    <n v="800.81399999999996"/>
    <x v="0"/>
    <x v="0"/>
    <x v="4"/>
    <n v="2"/>
  </r>
  <r>
    <n v="1"/>
    <d v="2019-05-07T00:00:00"/>
    <x v="1"/>
    <n v="2633.6029999999996"/>
    <n v="0"/>
    <x v="0"/>
    <x v="0"/>
    <x v="4"/>
    <n v="2"/>
  </r>
  <r>
    <n v="1"/>
    <d v="2019-05-07T00:00:00"/>
    <x v="0"/>
    <n v="2921.24"/>
    <n v="4135.6209999999992"/>
    <x v="0"/>
    <x v="0"/>
    <x v="4"/>
    <n v="2"/>
  </r>
  <r>
    <n v="1"/>
    <d v="2019-05-08T00:00:00"/>
    <x v="1"/>
    <n v="2661.8269999999998"/>
    <n v="0"/>
    <x v="0"/>
    <x v="0"/>
    <x v="4"/>
    <n v="2"/>
  </r>
  <r>
    <n v="1"/>
    <d v="2019-05-08T00:00:00"/>
    <x v="2"/>
    <n v="909.80399999999997"/>
    <n v="1008.1679999999999"/>
    <x v="0"/>
    <x v="0"/>
    <x v="4"/>
    <n v="2"/>
  </r>
  <r>
    <n v="1"/>
    <d v="2019-05-08T00:00:00"/>
    <x v="3"/>
    <n v="23.085999999999995"/>
    <n v="1401.2949999999998"/>
    <x v="0"/>
    <x v="0"/>
    <x v="4"/>
    <n v="2"/>
  </r>
  <r>
    <n v="1"/>
    <d v="2019-05-08T00:00:00"/>
    <x v="0"/>
    <n v="3764.1099999999997"/>
    <n v="3880.1979999999999"/>
    <x v="0"/>
    <x v="0"/>
    <x v="4"/>
    <n v="2"/>
  </r>
  <r>
    <n v="1"/>
    <d v="2019-05-09T00:00:00"/>
    <x v="0"/>
    <n v="3837.645"/>
    <n v="5207.8459999999995"/>
    <x v="0"/>
    <x v="0"/>
    <x v="4"/>
    <n v="2"/>
  </r>
  <r>
    <n v="1"/>
    <d v="2019-05-09T00:00:00"/>
    <x v="3"/>
    <n v="321.01299999999998"/>
    <n v="1041.6209999999999"/>
    <x v="0"/>
    <x v="0"/>
    <x v="4"/>
    <n v="2"/>
  </r>
  <r>
    <n v="1"/>
    <d v="2019-05-09T00:00:00"/>
    <x v="1"/>
    <n v="3092.3829999999994"/>
    <n v="0"/>
    <x v="0"/>
    <x v="0"/>
    <x v="4"/>
    <n v="2"/>
  </r>
  <r>
    <n v="1"/>
    <d v="2019-05-09T00:00:00"/>
    <x v="2"/>
    <n v="869.83399999999983"/>
    <n v="1144.8919999999998"/>
    <x v="0"/>
    <x v="0"/>
    <x v="4"/>
    <n v="2"/>
  </r>
  <r>
    <n v="1"/>
    <d v="2019-05-10T00:00:00"/>
    <x v="2"/>
    <n v="1039.1989999999998"/>
    <n v="1675.03"/>
    <x v="0"/>
    <x v="0"/>
    <x v="4"/>
    <n v="2"/>
  </r>
  <r>
    <n v="1"/>
    <d v="2019-05-10T00:00:00"/>
    <x v="3"/>
    <n v="317.33799999999997"/>
    <n v="226.16299999999995"/>
    <x v="0"/>
    <x v="0"/>
    <x v="4"/>
    <n v="2"/>
  </r>
  <r>
    <n v="1"/>
    <d v="2019-05-10T00:00:00"/>
    <x v="0"/>
    <n v="4349.107"/>
    <n v="4852.3859999999995"/>
    <x v="0"/>
    <x v="0"/>
    <x v="4"/>
    <n v="2"/>
  </r>
  <r>
    <n v="1"/>
    <d v="2019-05-10T00:00:00"/>
    <x v="1"/>
    <n v="3673.1099999999997"/>
    <n v="0"/>
    <x v="0"/>
    <x v="0"/>
    <x v="4"/>
    <n v="2"/>
  </r>
  <r>
    <n v="1"/>
    <d v="2019-05-11T00:00:00"/>
    <x v="2"/>
    <n v="683.97"/>
    <n v="1214.066"/>
    <x v="0"/>
    <x v="0"/>
    <x v="4"/>
    <n v="2"/>
  </r>
  <r>
    <n v="1"/>
    <d v="2019-05-11T00:00:00"/>
    <x v="3"/>
    <n v="59.261999999999993"/>
    <n v="224.25899999999999"/>
    <x v="0"/>
    <x v="0"/>
    <x v="4"/>
    <n v="2"/>
  </r>
  <r>
    <n v="1"/>
    <d v="2019-05-11T00:00:00"/>
    <x v="0"/>
    <n v="4246.9769999999999"/>
    <n v="4544.9529999999995"/>
    <x v="0"/>
    <x v="0"/>
    <x v="4"/>
    <n v="2"/>
  </r>
  <r>
    <n v="1"/>
    <d v="2019-05-11T00:00:00"/>
    <x v="1"/>
    <n v="3141.39"/>
    <n v="0"/>
    <x v="0"/>
    <x v="0"/>
    <x v="4"/>
    <n v="2"/>
  </r>
  <r>
    <n v="1"/>
    <d v="2019-05-12T00:00:00"/>
    <x v="0"/>
    <n v="1868.9089999999999"/>
    <n v="2487.9119999999998"/>
    <x v="0"/>
    <x v="0"/>
    <x v="4"/>
    <n v="2"/>
  </r>
  <r>
    <n v="1"/>
    <d v="2019-05-12T00:00:00"/>
    <x v="2"/>
    <n v="357.44799999999998"/>
    <n v="486.19199999999995"/>
    <x v="0"/>
    <x v="0"/>
    <x v="4"/>
    <n v="2"/>
  </r>
  <r>
    <n v="1"/>
    <d v="2019-05-12T00:00:00"/>
    <x v="1"/>
    <n v="1648.0589999999997"/>
    <n v="0"/>
    <x v="0"/>
    <x v="0"/>
    <x v="4"/>
    <n v="2"/>
  </r>
  <r>
    <n v="1"/>
    <d v="2019-05-12T00:00:00"/>
    <x v="3"/>
    <n v="4.5430000000000001"/>
    <n v="12.578999999999999"/>
    <x v="0"/>
    <x v="0"/>
    <x v="4"/>
    <n v="2"/>
  </r>
  <r>
    <n v="1"/>
    <d v="2019-05-13T00:00:00"/>
    <x v="2"/>
    <n v="761.34800000000007"/>
    <n v="813.58199999999999"/>
    <x v="0"/>
    <x v="0"/>
    <x v="4"/>
    <n v="3"/>
  </r>
  <r>
    <n v="1"/>
    <d v="2019-05-13T00:00:00"/>
    <x v="0"/>
    <n v="3405.9409999999998"/>
    <n v="3354.8760000000002"/>
    <x v="0"/>
    <x v="0"/>
    <x v="4"/>
    <n v="3"/>
  </r>
  <r>
    <n v="1"/>
    <d v="2019-05-13T00:00:00"/>
    <x v="1"/>
    <n v="2828.1889999999999"/>
    <n v="0"/>
    <x v="0"/>
    <x v="0"/>
    <x v="4"/>
    <n v="3"/>
  </r>
  <r>
    <n v="1"/>
    <d v="2019-05-13T00:00:00"/>
    <x v="3"/>
    <n v="0"/>
    <n v="274.86899999999997"/>
    <x v="0"/>
    <x v="0"/>
    <x v="4"/>
    <n v="3"/>
  </r>
  <r>
    <n v="1"/>
    <d v="2019-05-14T00:00:00"/>
    <x v="0"/>
    <n v="3071.4809999999998"/>
    <n v="3284.7640000000001"/>
    <x v="0"/>
    <x v="0"/>
    <x v="4"/>
    <n v="3"/>
  </r>
  <r>
    <n v="1"/>
    <d v="2019-05-14T00:00:00"/>
    <x v="3"/>
    <n v="0"/>
    <n v="505.036"/>
    <x v="0"/>
    <x v="0"/>
    <x v="4"/>
    <n v="3"/>
  </r>
  <r>
    <n v="1"/>
    <d v="2019-05-14T00:00:00"/>
    <x v="2"/>
    <n v="819.80500000000006"/>
    <n v="1153.922"/>
    <x v="0"/>
    <x v="0"/>
    <x v="4"/>
    <n v="3"/>
  </r>
  <r>
    <n v="1"/>
    <d v="2019-05-14T00:00:00"/>
    <x v="1"/>
    <n v="3312.4629999999997"/>
    <n v="0"/>
    <x v="0"/>
    <x v="0"/>
    <x v="4"/>
    <n v="3"/>
  </r>
  <r>
    <n v="1"/>
    <d v="2019-05-15T00:00:00"/>
    <x v="0"/>
    <n v="3191.16"/>
    <n v="3983.5809999999997"/>
    <x v="0"/>
    <x v="0"/>
    <x v="4"/>
    <n v="3"/>
  </r>
  <r>
    <n v="1"/>
    <d v="2019-05-15T00:00:00"/>
    <x v="3"/>
    <n v="0"/>
    <n v="1375.7660000000001"/>
    <x v="0"/>
    <x v="0"/>
    <x v="4"/>
    <n v="3"/>
  </r>
  <r>
    <n v="1"/>
    <d v="2019-05-15T00:00:00"/>
    <x v="1"/>
    <n v="2769.8440000000001"/>
    <n v="0"/>
    <x v="0"/>
    <x v="0"/>
    <x v="4"/>
    <n v="3"/>
  </r>
  <r>
    <n v="1"/>
    <d v="2019-05-15T00:00:00"/>
    <x v="2"/>
    <n v="882.51799999999992"/>
    <n v="875.93799999999987"/>
    <x v="0"/>
    <x v="0"/>
    <x v="4"/>
    <n v="3"/>
  </r>
  <r>
    <n v="1"/>
    <d v="2019-05-16T00:00:00"/>
    <x v="1"/>
    <n v="3494.3369999999995"/>
    <n v="0"/>
    <x v="0"/>
    <x v="0"/>
    <x v="4"/>
    <n v="3"/>
  </r>
  <r>
    <n v="1"/>
    <d v="2019-05-16T00:00:00"/>
    <x v="2"/>
    <n v="617.28800000000001"/>
    <n v="1629.3899999999999"/>
    <x v="0"/>
    <x v="0"/>
    <x v="4"/>
    <n v="3"/>
  </r>
  <r>
    <n v="1"/>
    <d v="2019-05-16T00:00:00"/>
    <x v="3"/>
    <n v="394.50600000000003"/>
    <n v="161.553"/>
    <x v="0"/>
    <x v="0"/>
    <x v="4"/>
    <n v="3"/>
  </r>
  <r>
    <n v="1"/>
    <d v="2019-05-16T00:00:00"/>
    <x v="0"/>
    <n v="3748.2339999999995"/>
    <n v="5415.585"/>
    <x v="0"/>
    <x v="0"/>
    <x v="4"/>
    <n v="3"/>
  </r>
  <r>
    <n v="1"/>
    <d v="2019-05-17T00:00:00"/>
    <x v="0"/>
    <n v="5201.0769999999993"/>
    <n v="6121.1009999999997"/>
    <x v="0"/>
    <x v="0"/>
    <x v="4"/>
    <n v="3"/>
  </r>
  <r>
    <n v="1"/>
    <d v="2019-05-17T00:00:00"/>
    <x v="3"/>
    <n v="23.981999999999996"/>
    <n v="421.96699999999993"/>
    <x v="0"/>
    <x v="0"/>
    <x v="4"/>
    <n v="3"/>
  </r>
  <r>
    <n v="1"/>
    <d v="2019-05-17T00:00:00"/>
    <x v="1"/>
    <n v="3512.4949999999999"/>
    <n v="0"/>
    <x v="0"/>
    <x v="0"/>
    <x v="4"/>
    <n v="3"/>
  </r>
  <r>
    <n v="1"/>
    <d v="2019-05-17T00:00:00"/>
    <x v="2"/>
    <n v="1197.6089999999999"/>
    <n v="1587.5929999999998"/>
    <x v="0"/>
    <x v="0"/>
    <x v="4"/>
    <n v="3"/>
  </r>
  <r>
    <n v="1"/>
    <d v="2019-05-18T00:00:00"/>
    <x v="3"/>
    <n v="687.41399999999999"/>
    <n v="2023.1189999999999"/>
    <x v="0"/>
    <x v="0"/>
    <x v="4"/>
    <n v="3"/>
  </r>
  <r>
    <n v="1"/>
    <d v="2019-05-18T00:00:00"/>
    <x v="0"/>
    <n v="5134.6749999999993"/>
    <n v="5117.8540000000003"/>
    <x v="0"/>
    <x v="0"/>
    <x v="4"/>
    <n v="3"/>
  </r>
  <r>
    <n v="1"/>
    <d v="2019-05-18T00:00:00"/>
    <x v="2"/>
    <n v="788.75299999999993"/>
    <n v="1214.0169999999998"/>
    <x v="0"/>
    <x v="0"/>
    <x v="4"/>
    <n v="3"/>
  </r>
  <r>
    <n v="1"/>
    <d v="2019-05-18T00:00:00"/>
    <x v="1"/>
    <n v="3557.8130000000001"/>
    <n v="0"/>
    <x v="0"/>
    <x v="0"/>
    <x v="4"/>
    <n v="3"/>
  </r>
  <r>
    <n v="1"/>
    <d v="2019-05-19T00:00:00"/>
    <x v="0"/>
    <n v="2032.4149999999997"/>
    <n v="2490.0609999999997"/>
    <x v="0"/>
    <x v="0"/>
    <x v="4"/>
    <n v="3"/>
  </r>
  <r>
    <n v="1"/>
    <d v="2019-05-19T00:00:00"/>
    <x v="3"/>
    <n v="0"/>
    <n v="0"/>
    <x v="0"/>
    <x v="0"/>
    <x v="4"/>
    <n v="3"/>
  </r>
  <r>
    <n v="1"/>
    <d v="2019-05-19T00:00:00"/>
    <x v="2"/>
    <n v="266.42700000000002"/>
    <n v="386.93199999999996"/>
    <x v="0"/>
    <x v="0"/>
    <x v="4"/>
    <n v="3"/>
  </r>
  <r>
    <n v="1"/>
    <d v="2019-05-19T00:00:00"/>
    <x v="1"/>
    <n v="1939.4199999999998"/>
    <n v="0"/>
    <x v="0"/>
    <x v="0"/>
    <x v="4"/>
    <n v="3"/>
  </r>
  <r>
    <n v="1"/>
    <d v="2019-05-20T00:00:00"/>
    <x v="2"/>
    <n v="603.63099999999997"/>
    <n v="1069.5509999999999"/>
    <x v="0"/>
    <x v="0"/>
    <x v="4"/>
    <n v="4"/>
  </r>
  <r>
    <n v="1"/>
    <d v="2019-05-20T00:00:00"/>
    <x v="0"/>
    <n v="3281.2709999999997"/>
    <n v="4138.0149999999994"/>
    <x v="0"/>
    <x v="0"/>
    <x v="4"/>
    <n v="4"/>
  </r>
  <r>
    <n v="1"/>
    <d v="2019-05-20T00:00:00"/>
    <x v="3"/>
    <n v="463.68699999999995"/>
    <n v="1680.1469999999999"/>
    <x v="0"/>
    <x v="0"/>
    <x v="4"/>
    <n v="4"/>
  </r>
  <r>
    <n v="1"/>
    <d v="2019-05-20T00:00:00"/>
    <x v="1"/>
    <n v="2835.252"/>
    <n v="0"/>
    <x v="0"/>
    <x v="0"/>
    <x v="4"/>
    <n v="4"/>
  </r>
  <r>
    <n v="1"/>
    <d v="2019-05-21T00:00:00"/>
    <x v="2"/>
    <n v="834.63799999999992"/>
    <n v="1072.9459999999999"/>
    <x v="0"/>
    <x v="0"/>
    <x v="4"/>
    <n v="4"/>
  </r>
  <r>
    <n v="1"/>
    <d v="2019-05-21T00:00:00"/>
    <x v="3"/>
    <n v="0"/>
    <n v="1493.5199999999998"/>
    <x v="0"/>
    <x v="0"/>
    <x v="4"/>
    <n v="4"/>
  </r>
  <r>
    <n v="1"/>
    <d v="2019-05-21T00:00:00"/>
    <x v="1"/>
    <n v="3254.3769999999995"/>
    <n v="0"/>
    <x v="0"/>
    <x v="0"/>
    <x v="4"/>
    <n v="4"/>
  </r>
  <r>
    <n v="1"/>
    <d v="2019-05-21T00:00:00"/>
    <x v="0"/>
    <n v="2805.25"/>
    <n v="3727.7449999999999"/>
    <x v="0"/>
    <x v="0"/>
    <x v="4"/>
    <n v="4"/>
  </r>
  <r>
    <n v="1"/>
    <d v="2019-05-22T00:00:00"/>
    <x v="3"/>
    <n v="0"/>
    <n v="321.42599999999999"/>
    <x v="0"/>
    <x v="0"/>
    <x v="4"/>
    <n v="4"/>
  </r>
  <r>
    <n v="1"/>
    <d v="2019-05-22T00:00:00"/>
    <x v="1"/>
    <n v="3418.1420000000003"/>
    <n v="0"/>
    <x v="0"/>
    <x v="0"/>
    <x v="4"/>
    <n v="4"/>
  </r>
  <r>
    <n v="1"/>
    <d v="2019-05-22T00:00:00"/>
    <x v="0"/>
    <n v="4387.6839999999993"/>
    <n v="4591.8809999999994"/>
    <x v="0"/>
    <x v="0"/>
    <x v="4"/>
    <n v="4"/>
  </r>
  <r>
    <n v="1"/>
    <d v="2019-05-22T00:00:00"/>
    <x v="2"/>
    <n v="740.52300000000002"/>
    <n v="1257.704"/>
    <x v="0"/>
    <x v="0"/>
    <x v="4"/>
    <n v="4"/>
  </r>
  <r>
    <n v="1"/>
    <d v="2019-05-23T00:00:00"/>
    <x v="2"/>
    <n v="644.79099999999994"/>
    <n v="1448.1529999999998"/>
    <x v="0"/>
    <x v="0"/>
    <x v="4"/>
    <n v="4"/>
  </r>
  <r>
    <n v="1"/>
    <d v="2019-05-23T00:00:00"/>
    <x v="0"/>
    <n v="3675.7"/>
    <n v="5491.0869999999995"/>
    <x v="0"/>
    <x v="0"/>
    <x v="4"/>
    <n v="4"/>
  </r>
  <r>
    <n v="1"/>
    <d v="2019-05-23T00:00:00"/>
    <x v="3"/>
    <n v="432.733"/>
    <n v="844.51499999999999"/>
    <x v="0"/>
    <x v="0"/>
    <x v="4"/>
    <n v="4"/>
  </r>
  <r>
    <n v="1"/>
    <d v="2019-05-23T00:00:00"/>
    <x v="1"/>
    <n v="3547.194"/>
    <n v="0"/>
    <x v="0"/>
    <x v="0"/>
    <x v="4"/>
    <n v="4"/>
  </r>
  <r>
    <n v="1"/>
    <d v="2019-05-24T00:00:00"/>
    <x v="0"/>
    <n v="4668.9089999999997"/>
    <n v="5489.9459999999999"/>
    <x v="0"/>
    <x v="0"/>
    <x v="4"/>
    <n v="4"/>
  </r>
  <r>
    <n v="1"/>
    <d v="2019-05-24T00:00:00"/>
    <x v="1"/>
    <n v="3409.2239999999997"/>
    <n v="0"/>
    <x v="0"/>
    <x v="0"/>
    <x v="4"/>
    <n v="4"/>
  </r>
  <r>
    <n v="1"/>
    <d v="2019-05-24T00:00:00"/>
    <x v="3"/>
    <n v="641.64799999999991"/>
    <n v="1448.2649999999999"/>
    <x v="0"/>
    <x v="0"/>
    <x v="4"/>
    <n v="4"/>
  </r>
  <r>
    <n v="1"/>
    <d v="2019-05-24T00:00:00"/>
    <x v="2"/>
    <n v="1355.662"/>
    <n v="1794.0229999999997"/>
    <x v="0"/>
    <x v="0"/>
    <x v="4"/>
    <n v="4"/>
  </r>
  <r>
    <n v="1"/>
    <d v="2019-05-25T00:00:00"/>
    <x v="3"/>
    <n v="269.25499999999994"/>
    <n v="0"/>
    <x v="0"/>
    <x v="0"/>
    <x v="4"/>
    <n v="4"/>
  </r>
  <r>
    <n v="1"/>
    <d v="2019-05-25T00:00:00"/>
    <x v="2"/>
    <n v="929.76799999999992"/>
    <n v="1366.2669999999998"/>
    <x v="0"/>
    <x v="0"/>
    <x v="4"/>
    <n v="4"/>
  </r>
  <r>
    <n v="1"/>
    <d v="2019-05-25T00:00:00"/>
    <x v="0"/>
    <n v="4363.87"/>
    <n v="5095.8949999999995"/>
    <x v="0"/>
    <x v="0"/>
    <x v="4"/>
    <n v="4"/>
  </r>
  <r>
    <n v="1"/>
    <d v="2019-05-25T00:00:00"/>
    <x v="1"/>
    <n v="3006.4929999999995"/>
    <n v="0"/>
    <x v="0"/>
    <x v="0"/>
    <x v="4"/>
    <n v="4"/>
  </r>
  <r>
    <n v="1"/>
    <d v="2019-05-26T00:00:00"/>
    <x v="1"/>
    <n v="1601.2359999999999"/>
    <n v="0"/>
    <x v="0"/>
    <x v="0"/>
    <x v="4"/>
    <n v="4"/>
  </r>
  <r>
    <n v="1"/>
    <d v="2019-05-26T00:00:00"/>
    <x v="2"/>
    <n v="162.28100000000001"/>
    <n v="550.54300000000001"/>
    <x v="0"/>
    <x v="0"/>
    <x v="4"/>
    <n v="4"/>
  </r>
  <r>
    <n v="1"/>
    <d v="2019-05-26T00:00:00"/>
    <x v="3"/>
    <n v="0"/>
    <n v="0"/>
    <x v="0"/>
    <x v="0"/>
    <x v="4"/>
    <n v="4"/>
  </r>
  <r>
    <n v="1"/>
    <d v="2019-05-26T00:00:00"/>
    <x v="0"/>
    <n v="2027.3329999999999"/>
    <n v="2175.6909999999998"/>
    <x v="0"/>
    <x v="0"/>
    <x v="4"/>
    <n v="4"/>
  </r>
  <r>
    <n v="1"/>
    <d v="2019-05-27T00:00:00"/>
    <x v="0"/>
    <n v="4412.7789999999995"/>
    <n v="5326.2089999999998"/>
    <x v="0"/>
    <x v="0"/>
    <x v="5"/>
    <n v="1"/>
  </r>
  <r>
    <n v="1"/>
    <d v="2019-05-27T00:00:00"/>
    <x v="2"/>
    <n v="652.00800000000004"/>
    <n v="1316.1399999999999"/>
    <x v="0"/>
    <x v="0"/>
    <x v="5"/>
    <n v="1"/>
  </r>
  <r>
    <n v="1"/>
    <d v="2019-05-27T00:00:00"/>
    <x v="1"/>
    <n v="3387.1739999999995"/>
    <n v="0"/>
    <x v="0"/>
    <x v="0"/>
    <x v="5"/>
    <n v="1"/>
  </r>
  <r>
    <n v="1"/>
    <d v="2019-05-27T00:00:00"/>
    <x v="3"/>
    <n v="0"/>
    <n v="0"/>
    <x v="0"/>
    <x v="0"/>
    <x v="5"/>
    <n v="1"/>
  </r>
  <r>
    <n v="1"/>
    <d v="2019-05-28T00:00:00"/>
    <x v="2"/>
    <n v="520.46399999999994"/>
    <n v="1481.5639999999999"/>
    <x v="0"/>
    <x v="0"/>
    <x v="5"/>
    <n v="1"/>
  </r>
  <r>
    <n v="1"/>
    <d v="2019-05-28T00:00:00"/>
    <x v="0"/>
    <n v="2813.5239999999999"/>
    <n v="4192.8320000000003"/>
    <x v="0"/>
    <x v="0"/>
    <x v="5"/>
    <n v="1"/>
  </r>
  <r>
    <n v="1"/>
    <d v="2019-05-28T00:00:00"/>
    <x v="1"/>
    <n v="2526.0059999999999"/>
    <n v="0"/>
    <x v="0"/>
    <x v="0"/>
    <x v="5"/>
    <n v="1"/>
  </r>
  <r>
    <n v="1"/>
    <d v="2019-05-28T00:00:00"/>
    <x v="3"/>
    <n v="178.32499999999999"/>
    <n v="1422.4069999999999"/>
    <x v="0"/>
    <x v="0"/>
    <x v="5"/>
    <n v="1"/>
  </r>
  <r>
    <n v="1"/>
    <d v="2019-05-29T00:00:00"/>
    <x v="0"/>
    <n v="4065.6349999999998"/>
    <n v="4132.0929999999998"/>
    <x v="0"/>
    <x v="0"/>
    <x v="5"/>
    <n v="1"/>
  </r>
  <r>
    <n v="1"/>
    <d v="2019-05-29T00:00:00"/>
    <x v="3"/>
    <n v="192.32499999999999"/>
    <n v="627.25599999999997"/>
    <x v="0"/>
    <x v="0"/>
    <x v="5"/>
    <n v="1"/>
  </r>
  <r>
    <n v="1"/>
    <d v="2019-05-29T00:00:00"/>
    <x v="1"/>
    <n v="2777.8729999999996"/>
    <n v="0"/>
    <x v="0"/>
    <x v="0"/>
    <x v="5"/>
    <n v="1"/>
  </r>
  <r>
    <n v="1"/>
    <d v="2019-05-29T00:00:00"/>
    <x v="2"/>
    <n v="746.71100000000001"/>
    <n v="1167.4669999999999"/>
    <x v="0"/>
    <x v="0"/>
    <x v="5"/>
    <n v="1"/>
  </r>
  <r>
    <n v="1"/>
    <d v="2019-05-30T00:00:00"/>
    <x v="0"/>
    <n v="4142.5369999999994"/>
    <n v="5402.3269999999993"/>
    <x v="0"/>
    <x v="0"/>
    <x v="5"/>
    <n v="1"/>
  </r>
  <r>
    <n v="1"/>
    <d v="2019-05-30T00:00:00"/>
    <x v="2"/>
    <n v="763.89599999999996"/>
    <n v="1510.7119999999998"/>
    <x v="0"/>
    <x v="0"/>
    <x v="5"/>
    <n v="1"/>
  </r>
  <r>
    <n v="1"/>
    <d v="2019-05-30T00:00:00"/>
    <x v="3"/>
    <n v="0"/>
    <n v="335.02"/>
    <x v="0"/>
    <x v="0"/>
    <x v="5"/>
    <n v="1"/>
  </r>
  <r>
    <n v="1"/>
    <d v="2019-05-30T00:00:00"/>
    <x v="1"/>
    <n v="3437.7769999999996"/>
    <n v="0"/>
    <x v="0"/>
    <x v="0"/>
    <x v="5"/>
    <n v="1"/>
  </r>
  <r>
    <n v="1"/>
    <d v="2019-05-31T00:00:00"/>
    <x v="1"/>
    <n v="3699.2339999999995"/>
    <n v="0"/>
    <x v="0"/>
    <x v="0"/>
    <x v="5"/>
    <n v="1"/>
  </r>
  <r>
    <n v="1"/>
    <d v="2019-05-31T00:00:00"/>
    <x v="3"/>
    <n v="226.20499999999996"/>
    <n v="398.38399999999996"/>
    <x v="0"/>
    <x v="0"/>
    <x v="5"/>
    <n v="1"/>
  </r>
  <r>
    <n v="1"/>
    <d v="2019-05-31T00:00:00"/>
    <x v="2"/>
    <n v="951.4609999999999"/>
    <n v="1659.6369999999997"/>
    <x v="0"/>
    <x v="0"/>
    <x v="5"/>
    <n v="1"/>
  </r>
  <r>
    <n v="1"/>
    <d v="2019-05-31T00:00:00"/>
    <x v="0"/>
    <n v="4389.4339999999993"/>
    <n v="5804.1759999999995"/>
    <x v="0"/>
    <x v="0"/>
    <x v="5"/>
    <n v="1"/>
  </r>
  <r>
    <n v="1"/>
    <d v="2019-06-01T00:00:00"/>
    <x v="1"/>
    <n v="3560.739"/>
    <n v="0"/>
    <x v="0"/>
    <x v="0"/>
    <x v="5"/>
    <n v="1"/>
  </r>
  <r>
    <n v="1"/>
    <d v="2019-06-01T00:00:00"/>
    <x v="2"/>
    <n v="666.4"/>
    <n v="1283.1769999999999"/>
    <x v="0"/>
    <x v="0"/>
    <x v="5"/>
    <n v="1"/>
  </r>
  <r>
    <n v="1"/>
    <d v="2019-06-01T00:00:00"/>
    <x v="0"/>
    <n v="3622.92"/>
    <n v="5558.357"/>
    <x v="0"/>
    <x v="0"/>
    <x v="5"/>
    <n v="1"/>
  </r>
  <r>
    <n v="1"/>
    <d v="2019-06-01T00:00:00"/>
    <x v="3"/>
    <n v="0"/>
    <n v="984.66899999999998"/>
    <x v="0"/>
    <x v="0"/>
    <x v="5"/>
    <n v="1"/>
  </r>
  <r>
    <n v="1"/>
    <d v="2019-06-02T00:00:00"/>
    <x v="3"/>
    <n v="0"/>
    <n v="0"/>
    <x v="0"/>
    <x v="0"/>
    <x v="5"/>
    <n v="1"/>
  </r>
  <r>
    <n v="1"/>
    <d v="2019-06-02T00:00:00"/>
    <x v="2"/>
    <n v="188.874"/>
    <n v="348.50899999999996"/>
    <x v="0"/>
    <x v="0"/>
    <x v="5"/>
    <n v="1"/>
  </r>
  <r>
    <n v="1"/>
    <d v="2019-06-02T00:00:00"/>
    <x v="0"/>
    <n v="2542.61"/>
    <n v="2709.4270000000001"/>
    <x v="0"/>
    <x v="0"/>
    <x v="5"/>
    <n v="1"/>
  </r>
  <r>
    <n v="1"/>
    <d v="2019-06-02T00:00:00"/>
    <x v="1"/>
    <n v="2135.9449999999997"/>
    <n v="0"/>
    <x v="0"/>
    <x v="0"/>
    <x v="5"/>
    <n v="1"/>
  </r>
  <r>
    <n v="1"/>
    <d v="2019-06-03T00:00:00"/>
    <x v="0"/>
    <n v="3886.5119999999997"/>
    <n v="5001.1709999999994"/>
    <x v="0"/>
    <x v="0"/>
    <x v="5"/>
    <n v="2"/>
  </r>
  <r>
    <n v="1"/>
    <d v="2019-06-03T00:00:00"/>
    <x v="2"/>
    <n v="685.69199999999989"/>
    <n v="1424.9549999999999"/>
    <x v="0"/>
    <x v="0"/>
    <x v="5"/>
    <n v="2"/>
  </r>
  <r>
    <n v="1"/>
    <d v="2019-06-03T00:00:00"/>
    <x v="1"/>
    <n v="3340.0219999999999"/>
    <n v="0"/>
    <x v="0"/>
    <x v="0"/>
    <x v="5"/>
    <n v="2"/>
  </r>
  <r>
    <n v="1"/>
    <d v="2019-06-03T00:00:00"/>
    <x v="3"/>
    <n v="0"/>
    <n v="439.26399999999995"/>
    <x v="0"/>
    <x v="0"/>
    <x v="5"/>
    <n v="2"/>
  </r>
  <r>
    <n v="1"/>
    <d v="2019-06-04T00:00:00"/>
    <x v="3"/>
    <n v="299.69799999999998"/>
    <n v="0"/>
    <x v="0"/>
    <x v="0"/>
    <x v="5"/>
    <n v="2"/>
  </r>
  <r>
    <n v="1"/>
    <d v="2019-06-04T00:00:00"/>
    <x v="0"/>
    <n v="3743.46"/>
    <n v="4569.1170000000002"/>
    <x v="0"/>
    <x v="0"/>
    <x v="5"/>
    <n v="2"/>
  </r>
  <r>
    <n v="1"/>
    <d v="2019-06-04T00:00:00"/>
    <x v="2"/>
    <n v="950.34799999999996"/>
    <n v="1406.2859999999998"/>
    <x v="0"/>
    <x v="0"/>
    <x v="5"/>
    <n v="2"/>
  </r>
  <r>
    <n v="1"/>
    <d v="2019-06-04T00:00:00"/>
    <x v="1"/>
    <n v="3195.71"/>
    <n v="0"/>
    <x v="0"/>
    <x v="0"/>
    <x v="5"/>
    <n v="2"/>
  </r>
  <r>
    <n v="1"/>
    <d v="2019-06-05T00:00:00"/>
    <x v="2"/>
    <n v="907.25599999999986"/>
    <n v="1020.9499999999999"/>
    <x v="0"/>
    <x v="0"/>
    <x v="5"/>
    <n v="2"/>
  </r>
  <r>
    <n v="1"/>
    <d v="2019-06-05T00:00:00"/>
    <x v="0"/>
    <n v="3255.2799999999997"/>
    <n v="4517.9119999999994"/>
    <x v="0"/>
    <x v="0"/>
    <x v="5"/>
    <n v="2"/>
  </r>
  <r>
    <n v="1"/>
    <d v="2019-06-05T00:00:00"/>
    <x v="1"/>
    <n v="2979.0039999999999"/>
    <n v="0"/>
    <x v="0"/>
    <x v="0"/>
    <x v="5"/>
    <n v="2"/>
  </r>
  <r>
    <n v="1"/>
    <d v="2019-06-05T00:00:00"/>
    <x v="3"/>
    <n v="120.64499999999998"/>
    <n v="1184.05"/>
    <x v="0"/>
    <x v="0"/>
    <x v="5"/>
    <n v="2"/>
  </r>
  <r>
    <n v="1"/>
    <d v="2019-06-06T00:00:00"/>
    <x v="2"/>
    <n v="748.51699999999994"/>
    <n v="1314.0889999999999"/>
    <x v="0"/>
    <x v="0"/>
    <x v="5"/>
    <n v="2"/>
  </r>
  <r>
    <n v="1"/>
    <d v="2019-06-06T00:00:00"/>
    <x v="0"/>
    <n v="4077.8989999999994"/>
    <n v="5696.5230000000001"/>
    <x v="0"/>
    <x v="0"/>
    <x v="5"/>
    <n v="2"/>
  </r>
  <r>
    <n v="1"/>
    <d v="2019-06-06T00:00:00"/>
    <x v="3"/>
    <n v="0"/>
    <n v="231.13299999999998"/>
    <x v="0"/>
    <x v="0"/>
    <x v="5"/>
    <n v="2"/>
  </r>
  <r>
    <n v="1"/>
    <d v="2019-06-06T00:00:00"/>
    <x v="1"/>
    <n v="3329.8369999999995"/>
    <n v="0"/>
    <x v="0"/>
    <x v="0"/>
    <x v="5"/>
    <n v="2"/>
  </r>
  <r>
    <n v="1"/>
    <d v="2019-06-07T00:00:00"/>
    <x v="3"/>
    <n v="159.88"/>
    <n v="637.88199999999995"/>
    <x v="0"/>
    <x v="0"/>
    <x v="5"/>
    <n v="2"/>
  </r>
  <r>
    <n v="1"/>
    <d v="2019-06-07T00:00:00"/>
    <x v="0"/>
    <n v="4254.1450000000004"/>
    <n v="5203.2959999999994"/>
    <x v="0"/>
    <x v="0"/>
    <x v="5"/>
    <n v="2"/>
  </r>
  <r>
    <n v="1"/>
    <d v="2019-06-07T00:00:00"/>
    <x v="1"/>
    <n v="3716.2859999999996"/>
    <n v="0"/>
    <x v="0"/>
    <x v="0"/>
    <x v="5"/>
    <n v="2"/>
  </r>
  <r>
    <n v="1"/>
    <d v="2019-06-07T00:00:00"/>
    <x v="2"/>
    <n v="887.8309999999999"/>
    <n v="1432.0949999999998"/>
    <x v="0"/>
    <x v="0"/>
    <x v="5"/>
    <n v="2"/>
  </r>
  <r>
    <n v="1"/>
    <d v="2019-06-08T00:00:00"/>
    <x v="2"/>
    <n v="978.20100000000002"/>
    <n v="1136.954"/>
    <x v="0"/>
    <x v="0"/>
    <x v="5"/>
    <n v="2"/>
  </r>
  <r>
    <n v="1"/>
    <d v="2019-06-08T00:00:00"/>
    <x v="1"/>
    <n v="3004.2950000000001"/>
    <n v="0"/>
    <x v="0"/>
    <x v="0"/>
    <x v="5"/>
    <n v="2"/>
  </r>
  <r>
    <n v="1"/>
    <d v="2019-06-08T00:00:00"/>
    <x v="0"/>
    <n v="5196.0159999999996"/>
    <n v="5070.576"/>
    <x v="0"/>
    <x v="0"/>
    <x v="5"/>
    <n v="2"/>
  </r>
  <r>
    <n v="1"/>
    <d v="2019-06-08T00:00:00"/>
    <x v="3"/>
    <n v="27.607999999999997"/>
    <n v="1248.877"/>
    <x v="0"/>
    <x v="0"/>
    <x v="5"/>
    <n v="2"/>
  </r>
  <r>
    <n v="1"/>
    <d v="2019-06-09T00:00:00"/>
    <x v="0"/>
    <n v="2694.1669999999999"/>
    <n v="2804.2909999999997"/>
    <x v="0"/>
    <x v="0"/>
    <x v="5"/>
    <n v="2"/>
  </r>
  <r>
    <n v="1"/>
    <d v="2019-06-09T00:00:00"/>
    <x v="1"/>
    <n v="2104.0179999999996"/>
    <n v="0"/>
    <x v="0"/>
    <x v="0"/>
    <x v="5"/>
    <n v="2"/>
  </r>
  <r>
    <n v="1"/>
    <d v="2019-06-09T00:00:00"/>
    <x v="3"/>
    <n v="0"/>
    <n v="0"/>
    <x v="0"/>
    <x v="0"/>
    <x v="5"/>
    <n v="2"/>
  </r>
  <r>
    <n v="1"/>
    <d v="2019-06-09T00:00:00"/>
    <x v="2"/>
    <n v="274.351"/>
    <n v="123.851"/>
    <x v="0"/>
    <x v="0"/>
    <x v="5"/>
    <n v="2"/>
  </r>
  <r>
    <n v="1"/>
    <d v="2019-06-10T00:00:00"/>
    <x v="3"/>
    <n v="241.28999999999996"/>
    <n v="508.40299999999996"/>
    <x v="0"/>
    <x v="0"/>
    <x v="5"/>
    <n v="3"/>
  </r>
  <r>
    <n v="1"/>
    <d v="2019-06-10T00:00:00"/>
    <x v="0"/>
    <n v="4079.1869999999994"/>
    <n v="4361.8399999999992"/>
    <x v="0"/>
    <x v="0"/>
    <x v="5"/>
    <n v="3"/>
  </r>
  <r>
    <n v="1"/>
    <d v="2019-06-10T00:00:00"/>
    <x v="2"/>
    <n v="785.68000000000006"/>
    <n v="890.75699999999995"/>
    <x v="0"/>
    <x v="0"/>
    <x v="5"/>
    <n v="3"/>
  </r>
  <r>
    <n v="1"/>
    <d v="2019-06-10T00:00:00"/>
    <x v="1"/>
    <n v="3464.3209999999995"/>
    <n v="0"/>
    <x v="0"/>
    <x v="0"/>
    <x v="5"/>
    <n v="3"/>
  </r>
  <r>
    <n v="1"/>
    <d v="2019-06-11T00:00:00"/>
    <x v="3"/>
    <n v="373.45699999999999"/>
    <n v="387.87700000000001"/>
    <x v="0"/>
    <x v="0"/>
    <x v="5"/>
    <n v="3"/>
  </r>
  <r>
    <n v="1"/>
    <d v="2019-06-11T00:00:00"/>
    <x v="2"/>
    <n v="694.21799999999996"/>
    <n v="1526.0279999999998"/>
    <x v="0"/>
    <x v="0"/>
    <x v="5"/>
    <n v="3"/>
  </r>
  <r>
    <n v="1"/>
    <d v="2019-06-11T00:00:00"/>
    <x v="0"/>
    <n v="3455.7670000000003"/>
    <n v="4833.8009999999995"/>
    <x v="0"/>
    <x v="0"/>
    <x v="5"/>
    <n v="3"/>
  </r>
  <r>
    <n v="1"/>
    <d v="2019-06-11T00:00:00"/>
    <x v="1"/>
    <n v="2837.261"/>
    <n v="0"/>
    <x v="0"/>
    <x v="0"/>
    <x v="5"/>
    <n v="3"/>
  </r>
  <r>
    <n v="1"/>
    <d v="2019-06-12T00:00:00"/>
    <x v="1"/>
    <n v="3065.3769999999995"/>
    <n v="0"/>
    <x v="0"/>
    <x v="0"/>
    <x v="5"/>
    <n v="3"/>
  </r>
  <r>
    <n v="1"/>
    <d v="2019-06-12T00:00:00"/>
    <x v="3"/>
    <n v="192.86399999999998"/>
    <n v="5859.1679999999997"/>
    <x v="0"/>
    <x v="0"/>
    <x v="5"/>
    <n v="3"/>
  </r>
  <r>
    <n v="1"/>
    <d v="2019-06-12T00:00:00"/>
    <x v="0"/>
    <n v="3983.6649999999995"/>
    <n v="3848.3899999999994"/>
    <x v="0"/>
    <x v="0"/>
    <x v="5"/>
    <n v="3"/>
  </r>
  <r>
    <n v="1"/>
    <d v="2019-06-12T00:00:00"/>
    <x v="2"/>
    <n v="743.84800000000007"/>
    <n v="1138.4309999999998"/>
    <x v="0"/>
    <x v="0"/>
    <x v="5"/>
    <n v="3"/>
  </r>
  <r>
    <n v="1"/>
    <d v="2019-06-13T00:00:00"/>
    <x v="1"/>
    <n v="3526.8939999999998"/>
    <n v="0"/>
    <x v="0"/>
    <x v="0"/>
    <x v="5"/>
    <n v="3"/>
  </r>
  <r>
    <n v="1"/>
    <d v="2019-06-13T00:00:00"/>
    <x v="2"/>
    <n v="1237.9079999999999"/>
    <n v="1355.1579999999999"/>
    <x v="0"/>
    <x v="0"/>
    <x v="5"/>
    <n v="3"/>
  </r>
  <r>
    <n v="1"/>
    <d v="2019-06-13T00:00:00"/>
    <x v="0"/>
    <n v="3796.5549999999994"/>
    <n v="5003.1799999999994"/>
    <x v="0"/>
    <x v="0"/>
    <x v="5"/>
    <n v="3"/>
  </r>
  <r>
    <n v="1"/>
    <d v="2019-06-13T00:00:00"/>
    <x v="3"/>
    <n v="326.18599999999998"/>
    <n v="230.00599999999997"/>
    <x v="0"/>
    <x v="0"/>
    <x v="5"/>
    <n v="3"/>
  </r>
  <r>
    <n v="1"/>
    <d v="2019-06-14T00:00:00"/>
    <x v="3"/>
    <n v="0"/>
    <n v="626.01699999999994"/>
    <x v="0"/>
    <x v="0"/>
    <x v="5"/>
    <n v="3"/>
  </r>
  <r>
    <n v="1"/>
    <d v="2019-06-14T00:00:00"/>
    <x v="0"/>
    <n v="4452.42"/>
    <n v="5755.8760000000002"/>
    <x v="0"/>
    <x v="0"/>
    <x v="5"/>
    <n v="3"/>
  </r>
  <r>
    <n v="1"/>
    <d v="2019-06-14T00:00:00"/>
    <x v="1"/>
    <n v="3637.2979999999998"/>
    <n v="0"/>
    <x v="0"/>
    <x v="0"/>
    <x v="5"/>
    <n v="3"/>
  </r>
  <r>
    <n v="1"/>
    <d v="2019-06-14T00:00:00"/>
    <x v="2"/>
    <n v="783.43299999999999"/>
    <n v="1476.2369999999999"/>
    <x v="0"/>
    <x v="0"/>
    <x v="5"/>
    <n v="3"/>
  </r>
  <r>
    <n v="1"/>
    <d v="2019-06-15T00:00:00"/>
    <x v="2"/>
    <n v="802.52199999999993"/>
    <n v="1004.1919999999999"/>
    <x v="0"/>
    <x v="0"/>
    <x v="5"/>
    <n v="3"/>
  </r>
  <r>
    <n v="1"/>
    <d v="2019-06-15T00:00:00"/>
    <x v="1"/>
    <n v="3001.6349999999998"/>
    <n v="0"/>
    <x v="0"/>
    <x v="0"/>
    <x v="5"/>
    <n v="3"/>
  </r>
  <r>
    <n v="1"/>
    <d v="2019-06-15T00:00:00"/>
    <x v="0"/>
    <n v="4689.8179999999993"/>
    <n v="5061.4619999999995"/>
    <x v="0"/>
    <x v="0"/>
    <x v="5"/>
    <n v="3"/>
  </r>
  <r>
    <n v="1"/>
    <d v="2019-06-15T00:00:00"/>
    <x v="3"/>
    <n v="326.96999999999997"/>
    <n v="287.29399999999998"/>
    <x v="0"/>
    <x v="0"/>
    <x v="5"/>
    <n v="3"/>
  </r>
  <r>
    <n v="1"/>
    <d v="2019-06-16T00:00:00"/>
    <x v="0"/>
    <n v="2501.0649999999996"/>
    <n v="2423.2809999999999"/>
    <x v="0"/>
    <x v="0"/>
    <x v="5"/>
    <n v="3"/>
  </r>
  <r>
    <n v="1"/>
    <d v="2019-06-16T00:00:00"/>
    <x v="3"/>
    <n v="14.259"/>
    <n v="0"/>
    <x v="0"/>
    <x v="0"/>
    <x v="5"/>
    <n v="3"/>
  </r>
  <r>
    <n v="1"/>
    <d v="2019-06-16T00:00:00"/>
    <x v="1"/>
    <n v="1856.799"/>
    <n v="0"/>
    <x v="0"/>
    <x v="0"/>
    <x v="5"/>
    <n v="3"/>
  </r>
  <r>
    <n v="1"/>
    <d v="2019-06-16T00:00:00"/>
    <x v="2"/>
    <n v="152.21499999999997"/>
    <n v="422.91899999999993"/>
    <x v="0"/>
    <x v="0"/>
    <x v="5"/>
    <n v="3"/>
  </r>
  <r>
    <n v="1"/>
    <d v="2019-06-17T00:00:00"/>
    <x v="0"/>
    <n v="4366.9290000000001"/>
    <n v="5110"/>
    <x v="0"/>
    <x v="0"/>
    <x v="5"/>
    <n v="4"/>
  </r>
  <r>
    <n v="1"/>
    <d v="2019-06-17T00:00:00"/>
    <x v="3"/>
    <n v="189.50400000000002"/>
    <n v="161.54599999999999"/>
    <x v="0"/>
    <x v="0"/>
    <x v="5"/>
    <n v="4"/>
  </r>
  <r>
    <n v="1"/>
    <d v="2019-06-17T00:00:00"/>
    <x v="1"/>
    <n v="3396.5959999999995"/>
    <n v="0"/>
    <x v="0"/>
    <x v="0"/>
    <x v="5"/>
    <n v="4"/>
  </r>
  <r>
    <n v="1"/>
    <d v="2019-06-17T00:00:00"/>
    <x v="2"/>
    <n v="878.04499999999985"/>
    <n v="1242.7449999999999"/>
    <x v="0"/>
    <x v="0"/>
    <x v="5"/>
    <n v="4"/>
  </r>
  <r>
    <n v="1"/>
    <d v="2019-06-18T00:00:00"/>
    <x v="0"/>
    <n v="3791.1929999999998"/>
    <n v="4872.3149999999996"/>
    <x v="0"/>
    <x v="0"/>
    <x v="5"/>
    <n v="4"/>
  </r>
  <r>
    <n v="1"/>
    <d v="2019-06-18T00:00:00"/>
    <x v="3"/>
    <n v="190.88299999999998"/>
    <n v="782.73299999999995"/>
    <x v="0"/>
    <x v="0"/>
    <x v="5"/>
    <n v="4"/>
  </r>
  <r>
    <n v="1"/>
    <d v="2019-06-18T00:00:00"/>
    <x v="1"/>
    <n v="3233.2719999999999"/>
    <n v="0"/>
    <x v="0"/>
    <x v="0"/>
    <x v="5"/>
    <n v="4"/>
  </r>
  <r>
    <n v="1"/>
    <d v="2019-06-18T00:00:00"/>
    <x v="2"/>
    <n v="703.86399999999992"/>
    <n v="1502.2350000000001"/>
    <x v="0"/>
    <x v="0"/>
    <x v="5"/>
    <n v="4"/>
  </r>
  <r>
    <n v="1"/>
    <d v="2019-06-19T00:00:00"/>
    <x v="0"/>
    <n v="4055.6529999999998"/>
    <n v="5228.9649999999992"/>
    <x v="0"/>
    <x v="0"/>
    <x v="5"/>
    <n v="4"/>
  </r>
  <r>
    <n v="1"/>
    <d v="2019-06-19T00:00:00"/>
    <x v="3"/>
    <n v="500.04499999999996"/>
    <n v="9.4359999999999999"/>
    <x v="0"/>
    <x v="0"/>
    <x v="5"/>
    <n v="4"/>
  </r>
  <r>
    <n v="1"/>
    <d v="2019-06-19T00:00:00"/>
    <x v="2"/>
    <n v="1060.3039999999999"/>
    <n v="897.11299999999983"/>
    <x v="0"/>
    <x v="0"/>
    <x v="5"/>
    <n v="4"/>
  </r>
  <r>
    <n v="1"/>
    <d v="2019-06-19T00:00:00"/>
    <x v="1"/>
    <n v="3216.1219999999998"/>
    <n v="0"/>
    <x v="0"/>
    <x v="0"/>
    <x v="5"/>
    <n v="4"/>
  </r>
  <r>
    <n v="1"/>
    <d v="2019-06-20T00:00:00"/>
    <x v="2"/>
    <n v="1106.133"/>
    <n v="1210.223"/>
    <x v="0"/>
    <x v="0"/>
    <x v="5"/>
    <n v="4"/>
  </r>
  <r>
    <n v="1"/>
    <d v="2019-06-20T00:00:00"/>
    <x v="0"/>
    <n v="4494.9939999999997"/>
    <n v="5425.3289999999997"/>
    <x v="0"/>
    <x v="0"/>
    <x v="5"/>
    <n v="4"/>
  </r>
  <r>
    <n v="1"/>
    <d v="2019-06-20T00:00:00"/>
    <x v="3"/>
    <n v="641.03199999999993"/>
    <n v="1213.6389999999999"/>
    <x v="0"/>
    <x v="0"/>
    <x v="5"/>
    <n v="4"/>
  </r>
  <r>
    <n v="1"/>
    <d v="2019-06-20T00:00:00"/>
    <x v="1"/>
    <n v="3680.2429999999995"/>
    <n v="0"/>
    <x v="0"/>
    <x v="0"/>
    <x v="5"/>
    <n v="4"/>
  </r>
  <r>
    <n v="1"/>
    <d v="2019-06-21T00:00:00"/>
    <x v="1"/>
    <n v="4017.9089999999997"/>
    <n v="0"/>
    <x v="0"/>
    <x v="0"/>
    <x v="5"/>
    <n v="4"/>
  </r>
  <r>
    <n v="1"/>
    <d v="2019-06-21T00:00:00"/>
    <x v="3"/>
    <n v="62.635999999999996"/>
    <n v="572.9849999999999"/>
    <x v="0"/>
    <x v="0"/>
    <x v="5"/>
    <n v="4"/>
  </r>
  <r>
    <n v="1"/>
    <d v="2019-06-21T00:00:00"/>
    <x v="0"/>
    <n v="5252.5829999999996"/>
    <n v="5559.5819999999994"/>
    <x v="0"/>
    <x v="0"/>
    <x v="5"/>
    <n v="4"/>
  </r>
  <r>
    <n v="1"/>
    <d v="2019-06-21T00:00:00"/>
    <x v="2"/>
    <n v="1098.3839999999998"/>
    <n v="1850.3309999999999"/>
    <x v="0"/>
    <x v="0"/>
    <x v="5"/>
    <n v="4"/>
  </r>
  <r>
    <n v="1"/>
    <d v="2019-06-22T00:00:00"/>
    <x v="3"/>
    <n v="447.34199999999993"/>
    <n v="0"/>
    <x v="0"/>
    <x v="0"/>
    <x v="5"/>
    <n v="4"/>
  </r>
  <r>
    <n v="1"/>
    <d v="2019-06-22T00:00:00"/>
    <x v="1"/>
    <n v="3547.0189999999998"/>
    <n v="0"/>
    <x v="0"/>
    <x v="0"/>
    <x v="5"/>
    <n v="4"/>
  </r>
  <r>
    <n v="1"/>
    <d v="2019-06-22T00:00:00"/>
    <x v="0"/>
    <n v="4796.442"/>
    <n v="5843.9639999999999"/>
    <x v="0"/>
    <x v="0"/>
    <x v="5"/>
    <n v="4"/>
  </r>
  <r>
    <n v="1"/>
    <d v="2019-06-22T00:00:00"/>
    <x v="2"/>
    <n v="769.33499999999992"/>
    <n v="1479.674"/>
    <x v="0"/>
    <x v="0"/>
    <x v="5"/>
    <n v="4"/>
  </r>
  <r>
    <n v="1"/>
    <d v="2019-06-23T00:00:00"/>
    <x v="0"/>
    <n v="3250.6459999999997"/>
    <n v="3320.5059999999999"/>
    <x v="0"/>
    <x v="0"/>
    <x v="5"/>
    <n v="4"/>
  </r>
  <r>
    <n v="1"/>
    <d v="2019-06-23T00:00:00"/>
    <x v="1"/>
    <n v="1718.7869999999998"/>
    <n v="0"/>
    <x v="0"/>
    <x v="0"/>
    <x v="5"/>
    <n v="4"/>
  </r>
  <r>
    <n v="1"/>
    <d v="2019-06-23T00:00:00"/>
    <x v="2"/>
    <n v="155.267"/>
    <n v="228.98399999999998"/>
    <x v="0"/>
    <x v="0"/>
    <x v="5"/>
    <n v="4"/>
  </r>
  <r>
    <n v="1"/>
    <d v="2019-06-23T00:00:00"/>
    <x v="3"/>
    <n v="321.71999999999997"/>
    <n v="0"/>
    <x v="0"/>
    <x v="0"/>
    <x v="5"/>
    <n v="4"/>
  </r>
  <r>
    <n v="1"/>
    <d v="2019-06-24T00:00:00"/>
    <x v="3"/>
    <n v="165.96299999999999"/>
    <n v="1258.2569999999998"/>
    <x v="0"/>
    <x v="0"/>
    <x v="5"/>
    <n v="5"/>
  </r>
  <r>
    <n v="1"/>
    <d v="2019-06-24T00:00:00"/>
    <x v="0"/>
    <n v="4757.1509999999998"/>
    <n v="4329.8709999999992"/>
    <x v="0"/>
    <x v="0"/>
    <x v="5"/>
    <n v="5"/>
  </r>
  <r>
    <n v="1"/>
    <d v="2019-06-24T00:00:00"/>
    <x v="1"/>
    <n v="3239.5790000000002"/>
    <n v="0"/>
    <x v="0"/>
    <x v="0"/>
    <x v="5"/>
    <n v="5"/>
  </r>
  <r>
    <n v="1"/>
    <d v="2019-06-24T00:00:00"/>
    <x v="2"/>
    <n v="750.49099999999999"/>
    <n v="1324.82"/>
    <x v="0"/>
    <x v="0"/>
    <x v="5"/>
    <n v="5"/>
  </r>
  <r>
    <n v="1"/>
    <d v="2019-06-25T00:00:00"/>
    <x v="0"/>
    <n v="3754.835"/>
    <n v="4207.7559999999994"/>
    <x v="0"/>
    <x v="0"/>
    <x v="5"/>
    <n v="5"/>
  </r>
  <r>
    <n v="1"/>
    <d v="2019-06-25T00:00:00"/>
    <x v="3"/>
    <n v="106.967"/>
    <n v="1125.4739999999999"/>
    <x v="0"/>
    <x v="0"/>
    <x v="5"/>
    <n v="5"/>
  </r>
  <r>
    <n v="1"/>
    <d v="2019-06-25T00:00:00"/>
    <x v="1"/>
    <n v="3444.3709999999996"/>
    <n v="0"/>
    <x v="0"/>
    <x v="0"/>
    <x v="5"/>
    <n v="5"/>
  </r>
  <r>
    <n v="1"/>
    <d v="2019-06-25T00:00:00"/>
    <x v="2"/>
    <n v="951.3"/>
    <n v="943.32699999999988"/>
    <x v="0"/>
    <x v="0"/>
    <x v="5"/>
    <n v="5"/>
  </r>
  <r>
    <n v="1"/>
    <d v="2019-06-26T00:00:00"/>
    <x v="3"/>
    <n v="461.46799999999996"/>
    <n v="447.70600000000002"/>
    <x v="0"/>
    <x v="0"/>
    <x v="5"/>
    <n v="5"/>
  </r>
  <r>
    <n v="1"/>
    <d v="2019-06-26T00:00:00"/>
    <x v="2"/>
    <n v="1083.194"/>
    <n v="1265.9989999999998"/>
    <x v="0"/>
    <x v="0"/>
    <x v="5"/>
    <n v="5"/>
  </r>
  <r>
    <n v="1"/>
    <d v="2019-06-26T00:00:00"/>
    <x v="1"/>
    <n v="2898.819"/>
    <n v="0"/>
    <x v="0"/>
    <x v="0"/>
    <x v="5"/>
    <n v="5"/>
  </r>
  <r>
    <n v="1"/>
    <d v="2019-06-26T00:00:00"/>
    <x v="0"/>
    <n v="4097.5619999999999"/>
    <n v="4721.8499999999995"/>
    <x v="0"/>
    <x v="0"/>
    <x v="5"/>
    <n v="5"/>
  </r>
  <r>
    <n v="1"/>
    <d v="2019-06-27T00:00:00"/>
    <x v="0"/>
    <n v="4813.7109999999993"/>
    <n v="5907.3209999999999"/>
    <x v="0"/>
    <x v="0"/>
    <x v="5"/>
    <n v="5"/>
  </r>
  <r>
    <n v="1"/>
    <d v="2019-06-27T00:00:00"/>
    <x v="1"/>
    <n v="3491.25"/>
    <n v="0"/>
    <x v="0"/>
    <x v="0"/>
    <x v="5"/>
    <n v="5"/>
  </r>
  <r>
    <n v="1"/>
    <d v="2019-06-27T00:00:00"/>
    <x v="3"/>
    <n v="29.666"/>
    <n v="716.93299999999999"/>
    <x v="0"/>
    <x v="0"/>
    <x v="5"/>
    <n v="5"/>
  </r>
  <r>
    <n v="1"/>
    <d v="2019-06-27T00:00:00"/>
    <x v="2"/>
    <n v="1097.537"/>
    <n v="1386.2729999999999"/>
    <x v="0"/>
    <x v="0"/>
    <x v="5"/>
    <n v="5"/>
  </r>
  <r>
    <n v="1"/>
    <d v="2019-06-28T00:00:00"/>
    <x v="2"/>
    <n v="1032.9970000000001"/>
    <n v="1639.827"/>
    <x v="0"/>
    <x v="0"/>
    <x v="5"/>
    <n v="5"/>
  </r>
  <r>
    <n v="1"/>
    <d v="2019-06-28T00:00:00"/>
    <x v="0"/>
    <n v="4606.875"/>
    <n v="6496.7210000000005"/>
    <x v="0"/>
    <x v="0"/>
    <x v="5"/>
    <n v="5"/>
  </r>
  <r>
    <n v="1"/>
    <d v="2019-06-28T00:00:00"/>
    <x v="3"/>
    <n v="331.92599999999999"/>
    <n v="1178.8139999999999"/>
    <x v="0"/>
    <x v="0"/>
    <x v="5"/>
    <n v="5"/>
  </r>
  <r>
    <n v="1"/>
    <d v="2019-06-28T00:00:00"/>
    <x v="1"/>
    <n v="3724.9589999999998"/>
    <n v="0"/>
    <x v="0"/>
    <x v="0"/>
    <x v="5"/>
    <n v="5"/>
  </r>
  <r>
    <n v="1"/>
    <d v="2019-06-29T00:00:00"/>
    <x v="0"/>
    <n v="4809.7139999999999"/>
    <n v="5745.3619999999992"/>
    <x v="0"/>
    <x v="0"/>
    <x v="5"/>
    <n v="5"/>
  </r>
  <r>
    <n v="1"/>
    <d v="2019-06-29T00:00:00"/>
    <x v="3"/>
    <n v="160.85999999999999"/>
    <n v="439.85899999999998"/>
    <x v="0"/>
    <x v="0"/>
    <x v="5"/>
    <n v="5"/>
  </r>
  <r>
    <n v="1"/>
    <d v="2019-06-29T00:00:00"/>
    <x v="2"/>
    <n v="896.02799999999991"/>
    <n v="1477.1189999999999"/>
    <x v="0"/>
    <x v="0"/>
    <x v="5"/>
    <n v="5"/>
  </r>
  <r>
    <n v="1"/>
    <d v="2019-06-29T00:00:00"/>
    <x v="1"/>
    <n v="3760.8129999999996"/>
    <n v="0"/>
    <x v="0"/>
    <x v="0"/>
    <x v="5"/>
    <n v="5"/>
  </r>
  <r>
    <n v="1"/>
    <d v="2019-06-30T00:00:00"/>
    <x v="2"/>
    <n v="161.62299999999999"/>
    <n v="423.29700000000003"/>
    <x v="0"/>
    <x v="0"/>
    <x v="5"/>
    <n v="5"/>
  </r>
  <r>
    <n v="1"/>
    <d v="2019-06-30T00:00:00"/>
    <x v="0"/>
    <n v="3046.0079999999994"/>
    <n v="3288.8939999999998"/>
    <x v="0"/>
    <x v="0"/>
    <x v="5"/>
    <n v="5"/>
  </r>
  <r>
    <n v="1"/>
    <d v="2019-06-30T00:00:00"/>
    <x v="3"/>
    <n v="0"/>
    <n v="78.280999999999992"/>
    <x v="0"/>
    <x v="0"/>
    <x v="5"/>
    <n v="5"/>
  </r>
  <r>
    <n v="1"/>
    <d v="2019-06-30T00:00:00"/>
    <x v="1"/>
    <n v="1900.9619999999998"/>
    <n v="0"/>
    <x v="0"/>
    <x v="0"/>
    <x v="5"/>
    <n v="5"/>
  </r>
  <r>
    <n v="1"/>
    <d v="2019-07-01T00:00:00"/>
    <x v="2"/>
    <n v="640.40199999999993"/>
    <n v="1269.5129999999999"/>
    <x v="0"/>
    <x v="0"/>
    <x v="6"/>
    <n v="1"/>
  </r>
  <r>
    <n v="1"/>
    <d v="2019-07-01T00:00:00"/>
    <x v="0"/>
    <n v="4891.4390000000003"/>
    <n v="5499.9979999999996"/>
    <x v="0"/>
    <x v="0"/>
    <x v="6"/>
    <n v="1"/>
  </r>
  <r>
    <n v="1"/>
    <d v="2019-07-01T00:00:00"/>
    <x v="1"/>
    <n v="3588.1089999999995"/>
    <n v="0"/>
    <x v="0"/>
    <x v="0"/>
    <x v="6"/>
    <n v="1"/>
  </r>
  <r>
    <n v="1"/>
    <d v="2019-07-01T00:00:00"/>
    <x v="3"/>
    <n v="0"/>
    <n v="493.03100000000001"/>
    <x v="0"/>
    <x v="0"/>
    <x v="6"/>
    <n v="1"/>
  </r>
  <r>
    <n v="1"/>
    <d v="2019-07-02T00:00:00"/>
    <x v="0"/>
    <n v="4607.7849999999999"/>
    <n v="5006.82"/>
    <x v="0"/>
    <x v="0"/>
    <x v="6"/>
    <n v="1"/>
  </r>
  <r>
    <n v="1"/>
    <d v="2019-07-02T00:00:00"/>
    <x v="3"/>
    <n v="74.164999999999992"/>
    <n v="0"/>
    <x v="0"/>
    <x v="0"/>
    <x v="6"/>
    <n v="1"/>
  </r>
  <r>
    <n v="1"/>
    <d v="2019-07-02T00:00:00"/>
    <x v="1"/>
    <n v="3199.3149999999996"/>
    <n v="0"/>
    <x v="0"/>
    <x v="0"/>
    <x v="6"/>
    <n v="1"/>
  </r>
  <r>
    <n v="1"/>
    <d v="2019-07-02T00:00:00"/>
    <x v="2"/>
    <n v="744.41499999999996"/>
    <n v="1244.9010000000001"/>
    <x v="0"/>
    <x v="0"/>
    <x v="6"/>
    <n v="1"/>
  </r>
  <r>
    <n v="1"/>
    <d v="2019-07-03T00:00:00"/>
    <x v="3"/>
    <n v="241.577"/>
    <n v="929.4319999999999"/>
    <x v="0"/>
    <x v="0"/>
    <x v="6"/>
    <n v="1"/>
  </r>
  <r>
    <n v="1"/>
    <d v="2019-07-03T00:00:00"/>
    <x v="1"/>
    <n v="3388.3079999999995"/>
    <n v="0"/>
    <x v="0"/>
    <x v="0"/>
    <x v="6"/>
    <n v="1"/>
  </r>
  <r>
    <n v="1"/>
    <d v="2019-07-03T00:00:00"/>
    <x v="2"/>
    <n v="1078.693"/>
    <n v="1262.548"/>
    <x v="0"/>
    <x v="0"/>
    <x v="6"/>
    <n v="1"/>
  </r>
  <r>
    <n v="1"/>
    <d v="2019-07-03T00:00:00"/>
    <x v="0"/>
    <n v="4923.1909999999998"/>
    <n v="5470.7730000000001"/>
    <x v="0"/>
    <x v="0"/>
    <x v="6"/>
    <n v="1"/>
  </r>
  <r>
    <n v="1"/>
    <d v="2019-07-04T00:00:00"/>
    <x v="0"/>
    <n v="5824.8049999999994"/>
    <n v="5238.610999999999"/>
    <x v="0"/>
    <x v="0"/>
    <x v="6"/>
    <n v="1"/>
  </r>
  <r>
    <n v="1"/>
    <d v="2019-07-04T00:00:00"/>
    <x v="2"/>
    <n v="718.08799999999985"/>
    <n v="1893.4859999999999"/>
    <x v="0"/>
    <x v="0"/>
    <x v="6"/>
    <n v="1"/>
  </r>
  <r>
    <n v="1"/>
    <d v="2019-07-04T00:00:00"/>
    <x v="3"/>
    <n v="0"/>
    <n v="1040.5919999999999"/>
    <x v="0"/>
    <x v="0"/>
    <x v="6"/>
    <n v="1"/>
  </r>
  <r>
    <n v="1"/>
    <d v="2019-07-04T00:00:00"/>
    <x v="1"/>
    <n v="3046.7429999999995"/>
    <n v="0"/>
    <x v="0"/>
    <x v="0"/>
    <x v="6"/>
    <n v="1"/>
  </r>
  <r>
    <n v="1"/>
    <d v="2019-07-05T00:00:00"/>
    <x v="1"/>
    <n v="3568.2289999999998"/>
    <n v="0"/>
    <x v="0"/>
    <x v="0"/>
    <x v="6"/>
    <n v="1"/>
  </r>
  <r>
    <n v="1"/>
    <d v="2019-07-05T00:00:00"/>
    <x v="3"/>
    <n v="0"/>
    <n v="36.280999999999999"/>
    <x v="0"/>
    <x v="0"/>
    <x v="6"/>
    <n v="1"/>
  </r>
  <r>
    <n v="1"/>
    <d v="2019-07-05T00:00:00"/>
    <x v="0"/>
    <n v="4851.7769999999991"/>
    <n v="5915.9659999999994"/>
    <x v="0"/>
    <x v="0"/>
    <x v="6"/>
    <n v="1"/>
  </r>
  <r>
    <n v="1"/>
    <d v="2019-07-05T00:00:00"/>
    <x v="2"/>
    <n v="1184.883"/>
    <n v="1747.1509999999998"/>
    <x v="0"/>
    <x v="0"/>
    <x v="6"/>
    <n v="1"/>
  </r>
  <r>
    <n v="1"/>
    <d v="2019-07-06T00:00:00"/>
    <x v="2"/>
    <n v="899.12899999999991"/>
    <n v="1817.0179999999998"/>
    <x v="0"/>
    <x v="0"/>
    <x v="6"/>
    <n v="1"/>
  </r>
  <r>
    <n v="1"/>
    <d v="2019-07-06T00:00:00"/>
    <x v="0"/>
    <n v="5141.3249999999998"/>
    <n v="5686.0159999999996"/>
    <x v="0"/>
    <x v="0"/>
    <x v="6"/>
    <n v="1"/>
  </r>
  <r>
    <n v="1"/>
    <d v="2019-07-06T00:00:00"/>
    <x v="3"/>
    <n v="615.25800000000004"/>
    <n v="127.08499999999999"/>
    <x v="0"/>
    <x v="0"/>
    <x v="6"/>
    <n v="1"/>
  </r>
  <r>
    <n v="1"/>
    <d v="2019-07-06T00:00:00"/>
    <x v="1"/>
    <n v="3250.0649999999996"/>
    <n v="0"/>
    <x v="0"/>
    <x v="0"/>
    <x v="6"/>
    <n v="1"/>
  </r>
  <r>
    <n v="1"/>
    <d v="2019-07-07T00:00:00"/>
    <x v="2"/>
    <n v="164.47200000000001"/>
    <n v="413.34999999999997"/>
    <x v="0"/>
    <x v="0"/>
    <x v="6"/>
    <n v="1"/>
  </r>
  <r>
    <n v="1"/>
    <d v="2019-07-07T00:00:00"/>
    <x v="0"/>
    <n v="2583.8679999999995"/>
    <n v="3225.9359999999997"/>
    <x v="0"/>
    <x v="0"/>
    <x v="6"/>
    <n v="1"/>
  </r>
  <r>
    <n v="1"/>
    <d v="2019-07-07T00:00:00"/>
    <x v="1"/>
    <n v="1975.5889999999999"/>
    <n v="0"/>
    <x v="0"/>
    <x v="0"/>
    <x v="6"/>
    <n v="1"/>
  </r>
  <r>
    <n v="1"/>
    <d v="2019-07-07T00:00:00"/>
    <x v="3"/>
    <n v="0"/>
    <n v="2198.308"/>
    <x v="0"/>
    <x v="0"/>
    <x v="6"/>
    <n v="1"/>
  </r>
  <r>
    <n v="1"/>
    <d v="2019-07-08T00:00:00"/>
    <x v="3"/>
    <n v="12.032999999999999"/>
    <n v="307.69200000000001"/>
    <x v="0"/>
    <x v="0"/>
    <x v="6"/>
    <n v="2"/>
  </r>
  <r>
    <n v="1"/>
    <d v="2019-07-08T00:00:00"/>
    <x v="2"/>
    <n v="849.37300000000005"/>
    <n v="996.8"/>
    <x v="0"/>
    <x v="0"/>
    <x v="6"/>
    <n v="2"/>
  </r>
  <r>
    <n v="1"/>
    <d v="2019-07-08T00:00:00"/>
    <x v="0"/>
    <n v="4367.8530000000001"/>
    <n v="4660.0889999999999"/>
    <x v="0"/>
    <x v="0"/>
    <x v="6"/>
    <n v="2"/>
  </r>
  <r>
    <n v="1"/>
    <d v="2019-07-08T00:00:00"/>
    <x v="1"/>
    <n v="3412.1359999999995"/>
    <n v="0"/>
    <x v="0"/>
    <x v="0"/>
    <x v="6"/>
    <n v="2"/>
  </r>
  <r>
    <n v="1"/>
    <d v="2019-07-09T00:00:00"/>
    <x v="1"/>
    <n v="2941.6519999999996"/>
    <n v="0"/>
    <x v="0"/>
    <x v="0"/>
    <x v="6"/>
    <n v="2"/>
  </r>
  <r>
    <n v="1"/>
    <d v="2019-07-09T00:00:00"/>
    <x v="0"/>
    <n v="4519.5010000000002"/>
    <n v="4537.4349999999995"/>
    <x v="0"/>
    <x v="0"/>
    <x v="6"/>
    <n v="2"/>
  </r>
  <r>
    <n v="1"/>
    <d v="2019-07-09T00:00:00"/>
    <x v="3"/>
    <n v="0"/>
    <n v="339.35300000000001"/>
    <x v="0"/>
    <x v="0"/>
    <x v="6"/>
    <n v="2"/>
  </r>
  <r>
    <n v="1"/>
    <d v="2019-07-09T00:00:00"/>
    <x v="2"/>
    <n v="752.08699999999999"/>
    <n v="854.63"/>
    <x v="0"/>
    <x v="0"/>
    <x v="6"/>
    <n v="2"/>
  </r>
  <r>
    <n v="1"/>
    <d v="2019-07-10T00:00:00"/>
    <x v="1"/>
    <n v="3316.2570000000001"/>
    <n v="0"/>
    <x v="0"/>
    <x v="0"/>
    <x v="6"/>
    <n v="2"/>
  </r>
  <r>
    <n v="1"/>
    <d v="2019-07-10T00:00:00"/>
    <x v="3"/>
    <n v="467.71199999999993"/>
    <n v="1096.7389999999998"/>
    <x v="0"/>
    <x v="0"/>
    <x v="6"/>
    <n v="2"/>
  </r>
  <r>
    <n v="1"/>
    <d v="2019-07-10T00:00:00"/>
    <x v="2"/>
    <n v="678.2299999999999"/>
    <n v="1279.3969999999999"/>
    <x v="0"/>
    <x v="0"/>
    <x v="6"/>
    <n v="2"/>
  </r>
  <r>
    <n v="1"/>
    <d v="2019-07-10T00:00:00"/>
    <x v="0"/>
    <n v="4203.8779999999997"/>
    <n v="4856.6279999999997"/>
    <x v="0"/>
    <x v="0"/>
    <x v="6"/>
    <n v="2"/>
  </r>
  <r>
    <n v="1"/>
    <d v="2019-07-11T00:00:00"/>
    <x v="1"/>
    <n v="3603.5929999999994"/>
    <n v="0"/>
    <x v="0"/>
    <x v="0"/>
    <x v="6"/>
    <n v="2"/>
  </r>
  <r>
    <n v="1"/>
    <d v="2019-07-11T00:00:00"/>
    <x v="0"/>
    <n v="4922.12"/>
    <n v="5546.4569999999994"/>
    <x v="0"/>
    <x v="0"/>
    <x v="6"/>
    <n v="2"/>
  </r>
  <r>
    <n v="1"/>
    <d v="2019-07-11T00:00:00"/>
    <x v="2"/>
    <n v="762.94399999999996"/>
    <n v="1322.6079999999999"/>
    <x v="0"/>
    <x v="0"/>
    <x v="6"/>
    <n v="2"/>
  </r>
  <r>
    <n v="1"/>
    <d v="2019-07-11T00:00:00"/>
    <x v="3"/>
    <n v="0"/>
    <n v="1217.0269999999998"/>
    <x v="0"/>
    <x v="0"/>
    <x v="6"/>
    <n v="2"/>
  </r>
  <r>
    <n v="1"/>
    <d v="2019-07-12T00:00:00"/>
    <x v="3"/>
    <n v="0"/>
    <n v="1583.3719999999998"/>
    <x v="0"/>
    <x v="0"/>
    <x v="6"/>
    <n v="2"/>
  </r>
  <r>
    <n v="1"/>
    <d v="2019-07-12T00:00:00"/>
    <x v="0"/>
    <n v="4609.9339999999993"/>
    <n v="5272.3859999999995"/>
    <x v="0"/>
    <x v="0"/>
    <x v="6"/>
    <n v="2"/>
  </r>
  <r>
    <n v="1"/>
    <d v="2019-07-12T00:00:00"/>
    <x v="2"/>
    <n v="975.85599999999988"/>
    <n v="1757.3919999999998"/>
    <x v="0"/>
    <x v="0"/>
    <x v="6"/>
    <n v="2"/>
  </r>
  <r>
    <n v="1"/>
    <d v="2019-07-12T00:00:00"/>
    <x v="1"/>
    <n v="3628.7859999999996"/>
    <n v="0"/>
    <x v="0"/>
    <x v="0"/>
    <x v="6"/>
    <n v="2"/>
  </r>
  <r>
    <n v="1"/>
    <d v="2019-07-13T00:00:00"/>
    <x v="2"/>
    <n v="793.15599999999995"/>
    <n v="969.99699999999996"/>
    <x v="0"/>
    <x v="0"/>
    <x v="6"/>
    <n v="2"/>
  </r>
  <r>
    <n v="1"/>
    <d v="2019-07-13T00:00:00"/>
    <x v="0"/>
    <n v="5282.1439999999993"/>
    <n v="5818.9879999999994"/>
    <x v="0"/>
    <x v="0"/>
    <x v="6"/>
    <n v="2"/>
  </r>
  <r>
    <n v="1"/>
    <d v="2019-07-13T00:00:00"/>
    <x v="3"/>
    <n v="0"/>
    <n v="1370.971"/>
    <x v="0"/>
    <x v="0"/>
    <x v="6"/>
    <n v="2"/>
  </r>
  <r>
    <n v="1"/>
    <d v="2019-07-13T00:00:00"/>
    <x v="1"/>
    <n v="3176.0679999999998"/>
    <n v="0"/>
    <x v="0"/>
    <x v="0"/>
    <x v="6"/>
    <n v="2"/>
  </r>
  <r>
    <n v="1"/>
    <d v="2019-07-14T00:00:00"/>
    <x v="3"/>
    <n v="57.036000000000001"/>
    <n v="0"/>
    <x v="0"/>
    <x v="0"/>
    <x v="6"/>
    <n v="2"/>
  </r>
  <r>
    <n v="1"/>
    <d v="2019-07-14T00:00:00"/>
    <x v="0"/>
    <n v="2297.5050000000001"/>
    <n v="2928.66"/>
    <x v="0"/>
    <x v="0"/>
    <x v="6"/>
    <n v="2"/>
  </r>
  <r>
    <n v="1"/>
    <d v="2019-07-14T00:00:00"/>
    <x v="1"/>
    <n v="2098.5369999999998"/>
    <n v="0"/>
    <x v="0"/>
    <x v="0"/>
    <x v="6"/>
    <n v="2"/>
  </r>
  <r>
    <n v="1"/>
    <d v="2019-07-14T00:00:00"/>
    <x v="2"/>
    <n v="288.65899999999999"/>
    <n v="419.79"/>
    <x v="0"/>
    <x v="0"/>
    <x v="6"/>
    <n v="2"/>
  </r>
  <r>
    <n v="1"/>
    <d v="2019-07-15T00:00:00"/>
    <x v="3"/>
    <n v="0"/>
    <n v="2118.732"/>
    <x v="0"/>
    <x v="0"/>
    <x v="6"/>
    <n v="3"/>
  </r>
  <r>
    <n v="1"/>
    <d v="2019-07-15T00:00:00"/>
    <x v="2"/>
    <n v="789.99899999999991"/>
    <n v="1183.3150000000001"/>
    <x v="0"/>
    <x v="0"/>
    <x v="6"/>
    <n v="3"/>
  </r>
  <r>
    <n v="1"/>
    <d v="2019-07-15T00:00:00"/>
    <x v="0"/>
    <n v="4995.1790000000001"/>
    <n v="4806.5989999999993"/>
    <x v="0"/>
    <x v="0"/>
    <x v="6"/>
    <n v="3"/>
  </r>
  <r>
    <n v="1"/>
    <d v="2019-07-15T00:00:00"/>
    <x v="1"/>
    <n v="3091.4169999999999"/>
    <n v="0"/>
    <x v="0"/>
    <x v="0"/>
    <x v="6"/>
    <n v="3"/>
  </r>
  <r>
    <n v="1"/>
    <d v="2019-07-16T00:00:00"/>
    <x v="1"/>
    <n v="3386.1869999999999"/>
    <n v="0"/>
    <x v="0"/>
    <x v="0"/>
    <x v="6"/>
    <n v="3"/>
  </r>
  <r>
    <n v="1"/>
    <d v="2019-07-16T00:00:00"/>
    <x v="2"/>
    <n v="804.71999999999991"/>
    <n v="1298.2760000000001"/>
    <x v="0"/>
    <x v="0"/>
    <x v="6"/>
    <n v="3"/>
  </r>
  <r>
    <n v="1"/>
    <d v="2019-07-16T00:00:00"/>
    <x v="0"/>
    <n v="4279.9189999999999"/>
    <n v="4724.2649999999994"/>
    <x v="0"/>
    <x v="0"/>
    <x v="6"/>
    <n v="3"/>
  </r>
  <r>
    <n v="1"/>
    <d v="2019-07-16T00:00:00"/>
    <x v="3"/>
    <n v="11.605999999999998"/>
    <n v="466.76699999999994"/>
    <x v="0"/>
    <x v="0"/>
    <x v="6"/>
    <n v="3"/>
  </r>
  <r>
    <n v="1"/>
    <d v="2019-07-17T00:00:00"/>
    <x v="1"/>
    <n v="2974.1179999999995"/>
    <n v="0"/>
    <x v="0"/>
    <x v="0"/>
    <x v="6"/>
    <n v="3"/>
  </r>
  <r>
    <n v="1"/>
    <d v="2019-07-17T00:00:00"/>
    <x v="2"/>
    <n v="843.822"/>
    <n v="1271.172"/>
    <x v="0"/>
    <x v="0"/>
    <x v="6"/>
    <n v="3"/>
  </r>
  <r>
    <n v="1"/>
    <d v="2019-07-17T00:00:00"/>
    <x v="0"/>
    <n v="3884.8879999999999"/>
    <n v="5002.9070000000002"/>
    <x v="0"/>
    <x v="0"/>
    <x v="6"/>
    <n v="3"/>
  </r>
  <r>
    <n v="1"/>
    <d v="2019-07-17T00:00:00"/>
    <x v="3"/>
    <n v="0"/>
    <n v="4208.0149999999994"/>
    <x v="0"/>
    <x v="0"/>
    <x v="6"/>
    <n v="3"/>
  </r>
  <r>
    <n v="1"/>
    <d v="2019-07-18T00:00:00"/>
    <x v="2"/>
    <n v="975.31"/>
    <n v="894.94299999999998"/>
    <x v="0"/>
    <x v="0"/>
    <x v="6"/>
    <n v="3"/>
  </r>
  <r>
    <n v="1"/>
    <d v="2019-07-18T00:00:00"/>
    <x v="0"/>
    <n v="4136.7060000000001"/>
    <n v="5139.8619999999992"/>
    <x v="0"/>
    <x v="0"/>
    <x v="6"/>
    <n v="3"/>
  </r>
  <r>
    <n v="1"/>
    <d v="2019-07-18T00:00:00"/>
    <x v="1"/>
    <n v="3550.0569999999998"/>
    <n v="0"/>
    <x v="0"/>
    <x v="0"/>
    <x v="6"/>
    <n v="3"/>
  </r>
  <r>
    <n v="1"/>
    <d v="2019-07-18T00:00:00"/>
    <x v="3"/>
    <n v="16.009"/>
    <n v="1758.4979999999998"/>
    <x v="0"/>
    <x v="0"/>
    <x v="6"/>
    <n v="3"/>
  </r>
  <r>
    <n v="1"/>
    <d v="2019-07-19T00:00:00"/>
    <x v="3"/>
    <n v="104.342"/>
    <n v="2622.585"/>
    <x v="0"/>
    <x v="0"/>
    <x v="6"/>
    <n v="3"/>
  </r>
  <r>
    <n v="1"/>
    <d v="2019-07-19T00:00:00"/>
    <x v="0"/>
    <n v="5156.9070000000002"/>
    <n v="6362.6570000000002"/>
    <x v="0"/>
    <x v="0"/>
    <x v="6"/>
    <n v="3"/>
  </r>
  <r>
    <n v="1"/>
    <d v="2019-07-19T00:00:00"/>
    <x v="1"/>
    <n v="3862.2989999999995"/>
    <n v="0"/>
    <x v="0"/>
    <x v="0"/>
    <x v="6"/>
    <n v="3"/>
  </r>
  <r>
    <n v="1"/>
    <d v="2019-07-19T00:00:00"/>
    <x v="2"/>
    <n v="1570.471"/>
    <n v="2476.2639999999997"/>
    <x v="0"/>
    <x v="0"/>
    <x v="6"/>
    <n v="3"/>
  </r>
  <r>
    <n v="1"/>
    <d v="2019-07-20T00:00:00"/>
    <x v="2"/>
    <n v="1065.127"/>
    <n v="1219.078"/>
    <x v="0"/>
    <x v="0"/>
    <x v="6"/>
    <n v="3"/>
  </r>
  <r>
    <n v="1"/>
    <d v="2019-07-20T00:00:00"/>
    <x v="0"/>
    <n v="4723.9989999999998"/>
    <n v="5835.7530000000006"/>
    <x v="0"/>
    <x v="0"/>
    <x v="6"/>
    <n v="3"/>
  </r>
  <r>
    <n v="1"/>
    <d v="2019-07-20T00:00:00"/>
    <x v="3"/>
    <n v="45.751999999999995"/>
    <n v="734.3"/>
    <x v="0"/>
    <x v="0"/>
    <x v="6"/>
    <n v="3"/>
  </r>
  <r>
    <n v="1"/>
    <d v="2019-07-20T00:00:00"/>
    <x v="1"/>
    <n v="2860.2350000000001"/>
    <n v="0"/>
    <x v="0"/>
    <x v="0"/>
    <x v="6"/>
    <n v="3"/>
  </r>
  <r>
    <n v="1"/>
    <d v="2019-07-21T00:00:00"/>
    <x v="0"/>
    <n v="3150.07"/>
    <n v="2837.9469999999997"/>
    <x v="0"/>
    <x v="0"/>
    <x v="6"/>
    <n v="3"/>
  </r>
  <r>
    <n v="1"/>
    <d v="2019-07-21T00:00:00"/>
    <x v="3"/>
    <n v="0"/>
    <n v="216.92299999999997"/>
    <x v="0"/>
    <x v="0"/>
    <x v="6"/>
    <n v="3"/>
  </r>
  <r>
    <n v="1"/>
    <d v="2019-07-21T00:00:00"/>
    <x v="1"/>
    <n v="1908.2349999999999"/>
    <n v="0"/>
    <x v="0"/>
    <x v="0"/>
    <x v="6"/>
    <n v="3"/>
  </r>
  <r>
    <n v="1"/>
    <d v="2019-07-21T00:00:00"/>
    <x v="2"/>
    <n v="283.262"/>
    <n v="308.50400000000002"/>
    <x v="0"/>
    <x v="0"/>
    <x v="6"/>
    <n v="3"/>
  </r>
  <r>
    <n v="1"/>
    <d v="2019-07-22T00:00:00"/>
    <x v="1"/>
    <n v="3161.2980000000002"/>
    <n v="0"/>
    <x v="0"/>
    <x v="0"/>
    <x v="6"/>
    <n v="4"/>
  </r>
  <r>
    <n v="1"/>
    <d v="2019-07-22T00:00:00"/>
    <x v="3"/>
    <n v="80.065999999999988"/>
    <n v="131.642"/>
    <x v="0"/>
    <x v="0"/>
    <x v="6"/>
    <n v="4"/>
  </r>
  <r>
    <n v="1"/>
    <d v="2019-07-22T00:00:00"/>
    <x v="0"/>
    <n v="4731.951"/>
    <n v="5241.8519999999999"/>
    <x v="0"/>
    <x v="0"/>
    <x v="6"/>
    <n v="4"/>
  </r>
  <r>
    <n v="1"/>
    <d v="2019-07-22T00:00:00"/>
    <x v="2"/>
    <n v="725.44499999999994"/>
    <n v="843.73799999999994"/>
    <x v="0"/>
    <x v="0"/>
    <x v="6"/>
    <n v="4"/>
  </r>
  <r>
    <n v="1"/>
    <d v="2019-07-23T00:00:00"/>
    <x v="2"/>
    <n v="849.15599999999995"/>
    <n v="1961.7359999999999"/>
    <x v="0"/>
    <x v="0"/>
    <x v="6"/>
    <n v="4"/>
  </r>
  <r>
    <n v="1"/>
    <d v="2019-07-23T00:00:00"/>
    <x v="0"/>
    <n v="3958.8429999999994"/>
    <n v="6193.4249999999993"/>
    <x v="0"/>
    <x v="0"/>
    <x v="6"/>
    <n v="4"/>
  </r>
  <r>
    <n v="1"/>
    <d v="2019-07-23T00:00:00"/>
    <x v="3"/>
    <n v="0"/>
    <n v="241.91299999999995"/>
    <x v="0"/>
    <x v="0"/>
    <x v="6"/>
    <n v="4"/>
  </r>
  <r>
    <n v="1"/>
    <d v="2019-07-23T00:00:00"/>
    <x v="1"/>
    <n v="2884.9450000000002"/>
    <n v="0"/>
    <x v="0"/>
    <x v="0"/>
    <x v="6"/>
    <n v="4"/>
  </r>
  <r>
    <n v="1"/>
    <d v="2019-07-24T00:00:00"/>
    <x v="2"/>
    <n v="809.54300000000001"/>
    <n v="1046.6399999999999"/>
    <x v="0"/>
    <x v="0"/>
    <x v="6"/>
    <n v="4"/>
  </r>
  <r>
    <n v="1"/>
    <d v="2019-07-24T00:00:00"/>
    <x v="1"/>
    <n v="3442.0049999999997"/>
    <n v="0"/>
    <x v="0"/>
    <x v="0"/>
    <x v="6"/>
    <n v="4"/>
  </r>
  <r>
    <n v="1"/>
    <d v="2019-07-24T00:00:00"/>
    <x v="3"/>
    <n v="174.85999999999999"/>
    <n v="1524.999"/>
    <x v="0"/>
    <x v="0"/>
    <x v="6"/>
    <n v="4"/>
  </r>
  <r>
    <n v="1"/>
    <d v="2019-07-24T00:00:00"/>
    <x v="0"/>
    <n v="5502.5879999999997"/>
    <n v="5159.9309999999996"/>
    <x v="0"/>
    <x v="0"/>
    <x v="6"/>
    <n v="4"/>
  </r>
  <r>
    <n v="1"/>
    <d v="2019-07-25T00:00:00"/>
    <x v="2"/>
    <n v="951.46799999999996"/>
    <n v="1014.8809999999999"/>
    <x v="0"/>
    <x v="0"/>
    <x v="6"/>
    <n v="4"/>
  </r>
  <r>
    <n v="1"/>
    <d v="2019-07-25T00:00:00"/>
    <x v="0"/>
    <n v="4369.9390000000003"/>
    <n v="4927.16"/>
    <x v="0"/>
    <x v="0"/>
    <x v="6"/>
    <n v="4"/>
  </r>
  <r>
    <n v="1"/>
    <d v="2019-07-25T00:00:00"/>
    <x v="3"/>
    <n v="519.04300000000001"/>
    <n v="271.58600000000001"/>
    <x v="0"/>
    <x v="0"/>
    <x v="6"/>
    <n v="4"/>
  </r>
  <r>
    <n v="1"/>
    <d v="2019-07-25T00:00:00"/>
    <x v="1"/>
    <n v="3229.0859999999993"/>
    <n v="0"/>
    <x v="0"/>
    <x v="0"/>
    <x v="6"/>
    <n v="4"/>
  </r>
  <r>
    <n v="1"/>
    <d v="2019-07-26T00:00:00"/>
    <x v="1"/>
    <n v="3943.982"/>
    <n v="0"/>
    <x v="0"/>
    <x v="0"/>
    <x v="6"/>
    <n v="4"/>
  </r>
  <r>
    <n v="1"/>
    <d v="2019-07-26T00:00:00"/>
    <x v="0"/>
    <n v="4687.4799999999996"/>
    <n v="6191.2830000000004"/>
    <x v="0"/>
    <x v="0"/>
    <x v="6"/>
    <n v="4"/>
  </r>
  <r>
    <n v="1"/>
    <d v="2019-07-26T00:00:00"/>
    <x v="3"/>
    <n v="361.34000000000003"/>
    <n v="1446.1229999999998"/>
    <x v="0"/>
    <x v="0"/>
    <x v="6"/>
    <n v="4"/>
  </r>
  <r>
    <n v="1"/>
    <d v="2019-07-26T00:00:00"/>
    <x v="2"/>
    <n v="1059.2819999999999"/>
    <n v="1714.258"/>
    <x v="0"/>
    <x v="0"/>
    <x v="6"/>
    <n v="4"/>
  </r>
  <r>
    <n v="1"/>
    <d v="2019-07-27T00:00:00"/>
    <x v="2"/>
    <n v="678.279"/>
    <n v="1145.1579999999999"/>
    <x v="0"/>
    <x v="0"/>
    <x v="6"/>
    <n v="4"/>
  </r>
  <r>
    <n v="1"/>
    <d v="2019-07-27T00:00:00"/>
    <x v="1"/>
    <n v="3502.1909999999998"/>
    <n v="0"/>
    <x v="0"/>
    <x v="0"/>
    <x v="6"/>
    <n v="4"/>
  </r>
  <r>
    <n v="1"/>
    <d v="2019-07-27T00:00:00"/>
    <x v="0"/>
    <n v="4389.665"/>
    <n v="5182.2889999999998"/>
    <x v="0"/>
    <x v="0"/>
    <x v="6"/>
    <n v="4"/>
  </r>
  <r>
    <n v="1"/>
    <d v="2019-07-27T00:00:00"/>
    <x v="3"/>
    <n v="226.94699999999997"/>
    <n v="448.03499999999997"/>
    <x v="0"/>
    <x v="0"/>
    <x v="6"/>
    <n v="4"/>
  </r>
  <r>
    <n v="1"/>
    <d v="2019-07-28T00:00:00"/>
    <x v="0"/>
    <n v="2742.5859999999998"/>
    <n v="3109.3929999999996"/>
    <x v="0"/>
    <x v="0"/>
    <x v="6"/>
    <n v="4"/>
  </r>
  <r>
    <n v="1"/>
    <d v="2019-07-28T00:00:00"/>
    <x v="3"/>
    <n v="0"/>
    <n v="243.03999999999996"/>
    <x v="0"/>
    <x v="0"/>
    <x v="6"/>
    <n v="4"/>
  </r>
  <r>
    <n v="1"/>
    <d v="2019-07-28T00:00:00"/>
    <x v="1"/>
    <n v="2172.9539999999997"/>
    <n v="0"/>
    <x v="0"/>
    <x v="0"/>
    <x v="6"/>
    <n v="4"/>
  </r>
  <r>
    <n v="1"/>
    <d v="2019-07-28T00:00:00"/>
    <x v="2"/>
    <n v="387.88399999999996"/>
    <n v="414.28100000000001"/>
    <x v="0"/>
    <x v="0"/>
    <x v="6"/>
    <n v="4"/>
  </r>
  <r>
    <n v="1"/>
    <d v="2019-07-29T00:00:00"/>
    <x v="0"/>
    <n v="4439.8619999999992"/>
    <n v="4351.0179999999991"/>
    <x v="0"/>
    <x v="0"/>
    <x v="7"/>
    <n v="1"/>
  </r>
  <r>
    <n v="1"/>
    <d v="2019-07-29T00:00:00"/>
    <x v="2"/>
    <n v="879.87199999999996"/>
    <n v="1566.25"/>
    <x v="0"/>
    <x v="0"/>
    <x v="7"/>
    <n v="1"/>
  </r>
  <r>
    <n v="1"/>
    <d v="2019-07-29T00:00:00"/>
    <x v="3"/>
    <n v="0"/>
    <n v="1140.3139999999999"/>
    <x v="0"/>
    <x v="0"/>
    <x v="7"/>
    <n v="1"/>
  </r>
  <r>
    <n v="1"/>
    <d v="2019-07-29T00:00:00"/>
    <x v="1"/>
    <n v="3366.2579999999994"/>
    <n v="0"/>
    <x v="0"/>
    <x v="0"/>
    <x v="7"/>
    <n v="1"/>
  </r>
  <r>
    <n v="1"/>
    <d v="2019-07-30T00:00:00"/>
    <x v="0"/>
    <n v="3325.5179999999996"/>
    <n v="4358.2910000000002"/>
    <x v="0"/>
    <x v="0"/>
    <x v="7"/>
    <n v="1"/>
  </r>
  <r>
    <n v="1"/>
    <d v="2019-07-30T00:00:00"/>
    <x v="2"/>
    <n v="621.76799999999992"/>
    <n v="1090.4669999999999"/>
    <x v="0"/>
    <x v="0"/>
    <x v="7"/>
    <n v="1"/>
  </r>
  <r>
    <n v="1"/>
    <d v="2019-07-30T00:00:00"/>
    <x v="1"/>
    <n v="3408.6429999999996"/>
    <n v="0"/>
    <x v="0"/>
    <x v="0"/>
    <x v="7"/>
    <n v="1"/>
  </r>
  <r>
    <n v="1"/>
    <d v="2019-07-30T00:00:00"/>
    <x v="3"/>
    <n v="281.00099999999998"/>
    <n v="1428.2660000000001"/>
    <x v="0"/>
    <x v="0"/>
    <x v="7"/>
    <n v="1"/>
  </r>
  <r>
    <n v="1"/>
    <d v="2019-07-31T00:00:00"/>
    <x v="0"/>
    <n v="4460.4559999999992"/>
    <n v="4735.4019999999991"/>
    <x v="0"/>
    <x v="0"/>
    <x v="7"/>
    <n v="1"/>
  </r>
  <r>
    <n v="1"/>
    <d v="2019-07-31T00:00:00"/>
    <x v="2"/>
    <n v="1112.4259999999999"/>
    <n v="899.52099999999996"/>
    <x v="0"/>
    <x v="0"/>
    <x v="7"/>
    <n v="1"/>
  </r>
  <r>
    <n v="1"/>
    <d v="2019-07-31T00:00:00"/>
    <x v="1"/>
    <n v="3745.413"/>
    <n v="0"/>
    <x v="0"/>
    <x v="0"/>
    <x v="7"/>
    <n v="1"/>
  </r>
  <r>
    <n v="1"/>
    <d v="2019-07-31T00:00:00"/>
    <x v="3"/>
    <n v="166.78899999999999"/>
    <n v="375.02499999999998"/>
    <x v="0"/>
    <x v="0"/>
    <x v="7"/>
    <n v="1"/>
  </r>
  <r>
    <n v="1"/>
    <d v="2019-08-01T00:00:00"/>
    <x v="3"/>
    <n v="461.96499999999997"/>
    <n v="158.00399999999999"/>
    <x v="0"/>
    <x v="0"/>
    <x v="7"/>
    <n v="1"/>
  </r>
  <r>
    <n v="1"/>
    <d v="2019-08-01T00:00:00"/>
    <x v="0"/>
    <n v="4334.6170000000002"/>
    <n v="5095.5450000000001"/>
    <x v="0"/>
    <x v="0"/>
    <x v="7"/>
    <n v="1"/>
  </r>
  <r>
    <n v="1"/>
    <d v="2019-08-01T00:00:00"/>
    <x v="1"/>
    <n v="3243.3379999999997"/>
    <n v="0"/>
    <x v="0"/>
    <x v="0"/>
    <x v="7"/>
    <n v="1"/>
  </r>
  <r>
    <n v="1"/>
    <d v="2019-08-01T00:00:00"/>
    <x v="2"/>
    <n v="687.673"/>
    <n v="1136.8489999999999"/>
    <x v="0"/>
    <x v="0"/>
    <x v="7"/>
    <n v="1"/>
  </r>
  <r>
    <n v="1"/>
    <d v="2019-08-02T00:00:00"/>
    <x v="2"/>
    <n v="1126.636"/>
    <n v="1825.8589999999997"/>
    <x v="0"/>
    <x v="0"/>
    <x v="7"/>
    <n v="1"/>
  </r>
  <r>
    <n v="1"/>
    <d v="2019-08-02T00:00:00"/>
    <x v="0"/>
    <n v="5193.5239999999994"/>
    <n v="6123.9849999999988"/>
    <x v="0"/>
    <x v="0"/>
    <x v="7"/>
    <n v="1"/>
  </r>
  <r>
    <n v="1"/>
    <d v="2019-08-02T00:00:00"/>
    <x v="1"/>
    <n v="3787.1119999999996"/>
    <n v="0"/>
    <x v="0"/>
    <x v="0"/>
    <x v="7"/>
    <n v="1"/>
  </r>
  <r>
    <n v="1"/>
    <d v="2019-08-02T00:00:00"/>
    <x v="3"/>
    <n v="905.46399999999994"/>
    <n v="557.71100000000001"/>
    <x v="0"/>
    <x v="0"/>
    <x v="7"/>
    <n v="1"/>
  </r>
  <r>
    <n v="1"/>
    <d v="2019-08-03T00:00:00"/>
    <x v="2"/>
    <n v="865.01799999999992"/>
    <n v="1010.8489999999999"/>
    <x v="0"/>
    <x v="0"/>
    <x v="7"/>
    <n v="1"/>
  </r>
  <r>
    <n v="1"/>
    <d v="2019-08-03T00:00:00"/>
    <x v="0"/>
    <n v="4893.3149999999996"/>
    <n v="5520.6480000000001"/>
    <x v="0"/>
    <x v="0"/>
    <x v="7"/>
    <n v="1"/>
  </r>
  <r>
    <n v="1"/>
    <d v="2019-08-03T00:00:00"/>
    <x v="3"/>
    <n v="135.63900000000001"/>
    <n v="46.283999999999999"/>
    <x v="0"/>
    <x v="0"/>
    <x v="7"/>
    <n v="1"/>
  </r>
  <r>
    <n v="1"/>
    <d v="2019-08-03T00:00:00"/>
    <x v="1"/>
    <n v="3873.66"/>
    <n v="0"/>
    <x v="0"/>
    <x v="0"/>
    <x v="7"/>
    <n v="1"/>
  </r>
  <r>
    <n v="1"/>
    <d v="2019-08-04T00:00:00"/>
    <x v="0"/>
    <n v="2708.797"/>
    <n v="2149.5809999999997"/>
    <x v="0"/>
    <x v="0"/>
    <x v="7"/>
    <n v="1"/>
  </r>
  <r>
    <n v="1"/>
    <d v="2019-08-04T00:00:00"/>
    <x v="3"/>
    <n v="0"/>
    <n v="183.57499999999999"/>
    <x v="0"/>
    <x v="0"/>
    <x v="7"/>
    <n v="1"/>
  </r>
  <r>
    <n v="1"/>
    <d v="2019-08-04T00:00:00"/>
    <x v="2"/>
    <n v="110.73999999999998"/>
    <n v="473.2"/>
    <x v="0"/>
    <x v="0"/>
    <x v="7"/>
    <n v="1"/>
  </r>
  <r>
    <n v="1"/>
    <d v="2019-08-04T00:00:00"/>
    <x v="1"/>
    <n v="1941.9889999999998"/>
    <n v="0"/>
    <x v="0"/>
    <x v="0"/>
    <x v="7"/>
    <n v="1"/>
  </r>
  <r>
    <n v="1"/>
    <d v="2019-08-05T00:00:00"/>
    <x v="3"/>
    <n v="66.78"/>
    <n v="1990.569"/>
    <x v="0"/>
    <x v="0"/>
    <x v="7"/>
    <n v="2"/>
  </r>
  <r>
    <n v="1"/>
    <d v="2019-08-05T00:00:00"/>
    <x v="0"/>
    <n v="4372.4799999999996"/>
    <n v="4316.5640000000003"/>
    <x v="0"/>
    <x v="0"/>
    <x v="7"/>
    <n v="2"/>
  </r>
  <r>
    <n v="1"/>
    <d v="2019-08-05T00:00:00"/>
    <x v="2"/>
    <n v="858.43099999999993"/>
    <n v="1016.568"/>
    <x v="0"/>
    <x v="0"/>
    <x v="7"/>
    <n v="2"/>
  </r>
  <r>
    <n v="1"/>
    <d v="2019-08-05T00:00:00"/>
    <x v="1"/>
    <n v="3052.7069999999999"/>
    <n v="0"/>
    <x v="0"/>
    <x v="0"/>
    <x v="7"/>
    <n v="2"/>
  </r>
  <r>
    <n v="1"/>
    <d v="2019-08-06T00:00:00"/>
    <x v="0"/>
    <n v="4017.8109999999992"/>
    <n v="4872.6019999999999"/>
    <x v="0"/>
    <x v="0"/>
    <x v="7"/>
    <n v="2"/>
  </r>
  <r>
    <n v="1"/>
    <d v="2019-08-06T00:00:00"/>
    <x v="3"/>
    <n v="32.150999999999996"/>
    <n v="874.19499999999994"/>
    <x v="0"/>
    <x v="0"/>
    <x v="7"/>
    <n v="2"/>
  </r>
  <r>
    <n v="1"/>
    <d v="2019-08-06T00:00:00"/>
    <x v="2"/>
    <n v="688.51300000000003"/>
    <n v="1200.9690000000001"/>
    <x v="0"/>
    <x v="0"/>
    <x v="7"/>
    <n v="2"/>
  </r>
  <r>
    <n v="1"/>
    <d v="2019-08-06T00:00:00"/>
    <x v="1"/>
    <n v="3164.4969999999998"/>
    <n v="0"/>
    <x v="0"/>
    <x v="0"/>
    <x v="7"/>
    <n v="2"/>
  </r>
  <r>
    <n v="1"/>
    <d v="2019-08-07T00:00:00"/>
    <x v="2"/>
    <n v="882.56699999999989"/>
    <n v="852.23599999999999"/>
    <x v="0"/>
    <x v="0"/>
    <x v="7"/>
    <n v="2"/>
  </r>
  <r>
    <n v="1"/>
    <d v="2019-08-07T00:00:00"/>
    <x v="3"/>
    <n v="0"/>
    <n v="460.411"/>
    <x v="0"/>
    <x v="0"/>
    <x v="7"/>
    <n v="2"/>
  </r>
  <r>
    <n v="1"/>
    <d v="2019-08-07T00:00:00"/>
    <x v="0"/>
    <n v="4227.4119999999994"/>
    <n v="4376.7290000000003"/>
    <x v="0"/>
    <x v="0"/>
    <x v="7"/>
    <n v="2"/>
  </r>
  <r>
    <n v="1"/>
    <d v="2019-08-07T00:00:00"/>
    <x v="1"/>
    <n v="3530.2539999999999"/>
    <n v="0"/>
    <x v="0"/>
    <x v="0"/>
    <x v="7"/>
    <n v="2"/>
  </r>
  <r>
    <n v="1"/>
    <d v="2019-08-08T00:00:00"/>
    <x v="0"/>
    <n v="3894.0369999999998"/>
    <n v="4457.8519999999999"/>
    <x v="0"/>
    <x v="0"/>
    <x v="7"/>
    <n v="2"/>
  </r>
  <r>
    <n v="1"/>
    <d v="2019-08-08T00:00:00"/>
    <x v="1"/>
    <n v="3405.8009999999999"/>
    <n v="0"/>
    <x v="0"/>
    <x v="0"/>
    <x v="7"/>
    <n v="2"/>
  </r>
  <r>
    <n v="1"/>
    <d v="2019-08-08T00:00:00"/>
    <x v="2"/>
    <n v="524.27200000000005"/>
    <n v="1191.4839999999999"/>
    <x v="0"/>
    <x v="0"/>
    <x v="7"/>
    <n v="2"/>
  </r>
  <r>
    <n v="1"/>
    <d v="2019-08-08T00:00:00"/>
    <x v="3"/>
    <n v="43.077999999999996"/>
    <n v="1674.694"/>
    <x v="0"/>
    <x v="0"/>
    <x v="7"/>
    <n v="2"/>
  </r>
  <r>
    <n v="1"/>
    <d v="2019-08-09T00:00:00"/>
    <x v="2"/>
    <n v="1037.8059999999998"/>
    <n v="1969.0159999999998"/>
    <x v="0"/>
    <x v="0"/>
    <x v="7"/>
    <n v="2"/>
  </r>
  <r>
    <n v="1"/>
    <d v="2019-08-09T00:00:00"/>
    <x v="0"/>
    <n v="5054.0349999999999"/>
    <n v="5117.2169999999996"/>
    <x v="0"/>
    <x v="0"/>
    <x v="7"/>
    <n v="2"/>
  </r>
  <r>
    <n v="1"/>
    <d v="2019-08-09T00:00:00"/>
    <x v="3"/>
    <n v="0"/>
    <n v="1567.7059999999999"/>
    <x v="0"/>
    <x v="0"/>
    <x v="7"/>
    <n v="2"/>
  </r>
  <r>
    <n v="1"/>
    <d v="2019-08-09T00:00:00"/>
    <x v="1"/>
    <n v="3802.0009999999997"/>
    <n v="0"/>
    <x v="0"/>
    <x v="0"/>
    <x v="7"/>
    <n v="2"/>
  </r>
  <r>
    <n v="1"/>
    <d v="2019-08-10T00:00:00"/>
    <x v="2"/>
    <n v="828.05799999999999"/>
    <n v="1204.721"/>
    <x v="0"/>
    <x v="0"/>
    <x v="7"/>
    <n v="2"/>
  </r>
  <r>
    <n v="1"/>
    <d v="2019-08-10T00:00:00"/>
    <x v="1"/>
    <n v="3367.5459999999998"/>
    <n v="0"/>
    <x v="0"/>
    <x v="0"/>
    <x v="7"/>
    <n v="2"/>
  </r>
  <r>
    <n v="1"/>
    <d v="2019-08-10T00:00:00"/>
    <x v="3"/>
    <n v="0"/>
    <n v="257.005"/>
    <x v="0"/>
    <x v="0"/>
    <x v="7"/>
    <n v="2"/>
  </r>
  <r>
    <n v="1"/>
    <d v="2019-08-10T00:00:00"/>
    <x v="0"/>
    <n v="5178.7679999999991"/>
    <n v="5423.8309999999992"/>
    <x v="0"/>
    <x v="0"/>
    <x v="7"/>
    <n v="2"/>
  </r>
  <r>
    <n v="1"/>
    <d v="2019-08-11T00:00:00"/>
    <x v="2"/>
    <n v="294.82599999999996"/>
    <n v="444.87099999999998"/>
    <x v="0"/>
    <x v="0"/>
    <x v="7"/>
    <n v="2"/>
  </r>
  <r>
    <n v="1"/>
    <d v="2019-08-11T00:00:00"/>
    <x v="0"/>
    <n v="2770.6349999999998"/>
    <n v="2834.8109999999997"/>
    <x v="0"/>
    <x v="0"/>
    <x v="7"/>
    <n v="2"/>
  </r>
  <r>
    <n v="1"/>
    <d v="2019-08-11T00:00:00"/>
    <x v="1"/>
    <n v="2097.172"/>
    <n v="0"/>
    <x v="0"/>
    <x v="0"/>
    <x v="7"/>
    <n v="2"/>
  </r>
  <r>
    <n v="1"/>
    <d v="2019-08-11T00:00:00"/>
    <x v="3"/>
    <n v="0"/>
    <n v="269.85699999999997"/>
    <x v="0"/>
    <x v="0"/>
    <x v="7"/>
    <n v="2"/>
  </r>
  <r>
    <n v="1"/>
    <d v="2019-08-12T00:00:00"/>
    <x v="2"/>
    <n v="720.51699999999994"/>
    <n v="1454.3759999999997"/>
    <x v="0"/>
    <x v="0"/>
    <x v="7"/>
    <n v="3"/>
  </r>
  <r>
    <n v="1"/>
    <d v="2019-08-12T00:00:00"/>
    <x v="0"/>
    <n v="3928.7429999999995"/>
    <n v="4651.6260000000002"/>
    <x v="0"/>
    <x v="0"/>
    <x v="7"/>
    <n v="3"/>
  </r>
  <r>
    <n v="1"/>
    <d v="2019-08-12T00:00:00"/>
    <x v="1"/>
    <n v="3097.4089999999997"/>
    <n v="0"/>
    <x v="0"/>
    <x v="0"/>
    <x v="7"/>
    <n v="3"/>
  </r>
  <r>
    <n v="1"/>
    <d v="2019-08-12T00:00:00"/>
    <x v="3"/>
    <n v="365.81299999999999"/>
    <n v="936.14499999999987"/>
    <x v="0"/>
    <x v="0"/>
    <x v="7"/>
    <n v="3"/>
  </r>
  <r>
    <n v="1"/>
    <d v="2019-08-13T00:00:00"/>
    <x v="0"/>
    <n v="4837.3499999999995"/>
    <n v="5666.99"/>
    <x v="0"/>
    <x v="0"/>
    <x v="7"/>
    <n v="3"/>
  </r>
  <r>
    <n v="1"/>
    <d v="2019-08-13T00:00:00"/>
    <x v="3"/>
    <n v="155.04999999999998"/>
    <n v="0"/>
    <x v="0"/>
    <x v="0"/>
    <x v="7"/>
    <n v="3"/>
  </r>
  <r>
    <n v="1"/>
    <d v="2019-08-13T00:00:00"/>
    <x v="1"/>
    <n v="3616.0949999999998"/>
    <n v="0"/>
    <x v="0"/>
    <x v="0"/>
    <x v="7"/>
    <n v="3"/>
  </r>
  <r>
    <n v="1"/>
    <d v="2019-08-13T00:00:00"/>
    <x v="2"/>
    <n v="701.07099999999991"/>
    <n v="1575.7839999999999"/>
    <x v="0"/>
    <x v="0"/>
    <x v="7"/>
    <n v="3"/>
  </r>
  <r>
    <n v="1"/>
    <d v="2019-08-14T00:00:00"/>
    <x v="2"/>
    <n v="645.37900000000002"/>
    <n v="1427.2929999999999"/>
    <x v="0"/>
    <x v="0"/>
    <x v="7"/>
    <n v="3"/>
  </r>
  <r>
    <n v="1"/>
    <d v="2019-08-14T00:00:00"/>
    <x v="3"/>
    <n v="18.186"/>
    <n v="554.61699999999996"/>
    <x v="0"/>
    <x v="0"/>
    <x v="7"/>
    <n v="3"/>
  </r>
  <r>
    <n v="1"/>
    <d v="2019-08-14T00:00:00"/>
    <x v="0"/>
    <n v="4192.9719999999998"/>
    <n v="5045.866"/>
    <x v="0"/>
    <x v="0"/>
    <x v="7"/>
    <n v="3"/>
  </r>
  <r>
    <n v="1"/>
    <d v="2019-08-14T00:00:00"/>
    <x v="1"/>
    <n v="3324.1039999999998"/>
    <n v="0"/>
    <x v="0"/>
    <x v="0"/>
    <x v="7"/>
    <n v="3"/>
  </r>
  <r>
    <n v="1"/>
    <d v="2019-08-15T00:00:00"/>
    <x v="0"/>
    <n v="5257.1749999999993"/>
    <n v="4862.2069999999994"/>
    <x v="0"/>
    <x v="0"/>
    <x v="7"/>
    <n v="3"/>
  </r>
  <r>
    <n v="1"/>
    <d v="2019-08-15T00:00:00"/>
    <x v="1"/>
    <n v="3344.5439999999999"/>
    <n v="0"/>
    <x v="0"/>
    <x v="0"/>
    <x v="7"/>
    <n v="3"/>
  </r>
  <r>
    <n v="1"/>
    <d v="2019-08-15T00:00:00"/>
    <x v="2"/>
    <n v="778.75699999999995"/>
    <n v="1234.2259999999999"/>
    <x v="0"/>
    <x v="0"/>
    <x v="7"/>
    <n v="3"/>
  </r>
  <r>
    <n v="1"/>
    <d v="2019-08-15T00:00:00"/>
    <x v="3"/>
    <n v="0"/>
    <n v="1001.826"/>
    <x v="0"/>
    <x v="0"/>
    <x v="7"/>
    <n v="3"/>
  </r>
  <r>
    <n v="1"/>
    <d v="2019-08-16T00:00:00"/>
    <x v="3"/>
    <n v="174.559"/>
    <n v="977.20699999999988"/>
    <x v="0"/>
    <x v="0"/>
    <x v="7"/>
    <n v="3"/>
  </r>
  <r>
    <n v="1"/>
    <d v="2019-08-16T00:00:00"/>
    <x v="1"/>
    <n v="3946.6559999999995"/>
    <n v="0"/>
    <x v="0"/>
    <x v="0"/>
    <x v="7"/>
    <n v="3"/>
  </r>
  <r>
    <n v="1"/>
    <d v="2019-08-16T00:00:00"/>
    <x v="2"/>
    <n v="942.32600000000002"/>
    <n v="1422.6519999999998"/>
    <x v="0"/>
    <x v="0"/>
    <x v="7"/>
    <n v="3"/>
  </r>
  <r>
    <n v="1"/>
    <d v="2019-08-16T00:00:00"/>
    <x v="0"/>
    <n v="5237.54"/>
    <n v="5879.7129999999997"/>
    <x v="0"/>
    <x v="0"/>
    <x v="7"/>
    <n v="3"/>
  </r>
  <r>
    <n v="1"/>
    <d v="2019-08-17T00:00:00"/>
    <x v="2"/>
    <n v="567.51099999999997"/>
    <n v="1037.8899999999999"/>
    <x v="0"/>
    <x v="0"/>
    <x v="7"/>
    <n v="3"/>
  </r>
  <r>
    <n v="1"/>
    <d v="2019-08-17T00:00:00"/>
    <x v="3"/>
    <n v="28.518000000000001"/>
    <n v="1651.8809999999999"/>
    <x v="0"/>
    <x v="0"/>
    <x v="7"/>
    <n v="3"/>
  </r>
  <r>
    <n v="1"/>
    <d v="2019-08-17T00:00:00"/>
    <x v="0"/>
    <n v="5129.7190000000001"/>
    <n v="5954.2840000000006"/>
    <x v="0"/>
    <x v="0"/>
    <x v="7"/>
    <n v="3"/>
  </r>
  <r>
    <n v="1"/>
    <d v="2019-08-17T00:00:00"/>
    <x v="1"/>
    <n v="3443.6709999999998"/>
    <n v="0"/>
    <x v="0"/>
    <x v="0"/>
    <x v="7"/>
    <n v="3"/>
  </r>
  <r>
    <n v="1"/>
    <d v="2019-08-18T00:00:00"/>
    <x v="1"/>
    <n v="2071.181"/>
    <n v="0"/>
    <x v="0"/>
    <x v="0"/>
    <x v="7"/>
    <n v="3"/>
  </r>
  <r>
    <n v="1"/>
    <d v="2019-08-18T00:00:00"/>
    <x v="3"/>
    <n v="0"/>
    <n v="0"/>
    <x v="0"/>
    <x v="0"/>
    <x v="7"/>
    <n v="3"/>
  </r>
  <r>
    <n v="1"/>
    <d v="2019-08-18T00:00:00"/>
    <x v="0"/>
    <n v="3337.9359999999997"/>
    <n v="3203.7179999999998"/>
    <x v="0"/>
    <x v="0"/>
    <x v="7"/>
    <n v="3"/>
  </r>
  <r>
    <n v="1"/>
    <d v="2019-08-18T00:00:00"/>
    <x v="2"/>
    <n v="218.827"/>
    <n v="414.4"/>
    <x v="0"/>
    <x v="0"/>
    <x v="7"/>
    <n v="3"/>
  </r>
  <r>
    <n v="1"/>
    <d v="2019-08-19T00:00:00"/>
    <x v="3"/>
    <n v="0"/>
    <n v="1768.6410000000001"/>
    <x v="0"/>
    <x v="0"/>
    <x v="7"/>
    <n v="4"/>
  </r>
  <r>
    <n v="1"/>
    <d v="2019-08-19T00:00:00"/>
    <x v="2"/>
    <n v="627.25599999999997"/>
    <n v="983.80099999999993"/>
    <x v="0"/>
    <x v="0"/>
    <x v="7"/>
    <n v="4"/>
  </r>
  <r>
    <n v="1"/>
    <d v="2019-08-19T00:00:00"/>
    <x v="0"/>
    <n v="4432.12"/>
    <n v="4661.4539999999997"/>
    <x v="0"/>
    <x v="0"/>
    <x v="7"/>
    <n v="4"/>
  </r>
  <r>
    <n v="1"/>
    <d v="2019-08-19T00:00:00"/>
    <x v="1"/>
    <n v="3131.4709999999995"/>
    <n v="0"/>
    <x v="0"/>
    <x v="0"/>
    <x v="7"/>
    <n v="4"/>
  </r>
  <r>
    <n v="1"/>
    <d v="2019-08-20T00:00:00"/>
    <x v="0"/>
    <n v="4690.7420000000002"/>
    <n v="4537.9809999999998"/>
    <x v="0"/>
    <x v="0"/>
    <x v="7"/>
    <n v="4"/>
  </r>
  <r>
    <n v="1"/>
    <d v="2019-08-20T00:00:00"/>
    <x v="3"/>
    <n v="24.653999999999996"/>
    <n v="333.08099999999996"/>
    <x v="0"/>
    <x v="0"/>
    <x v="7"/>
    <n v="4"/>
  </r>
  <r>
    <n v="1"/>
    <d v="2019-08-20T00:00:00"/>
    <x v="1"/>
    <n v="3279.0029999999997"/>
    <n v="0"/>
    <x v="0"/>
    <x v="0"/>
    <x v="7"/>
    <n v="4"/>
  </r>
  <r>
    <n v="1"/>
    <d v="2019-08-20T00:00:00"/>
    <x v="2"/>
    <n v="465.01699999999994"/>
    <n v="697.00400000000002"/>
    <x v="0"/>
    <x v="0"/>
    <x v="7"/>
    <n v="4"/>
  </r>
  <r>
    <n v="1"/>
    <d v="2019-08-21T00:00:00"/>
    <x v="0"/>
    <n v="4933.3059999999996"/>
    <n v="4106.4449999999997"/>
    <x v="0"/>
    <x v="0"/>
    <x v="7"/>
    <n v="4"/>
  </r>
  <r>
    <n v="1"/>
    <d v="2019-08-21T00:00:00"/>
    <x v="2"/>
    <n v="979.25099999999998"/>
    <n v="1114.3719999999998"/>
    <x v="0"/>
    <x v="0"/>
    <x v="7"/>
    <n v="4"/>
  </r>
  <r>
    <n v="1"/>
    <d v="2019-08-21T00:00:00"/>
    <x v="1"/>
    <n v="3374.3920000000003"/>
    <n v="0"/>
    <x v="0"/>
    <x v="0"/>
    <x v="7"/>
    <n v="4"/>
  </r>
  <r>
    <n v="1"/>
    <d v="2019-08-21T00:00:00"/>
    <x v="3"/>
    <n v="160.85999999999999"/>
    <n v="458.24099999999999"/>
    <x v="0"/>
    <x v="0"/>
    <x v="7"/>
    <n v="4"/>
  </r>
  <r>
    <n v="1"/>
    <d v="2019-08-22T00:00:00"/>
    <x v="0"/>
    <n v="4866.8760000000002"/>
    <n v="6064.73"/>
    <x v="0"/>
    <x v="0"/>
    <x v="7"/>
    <n v="4"/>
  </r>
  <r>
    <n v="1"/>
    <d v="2019-08-22T00:00:00"/>
    <x v="2"/>
    <n v="924.74899999999991"/>
    <n v="1395.6809999999998"/>
    <x v="0"/>
    <x v="0"/>
    <x v="7"/>
    <n v="4"/>
  </r>
  <r>
    <n v="1"/>
    <d v="2019-08-22T00:00:00"/>
    <x v="3"/>
    <n v="182.875"/>
    <n v="398.53800000000001"/>
    <x v="0"/>
    <x v="0"/>
    <x v="7"/>
    <n v="4"/>
  </r>
  <r>
    <n v="1"/>
    <d v="2019-08-22T00:00:00"/>
    <x v="1"/>
    <n v="3800.6499999999996"/>
    <n v="0"/>
    <x v="0"/>
    <x v="0"/>
    <x v="7"/>
    <n v="4"/>
  </r>
  <r>
    <n v="1"/>
    <d v="2019-08-23T00:00:00"/>
    <x v="2"/>
    <n v="1319.2269999999999"/>
    <n v="1560.258"/>
    <x v="0"/>
    <x v="0"/>
    <x v="7"/>
    <n v="4"/>
  </r>
  <r>
    <n v="1"/>
    <d v="2019-08-23T00:00:00"/>
    <x v="1"/>
    <n v="3711.3299999999995"/>
    <n v="0"/>
    <x v="0"/>
    <x v="0"/>
    <x v="7"/>
    <n v="4"/>
  </r>
  <r>
    <n v="1"/>
    <d v="2019-08-23T00:00:00"/>
    <x v="0"/>
    <n v="5269.6419999999998"/>
    <n v="5751.9139999999998"/>
    <x v="0"/>
    <x v="0"/>
    <x v="7"/>
    <n v="4"/>
  </r>
  <r>
    <n v="1"/>
    <d v="2019-08-23T00:00:00"/>
    <x v="3"/>
    <n v="0"/>
    <n v="649.81699999999989"/>
    <x v="0"/>
    <x v="0"/>
    <x v="7"/>
    <n v="4"/>
  </r>
  <r>
    <n v="1"/>
    <d v="2019-08-24T00:00:00"/>
    <x v="1"/>
    <n v="3449.1170000000002"/>
    <n v="0"/>
    <x v="0"/>
    <x v="0"/>
    <x v="7"/>
    <n v="4"/>
  </r>
  <r>
    <n v="1"/>
    <d v="2019-08-24T00:00:00"/>
    <x v="2"/>
    <n v="713.18100000000004"/>
    <n v="1368.2619999999999"/>
    <x v="0"/>
    <x v="0"/>
    <x v="7"/>
    <n v="4"/>
  </r>
  <r>
    <n v="1"/>
    <d v="2019-08-24T00:00:00"/>
    <x v="3"/>
    <n v="0"/>
    <n v="850.69599999999991"/>
    <x v="0"/>
    <x v="0"/>
    <x v="7"/>
    <n v="4"/>
  </r>
  <r>
    <n v="1"/>
    <d v="2019-08-24T00:00:00"/>
    <x v="0"/>
    <n v="5570.6629999999996"/>
    <n v="6896.8130000000001"/>
    <x v="0"/>
    <x v="0"/>
    <x v="7"/>
    <n v="4"/>
  </r>
  <r>
    <n v="1"/>
    <d v="2019-08-25T00:00:00"/>
    <x v="3"/>
    <n v="0"/>
    <n v="0"/>
    <x v="0"/>
    <x v="0"/>
    <x v="7"/>
    <n v="4"/>
  </r>
  <r>
    <n v="1"/>
    <d v="2019-08-25T00:00:00"/>
    <x v="0"/>
    <n v="2924.1239999999998"/>
    <n v="2959.453"/>
    <x v="0"/>
    <x v="0"/>
    <x v="7"/>
    <n v="4"/>
  </r>
  <r>
    <n v="1"/>
    <d v="2019-08-25T00:00:00"/>
    <x v="2"/>
    <n v="127.93199999999999"/>
    <n v="436.709"/>
    <x v="0"/>
    <x v="0"/>
    <x v="7"/>
    <n v="4"/>
  </r>
  <r>
    <n v="1"/>
    <d v="2019-08-25T00:00:00"/>
    <x v="1"/>
    <n v="2129.5259999999998"/>
    <n v="0"/>
    <x v="0"/>
    <x v="0"/>
    <x v="7"/>
    <n v="4"/>
  </r>
  <r>
    <n v="1"/>
    <d v="2019-08-26T00:00:00"/>
    <x v="3"/>
    <n v="32.031999999999996"/>
    <n v="1387.1410000000001"/>
    <x v="0"/>
    <x v="0"/>
    <x v="8"/>
    <n v="1"/>
  </r>
  <r>
    <n v="1"/>
    <d v="2019-08-26T00:00:00"/>
    <x v="2"/>
    <n v="808.05199999999991"/>
    <n v="1245.5169999999998"/>
    <x v="0"/>
    <x v="0"/>
    <x v="8"/>
    <n v="1"/>
  </r>
  <r>
    <n v="1"/>
    <d v="2019-08-26T00:00:00"/>
    <x v="1"/>
    <n v="3250.6320000000001"/>
    <n v="0"/>
    <x v="0"/>
    <x v="0"/>
    <x v="8"/>
    <n v="1"/>
  </r>
  <r>
    <n v="1"/>
    <d v="2019-08-26T00:00:00"/>
    <x v="0"/>
    <n v="5081.1739999999991"/>
    <n v="5214.2019999999993"/>
    <x v="0"/>
    <x v="0"/>
    <x v="8"/>
    <n v="1"/>
  </r>
  <r>
    <n v="1"/>
    <d v="2019-08-27T00:00:00"/>
    <x v="2"/>
    <n v="1259.6079999999999"/>
    <n v="1106.7489999999998"/>
    <x v="0"/>
    <x v="0"/>
    <x v="8"/>
    <n v="1"/>
  </r>
  <r>
    <n v="1"/>
    <d v="2019-08-27T00:00:00"/>
    <x v="0"/>
    <n v="4813.9209999999994"/>
    <n v="5291.4889999999996"/>
    <x v="0"/>
    <x v="0"/>
    <x v="8"/>
    <n v="1"/>
  </r>
  <r>
    <n v="1"/>
    <d v="2019-08-27T00:00:00"/>
    <x v="3"/>
    <n v="0"/>
    <n v="1663.046"/>
    <x v="0"/>
    <x v="0"/>
    <x v="8"/>
    <n v="1"/>
  </r>
  <r>
    <n v="1"/>
    <d v="2019-08-27T00:00:00"/>
    <x v="1"/>
    <n v="3193.4839999999999"/>
    <n v="0"/>
    <x v="0"/>
    <x v="0"/>
    <x v="8"/>
    <n v="1"/>
  </r>
  <r>
    <n v="1"/>
    <d v="2019-08-28T00:00:00"/>
    <x v="3"/>
    <n v="0"/>
    <n v="856.59699999999998"/>
    <x v="0"/>
    <x v="0"/>
    <x v="8"/>
    <n v="1"/>
  </r>
  <r>
    <n v="1"/>
    <d v="2019-08-28T00:00:00"/>
    <x v="2"/>
    <n v="864.33199999999999"/>
    <n v="1391.2079999999999"/>
    <x v="0"/>
    <x v="0"/>
    <x v="8"/>
    <n v="1"/>
  </r>
  <r>
    <n v="1"/>
    <d v="2019-08-28T00:00:00"/>
    <x v="0"/>
    <n v="6331.402"/>
    <n v="6449.5199999999995"/>
    <x v="0"/>
    <x v="0"/>
    <x v="8"/>
    <n v="1"/>
  </r>
  <r>
    <n v="1"/>
    <d v="2019-08-28T00:00:00"/>
    <x v="1"/>
    <n v="3364.123"/>
    <n v="0"/>
    <x v="0"/>
    <x v="0"/>
    <x v="8"/>
    <n v="1"/>
  </r>
  <r>
    <n v="1"/>
    <d v="2019-08-29T00:00:00"/>
    <x v="0"/>
    <n v="6413.6239999999998"/>
    <n v="6253.415"/>
    <x v="0"/>
    <x v="0"/>
    <x v="8"/>
    <n v="1"/>
  </r>
  <r>
    <n v="1"/>
    <d v="2019-08-29T00:00:00"/>
    <x v="2"/>
    <n v="844.72499999999991"/>
    <n v="1434.4469999999999"/>
    <x v="0"/>
    <x v="0"/>
    <x v="8"/>
    <n v="1"/>
  </r>
  <r>
    <n v="1"/>
    <d v="2019-08-29T00:00:00"/>
    <x v="1"/>
    <n v="3678.2619999999997"/>
    <n v="0"/>
    <x v="0"/>
    <x v="0"/>
    <x v="8"/>
    <n v="1"/>
  </r>
  <r>
    <n v="1"/>
    <d v="2019-08-29T00:00:00"/>
    <x v="3"/>
    <n v="280.60899999999998"/>
    <n v="1026.396"/>
    <x v="0"/>
    <x v="0"/>
    <x v="8"/>
    <n v="1"/>
  </r>
  <r>
    <n v="1"/>
    <d v="2019-08-30T00:00:00"/>
    <x v="2"/>
    <n v="929.47399999999993"/>
    <n v="1392.8809999999999"/>
    <x v="0"/>
    <x v="0"/>
    <x v="8"/>
    <n v="1"/>
  </r>
  <r>
    <n v="1"/>
    <d v="2019-08-30T00:00:00"/>
    <x v="0"/>
    <n v="6490.9599999999991"/>
    <n v="6843.7460000000001"/>
    <x v="0"/>
    <x v="0"/>
    <x v="8"/>
    <n v="1"/>
  </r>
  <r>
    <n v="1"/>
    <d v="2019-08-30T00:00:00"/>
    <x v="3"/>
    <n v="48.131999999999998"/>
    <n v="2342.9349999999999"/>
    <x v="0"/>
    <x v="0"/>
    <x v="8"/>
    <n v="1"/>
  </r>
  <r>
    <n v="1"/>
    <d v="2019-08-30T00:00:00"/>
    <x v="1"/>
    <n v="4253.7529999999997"/>
    <n v="0"/>
    <x v="0"/>
    <x v="0"/>
    <x v="8"/>
    <n v="1"/>
  </r>
  <r>
    <n v="1"/>
    <d v="2019-08-31T00:00:00"/>
    <x v="0"/>
    <n v="6569.128999999999"/>
    <n v="7490.5739999999996"/>
    <x v="0"/>
    <x v="0"/>
    <x v="8"/>
    <n v="1"/>
  </r>
  <r>
    <n v="1"/>
    <d v="2019-08-31T00:00:00"/>
    <x v="3"/>
    <n v="1433.5719999999999"/>
    <n v="434.11899999999997"/>
    <x v="0"/>
    <x v="0"/>
    <x v="8"/>
    <n v="1"/>
  </r>
  <r>
    <n v="1"/>
    <d v="2019-08-31T00:00:00"/>
    <x v="2"/>
    <n v="844.70399999999995"/>
    <n v="1417.7309999999998"/>
    <x v="0"/>
    <x v="0"/>
    <x v="8"/>
    <n v="1"/>
  </r>
  <r>
    <n v="1"/>
    <d v="2019-08-31T00:00:00"/>
    <x v="1"/>
    <n v="4005.0149999999994"/>
    <n v="0"/>
    <x v="0"/>
    <x v="0"/>
    <x v="8"/>
    <n v="1"/>
  </r>
  <r>
    <n v="1"/>
    <d v="2019-09-01T00:00:00"/>
    <x v="0"/>
    <n v="3600.0089999999996"/>
    <n v="3167.5"/>
    <x v="0"/>
    <x v="0"/>
    <x v="8"/>
    <n v="1"/>
  </r>
  <r>
    <n v="1"/>
    <d v="2019-09-01T00:00:00"/>
    <x v="1"/>
    <n v="1788.913"/>
    <n v="0"/>
    <x v="0"/>
    <x v="0"/>
    <x v="8"/>
    <n v="1"/>
  </r>
  <r>
    <n v="1"/>
    <d v="2019-09-01T00:00:00"/>
    <x v="3"/>
    <n v="0"/>
    <n v="0"/>
    <x v="0"/>
    <x v="0"/>
    <x v="8"/>
    <n v="1"/>
  </r>
  <r>
    <n v="1"/>
    <d v="2019-09-01T00:00:00"/>
    <x v="2"/>
    <n v="234.40199999999999"/>
    <n v="469.67199999999997"/>
    <x v="0"/>
    <x v="0"/>
    <x v="8"/>
    <n v="1"/>
  </r>
  <r>
    <n v="1"/>
    <d v="2019-09-02T00:00:00"/>
    <x v="1"/>
    <n v="4330.5149999999994"/>
    <n v="0"/>
    <x v="0"/>
    <x v="0"/>
    <x v="8"/>
    <n v="2"/>
  </r>
  <r>
    <n v="1"/>
    <d v="2019-09-02T00:00:00"/>
    <x v="0"/>
    <n v="6737.8849999999993"/>
    <n v="6641.04"/>
    <x v="0"/>
    <x v="0"/>
    <x v="8"/>
    <n v="2"/>
  </r>
  <r>
    <n v="1"/>
    <d v="2019-09-02T00:00:00"/>
    <x v="2"/>
    <n v="872.15800000000002"/>
    <n v="1228.5839999999998"/>
    <x v="0"/>
    <x v="0"/>
    <x v="8"/>
    <n v="2"/>
  </r>
  <r>
    <n v="1"/>
    <d v="2019-09-02T00:00:00"/>
    <x v="3"/>
    <n v="88.290999999999997"/>
    <n v="2828.4549999999999"/>
    <x v="0"/>
    <x v="0"/>
    <x v="8"/>
    <n v="2"/>
  </r>
  <r>
    <n v="1"/>
    <d v="2019-09-03T00:00:00"/>
    <x v="1"/>
    <n v="3187.6669999999999"/>
    <n v="0"/>
    <x v="0"/>
    <x v="0"/>
    <x v="8"/>
    <n v="2"/>
  </r>
  <r>
    <n v="1"/>
    <d v="2019-09-03T00:00:00"/>
    <x v="0"/>
    <n v="3356.2829999999994"/>
    <n v="4843.2649999999994"/>
    <x v="0"/>
    <x v="0"/>
    <x v="8"/>
    <n v="2"/>
  </r>
  <r>
    <n v="1"/>
    <d v="2019-09-03T00:00:00"/>
    <x v="3"/>
    <n v="0"/>
    <n v="1099.021"/>
    <x v="0"/>
    <x v="0"/>
    <x v="8"/>
    <n v="2"/>
  </r>
  <r>
    <n v="1"/>
    <d v="2019-09-03T00:00:00"/>
    <x v="2"/>
    <n v="683.81599999999992"/>
    <n v="1097.6559999999999"/>
    <x v="0"/>
    <x v="0"/>
    <x v="8"/>
    <n v="2"/>
  </r>
  <r>
    <n v="1"/>
    <d v="2019-09-04T00:00:00"/>
    <x v="1"/>
    <n v="3037.2159999999999"/>
    <n v="0"/>
    <x v="0"/>
    <x v="0"/>
    <x v="8"/>
    <n v="2"/>
  </r>
  <r>
    <n v="1"/>
    <d v="2019-09-04T00:00:00"/>
    <x v="2"/>
    <n v="761.5089999999999"/>
    <n v="817.31999999999994"/>
    <x v="0"/>
    <x v="0"/>
    <x v="8"/>
    <n v="2"/>
  </r>
  <r>
    <n v="1"/>
    <d v="2019-09-04T00:00:00"/>
    <x v="0"/>
    <n v="3736.4809999999998"/>
    <n v="4511.241"/>
    <x v="0"/>
    <x v="0"/>
    <x v="8"/>
    <n v="2"/>
  </r>
  <r>
    <n v="1"/>
    <d v="2019-09-04T00:00:00"/>
    <x v="3"/>
    <n v="176.946"/>
    <n v="4472.4889999999996"/>
    <x v="0"/>
    <x v="0"/>
    <x v="8"/>
    <n v="2"/>
  </r>
  <r>
    <n v="1"/>
    <d v="2019-09-05T00:00:00"/>
    <x v="1"/>
    <n v="3413.6339999999996"/>
    <n v="0"/>
    <x v="0"/>
    <x v="0"/>
    <x v="8"/>
    <n v="2"/>
  </r>
  <r>
    <n v="1"/>
    <d v="2019-09-05T00:00:00"/>
    <x v="3"/>
    <n v="131.14499999999998"/>
    <n v="1004.0589999999999"/>
    <x v="0"/>
    <x v="0"/>
    <x v="8"/>
    <n v="2"/>
  </r>
  <r>
    <n v="1"/>
    <d v="2019-09-05T00:00:00"/>
    <x v="0"/>
    <n v="4162.8509999999997"/>
    <n v="4875.4229999999998"/>
    <x v="0"/>
    <x v="0"/>
    <x v="8"/>
    <n v="2"/>
  </r>
  <r>
    <n v="1"/>
    <d v="2019-09-05T00:00:00"/>
    <x v="2"/>
    <n v="1458.422"/>
    <n v="1176.665"/>
    <x v="0"/>
    <x v="0"/>
    <x v="8"/>
    <n v="2"/>
  </r>
  <r>
    <n v="1"/>
    <d v="2019-09-06T00:00:00"/>
    <x v="3"/>
    <n v="243.37599999999998"/>
    <n v="1006.173"/>
    <x v="0"/>
    <x v="0"/>
    <x v="8"/>
    <n v="2"/>
  </r>
  <r>
    <n v="1"/>
    <d v="2019-09-06T00:00:00"/>
    <x v="0"/>
    <n v="5556.4179999999997"/>
    <n v="5782.0909999999994"/>
    <x v="0"/>
    <x v="0"/>
    <x v="8"/>
    <n v="2"/>
  </r>
  <r>
    <n v="1"/>
    <d v="2019-09-06T00:00:00"/>
    <x v="1"/>
    <n v="4067.7979999999998"/>
    <n v="0"/>
    <x v="0"/>
    <x v="0"/>
    <x v="8"/>
    <n v="2"/>
  </r>
  <r>
    <n v="1"/>
    <d v="2019-09-06T00:00:00"/>
    <x v="2"/>
    <n v="1549.9399999999998"/>
    <n v="1505.0350000000001"/>
    <x v="0"/>
    <x v="0"/>
    <x v="8"/>
    <n v="2"/>
  </r>
  <r>
    <n v="1"/>
    <d v="2019-09-07T00:00:00"/>
    <x v="0"/>
    <n v="5687.7169999999996"/>
    <n v="6247.7099999999991"/>
    <x v="0"/>
    <x v="0"/>
    <x v="8"/>
    <n v="2"/>
  </r>
  <r>
    <n v="1"/>
    <d v="2019-09-07T00:00:00"/>
    <x v="1"/>
    <n v="3976.1049999999996"/>
    <n v="0"/>
    <x v="0"/>
    <x v="0"/>
    <x v="8"/>
    <n v="2"/>
  </r>
  <r>
    <n v="1"/>
    <d v="2019-09-07T00:00:00"/>
    <x v="2"/>
    <n v="1021.4959999999999"/>
    <n v="1115.7439999999999"/>
    <x v="0"/>
    <x v="0"/>
    <x v="8"/>
    <n v="2"/>
  </r>
  <r>
    <n v="1"/>
    <d v="2019-09-07T00:00:00"/>
    <x v="3"/>
    <n v="539.85399999999993"/>
    <n v="882.96600000000001"/>
    <x v="0"/>
    <x v="0"/>
    <x v="8"/>
    <n v="2"/>
  </r>
  <r>
    <n v="1"/>
    <d v="2019-09-08T00:00:00"/>
    <x v="2"/>
    <n v="505.24599999999992"/>
    <n v="352.07199999999995"/>
    <x v="0"/>
    <x v="0"/>
    <x v="8"/>
    <n v="2"/>
  </r>
  <r>
    <n v="1"/>
    <d v="2019-09-08T00:00:00"/>
    <x v="1"/>
    <n v="2428.5869999999995"/>
    <n v="0"/>
    <x v="0"/>
    <x v="0"/>
    <x v="8"/>
    <n v="2"/>
  </r>
  <r>
    <n v="1"/>
    <d v="2019-09-08T00:00:00"/>
    <x v="0"/>
    <n v="2358.6570000000002"/>
    <n v="2728.145"/>
    <x v="0"/>
    <x v="0"/>
    <x v="8"/>
    <n v="2"/>
  </r>
  <r>
    <n v="1"/>
    <d v="2019-09-08T00:00:00"/>
    <x v="3"/>
    <n v="0"/>
    <n v="146.85999999999999"/>
    <x v="0"/>
    <x v="0"/>
    <x v="8"/>
    <n v="2"/>
  </r>
  <r>
    <n v="1"/>
    <d v="2019-09-09T00:00:00"/>
    <x v="2"/>
    <n v="812.11199999999997"/>
    <n v="1055.992"/>
    <x v="0"/>
    <x v="0"/>
    <x v="8"/>
    <n v="3"/>
  </r>
  <r>
    <n v="1"/>
    <d v="2019-09-09T00:00:00"/>
    <x v="1"/>
    <n v="3121.5170000000003"/>
    <n v="0"/>
    <x v="0"/>
    <x v="0"/>
    <x v="8"/>
    <n v="3"/>
  </r>
  <r>
    <n v="1"/>
    <d v="2019-09-09T00:00:00"/>
    <x v="0"/>
    <n v="3473.232"/>
    <n v="4624.116"/>
    <x v="0"/>
    <x v="0"/>
    <x v="8"/>
    <n v="3"/>
  </r>
  <r>
    <n v="1"/>
    <d v="2019-09-09T00:00:00"/>
    <x v="3"/>
    <n v="848.34400000000005"/>
    <n v="2247.819"/>
    <x v="0"/>
    <x v="0"/>
    <x v="8"/>
    <n v="3"/>
  </r>
  <r>
    <n v="1"/>
    <d v="2019-09-10T00:00:00"/>
    <x v="2"/>
    <n v="1135.8689999999999"/>
    <n v="845.06099999999992"/>
    <x v="0"/>
    <x v="0"/>
    <x v="8"/>
    <n v="3"/>
  </r>
  <r>
    <n v="1"/>
    <d v="2019-09-10T00:00:00"/>
    <x v="0"/>
    <n v="4323.1579999999994"/>
    <n v="4705.6589999999997"/>
    <x v="0"/>
    <x v="0"/>
    <x v="8"/>
    <n v="3"/>
  </r>
  <r>
    <n v="1"/>
    <d v="2019-09-10T00:00:00"/>
    <x v="3"/>
    <n v="39.515000000000001"/>
    <n v="5848.0099999999993"/>
    <x v="0"/>
    <x v="0"/>
    <x v="8"/>
    <n v="3"/>
  </r>
  <r>
    <n v="1"/>
    <d v="2019-09-10T00:00:00"/>
    <x v="1"/>
    <n v="3345.3420000000001"/>
    <n v="0"/>
    <x v="0"/>
    <x v="0"/>
    <x v="8"/>
    <n v="3"/>
  </r>
  <r>
    <n v="1"/>
    <d v="2019-09-11T00:00:00"/>
    <x v="2"/>
    <n v="959.07699999999988"/>
    <n v="1457.4559999999999"/>
    <x v="0"/>
    <x v="0"/>
    <x v="8"/>
    <n v="3"/>
  </r>
  <r>
    <n v="1"/>
    <d v="2019-09-11T00:00:00"/>
    <x v="0"/>
    <n v="4670.1899999999996"/>
    <n v="4985.3719999999994"/>
    <x v="0"/>
    <x v="0"/>
    <x v="8"/>
    <n v="3"/>
  </r>
  <r>
    <n v="1"/>
    <d v="2019-09-11T00:00:00"/>
    <x v="3"/>
    <n v="639.37299999999993"/>
    <n v="1244.432"/>
    <x v="0"/>
    <x v="0"/>
    <x v="8"/>
    <n v="3"/>
  </r>
  <r>
    <n v="1"/>
    <d v="2019-09-11T00:00:00"/>
    <x v="1"/>
    <n v="3335.6260000000002"/>
    <n v="0"/>
    <x v="0"/>
    <x v="0"/>
    <x v="8"/>
    <n v="3"/>
  </r>
  <r>
    <n v="1"/>
    <d v="2019-09-12T00:00:00"/>
    <x v="2"/>
    <n v="1261.5539999999999"/>
    <n v="1148.308"/>
    <x v="0"/>
    <x v="0"/>
    <x v="8"/>
    <n v="3"/>
  </r>
  <r>
    <n v="1"/>
    <d v="2019-09-12T00:00:00"/>
    <x v="0"/>
    <n v="4880.6170000000002"/>
    <n v="5681.5149999999994"/>
    <x v="0"/>
    <x v="0"/>
    <x v="8"/>
    <n v="3"/>
  </r>
  <r>
    <n v="1"/>
    <d v="2019-09-12T00:00:00"/>
    <x v="1"/>
    <n v="3921.3929999999996"/>
    <n v="0"/>
    <x v="0"/>
    <x v="0"/>
    <x v="8"/>
    <n v="3"/>
  </r>
  <r>
    <n v="1"/>
    <d v="2019-09-12T00:00:00"/>
    <x v="3"/>
    <n v="0"/>
    <n v="807.70899999999983"/>
    <x v="0"/>
    <x v="0"/>
    <x v="8"/>
    <n v="3"/>
  </r>
  <r>
    <n v="1"/>
    <d v="2019-09-13T00:00:00"/>
    <x v="0"/>
    <n v="6136.5569999999998"/>
    <n v="6071.4639999999999"/>
    <x v="0"/>
    <x v="0"/>
    <x v="8"/>
    <n v="3"/>
  </r>
  <r>
    <n v="1"/>
    <d v="2019-09-13T00:00:00"/>
    <x v="3"/>
    <n v="0"/>
    <n v="1958.1799999999998"/>
    <x v="0"/>
    <x v="0"/>
    <x v="8"/>
    <n v="3"/>
  </r>
  <r>
    <n v="1"/>
    <d v="2019-09-13T00:00:00"/>
    <x v="2"/>
    <n v="1770.8389999999999"/>
    <n v="1694.91"/>
    <x v="0"/>
    <x v="0"/>
    <x v="8"/>
    <n v="3"/>
  </r>
  <r>
    <n v="1"/>
    <d v="2019-09-13T00:00:00"/>
    <x v="1"/>
    <n v="4357.2479999999996"/>
    <n v="0"/>
    <x v="0"/>
    <x v="0"/>
    <x v="8"/>
    <n v="3"/>
  </r>
  <r>
    <n v="1"/>
    <d v="2019-09-14T00:00:00"/>
    <x v="2"/>
    <n v="1012.2559999999999"/>
    <n v="1264.1999999999998"/>
    <x v="0"/>
    <x v="0"/>
    <x v="8"/>
    <n v="3"/>
  </r>
  <r>
    <n v="1"/>
    <d v="2019-09-14T00:00:00"/>
    <x v="1"/>
    <n v="3806.6979999999999"/>
    <n v="0"/>
    <x v="0"/>
    <x v="0"/>
    <x v="8"/>
    <n v="3"/>
  </r>
  <r>
    <n v="1"/>
    <d v="2019-09-14T00:00:00"/>
    <x v="0"/>
    <n v="6497.7219999999988"/>
    <n v="6163.2340000000004"/>
    <x v="0"/>
    <x v="0"/>
    <x v="8"/>
    <n v="3"/>
  </r>
  <r>
    <n v="1"/>
    <d v="2019-09-14T00:00:00"/>
    <x v="3"/>
    <n v="142.56899999999999"/>
    <n v="929.77499999999998"/>
    <x v="0"/>
    <x v="0"/>
    <x v="8"/>
    <n v="3"/>
  </r>
  <r>
    <n v="1"/>
    <d v="2019-09-15T00:00:00"/>
    <x v="2"/>
    <n v="800.89800000000002"/>
    <n v="173.99199999999999"/>
    <x v="0"/>
    <x v="0"/>
    <x v="8"/>
    <n v="3"/>
  </r>
  <r>
    <n v="1"/>
    <d v="2019-09-15T00:00:00"/>
    <x v="3"/>
    <n v="3.9129999999999998"/>
    <n v="0"/>
    <x v="0"/>
    <x v="0"/>
    <x v="8"/>
    <n v="3"/>
  </r>
  <r>
    <n v="1"/>
    <d v="2019-09-15T00:00:00"/>
    <x v="1"/>
    <n v="2412.3399999999997"/>
    <n v="0"/>
    <x v="0"/>
    <x v="0"/>
    <x v="8"/>
    <n v="3"/>
  </r>
  <r>
    <n v="1"/>
    <d v="2019-09-15T00:00:00"/>
    <x v="0"/>
    <n v="2770.7679999999996"/>
    <n v="1598.4639999999999"/>
    <x v="0"/>
    <x v="0"/>
    <x v="8"/>
    <n v="3"/>
  </r>
  <r>
    <n v="1"/>
    <d v="2019-09-16T00:00:00"/>
    <x v="1"/>
    <n v="4177.74"/>
    <n v="0"/>
    <x v="0"/>
    <x v="0"/>
    <x v="8"/>
    <n v="4"/>
  </r>
  <r>
    <n v="1"/>
    <d v="2019-09-16T00:00:00"/>
    <x v="0"/>
    <n v="4296.1519999999991"/>
    <n v="4783.4920000000002"/>
    <x v="0"/>
    <x v="0"/>
    <x v="8"/>
    <n v="4"/>
  </r>
  <r>
    <n v="1"/>
    <d v="2019-09-16T00:00:00"/>
    <x v="3"/>
    <n v="171.06599999999997"/>
    <n v="1133.3209999999999"/>
    <x v="0"/>
    <x v="0"/>
    <x v="8"/>
    <n v="4"/>
  </r>
  <r>
    <n v="1"/>
    <d v="2019-09-16T00:00:00"/>
    <x v="2"/>
    <n v="1157.4779999999998"/>
    <n v="929.2639999999999"/>
    <x v="0"/>
    <x v="0"/>
    <x v="8"/>
    <n v="4"/>
  </r>
  <r>
    <n v="1"/>
    <d v="2019-09-17T00:00:00"/>
    <x v="2"/>
    <n v="918.029"/>
    <n v="771.58899999999994"/>
    <x v="0"/>
    <x v="0"/>
    <x v="8"/>
    <n v="4"/>
  </r>
  <r>
    <n v="1"/>
    <d v="2019-09-17T00:00:00"/>
    <x v="1"/>
    <n v="3674.1950000000002"/>
    <n v="0"/>
    <x v="0"/>
    <x v="0"/>
    <x v="8"/>
    <n v="4"/>
  </r>
  <r>
    <n v="1"/>
    <d v="2019-09-17T00:00:00"/>
    <x v="0"/>
    <n v="4000.654"/>
    <n v="4111.1279999999997"/>
    <x v="0"/>
    <x v="0"/>
    <x v="8"/>
    <n v="4"/>
  </r>
  <r>
    <n v="1"/>
    <d v="2019-09-17T00:00:00"/>
    <x v="3"/>
    <n v="23.148999999999997"/>
    <n v="1335.8169999999998"/>
    <x v="0"/>
    <x v="0"/>
    <x v="8"/>
    <n v="4"/>
  </r>
  <r>
    <n v="1"/>
    <d v="2019-09-18T00:00:00"/>
    <x v="0"/>
    <n v="3876.1309999999999"/>
    <n v="4835.2149999999992"/>
    <x v="0"/>
    <x v="0"/>
    <x v="8"/>
    <n v="4"/>
  </r>
  <r>
    <n v="1"/>
    <d v="2019-09-18T00:00:00"/>
    <x v="3"/>
    <n v="189.32900000000001"/>
    <n v="954.17699999999991"/>
    <x v="0"/>
    <x v="0"/>
    <x v="8"/>
    <n v="4"/>
  </r>
  <r>
    <n v="1"/>
    <d v="2019-09-18T00:00:00"/>
    <x v="2"/>
    <n v="967.44899999999984"/>
    <n v="801.47199999999998"/>
    <x v="0"/>
    <x v="0"/>
    <x v="8"/>
    <n v="4"/>
  </r>
  <r>
    <n v="1"/>
    <d v="2019-09-18T00:00:00"/>
    <x v="1"/>
    <n v="3239.95"/>
    <n v="0"/>
    <x v="0"/>
    <x v="0"/>
    <x v="8"/>
    <n v="4"/>
  </r>
  <r>
    <n v="1"/>
    <d v="2019-09-19T00:00:00"/>
    <x v="1"/>
    <n v="3579.5059999999999"/>
    <n v="0"/>
    <x v="0"/>
    <x v="0"/>
    <x v="8"/>
    <n v="4"/>
  </r>
  <r>
    <n v="1"/>
    <d v="2019-09-19T00:00:00"/>
    <x v="2"/>
    <n v="968.86299999999983"/>
    <n v="945.30799999999999"/>
    <x v="0"/>
    <x v="0"/>
    <x v="8"/>
    <n v="4"/>
  </r>
  <r>
    <n v="1"/>
    <d v="2019-09-19T00:00:00"/>
    <x v="3"/>
    <n v="0"/>
    <n v="2328.3539999999998"/>
    <x v="0"/>
    <x v="0"/>
    <x v="8"/>
    <n v="4"/>
  </r>
  <r>
    <n v="1"/>
    <d v="2019-09-19T00:00:00"/>
    <x v="0"/>
    <n v="4282.866"/>
    <n v="5324.1929999999993"/>
    <x v="0"/>
    <x v="0"/>
    <x v="8"/>
    <n v="4"/>
  </r>
  <r>
    <n v="1"/>
    <d v="2019-09-20T00:00:00"/>
    <x v="1"/>
    <n v="4654.2369999999992"/>
    <n v="0"/>
    <x v="0"/>
    <x v="0"/>
    <x v="8"/>
    <n v="4"/>
  </r>
  <r>
    <n v="1"/>
    <d v="2019-09-20T00:00:00"/>
    <x v="2"/>
    <n v="1193.5069999999998"/>
    <n v="1586.5639999999999"/>
    <x v="0"/>
    <x v="0"/>
    <x v="8"/>
    <n v="4"/>
  </r>
  <r>
    <n v="1"/>
    <d v="2019-09-20T00:00:00"/>
    <x v="0"/>
    <n v="5574.4849999999997"/>
    <n v="6379.6179999999995"/>
    <x v="0"/>
    <x v="0"/>
    <x v="8"/>
    <n v="4"/>
  </r>
  <r>
    <n v="1"/>
    <d v="2019-09-20T00:00:00"/>
    <x v="3"/>
    <n v="0"/>
    <n v="1386.3919999999998"/>
    <x v="0"/>
    <x v="0"/>
    <x v="8"/>
    <n v="4"/>
  </r>
  <r>
    <n v="1"/>
    <d v="2019-09-21T00:00:00"/>
    <x v="3"/>
    <n v="353.16399999999999"/>
    <n v="1392.3559999999998"/>
    <x v="0"/>
    <x v="0"/>
    <x v="8"/>
    <n v="4"/>
  </r>
  <r>
    <n v="1"/>
    <d v="2019-09-21T00:00:00"/>
    <x v="1"/>
    <n v="3278.0439999999999"/>
    <n v="0"/>
    <x v="0"/>
    <x v="0"/>
    <x v="8"/>
    <n v="4"/>
  </r>
  <r>
    <n v="1"/>
    <d v="2019-09-21T00:00:00"/>
    <x v="2"/>
    <n v="845.74"/>
    <n v="1435.9449999999999"/>
    <x v="0"/>
    <x v="0"/>
    <x v="8"/>
    <n v="4"/>
  </r>
  <r>
    <n v="1"/>
    <d v="2019-09-21T00:00:00"/>
    <x v="0"/>
    <n v="5400.0309999999999"/>
    <n v="6418.9579999999996"/>
    <x v="0"/>
    <x v="0"/>
    <x v="8"/>
    <n v="4"/>
  </r>
  <r>
    <n v="1"/>
    <d v="2019-09-22T00:00:00"/>
    <x v="2"/>
    <n v="472.26899999999995"/>
    <n v="260.05699999999996"/>
    <x v="0"/>
    <x v="0"/>
    <x v="8"/>
    <n v="4"/>
  </r>
  <r>
    <n v="1"/>
    <d v="2019-09-22T00:00:00"/>
    <x v="0"/>
    <n v="2343.9499999999998"/>
    <n v="3063.6339999999996"/>
    <x v="0"/>
    <x v="0"/>
    <x v="8"/>
    <n v="4"/>
  </r>
  <r>
    <n v="1"/>
    <d v="2019-09-22T00:00:00"/>
    <x v="3"/>
    <n v="0"/>
    <n v="897.33"/>
    <x v="0"/>
    <x v="0"/>
    <x v="8"/>
    <n v="4"/>
  </r>
  <r>
    <n v="1"/>
    <d v="2019-09-22T00:00:00"/>
    <x v="1"/>
    <n v="2128.616"/>
    <n v="0"/>
    <x v="0"/>
    <x v="0"/>
    <x v="8"/>
    <n v="4"/>
  </r>
  <r>
    <n v="1"/>
    <d v="2019-09-23T00:00:00"/>
    <x v="3"/>
    <n v="36.098999999999997"/>
    <n v="503.49599999999992"/>
    <x v="0"/>
    <x v="0"/>
    <x v="8"/>
    <n v="5"/>
  </r>
  <r>
    <n v="1"/>
    <d v="2019-09-23T00:00:00"/>
    <x v="2"/>
    <n v="1075.298"/>
    <n v="957.74699999999996"/>
    <x v="0"/>
    <x v="0"/>
    <x v="8"/>
    <n v="5"/>
  </r>
  <r>
    <n v="1"/>
    <d v="2019-09-23T00:00:00"/>
    <x v="0"/>
    <n v="3434.1299999999997"/>
    <n v="4536.1959999999999"/>
    <x v="0"/>
    <x v="0"/>
    <x v="8"/>
    <n v="5"/>
  </r>
  <r>
    <n v="1"/>
    <d v="2019-09-23T00:00:00"/>
    <x v="1"/>
    <n v="2790.1439999999998"/>
    <n v="0"/>
    <x v="0"/>
    <x v="0"/>
    <x v="8"/>
    <n v="5"/>
  </r>
  <r>
    <n v="1"/>
    <d v="2019-09-24T00:00:00"/>
    <x v="0"/>
    <n v="3582.0679999999998"/>
    <n v="4840.8850000000002"/>
    <x v="0"/>
    <x v="0"/>
    <x v="8"/>
    <n v="5"/>
  </r>
  <r>
    <n v="1"/>
    <d v="2019-09-24T00:00:00"/>
    <x v="2"/>
    <n v="869.33"/>
    <n v="1004.101"/>
    <x v="0"/>
    <x v="0"/>
    <x v="8"/>
    <n v="5"/>
  </r>
  <r>
    <n v="1"/>
    <d v="2019-09-24T00:00:00"/>
    <x v="1"/>
    <n v="3810.7299999999996"/>
    <n v="0"/>
    <x v="0"/>
    <x v="0"/>
    <x v="8"/>
    <n v="5"/>
  </r>
  <r>
    <n v="1"/>
    <d v="2019-09-24T00:00:00"/>
    <x v="3"/>
    <n v="0"/>
    <n v="1242.808"/>
    <x v="0"/>
    <x v="0"/>
    <x v="8"/>
    <n v="5"/>
  </r>
  <r>
    <n v="1"/>
    <d v="2019-09-25T00:00:00"/>
    <x v="0"/>
    <n v="3683.4489999999996"/>
    <n v="4894.2950000000001"/>
    <x v="0"/>
    <x v="0"/>
    <x v="8"/>
    <n v="5"/>
  </r>
  <r>
    <n v="1"/>
    <d v="2019-09-25T00:00:00"/>
    <x v="3"/>
    <n v="407.25299999999993"/>
    <n v="1367.5829999999999"/>
    <x v="0"/>
    <x v="0"/>
    <x v="8"/>
    <n v="5"/>
  </r>
  <r>
    <n v="1"/>
    <d v="2019-09-25T00:00:00"/>
    <x v="1"/>
    <n v="3063.3469999999998"/>
    <n v="0"/>
    <x v="0"/>
    <x v="0"/>
    <x v="8"/>
    <n v="5"/>
  </r>
  <r>
    <n v="1"/>
    <d v="2019-09-25T00:00:00"/>
    <x v="2"/>
    <n v="855.30899999999986"/>
    <n v="1205.596"/>
    <x v="0"/>
    <x v="0"/>
    <x v="8"/>
    <n v="5"/>
  </r>
  <r>
    <n v="1"/>
    <d v="2019-09-26T00:00:00"/>
    <x v="1"/>
    <n v="3594.451"/>
    <n v="0"/>
    <x v="0"/>
    <x v="0"/>
    <x v="8"/>
    <n v="5"/>
  </r>
  <r>
    <n v="1"/>
    <d v="2019-09-26T00:00:00"/>
    <x v="3"/>
    <n v="0"/>
    <n v="555.26099999999997"/>
    <x v="0"/>
    <x v="0"/>
    <x v="8"/>
    <n v="5"/>
  </r>
  <r>
    <n v="1"/>
    <d v="2019-09-26T00:00:00"/>
    <x v="0"/>
    <n v="4022.4169999999999"/>
    <n v="5533.9480000000003"/>
    <x v="0"/>
    <x v="0"/>
    <x v="8"/>
    <n v="5"/>
  </r>
  <r>
    <n v="1"/>
    <d v="2019-09-26T00:00:00"/>
    <x v="2"/>
    <n v="726.85199999999986"/>
    <n v="923.32099999999991"/>
    <x v="0"/>
    <x v="0"/>
    <x v="8"/>
    <n v="5"/>
  </r>
  <r>
    <n v="1"/>
    <d v="2019-09-27T00:00:00"/>
    <x v="1"/>
    <n v="4071.0109999999995"/>
    <n v="0"/>
    <x v="0"/>
    <x v="0"/>
    <x v="8"/>
    <n v="5"/>
  </r>
  <r>
    <n v="1"/>
    <d v="2019-09-27T00:00:00"/>
    <x v="2"/>
    <n v="968.25399999999991"/>
    <n v="1585.038"/>
    <x v="0"/>
    <x v="0"/>
    <x v="8"/>
    <n v="5"/>
  </r>
  <r>
    <n v="1"/>
    <d v="2019-09-27T00:00:00"/>
    <x v="0"/>
    <n v="5572.5109999999995"/>
    <n v="6398.2869999999994"/>
    <x v="0"/>
    <x v="0"/>
    <x v="8"/>
    <n v="5"/>
  </r>
  <r>
    <n v="1"/>
    <d v="2019-09-27T00:00:00"/>
    <x v="3"/>
    <n v="26.361999999999995"/>
    <n v="370.56599999999997"/>
    <x v="0"/>
    <x v="0"/>
    <x v="8"/>
    <n v="5"/>
  </r>
  <r>
    <n v="1"/>
    <d v="2019-09-28T00:00:00"/>
    <x v="2"/>
    <n v="902.25099999999998"/>
    <n v="1130.08"/>
    <x v="0"/>
    <x v="0"/>
    <x v="8"/>
    <n v="5"/>
  </r>
  <r>
    <n v="1"/>
    <d v="2019-09-28T00:00:00"/>
    <x v="0"/>
    <n v="5517.2529999999997"/>
    <n v="6655.201"/>
    <x v="0"/>
    <x v="0"/>
    <x v="8"/>
    <n v="5"/>
  </r>
  <r>
    <n v="1"/>
    <d v="2019-09-28T00:00:00"/>
    <x v="3"/>
    <n v="174.846"/>
    <n v="413.35699999999997"/>
    <x v="0"/>
    <x v="0"/>
    <x v="8"/>
    <n v="5"/>
  </r>
  <r>
    <n v="1"/>
    <d v="2019-09-28T00:00:00"/>
    <x v="1"/>
    <n v="4025.6649999999995"/>
    <n v="0"/>
    <x v="0"/>
    <x v="0"/>
    <x v="8"/>
    <n v="5"/>
  </r>
  <r>
    <n v="1"/>
    <d v="2019-09-29T00:00:00"/>
    <x v="1"/>
    <n v="2058.2939999999999"/>
    <n v="0"/>
    <x v="0"/>
    <x v="0"/>
    <x v="8"/>
    <n v="5"/>
  </r>
  <r>
    <n v="1"/>
    <d v="2019-09-29T00:00:00"/>
    <x v="3"/>
    <n v="0"/>
    <n v="0"/>
    <x v="0"/>
    <x v="0"/>
    <x v="8"/>
    <n v="5"/>
  </r>
  <r>
    <n v="1"/>
    <d v="2019-09-29T00:00:00"/>
    <x v="0"/>
    <n v="2089.5349999999999"/>
    <n v="2811.319"/>
    <x v="0"/>
    <x v="0"/>
    <x v="8"/>
    <n v="5"/>
  </r>
  <r>
    <n v="1"/>
    <d v="2019-09-29T00:00:00"/>
    <x v="2"/>
    <n v="283.07299999999998"/>
    <n v="256.529"/>
    <x v="0"/>
    <x v="0"/>
    <x v="8"/>
    <n v="5"/>
  </r>
  <r>
    <n v="1"/>
    <d v="2019-09-30T00:00:00"/>
    <x v="2"/>
    <n v="774.99099999999999"/>
    <n v="1200.836"/>
    <x v="0"/>
    <x v="0"/>
    <x v="9"/>
    <n v="1"/>
  </r>
  <r>
    <n v="1"/>
    <d v="2019-09-30T00:00:00"/>
    <x v="0"/>
    <n v="2961.3920000000003"/>
    <n v="4731.8809999999994"/>
    <x v="0"/>
    <x v="0"/>
    <x v="9"/>
    <n v="1"/>
  </r>
  <r>
    <n v="1"/>
    <d v="2019-09-30T00:00:00"/>
    <x v="3"/>
    <n v="207.38899999999998"/>
    <n v="1385.818"/>
    <x v="0"/>
    <x v="0"/>
    <x v="9"/>
    <n v="1"/>
  </r>
  <r>
    <n v="1"/>
    <d v="2019-09-30T00:00:00"/>
    <x v="1"/>
    <n v="3182.4380000000001"/>
    <n v="0"/>
    <x v="0"/>
    <x v="0"/>
    <x v="9"/>
    <n v="1"/>
  </r>
  <r>
    <n v="1"/>
    <d v="2019-10-01T00:00:00"/>
    <x v="2"/>
    <n v="716.96799999999996"/>
    <n v="1213.8839999999998"/>
    <x v="0"/>
    <x v="0"/>
    <x v="9"/>
    <n v="1"/>
  </r>
  <r>
    <n v="1"/>
    <d v="2019-10-01T00:00:00"/>
    <x v="1"/>
    <n v="3216.3319999999999"/>
    <n v="0"/>
    <x v="0"/>
    <x v="0"/>
    <x v="9"/>
    <n v="1"/>
  </r>
  <r>
    <n v="1"/>
    <d v="2019-10-01T00:00:00"/>
    <x v="0"/>
    <n v="3860.4859999999994"/>
    <n v="4774.7699999999995"/>
    <x v="0"/>
    <x v="0"/>
    <x v="9"/>
    <n v="1"/>
  </r>
  <r>
    <n v="1"/>
    <d v="2019-10-01T00:00:00"/>
    <x v="3"/>
    <n v="0"/>
    <n v="874.96500000000003"/>
    <x v="0"/>
    <x v="0"/>
    <x v="9"/>
    <n v="1"/>
  </r>
  <r>
    <n v="1"/>
    <d v="2019-10-02T00:00:00"/>
    <x v="0"/>
    <n v="3409.4479999999999"/>
    <n v="5294.4989999999998"/>
    <x v="0"/>
    <x v="0"/>
    <x v="9"/>
    <n v="1"/>
  </r>
  <r>
    <n v="1"/>
    <d v="2019-10-02T00:00:00"/>
    <x v="3"/>
    <n v="0"/>
    <n v="8.0359999999999996"/>
    <x v="0"/>
    <x v="0"/>
    <x v="9"/>
    <n v="1"/>
  </r>
  <r>
    <n v="1"/>
    <d v="2019-10-02T00:00:00"/>
    <x v="1"/>
    <n v="2951.2"/>
    <n v="0"/>
    <x v="0"/>
    <x v="0"/>
    <x v="9"/>
    <n v="1"/>
  </r>
  <r>
    <n v="1"/>
    <d v="2019-10-02T00:00:00"/>
    <x v="2"/>
    <n v="842.226"/>
    <n v="1257.9769999999999"/>
    <x v="0"/>
    <x v="0"/>
    <x v="9"/>
    <n v="1"/>
  </r>
  <r>
    <n v="1"/>
    <d v="2019-10-03T00:00:00"/>
    <x v="2"/>
    <n v="744.10699999999997"/>
    <n v="1007.3349999999999"/>
    <x v="0"/>
    <x v="0"/>
    <x v="9"/>
    <n v="1"/>
  </r>
  <r>
    <n v="1"/>
    <d v="2019-10-03T00:00:00"/>
    <x v="3"/>
    <n v="196.96599999999998"/>
    <n v="830.22799999999995"/>
    <x v="0"/>
    <x v="0"/>
    <x v="9"/>
    <n v="1"/>
  </r>
  <r>
    <n v="1"/>
    <d v="2019-10-03T00:00:00"/>
    <x v="1"/>
    <n v="3477.614"/>
    <n v="0"/>
    <x v="0"/>
    <x v="0"/>
    <x v="9"/>
    <n v="1"/>
  </r>
  <r>
    <n v="1"/>
    <d v="2019-10-03T00:00:00"/>
    <x v="0"/>
    <n v="4572.82"/>
    <n v="6099.1629999999996"/>
    <x v="0"/>
    <x v="0"/>
    <x v="9"/>
    <n v="1"/>
  </r>
  <r>
    <n v="1"/>
    <d v="2019-10-04T00:00:00"/>
    <x v="2"/>
    <n v="1227.3309999999999"/>
    <n v="1465.7649999999999"/>
    <x v="0"/>
    <x v="0"/>
    <x v="9"/>
    <n v="1"/>
  </r>
  <r>
    <n v="1"/>
    <d v="2019-10-04T00:00:00"/>
    <x v="0"/>
    <n v="6309.9469999999992"/>
    <n v="7390.8029999999999"/>
    <x v="0"/>
    <x v="0"/>
    <x v="9"/>
    <n v="1"/>
  </r>
  <r>
    <n v="1"/>
    <d v="2019-10-04T00:00:00"/>
    <x v="3"/>
    <n v="0"/>
    <n v="2224.25"/>
    <x v="0"/>
    <x v="0"/>
    <x v="9"/>
    <n v="1"/>
  </r>
  <r>
    <n v="1"/>
    <d v="2019-10-04T00:00:00"/>
    <x v="1"/>
    <n v="4389.0839999999998"/>
    <n v="0"/>
    <x v="0"/>
    <x v="0"/>
    <x v="9"/>
    <n v="1"/>
  </r>
  <r>
    <n v="1"/>
    <d v="2019-10-05T00:00:00"/>
    <x v="0"/>
    <n v="4782.7709999999997"/>
    <n v="5405.0779999999995"/>
    <x v="0"/>
    <x v="0"/>
    <x v="9"/>
    <n v="1"/>
  </r>
  <r>
    <n v="1"/>
    <d v="2019-10-05T00:00:00"/>
    <x v="1"/>
    <n v="3980.06"/>
    <n v="0"/>
    <x v="0"/>
    <x v="0"/>
    <x v="9"/>
    <n v="1"/>
  </r>
  <r>
    <n v="1"/>
    <d v="2019-10-05T00:00:00"/>
    <x v="2"/>
    <n v="1019.2839999999999"/>
    <n v="1619.163"/>
    <x v="0"/>
    <x v="0"/>
    <x v="9"/>
    <n v="1"/>
  </r>
  <r>
    <n v="1"/>
    <d v="2019-10-05T00:00:00"/>
    <x v="3"/>
    <n v="0"/>
    <n v="246.11299999999997"/>
    <x v="0"/>
    <x v="0"/>
    <x v="9"/>
    <n v="1"/>
  </r>
  <r>
    <n v="1"/>
    <d v="2019-10-06T00:00:00"/>
    <x v="1"/>
    <n v="1912.127"/>
    <n v="0"/>
    <x v="0"/>
    <x v="0"/>
    <x v="9"/>
    <n v="1"/>
  </r>
  <r>
    <n v="1"/>
    <d v="2019-10-06T00:00:00"/>
    <x v="2"/>
    <n v="529.08100000000002"/>
    <n v="288.09899999999999"/>
    <x v="0"/>
    <x v="0"/>
    <x v="9"/>
    <n v="1"/>
  </r>
  <r>
    <n v="1"/>
    <d v="2019-10-06T00:00:00"/>
    <x v="3"/>
    <n v="59.996999999999993"/>
    <n v="0"/>
    <x v="0"/>
    <x v="0"/>
    <x v="9"/>
    <n v="1"/>
  </r>
  <r>
    <n v="1"/>
    <d v="2019-10-06T00:00:00"/>
    <x v="0"/>
    <n v="2494.0929999999998"/>
    <n v="2548.1119999999996"/>
    <x v="0"/>
    <x v="0"/>
    <x v="9"/>
    <n v="1"/>
  </r>
  <r>
    <n v="1"/>
    <d v="2019-10-07T00:00:00"/>
    <x v="1"/>
    <n v="2408.3989999999999"/>
    <n v="0"/>
    <x v="0"/>
    <x v="0"/>
    <x v="9"/>
    <n v="2"/>
  </r>
  <r>
    <n v="1"/>
    <d v="2019-10-07T00:00:00"/>
    <x v="2"/>
    <n v="353.70299999999997"/>
    <n v="933.46399999999994"/>
    <x v="0"/>
    <x v="0"/>
    <x v="9"/>
    <n v="2"/>
  </r>
  <r>
    <n v="1"/>
    <d v="2019-10-07T00:00:00"/>
    <x v="3"/>
    <n v="0"/>
    <n v="1936.6059999999998"/>
    <x v="0"/>
    <x v="0"/>
    <x v="9"/>
    <n v="2"/>
  </r>
  <r>
    <n v="1"/>
    <d v="2019-10-07T00:00:00"/>
    <x v="0"/>
    <n v="2985.241"/>
    <n v="5184.4309999999996"/>
    <x v="0"/>
    <x v="0"/>
    <x v="9"/>
    <n v="2"/>
  </r>
  <r>
    <n v="1"/>
    <d v="2019-10-08T00:00:00"/>
    <x v="1"/>
    <n v="3339.4549999999995"/>
    <n v="0"/>
    <x v="0"/>
    <x v="0"/>
    <x v="9"/>
    <n v="2"/>
  </r>
  <r>
    <n v="1"/>
    <d v="2019-10-08T00:00:00"/>
    <x v="0"/>
    <n v="3607.1279999999997"/>
    <n v="4644.4719999999998"/>
    <x v="0"/>
    <x v="0"/>
    <x v="9"/>
    <n v="2"/>
  </r>
  <r>
    <n v="1"/>
    <d v="2019-10-08T00:00:00"/>
    <x v="3"/>
    <n v="0"/>
    <n v="492.84899999999999"/>
    <x v="0"/>
    <x v="0"/>
    <x v="9"/>
    <n v="2"/>
  </r>
  <r>
    <n v="1"/>
    <d v="2019-10-08T00:00:00"/>
    <x v="2"/>
    <n v="929.78899999999987"/>
    <n v="885.74499999999989"/>
    <x v="0"/>
    <x v="0"/>
    <x v="9"/>
    <n v="2"/>
  </r>
  <r>
    <n v="1"/>
    <d v="2019-10-09T00:00:00"/>
    <x v="1"/>
    <n v="3223.0309999999999"/>
    <n v="0"/>
    <x v="0"/>
    <x v="0"/>
    <x v="9"/>
    <n v="2"/>
  </r>
  <r>
    <n v="1"/>
    <d v="2019-10-09T00:00:00"/>
    <x v="3"/>
    <n v="63.307999999999993"/>
    <n v="1056.4749999999999"/>
    <x v="0"/>
    <x v="0"/>
    <x v="9"/>
    <n v="2"/>
  </r>
  <r>
    <n v="1"/>
    <d v="2019-10-09T00:00:00"/>
    <x v="2"/>
    <n v="848.17600000000004"/>
    <n v="1146.6629999999998"/>
    <x v="0"/>
    <x v="0"/>
    <x v="9"/>
    <n v="2"/>
  </r>
  <r>
    <n v="1"/>
    <d v="2019-10-09T00:00:00"/>
    <x v="0"/>
    <n v="3586.8839999999996"/>
    <n v="4888.0369999999994"/>
    <x v="0"/>
    <x v="0"/>
    <x v="9"/>
    <n v="2"/>
  </r>
  <r>
    <n v="1"/>
    <d v="2019-10-10T00:00:00"/>
    <x v="1"/>
    <n v="3281.6909999999998"/>
    <n v="0"/>
    <x v="0"/>
    <x v="0"/>
    <x v="9"/>
    <n v="2"/>
  </r>
  <r>
    <n v="1"/>
    <d v="2019-10-10T00:00:00"/>
    <x v="0"/>
    <n v="4702.3549999999996"/>
    <n v="5345.3119999999999"/>
    <x v="0"/>
    <x v="0"/>
    <x v="9"/>
    <n v="2"/>
  </r>
  <r>
    <n v="1"/>
    <d v="2019-10-10T00:00:00"/>
    <x v="3"/>
    <n v="194.41800000000001"/>
    <n v="2749.2429999999995"/>
    <x v="0"/>
    <x v="0"/>
    <x v="9"/>
    <n v="2"/>
  </r>
  <r>
    <n v="1"/>
    <d v="2019-10-10T00:00:00"/>
    <x v="2"/>
    <n v="995.81999999999982"/>
    <n v="766.16399999999999"/>
    <x v="0"/>
    <x v="0"/>
    <x v="9"/>
    <n v="2"/>
  </r>
  <r>
    <n v="1"/>
    <d v="2019-10-11T00:00:00"/>
    <x v="1"/>
    <n v="3900.6379999999999"/>
    <n v="0"/>
    <x v="0"/>
    <x v="0"/>
    <x v="9"/>
    <n v="2"/>
  </r>
  <r>
    <n v="1"/>
    <d v="2019-10-11T00:00:00"/>
    <x v="0"/>
    <n v="5478.4029999999993"/>
    <n v="7565.0679999999993"/>
    <x v="0"/>
    <x v="0"/>
    <x v="9"/>
    <n v="2"/>
  </r>
  <r>
    <n v="1"/>
    <d v="2019-10-11T00:00:00"/>
    <x v="2"/>
    <n v="1235.8009999999999"/>
    <n v="2235.0299999999997"/>
    <x v="0"/>
    <x v="0"/>
    <x v="9"/>
    <n v="2"/>
  </r>
  <r>
    <n v="1"/>
    <d v="2019-10-11T00:00:00"/>
    <x v="3"/>
    <n v="306.00499999999994"/>
    <n v="853.08299999999997"/>
    <x v="0"/>
    <x v="0"/>
    <x v="9"/>
    <n v="2"/>
  </r>
  <r>
    <n v="1"/>
    <d v="2019-10-12T00:00:00"/>
    <x v="2"/>
    <n v="1077.6289999999999"/>
    <n v="1524.8869999999997"/>
    <x v="0"/>
    <x v="0"/>
    <x v="9"/>
    <n v="2"/>
  </r>
  <r>
    <n v="1"/>
    <d v="2019-10-12T00:00:00"/>
    <x v="0"/>
    <n v="6966.3159999999989"/>
    <n v="7048.0479999999989"/>
    <x v="0"/>
    <x v="0"/>
    <x v="9"/>
    <n v="2"/>
  </r>
  <r>
    <n v="1"/>
    <d v="2019-10-12T00:00:00"/>
    <x v="3"/>
    <n v="534.82799999999997"/>
    <n v="462.245"/>
    <x v="0"/>
    <x v="0"/>
    <x v="9"/>
    <n v="2"/>
  </r>
  <r>
    <n v="1"/>
    <d v="2019-10-12T00:00:00"/>
    <x v="1"/>
    <n v="4508.2309999999998"/>
    <n v="0"/>
    <x v="0"/>
    <x v="0"/>
    <x v="9"/>
    <n v="2"/>
  </r>
  <r>
    <n v="1"/>
    <d v="2019-10-13T00:00:00"/>
    <x v="0"/>
    <n v="2502.2129999999997"/>
    <n v="3008.2570000000001"/>
    <x v="0"/>
    <x v="0"/>
    <x v="9"/>
    <n v="2"/>
  </r>
  <r>
    <n v="1"/>
    <d v="2019-10-13T00:00:00"/>
    <x v="2"/>
    <n v="504.94499999999999"/>
    <n v="284.41699999999997"/>
    <x v="0"/>
    <x v="0"/>
    <x v="9"/>
    <n v="2"/>
  </r>
  <r>
    <n v="1"/>
    <d v="2019-10-13T00:00:00"/>
    <x v="1"/>
    <n v="2056.1589999999997"/>
    <n v="0"/>
    <x v="0"/>
    <x v="0"/>
    <x v="9"/>
    <n v="2"/>
  </r>
  <r>
    <n v="1"/>
    <d v="2019-10-13T00:00:00"/>
    <x v="3"/>
    <n v="0"/>
    <n v="0"/>
    <x v="0"/>
    <x v="0"/>
    <x v="9"/>
    <n v="2"/>
  </r>
  <r>
    <n v="1"/>
    <d v="2019-10-14T00:00:00"/>
    <x v="1"/>
    <n v="3388.098"/>
    <n v="0"/>
    <x v="0"/>
    <x v="0"/>
    <x v="9"/>
    <n v="3"/>
  </r>
  <r>
    <n v="1"/>
    <d v="2019-10-14T00:00:00"/>
    <x v="3"/>
    <n v="298.291"/>
    <n v="539.67200000000003"/>
    <x v="0"/>
    <x v="0"/>
    <x v="9"/>
    <n v="3"/>
  </r>
  <r>
    <n v="1"/>
    <d v="2019-10-14T00:00:00"/>
    <x v="2"/>
    <n v="600.03300000000002"/>
    <n v="1061.6759999999999"/>
    <x v="0"/>
    <x v="0"/>
    <x v="9"/>
    <n v="3"/>
  </r>
  <r>
    <n v="1"/>
    <d v="2019-10-14T00:00:00"/>
    <x v="0"/>
    <n v="3491.7679999999996"/>
    <n v="3974.6909999999998"/>
    <x v="0"/>
    <x v="0"/>
    <x v="9"/>
    <n v="3"/>
  </r>
  <r>
    <n v="1"/>
    <d v="2019-10-15T00:00:00"/>
    <x v="2"/>
    <n v="851.07399999999996"/>
    <n v="874.54499999999985"/>
    <x v="0"/>
    <x v="0"/>
    <x v="9"/>
    <n v="3"/>
  </r>
  <r>
    <n v="1"/>
    <d v="2019-10-15T00:00:00"/>
    <x v="0"/>
    <n v="3628.2890000000002"/>
    <n v="4409.7129999999997"/>
    <x v="0"/>
    <x v="0"/>
    <x v="9"/>
    <n v="3"/>
  </r>
  <r>
    <n v="1"/>
    <d v="2019-10-15T00:00:00"/>
    <x v="3"/>
    <n v="0"/>
    <n v="896.48299999999995"/>
    <x v="0"/>
    <x v="0"/>
    <x v="9"/>
    <n v="3"/>
  </r>
  <r>
    <n v="1"/>
    <d v="2019-10-15T00:00:00"/>
    <x v="1"/>
    <n v="3120.9850000000001"/>
    <n v="0"/>
    <x v="0"/>
    <x v="0"/>
    <x v="9"/>
    <n v="3"/>
  </r>
  <r>
    <n v="1"/>
    <d v="2019-10-16T00:00:00"/>
    <x v="2"/>
    <n v="499.03699999999992"/>
    <n v="1038.576"/>
    <x v="0"/>
    <x v="0"/>
    <x v="9"/>
    <n v="3"/>
  </r>
  <r>
    <n v="1"/>
    <d v="2019-10-16T00:00:00"/>
    <x v="0"/>
    <n v="3719.7089999999998"/>
    <n v="4481.1899999999996"/>
    <x v="0"/>
    <x v="0"/>
    <x v="9"/>
    <n v="3"/>
  </r>
  <r>
    <n v="1"/>
    <d v="2019-10-16T00:00:00"/>
    <x v="3"/>
    <n v="0"/>
    <n v="1.0429999999999999"/>
    <x v="0"/>
    <x v="0"/>
    <x v="9"/>
    <n v="3"/>
  </r>
  <r>
    <n v="1"/>
    <d v="2019-10-16T00:00:00"/>
    <x v="1"/>
    <n v="2948.0429999999997"/>
    <n v="2576.1610000000001"/>
    <x v="0"/>
    <x v="0"/>
    <x v="9"/>
    <n v="3"/>
  </r>
  <r>
    <n v="1"/>
    <d v="2019-10-17T00:00:00"/>
    <x v="0"/>
    <n v="4679.9690000000001"/>
    <n v="5672.1629999999996"/>
    <x v="0"/>
    <x v="0"/>
    <x v="9"/>
    <n v="3"/>
  </r>
  <r>
    <n v="1"/>
    <d v="2019-10-17T00:00:00"/>
    <x v="2"/>
    <n v="710.07999999999993"/>
    <n v="1124.2069999999999"/>
    <x v="0"/>
    <x v="0"/>
    <x v="9"/>
    <n v="3"/>
  </r>
  <r>
    <n v="1"/>
    <d v="2019-10-17T00:00:00"/>
    <x v="3"/>
    <n v="65.435999999999993"/>
    <n v="220.29"/>
    <x v="0"/>
    <x v="0"/>
    <x v="9"/>
    <n v="3"/>
  </r>
  <r>
    <n v="1"/>
    <d v="2019-10-17T00:00:00"/>
    <x v="1"/>
    <n v="3555.2089999999998"/>
    <n v="3094.7769999999996"/>
    <x v="0"/>
    <x v="0"/>
    <x v="9"/>
    <n v="3"/>
  </r>
  <r>
    <n v="1"/>
    <d v="2019-10-18T00:00:00"/>
    <x v="2"/>
    <n v="915.173"/>
    <n v="1822.394"/>
    <x v="0"/>
    <x v="0"/>
    <x v="9"/>
    <n v="3"/>
  </r>
  <r>
    <n v="1"/>
    <d v="2019-10-18T00:00:00"/>
    <x v="0"/>
    <n v="5198.0389999999998"/>
    <n v="6625.5209999999997"/>
    <x v="0"/>
    <x v="0"/>
    <x v="9"/>
    <n v="3"/>
  </r>
  <r>
    <n v="1"/>
    <d v="2019-10-18T00:00:00"/>
    <x v="3"/>
    <n v="40.564999999999998"/>
    <n v="220.29"/>
    <x v="0"/>
    <x v="0"/>
    <x v="9"/>
    <n v="3"/>
  </r>
  <r>
    <n v="1"/>
    <d v="2019-10-18T00:00:00"/>
    <x v="1"/>
    <n v="3642.1209999999996"/>
    <n v="3000.7040000000002"/>
    <x v="0"/>
    <x v="0"/>
    <x v="9"/>
    <n v="3"/>
  </r>
  <r>
    <n v="1"/>
    <d v="2019-10-19T00:00:00"/>
    <x v="0"/>
    <n v="5533.2619999999997"/>
    <n v="5141.3040000000001"/>
    <x v="0"/>
    <x v="0"/>
    <x v="9"/>
    <n v="3"/>
  </r>
  <r>
    <n v="1"/>
    <d v="2019-10-19T00:00:00"/>
    <x v="2"/>
    <n v="684.63499999999988"/>
    <n v="1051.932"/>
    <x v="0"/>
    <x v="0"/>
    <x v="9"/>
    <n v="3"/>
  </r>
  <r>
    <n v="1"/>
    <d v="2019-10-19T00:00:00"/>
    <x v="3"/>
    <n v="12.032999999999999"/>
    <n v="188.07599999999999"/>
    <x v="0"/>
    <x v="0"/>
    <x v="9"/>
    <n v="3"/>
  </r>
  <r>
    <n v="1"/>
    <d v="2019-10-19T00:00:00"/>
    <x v="1"/>
    <n v="3352.0549999999994"/>
    <n v="2506.2379999999998"/>
    <x v="0"/>
    <x v="0"/>
    <x v="9"/>
    <n v="3"/>
  </r>
  <r>
    <n v="1"/>
    <d v="2019-10-20T00:00:00"/>
    <x v="1"/>
    <n v="1823.605"/>
    <n v="1764.0350000000001"/>
    <x v="0"/>
    <x v="0"/>
    <x v="9"/>
    <n v="3"/>
  </r>
  <r>
    <n v="1"/>
    <d v="2019-10-20T00:00:00"/>
    <x v="3"/>
    <n v="0"/>
    <n v="19.564999999999998"/>
    <x v="0"/>
    <x v="0"/>
    <x v="9"/>
    <n v="3"/>
  </r>
  <r>
    <n v="1"/>
    <d v="2019-10-20T00:00:00"/>
    <x v="0"/>
    <n v="1912.1479999999997"/>
    <n v="2477.1320000000001"/>
    <x v="0"/>
    <x v="0"/>
    <x v="9"/>
    <n v="3"/>
  </r>
  <r>
    <n v="1"/>
    <d v="2019-10-20T00:00:00"/>
    <x v="2"/>
    <n v="592.85799999999995"/>
    <n v="376.93599999999998"/>
    <x v="0"/>
    <x v="0"/>
    <x v="9"/>
    <n v="3"/>
  </r>
  <r>
    <n v="1"/>
    <d v="2019-10-21T00:00:00"/>
    <x v="2"/>
    <n v="801.77300000000002"/>
    <n v="1000.1039999999999"/>
    <x v="0"/>
    <x v="0"/>
    <x v="9"/>
    <n v="4"/>
  </r>
  <r>
    <n v="1"/>
    <d v="2019-10-21T00:00:00"/>
    <x v="0"/>
    <n v="3381.8329999999996"/>
    <n v="4266.22"/>
    <x v="0"/>
    <x v="0"/>
    <x v="9"/>
    <n v="4"/>
  </r>
  <r>
    <n v="1"/>
    <d v="2019-10-21T00:00:00"/>
    <x v="1"/>
    <n v="2899.904"/>
    <n v="2736.125"/>
    <x v="0"/>
    <x v="0"/>
    <x v="9"/>
    <n v="4"/>
  </r>
  <r>
    <n v="1"/>
    <d v="2019-10-21T00:00:00"/>
    <x v="3"/>
    <n v="165.96299999999999"/>
    <n v="218.47"/>
    <x v="0"/>
    <x v="0"/>
    <x v="9"/>
    <n v="4"/>
  </r>
  <r>
    <n v="1"/>
    <d v="2019-10-22T00:00:00"/>
    <x v="2"/>
    <n v="784.67200000000003"/>
    <n v="1364.8809999999999"/>
    <x v="0"/>
    <x v="0"/>
    <x v="9"/>
    <n v="4"/>
  </r>
  <r>
    <n v="1"/>
    <d v="2019-10-22T00:00:00"/>
    <x v="0"/>
    <n v="3587.1079999999993"/>
    <n v="4209.4079999999994"/>
    <x v="0"/>
    <x v="0"/>
    <x v="9"/>
    <n v="4"/>
  </r>
  <r>
    <n v="1"/>
    <d v="2019-10-22T00:00:00"/>
    <x v="3"/>
    <n v="0"/>
    <n v="0"/>
    <x v="0"/>
    <x v="0"/>
    <x v="9"/>
    <n v="4"/>
  </r>
  <r>
    <n v="1"/>
    <d v="2019-10-22T00:00:00"/>
    <x v="1"/>
    <n v="3168.8649999999998"/>
    <n v="2539.2149999999997"/>
    <x v="0"/>
    <x v="0"/>
    <x v="9"/>
    <n v="4"/>
  </r>
  <r>
    <n v="1"/>
    <d v="2019-10-23T00:00:00"/>
    <x v="3"/>
    <n v="241.28999999999996"/>
    <n v="370.63599999999997"/>
    <x v="0"/>
    <x v="0"/>
    <x v="9"/>
    <n v="4"/>
  </r>
  <r>
    <n v="1"/>
    <d v="2019-10-23T00:00:00"/>
    <x v="0"/>
    <n v="3025.9109999999996"/>
    <n v="4153.4079999999994"/>
    <x v="0"/>
    <x v="0"/>
    <x v="9"/>
    <n v="4"/>
  </r>
  <r>
    <n v="1"/>
    <d v="2019-10-23T00:00:00"/>
    <x v="1"/>
    <n v="3170.4049999999997"/>
    <n v="2451.9110000000001"/>
    <x v="0"/>
    <x v="0"/>
    <x v="9"/>
    <n v="4"/>
  </r>
  <r>
    <n v="1"/>
    <d v="2019-10-23T00:00:00"/>
    <x v="2"/>
    <n v="480.73199999999997"/>
    <n v="953.25299999999993"/>
    <x v="0"/>
    <x v="0"/>
    <x v="9"/>
    <n v="4"/>
  </r>
  <r>
    <n v="1"/>
    <d v="2019-10-24T00:00:00"/>
    <x v="0"/>
    <n v="4006.3239999999996"/>
    <n v="4329.2689999999993"/>
    <x v="0"/>
    <x v="0"/>
    <x v="9"/>
    <n v="4"/>
  </r>
  <r>
    <n v="1"/>
    <d v="2019-10-24T00:00:00"/>
    <x v="3"/>
    <n v="0"/>
    <n v="83.908999999999992"/>
    <x v="0"/>
    <x v="0"/>
    <x v="9"/>
    <n v="4"/>
  </r>
  <r>
    <n v="1"/>
    <d v="2019-10-24T00:00:00"/>
    <x v="1"/>
    <n v="3237.7730000000001"/>
    <n v="2820.1949999999997"/>
    <x v="0"/>
    <x v="0"/>
    <x v="9"/>
    <n v="4"/>
  </r>
  <r>
    <n v="1"/>
    <d v="2019-10-24T00:00:00"/>
    <x v="2"/>
    <n v="732.99099999999999"/>
    <n v="905.64599999999996"/>
    <x v="0"/>
    <x v="0"/>
    <x v="9"/>
    <n v="4"/>
  </r>
  <r>
    <n v="1"/>
    <d v="2019-10-25T00:00:00"/>
    <x v="0"/>
    <n v="4488.4489999999996"/>
    <n v="5387.76"/>
    <x v="0"/>
    <x v="0"/>
    <x v="9"/>
    <n v="4"/>
  </r>
  <r>
    <n v="1"/>
    <d v="2019-10-25T00:00:00"/>
    <x v="1"/>
    <n v="3554.9079999999994"/>
    <n v="3531.5630000000001"/>
    <x v="0"/>
    <x v="0"/>
    <x v="9"/>
    <n v="4"/>
  </r>
  <r>
    <n v="1"/>
    <d v="2019-10-25T00:00:00"/>
    <x v="2"/>
    <n v="801.92699999999991"/>
    <n v="1748.5089999999998"/>
    <x v="0"/>
    <x v="0"/>
    <x v="9"/>
    <n v="4"/>
  </r>
  <r>
    <n v="1"/>
    <d v="2019-10-25T00:00:00"/>
    <x v="3"/>
    <n v="295.512"/>
    <n v="36.196999999999996"/>
    <x v="0"/>
    <x v="0"/>
    <x v="9"/>
    <n v="4"/>
  </r>
  <r>
    <n v="1"/>
    <d v="2019-10-26T00:00:00"/>
    <x v="0"/>
    <n v="5767.2089999999998"/>
    <n v="6453.7830000000004"/>
    <x v="0"/>
    <x v="0"/>
    <x v="9"/>
    <n v="4"/>
  </r>
  <r>
    <n v="1"/>
    <d v="2019-10-26T00:00:00"/>
    <x v="3"/>
    <n v="0"/>
    <n v="84.951999999999998"/>
    <x v="0"/>
    <x v="0"/>
    <x v="9"/>
    <n v="4"/>
  </r>
  <r>
    <n v="1"/>
    <d v="2019-10-26T00:00:00"/>
    <x v="1"/>
    <n v="3492.944"/>
    <n v="3283.4829999999997"/>
    <x v="0"/>
    <x v="0"/>
    <x v="9"/>
    <n v="4"/>
  </r>
  <r>
    <n v="1"/>
    <d v="2019-10-26T00:00:00"/>
    <x v="2"/>
    <n v="1093.2179999999998"/>
    <n v="1056.2860000000001"/>
    <x v="0"/>
    <x v="0"/>
    <x v="9"/>
    <n v="4"/>
  </r>
  <r>
    <n v="1"/>
    <d v="2019-10-27T00:00:00"/>
    <x v="2"/>
    <n v="422.51299999999998"/>
    <n v="255.654"/>
    <x v="0"/>
    <x v="0"/>
    <x v="9"/>
    <n v="4"/>
  </r>
  <r>
    <n v="1"/>
    <d v="2019-10-27T00:00:00"/>
    <x v="0"/>
    <n v="2001.7199999999998"/>
    <n v="2699.172"/>
    <x v="0"/>
    <x v="0"/>
    <x v="9"/>
    <n v="4"/>
  </r>
  <r>
    <n v="1"/>
    <d v="2019-10-27T00:00:00"/>
    <x v="1"/>
    <n v="2046.8419999999999"/>
    <n v="1875.7059999999999"/>
    <x v="0"/>
    <x v="0"/>
    <x v="9"/>
    <n v="4"/>
  </r>
  <r>
    <n v="1"/>
    <d v="2019-10-27T00:00:00"/>
    <x v="3"/>
    <n v="0"/>
    <n v="0"/>
    <x v="0"/>
    <x v="0"/>
    <x v="9"/>
    <n v="4"/>
  </r>
  <r>
    <n v="1"/>
    <d v="2019-10-28T00:00:00"/>
    <x v="0"/>
    <n v="3006.85"/>
    <n v="3569.4259999999999"/>
    <x v="0"/>
    <x v="0"/>
    <x v="10"/>
    <n v="1"/>
  </r>
  <r>
    <n v="1"/>
    <d v="2019-10-28T00:00:00"/>
    <x v="2"/>
    <n v="843.17099999999994"/>
    <n v="1011.2969999999999"/>
    <x v="0"/>
    <x v="0"/>
    <x v="10"/>
    <n v="1"/>
  </r>
  <r>
    <n v="1"/>
    <d v="2019-10-28T00:00:00"/>
    <x v="1"/>
    <n v="3089.5829999999996"/>
    <n v="2751.9029999999998"/>
    <x v="0"/>
    <x v="0"/>
    <x v="10"/>
    <n v="1"/>
  </r>
  <r>
    <n v="1"/>
    <d v="2019-10-28T00:00:00"/>
    <x v="3"/>
    <n v="323.036"/>
    <n v="697.58499999999992"/>
    <x v="0"/>
    <x v="0"/>
    <x v="10"/>
    <n v="1"/>
  </r>
  <r>
    <n v="1"/>
    <d v="2019-10-29T00:00:00"/>
    <x v="2"/>
    <n v="923.41899999999998"/>
    <n v="1154.3559999999998"/>
    <x v="0"/>
    <x v="0"/>
    <x v="10"/>
    <n v="1"/>
  </r>
  <r>
    <n v="1"/>
    <d v="2019-10-29T00:00:00"/>
    <x v="3"/>
    <n v="0"/>
    <n v="0"/>
    <x v="0"/>
    <x v="0"/>
    <x v="10"/>
    <n v="1"/>
  </r>
  <r>
    <n v="1"/>
    <d v="2019-10-29T00:00:00"/>
    <x v="0"/>
    <n v="3172.2040000000002"/>
    <n v="3716.3489999999997"/>
    <x v="0"/>
    <x v="0"/>
    <x v="10"/>
    <n v="1"/>
  </r>
  <r>
    <n v="1"/>
    <d v="2019-10-29T00:00:00"/>
    <x v="1"/>
    <n v="3634.8899999999994"/>
    <n v="2485.5949999999998"/>
    <x v="0"/>
    <x v="0"/>
    <x v="10"/>
    <n v="1"/>
  </r>
  <r>
    <n v="1"/>
    <d v="2019-10-30T00:00:00"/>
    <x v="0"/>
    <n v="3736.8449999999998"/>
    <n v="4169.1440000000002"/>
    <x v="0"/>
    <x v="0"/>
    <x v="10"/>
    <n v="1"/>
  </r>
  <r>
    <n v="1"/>
    <d v="2019-10-30T00:00:00"/>
    <x v="1"/>
    <n v="3044.3140000000003"/>
    <n v="3039.5889999999999"/>
    <x v="0"/>
    <x v="0"/>
    <x v="10"/>
    <n v="1"/>
  </r>
  <r>
    <n v="1"/>
    <d v="2019-10-30T00:00:00"/>
    <x v="2"/>
    <n v="1118.635"/>
    <n v="1063.2860000000001"/>
    <x v="0"/>
    <x v="0"/>
    <x v="10"/>
    <n v="1"/>
  </r>
  <r>
    <n v="1"/>
    <d v="2019-10-30T00:00:00"/>
    <x v="3"/>
    <n v="83.971999999999994"/>
    <n v="0"/>
    <x v="0"/>
    <x v="0"/>
    <x v="10"/>
    <n v="1"/>
  </r>
  <r>
    <n v="1"/>
    <d v="2019-10-31T00:00:00"/>
    <x v="0"/>
    <n v="3902.2549999999997"/>
    <n v="4691.735999999999"/>
    <x v="0"/>
    <x v="0"/>
    <x v="10"/>
    <n v="1"/>
  </r>
  <r>
    <n v="1"/>
    <d v="2019-10-31T00:00:00"/>
    <x v="3"/>
    <n v="0"/>
    <n v="318.51399999999995"/>
    <x v="0"/>
    <x v="0"/>
    <x v="10"/>
    <n v="1"/>
  </r>
  <r>
    <n v="1"/>
    <d v="2019-10-31T00:00:00"/>
    <x v="2"/>
    <n v="1485.085"/>
    <n v="775.88700000000006"/>
    <x v="0"/>
    <x v="0"/>
    <x v="10"/>
    <n v="1"/>
  </r>
  <r>
    <n v="1"/>
    <d v="2019-10-31T00:00:00"/>
    <x v="1"/>
    <n v="3682.2659999999996"/>
    <n v="3427.1439999999998"/>
    <x v="0"/>
    <x v="0"/>
    <x v="10"/>
    <n v="1"/>
  </r>
  <r>
    <n v="1"/>
    <d v="2019-11-01T00:00:00"/>
    <x v="2"/>
    <n v="1178.1279999999999"/>
    <n v="1536.9829999999999"/>
    <x v="0"/>
    <x v="0"/>
    <x v="10"/>
    <n v="1"/>
  </r>
  <r>
    <n v="1"/>
    <d v="2019-11-01T00:00:00"/>
    <x v="3"/>
    <n v="28.202999999999996"/>
    <n v="74.465999999999994"/>
    <x v="0"/>
    <x v="0"/>
    <x v="10"/>
    <n v="1"/>
  </r>
  <r>
    <n v="1"/>
    <d v="2019-11-01T00:00:00"/>
    <x v="0"/>
    <n v="5159.6439999999993"/>
    <n v="5979.6239999999998"/>
    <x v="0"/>
    <x v="0"/>
    <x v="10"/>
    <n v="1"/>
  </r>
  <r>
    <n v="1"/>
    <d v="2019-11-01T00:00:00"/>
    <x v="1"/>
    <n v="4032.5529999999999"/>
    <n v="3780.2449999999999"/>
    <x v="0"/>
    <x v="0"/>
    <x v="10"/>
    <n v="1"/>
  </r>
  <r>
    <n v="1"/>
    <d v="2019-11-02T00:00:00"/>
    <x v="2"/>
    <n v="1048.9079999999999"/>
    <n v="1317.33"/>
    <x v="0"/>
    <x v="0"/>
    <x v="10"/>
    <n v="1"/>
  </r>
  <r>
    <n v="1"/>
    <d v="2019-11-02T00:00:00"/>
    <x v="0"/>
    <n v="5450.3819999999996"/>
    <n v="5783.3649999999998"/>
    <x v="0"/>
    <x v="0"/>
    <x v="10"/>
    <n v="1"/>
  </r>
  <r>
    <n v="1"/>
    <d v="2019-11-02T00:00:00"/>
    <x v="1"/>
    <n v="3400.1869999999999"/>
    <n v="3831.2260000000001"/>
    <x v="0"/>
    <x v="0"/>
    <x v="10"/>
    <n v="1"/>
  </r>
  <r>
    <n v="1"/>
    <d v="2019-11-02T00:00:00"/>
    <x v="3"/>
    <n v="24.128999999999998"/>
    <n v="146.85999999999999"/>
    <x v="0"/>
    <x v="0"/>
    <x v="10"/>
    <n v="1"/>
  </r>
  <r>
    <n v="1"/>
    <d v="2019-11-03T00:00:00"/>
    <x v="2"/>
    <n v="253.07099999999997"/>
    <n v="318.62599999999998"/>
    <x v="0"/>
    <x v="0"/>
    <x v="10"/>
    <n v="1"/>
  </r>
  <r>
    <n v="1"/>
    <d v="2019-11-03T00:00:00"/>
    <x v="3"/>
    <n v="0"/>
    <n v="0"/>
    <x v="0"/>
    <x v="0"/>
    <x v="10"/>
    <n v="1"/>
  </r>
  <r>
    <n v="1"/>
    <d v="2019-11-03T00:00:00"/>
    <x v="0"/>
    <n v="2131.08"/>
    <n v="1921.1499999999999"/>
    <x v="0"/>
    <x v="0"/>
    <x v="10"/>
    <n v="1"/>
  </r>
  <r>
    <n v="1"/>
    <d v="2019-11-03T00:00:00"/>
    <x v="1"/>
    <n v="1486.1419999999998"/>
    <n v="1836.982"/>
    <x v="0"/>
    <x v="0"/>
    <x v="10"/>
    <n v="1"/>
  </r>
  <r>
    <n v="1"/>
    <d v="2019-11-04T00:00:00"/>
    <x v="0"/>
    <n v="3118.7869999999998"/>
    <n v="4039.49"/>
    <x v="0"/>
    <x v="0"/>
    <x v="10"/>
    <n v="2"/>
  </r>
  <r>
    <n v="1"/>
    <d v="2019-11-04T00:00:00"/>
    <x v="2"/>
    <n v="592.53599999999994"/>
    <n v="754.15899999999988"/>
    <x v="0"/>
    <x v="0"/>
    <x v="10"/>
    <n v="2"/>
  </r>
  <r>
    <n v="1"/>
    <d v="2019-11-04T00:00:00"/>
    <x v="3"/>
    <n v="0"/>
    <n v="34.467999999999996"/>
    <x v="0"/>
    <x v="0"/>
    <x v="10"/>
    <n v="2"/>
  </r>
  <r>
    <n v="1"/>
    <d v="2019-11-04T00:00:00"/>
    <x v="1"/>
    <n v="3161.6269999999995"/>
    <n v="2713.9839999999999"/>
    <x v="0"/>
    <x v="0"/>
    <x v="10"/>
    <n v="2"/>
  </r>
  <r>
    <n v="1"/>
    <d v="2019-11-05T00:00:00"/>
    <x v="2"/>
    <n v="1392.3629999999998"/>
    <n v="730.19799999999998"/>
    <x v="0"/>
    <x v="0"/>
    <x v="10"/>
    <n v="2"/>
  </r>
  <r>
    <n v="1"/>
    <d v="2019-11-05T00:00:00"/>
    <x v="3"/>
    <n v="0"/>
    <n v="20.278999999999996"/>
    <x v="0"/>
    <x v="0"/>
    <x v="10"/>
    <n v="2"/>
  </r>
  <r>
    <n v="1"/>
    <d v="2019-11-05T00:00:00"/>
    <x v="0"/>
    <n v="3294.0739999999996"/>
    <n v="4067.35"/>
    <x v="0"/>
    <x v="0"/>
    <x v="10"/>
    <n v="2"/>
  </r>
  <r>
    <n v="1"/>
    <d v="2019-11-05T00:00:00"/>
    <x v="1"/>
    <n v="3074.7919999999999"/>
    <n v="2887.3459999999995"/>
    <x v="0"/>
    <x v="0"/>
    <x v="10"/>
    <n v="2"/>
  </r>
  <r>
    <n v="1"/>
    <d v="2019-11-06T00:00:00"/>
    <x v="2"/>
    <n v="709.74399999999991"/>
    <n v="920.70999999999992"/>
    <x v="0"/>
    <x v="0"/>
    <x v="10"/>
    <n v="2"/>
  </r>
  <r>
    <n v="1"/>
    <d v="2019-11-06T00:00:00"/>
    <x v="0"/>
    <n v="3664.8289999999997"/>
    <n v="4533.3189999999995"/>
    <x v="0"/>
    <x v="0"/>
    <x v="10"/>
    <n v="2"/>
  </r>
  <r>
    <n v="1"/>
    <d v="2019-11-06T00:00:00"/>
    <x v="1"/>
    <n v="3236.0790000000002"/>
    <n v="3043.4879999999998"/>
    <x v="0"/>
    <x v="0"/>
    <x v="10"/>
    <n v="2"/>
  </r>
  <r>
    <n v="1"/>
    <d v="2019-11-06T00:00:00"/>
    <x v="3"/>
    <n v="0"/>
    <n v="143.78699999999998"/>
    <x v="0"/>
    <x v="0"/>
    <x v="10"/>
    <n v="2"/>
  </r>
  <r>
    <n v="1"/>
    <d v="2019-11-07T00:00:00"/>
    <x v="2"/>
    <n v="828.34499999999991"/>
    <n v="1424.9269999999999"/>
    <x v="0"/>
    <x v="0"/>
    <x v="10"/>
    <n v="2"/>
  </r>
  <r>
    <n v="1"/>
    <d v="2019-11-07T00:00:00"/>
    <x v="3"/>
    <n v="0"/>
    <n v="302.80599999999998"/>
    <x v="0"/>
    <x v="0"/>
    <x v="10"/>
    <n v="2"/>
  </r>
  <r>
    <n v="1"/>
    <d v="2019-11-07T00:00:00"/>
    <x v="0"/>
    <n v="4114.5510000000004"/>
    <n v="4754.7709999999997"/>
    <x v="0"/>
    <x v="0"/>
    <x v="10"/>
    <n v="2"/>
  </r>
  <r>
    <n v="1"/>
    <d v="2019-11-07T00:00:00"/>
    <x v="1"/>
    <n v="3567.8719999999998"/>
    <n v="3430.2449999999999"/>
    <x v="0"/>
    <x v="0"/>
    <x v="10"/>
    <n v="2"/>
  </r>
  <r>
    <n v="1"/>
    <d v="2019-11-08T00:00:00"/>
    <x v="2"/>
    <n v="1397.4870000000001"/>
    <n v="1122.5409999999999"/>
    <x v="0"/>
    <x v="0"/>
    <x v="10"/>
    <n v="2"/>
  </r>
  <r>
    <n v="1"/>
    <d v="2019-11-08T00:00:00"/>
    <x v="0"/>
    <n v="5360.0329999999994"/>
    <n v="5767.4049999999997"/>
    <x v="0"/>
    <x v="0"/>
    <x v="10"/>
    <n v="2"/>
  </r>
  <r>
    <n v="1"/>
    <d v="2019-11-08T00:00:00"/>
    <x v="3"/>
    <n v="0"/>
    <n v="718.39599999999996"/>
    <x v="0"/>
    <x v="0"/>
    <x v="10"/>
    <n v="2"/>
  </r>
  <r>
    <n v="1"/>
    <d v="2019-11-08T00:00:00"/>
    <x v="1"/>
    <n v="3681.3629999999998"/>
    <n v="3622.4019999999996"/>
    <x v="0"/>
    <x v="0"/>
    <x v="10"/>
    <n v="2"/>
  </r>
  <r>
    <n v="1"/>
    <d v="2019-11-09T00:00:00"/>
    <x v="2"/>
    <n v="1220.8699999999999"/>
    <n v="999.64899999999989"/>
    <x v="0"/>
    <x v="0"/>
    <x v="10"/>
    <n v="2"/>
  </r>
  <r>
    <n v="1"/>
    <d v="2019-11-09T00:00:00"/>
    <x v="3"/>
    <n v="193.38899999999998"/>
    <n v="0"/>
    <x v="0"/>
    <x v="0"/>
    <x v="10"/>
    <n v="2"/>
  </r>
  <r>
    <n v="1"/>
    <d v="2019-11-09T00:00:00"/>
    <x v="0"/>
    <n v="5963.7830000000004"/>
    <n v="5101.5649999999996"/>
    <x v="0"/>
    <x v="0"/>
    <x v="10"/>
    <n v="2"/>
  </r>
  <r>
    <n v="1"/>
    <d v="2019-11-09T00:00:00"/>
    <x v="1"/>
    <n v="3824.3239999999996"/>
    <n v="3490.8369999999995"/>
    <x v="0"/>
    <x v="0"/>
    <x v="10"/>
    <n v="2"/>
  </r>
  <r>
    <n v="1"/>
    <d v="2019-11-10T00:00:00"/>
    <x v="2"/>
    <n v="415.33800000000002"/>
    <n v="187.10999999999999"/>
    <x v="0"/>
    <x v="0"/>
    <x v="10"/>
    <n v="2"/>
  </r>
  <r>
    <n v="1"/>
    <d v="2019-11-10T00:00:00"/>
    <x v="0"/>
    <n v="2142.5250000000001"/>
    <n v="2178.4699999999998"/>
    <x v="0"/>
    <x v="0"/>
    <x v="10"/>
    <n v="2"/>
  </r>
  <r>
    <n v="1"/>
    <d v="2019-11-10T00:00:00"/>
    <x v="3"/>
    <n v="0"/>
    <n v="452.14399999999995"/>
    <x v="0"/>
    <x v="0"/>
    <x v="10"/>
    <n v="2"/>
  </r>
  <r>
    <n v="1"/>
    <d v="2019-11-10T00:00:00"/>
    <x v="1"/>
    <n v="1886.1499999999999"/>
    <n v="1610.9309999999998"/>
    <x v="0"/>
    <x v="0"/>
    <x v="10"/>
    <n v="2"/>
  </r>
  <r>
    <n v="1"/>
    <d v="2019-11-11T00:00:00"/>
    <x v="2"/>
    <n v="844.52199999999993"/>
    <n v="768.6629999999999"/>
    <x v="0"/>
    <x v="0"/>
    <x v="10"/>
    <n v="3"/>
  </r>
  <r>
    <n v="1"/>
    <d v="2019-11-11T00:00:00"/>
    <x v="0"/>
    <n v="3746.1269999999995"/>
    <n v="3656.5479999999998"/>
    <x v="0"/>
    <x v="0"/>
    <x v="10"/>
    <n v="3"/>
  </r>
  <r>
    <n v="1"/>
    <d v="2019-11-11T00:00:00"/>
    <x v="3"/>
    <n v="48.110999999999997"/>
    <n v="0"/>
    <x v="0"/>
    <x v="0"/>
    <x v="10"/>
    <n v="3"/>
  </r>
  <r>
    <n v="1"/>
    <d v="2019-11-11T00:00:00"/>
    <x v="1"/>
    <n v="3246.3130000000001"/>
    <n v="2890.86"/>
    <x v="0"/>
    <x v="0"/>
    <x v="10"/>
    <n v="3"/>
  </r>
  <r>
    <n v="1"/>
    <d v="2019-11-12T00:00:00"/>
    <x v="2"/>
    <n v="729.351"/>
    <n v="1138.2839999999999"/>
    <x v="0"/>
    <x v="0"/>
    <x v="10"/>
    <n v="3"/>
  </r>
  <r>
    <n v="1"/>
    <d v="2019-11-12T00:00:00"/>
    <x v="0"/>
    <n v="2975.0769999999998"/>
    <n v="3784.6899999999996"/>
    <x v="0"/>
    <x v="0"/>
    <x v="10"/>
    <n v="3"/>
  </r>
  <r>
    <n v="1"/>
    <d v="2019-11-12T00:00:00"/>
    <x v="3"/>
    <n v="165.96299999999999"/>
    <n v="26.901"/>
    <x v="0"/>
    <x v="0"/>
    <x v="10"/>
    <n v="3"/>
  </r>
  <r>
    <n v="1"/>
    <d v="2019-11-12T00:00:00"/>
    <x v="1"/>
    <n v="3000.6480000000001"/>
    <n v="3003.7980000000002"/>
    <x v="0"/>
    <x v="0"/>
    <x v="10"/>
    <n v="3"/>
  </r>
  <r>
    <n v="1"/>
    <d v="2019-11-13T00:00:00"/>
    <x v="0"/>
    <n v="3138.0859999999993"/>
    <n v="3818.0729999999999"/>
    <x v="0"/>
    <x v="0"/>
    <x v="10"/>
    <n v="3"/>
  </r>
  <r>
    <n v="1"/>
    <d v="2019-11-13T00:00:00"/>
    <x v="1"/>
    <n v="3126.6899999999996"/>
    <n v="3068.7510000000002"/>
    <x v="0"/>
    <x v="0"/>
    <x v="10"/>
    <n v="3"/>
  </r>
  <r>
    <n v="1"/>
    <d v="2019-11-13T00:00:00"/>
    <x v="2"/>
    <n v="753.22799999999995"/>
    <n v="923.06200000000001"/>
    <x v="0"/>
    <x v="0"/>
    <x v="10"/>
    <n v="3"/>
  </r>
  <r>
    <n v="1"/>
    <d v="2019-11-13T00:00:00"/>
    <x v="3"/>
    <n v="0"/>
    <n v="0"/>
    <x v="0"/>
    <x v="0"/>
    <x v="10"/>
    <n v="3"/>
  </r>
  <r>
    <n v="1"/>
    <d v="2019-11-14T00:00:00"/>
    <x v="3"/>
    <n v="0"/>
    <n v="0"/>
    <x v="0"/>
    <x v="0"/>
    <x v="10"/>
    <n v="3"/>
  </r>
  <r>
    <n v="1"/>
    <d v="2019-11-14T00:00:00"/>
    <x v="1"/>
    <n v="3480.82"/>
    <n v="3676.232"/>
    <x v="0"/>
    <x v="0"/>
    <x v="10"/>
    <n v="3"/>
  </r>
  <r>
    <n v="1"/>
    <d v="2019-11-14T00:00:00"/>
    <x v="0"/>
    <n v="3671.2759999999998"/>
    <n v="4739.28"/>
    <x v="0"/>
    <x v="0"/>
    <x v="10"/>
    <n v="3"/>
  </r>
  <r>
    <n v="1"/>
    <d v="2019-11-14T00:00:00"/>
    <x v="2"/>
    <n v="782.51600000000008"/>
    <n v="1371.1879999999999"/>
    <x v="0"/>
    <x v="0"/>
    <x v="10"/>
    <n v="3"/>
  </r>
  <r>
    <n v="1"/>
    <d v="2019-11-15T00:00:00"/>
    <x v="2"/>
    <n v="1191.4769999999999"/>
    <n v="1214.7169999999999"/>
    <x v="0"/>
    <x v="0"/>
    <x v="10"/>
    <n v="3"/>
  </r>
  <r>
    <n v="1"/>
    <d v="2019-11-15T00:00:00"/>
    <x v="0"/>
    <n v="5209.8760000000002"/>
    <n v="5839.2179999999998"/>
    <x v="0"/>
    <x v="0"/>
    <x v="10"/>
    <n v="3"/>
  </r>
  <r>
    <n v="1"/>
    <d v="2019-11-15T00:00:00"/>
    <x v="1"/>
    <n v="3965.6959999999995"/>
    <n v="3802.4839999999995"/>
    <x v="0"/>
    <x v="0"/>
    <x v="10"/>
    <n v="3"/>
  </r>
  <r>
    <n v="1"/>
    <d v="2019-11-15T00:00:00"/>
    <x v="3"/>
    <n v="36.098999999999997"/>
    <n v="29.364999999999998"/>
    <x v="0"/>
    <x v="0"/>
    <x v="10"/>
    <n v="3"/>
  </r>
  <r>
    <n v="1"/>
    <d v="2019-11-16T00:00:00"/>
    <x v="0"/>
    <n v="5361.79"/>
    <n v="5722.7659999999996"/>
    <x v="0"/>
    <x v="0"/>
    <x v="10"/>
    <n v="3"/>
  </r>
  <r>
    <n v="1"/>
    <d v="2019-11-16T00:00:00"/>
    <x v="3"/>
    <n v="254.94699999999997"/>
    <n v="492.03"/>
    <x v="0"/>
    <x v="0"/>
    <x v="10"/>
    <n v="3"/>
  </r>
  <r>
    <n v="1"/>
    <d v="2019-11-16T00:00:00"/>
    <x v="2"/>
    <n v="1055.0119999999999"/>
    <n v="1123.5909999999999"/>
    <x v="0"/>
    <x v="0"/>
    <x v="10"/>
    <n v="3"/>
  </r>
  <r>
    <n v="1"/>
    <d v="2019-11-16T00:00:00"/>
    <x v="1"/>
    <n v="3376.625"/>
    <n v="3838.8420000000001"/>
    <x v="0"/>
    <x v="0"/>
    <x v="10"/>
    <n v="3"/>
  </r>
  <r>
    <n v="1"/>
    <d v="2019-11-17T00:00:00"/>
    <x v="1"/>
    <n v="1685.0399999999997"/>
    <n v="1903.944"/>
    <x v="0"/>
    <x v="0"/>
    <x v="10"/>
    <n v="3"/>
  </r>
  <r>
    <n v="1"/>
    <d v="2019-11-17T00:00:00"/>
    <x v="2"/>
    <n v="486.46499999999997"/>
    <n v="251.37"/>
    <x v="0"/>
    <x v="0"/>
    <x v="10"/>
    <n v="3"/>
  </r>
  <r>
    <n v="1"/>
    <d v="2019-11-17T00:00:00"/>
    <x v="0"/>
    <n v="1866.816"/>
    <n v="2429.3289999999997"/>
    <x v="0"/>
    <x v="0"/>
    <x v="10"/>
    <n v="3"/>
  </r>
  <r>
    <n v="1"/>
    <d v="2019-11-17T00:00:00"/>
    <x v="3"/>
    <n v="7.5879999999999992"/>
    <n v="25.178999999999998"/>
    <x v="0"/>
    <x v="0"/>
    <x v="10"/>
    <n v="3"/>
  </r>
  <r>
    <n v="1"/>
    <d v="2019-11-18T00:00:00"/>
    <x v="1"/>
    <n v="2946.7829999999994"/>
    <n v="3170.0549999999994"/>
    <x v="0"/>
    <x v="0"/>
    <x v="10"/>
    <n v="4"/>
  </r>
  <r>
    <n v="1"/>
    <d v="2019-11-18T00:00:00"/>
    <x v="2"/>
    <n v="1034.8309999999999"/>
    <n v="1157.1769999999999"/>
    <x v="0"/>
    <x v="0"/>
    <x v="10"/>
    <n v="4"/>
  </r>
  <r>
    <n v="1"/>
    <d v="2019-11-18T00:00:00"/>
    <x v="0"/>
    <n v="2698.7660000000001"/>
    <n v="4214.1959999999999"/>
    <x v="0"/>
    <x v="0"/>
    <x v="10"/>
    <n v="4"/>
  </r>
  <r>
    <n v="1"/>
    <d v="2019-11-18T00:00:00"/>
    <x v="3"/>
    <n v="866.404"/>
    <n v="0"/>
    <x v="0"/>
    <x v="0"/>
    <x v="10"/>
    <n v="4"/>
  </r>
  <r>
    <n v="1"/>
    <d v="2019-11-19T00:00:00"/>
    <x v="3"/>
    <n v="0"/>
    <n v="0"/>
    <x v="0"/>
    <x v="0"/>
    <x v="10"/>
    <n v="4"/>
  </r>
  <r>
    <n v="1"/>
    <d v="2019-11-19T00:00:00"/>
    <x v="0"/>
    <n v="3125.6749999999997"/>
    <n v="4740.0919999999996"/>
    <x v="0"/>
    <x v="0"/>
    <x v="10"/>
    <n v="4"/>
  </r>
  <r>
    <n v="1"/>
    <d v="2019-11-19T00:00:00"/>
    <x v="1"/>
    <n v="2989.0839999999998"/>
    <n v="2863.3149999999996"/>
    <x v="0"/>
    <x v="0"/>
    <x v="10"/>
    <n v="4"/>
  </r>
  <r>
    <n v="1"/>
    <d v="2019-11-19T00:00:00"/>
    <x v="2"/>
    <n v="1033.8440000000001"/>
    <n v="794.67499999999995"/>
    <x v="0"/>
    <x v="0"/>
    <x v="10"/>
    <n v="4"/>
  </r>
  <r>
    <n v="1"/>
    <d v="2019-11-20T00:00:00"/>
    <x v="2"/>
    <n v="754.29899999999986"/>
    <n v="1188.8029999999999"/>
    <x v="0"/>
    <x v="0"/>
    <x v="10"/>
    <n v="4"/>
  </r>
  <r>
    <n v="1"/>
    <d v="2019-11-20T00:00:00"/>
    <x v="0"/>
    <n v="4062.4009999999998"/>
    <n v="4206.3980000000001"/>
    <x v="0"/>
    <x v="0"/>
    <x v="10"/>
    <n v="4"/>
  </r>
  <r>
    <n v="1"/>
    <d v="2019-11-20T00:00:00"/>
    <x v="3"/>
    <n v="0"/>
    <n v="0"/>
    <x v="0"/>
    <x v="0"/>
    <x v="10"/>
    <n v="4"/>
  </r>
  <r>
    <n v="1"/>
    <d v="2019-11-20T00:00:00"/>
    <x v="1"/>
    <n v="3377.241"/>
    <n v="2635.7589999999996"/>
    <x v="0"/>
    <x v="0"/>
    <x v="10"/>
    <n v="4"/>
  </r>
  <r>
    <n v="1"/>
    <d v="2019-11-21T00:00:00"/>
    <x v="0"/>
    <n v="3536.029"/>
    <n v="0"/>
    <x v="0"/>
    <x v="0"/>
    <x v="10"/>
    <n v="4"/>
  </r>
  <r>
    <n v="1"/>
    <d v="2019-11-21T00:00:00"/>
    <x v="3"/>
    <n v="10.002999999999998"/>
    <n v="0"/>
    <x v="0"/>
    <x v="0"/>
    <x v="10"/>
    <n v="4"/>
  </r>
  <r>
    <n v="1"/>
    <d v="2019-11-21T00:00:00"/>
    <x v="2"/>
    <n v="840.21699999999987"/>
    <n v="0"/>
    <x v="0"/>
    <x v="0"/>
    <x v="10"/>
    <n v="4"/>
  </r>
  <r>
    <n v="1"/>
    <d v="2019-11-21T00:00:00"/>
    <x v="1"/>
    <n v="3407.1589999999997"/>
    <n v="0"/>
    <x v="0"/>
    <x v="0"/>
    <x v="10"/>
    <n v="4"/>
  </r>
  <r>
    <n v="1"/>
    <d v="2019-11-22T00:00:00"/>
    <x v="2"/>
    <n v="844.29100000000005"/>
    <n v="699.31399999999996"/>
    <x v="0"/>
    <x v="0"/>
    <x v="10"/>
    <n v="4"/>
  </r>
  <r>
    <n v="1"/>
    <d v="2019-11-22T00:00:00"/>
    <x v="0"/>
    <n v="4730.348"/>
    <n v="4398.1769999999997"/>
    <x v="0"/>
    <x v="0"/>
    <x v="10"/>
    <n v="4"/>
  </r>
  <r>
    <n v="1"/>
    <d v="2019-11-22T00:00:00"/>
    <x v="1"/>
    <n v="4015.6899999999996"/>
    <n v="2239.8179999999998"/>
    <x v="0"/>
    <x v="0"/>
    <x v="10"/>
    <n v="4"/>
  </r>
  <r>
    <n v="1"/>
    <d v="2019-11-22T00:00:00"/>
    <x v="3"/>
    <n v="426.22299999999996"/>
    <n v="0"/>
    <x v="0"/>
    <x v="0"/>
    <x v="10"/>
    <n v="4"/>
  </r>
  <r>
    <n v="1"/>
    <d v="2019-11-23T00:00:00"/>
    <x v="2"/>
    <n v="1230.1239999999998"/>
    <n v="496.32799999999992"/>
    <x v="0"/>
    <x v="0"/>
    <x v="10"/>
    <n v="4"/>
  </r>
  <r>
    <n v="1"/>
    <d v="2019-11-23T00:00:00"/>
    <x v="3"/>
    <n v="167.85999999999999"/>
    <n v="0"/>
    <x v="0"/>
    <x v="0"/>
    <x v="10"/>
    <n v="4"/>
  </r>
  <r>
    <n v="1"/>
    <d v="2019-11-23T00:00:00"/>
    <x v="0"/>
    <n v="4847.8639999999996"/>
    <n v="4103.3089999999993"/>
    <x v="0"/>
    <x v="0"/>
    <x v="10"/>
    <n v="4"/>
  </r>
  <r>
    <n v="1"/>
    <d v="2019-11-23T00:00:00"/>
    <x v="1"/>
    <n v="3023.3839999999996"/>
    <n v="2458.5329999999999"/>
    <x v="0"/>
    <x v="0"/>
    <x v="10"/>
    <n v="4"/>
  </r>
  <r>
    <n v="1"/>
    <d v="2019-11-24T00:00:00"/>
    <x v="2"/>
    <n v="408.61799999999999"/>
    <n v="313.13799999999998"/>
    <x v="0"/>
    <x v="0"/>
    <x v="10"/>
    <n v="4"/>
  </r>
  <r>
    <n v="1"/>
    <d v="2019-11-24T00:00:00"/>
    <x v="1"/>
    <n v="1987.7969999999998"/>
    <n v="1819.6639999999998"/>
    <x v="0"/>
    <x v="0"/>
    <x v="10"/>
    <n v="4"/>
  </r>
  <r>
    <n v="1"/>
    <d v="2019-11-24T00:00:00"/>
    <x v="0"/>
    <n v="2202.9070000000002"/>
    <n v="2267.433"/>
    <x v="0"/>
    <x v="0"/>
    <x v="10"/>
    <n v="4"/>
  </r>
  <r>
    <n v="1"/>
    <d v="2019-11-24T00:00:00"/>
    <x v="3"/>
    <n v="0"/>
    <n v="26.781999999999996"/>
    <x v="0"/>
    <x v="0"/>
    <x v="10"/>
    <n v="4"/>
  </r>
  <r>
    <n v="1"/>
    <d v="2019-11-25T00:00:00"/>
    <x v="3"/>
    <n v="34.125"/>
    <n v="384.65"/>
    <x v="0"/>
    <x v="0"/>
    <x v="11"/>
    <n v="1"/>
  </r>
  <r>
    <n v="1"/>
    <d v="2019-11-25T00:00:00"/>
    <x v="1"/>
    <n v="3096.4009999999998"/>
    <n v="2607.5279999999998"/>
    <x v="0"/>
    <x v="0"/>
    <x v="11"/>
    <n v="1"/>
  </r>
  <r>
    <n v="1"/>
    <d v="2019-11-25T00:00:00"/>
    <x v="0"/>
    <n v="3541.692"/>
    <n v="3802.7779999999998"/>
    <x v="0"/>
    <x v="0"/>
    <x v="11"/>
    <n v="1"/>
  </r>
  <r>
    <n v="1"/>
    <d v="2019-11-25T00:00:00"/>
    <x v="2"/>
    <n v="898.35199999999986"/>
    <n v="1030.8059999999998"/>
    <x v="0"/>
    <x v="0"/>
    <x v="11"/>
    <n v="1"/>
  </r>
  <r>
    <n v="1"/>
    <d v="2019-11-26T00:00:00"/>
    <x v="2"/>
    <n v="798.51099999999997"/>
    <n v="1013.9919999999998"/>
    <x v="0"/>
    <x v="0"/>
    <x v="11"/>
    <n v="1"/>
  </r>
  <r>
    <n v="1"/>
    <d v="2019-11-26T00:00:00"/>
    <x v="0"/>
    <n v="3847.2069999999999"/>
    <n v="3751.4259999999999"/>
    <x v="0"/>
    <x v="0"/>
    <x v="11"/>
    <n v="1"/>
  </r>
  <r>
    <n v="1"/>
    <d v="2019-11-26T00:00:00"/>
    <x v="3"/>
    <n v="281.50499999999994"/>
    <n v="116.96299999999999"/>
    <x v="0"/>
    <x v="0"/>
    <x v="11"/>
    <n v="1"/>
  </r>
  <r>
    <n v="1"/>
    <d v="2019-11-26T00:00:00"/>
    <x v="1"/>
    <n v="2867.011"/>
    <n v="2529.6109999999999"/>
    <x v="0"/>
    <x v="0"/>
    <x v="11"/>
    <n v="1"/>
  </r>
  <r>
    <n v="1"/>
    <d v="2019-11-27T00:00:00"/>
    <x v="0"/>
    <n v="3221.3999999999996"/>
    <n v="3804.2969999999996"/>
    <x v="0"/>
    <x v="0"/>
    <x v="11"/>
    <n v="1"/>
  </r>
  <r>
    <n v="1"/>
    <d v="2019-11-27T00:00:00"/>
    <x v="2"/>
    <n v="1129.6599999999999"/>
    <n v="471.63199999999995"/>
    <x v="0"/>
    <x v="0"/>
    <x v="11"/>
    <n v="1"/>
  </r>
  <r>
    <n v="1"/>
    <d v="2019-11-27T00:00:00"/>
    <x v="1"/>
    <n v="2780.9039999999995"/>
    <n v="2734.4309999999996"/>
    <x v="0"/>
    <x v="0"/>
    <x v="11"/>
    <n v="1"/>
  </r>
  <r>
    <n v="1"/>
    <d v="2019-11-27T00:00:00"/>
    <x v="3"/>
    <n v="359.97499999999997"/>
    <n v="0"/>
    <x v="0"/>
    <x v="0"/>
    <x v="11"/>
    <n v="1"/>
  </r>
  <r>
    <n v="1"/>
    <d v="2019-11-28T00:00:00"/>
    <x v="0"/>
    <n v="0"/>
    <n v="4078.2839999999997"/>
    <x v="0"/>
    <x v="0"/>
    <x v="11"/>
    <n v="1"/>
  </r>
  <r>
    <n v="1"/>
    <d v="2019-11-28T00:00:00"/>
    <x v="3"/>
    <n v="0"/>
    <n v="0"/>
    <x v="0"/>
    <x v="0"/>
    <x v="11"/>
    <n v="1"/>
  </r>
  <r>
    <n v="1"/>
    <d v="2019-11-28T00:00:00"/>
    <x v="1"/>
    <n v="0"/>
    <n v="3138.7089999999998"/>
    <x v="0"/>
    <x v="0"/>
    <x v="11"/>
    <n v="1"/>
  </r>
  <r>
    <n v="1"/>
    <d v="2019-11-28T00:00:00"/>
    <x v="2"/>
    <n v="0"/>
    <n v="604.77199999999993"/>
    <x v="0"/>
    <x v="0"/>
    <x v="11"/>
    <n v="1"/>
  </r>
  <r>
    <n v="1"/>
    <d v="2019-11-29T00:00:00"/>
    <x v="2"/>
    <n v="1608.271"/>
    <n v="1594.3899999999999"/>
    <x v="0"/>
    <x v="0"/>
    <x v="11"/>
    <n v="1"/>
  </r>
  <r>
    <n v="1"/>
    <d v="2019-11-29T00:00:00"/>
    <x v="0"/>
    <n v="3740.5969999999998"/>
    <n v="5780.32"/>
    <x v="0"/>
    <x v="0"/>
    <x v="11"/>
    <n v="1"/>
  </r>
  <r>
    <n v="1"/>
    <d v="2019-11-29T00:00:00"/>
    <x v="3"/>
    <n v="0"/>
    <n v="1749.7479999999998"/>
    <x v="0"/>
    <x v="0"/>
    <x v="11"/>
    <n v="1"/>
  </r>
  <r>
    <n v="1"/>
    <d v="2019-11-29T00:00:00"/>
    <x v="1"/>
    <n v="2139.116"/>
    <n v="3686.8649999999998"/>
    <x v="0"/>
    <x v="0"/>
    <x v="11"/>
    <n v="1"/>
  </r>
  <r>
    <n v="1"/>
    <d v="2019-11-30T00:00:00"/>
    <x v="2"/>
    <n v="1081.5"/>
    <n v="1204.7139999999999"/>
    <x v="0"/>
    <x v="0"/>
    <x v="11"/>
    <n v="1"/>
  </r>
  <r>
    <n v="1"/>
    <d v="2019-11-30T00:00:00"/>
    <x v="0"/>
    <n v="3508.5049999999997"/>
    <n v="5624.6679999999997"/>
    <x v="0"/>
    <x v="0"/>
    <x v="11"/>
    <n v="1"/>
  </r>
  <r>
    <n v="1"/>
    <d v="2019-11-30T00:00:00"/>
    <x v="3"/>
    <n v="0"/>
    <n v="989.947"/>
    <x v="0"/>
    <x v="0"/>
    <x v="11"/>
    <n v="1"/>
  </r>
  <r>
    <n v="1"/>
    <d v="2019-11-30T00:00:00"/>
    <x v="1"/>
    <n v="3177.16"/>
    <n v="3281.9850000000001"/>
    <x v="0"/>
    <x v="0"/>
    <x v="11"/>
    <n v="1"/>
  </r>
  <r>
    <n v="1"/>
    <d v="2019-12-01T00:00:00"/>
    <x v="0"/>
    <n v="2157.3719999999998"/>
    <n v="1980.0479999999998"/>
    <x v="0"/>
    <x v="0"/>
    <x v="11"/>
    <n v="1"/>
  </r>
  <r>
    <n v="1"/>
    <d v="2019-12-01T00:00:00"/>
    <x v="2"/>
    <n v="415.98899999999998"/>
    <n v="203.09799999999998"/>
    <x v="0"/>
    <x v="0"/>
    <x v="11"/>
    <n v="1"/>
  </r>
  <r>
    <n v="1"/>
    <d v="2019-12-01T00:00:00"/>
    <x v="3"/>
    <n v="0"/>
    <n v="0"/>
    <x v="0"/>
    <x v="0"/>
    <x v="11"/>
    <n v="1"/>
  </r>
  <r>
    <n v="1"/>
    <d v="2019-12-01T00:00:00"/>
    <x v="1"/>
    <n v="2086.2660000000001"/>
    <n v="1627.836"/>
    <x v="0"/>
    <x v="0"/>
    <x v="11"/>
    <n v="1"/>
  </r>
  <r>
    <n v="1"/>
    <d v="2019-12-02T00:00:00"/>
    <x v="2"/>
    <n v="853.81799999999998"/>
    <n v="663.80299999999988"/>
    <x v="0"/>
    <x v="0"/>
    <x v="11"/>
    <n v="2"/>
  </r>
  <r>
    <n v="1"/>
    <d v="2019-12-02T00:00:00"/>
    <x v="0"/>
    <n v="3688.0619999999994"/>
    <n v="3820.4739999999997"/>
    <x v="0"/>
    <x v="0"/>
    <x v="11"/>
    <n v="2"/>
  </r>
  <r>
    <n v="1"/>
    <d v="2019-12-02T00:00:00"/>
    <x v="3"/>
    <n v="0"/>
    <n v="423.11500000000001"/>
    <x v="0"/>
    <x v="0"/>
    <x v="11"/>
    <n v="2"/>
  </r>
  <r>
    <n v="1"/>
    <d v="2019-12-02T00:00:00"/>
    <x v="1"/>
    <n v="3654.9869999999996"/>
    <n v="3075.9609999999993"/>
    <x v="0"/>
    <x v="0"/>
    <x v="11"/>
    <n v="2"/>
  </r>
  <r>
    <n v="1"/>
    <d v="2019-12-03T00:00:00"/>
    <x v="0"/>
    <n v="3390.0579999999995"/>
    <n v="4746.4059999999999"/>
    <x v="0"/>
    <x v="0"/>
    <x v="11"/>
    <n v="2"/>
  </r>
  <r>
    <n v="1"/>
    <d v="2019-12-03T00:00:00"/>
    <x v="3"/>
    <n v="81.557000000000002"/>
    <n v="0"/>
    <x v="0"/>
    <x v="0"/>
    <x v="11"/>
    <n v="2"/>
  </r>
  <r>
    <n v="1"/>
    <d v="2019-12-03T00:00:00"/>
    <x v="2"/>
    <n v="1040.0039999999999"/>
    <n v="1272.558"/>
    <x v="0"/>
    <x v="0"/>
    <x v="11"/>
    <n v="2"/>
  </r>
  <r>
    <n v="1"/>
    <d v="2019-12-03T00:00:00"/>
    <x v="1"/>
    <n v="3295.194"/>
    <n v="3310.4049999999997"/>
    <x v="0"/>
    <x v="0"/>
    <x v="11"/>
    <n v="2"/>
  </r>
  <r>
    <n v="1"/>
    <d v="2019-12-04T00:00:00"/>
    <x v="2"/>
    <n v="761.27099999999996"/>
    <n v="1043.3150000000001"/>
    <x v="0"/>
    <x v="0"/>
    <x v="11"/>
    <n v="2"/>
  </r>
  <r>
    <n v="1"/>
    <d v="2019-12-04T00:00:00"/>
    <x v="1"/>
    <n v="3088.6170000000002"/>
    <n v="3017.7279999999996"/>
    <x v="0"/>
    <x v="0"/>
    <x v="11"/>
    <n v="2"/>
  </r>
  <r>
    <n v="1"/>
    <d v="2019-12-04T00:00:00"/>
    <x v="3"/>
    <n v="913.101"/>
    <n v="251.34899999999999"/>
    <x v="0"/>
    <x v="0"/>
    <x v="11"/>
    <n v="2"/>
  </r>
  <r>
    <n v="1"/>
    <d v="2019-12-04T00:00:00"/>
    <x v="0"/>
    <n v="3319.5399999999995"/>
    <n v="3694.2919999999999"/>
    <x v="0"/>
    <x v="0"/>
    <x v="11"/>
    <n v="2"/>
  </r>
  <r>
    <n v="1"/>
    <d v="2019-12-05T00:00:00"/>
    <x v="2"/>
    <n v="1000.111"/>
    <n v="1319.43"/>
    <x v="0"/>
    <x v="0"/>
    <x v="11"/>
    <n v="2"/>
  </r>
  <r>
    <n v="1"/>
    <d v="2019-12-05T00:00:00"/>
    <x v="0"/>
    <n v="3422.1880000000001"/>
    <n v="4565.7989999999991"/>
    <x v="0"/>
    <x v="0"/>
    <x v="11"/>
    <n v="2"/>
  </r>
  <r>
    <n v="1"/>
    <d v="2019-12-05T00:00:00"/>
    <x v="1"/>
    <n v="3690.8129999999996"/>
    <n v="3347.9459999999995"/>
    <x v="0"/>
    <x v="0"/>
    <x v="11"/>
    <n v="2"/>
  </r>
  <r>
    <n v="1"/>
    <d v="2019-12-05T00:00:00"/>
    <x v="3"/>
    <n v="60.164999999999999"/>
    <n v="461.61500000000001"/>
    <x v="0"/>
    <x v="0"/>
    <x v="11"/>
    <n v="2"/>
  </r>
  <r>
    <n v="1"/>
    <d v="2019-12-06T00:00:00"/>
    <x v="2"/>
    <n v="778.87599999999998"/>
    <n v="1561.4479999999999"/>
    <x v="0"/>
    <x v="0"/>
    <x v="11"/>
    <n v="2"/>
  </r>
  <r>
    <n v="1"/>
    <d v="2019-12-06T00:00:00"/>
    <x v="1"/>
    <n v="4370.576"/>
    <n v="3554.922"/>
    <x v="0"/>
    <x v="0"/>
    <x v="11"/>
    <n v="2"/>
  </r>
  <r>
    <n v="1"/>
    <d v="2019-12-06T00:00:00"/>
    <x v="0"/>
    <n v="4742.6189999999997"/>
    <n v="5184.8019999999997"/>
    <x v="0"/>
    <x v="0"/>
    <x v="11"/>
    <n v="2"/>
  </r>
  <r>
    <n v="1"/>
    <d v="2019-12-06T00:00:00"/>
    <x v="3"/>
    <n v="33.271000000000001"/>
    <n v="262.976"/>
    <x v="0"/>
    <x v="0"/>
    <x v="11"/>
    <n v="2"/>
  </r>
  <r>
    <n v="1"/>
    <d v="2019-12-07T00:00:00"/>
    <x v="0"/>
    <n v="4751.8939999999993"/>
    <n v="5411.973"/>
    <x v="0"/>
    <x v="0"/>
    <x v="11"/>
    <n v="2"/>
  </r>
  <r>
    <n v="1"/>
    <d v="2019-12-07T00:00:00"/>
    <x v="2"/>
    <n v="738.14299999999992"/>
    <n v="1295.798"/>
    <x v="0"/>
    <x v="0"/>
    <x v="11"/>
    <n v="2"/>
  </r>
  <r>
    <n v="1"/>
    <d v="2019-12-07T00:00:00"/>
    <x v="3"/>
    <n v="1039.2619999999999"/>
    <n v="1314.7329999999999"/>
    <x v="0"/>
    <x v="0"/>
    <x v="11"/>
    <n v="2"/>
  </r>
  <r>
    <n v="1"/>
    <d v="2019-12-07T00:00:00"/>
    <x v="1"/>
    <n v="3461.3529999999996"/>
    <n v="3333.2670000000003"/>
    <x v="0"/>
    <x v="0"/>
    <x v="11"/>
    <n v="2"/>
  </r>
  <r>
    <n v="1"/>
    <d v="2019-12-08T00:00:00"/>
    <x v="2"/>
    <n v="292.48799999999994"/>
    <n v="193.578"/>
    <x v="0"/>
    <x v="0"/>
    <x v="11"/>
    <n v="2"/>
  </r>
  <r>
    <n v="1"/>
    <d v="2019-12-08T00:00:00"/>
    <x v="3"/>
    <n v="15.519"/>
    <n v="257.44599999999997"/>
    <x v="0"/>
    <x v="0"/>
    <x v="11"/>
    <n v="2"/>
  </r>
  <r>
    <n v="1"/>
    <d v="2019-12-08T00:00:00"/>
    <x v="0"/>
    <n v="1429.127"/>
    <n v="1261.54"/>
    <x v="0"/>
    <x v="0"/>
    <x v="11"/>
    <n v="2"/>
  </r>
  <r>
    <n v="1"/>
    <d v="2019-12-08T00:00:00"/>
    <x v="1"/>
    <n v="1211.5039999999999"/>
    <n v="1007.972"/>
    <x v="0"/>
    <x v="0"/>
    <x v="11"/>
    <n v="2"/>
  </r>
  <r>
    <n v="1"/>
    <d v="2019-12-09T00:00:00"/>
    <x v="3"/>
    <n v="992.28499999999985"/>
    <n v="632.84900000000005"/>
    <x v="0"/>
    <x v="0"/>
    <x v="11"/>
    <n v="3"/>
  </r>
  <r>
    <n v="1"/>
    <d v="2019-12-09T00:00:00"/>
    <x v="0"/>
    <n v="3354.8829999999994"/>
    <n v="3991.498"/>
    <x v="0"/>
    <x v="0"/>
    <x v="11"/>
    <n v="3"/>
  </r>
  <r>
    <n v="1"/>
    <d v="2019-12-09T00:00:00"/>
    <x v="2"/>
    <n v="1043.4480000000001"/>
    <n v="983.68899999999996"/>
    <x v="0"/>
    <x v="0"/>
    <x v="11"/>
    <n v="3"/>
  </r>
  <r>
    <n v="1"/>
    <d v="2019-12-09T00:00:00"/>
    <x v="1"/>
    <n v="3439.163"/>
    <n v="3288.0049999999997"/>
    <x v="0"/>
    <x v="0"/>
    <x v="11"/>
    <n v="3"/>
  </r>
  <r>
    <n v="1"/>
    <d v="2019-12-10T00:00:00"/>
    <x v="0"/>
    <n v="3861.9069999999997"/>
    <n v="4305.7839999999997"/>
    <x v="0"/>
    <x v="0"/>
    <x v="11"/>
    <n v="3"/>
  </r>
  <r>
    <n v="1"/>
    <d v="2019-12-10T00:00:00"/>
    <x v="2"/>
    <n v="664.43999999999994"/>
    <n v="963.45899999999983"/>
    <x v="0"/>
    <x v="0"/>
    <x v="11"/>
    <n v="3"/>
  </r>
  <r>
    <n v="1"/>
    <d v="2019-12-10T00:00:00"/>
    <x v="1"/>
    <n v="3776.3179999999998"/>
    <n v="3270.1759999999999"/>
    <x v="0"/>
    <x v="0"/>
    <x v="11"/>
    <n v="3"/>
  </r>
  <r>
    <n v="1"/>
    <d v="2019-12-10T00:00:00"/>
    <x v="3"/>
    <n v="2.8559999999999999"/>
    <n v="40.585999999999999"/>
    <x v="0"/>
    <x v="0"/>
    <x v="11"/>
    <n v="3"/>
  </r>
  <r>
    <n v="1"/>
    <d v="2019-12-11T00:00:00"/>
    <x v="0"/>
    <n v="3678.3809999999999"/>
    <n v="4216.7159999999994"/>
    <x v="0"/>
    <x v="0"/>
    <x v="11"/>
    <n v="3"/>
  </r>
  <r>
    <n v="1"/>
    <d v="2019-12-11T00:00:00"/>
    <x v="3"/>
    <n v="533.87599999999998"/>
    <n v="0"/>
    <x v="0"/>
    <x v="0"/>
    <x v="11"/>
    <n v="3"/>
  </r>
  <r>
    <n v="1"/>
    <d v="2019-12-11T00:00:00"/>
    <x v="2"/>
    <n v="1010.6249999999999"/>
    <n v="899.19899999999984"/>
    <x v="0"/>
    <x v="0"/>
    <x v="11"/>
    <n v="3"/>
  </r>
  <r>
    <n v="1"/>
    <d v="2019-12-11T00:00:00"/>
    <x v="1"/>
    <n v="3628.3869999999997"/>
    <n v="3182.9209999999998"/>
    <x v="0"/>
    <x v="0"/>
    <x v="11"/>
    <n v="3"/>
  </r>
  <r>
    <n v="1"/>
    <d v="2019-12-12T00:00:00"/>
    <x v="0"/>
    <n v="4496.415"/>
    <n v="4281.2700000000004"/>
    <x v="0"/>
    <x v="0"/>
    <x v="11"/>
    <n v="3"/>
  </r>
  <r>
    <n v="1"/>
    <d v="2019-12-12T00:00:00"/>
    <x v="3"/>
    <n v="39.661999999999992"/>
    <n v="1399.5519999999999"/>
    <x v="0"/>
    <x v="0"/>
    <x v="11"/>
    <n v="3"/>
  </r>
  <r>
    <n v="1"/>
    <d v="2019-12-12T00:00:00"/>
    <x v="2"/>
    <n v="912.779"/>
    <n v="953.80599999999993"/>
    <x v="0"/>
    <x v="0"/>
    <x v="11"/>
    <n v="3"/>
  </r>
  <r>
    <n v="1"/>
    <d v="2019-12-12T00:00:00"/>
    <x v="1"/>
    <n v="3333.5329999999994"/>
    <n v="3237.703"/>
    <x v="0"/>
    <x v="0"/>
    <x v="11"/>
    <n v="3"/>
  </r>
  <r>
    <n v="1"/>
    <d v="2019-12-13T00:00:00"/>
    <x v="0"/>
    <n v="4704.2379999999994"/>
    <n v="5578.9719999999998"/>
    <x v="0"/>
    <x v="0"/>
    <x v="11"/>
    <n v="3"/>
  </r>
  <r>
    <n v="1"/>
    <d v="2019-12-13T00:00:00"/>
    <x v="2"/>
    <n v="1100.5889999999999"/>
    <n v="910.18899999999996"/>
    <x v="0"/>
    <x v="0"/>
    <x v="11"/>
    <n v="3"/>
  </r>
  <r>
    <n v="1"/>
    <d v="2019-12-13T00:00:00"/>
    <x v="1"/>
    <n v="3984.5189999999998"/>
    <n v="3339.7279999999996"/>
    <x v="0"/>
    <x v="0"/>
    <x v="11"/>
    <n v="3"/>
  </r>
  <r>
    <n v="1"/>
    <d v="2019-12-13T00:00:00"/>
    <x v="3"/>
    <n v="434.49700000000001"/>
    <n v="158.84399999999999"/>
    <x v="0"/>
    <x v="0"/>
    <x v="11"/>
    <n v="3"/>
  </r>
  <r>
    <n v="1"/>
    <d v="2019-12-14T00:00:00"/>
    <x v="2"/>
    <n v="892.43700000000001"/>
    <n v="835.02300000000002"/>
    <x v="0"/>
    <x v="0"/>
    <x v="11"/>
    <n v="3"/>
  </r>
  <r>
    <n v="1"/>
    <d v="2019-12-14T00:00:00"/>
    <x v="3"/>
    <n v="228.89999999999998"/>
    <n v="31.100999999999999"/>
    <x v="0"/>
    <x v="0"/>
    <x v="11"/>
    <n v="3"/>
  </r>
  <r>
    <n v="1"/>
    <d v="2019-12-14T00:00:00"/>
    <x v="1"/>
    <n v="3560.2350000000001"/>
    <n v="3121.4540000000002"/>
    <x v="0"/>
    <x v="0"/>
    <x v="11"/>
    <n v="3"/>
  </r>
  <r>
    <n v="1"/>
    <d v="2019-12-14T00:00:00"/>
    <x v="0"/>
    <n v="5143.5859999999993"/>
    <n v="5115.1449999999995"/>
    <x v="0"/>
    <x v="0"/>
    <x v="11"/>
    <n v="3"/>
  </r>
  <r>
    <n v="1"/>
    <d v="2019-12-15T00:00:00"/>
    <x v="0"/>
    <n v="2031.0359999999998"/>
    <n v="1732.752"/>
    <x v="0"/>
    <x v="0"/>
    <x v="11"/>
    <n v="3"/>
  </r>
  <r>
    <n v="1"/>
    <d v="2019-12-15T00:00:00"/>
    <x v="2"/>
    <n v="727.06200000000001"/>
    <n v="226.10699999999997"/>
    <x v="0"/>
    <x v="0"/>
    <x v="11"/>
    <n v="3"/>
  </r>
  <r>
    <n v="1"/>
    <d v="2019-12-15T00:00:00"/>
    <x v="1"/>
    <n v="1992.816"/>
    <n v="1762.4880000000001"/>
    <x v="0"/>
    <x v="0"/>
    <x v="11"/>
    <n v="3"/>
  </r>
  <r>
    <n v="1"/>
    <d v="2019-12-15T00:00:00"/>
    <x v="3"/>
    <n v="965.15999999999985"/>
    <n v="0"/>
    <x v="0"/>
    <x v="0"/>
    <x v="11"/>
    <n v="3"/>
  </r>
  <r>
    <n v="1"/>
    <d v="2019-12-16T00:00:00"/>
    <x v="1"/>
    <n v="3790.4719999999998"/>
    <n v="3114.8529999999996"/>
    <x v="0"/>
    <x v="0"/>
    <x v="11"/>
    <n v="4"/>
  </r>
  <r>
    <n v="1"/>
    <d v="2019-12-16T00:00:00"/>
    <x v="2"/>
    <n v="1196.2649999999999"/>
    <n v="833.45500000000004"/>
    <x v="0"/>
    <x v="0"/>
    <x v="11"/>
    <n v="4"/>
  </r>
  <r>
    <n v="1"/>
    <d v="2019-12-16T00:00:00"/>
    <x v="0"/>
    <n v="3838.4639999999999"/>
    <n v="4157.9160000000002"/>
    <x v="0"/>
    <x v="0"/>
    <x v="11"/>
    <n v="4"/>
  </r>
  <r>
    <n v="1"/>
    <d v="2019-12-16T00:00:00"/>
    <x v="3"/>
    <n v="201.684"/>
    <n v="184.48499999999999"/>
    <x v="0"/>
    <x v="0"/>
    <x v="11"/>
    <n v="4"/>
  </r>
  <r>
    <n v="1"/>
    <d v="2019-12-17T00:00:00"/>
    <x v="0"/>
    <n v="3811.6259999999997"/>
    <n v="4640.0549999999994"/>
    <x v="0"/>
    <x v="0"/>
    <x v="11"/>
    <n v="4"/>
  </r>
  <r>
    <n v="1"/>
    <d v="2019-12-17T00:00:00"/>
    <x v="2"/>
    <n v="1007.265"/>
    <n v="1378.8949999999998"/>
    <x v="0"/>
    <x v="0"/>
    <x v="11"/>
    <n v="4"/>
  </r>
  <r>
    <n v="1"/>
    <d v="2019-12-17T00:00:00"/>
    <x v="3"/>
    <n v="493.96199999999993"/>
    <n v="213.185"/>
    <x v="0"/>
    <x v="0"/>
    <x v="11"/>
    <n v="4"/>
  </r>
  <r>
    <n v="1"/>
    <d v="2019-12-17T00:00:00"/>
    <x v="1"/>
    <n v="3325.8049999999994"/>
    <n v="2826.145"/>
    <x v="0"/>
    <x v="0"/>
    <x v="11"/>
    <n v="4"/>
  </r>
  <r>
    <n v="1"/>
    <d v="2019-12-18T00:00:00"/>
    <x v="0"/>
    <n v="3931.8159999999998"/>
    <n v="4443.1589999999997"/>
    <x v="0"/>
    <x v="0"/>
    <x v="11"/>
    <n v="4"/>
  </r>
  <r>
    <n v="1"/>
    <d v="2019-12-18T00:00:00"/>
    <x v="1"/>
    <n v="3213.3429999999998"/>
    <n v="2749.2289999999998"/>
    <x v="0"/>
    <x v="0"/>
    <x v="11"/>
    <n v="4"/>
  </r>
  <r>
    <n v="1"/>
    <d v="2019-12-18T00:00:00"/>
    <x v="2"/>
    <n v="811.3069999999999"/>
    <n v="1242.0309999999999"/>
    <x v="0"/>
    <x v="0"/>
    <x v="11"/>
    <n v="4"/>
  </r>
  <r>
    <n v="1"/>
    <d v="2019-12-18T00:00:00"/>
    <x v="3"/>
    <n v="129.24799999999999"/>
    <n v="261.53399999999999"/>
    <x v="0"/>
    <x v="0"/>
    <x v="11"/>
    <n v="4"/>
  </r>
  <r>
    <n v="1"/>
    <d v="2019-12-19T00:00:00"/>
    <x v="0"/>
    <n v="3958.3179999999998"/>
    <n v="5041.7219999999998"/>
    <x v="0"/>
    <x v="0"/>
    <x v="11"/>
    <n v="4"/>
  </r>
  <r>
    <n v="1"/>
    <d v="2019-12-19T00:00:00"/>
    <x v="2"/>
    <n v="1199.9469999999999"/>
    <n v="1013.0469999999999"/>
    <x v="0"/>
    <x v="0"/>
    <x v="11"/>
    <n v="4"/>
  </r>
  <r>
    <n v="1"/>
    <d v="2019-12-19T00:00:00"/>
    <x v="3"/>
    <n v="651.76300000000003"/>
    <n v="319.26299999999998"/>
    <x v="0"/>
    <x v="0"/>
    <x v="11"/>
    <n v="4"/>
  </r>
  <r>
    <n v="1"/>
    <d v="2019-12-19T00:00:00"/>
    <x v="1"/>
    <n v="3455.5429999999997"/>
    <n v="2875.6839999999997"/>
    <x v="0"/>
    <x v="0"/>
    <x v="11"/>
    <n v="4"/>
  </r>
  <r>
    <n v="1"/>
    <d v="2019-12-20T00:00:00"/>
    <x v="3"/>
    <n v="774.53599999999994"/>
    <n v="1097.9499999999998"/>
    <x v="0"/>
    <x v="0"/>
    <x v="11"/>
    <n v="4"/>
  </r>
  <r>
    <n v="1"/>
    <d v="2019-12-20T00:00:00"/>
    <x v="2"/>
    <n v="1459.78"/>
    <n v="1230.5650000000001"/>
    <x v="0"/>
    <x v="0"/>
    <x v="11"/>
    <n v="4"/>
  </r>
  <r>
    <n v="1"/>
    <d v="2019-12-20T00:00:00"/>
    <x v="0"/>
    <n v="3864.9029999999998"/>
    <n v="4130.8119999999999"/>
    <x v="0"/>
    <x v="0"/>
    <x v="11"/>
    <n v="4"/>
  </r>
  <r>
    <n v="1"/>
    <d v="2019-12-20T00:00:00"/>
    <x v="1"/>
    <n v="3431.8549999999996"/>
    <n v="2818.5429999999997"/>
    <x v="0"/>
    <x v="0"/>
    <x v="11"/>
    <n v="4"/>
  </r>
  <r>
    <n v="1"/>
    <d v="2019-12-21T00:00:00"/>
    <x v="1"/>
    <n v="2702.3710000000001"/>
    <n v="2640.6309999999999"/>
    <x v="0"/>
    <x v="0"/>
    <x v="11"/>
    <n v="4"/>
  </r>
  <r>
    <n v="1"/>
    <d v="2019-12-21T00:00:00"/>
    <x v="2"/>
    <n v="774.31200000000001"/>
    <n v="915.81699999999989"/>
    <x v="0"/>
    <x v="0"/>
    <x v="11"/>
    <n v="4"/>
  </r>
  <r>
    <n v="1"/>
    <d v="2019-12-21T00:00:00"/>
    <x v="0"/>
    <n v="3743.1099999999997"/>
    <n v="3879.3999999999996"/>
    <x v="0"/>
    <x v="0"/>
    <x v="11"/>
    <n v="4"/>
  </r>
  <r>
    <n v="1"/>
    <d v="2019-12-21T00:00:00"/>
    <x v="3"/>
    <n v="0"/>
    <n v="1432.6479999999999"/>
    <x v="0"/>
    <x v="0"/>
    <x v="11"/>
    <n v="4"/>
  </r>
  <r>
    <n v="1"/>
    <d v="2019-12-22T00:00:00"/>
    <x v="0"/>
    <n v="1576.5889999999999"/>
    <n v="1437.289"/>
    <x v="0"/>
    <x v="0"/>
    <x v="11"/>
    <n v="4"/>
  </r>
  <r>
    <n v="1"/>
    <d v="2019-12-22T00:00:00"/>
    <x v="2"/>
    <n v="565.96399999999994"/>
    <n v="218.01499999999999"/>
    <x v="0"/>
    <x v="0"/>
    <x v="11"/>
    <n v="4"/>
  </r>
  <r>
    <n v="1"/>
    <d v="2019-12-22T00:00:00"/>
    <x v="1"/>
    <n v="1344.7629999999999"/>
    <n v="1193.1989999999998"/>
    <x v="0"/>
    <x v="0"/>
    <x v="11"/>
    <n v="4"/>
  </r>
  <r>
    <n v="1"/>
    <d v="2019-12-22T00:00:00"/>
    <x v="3"/>
    <n v="123.61999999999999"/>
    <n v="8.7359999999999989"/>
    <x v="0"/>
    <x v="0"/>
    <x v="11"/>
    <n v="4"/>
  </r>
  <r>
    <n v="1"/>
    <d v="2019-12-23T00:00:00"/>
    <x v="2"/>
    <n v="957.726"/>
    <n v="741.88099999999986"/>
    <x v="0"/>
    <x v="0"/>
    <x v="11"/>
    <n v="5"/>
  </r>
  <r>
    <n v="1"/>
    <d v="2019-12-23T00:00:00"/>
    <x v="0"/>
    <n v="3580.2619999999997"/>
    <n v="3276.0909999999999"/>
    <x v="0"/>
    <x v="0"/>
    <x v="11"/>
    <n v="5"/>
  </r>
  <r>
    <n v="1"/>
    <d v="2019-12-23T00:00:00"/>
    <x v="3"/>
    <n v="614.93599999999992"/>
    <n v="717.31799999999998"/>
    <x v="0"/>
    <x v="0"/>
    <x v="11"/>
    <n v="5"/>
  </r>
  <r>
    <n v="1"/>
    <d v="2019-12-23T00:00:00"/>
    <x v="1"/>
    <n v="3061.5619999999999"/>
    <n v="1377.425"/>
    <x v="0"/>
    <x v="0"/>
    <x v="11"/>
    <n v="5"/>
  </r>
  <r>
    <n v="1"/>
    <d v="2019-12-24T00:00:00"/>
    <x v="0"/>
    <n v="2150.0639999999999"/>
    <n v="0"/>
    <x v="0"/>
    <x v="0"/>
    <x v="11"/>
    <n v="5"/>
  </r>
  <r>
    <n v="1"/>
    <d v="2019-12-24T00:00:00"/>
    <x v="3"/>
    <n v="713.02"/>
    <n v="0"/>
    <x v="0"/>
    <x v="0"/>
    <x v="11"/>
    <n v="5"/>
  </r>
  <r>
    <n v="1"/>
    <d v="2019-12-24T00:00:00"/>
    <x v="2"/>
    <n v="1160.9359999999999"/>
    <n v="0"/>
    <x v="0"/>
    <x v="0"/>
    <x v="11"/>
    <n v="5"/>
  </r>
  <r>
    <n v="1"/>
    <d v="2019-12-24T00:00:00"/>
    <x v="1"/>
    <n v="1455.2929999999997"/>
    <n v="0"/>
    <x v="0"/>
    <x v="0"/>
    <x v="11"/>
    <n v="5"/>
  </r>
  <r>
    <n v="1"/>
    <d v="2019-12-25T00:00:00"/>
    <x v="3"/>
    <n v="0"/>
    <n v="193.31200000000001"/>
    <x v="0"/>
    <x v="0"/>
    <x v="11"/>
    <n v="5"/>
  </r>
  <r>
    <n v="1"/>
    <d v="2019-12-25T00:00:00"/>
    <x v="0"/>
    <n v="0"/>
    <n v="3834.2779999999998"/>
    <x v="0"/>
    <x v="0"/>
    <x v="11"/>
    <n v="5"/>
  </r>
  <r>
    <n v="1"/>
    <d v="2019-12-25T00:00:00"/>
    <x v="2"/>
    <n v="0"/>
    <n v="917.98"/>
    <x v="0"/>
    <x v="0"/>
    <x v="11"/>
    <n v="5"/>
  </r>
  <r>
    <n v="1"/>
    <d v="2019-12-25T00:00:00"/>
    <x v="1"/>
    <n v="0"/>
    <n v="2597.7419999999997"/>
    <x v="0"/>
    <x v="0"/>
    <x v="11"/>
    <n v="5"/>
  </r>
  <r>
    <n v="1"/>
    <d v="2019-12-26T00:00:00"/>
    <x v="1"/>
    <n v="2921.4079999999994"/>
    <n v="2683.66"/>
    <x v="0"/>
    <x v="0"/>
    <x v="11"/>
    <n v="5"/>
  </r>
  <r>
    <n v="1"/>
    <d v="2019-12-26T00:00:00"/>
    <x v="2"/>
    <n v="1338.6029999999998"/>
    <n v="1236.0459999999998"/>
    <x v="0"/>
    <x v="0"/>
    <x v="11"/>
    <n v="5"/>
  </r>
  <r>
    <n v="1"/>
    <d v="2019-12-26T00:00:00"/>
    <x v="3"/>
    <n v="60.55"/>
    <n v="0"/>
    <x v="0"/>
    <x v="0"/>
    <x v="11"/>
    <n v="5"/>
  </r>
  <r>
    <n v="1"/>
    <d v="2019-12-26T00:00:00"/>
    <x v="0"/>
    <n v="3961.8040000000001"/>
    <n v="3967.5509999999999"/>
    <x v="0"/>
    <x v="0"/>
    <x v="11"/>
    <n v="5"/>
  </r>
  <r>
    <n v="1"/>
    <d v="2019-12-27T00:00:00"/>
    <x v="3"/>
    <n v="54.865999999999993"/>
    <n v="138.47399999999999"/>
    <x v="0"/>
    <x v="0"/>
    <x v="11"/>
    <n v="5"/>
  </r>
  <r>
    <n v="1"/>
    <d v="2019-12-27T00:00:00"/>
    <x v="0"/>
    <n v="4014.8989999999994"/>
    <n v="4193.7979999999998"/>
    <x v="0"/>
    <x v="0"/>
    <x v="11"/>
    <n v="5"/>
  </r>
  <r>
    <n v="1"/>
    <d v="2019-12-27T00:00:00"/>
    <x v="2"/>
    <n v="1349.5719999999999"/>
    <n v="1346.961"/>
    <x v="0"/>
    <x v="0"/>
    <x v="11"/>
    <n v="5"/>
  </r>
  <r>
    <n v="1"/>
    <d v="2019-12-27T00:00:00"/>
    <x v="1"/>
    <n v="3535.1959999999995"/>
    <n v="2710.4839999999999"/>
    <x v="0"/>
    <x v="0"/>
    <x v="11"/>
    <n v="5"/>
  </r>
  <r>
    <n v="1"/>
    <d v="2019-12-28T00:00:00"/>
    <x v="1"/>
    <n v="2660.7839999999997"/>
    <n v="2787.9319999999998"/>
    <x v="0"/>
    <x v="0"/>
    <x v="11"/>
    <n v="5"/>
  </r>
  <r>
    <n v="1"/>
    <d v="2019-12-28T00:00:00"/>
    <x v="0"/>
    <n v="4028.7869999999998"/>
    <n v="4338.9849999999997"/>
    <x v="0"/>
    <x v="0"/>
    <x v="11"/>
    <n v="5"/>
  </r>
  <r>
    <n v="1"/>
    <d v="2019-12-28T00:00:00"/>
    <x v="2"/>
    <n v="1121.8059999999998"/>
    <n v="1096.2699999999998"/>
    <x v="0"/>
    <x v="0"/>
    <x v="11"/>
    <n v="5"/>
  </r>
  <r>
    <n v="1"/>
    <d v="2019-12-28T00:00:00"/>
    <x v="3"/>
    <n v="25.591999999999999"/>
    <n v="247.58299999999997"/>
    <x v="0"/>
    <x v="0"/>
    <x v="11"/>
    <n v="5"/>
  </r>
  <r>
    <n v="1"/>
    <d v="2019-12-29T00:00:00"/>
    <x v="0"/>
    <n v="1856.0359999999998"/>
    <n v="1789.319"/>
    <x v="0"/>
    <x v="0"/>
    <x v="11"/>
    <n v="5"/>
  </r>
  <r>
    <n v="1"/>
    <d v="2019-12-29T00:00:00"/>
    <x v="2"/>
    <n v="391.67799999999994"/>
    <n v="363.50299999999993"/>
    <x v="0"/>
    <x v="0"/>
    <x v="11"/>
    <n v="5"/>
  </r>
  <r>
    <n v="1"/>
    <d v="2019-12-29T00:00:00"/>
    <x v="1"/>
    <n v="1568.4549999999999"/>
    <n v="1316.1399999999999"/>
    <x v="0"/>
    <x v="0"/>
    <x v="11"/>
    <n v="5"/>
  </r>
  <r>
    <n v="1"/>
    <d v="2019-12-29T00:00:00"/>
    <x v="3"/>
    <n v="0"/>
    <n v="0"/>
    <x v="0"/>
    <x v="0"/>
    <x v="11"/>
    <n v="5"/>
  </r>
  <r>
    <n v="1"/>
    <d v="2019-12-30T00:00:00"/>
    <x v="2"/>
    <n v="768.15199999999993"/>
    <n v="963.32600000000002"/>
    <x v="0"/>
    <x v="1"/>
    <x v="0"/>
    <n v="1"/>
  </r>
  <r>
    <n v="1"/>
    <d v="2019-12-30T00:00:00"/>
    <x v="3"/>
    <n v="0"/>
    <n v="18.172000000000001"/>
    <x v="0"/>
    <x v="1"/>
    <x v="0"/>
    <n v="1"/>
  </r>
  <r>
    <n v="1"/>
    <d v="2019-12-30T00:00:00"/>
    <x v="0"/>
    <n v="3679.319"/>
    <n v="3603.4109999999996"/>
    <x v="0"/>
    <x v="1"/>
    <x v="0"/>
    <n v="1"/>
  </r>
  <r>
    <n v="1"/>
    <d v="2019-12-30T00:00:00"/>
    <x v="1"/>
    <n v="3012.3869999999997"/>
    <n v="2449.2649999999999"/>
    <x v="0"/>
    <x v="1"/>
    <x v="0"/>
    <n v="1"/>
  </r>
  <r>
    <n v="1"/>
    <d v="2019-12-31T00:00:00"/>
    <x v="3"/>
    <n v="179.87199999999999"/>
    <n v="11.186"/>
    <x v="0"/>
    <x v="1"/>
    <x v="0"/>
    <n v="1"/>
  </r>
  <r>
    <n v="1"/>
    <d v="2019-12-31T00:00:00"/>
    <x v="2"/>
    <n v="968.13499999999988"/>
    <n v="937.3839999999999"/>
    <x v="0"/>
    <x v="1"/>
    <x v="0"/>
    <n v="1"/>
  </r>
  <r>
    <n v="1"/>
    <d v="2019-12-31T00:00:00"/>
    <x v="0"/>
    <n v="3010.4409999999998"/>
    <n v="4381.2649999999994"/>
    <x v="0"/>
    <x v="1"/>
    <x v="0"/>
    <n v="1"/>
  </r>
  <r>
    <n v="1"/>
    <d v="2019-12-31T00:00:00"/>
    <x v="1"/>
    <n v="2813.489"/>
    <n v="2567.4459999999999"/>
    <x v="0"/>
    <x v="1"/>
    <x v="0"/>
    <n v="1"/>
  </r>
  <r>
    <n v="1"/>
    <d v="2020-01-01T00:00:00"/>
    <x v="0"/>
    <n v="2665.8379999999997"/>
    <n v="4489.317"/>
    <x v="0"/>
    <x v="1"/>
    <x v="0"/>
    <n v="1"/>
  </r>
  <r>
    <n v="1"/>
    <d v="2020-01-01T00:00:00"/>
    <x v="1"/>
    <n v="2465.8409999999999"/>
    <n v="2551.3249999999998"/>
    <x v="0"/>
    <x v="1"/>
    <x v="0"/>
    <n v="1"/>
  </r>
  <r>
    <n v="1"/>
    <d v="2020-01-01T00:00:00"/>
    <x v="2"/>
    <n v="909.88099999999986"/>
    <n v="768.08199999999999"/>
    <x v="0"/>
    <x v="1"/>
    <x v="0"/>
    <n v="1"/>
  </r>
  <r>
    <n v="1"/>
    <d v="2020-01-01T00:00:00"/>
    <x v="3"/>
    <n v="0"/>
    <n v="0"/>
    <x v="0"/>
    <x v="1"/>
    <x v="0"/>
    <n v="1"/>
  </r>
  <r>
    <n v="1"/>
    <d v="2020-01-02T00:00:00"/>
    <x v="2"/>
    <n v="949.64800000000002"/>
    <n v="752.77300000000002"/>
    <x v="0"/>
    <x v="1"/>
    <x v="0"/>
    <n v="1"/>
  </r>
  <r>
    <n v="1"/>
    <d v="2020-01-02T00:00:00"/>
    <x v="0"/>
    <n v="3978.6320000000001"/>
    <n v="4832.2820000000002"/>
    <x v="0"/>
    <x v="1"/>
    <x v="0"/>
    <n v="1"/>
  </r>
  <r>
    <n v="1"/>
    <d v="2020-01-02T00:00:00"/>
    <x v="3"/>
    <n v="0"/>
    <n v="0"/>
    <x v="0"/>
    <x v="1"/>
    <x v="0"/>
    <n v="1"/>
  </r>
  <r>
    <n v="1"/>
    <d v="2020-01-02T00:00:00"/>
    <x v="1"/>
    <n v="3361.2529999999997"/>
    <n v="3296.9649999999997"/>
    <x v="0"/>
    <x v="1"/>
    <x v="0"/>
    <n v="1"/>
  </r>
  <r>
    <n v="1"/>
    <d v="2020-01-03T00:00:00"/>
    <x v="0"/>
    <n v="5023.9979999999996"/>
    <n v="5844.1739999999991"/>
    <x v="0"/>
    <x v="1"/>
    <x v="0"/>
    <n v="1"/>
  </r>
  <r>
    <n v="1"/>
    <d v="2020-01-03T00:00:00"/>
    <x v="2"/>
    <n v="1170.2739999999999"/>
    <n v="991.49400000000003"/>
    <x v="0"/>
    <x v="1"/>
    <x v="0"/>
    <n v="1"/>
  </r>
  <r>
    <n v="1"/>
    <d v="2020-01-03T00:00:00"/>
    <x v="1"/>
    <n v="3521.8049999999994"/>
    <n v="3297.8890000000001"/>
    <x v="0"/>
    <x v="1"/>
    <x v="0"/>
    <n v="1"/>
  </r>
  <r>
    <n v="1"/>
    <d v="2020-01-03T00:00:00"/>
    <x v="3"/>
    <n v="0"/>
    <n v="254.86299999999997"/>
    <x v="0"/>
    <x v="1"/>
    <x v="0"/>
    <n v="1"/>
  </r>
  <r>
    <n v="1"/>
    <d v="2020-01-04T00:00:00"/>
    <x v="2"/>
    <n v="1378.8389999999999"/>
    <n v="1457.5049999999999"/>
    <x v="0"/>
    <x v="1"/>
    <x v="0"/>
    <n v="1"/>
  </r>
  <r>
    <n v="1"/>
    <d v="2020-01-04T00:00:00"/>
    <x v="0"/>
    <n v="5334.5950000000003"/>
    <n v="6107.0169999999989"/>
    <x v="0"/>
    <x v="1"/>
    <x v="0"/>
    <n v="1"/>
  </r>
  <r>
    <n v="1"/>
    <d v="2020-01-04T00:00:00"/>
    <x v="1"/>
    <n v="3647.3779999999997"/>
    <n v="3523.4920000000002"/>
    <x v="0"/>
    <x v="1"/>
    <x v="0"/>
    <n v="1"/>
  </r>
  <r>
    <n v="1"/>
    <d v="2020-01-04T00:00:00"/>
    <x v="3"/>
    <n v="0"/>
    <n v="18.402999999999999"/>
    <x v="0"/>
    <x v="1"/>
    <x v="0"/>
    <n v="1"/>
  </r>
  <r>
    <n v="1"/>
    <d v="2020-01-05T00:00:00"/>
    <x v="1"/>
    <n v="1946.7979999999998"/>
    <n v="1735.1809999999998"/>
    <x v="0"/>
    <x v="1"/>
    <x v="0"/>
    <n v="1"/>
  </r>
  <r>
    <n v="1"/>
    <d v="2020-01-05T00:00:00"/>
    <x v="3"/>
    <n v="167.804"/>
    <n v="41.495999999999995"/>
    <x v="0"/>
    <x v="1"/>
    <x v="0"/>
    <n v="1"/>
  </r>
  <r>
    <n v="1"/>
    <d v="2020-01-05T00:00:00"/>
    <x v="2"/>
    <n v="563.19199999999989"/>
    <n v="383.52299999999997"/>
    <x v="0"/>
    <x v="1"/>
    <x v="0"/>
    <n v="1"/>
  </r>
  <r>
    <n v="1"/>
    <d v="2020-01-05T00:00:00"/>
    <x v="0"/>
    <n v="2614.5630000000001"/>
    <n v="2105.5229999999997"/>
    <x v="0"/>
    <x v="1"/>
    <x v="0"/>
    <n v="1"/>
  </r>
  <r>
    <n v="1"/>
    <d v="2020-01-06T00:00:00"/>
    <x v="0"/>
    <n v="3821.8670000000002"/>
    <n v="4181.3310000000001"/>
    <x v="0"/>
    <x v="1"/>
    <x v="0"/>
    <n v="2"/>
  </r>
  <r>
    <n v="1"/>
    <d v="2020-01-06T00:00:00"/>
    <x v="3"/>
    <n v="767.92799999999988"/>
    <n v="0"/>
    <x v="0"/>
    <x v="1"/>
    <x v="0"/>
    <n v="2"/>
  </r>
  <r>
    <n v="1"/>
    <d v="2020-01-06T00:00:00"/>
    <x v="2"/>
    <n v="965.67099999999994"/>
    <n v="1151.9759999999999"/>
    <x v="0"/>
    <x v="1"/>
    <x v="0"/>
    <n v="2"/>
  </r>
  <r>
    <n v="1"/>
    <d v="2020-01-06T00:00:00"/>
    <x v="1"/>
    <n v="3154.5079999999994"/>
    <n v="2980.3760000000002"/>
    <x v="0"/>
    <x v="1"/>
    <x v="0"/>
    <n v="2"/>
  </r>
  <r>
    <n v="1"/>
    <d v="2020-01-07T00:00:00"/>
    <x v="2"/>
    <n v="778.01499999999999"/>
    <n v="671.08299999999997"/>
    <x v="0"/>
    <x v="1"/>
    <x v="0"/>
    <n v="2"/>
  </r>
  <r>
    <n v="1"/>
    <d v="2020-01-07T00:00:00"/>
    <x v="1"/>
    <n v="3036.3619999999996"/>
    <n v="2824.5699999999997"/>
    <x v="0"/>
    <x v="1"/>
    <x v="0"/>
    <n v="2"/>
  </r>
  <r>
    <n v="1"/>
    <d v="2020-01-07T00:00:00"/>
    <x v="0"/>
    <n v="3691.2890000000002"/>
    <n v="4098.9829999999993"/>
    <x v="0"/>
    <x v="1"/>
    <x v="0"/>
    <n v="2"/>
  </r>
  <r>
    <n v="1"/>
    <d v="2020-01-07T00:00:00"/>
    <x v="3"/>
    <n v="0"/>
    <n v="0"/>
    <x v="0"/>
    <x v="1"/>
    <x v="0"/>
    <n v="2"/>
  </r>
  <r>
    <n v="1"/>
    <d v="2020-01-08T00:00:00"/>
    <x v="3"/>
    <n v="16.498999999999999"/>
    <n v="18.507999999999999"/>
    <x v="0"/>
    <x v="1"/>
    <x v="0"/>
    <n v="2"/>
  </r>
  <r>
    <n v="1"/>
    <d v="2020-01-08T00:00:00"/>
    <x v="0"/>
    <n v="3504.8019999999997"/>
    <n v="3912.1809999999996"/>
    <x v="0"/>
    <x v="1"/>
    <x v="0"/>
    <n v="2"/>
  </r>
  <r>
    <n v="1"/>
    <d v="2020-01-08T00:00:00"/>
    <x v="2"/>
    <n v="1041.5929999999998"/>
    <n v="1226.19"/>
    <x v="0"/>
    <x v="1"/>
    <x v="0"/>
    <n v="2"/>
  </r>
  <r>
    <n v="1"/>
    <d v="2020-01-08T00:00:00"/>
    <x v="1"/>
    <n v="2845.2759999999998"/>
    <n v="2985.2200000000003"/>
    <x v="0"/>
    <x v="1"/>
    <x v="0"/>
    <n v="2"/>
  </r>
  <r>
    <n v="1"/>
    <d v="2020-01-09T00:00:00"/>
    <x v="0"/>
    <n v="3934.826"/>
    <n v="4760.91"/>
    <x v="0"/>
    <x v="1"/>
    <x v="0"/>
    <n v="2"/>
  </r>
  <r>
    <n v="1"/>
    <d v="2020-01-09T00:00:00"/>
    <x v="2"/>
    <n v="946.64499999999987"/>
    <n v="1006.5999999999999"/>
    <x v="0"/>
    <x v="1"/>
    <x v="0"/>
    <n v="2"/>
  </r>
  <r>
    <n v="1"/>
    <d v="2020-01-09T00:00:00"/>
    <x v="3"/>
    <n v="0"/>
    <n v="0"/>
    <x v="0"/>
    <x v="1"/>
    <x v="0"/>
    <n v="2"/>
  </r>
  <r>
    <n v="1"/>
    <d v="2020-01-09T00:00:00"/>
    <x v="1"/>
    <n v="3859.6879999999996"/>
    <n v="3402.357"/>
    <x v="0"/>
    <x v="1"/>
    <x v="0"/>
    <n v="2"/>
  </r>
  <r>
    <n v="1"/>
    <d v="2020-01-10T00:00:00"/>
    <x v="2"/>
    <n v="1120.4480000000001"/>
    <n v="1299.991"/>
    <x v="0"/>
    <x v="1"/>
    <x v="0"/>
    <n v="2"/>
  </r>
  <r>
    <n v="1"/>
    <d v="2020-01-10T00:00:00"/>
    <x v="0"/>
    <n v="5080.6629999999996"/>
    <n v="6356.1119999999992"/>
    <x v="0"/>
    <x v="1"/>
    <x v="0"/>
    <n v="2"/>
  </r>
  <r>
    <n v="1"/>
    <d v="2020-01-10T00:00:00"/>
    <x v="3"/>
    <n v="94.08"/>
    <n v="0"/>
    <x v="0"/>
    <x v="1"/>
    <x v="0"/>
    <n v="2"/>
  </r>
  <r>
    <n v="1"/>
    <d v="2020-01-10T00:00:00"/>
    <x v="1"/>
    <n v="4254.0889999999999"/>
    <n v="3693.6549999999993"/>
    <x v="0"/>
    <x v="1"/>
    <x v="0"/>
    <n v="2"/>
  </r>
  <r>
    <n v="1"/>
    <d v="2020-01-11T00:00:00"/>
    <x v="0"/>
    <n v="5684.9519999999993"/>
    <n v="6734.5879999999997"/>
    <x v="0"/>
    <x v="1"/>
    <x v="0"/>
    <n v="2"/>
  </r>
  <r>
    <n v="1"/>
    <d v="2020-01-11T00:00:00"/>
    <x v="2"/>
    <n v="1222.529"/>
    <n v="1192.4359999999999"/>
    <x v="0"/>
    <x v="1"/>
    <x v="0"/>
    <n v="2"/>
  </r>
  <r>
    <n v="1"/>
    <d v="2020-01-11T00:00:00"/>
    <x v="3"/>
    <n v="0"/>
    <n v="648.33299999999997"/>
    <x v="0"/>
    <x v="1"/>
    <x v="0"/>
    <n v="2"/>
  </r>
  <r>
    <n v="1"/>
    <d v="2020-01-11T00:00:00"/>
    <x v="1"/>
    <n v="3809.6659999999997"/>
    <n v="4097.5059999999994"/>
    <x v="0"/>
    <x v="1"/>
    <x v="0"/>
    <n v="2"/>
  </r>
  <r>
    <n v="1"/>
    <d v="2020-01-12T00:00:00"/>
    <x v="2"/>
    <n v="1174.8519999999999"/>
    <n v="241.39500000000001"/>
    <x v="0"/>
    <x v="1"/>
    <x v="0"/>
    <n v="2"/>
  </r>
  <r>
    <n v="1"/>
    <d v="2020-01-12T00:00:00"/>
    <x v="0"/>
    <n v="1680.749"/>
    <n v="1821.421"/>
    <x v="0"/>
    <x v="1"/>
    <x v="0"/>
    <n v="2"/>
  </r>
  <r>
    <n v="1"/>
    <d v="2020-01-12T00:00:00"/>
    <x v="1"/>
    <n v="1705.76"/>
    <n v="1646.7919999999999"/>
    <x v="0"/>
    <x v="1"/>
    <x v="0"/>
    <n v="2"/>
  </r>
  <r>
    <n v="1"/>
    <d v="2020-01-12T00:00:00"/>
    <x v="3"/>
    <n v="0"/>
    <n v="0"/>
    <x v="0"/>
    <x v="1"/>
    <x v="0"/>
    <n v="2"/>
  </r>
  <r>
    <n v="1"/>
    <d v="2020-01-13T00:00:00"/>
    <x v="3"/>
    <n v="174.85999999999999"/>
    <n v="168.53899999999999"/>
    <x v="0"/>
    <x v="1"/>
    <x v="0"/>
    <n v="3"/>
  </r>
  <r>
    <n v="1"/>
    <d v="2020-01-13T00:00:00"/>
    <x v="2"/>
    <n v="1067.5069999999998"/>
    <n v="567.02799999999991"/>
    <x v="0"/>
    <x v="1"/>
    <x v="0"/>
    <n v="3"/>
  </r>
  <r>
    <n v="1"/>
    <d v="2020-01-13T00:00:00"/>
    <x v="0"/>
    <n v="3203.326"/>
    <n v="3610.194"/>
    <x v="0"/>
    <x v="1"/>
    <x v="0"/>
    <n v="3"/>
  </r>
  <r>
    <n v="1"/>
    <d v="2020-01-13T00:00:00"/>
    <x v="1"/>
    <n v="3201.828"/>
    <n v="2546.2919999999999"/>
    <x v="0"/>
    <x v="1"/>
    <x v="0"/>
    <n v="3"/>
  </r>
  <r>
    <n v="1"/>
    <d v="2020-01-14T00:00:00"/>
    <x v="0"/>
    <n v="3194.2890000000002"/>
    <n v="3437.0489999999995"/>
    <x v="0"/>
    <x v="1"/>
    <x v="0"/>
    <n v="3"/>
  </r>
  <r>
    <n v="1"/>
    <d v="2020-01-14T00:00:00"/>
    <x v="2"/>
    <n v="1021.783"/>
    <n v="592.35399999999993"/>
    <x v="0"/>
    <x v="1"/>
    <x v="0"/>
    <n v="3"/>
  </r>
  <r>
    <n v="1"/>
    <d v="2020-01-14T00:00:00"/>
    <x v="3"/>
    <n v="0"/>
    <n v="230.08299999999997"/>
    <x v="0"/>
    <x v="1"/>
    <x v="0"/>
    <n v="3"/>
  </r>
  <r>
    <n v="1"/>
    <d v="2020-01-14T00:00:00"/>
    <x v="1"/>
    <n v="3341.9540000000002"/>
    <n v="3061.4920000000002"/>
    <x v="0"/>
    <x v="1"/>
    <x v="0"/>
    <n v="3"/>
  </r>
  <r>
    <n v="1"/>
    <d v="2020-01-15T00:00:00"/>
    <x v="2"/>
    <n v="843.23399999999992"/>
    <n v="955.26199999999994"/>
    <x v="0"/>
    <x v="1"/>
    <x v="0"/>
    <n v="3"/>
  </r>
  <r>
    <n v="1"/>
    <d v="2020-01-15T00:00:00"/>
    <x v="0"/>
    <n v="3419.0099999999998"/>
    <n v="4823.8890000000001"/>
    <x v="0"/>
    <x v="1"/>
    <x v="0"/>
    <n v="3"/>
  </r>
  <r>
    <n v="1"/>
    <d v="2020-01-15T00:00:00"/>
    <x v="3"/>
    <n v="185.95499999999998"/>
    <n v="154.88199999999998"/>
    <x v="0"/>
    <x v="1"/>
    <x v="0"/>
    <n v="3"/>
  </r>
  <r>
    <n v="1"/>
    <d v="2020-01-15T00:00:00"/>
    <x v="1"/>
    <n v="3258.5140000000001"/>
    <n v="3109.3440000000001"/>
    <x v="0"/>
    <x v="1"/>
    <x v="0"/>
    <n v="3"/>
  </r>
  <r>
    <n v="1"/>
    <d v="2020-01-16T00:00:00"/>
    <x v="3"/>
    <n v="196.54599999999996"/>
    <n v="47.746999999999993"/>
    <x v="0"/>
    <x v="1"/>
    <x v="0"/>
    <n v="3"/>
  </r>
  <r>
    <n v="1"/>
    <d v="2020-01-16T00:00:00"/>
    <x v="0"/>
    <n v="4322.1429999999991"/>
    <n v="4240.4459999999999"/>
    <x v="0"/>
    <x v="1"/>
    <x v="0"/>
    <n v="3"/>
  </r>
  <r>
    <n v="1"/>
    <d v="2020-01-16T00:00:00"/>
    <x v="2"/>
    <n v="806.7639999999999"/>
    <n v="774.89299999999992"/>
    <x v="0"/>
    <x v="1"/>
    <x v="0"/>
    <n v="3"/>
  </r>
  <r>
    <n v="1"/>
    <d v="2020-01-16T00:00:00"/>
    <x v="1"/>
    <n v="3316.3339999999998"/>
    <n v="3295.6349999999998"/>
    <x v="0"/>
    <x v="1"/>
    <x v="0"/>
    <n v="3"/>
  </r>
  <r>
    <n v="1"/>
    <d v="2020-01-17T00:00:00"/>
    <x v="3"/>
    <n v="33.284999999999997"/>
    <n v="0"/>
    <x v="0"/>
    <x v="1"/>
    <x v="0"/>
    <n v="3"/>
  </r>
  <r>
    <n v="1"/>
    <d v="2020-01-17T00:00:00"/>
    <x v="0"/>
    <n v="4906.6079999999993"/>
    <n v="6541.7520000000004"/>
    <x v="0"/>
    <x v="1"/>
    <x v="0"/>
    <n v="3"/>
  </r>
  <r>
    <n v="1"/>
    <d v="2020-01-17T00:00:00"/>
    <x v="2"/>
    <n v="1375.1849999999999"/>
    <n v="1322.8809999999999"/>
    <x v="0"/>
    <x v="1"/>
    <x v="0"/>
    <n v="3"/>
  </r>
  <r>
    <n v="1"/>
    <d v="2020-01-17T00:00:00"/>
    <x v="1"/>
    <n v="4183.3119999999999"/>
    <n v="3856.4119999999998"/>
    <x v="0"/>
    <x v="1"/>
    <x v="0"/>
    <n v="3"/>
  </r>
  <r>
    <n v="1"/>
    <d v="2020-01-18T00:00:00"/>
    <x v="2"/>
    <n v="1048.8519999999999"/>
    <n v="661.69599999999991"/>
    <x v="0"/>
    <x v="1"/>
    <x v="0"/>
    <n v="3"/>
  </r>
  <r>
    <n v="1"/>
    <d v="2020-01-18T00:00:00"/>
    <x v="1"/>
    <n v="3440.8219999999997"/>
    <n v="3188.1219999999998"/>
    <x v="0"/>
    <x v="1"/>
    <x v="0"/>
    <n v="3"/>
  </r>
  <r>
    <n v="1"/>
    <d v="2020-01-18T00:00:00"/>
    <x v="0"/>
    <n v="5424.2649999999994"/>
    <n v="5850.8939999999993"/>
    <x v="0"/>
    <x v="1"/>
    <x v="0"/>
    <n v="3"/>
  </r>
  <r>
    <n v="1"/>
    <d v="2020-01-18T00:00:00"/>
    <x v="3"/>
    <n v="0"/>
    <n v="0"/>
    <x v="0"/>
    <x v="1"/>
    <x v="0"/>
    <n v="3"/>
  </r>
  <r>
    <n v="1"/>
    <d v="2020-01-19T00:00:00"/>
    <x v="3"/>
    <n v="0"/>
    <n v="0"/>
    <x v="0"/>
    <x v="1"/>
    <x v="0"/>
    <n v="3"/>
  </r>
  <r>
    <n v="1"/>
    <d v="2020-01-19T00:00:00"/>
    <x v="0"/>
    <n v="1777.0339999999999"/>
    <n v="2374.855"/>
    <x v="0"/>
    <x v="1"/>
    <x v="0"/>
    <n v="3"/>
  </r>
  <r>
    <n v="1"/>
    <d v="2020-01-19T00:00:00"/>
    <x v="1"/>
    <n v="1734.607"/>
    <n v="1532.58"/>
    <x v="0"/>
    <x v="1"/>
    <x v="0"/>
    <n v="3"/>
  </r>
  <r>
    <n v="1"/>
    <d v="2020-01-19T00:00:00"/>
    <x v="2"/>
    <n v="541.00199999999995"/>
    <n v="167.69199999999998"/>
    <x v="0"/>
    <x v="1"/>
    <x v="0"/>
    <n v="3"/>
  </r>
  <r>
    <n v="1"/>
    <d v="2020-01-20T00:00:00"/>
    <x v="3"/>
    <n v="0"/>
    <n v="169.93899999999999"/>
    <x v="0"/>
    <x v="1"/>
    <x v="0"/>
    <n v="4"/>
  </r>
  <r>
    <n v="1"/>
    <d v="2020-01-20T00:00:00"/>
    <x v="0"/>
    <n v="4576.8309999999992"/>
    <n v="4970.1539999999995"/>
    <x v="0"/>
    <x v="1"/>
    <x v="0"/>
    <n v="4"/>
  </r>
  <r>
    <n v="1"/>
    <d v="2020-01-20T00:00:00"/>
    <x v="2"/>
    <n v="1361.7309999999998"/>
    <n v="1218.9870000000001"/>
    <x v="0"/>
    <x v="1"/>
    <x v="0"/>
    <n v="4"/>
  </r>
  <r>
    <n v="1"/>
    <d v="2020-01-20T00:00:00"/>
    <x v="1"/>
    <n v="3836.0839999999998"/>
    <n v="2949.8140000000003"/>
    <x v="0"/>
    <x v="1"/>
    <x v="0"/>
    <n v="4"/>
  </r>
  <r>
    <n v="1"/>
    <d v="2020-01-21T00:00:00"/>
    <x v="3"/>
    <n v="0"/>
    <n v="0"/>
    <x v="0"/>
    <x v="1"/>
    <x v="0"/>
    <n v="4"/>
  </r>
  <r>
    <n v="1"/>
    <d v="2020-01-21T00:00:00"/>
    <x v="2"/>
    <n v="858.66200000000003"/>
    <n v="672.96600000000001"/>
    <x v="0"/>
    <x v="1"/>
    <x v="0"/>
    <n v="4"/>
  </r>
  <r>
    <n v="1"/>
    <d v="2020-01-21T00:00:00"/>
    <x v="0"/>
    <n v="3179.7779999999998"/>
    <n v="3944.3459999999995"/>
    <x v="0"/>
    <x v="1"/>
    <x v="0"/>
    <n v="4"/>
  </r>
  <r>
    <n v="1"/>
    <d v="2020-01-21T00:00:00"/>
    <x v="1"/>
    <n v="3139.1779999999999"/>
    <n v="3002.8319999999999"/>
    <x v="0"/>
    <x v="1"/>
    <x v="0"/>
    <n v="4"/>
  </r>
  <r>
    <n v="1"/>
    <d v="2020-01-22T00:00:00"/>
    <x v="0"/>
    <n v="3253.0329999999994"/>
    <n v="3789.3449999999998"/>
    <x v="0"/>
    <x v="1"/>
    <x v="0"/>
    <n v="4"/>
  </r>
  <r>
    <n v="1"/>
    <d v="2020-01-22T00:00:00"/>
    <x v="3"/>
    <n v="0"/>
    <n v="19.200999999999997"/>
    <x v="0"/>
    <x v="1"/>
    <x v="0"/>
    <n v="4"/>
  </r>
  <r>
    <n v="1"/>
    <d v="2020-01-22T00:00:00"/>
    <x v="2"/>
    <n v="811.048"/>
    <n v="503.84599999999995"/>
    <x v="0"/>
    <x v="1"/>
    <x v="0"/>
    <n v="4"/>
  </r>
  <r>
    <n v="1"/>
    <d v="2020-01-22T00:00:00"/>
    <x v="1"/>
    <n v="3098.0249999999996"/>
    <n v="2951.9209999999998"/>
    <x v="0"/>
    <x v="1"/>
    <x v="0"/>
    <n v="4"/>
  </r>
  <r>
    <n v="1"/>
    <d v="2020-01-23T00:00:00"/>
    <x v="3"/>
    <n v="308.67199999999997"/>
    <n v="9.0509999999999984"/>
    <x v="0"/>
    <x v="1"/>
    <x v="0"/>
    <n v="4"/>
  </r>
  <r>
    <n v="1"/>
    <d v="2020-01-23T00:00:00"/>
    <x v="2"/>
    <n v="942.13699999999994"/>
    <n v="1028.356"/>
    <x v="0"/>
    <x v="1"/>
    <x v="0"/>
    <n v="4"/>
  </r>
  <r>
    <n v="1"/>
    <d v="2020-01-23T00:00:00"/>
    <x v="0"/>
    <n v="3757.5439999999999"/>
    <n v="4590.8450000000003"/>
    <x v="0"/>
    <x v="1"/>
    <x v="0"/>
    <n v="4"/>
  </r>
  <r>
    <n v="1"/>
    <d v="2020-01-23T00:00:00"/>
    <x v="1"/>
    <n v="3264.828"/>
    <n v="2878.7219999999998"/>
    <x v="0"/>
    <x v="1"/>
    <x v="0"/>
    <n v="4"/>
  </r>
  <r>
    <n v="1"/>
    <d v="2020-01-24T00:00:00"/>
    <x v="0"/>
    <n v="5347.2579999999998"/>
    <n v="6429.5770000000002"/>
    <x v="0"/>
    <x v="1"/>
    <x v="0"/>
    <n v="4"/>
  </r>
  <r>
    <n v="1"/>
    <d v="2020-01-24T00:00:00"/>
    <x v="2"/>
    <n v="1030.0219999999999"/>
    <n v="1315.174"/>
    <x v="0"/>
    <x v="1"/>
    <x v="0"/>
    <n v="4"/>
  </r>
  <r>
    <n v="1"/>
    <d v="2020-01-24T00:00:00"/>
    <x v="3"/>
    <n v="257.24299999999999"/>
    <n v="16.744"/>
    <x v="0"/>
    <x v="1"/>
    <x v="0"/>
    <n v="4"/>
  </r>
  <r>
    <n v="1"/>
    <d v="2020-01-24T00:00:00"/>
    <x v="1"/>
    <n v="3928.7359999999994"/>
    <n v="3484.4179999999997"/>
    <x v="0"/>
    <x v="1"/>
    <x v="0"/>
    <n v="4"/>
  </r>
  <r>
    <n v="1"/>
    <d v="2020-01-25T00:00:00"/>
    <x v="2"/>
    <n v="999.18700000000001"/>
    <n v="1151.8219999999999"/>
    <x v="0"/>
    <x v="1"/>
    <x v="0"/>
    <n v="4"/>
  </r>
  <r>
    <n v="1"/>
    <d v="2020-01-25T00:00:00"/>
    <x v="0"/>
    <n v="5253.0730000000003"/>
    <n v="6076.2939999999999"/>
    <x v="0"/>
    <x v="1"/>
    <x v="0"/>
    <n v="4"/>
  </r>
  <r>
    <n v="1"/>
    <d v="2020-01-25T00:00:00"/>
    <x v="3"/>
    <n v="0"/>
    <n v="923.15999999999985"/>
    <x v="0"/>
    <x v="1"/>
    <x v="0"/>
    <n v="4"/>
  </r>
  <r>
    <n v="1"/>
    <d v="2020-01-25T00:00:00"/>
    <x v="1"/>
    <n v="3448.5359999999996"/>
    <n v="3142.9230000000002"/>
    <x v="0"/>
    <x v="1"/>
    <x v="0"/>
    <n v="4"/>
  </r>
  <r>
    <n v="1"/>
    <d v="2020-01-26T00:00:00"/>
    <x v="0"/>
    <n v="1732.038"/>
    <n v="2451.9669999999996"/>
    <x v="0"/>
    <x v="1"/>
    <x v="0"/>
    <n v="4"/>
  </r>
  <r>
    <n v="1"/>
    <d v="2020-01-26T00:00:00"/>
    <x v="2"/>
    <n v="534.00900000000001"/>
    <n v="199.61199999999999"/>
    <x v="0"/>
    <x v="1"/>
    <x v="0"/>
    <n v="4"/>
  </r>
  <r>
    <n v="1"/>
    <d v="2020-01-26T00:00:00"/>
    <x v="3"/>
    <n v="0"/>
    <n v="0"/>
    <x v="0"/>
    <x v="1"/>
    <x v="0"/>
    <n v="4"/>
  </r>
  <r>
    <n v="1"/>
    <d v="2020-01-26T00:00:00"/>
    <x v="1"/>
    <n v="1818.3479999999997"/>
    <n v="1250.2069999999999"/>
    <x v="0"/>
    <x v="1"/>
    <x v="0"/>
    <n v="4"/>
  </r>
  <r>
    <n v="1"/>
    <d v="2020-01-27T00:00:00"/>
    <x v="0"/>
    <n v="2689.4839999999999"/>
    <n v="3416.4479999999999"/>
    <x v="0"/>
    <x v="1"/>
    <x v="1"/>
    <n v="1"/>
  </r>
  <r>
    <n v="1"/>
    <d v="2020-01-27T00:00:00"/>
    <x v="2"/>
    <n v="733.726"/>
    <n v="839.32799999999997"/>
    <x v="0"/>
    <x v="1"/>
    <x v="1"/>
    <n v="1"/>
  </r>
  <r>
    <n v="1"/>
    <d v="2020-01-27T00:00:00"/>
    <x v="3"/>
    <n v="0"/>
    <n v="615.43999999999994"/>
    <x v="0"/>
    <x v="1"/>
    <x v="1"/>
    <n v="1"/>
  </r>
  <r>
    <n v="1"/>
    <d v="2020-01-27T00:00:00"/>
    <x v="1"/>
    <n v="3159.6880000000001"/>
    <n v="2813.5099999999998"/>
    <x v="0"/>
    <x v="1"/>
    <x v="1"/>
    <n v="1"/>
  </r>
  <r>
    <n v="1"/>
    <d v="2020-01-28T00:00:00"/>
    <x v="0"/>
    <n v="3237.4789999999998"/>
    <n v="3428.1799999999994"/>
    <x v="0"/>
    <x v="1"/>
    <x v="1"/>
    <n v="1"/>
  </r>
  <r>
    <n v="1"/>
    <d v="2020-01-28T00:00:00"/>
    <x v="1"/>
    <n v="3395.672"/>
    <n v="2796.3249999999998"/>
    <x v="0"/>
    <x v="1"/>
    <x v="1"/>
    <n v="1"/>
  </r>
  <r>
    <n v="1"/>
    <d v="2020-01-28T00:00:00"/>
    <x v="3"/>
    <n v="0"/>
    <n v="17.773"/>
    <x v="0"/>
    <x v="1"/>
    <x v="1"/>
    <n v="1"/>
  </r>
  <r>
    <n v="1"/>
    <d v="2020-01-28T00:00:00"/>
    <x v="2"/>
    <n v="1132.8029999999999"/>
    <n v="1023.9879999999998"/>
    <x v="0"/>
    <x v="1"/>
    <x v="1"/>
    <n v="1"/>
  </r>
  <r>
    <n v="1"/>
    <d v="2020-01-29T00:00:00"/>
    <x v="2"/>
    <n v="632.72299999999996"/>
    <n v="1005.872"/>
    <x v="0"/>
    <x v="1"/>
    <x v="1"/>
    <n v="1"/>
  </r>
  <r>
    <n v="1"/>
    <d v="2020-01-29T00:00:00"/>
    <x v="3"/>
    <n v="253.32299999999998"/>
    <n v="0"/>
    <x v="0"/>
    <x v="1"/>
    <x v="1"/>
    <n v="1"/>
  </r>
  <r>
    <n v="1"/>
    <d v="2020-01-29T00:00:00"/>
    <x v="1"/>
    <n v="3016.2369999999996"/>
    <n v="2948.8689999999997"/>
    <x v="0"/>
    <x v="1"/>
    <x v="1"/>
    <n v="1"/>
  </r>
  <r>
    <n v="1"/>
    <d v="2020-01-29T00:00:00"/>
    <x v="0"/>
    <n v="3329.8999999999996"/>
    <n v="4319.4129999999996"/>
    <x v="0"/>
    <x v="1"/>
    <x v="1"/>
    <n v="1"/>
  </r>
  <r>
    <n v="1"/>
    <d v="2020-01-30T00:00:00"/>
    <x v="2"/>
    <n v="896.93099999999993"/>
    <n v="1196.6079999999999"/>
    <x v="0"/>
    <x v="1"/>
    <x v="1"/>
    <n v="1"/>
  </r>
  <r>
    <n v="1"/>
    <d v="2020-01-30T00:00:00"/>
    <x v="0"/>
    <n v="4248.6989999999996"/>
    <n v="4515.3359999999993"/>
    <x v="0"/>
    <x v="1"/>
    <x v="1"/>
    <n v="1"/>
  </r>
  <r>
    <n v="1"/>
    <d v="2020-01-30T00:00:00"/>
    <x v="3"/>
    <n v="0"/>
    <n v="352.49199999999996"/>
    <x v="0"/>
    <x v="1"/>
    <x v="1"/>
    <n v="1"/>
  </r>
  <r>
    <n v="1"/>
    <d v="2020-01-30T00:00:00"/>
    <x v="1"/>
    <n v="3748.6329999999994"/>
    <n v="2987.0679999999998"/>
    <x v="0"/>
    <x v="1"/>
    <x v="1"/>
    <n v="1"/>
  </r>
  <r>
    <n v="1"/>
    <d v="2020-01-31T00:00:00"/>
    <x v="0"/>
    <n v="5777.4989999999998"/>
    <n v="5835.2"/>
    <x v="0"/>
    <x v="1"/>
    <x v="1"/>
    <n v="1"/>
  </r>
  <r>
    <n v="1"/>
    <d v="2020-01-31T00:00:00"/>
    <x v="2"/>
    <n v="1204.7279999999998"/>
    <n v="1130.4019999999998"/>
    <x v="0"/>
    <x v="1"/>
    <x v="1"/>
    <n v="1"/>
  </r>
  <r>
    <n v="1"/>
    <d v="2020-01-31T00:00:00"/>
    <x v="3"/>
    <n v="160.85999999999999"/>
    <n v="256.68299999999999"/>
    <x v="0"/>
    <x v="1"/>
    <x v="1"/>
    <n v="1"/>
  </r>
  <r>
    <n v="1"/>
    <d v="2020-01-31T00:00:00"/>
    <x v="1"/>
    <n v="4151.973"/>
    <n v="3625.5450000000001"/>
    <x v="0"/>
    <x v="1"/>
    <x v="1"/>
    <n v="1"/>
  </r>
  <r>
    <n v="1"/>
    <d v="2020-02-01T00:00:00"/>
    <x v="3"/>
    <n v="1134.616"/>
    <n v="346.21999999999997"/>
    <x v="0"/>
    <x v="1"/>
    <x v="1"/>
    <n v="1"/>
  </r>
  <r>
    <n v="1"/>
    <d v="2020-02-01T00:00:00"/>
    <x v="0"/>
    <n v="5669.8879999999999"/>
    <n v="6323.2749999999996"/>
    <x v="0"/>
    <x v="1"/>
    <x v="1"/>
    <n v="1"/>
  </r>
  <r>
    <n v="1"/>
    <d v="2020-02-01T00:00:00"/>
    <x v="2"/>
    <n v="1014.391"/>
    <n v="1284.6609999999998"/>
    <x v="0"/>
    <x v="1"/>
    <x v="1"/>
    <n v="1"/>
  </r>
  <r>
    <n v="1"/>
    <d v="2020-02-01T00:00:00"/>
    <x v="1"/>
    <n v="3952.7950000000001"/>
    <n v="3449.0189999999998"/>
    <x v="0"/>
    <x v="1"/>
    <x v="1"/>
    <n v="1"/>
  </r>
  <r>
    <n v="1"/>
    <d v="2020-02-02T00:00:00"/>
    <x v="0"/>
    <n v="1689.261"/>
    <n v="1550.2829999999999"/>
    <x v="0"/>
    <x v="1"/>
    <x v="1"/>
    <n v="1"/>
  </r>
  <r>
    <n v="1"/>
    <d v="2020-02-02T00:00:00"/>
    <x v="2"/>
    <n v="469.53199999999998"/>
    <n v="296.29599999999994"/>
    <x v="0"/>
    <x v="1"/>
    <x v="1"/>
    <n v="1"/>
  </r>
  <r>
    <n v="1"/>
    <d v="2020-02-02T00:00:00"/>
    <x v="3"/>
    <n v="57.036000000000001"/>
    <n v="190.93199999999999"/>
    <x v="0"/>
    <x v="1"/>
    <x v="1"/>
    <n v="1"/>
  </r>
  <r>
    <n v="1"/>
    <d v="2020-02-02T00:00:00"/>
    <x v="1"/>
    <n v="1446.1299999999999"/>
    <n v="1534.4979999999998"/>
    <x v="0"/>
    <x v="1"/>
    <x v="1"/>
    <n v="1"/>
  </r>
  <r>
    <n v="1"/>
    <d v="2020-02-03T00:00:00"/>
    <x v="2"/>
    <n v="974.54699999999991"/>
    <n v="817.46699999999987"/>
    <x v="0"/>
    <x v="1"/>
    <x v="1"/>
    <n v="2"/>
  </r>
  <r>
    <n v="1"/>
    <d v="2020-02-03T00:00:00"/>
    <x v="1"/>
    <n v="2896.0119999999997"/>
    <n v="2554.9789999999998"/>
    <x v="0"/>
    <x v="1"/>
    <x v="1"/>
    <n v="2"/>
  </r>
  <r>
    <n v="1"/>
    <d v="2020-02-03T00:00:00"/>
    <x v="0"/>
    <n v="3062.2339999999999"/>
    <n v="3705.6179999999995"/>
    <x v="0"/>
    <x v="1"/>
    <x v="1"/>
    <n v="2"/>
  </r>
  <r>
    <n v="1"/>
    <d v="2020-02-03T00:00:00"/>
    <x v="3"/>
    <n v="0"/>
    <n v="1195.0119999999999"/>
    <x v="0"/>
    <x v="1"/>
    <x v="1"/>
    <n v="2"/>
  </r>
  <r>
    <n v="1"/>
    <d v="2020-02-04T00:00:00"/>
    <x v="1"/>
    <n v="2951.8859999999995"/>
    <n v="3011.8059999999996"/>
    <x v="0"/>
    <x v="1"/>
    <x v="1"/>
    <n v="2"/>
  </r>
  <r>
    <n v="1"/>
    <d v="2020-02-04T00:00:00"/>
    <x v="3"/>
    <n v="0"/>
    <n v="192.32499999999999"/>
    <x v="0"/>
    <x v="1"/>
    <x v="1"/>
    <n v="2"/>
  </r>
  <r>
    <n v="1"/>
    <d v="2020-02-04T00:00:00"/>
    <x v="0"/>
    <n v="3258.8290000000002"/>
    <n v="3779.8879999999999"/>
    <x v="0"/>
    <x v="1"/>
    <x v="1"/>
    <n v="2"/>
  </r>
  <r>
    <n v="1"/>
    <d v="2020-02-04T00:00:00"/>
    <x v="2"/>
    <n v="712.93599999999992"/>
    <n v="493.20600000000002"/>
    <x v="0"/>
    <x v="1"/>
    <x v="1"/>
    <n v="2"/>
  </r>
  <r>
    <n v="1"/>
    <d v="2020-02-05T00:00:00"/>
    <x v="2"/>
    <n v="1009.8199999999998"/>
    <n v="735.5809999999999"/>
    <x v="0"/>
    <x v="1"/>
    <x v="1"/>
    <n v="2"/>
  </r>
  <r>
    <n v="1"/>
    <d v="2020-02-05T00:00:00"/>
    <x v="3"/>
    <n v="484.87599999999992"/>
    <n v="85.322999999999993"/>
    <x v="0"/>
    <x v="1"/>
    <x v="1"/>
    <n v="2"/>
  </r>
  <r>
    <n v="1"/>
    <d v="2020-02-05T00:00:00"/>
    <x v="0"/>
    <n v="2949.24"/>
    <n v="3292.9119999999998"/>
    <x v="0"/>
    <x v="1"/>
    <x v="1"/>
    <n v="2"/>
  </r>
  <r>
    <n v="1"/>
    <d v="2020-02-05T00:00:00"/>
    <x v="1"/>
    <n v="3089.2609999999995"/>
    <n v="2926.8049999999994"/>
    <x v="0"/>
    <x v="1"/>
    <x v="1"/>
    <n v="2"/>
  </r>
  <r>
    <n v="1"/>
    <d v="2020-02-06T00:00:00"/>
    <x v="3"/>
    <n v="439.22899999999998"/>
    <n v="648.35399999999993"/>
    <x v="0"/>
    <x v="1"/>
    <x v="1"/>
    <n v="2"/>
  </r>
  <r>
    <n v="1"/>
    <d v="2020-02-06T00:00:00"/>
    <x v="2"/>
    <n v="1411.9839999999999"/>
    <n v="764.31600000000003"/>
    <x v="0"/>
    <x v="1"/>
    <x v="1"/>
    <n v="2"/>
  </r>
  <r>
    <n v="1"/>
    <d v="2020-02-06T00:00:00"/>
    <x v="1"/>
    <n v="3166.2329999999997"/>
    <n v="3154.4939999999997"/>
    <x v="0"/>
    <x v="1"/>
    <x v="1"/>
    <n v="2"/>
  </r>
  <r>
    <n v="1"/>
    <d v="2020-02-06T00:00:00"/>
    <x v="0"/>
    <n v="3226.7689999999998"/>
    <n v="3945.5639999999999"/>
    <x v="0"/>
    <x v="1"/>
    <x v="1"/>
    <n v="2"/>
  </r>
  <r>
    <n v="1"/>
    <d v="2020-02-07T00:00:00"/>
    <x v="2"/>
    <n v="1080.2049999999999"/>
    <n v="1366.3440000000001"/>
    <x v="0"/>
    <x v="1"/>
    <x v="1"/>
    <n v="2"/>
  </r>
  <r>
    <n v="1"/>
    <d v="2020-02-07T00:00:00"/>
    <x v="0"/>
    <n v="5018.4749999999995"/>
    <n v="6358.8209999999999"/>
    <x v="0"/>
    <x v="1"/>
    <x v="1"/>
    <n v="2"/>
  </r>
  <r>
    <n v="1"/>
    <d v="2020-02-07T00:00:00"/>
    <x v="1"/>
    <n v="4308.1499999999996"/>
    <n v="3496.8359999999993"/>
    <x v="0"/>
    <x v="1"/>
    <x v="1"/>
    <n v="2"/>
  </r>
  <r>
    <n v="1"/>
    <d v="2020-02-07T00:00:00"/>
    <x v="3"/>
    <n v="668.17799999999988"/>
    <n v="0"/>
    <x v="0"/>
    <x v="1"/>
    <x v="1"/>
    <n v="2"/>
  </r>
  <r>
    <n v="1"/>
    <d v="2020-02-08T00:00:00"/>
    <x v="2"/>
    <n v="840.67899999999997"/>
    <n v="914.85799999999995"/>
    <x v="0"/>
    <x v="1"/>
    <x v="1"/>
    <n v="2"/>
  </r>
  <r>
    <n v="1"/>
    <d v="2020-02-08T00:00:00"/>
    <x v="0"/>
    <n v="5315.4639999999999"/>
    <n v="6172.8659999999991"/>
    <x v="0"/>
    <x v="1"/>
    <x v="1"/>
    <n v="2"/>
  </r>
  <r>
    <n v="1"/>
    <d v="2020-02-08T00:00:00"/>
    <x v="3"/>
    <n v="722.98099999999988"/>
    <n v="309.60300000000001"/>
    <x v="0"/>
    <x v="1"/>
    <x v="1"/>
    <n v="2"/>
  </r>
  <r>
    <n v="1"/>
    <d v="2020-02-08T00:00:00"/>
    <x v="1"/>
    <n v="3624.6489999999994"/>
    <n v="3202.1989999999996"/>
    <x v="0"/>
    <x v="1"/>
    <x v="1"/>
    <n v="2"/>
  </r>
  <r>
    <n v="1"/>
    <d v="2020-02-09T00:00:00"/>
    <x v="0"/>
    <n v="2005.675"/>
    <n v="1786.386"/>
    <x v="0"/>
    <x v="1"/>
    <x v="1"/>
    <n v="2"/>
  </r>
  <r>
    <n v="1"/>
    <d v="2020-02-09T00:00:00"/>
    <x v="2"/>
    <n v="333.03199999999998"/>
    <n v="219.17000000000002"/>
    <x v="0"/>
    <x v="1"/>
    <x v="1"/>
    <n v="2"/>
  </r>
  <r>
    <n v="1"/>
    <d v="2020-02-09T00:00:00"/>
    <x v="1"/>
    <n v="1403.78"/>
    <n v="1755.1589999999999"/>
    <x v="0"/>
    <x v="1"/>
    <x v="1"/>
    <n v="2"/>
  </r>
  <r>
    <n v="1"/>
    <d v="2020-02-09T00:00:00"/>
    <x v="3"/>
    <n v="0"/>
    <n v="0"/>
    <x v="0"/>
    <x v="1"/>
    <x v="1"/>
    <n v="2"/>
  </r>
  <r>
    <n v="1"/>
    <d v="2020-02-10T00:00:00"/>
    <x v="3"/>
    <n v="0"/>
    <n v="26.186999999999998"/>
    <x v="0"/>
    <x v="1"/>
    <x v="1"/>
    <n v="3"/>
  </r>
  <r>
    <n v="1"/>
    <d v="2020-02-10T00:00:00"/>
    <x v="2"/>
    <n v="545.69899999999996"/>
    <n v="833.71399999999994"/>
    <x v="0"/>
    <x v="1"/>
    <x v="1"/>
    <n v="3"/>
  </r>
  <r>
    <n v="1"/>
    <d v="2020-02-10T00:00:00"/>
    <x v="0"/>
    <n v="2861.7679999999996"/>
    <n v="3054.3799999999997"/>
    <x v="0"/>
    <x v="1"/>
    <x v="1"/>
    <n v="3"/>
  </r>
  <r>
    <n v="1"/>
    <d v="2020-02-10T00:00:00"/>
    <x v="1"/>
    <n v="3469.2139999999999"/>
    <n v="2483.46"/>
    <x v="0"/>
    <x v="1"/>
    <x v="1"/>
    <n v="3"/>
  </r>
  <r>
    <n v="1"/>
    <d v="2020-02-11T00:00:00"/>
    <x v="1"/>
    <n v="3382.3440000000001"/>
    <n v="2662.9469999999997"/>
    <x v="0"/>
    <x v="1"/>
    <x v="1"/>
    <n v="3"/>
  </r>
  <r>
    <n v="1"/>
    <d v="2020-02-11T00:00:00"/>
    <x v="0"/>
    <n v="2968.8959999999997"/>
    <n v="3696.9659999999999"/>
    <x v="0"/>
    <x v="1"/>
    <x v="1"/>
    <n v="3"/>
  </r>
  <r>
    <n v="1"/>
    <d v="2020-02-11T00:00:00"/>
    <x v="2"/>
    <n v="835.24"/>
    <n v="643.18799999999999"/>
    <x v="0"/>
    <x v="1"/>
    <x v="1"/>
    <n v="3"/>
  </r>
  <r>
    <n v="1"/>
    <d v="2020-02-11T00:00:00"/>
    <x v="3"/>
    <n v="0"/>
    <n v="115.39499999999998"/>
    <x v="0"/>
    <x v="1"/>
    <x v="1"/>
    <n v="3"/>
  </r>
  <r>
    <n v="1"/>
    <d v="2020-02-12T00:00:00"/>
    <x v="0"/>
    <n v="3196.1859999999997"/>
    <n v="4159.5329999999994"/>
    <x v="0"/>
    <x v="1"/>
    <x v="1"/>
    <n v="3"/>
  </r>
  <r>
    <n v="1"/>
    <d v="2020-02-12T00:00:00"/>
    <x v="2"/>
    <n v="558.20099999999991"/>
    <n v="728.67899999999997"/>
    <x v="0"/>
    <x v="1"/>
    <x v="1"/>
    <n v="3"/>
  </r>
  <r>
    <n v="1"/>
    <d v="2020-02-12T00:00:00"/>
    <x v="1"/>
    <n v="3313.1559999999999"/>
    <n v="2401.5879999999997"/>
    <x v="0"/>
    <x v="1"/>
    <x v="1"/>
    <n v="3"/>
  </r>
  <r>
    <n v="1"/>
    <d v="2020-02-12T00:00:00"/>
    <x v="3"/>
    <n v="32.451999999999998"/>
    <n v="69.257999999999996"/>
    <x v="0"/>
    <x v="1"/>
    <x v="1"/>
    <n v="3"/>
  </r>
  <r>
    <n v="1"/>
    <d v="2020-02-13T00:00:00"/>
    <x v="2"/>
    <n v="954.44299999999998"/>
    <n v="1618.4979999999998"/>
    <x v="0"/>
    <x v="1"/>
    <x v="1"/>
    <n v="3"/>
  </r>
  <r>
    <n v="1"/>
    <d v="2020-02-13T00:00:00"/>
    <x v="0"/>
    <n v="3820.9219999999996"/>
    <n v="5438.741"/>
    <x v="0"/>
    <x v="1"/>
    <x v="1"/>
    <n v="3"/>
  </r>
  <r>
    <n v="1"/>
    <d v="2020-02-13T00:00:00"/>
    <x v="3"/>
    <n v="0"/>
    <n v="69.698999999999984"/>
    <x v="0"/>
    <x v="1"/>
    <x v="1"/>
    <n v="3"/>
  </r>
  <r>
    <n v="1"/>
    <d v="2020-02-13T00:00:00"/>
    <x v="1"/>
    <n v="3356.5769999999998"/>
    <n v="3811.0799999999995"/>
    <x v="0"/>
    <x v="1"/>
    <x v="1"/>
    <n v="3"/>
  </r>
  <r>
    <n v="1"/>
    <d v="2020-02-14T00:00:00"/>
    <x v="0"/>
    <n v="6093.2830000000004"/>
    <n v="5137.6289999999999"/>
    <x v="0"/>
    <x v="1"/>
    <x v="1"/>
    <n v="3"/>
  </r>
  <r>
    <n v="1"/>
    <d v="2020-02-14T00:00:00"/>
    <x v="1"/>
    <n v="4531.0159999999996"/>
    <n v="3560.6759999999999"/>
    <x v="0"/>
    <x v="1"/>
    <x v="1"/>
    <n v="3"/>
  </r>
  <r>
    <n v="1"/>
    <d v="2020-02-14T00:00:00"/>
    <x v="2"/>
    <n v="1370.2569999999998"/>
    <n v="1253.4690000000001"/>
    <x v="0"/>
    <x v="1"/>
    <x v="1"/>
    <n v="3"/>
  </r>
  <r>
    <n v="1"/>
    <d v="2020-02-14T00:00:00"/>
    <x v="3"/>
    <n v="473.71099999999996"/>
    <n v="18.521999999999998"/>
    <x v="0"/>
    <x v="1"/>
    <x v="1"/>
    <n v="3"/>
  </r>
  <r>
    <n v="1"/>
    <d v="2020-02-15T00:00:00"/>
    <x v="0"/>
    <n v="5104.1549999999997"/>
    <n v="5543.110999999999"/>
    <x v="0"/>
    <x v="1"/>
    <x v="1"/>
    <n v="3"/>
  </r>
  <r>
    <n v="1"/>
    <d v="2020-02-15T00:00:00"/>
    <x v="1"/>
    <n v="3756.5149999999994"/>
    <n v="3309.0049999999997"/>
    <x v="0"/>
    <x v="1"/>
    <x v="1"/>
    <n v="3"/>
  </r>
  <r>
    <n v="1"/>
    <d v="2020-02-15T00:00:00"/>
    <x v="3"/>
    <n v="47.830999999999996"/>
    <n v="23.414999999999999"/>
    <x v="0"/>
    <x v="1"/>
    <x v="1"/>
    <n v="3"/>
  </r>
  <r>
    <n v="1"/>
    <d v="2020-02-15T00:00:00"/>
    <x v="2"/>
    <n v="1316.8819999999998"/>
    <n v="996.29599999999994"/>
    <x v="0"/>
    <x v="1"/>
    <x v="1"/>
    <n v="3"/>
  </r>
  <r>
    <n v="1"/>
    <d v="2020-02-16T00:00:00"/>
    <x v="0"/>
    <n v="1675.086"/>
    <n v="2060.5549999999998"/>
    <x v="0"/>
    <x v="1"/>
    <x v="1"/>
    <n v="3"/>
  </r>
  <r>
    <n v="1"/>
    <d v="2020-02-16T00:00:00"/>
    <x v="2"/>
    <n v="615.83199999999999"/>
    <n v="98.839999999999989"/>
    <x v="0"/>
    <x v="1"/>
    <x v="1"/>
    <n v="3"/>
  </r>
  <r>
    <n v="1"/>
    <d v="2020-02-16T00:00:00"/>
    <x v="1"/>
    <n v="1704.3809999999999"/>
    <n v="1317.4839999999999"/>
    <x v="0"/>
    <x v="1"/>
    <x v="1"/>
    <n v="3"/>
  </r>
  <r>
    <n v="1"/>
    <d v="2020-02-16T00:00:00"/>
    <x v="3"/>
    <n v="7.2589999999999986"/>
    <n v="0"/>
    <x v="0"/>
    <x v="1"/>
    <x v="1"/>
    <n v="3"/>
  </r>
  <r>
    <n v="1"/>
    <d v="2020-02-17T00:00:00"/>
    <x v="2"/>
    <n v="870.625"/>
    <n v="806.06399999999996"/>
    <x v="0"/>
    <x v="1"/>
    <x v="1"/>
    <n v="4"/>
  </r>
  <r>
    <n v="1"/>
    <d v="2020-02-17T00:00:00"/>
    <x v="0"/>
    <n v="4973.0309999999999"/>
    <n v="5271.4059999999999"/>
    <x v="0"/>
    <x v="1"/>
    <x v="1"/>
    <n v="4"/>
  </r>
  <r>
    <n v="1"/>
    <d v="2020-02-17T00:00:00"/>
    <x v="3"/>
    <n v="1151.3949999999998"/>
    <n v="11.186"/>
    <x v="0"/>
    <x v="1"/>
    <x v="1"/>
    <n v="4"/>
  </r>
  <r>
    <n v="1"/>
    <d v="2020-02-17T00:00:00"/>
    <x v="1"/>
    <n v="3838.3309999999997"/>
    <n v="3265.7170000000001"/>
    <x v="0"/>
    <x v="1"/>
    <x v="1"/>
    <n v="4"/>
  </r>
  <r>
    <n v="1"/>
    <d v="2020-02-18T00:00:00"/>
    <x v="3"/>
    <n v="0"/>
    <n v="125.181"/>
    <x v="0"/>
    <x v="1"/>
    <x v="1"/>
    <n v="4"/>
  </r>
  <r>
    <n v="1"/>
    <d v="2020-02-18T00:00:00"/>
    <x v="2"/>
    <n v="637.34999999999991"/>
    <n v="1005.8089999999999"/>
    <x v="0"/>
    <x v="1"/>
    <x v="1"/>
    <n v="4"/>
  </r>
  <r>
    <n v="1"/>
    <d v="2020-02-18T00:00:00"/>
    <x v="0"/>
    <n v="3552.2829999999994"/>
    <n v="3366.2929999999997"/>
    <x v="0"/>
    <x v="1"/>
    <x v="1"/>
    <n v="4"/>
  </r>
  <r>
    <n v="1"/>
    <d v="2020-02-18T00:00:00"/>
    <x v="1"/>
    <n v="2997.848"/>
    <n v="2967.9159999999997"/>
    <x v="0"/>
    <x v="1"/>
    <x v="1"/>
    <n v="4"/>
  </r>
  <r>
    <n v="1"/>
    <d v="2020-02-19T00:00:00"/>
    <x v="1"/>
    <n v="2791.7820000000002"/>
    <n v="2818.5429999999997"/>
    <x v="0"/>
    <x v="1"/>
    <x v="1"/>
    <n v="4"/>
  </r>
  <r>
    <n v="1"/>
    <d v="2020-02-19T00:00:00"/>
    <x v="3"/>
    <n v="60.199999999999996"/>
    <n v="0"/>
    <x v="0"/>
    <x v="1"/>
    <x v="1"/>
    <n v="4"/>
  </r>
  <r>
    <n v="1"/>
    <d v="2020-02-19T00:00:00"/>
    <x v="0"/>
    <n v="3513.2439999999997"/>
    <n v="3887.1279999999997"/>
    <x v="0"/>
    <x v="1"/>
    <x v="1"/>
    <n v="4"/>
  </r>
  <r>
    <n v="1"/>
    <d v="2020-02-19T00:00:00"/>
    <x v="2"/>
    <n v="1018.3809999999999"/>
    <n v="1114.547"/>
    <x v="0"/>
    <x v="1"/>
    <x v="1"/>
    <n v="4"/>
  </r>
  <r>
    <n v="1"/>
    <d v="2020-02-20T00:00:00"/>
    <x v="2"/>
    <n v="1257.7809999999999"/>
    <n v="1245.1599999999999"/>
    <x v="0"/>
    <x v="1"/>
    <x v="1"/>
    <n v="4"/>
  </r>
  <r>
    <n v="1"/>
    <d v="2020-02-20T00:00:00"/>
    <x v="1"/>
    <n v="3828.8109999999992"/>
    <n v="3444.1189999999997"/>
    <x v="0"/>
    <x v="1"/>
    <x v="1"/>
    <n v="4"/>
  </r>
  <r>
    <n v="1"/>
    <d v="2020-02-20T00:00:00"/>
    <x v="3"/>
    <n v="218.57499999999999"/>
    <n v="289.54799999999994"/>
    <x v="0"/>
    <x v="1"/>
    <x v="1"/>
    <n v="4"/>
  </r>
  <r>
    <n v="1"/>
    <d v="2020-02-20T00:00:00"/>
    <x v="0"/>
    <n v="4223.0439999999999"/>
    <n v="4281.4589999999998"/>
    <x v="0"/>
    <x v="1"/>
    <x v="1"/>
    <n v="4"/>
  </r>
  <r>
    <n v="1"/>
    <d v="2020-02-21T00:00:00"/>
    <x v="3"/>
    <n v="323.69400000000002"/>
    <n v="600.45299999999997"/>
    <x v="0"/>
    <x v="1"/>
    <x v="1"/>
    <n v="4"/>
  </r>
  <r>
    <n v="1"/>
    <d v="2020-02-21T00:00:00"/>
    <x v="0"/>
    <n v="4762.415"/>
    <n v="6077.0709999999999"/>
    <x v="0"/>
    <x v="1"/>
    <x v="1"/>
    <n v="4"/>
  </r>
  <r>
    <n v="1"/>
    <d v="2020-02-21T00:00:00"/>
    <x v="1"/>
    <n v="3899.4409999999998"/>
    <n v="4109.7769999999991"/>
    <x v="0"/>
    <x v="1"/>
    <x v="1"/>
    <n v="4"/>
  </r>
  <r>
    <n v="1"/>
    <d v="2020-02-21T00:00:00"/>
    <x v="2"/>
    <n v="1427.8319999999999"/>
    <n v="873.31299999999987"/>
    <x v="0"/>
    <x v="1"/>
    <x v="1"/>
    <n v="4"/>
  </r>
  <r>
    <n v="1"/>
    <d v="2020-02-22T00:00:00"/>
    <x v="1"/>
    <n v="3610.404"/>
    <n v="3199.623"/>
    <x v="0"/>
    <x v="1"/>
    <x v="1"/>
    <n v="4"/>
  </r>
  <r>
    <n v="1"/>
    <d v="2020-02-22T00:00:00"/>
    <x v="2"/>
    <n v="1143.2749999999999"/>
    <n v="1057.49"/>
    <x v="0"/>
    <x v="1"/>
    <x v="1"/>
    <n v="4"/>
  </r>
  <r>
    <n v="1"/>
    <d v="2020-02-22T00:00:00"/>
    <x v="3"/>
    <n v="37.639000000000003"/>
    <n v="65.73"/>
    <x v="0"/>
    <x v="1"/>
    <x v="1"/>
    <n v="4"/>
  </r>
  <r>
    <n v="1"/>
    <d v="2020-02-22T00:00:00"/>
    <x v="0"/>
    <n v="5240.360999999999"/>
    <n v="5946.4650000000001"/>
    <x v="0"/>
    <x v="1"/>
    <x v="1"/>
    <n v="4"/>
  </r>
  <r>
    <n v="1"/>
    <d v="2020-02-23T00:00:00"/>
    <x v="2"/>
    <n v="567.27299999999991"/>
    <n v="117.23599999999999"/>
    <x v="0"/>
    <x v="1"/>
    <x v="1"/>
    <n v="4"/>
  </r>
  <r>
    <n v="1"/>
    <d v="2020-02-23T00:00:00"/>
    <x v="3"/>
    <n v="171.06599999999997"/>
    <n v="22.715"/>
    <x v="0"/>
    <x v="1"/>
    <x v="1"/>
    <n v="4"/>
  </r>
  <r>
    <n v="1"/>
    <d v="2020-02-23T00:00:00"/>
    <x v="0"/>
    <n v="2052.1479999999997"/>
    <n v="2073.799"/>
    <x v="0"/>
    <x v="1"/>
    <x v="1"/>
    <n v="4"/>
  </r>
  <r>
    <n v="1"/>
    <d v="2020-02-23T00:00:00"/>
    <x v="1"/>
    <n v="1781.2339999999999"/>
    <n v="1409.9189999999999"/>
    <x v="0"/>
    <x v="1"/>
    <x v="1"/>
    <n v="4"/>
  </r>
  <r>
    <n v="1"/>
    <d v="2020-02-24T00:00:00"/>
    <x v="0"/>
    <n v="3655.7359999999994"/>
    <n v="3569.8179999999998"/>
    <x v="0"/>
    <x v="1"/>
    <x v="2"/>
    <n v="1"/>
  </r>
  <r>
    <n v="1"/>
    <d v="2020-02-24T00:00:00"/>
    <x v="2"/>
    <n v="1247.855"/>
    <n v="806.24599999999998"/>
    <x v="0"/>
    <x v="1"/>
    <x v="2"/>
    <n v="1"/>
  </r>
  <r>
    <n v="1"/>
    <d v="2020-02-24T00:00:00"/>
    <x v="3"/>
    <n v="0"/>
    <n v="164.70299999999997"/>
    <x v="0"/>
    <x v="1"/>
    <x v="2"/>
    <n v="1"/>
  </r>
  <r>
    <n v="1"/>
    <d v="2020-02-24T00:00:00"/>
    <x v="1"/>
    <n v="3670.6320000000001"/>
    <n v="2728.971"/>
    <x v="0"/>
    <x v="1"/>
    <x v="2"/>
    <n v="1"/>
  </r>
  <r>
    <n v="1"/>
    <d v="2020-02-25T00:00:00"/>
    <x v="2"/>
    <n v="1031.7439999999999"/>
    <n v="1163.0359999999998"/>
    <x v="0"/>
    <x v="1"/>
    <x v="2"/>
    <n v="1"/>
  </r>
  <r>
    <n v="1"/>
    <d v="2020-02-25T00:00:00"/>
    <x v="0"/>
    <n v="3133.9559999999997"/>
    <n v="3732.3229999999999"/>
    <x v="0"/>
    <x v="1"/>
    <x v="2"/>
    <n v="1"/>
  </r>
  <r>
    <n v="1"/>
    <d v="2020-02-25T00:00:00"/>
    <x v="3"/>
    <n v="30.281999999999996"/>
    <n v="0"/>
    <x v="0"/>
    <x v="1"/>
    <x v="2"/>
    <n v="1"/>
  </r>
  <r>
    <n v="1"/>
    <d v="2020-02-25T00:00:00"/>
    <x v="1"/>
    <n v="2963.8910000000001"/>
    <n v="2873.2269999999994"/>
    <x v="0"/>
    <x v="1"/>
    <x v="2"/>
    <n v="1"/>
  </r>
  <r>
    <n v="1"/>
    <d v="2020-02-26T00:00:00"/>
    <x v="2"/>
    <n v="466.01799999999997"/>
    <n v="718.44499999999994"/>
    <x v="0"/>
    <x v="1"/>
    <x v="2"/>
    <n v="1"/>
  </r>
  <r>
    <n v="1"/>
    <d v="2020-02-26T00:00:00"/>
    <x v="0"/>
    <n v="3160.85"/>
    <n v="3937.1709999999994"/>
    <x v="0"/>
    <x v="1"/>
    <x v="2"/>
    <n v="1"/>
  </r>
  <r>
    <n v="1"/>
    <d v="2020-02-26T00:00:00"/>
    <x v="1"/>
    <n v="3184.951"/>
    <n v="3058.4259999999999"/>
    <x v="0"/>
    <x v="1"/>
    <x v="2"/>
    <n v="1"/>
  </r>
  <r>
    <n v="1"/>
    <d v="2020-02-26T00:00:00"/>
    <x v="3"/>
    <n v="7.8259999999999996"/>
    <n v="481.46699999999993"/>
    <x v="0"/>
    <x v="1"/>
    <x v="2"/>
    <n v="1"/>
  </r>
  <r>
    <n v="1"/>
    <d v="2020-02-27T00:00:00"/>
    <x v="1"/>
    <n v="3427.7809999999999"/>
    <n v="3364.62"/>
    <x v="0"/>
    <x v="1"/>
    <x v="2"/>
    <n v="1"/>
  </r>
  <r>
    <n v="1"/>
    <d v="2020-02-27T00:00:00"/>
    <x v="2"/>
    <n v="1157.8419999999999"/>
    <n v="560.0139999999999"/>
    <x v="0"/>
    <x v="1"/>
    <x v="2"/>
    <n v="1"/>
  </r>
  <r>
    <n v="1"/>
    <d v="2020-02-27T00:00:00"/>
    <x v="0"/>
    <n v="3509.6179999999995"/>
    <n v="4815.5940000000001"/>
    <x v="0"/>
    <x v="1"/>
    <x v="2"/>
    <n v="1"/>
  </r>
  <r>
    <n v="1"/>
    <d v="2020-02-27T00:00:00"/>
    <x v="3"/>
    <n v="0"/>
    <n v="351.07799999999997"/>
    <x v="0"/>
    <x v="1"/>
    <x v="2"/>
    <n v="1"/>
  </r>
  <r>
    <n v="1"/>
    <d v="2020-02-28T00:00:00"/>
    <x v="0"/>
    <n v="4776.9539999999997"/>
    <n v="5385.2959999999994"/>
    <x v="0"/>
    <x v="1"/>
    <x v="2"/>
    <n v="1"/>
  </r>
  <r>
    <n v="1"/>
    <d v="2020-02-28T00:00:00"/>
    <x v="3"/>
    <n v="731.32499999999993"/>
    <n v="548.21899999999994"/>
    <x v="0"/>
    <x v="1"/>
    <x v="2"/>
    <n v="1"/>
  </r>
  <r>
    <n v="1"/>
    <d v="2020-02-28T00:00:00"/>
    <x v="2"/>
    <n v="1155.0909999999999"/>
    <n v="1440.607"/>
    <x v="0"/>
    <x v="1"/>
    <x v="2"/>
    <n v="1"/>
  </r>
  <r>
    <n v="1"/>
    <d v="2020-02-28T00:00:00"/>
    <x v="1"/>
    <n v="3994.8719999999998"/>
    <n v="3494.3649999999998"/>
    <x v="0"/>
    <x v="1"/>
    <x v="2"/>
    <n v="1"/>
  </r>
  <r>
    <n v="1"/>
    <d v="2020-02-29T00:00:00"/>
    <x v="3"/>
    <n v="202.83899999999997"/>
    <n v="153.85999999999999"/>
    <x v="0"/>
    <x v="1"/>
    <x v="2"/>
    <n v="1"/>
  </r>
  <r>
    <n v="1"/>
    <d v="2020-02-29T00:00:00"/>
    <x v="2"/>
    <n v="1440.992"/>
    <n v="932.14800000000002"/>
    <x v="0"/>
    <x v="1"/>
    <x v="2"/>
    <n v="1"/>
  </r>
  <r>
    <n v="1"/>
    <d v="2020-02-29T00:00:00"/>
    <x v="0"/>
    <n v="7122.5"/>
    <n v="5962.9219999999987"/>
    <x v="0"/>
    <x v="1"/>
    <x v="2"/>
    <n v="1"/>
  </r>
  <r>
    <n v="1"/>
    <d v="2020-02-29T00:00:00"/>
    <x v="1"/>
    <n v="4878.4679999999998"/>
    <n v="3707.9209999999994"/>
    <x v="0"/>
    <x v="1"/>
    <x v="2"/>
    <n v="1"/>
  </r>
  <r>
    <n v="1"/>
    <d v="2020-03-01T00:00:00"/>
    <x v="3"/>
    <n v="109.92799999999998"/>
    <n v="0"/>
    <x v="0"/>
    <x v="1"/>
    <x v="2"/>
    <n v="1"/>
  </r>
  <r>
    <n v="1"/>
    <d v="2020-03-01T00:00:00"/>
    <x v="0"/>
    <n v="1760.3809999999999"/>
    <n v="2170.63"/>
    <x v="0"/>
    <x v="1"/>
    <x v="2"/>
    <n v="1"/>
  </r>
  <r>
    <n v="1"/>
    <d v="2020-03-01T00:00:00"/>
    <x v="1"/>
    <n v="1570.1769999999999"/>
    <n v="1552.8240000000001"/>
    <x v="0"/>
    <x v="1"/>
    <x v="2"/>
    <n v="1"/>
  </r>
  <r>
    <n v="1"/>
    <d v="2020-03-01T00:00:00"/>
    <x v="2"/>
    <n v="694.24599999999998"/>
    <n v="259.56"/>
    <x v="0"/>
    <x v="1"/>
    <x v="2"/>
    <n v="1"/>
  </r>
  <r>
    <n v="1"/>
    <d v="2020-03-02T00:00:00"/>
    <x v="1"/>
    <n v="3132.5279999999998"/>
    <n v="2835.5740000000001"/>
    <x v="0"/>
    <x v="1"/>
    <x v="2"/>
    <n v="2"/>
  </r>
  <r>
    <n v="1"/>
    <d v="2020-03-02T00:00:00"/>
    <x v="3"/>
    <n v="21.951999999999998"/>
    <n v="263.452"/>
    <x v="0"/>
    <x v="1"/>
    <x v="2"/>
    <n v="2"/>
  </r>
  <r>
    <n v="1"/>
    <d v="2020-03-02T00:00:00"/>
    <x v="0"/>
    <n v="3061.8420000000001"/>
    <n v="3618.9159999999997"/>
    <x v="0"/>
    <x v="1"/>
    <x v="2"/>
    <n v="2"/>
  </r>
  <r>
    <n v="1"/>
    <d v="2020-03-02T00:00:00"/>
    <x v="2"/>
    <n v="1092.9589999999998"/>
    <n v="643.81799999999998"/>
    <x v="0"/>
    <x v="1"/>
    <x v="2"/>
    <n v="2"/>
  </r>
  <r>
    <n v="1"/>
    <d v="2020-03-03T00:00:00"/>
    <x v="2"/>
    <n v="869.83399999999983"/>
    <n v="1134.9099999999999"/>
    <x v="0"/>
    <x v="1"/>
    <x v="2"/>
    <n v="2"/>
  </r>
  <r>
    <n v="1"/>
    <d v="2020-03-03T00:00:00"/>
    <x v="3"/>
    <n v="399.29399999999993"/>
    <n v="168.30799999999999"/>
    <x v="0"/>
    <x v="1"/>
    <x v="2"/>
    <n v="2"/>
  </r>
  <r>
    <n v="1"/>
    <d v="2020-03-03T00:00:00"/>
    <x v="0"/>
    <n v="3344.404"/>
    <n v="3748.4089999999997"/>
    <x v="0"/>
    <x v="1"/>
    <x v="2"/>
    <n v="2"/>
  </r>
  <r>
    <n v="1"/>
    <d v="2020-03-03T00:00:00"/>
    <x v="1"/>
    <n v="3435.453"/>
    <n v="2777.4809999999998"/>
    <x v="0"/>
    <x v="1"/>
    <x v="2"/>
    <n v="2"/>
  </r>
  <r>
    <n v="1"/>
    <d v="2020-03-04T00:00:00"/>
    <x v="1"/>
    <n v="3229.8140000000003"/>
    <n v="3304.7420000000002"/>
    <x v="0"/>
    <x v="1"/>
    <x v="2"/>
    <n v="2"/>
  </r>
  <r>
    <n v="1"/>
    <d v="2020-03-04T00:00:00"/>
    <x v="2"/>
    <n v="803.74699999999996"/>
    <n v="689.35299999999995"/>
    <x v="0"/>
    <x v="1"/>
    <x v="2"/>
    <n v="2"/>
  </r>
  <r>
    <n v="1"/>
    <d v="2020-03-04T00:00:00"/>
    <x v="0"/>
    <n v="3322.62"/>
    <n v="4254.1239999999998"/>
    <x v="0"/>
    <x v="1"/>
    <x v="2"/>
    <n v="2"/>
  </r>
  <r>
    <n v="1"/>
    <d v="2020-03-04T00:00:00"/>
    <x v="3"/>
    <n v="18.304999999999996"/>
    <n v="458.78"/>
    <x v="0"/>
    <x v="1"/>
    <x v="2"/>
    <n v="2"/>
  </r>
  <r>
    <n v="1"/>
    <d v="2020-03-05T00:00:00"/>
    <x v="2"/>
    <n v="1258.1589999999999"/>
    <n v="1375.9059999999999"/>
    <x v="0"/>
    <x v="1"/>
    <x v="2"/>
    <n v="2"/>
  </r>
  <r>
    <n v="1"/>
    <d v="2020-03-05T00:00:00"/>
    <x v="0"/>
    <n v="4256.1469999999999"/>
    <n v="5028.6529999999993"/>
    <x v="0"/>
    <x v="1"/>
    <x v="2"/>
    <n v="2"/>
  </r>
  <r>
    <n v="1"/>
    <d v="2020-03-05T00:00:00"/>
    <x v="3"/>
    <n v="540.29499999999996"/>
    <n v="145.376"/>
    <x v="0"/>
    <x v="1"/>
    <x v="2"/>
    <n v="2"/>
  </r>
  <r>
    <n v="1"/>
    <d v="2020-03-05T00:00:00"/>
    <x v="1"/>
    <n v="3822.21"/>
    <n v="3795.2809999999995"/>
    <x v="0"/>
    <x v="1"/>
    <x v="2"/>
    <n v="2"/>
  </r>
  <r>
    <n v="1"/>
    <d v="2020-03-06T00:00:00"/>
    <x v="0"/>
    <n v="4646.32"/>
    <n v="6248.1019999999999"/>
    <x v="0"/>
    <x v="1"/>
    <x v="2"/>
    <n v="2"/>
  </r>
  <r>
    <n v="1"/>
    <d v="2020-03-06T00:00:00"/>
    <x v="2"/>
    <n v="1078.07"/>
    <n v="1504.3839999999998"/>
    <x v="0"/>
    <x v="1"/>
    <x v="2"/>
    <n v="2"/>
  </r>
  <r>
    <n v="1"/>
    <d v="2020-03-06T00:00:00"/>
    <x v="3"/>
    <n v="0"/>
    <n v="113.57499999999999"/>
    <x v="0"/>
    <x v="1"/>
    <x v="2"/>
    <n v="2"/>
  </r>
  <r>
    <n v="1"/>
    <d v="2020-03-06T00:00:00"/>
    <x v="1"/>
    <n v="4042.6399999999994"/>
    <n v="3927.3359999999993"/>
    <x v="0"/>
    <x v="1"/>
    <x v="2"/>
    <n v="2"/>
  </r>
  <r>
    <n v="1"/>
    <d v="2020-03-07T00:00:00"/>
    <x v="0"/>
    <n v="4999.2109999999993"/>
    <n v="6416.6059999999998"/>
    <x v="0"/>
    <x v="1"/>
    <x v="2"/>
    <n v="2"/>
  </r>
  <r>
    <n v="1"/>
    <d v="2020-03-07T00:00:00"/>
    <x v="2"/>
    <n v="1159.963"/>
    <n v="1112.79"/>
    <x v="0"/>
    <x v="1"/>
    <x v="2"/>
    <n v="2"/>
  </r>
  <r>
    <n v="1"/>
    <d v="2020-03-07T00:00:00"/>
    <x v="1"/>
    <n v="3006.3739999999998"/>
    <n v="4151.1679999999997"/>
    <x v="0"/>
    <x v="1"/>
    <x v="2"/>
    <n v="2"/>
  </r>
  <r>
    <n v="1"/>
    <d v="2020-03-07T00:00:00"/>
    <x v="3"/>
    <n v="120.49099999999999"/>
    <n v="577.04499999999996"/>
    <x v="0"/>
    <x v="1"/>
    <x v="2"/>
    <n v="2"/>
  </r>
  <r>
    <n v="1"/>
    <d v="2020-03-08T00:00:00"/>
    <x v="2"/>
    <n v="493.96199999999993"/>
    <n v="319.03899999999999"/>
    <x v="0"/>
    <x v="1"/>
    <x v="2"/>
    <n v="2"/>
  </r>
  <r>
    <n v="1"/>
    <d v="2020-03-08T00:00:00"/>
    <x v="0"/>
    <n v="1994.9859999999999"/>
    <n v="2249.3869999999997"/>
    <x v="0"/>
    <x v="1"/>
    <x v="2"/>
    <n v="2"/>
  </r>
  <r>
    <n v="1"/>
    <d v="2020-03-08T00:00:00"/>
    <x v="1"/>
    <n v="1661.8210000000001"/>
    <n v="1408.68"/>
    <x v="0"/>
    <x v="1"/>
    <x v="2"/>
    <n v="2"/>
  </r>
  <r>
    <n v="1"/>
    <d v="2020-03-08T00:00:00"/>
    <x v="3"/>
    <n v="0"/>
    <n v="0"/>
    <x v="0"/>
    <x v="1"/>
    <x v="2"/>
    <n v="2"/>
  </r>
  <r>
    <n v="1"/>
    <d v="2020-03-09T00:00:00"/>
    <x v="2"/>
    <n v="672.14699999999993"/>
    <n v="719.15199999999993"/>
    <x v="0"/>
    <x v="1"/>
    <x v="2"/>
    <n v="3"/>
  </r>
  <r>
    <n v="1"/>
    <d v="2020-03-09T00:00:00"/>
    <x v="0"/>
    <n v="3361.89"/>
    <n v="3699.92"/>
    <x v="0"/>
    <x v="1"/>
    <x v="2"/>
    <n v="3"/>
  </r>
  <r>
    <n v="1"/>
    <d v="2020-03-09T00:00:00"/>
    <x v="3"/>
    <n v="0"/>
    <n v="0"/>
    <x v="0"/>
    <x v="1"/>
    <x v="2"/>
    <n v="3"/>
  </r>
  <r>
    <n v="1"/>
    <d v="2020-03-09T00:00:00"/>
    <x v="1"/>
    <n v="3295.8309999999997"/>
    <n v="2675.2460000000001"/>
    <x v="0"/>
    <x v="1"/>
    <x v="2"/>
    <n v="3"/>
  </r>
  <r>
    <n v="1"/>
    <d v="2020-03-10T00:00:00"/>
    <x v="2"/>
    <n v="966.35699999999997"/>
    <n v="811.55199999999991"/>
    <x v="0"/>
    <x v="1"/>
    <x v="2"/>
    <n v="3"/>
  </r>
  <r>
    <n v="1"/>
    <d v="2020-03-10T00:00:00"/>
    <x v="0"/>
    <n v="3755.9829999999993"/>
    <n v="3968.7339999999995"/>
    <x v="0"/>
    <x v="1"/>
    <x v="2"/>
    <n v="3"/>
  </r>
  <r>
    <n v="1"/>
    <d v="2020-03-10T00:00:00"/>
    <x v="1"/>
    <n v="3450.4049999999997"/>
    <n v="2542.232"/>
    <x v="0"/>
    <x v="1"/>
    <x v="2"/>
    <n v="3"/>
  </r>
  <r>
    <n v="1"/>
    <d v="2020-03-10T00:00:00"/>
    <x v="3"/>
    <n v="16.785999999999998"/>
    <n v="184.97499999999999"/>
    <x v="0"/>
    <x v="1"/>
    <x v="2"/>
    <n v="3"/>
  </r>
  <r>
    <n v="1"/>
    <d v="2020-03-11T00:00:00"/>
    <x v="0"/>
    <n v="3964.7299999999996"/>
    <n v="4207.9659999999994"/>
    <x v="0"/>
    <x v="1"/>
    <x v="2"/>
    <n v="3"/>
  </r>
  <r>
    <n v="1"/>
    <d v="2020-03-11T00:00:00"/>
    <x v="1"/>
    <n v="3402.7909999999997"/>
    <n v="3401.482"/>
    <x v="0"/>
    <x v="1"/>
    <x v="2"/>
    <n v="3"/>
  </r>
  <r>
    <n v="1"/>
    <d v="2020-03-11T00:00:00"/>
    <x v="2"/>
    <n v="798.42699999999991"/>
    <n v="589.35799999999995"/>
    <x v="0"/>
    <x v="1"/>
    <x v="2"/>
    <n v="3"/>
  </r>
  <r>
    <n v="1"/>
    <d v="2020-03-11T00:00:00"/>
    <x v="3"/>
    <n v="339.96899999999999"/>
    <n v="0"/>
    <x v="0"/>
    <x v="1"/>
    <x v="2"/>
    <n v="3"/>
  </r>
  <r>
    <n v="1"/>
    <d v="2020-03-12T00:00:00"/>
    <x v="0"/>
    <n v="4678.2959999999994"/>
    <n v="5231.0720000000001"/>
    <x v="0"/>
    <x v="1"/>
    <x v="2"/>
    <n v="3"/>
  </r>
  <r>
    <n v="1"/>
    <d v="2020-03-12T00:00:00"/>
    <x v="2"/>
    <n v="960.33"/>
    <n v="578.31899999999996"/>
    <x v="0"/>
    <x v="1"/>
    <x v="2"/>
    <n v="3"/>
  </r>
  <r>
    <n v="1"/>
    <d v="2020-03-12T00:00:00"/>
    <x v="3"/>
    <n v="0"/>
    <n v="193.03899999999999"/>
    <x v="0"/>
    <x v="1"/>
    <x v="2"/>
    <n v="3"/>
  </r>
  <r>
    <n v="1"/>
    <d v="2020-03-12T00:00:00"/>
    <x v="1"/>
    <n v="3895.248"/>
    <n v="3209.8429999999998"/>
    <x v="0"/>
    <x v="1"/>
    <x v="2"/>
    <n v="3"/>
  </r>
  <r>
    <n v="1"/>
    <d v="2020-03-13T00:00:00"/>
    <x v="2"/>
    <n v="2454.4449999999997"/>
    <n v="1167.7749999999999"/>
    <x v="0"/>
    <x v="1"/>
    <x v="2"/>
    <n v="3"/>
  </r>
  <r>
    <n v="1"/>
    <d v="2020-03-13T00:00:00"/>
    <x v="0"/>
    <n v="5203.0159999999996"/>
    <n v="6109.0119999999997"/>
    <x v="0"/>
    <x v="1"/>
    <x v="2"/>
    <n v="3"/>
  </r>
  <r>
    <n v="1"/>
    <d v="2020-03-13T00:00:00"/>
    <x v="3"/>
    <n v="0"/>
    <n v="0"/>
    <x v="0"/>
    <x v="1"/>
    <x v="2"/>
    <n v="3"/>
  </r>
  <r>
    <n v="1"/>
    <d v="2020-03-13T00:00:00"/>
    <x v="1"/>
    <n v="4530.3649999999998"/>
    <n v="3289.0339999999997"/>
    <x v="0"/>
    <x v="1"/>
    <x v="2"/>
    <n v="3"/>
  </r>
  <r>
    <n v="1"/>
    <d v="2020-03-14T00:00:00"/>
    <x v="0"/>
    <n v="3876.2709999999997"/>
    <n v="6108.4309999999996"/>
    <x v="0"/>
    <x v="1"/>
    <x v="2"/>
    <n v="3"/>
  </r>
  <r>
    <n v="1"/>
    <d v="2020-03-14T00:00:00"/>
    <x v="2"/>
    <n v="1260.9449999999999"/>
    <n v="1069.9849999999999"/>
    <x v="0"/>
    <x v="1"/>
    <x v="2"/>
    <n v="3"/>
  </r>
  <r>
    <n v="1"/>
    <d v="2020-03-14T00:00:00"/>
    <x v="3"/>
    <n v="0"/>
    <n v="861.61599999999999"/>
    <x v="0"/>
    <x v="1"/>
    <x v="2"/>
    <n v="3"/>
  </r>
  <r>
    <n v="1"/>
    <d v="2020-03-14T00:00:00"/>
    <x v="1"/>
    <n v="3712.7999999999997"/>
    <n v="3388.7279999999996"/>
    <x v="0"/>
    <x v="1"/>
    <x v="2"/>
    <n v="3"/>
  </r>
  <r>
    <n v="1"/>
    <d v="2020-03-15T00:00:00"/>
    <x v="2"/>
    <n v="794.7589999999999"/>
    <n v="286.03399999999999"/>
    <x v="0"/>
    <x v="1"/>
    <x v="2"/>
    <n v="3"/>
  </r>
  <r>
    <n v="1"/>
    <d v="2020-03-15T00:00:00"/>
    <x v="0"/>
    <n v="1683.941"/>
    <n v="2512.37"/>
    <x v="0"/>
    <x v="1"/>
    <x v="2"/>
    <n v="3"/>
  </r>
  <r>
    <n v="1"/>
    <d v="2020-03-15T00:00:00"/>
    <x v="1"/>
    <n v="2007.1379999999999"/>
    <n v="1587.6139999999998"/>
    <x v="0"/>
    <x v="1"/>
    <x v="2"/>
    <n v="3"/>
  </r>
  <r>
    <n v="1"/>
    <d v="2020-03-15T00:00:00"/>
    <x v="3"/>
    <n v="0"/>
    <n v="192.32499999999999"/>
    <x v="0"/>
    <x v="1"/>
    <x v="2"/>
    <n v="3"/>
  </r>
  <r>
    <n v="1"/>
    <d v="2020-03-16T00:00:00"/>
    <x v="0"/>
    <n v="3436.7619999999997"/>
    <n v="3908.7999999999997"/>
    <x v="0"/>
    <x v="1"/>
    <x v="2"/>
    <n v="4"/>
  </r>
  <r>
    <n v="1"/>
    <d v="2020-03-16T00:00:00"/>
    <x v="3"/>
    <n v="0"/>
    <n v="0"/>
    <x v="0"/>
    <x v="1"/>
    <x v="2"/>
    <n v="4"/>
  </r>
  <r>
    <n v="1"/>
    <d v="2020-03-16T00:00:00"/>
    <x v="2"/>
    <n v="996.12099999999987"/>
    <n v="788.81600000000003"/>
    <x v="0"/>
    <x v="1"/>
    <x v="2"/>
    <n v="4"/>
  </r>
  <r>
    <n v="1"/>
    <d v="2020-03-16T00:00:00"/>
    <x v="1"/>
    <n v="4101.692"/>
    <n v="2794.5399999999995"/>
    <x v="0"/>
    <x v="1"/>
    <x v="2"/>
    <n v="4"/>
  </r>
  <r>
    <n v="1"/>
    <d v="2020-03-17T00:00:00"/>
    <x v="0"/>
    <n v="-38.597999999999999"/>
    <n v="3772.3909999999996"/>
    <x v="0"/>
    <x v="1"/>
    <x v="2"/>
    <n v="4"/>
  </r>
  <r>
    <n v="1"/>
    <d v="2020-03-17T00:00:00"/>
    <x v="2"/>
    <n v="1525.4539999999997"/>
    <n v="965.87399999999991"/>
    <x v="0"/>
    <x v="1"/>
    <x v="2"/>
    <n v="4"/>
  </r>
  <r>
    <n v="1"/>
    <d v="2020-03-17T00:00:00"/>
    <x v="1"/>
    <n v="5585.8949999999995"/>
    <n v="2967.797"/>
    <x v="0"/>
    <x v="1"/>
    <x v="2"/>
    <n v="4"/>
  </r>
  <r>
    <n v="1"/>
    <d v="2020-03-17T00:00:00"/>
    <x v="3"/>
    <n v="28.49"/>
    <n v="0"/>
    <x v="0"/>
    <x v="1"/>
    <x v="2"/>
    <n v="4"/>
  </r>
  <r>
    <n v="1"/>
    <d v="2020-03-18T00:00:00"/>
    <x v="1"/>
    <n v="4623.1499999999996"/>
    <n v="3188.7519999999995"/>
    <x v="0"/>
    <x v="1"/>
    <x v="2"/>
    <n v="4"/>
  </r>
  <r>
    <n v="1"/>
    <d v="2020-03-18T00:00:00"/>
    <x v="2"/>
    <n v="1455.972"/>
    <n v="613.88599999999997"/>
    <x v="0"/>
    <x v="1"/>
    <x v="2"/>
    <n v="4"/>
  </r>
  <r>
    <n v="1"/>
    <d v="2020-03-18T00:00:00"/>
    <x v="0"/>
    <n v="41.880999999999993"/>
    <n v="4479.0129999999999"/>
    <x v="0"/>
    <x v="1"/>
    <x v="2"/>
    <n v="4"/>
  </r>
  <r>
    <n v="1"/>
    <d v="2020-03-18T00:00:00"/>
    <x v="3"/>
    <n v="33.571999999999996"/>
    <n v="0"/>
    <x v="0"/>
    <x v="1"/>
    <x v="2"/>
    <n v="4"/>
  </r>
  <r>
    <n v="1"/>
    <d v="2020-03-19T00:00:00"/>
    <x v="0"/>
    <n v="-16.219000000000001"/>
    <n v="5121.4589999999998"/>
    <x v="0"/>
    <x v="1"/>
    <x v="2"/>
    <n v="4"/>
  </r>
  <r>
    <n v="1"/>
    <d v="2020-03-19T00:00:00"/>
    <x v="2"/>
    <n v="1614.5359999999998"/>
    <n v="728.71399999999994"/>
    <x v="0"/>
    <x v="1"/>
    <x v="2"/>
    <n v="4"/>
  </r>
  <r>
    <n v="1"/>
    <d v="2020-03-19T00:00:00"/>
    <x v="3"/>
    <n v="0"/>
    <n v="173.43199999999999"/>
    <x v="0"/>
    <x v="1"/>
    <x v="2"/>
    <n v="4"/>
  </r>
  <r>
    <n v="1"/>
    <d v="2020-03-19T00:00:00"/>
    <x v="1"/>
    <n v="4892.5450000000001"/>
    <n v="3535.1189999999997"/>
    <x v="0"/>
    <x v="1"/>
    <x v="2"/>
    <n v="4"/>
  </r>
  <r>
    <n v="1"/>
    <d v="2020-03-20T00:00:00"/>
    <x v="2"/>
    <n v="2605.9809999999998"/>
    <n v="1346.394"/>
    <x v="0"/>
    <x v="1"/>
    <x v="2"/>
    <n v="4"/>
  </r>
  <r>
    <n v="1"/>
    <d v="2020-03-20T00:00:00"/>
    <x v="0"/>
    <n v="-25.248999999999999"/>
    <n v="5629.0079999999998"/>
    <x v="0"/>
    <x v="1"/>
    <x v="2"/>
    <n v="4"/>
  </r>
  <r>
    <n v="1"/>
    <d v="2020-03-20T00:00:00"/>
    <x v="1"/>
    <n v="6369.110999999999"/>
    <n v="4138.9529999999995"/>
    <x v="0"/>
    <x v="1"/>
    <x v="2"/>
    <n v="4"/>
  </r>
  <r>
    <n v="1"/>
    <d v="2020-03-20T00:00:00"/>
    <x v="3"/>
    <n v="0"/>
    <n v="230.78999999999996"/>
    <x v="0"/>
    <x v="1"/>
    <x v="2"/>
    <n v="4"/>
  </r>
  <r>
    <n v="1"/>
    <d v="2020-03-21T00:00:00"/>
    <x v="2"/>
    <n v="3180.9609999999993"/>
    <n v="1066.9259999999999"/>
    <x v="0"/>
    <x v="1"/>
    <x v="2"/>
    <n v="4"/>
  </r>
  <r>
    <n v="1"/>
    <d v="2020-03-21T00:00:00"/>
    <x v="0"/>
    <n v="20.642999999999997"/>
    <n v="7038.3809999999994"/>
    <x v="0"/>
    <x v="1"/>
    <x v="2"/>
    <n v="4"/>
  </r>
  <r>
    <n v="1"/>
    <d v="2020-03-21T00:00:00"/>
    <x v="1"/>
    <n v="6461.8119999999999"/>
    <n v="3918.0540000000001"/>
    <x v="0"/>
    <x v="1"/>
    <x v="2"/>
    <n v="4"/>
  </r>
  <r>
    <n v="1"/>
    <d v="2020-03-21T00:00:00"/>
    <x v="3"/>
    <n v="154.917"/>
    <n v="12.928999999999998"/>
    <x v="0"/>
    <x v="1"/>
    <x v="2"/>
    <n v="4"/>
  </r>
  <r>
    <n v="1"/>
    <d v="2020-03-22T00:00:00"/>
    <x v="1"/>
    <n v="2840.7749999999996"/>
    <n v="2101.9879999999998"/>
    <x v="0"/>
    <x v="1"/>
    <x v="2"/>
    <n v="4"/>
  </r>
  <r>
    <n v="1"/>
    <d v="2020-03-22T00:00:00"/>
    <x v="2"/>
    <n v="978.41799999999989"/>
    <n v="389.96999999999997"/>
    <x v="0"/>
    <x v="1"/>
    <x v="2"/>
    <n v="4"/>
  </r>
  <r>
    <n v="1"/>
    <d v="2020-03-22T00:00:00"/>
    <x v="0"/>
    <n v="-6.2229999999999999"/>
    <n v="3014.7599999999998"/>
    <x v="0"/>
    <x v="1"/>
    <x v="2"/>
    <n v="4"/>
  </r>
  <r>
    <n v="1"/>
    <d v="2020-03-22T00:00:00"/>
    <x v="3"/>
    <n v="0"/>
    <n v="192.32499999999999"/>
    <x v="0"/>
    <x v="1"/>
    <x v="2"/>
    <n v="4"/>
  </r>
  <r>
    <n v="1"/>
    <d v="2020-03-23T00:00:00"/>
    <x v="0"/>
    <n v="-25.613"/>
    <n v="3893.0149999999994"/>
    <x v="0"/>
    <x v="1"/>
    <x v="2"/>
    <n v="5"/>
  </r>
  <r>
    <n v="1"/>
    <d v="2020-03-23T00:00:00"/>
    <x v="3"/>
    <n v="0"/>
    <n v="27.573"/>
    <x v="0"/>
    <x v="1"/>
    <x v="2"/>
    <n v="5"/>
  </r>
  <r>
    <n v="1"/>
    <d v="2020-03-23T00:00:00"/>
    <x v="2"/>
    <n v="1801.366"/>
    <n v="706.67799999999988"/>
    <x v="0"/>
    <x v="1"/>
    <x v="2"/>
    <n v="5"/>
  </r>
  <r>
    <n v="1"/>
    <d v="2020-03-23T00:00:00"/>
    <x v="1"/>
    <n v="5472.3969999999999"/>
    <n v="3217.0529999999999"/>
    <x v="0"/>
    <x v="1"/>
    <x v="2"/>
    <n v="5"/>
  </r>
  <r>
    <n v="1"/>
    <d v="2020-03-24T00:00:00"/>
    <x v="0"/>
    <n v="-3.7729999999999997"/>
    <n v="4007.3879999999999"/>
    <x v="0"/>
    <x v="1"/>
    <x v="2"/>
    <n v="5"/>
  </r>
  <r>
    <n v="1"/>
    <d v="2020-03-24T00:00:00"/>
    <x v="2"/>
    <n v="1502.8929999999998"/>
    <n v="782.69799999999998"/>
    <x v="0"/>
    <x v="1"/>
    <x v="2"/>
    <n v="5"/>
  </r>
  <r>
    <n v="1"/>
    <d v="2020-03-24T00:00:00"/>
    <x v="1"/>
    <n v="5292.860999999999"/>
    <n v="3003.8820000000001"/>
    <x v="0"/>
    <x v="1"/>
    <x v="2"/>
    <n v="5"/>
  </r>
  <r>
    <n v="1"/>
    <d v="2020-03-24T00:00:00"/>
    <x v="3"/>
    <n v="0"/>
    <n v="0"/>
    <x v="0"/>
    <x v="1"/>
    <x v="2"/>
    <n v="5"/>
  </r>
  <r>
    <n v="1"/>
    <d v="2020-03-25T00:00:00"/>
    <x v="2"/>
    <n v="1878.2889999999998"/>
    <n v="1077.867"/>
    <x v="0"/>
    <x v="1"/>
    <x v="2"/>
    <n v="5"/>
  </r>
  <r>
    <n v="1"/>
    <d v="2020-03-25T00:00:00"/>
    <x v="0"/>
    <n v="5.383"/>
    <n v="4617.0950000000003"/>
    <x v="0"/>
    <x v="1"/>
    <x v="2"/>
    <n v="5"/>
  </r>
  <r>
    <n v="1"/>
    <d v="2020-03-25T00:00:00"/>
    <x v="3"/>
    <n v="13.433"/>
    <n v="0"/>
    <x v="0"/>
    <x v="1"/>
    <x v="2"/>
    <n v="5"/>
  </r>
  <r>
    <n v="1"/>
    <d v="2020-03-25T00:00:00"/>
    <x v="1"/>
    <n v="5271.567"/>
    <n v="3313.7719999999999"/>
    <x v="0"/>
    <x v="1"/>
    <x v="2"/>
    <n v="5"/>
  </r>
  <r>
    <n v="1"/>
    <d v="2020-03-26T00:00:00"/>
    <x v="2"/>
    <n v="2529.3379999999997"/>
    <n v="1084.2019999999998"/>
    <x v="0"/>
    <x v="1"/>
    <x v="2"/>
    <n v="5"/>
  </r>
  <r>
    <n v="1"/>
    <d v="2020-03-26T00:00:00"/>
    <x v="0"/>
    <n v="-6.5029999999999992"/>
    <n v="5816.1880000000001"/>
    <x v="0"/>
    <x v="1"/>
    <x v="2"/>
    <n v="5"/>
  </r>
  <r>
    <n v="1"/>
    <d v="2020-03-26T00:00:00"/>
    <x v="1"/>
    <n v="5553.3309999999992"/>
    <n v="3763.1019999999994"/>
    <x v="0"/>
    <x v="1"/>
    <x v="2"/>
    <n v="5"/>
  </r>
  <r>
    <n v="1"/>
    <d v="2020-03-26T00:00:00"/>
    <x v="3"/>
    <n v="27.761999999999997"/>
    <n v="0"/>
    <x v="0"/>
    <x v="1"/>
    <x v="2"/>
    <n v="5"/>
  </r>
  <r>
    <n v="1"/>
    <d v="2020-03-27T00:00:00"/>
    <x v="3"/>
    <n v="12.032999999999999"/>
    <n v="371.36399999999998"/>
    <x v="0"/>
    <x v="1"/>
    <x v="2"/>
    <n v="5"/>
  </r>
  <r>
    <n v="1"/>
    <d v="2020-03-27T00:00:00"/>
    <x v="2"/>
    <n v="2484.069"/>
    <n v="1843.0859999999998"/>
    <x v="0"/>
    <x v="1"/>
    <x v="2"/>
    <n v="5"/>
  </r>
  <r>
    <n v="1"/>
    <d v="2020-03-27T00:00:00"/>
    <x v="1"/>
    <n v="6491.5479999999989"/>
    <n v="3983.8119999999994"/>
    <x v="0"/>
    <x v="1"/>
    <x v="2"/>
    <n v="5"/>
  </r>
  <r>
    <n v="1"/>
    <d v="2020-03-27T00:00:00"/>
    <x v="0"/>
    <n v="876.95999999999992"/>
    <n v="5257.0140000000001"/>
    <x v="0"/>
    <x v="1"/>
    <x v="2"/>
    <n v="5"/>
  </r>
  <r>
    <n v="1"/>
    <d v="2020-03-28T00:00:00"/>
    <x v="0"/>
    <n v="1173.6689999999999"/>
    <n v="6236.7689999999993"/>
    <x v="0"/>
    <x v="1"/>
    <x v="2"/>
    <n v="5"/>
  </r>
  <r>
    <n v="1"/>
    <d v="2020-03-28T00:00:00"/>
    <x v="3"/>
    <n v="0"/>
    <n v="50.365000000000002"/>
    <x v="0"/>
    <x v="1"/>
    <x v="2"/>
    <n v="5"/>
  </r>
  <r>
    <n v="1"/>
    <d v="2020-03-28T00:00:00"/>
    <x v="2"/>
    <n v="3060.5889999999999"/>
    <n v="1036.567"/>
    <x v="0"/>
    <x v="1"/>
    <x v="2"/>
    <n v="5"/>
  </r>
  <r>
    <n v="1"/>
    <d v="2020-03-28T00:00:00"/>
    <x v="1"/>
    <n v="6369.9929999999995"/>
    <n v="3742.0879999999997"/>
    <x v="0"/>
    <x v="1"/>
    <x v="2"/>
    <n v="5"/>
  </r>
  <r>
    <n v="1"/>
    <d v="2020-03-29T00:00:00"/>
    <x v="2"/>
    <n v="954.06499999999994"/>
    <n v="299.03299999999996"/>
    <x v="0"/>
    <x v="1"/>
    <x v="2"/>
    <n v="5"/>
  </r>
  <r>
    <n v="1"/>
    <d v="2020-03-29T00:00:00"/>
    <x v="1"/>
    <n v="2476.5160000000001"/>
    <n v="1714.027"/>
    <x v="0"/>
    <x v="1"/>
    <x v="2"/>
    <n v="5"/>
  </r>
  <r>
    <n v="1"/>
    <d v="2020-03-29T00:00:00"/>
    <x v="0"/>
    <n v="-10.773"/>
    <n v="2912.8049999999994"/>
    <x v="0"/>
    <x v="1"/>
    <x v="2"/>
    <n v="5"/>
  </r>
  <r>
    <n v="1"/>
    <d v="2020-03-29T00:00:00"/>
    <x v="3"/>
    <n v="56"/>
    <n v="0"/>
    <x v="0"/>
    <x v="1"/>
    <x v="2"/>
    <n v="5"/>
  </r>
  <r>
    <n v="1"/>
    <d v="2020-03-30T00:00:00"/>
    <x v="0"/>
    <n v="4.5219999999999994"/>
    <n v="3623.2839999999997"/>
    <x v="0"/>
    <x v="1"/>
    <x v="3"/>
    <n v="1"/>
  </r>
  <r>
    <n v="1"/>
    <d v="2020-03-30T00:00:00"/>
    <x v="2"/>
    <n v="1577.8139999999999"/>
    <n v="660.51300000000003"/>
    <x v="0"/>
    <x v="1"/>
    <x v="3"/>
    <n v="1"/>
  </r>
  <r>
    <n v="1"/>
    <d v="2020-03-30T00:00:00"/>
    <x v="3"/>
    <n v="0"/>
    <n v="0"/>
    <x v="0"/>
    <x v="1"/>
    <x v="3"/>
    <n v="1"/>
  </r>
  <r>
    <n v="1"/>
    <d v="2020-03-30T00:00:00"/>
    <x v="1"/>
    <n v="4628.1970000000001"/>
    <n v="3001.7119999999995"/>
    <x v="0"/>
    <x v="1"/>
    <x v="3"/>
    <n v="1"/>
  </r>
  <r>
    <n v="1"/>
    <d v="2020-03-31T00:00:00"/>
    <x v="2"/>
    <n v="1682.4359999999999"/>
    <n v="1350.3139999999999"/>
    <x v="0"/>
    <x v="1"/>
    <x v="3"/>
    <n v="1"/>
  </r>
  <r>
    <n v="1"/>
    <d v="2020-03-31T00:00:00"/>
    <x v="0"/>
    <n v="78.015000000000001"/>
    <n v="4149.607"/>
    <x v="0"/>
    <x v="1"/>
    <x v="3"/>
    <n v="1"/>
  </r>
  <r>
    <n v="1"/>
    <d v="2020-03-31T00:00:00"/>
    <x v="3"/>
    <n v="0"/>
    <n v="153.85999999999999"/>
    <x v="0"/>
    <x v="1"/>
    <x v="3"/>
    <n v="1"/>
  </r>
  <r>
    <n v="1"/>
    <d v="2020-03-31T00:00:00"/>
    <x v="1"/>
    <n v="5040.4690000000001"/>
    <n v="3314.8290000000002"/>
    <x v="0"/>
    <x v="1"/>
    <x v="3"/>
    <n v="1"/>
  </r>
  <r>
    <n v="1"/>
    <d v="2020-04-01T00:00:00"/>
    <x v="0"/>
    <n v="36.084999999999994"/>
    <n v="4821.1030000000001"/>
    <x v="0"/>
    <x v="1"/>
    <x v="3"/>
    <n v="1"/>
  </r>
  <r>
    <n v="1"/>
    <d v="2020-04-01T00:00:00"/>
    <x v="3"/>
    <n v="38.030999999999999"/>
    <n v="0"/>
    <x v="0"/>
    <x v="1"/>
    <x v="3"/>
    <n v="1"/>
  </r>
  <r>
    <n v="1"/>
    <d v="2020-04-01T00:00:00"/>
    <x v="2"/>
    <n v="2280.663"/>
    <n v="829.70299999999997"/>
    <x v="0"/>
    <x v="1"/>
    <x v="3"/>
    <n v="1"/>
  </r>
  <r>
    <n v="1"/>
    <d v="2020-04-01T00:00:00"/>
    <x v="1"/>
    <n v="4907.9869999999992"/>
    <n v="3124.9189999999999"/>
    <x v="0"/>
    <x v="1"/>
    <x v="3"/>
    <n v="1"/>
  </r>
  <r>
    <n v="1"/>
    <d v="2020-04-02T00:00:00"/>
    <x v="0"/>
    <n v="1268.4419999999998"/>
    <n v="6681.3039999999992"/>
    <x v="0"/>
    <x v="1"/>
    <x v="3"/>
    <n v="1"/>
  </r>
  <r>
    <n v="1"/>
    <d v="2020-04-02T00:00:00"/>
    <x v="2"/>
    <n v="3622.8359999999993"/>
    <n v="1534.617"/>
    <x v="0"/>
    <x v="1"/>
    <x v="3"/>
    <n v="1"/>
  </r>
  <r>
    <n v="1"/>
    <d v="2020-04-02T00:00:00"/>
    <x v="3"/>
    <n v="24.416"/>
    <n v="0"/>
    <x v="0"/>
    <x v="1"/>
    <x v="3"/>
    <n v="1"/>
  </r>
  <r>
    <n v="1"/>
    <d v="2020-04-02T00:00:00"/>
    <x v="1"/>
    <n v="6150.8929999999991"/>
    <n v="3857.1679999999997"/>
    <x v="0"/>
    <x v="1"/>
    <x v="3"/>
    <n v="1"/>
  </r>
  <r>
    <n v="1"/>
    <d v="2020-04-03T00:00:00"/>
    <x v="0"/>
    <n v="1298.3389999999999"/>
    <n v="5840.4289999999992"/>
    <x v="0"/>
    <x v="1"/>
    <x v="3"/>
    <n v="1"/>
  </r>
  <r>
    <n v="1"/>
    <d v="2020-04-03T00:00:00"/>
    <x v="2"/>
    <n v="2651.4110000000001"/>
    <n v="1011.1709999999999"/>
    <x v="0"/>
    <x v="1"/>
    <x v="3"/>
    <n v="1"/>
  </r>
  <r>
    <n v="1"/>
    <d v="2020-04-03T00:00:00"/>
    <x v="3"/>
    <n v="0"/>
    <n v="36.140999999999998"/>
    <x v="0"/>
    <x v="1"/>
    <x v="3"/>
    <n v="1"/>
  </r>
  <r>
    <n v="1"/>
    <d v="2020-04-03T00:00:00"/>
    <x v="1"/>
    <n v="6129.5989999999993"/>
    <n v="3709.1039999999998"/>
    <x v="0"/>
    <x v="1"/>
    <x v="3"/>
    <n v="1"/>
  </r>
  <r>
    <n v="1"/>
    <d v="2020-04-04T00:00:00"/>
    <x v="2"/>
    <n v="3393.4809999999998"/>
    <n v="1115.8559999999998"/>
    <x v="0"/>
    <x v="1"/>
    <x v="3"/>
    <n v="1"/>
  </r>
  <r>
    <n v="1"/>
    <d v="2020-04-04T00:00:00"/>
    <x v="3"/>
    <n v="0"/>
    <n v="733.59299999999996"/>
    <x v="0"/>
    <x v="1"/>
    <x v="3"/>
    <n v="1"/>
  </r>
  <r>
    <n v="1"/>
    <d v="2020-04-04T00:00:00"/>
    <x v="1"/>
    <n v="4968.0469999999996"/>
    <n v="3345.1320000000001"/>
    <x v="0"/>
    <x v="1"/>
    <x v="3"/>
    <n v="1"/>
  </r>
  <r>
    <n v="1"/>
    <d v="2020-04-04T00:00:00"/>
    <x v="0"/>
    <n v="430.00999999999993"/>
    <n v="4327.0919999999996"/>
    <x v="0"/>
    <x v="1"/>
    <x v="3"/>
    <n v="1"/>
  </r>
  <r>
    <n v="1"/>
    <d v="2020-04-05T00:00:00"/>
    <x v="0"/>
    <n v="-7.6929999999999996"/>
    <n v="2572.0449999999996"/>
    <x v="0"/>
    <x v="1"/>
    <x v="3"/>
    <n v="1"/>
  </r>
  <r>
    <n v="1"/>
    <d v="2020-04-05T00:00:00"/>
    <x v="2"/>
    <n v="1535.6179999999997"/>
    <n v="242.33299999999997"/>
    <x v="0"/>
    <x v="1"/>
    <x v="3"/>
    <n v="1"/>
  </r>
  <r>
    <n v="1"/>
    <d v="2020-04-05T00:00:00"/>
    <x v="1"/>
    <n v="2863.0839999999998"/>
    <n v="1770.664"/>
    <x v="0"/>
    <x v="1"/>
    <x v="3"/>
    <n v="1"/>
  </r>
  <r>
    <n v="1"/>
    <d v="2020-04-05T00:00:00"/>
    <x v="3"/>
    <n v="68.39"/>
    <n v="0"/>
    <x v="0"/>
    <x v="1"/>
    <x v="3"/>
    <n v="1"/>
  </r>
  <r>
    <n v="1"/>
    <d v="2020-04-06T00:00:00"/>
    <x v="2"/>
    <n v="2462.6210000000001"/>
    <n v="744.97499999999991"/>
    <x v="0"/>
    <x v="1"/>
    <x v="3"/>
    <n v="2"/>
  </r>
  <r>
    <n v="1"/>
    <d v="2020-04-06T00:00:00"/>
    <x v="0"/>
    <n v="-11.927999999999999"/>
    <n v="3366.8249999999998"/>
    <x v="0"/>
    <x v="1"/>
    <x v="3"/>
    <n v="2"/>
  </r>
  <r>
    <n v="1"/>
    <d v="2020-04-06T00:00:00"/>
    <x v="3"/>
    <n v="0"/>
    <n v="192.32499999999999"/>
    <x v="0"/>
    <x v="1"/>
    <x v="3"/>
    <n v="2"/>
  </r>
  <r>
    <n v="1"/>
    <d v="2020-04-06T00:00:00"/>
    <x v="1"/>
    <n v="4286.009"/>
    <n v="3035.1299999999997"/>
    <x v="0"/>
    <x v="1"/>
    <x v="3"/>
    <n v="2"/>
  </r>
  <r>
    <n v="1"/>
    <d v="2020-04-07T00:00:00"/>
    <x v="2"/>
    <n v="1893.36"/>
    <n v="638.33699999999999"/>
    <x v="0"/>
    <x v="1"/>
    <x v="3"/>
    <n v="2"/>
  </r>
  <r>
    <n v="1"/>
    <d v="2020-04-07T00:00:00"/>
    <x v="1"/>
    <n v="4503.9959999999992"/>
    <n v="3192.0909999999999"/>
    <x v="0"/>
    <x v="1"/>
    <x v="3"/>
    <n v="2"/>
  </r>
  <r>
    <n v="1"/>
    <d v="2020-04-07T00:00:00"/>
    <x v="0"/>
    <n v="41.383999999999993"/>
    <n v="3267.1239999999998"/>
    <x v="0"/>
    <x v="1"/>
    <x v="3"/>
    <n v="2"/>
  </r>
  <r>
    <n v="1"/>
    <d v="2020-04-07T00:00:00"/>
    <x v="3"/>
    <n v="14.132999999999999"/>
    <n v="200.018"/>
    <x v="0"/>
    <x v="1"/>
    <x v="3"/>
    <n v="2"/>
  </r>
  <r>
    <n v="1"/>
    <d v="2020-04-08T00:00:00"/>
    <x v="0"/>
    <n v="-4.1929999999999996"/>
    <n v="4777.2129999999997"/>
    <x v="0"/>
    <x v="1"/>
    <x v="3"/>
    <n v="2"/>
  </r>
  <r>
    <n v="1"/>
    <d v="2020-04-08T00:00:00"/>
    <x v="1"/>
    <n v="5176.2549999999992"/>
    <n v="3613.1480000000001"/>
    <x v="0"/>
    <x v="1"/>
    <x v="3"/>
    <n v="2"/>
  </r>
  <r>
    <n v="1"/>
    <d v="2020-04-08T00:00:00"/>
    <x v="3"/>
    <n v="0"/>
    <n v="1136.779"/>
    <x v="0"/>
    <x v="1"/>
    <x v="3"/>
    <n v="2"/>
  </r>
  <r>
    <n v="1"/>
    <d v="2020-04-08T00:00:00"/>
    <x v="2"/>
    <n v="2757.9089999999997"/>
    <n v="825.52399999999989"/>
    <x v="0"/>
    <x v="1"/>
    <x v="3"/>
    <n v="2"/>
  </r>
  <r>
    <n v="1"/>
    <d v="2020-04-09T00:00:00"/>
    <x v="3"/>
    <n v="0"/>
    <n v="615.43999999999994"/>
    <x v="0"/>
    <x v="1"/>
    <x v="3"/>
    <n v="2"/>
  </r>
  <r>
    <n v="1"/>
    <d v="2020-04-09T00:00:00"/>
    <x v="2"/>
    <n v="2745.4279999999999"/>
    <n v="1252.713"/>
    <x v="0"/>
    <x v="1"/>
    <x v="3"/>
    <n v="2"/>
  </r>
  <r>
    <n v="1"/>
    <d v="2020-04-09T00:00:00"/>
    <x v="1"/>
    <n v="5192.2920000000004"/>
    <n v="3719.2329999999993"/>
    <x v="0"/>
    <x v="1"/>
    <x v="3"/>
    <n v="2"/>
  </r>
  <r>
    <n v="1"/>
    <d v="2020-04-09T00:00:00"/>
    <x v="0"/>
    <n v="467.572"/>
    <n v="4825.6670000000004"/>
    <x v="0"/>
    <x v="1"/>
    <x v="3"/>
    <n v="2"/>
  </r>
  <r>
    <n v="1"/>
    <d v="2020-04-10T00:00:00"/>
    <x v="0"/>
    <n v="1261.5749999999998"/>
    <n v="5957.8469999999988"/>
    <x v="0"/>
    <x v="1"/>
    <x v="3"/>
    <n v="2"/>
  </r>
  <r>
    <n v="1"/>
    <d v="2020-04-10T00:00:00"/>
    <x v="1"/>
    <n v="6006.28"/>
    <n v="4086.0119999999997"/>
    <x v="0"/>
    <x v="1"/>
    <x v="3"/>
    <n v="2"/>
  </r>
  <r>
    <n v="1"/>
    <d v="2020-04-10T00:00:00"/>
    <x v="2"/>
    <n v="3526.7609999999995"/>
    <n v="1159.0739999999998"/>
    <x v="0"/>
    <x v="1"/>
    <x v="3"/>
    <n v="2"/>
  </r>
  <r>
    <n v="1"/>
    <d v="2020-04-10T00:00:00"/>
    <x v="3"/>
    <n v="0"/>
    <n v="243.22199999999998"/>
    <x v="0"/>
    <x v="1"/>
    <x v="3"/>
    <n v="2"/>
  </r>
  <r>
    <n v="1"/>
    <d v="2020-04-11T00:00:00"/>
    <x v="0"/>
    <n v="276.64"/>
    <n v="6158.0049999999992"/>
    <x v="0"/>
    <x v="1"/>
    <x v="3"/>
    <n v="2"/>
  </r>
  <r>
    <n v="1"/>
    <d v="2020-04-11T00:00:00"/>
    <x v="2"/>
    <n v="2623.2639999999997"/>
    <n v="898.05099999999993"/>
    <x v="0"/>
    <x v="1"/>
    <x v="3"/>
    <n v="2"/>
  </r>
  <r>
    <n v="1"/>
    <d v="2020-04-11T00:00:00"/>
    <x v="1"/>
    <n v="5063.2679999999991"/>
    <n v="3959.8579999999993"/>
    <x v="0"/>
    <x v="1"/>
    <x v="3"/>
    <n v="2"/>
  </r>
  <r>
    <n v="1"/>
    <d v="2020-04-11T00:00:00"/>
    <x v="3"/>
    <n v="118.71999999999998"/>
    <n v="0"/>
    <x v="0"/>
    <x v="1"/>
    <x v="3"/>
    <n v="2"/>
  </r>
  <r>
    <n v="1"/>
    <d v="2020-04-12T00:00:00"/>
    <x v="3"/>
    <n v="0"/>
    <n v="376.23599999999999"/>
    <x v="0"/>
    <x v="1"/>
    <x v="3"/>
    <n v="2"/>
  </r>
  <r>
    <n v="1"/>
    <d v="2020-04-12T00:00:00"/>
    <x v="0"/>
    <n v="-14.545999999999999"/>
    <n v="3001.348"/>
    <x v="0"/>
    <x v="1"/>
    <x v="3"/>
    <n v="2"/>
  </r>
  <r>
    <n v="1"/>
    <d v="2020-04-12T00:00:00"/>
    <x v="1"/>
    <n v="1439.914"/>
    <n v="1795.7449999999999"/>
    <x v="0"/>
    <x v="1"/>
    <x v="3"/>
    <n v="2"/>
  </r>
  <r>
    <n v="1"/>
    <d v="2020-04-12T00:00:00"/>
    <x v="2"/>
    <n v="1078.672"/>
    <n v="284.56399999999996"/>
    <x v="0"/>
    <x v="1"/>
    <x v="3"/>
    <n v="2"/>
  </r>
  <r>
    <n v="1"/>
    <d v="2020-04-13T00:00:00"/>
    <x v="3"/>
    <n v="0"/>
    <n v="167.85999999999999"/>
    <x v="0"/>
    <x v="1"/>
    <x v="3"/>
    <n v="3"/>
  </r>
  <r>
    <n v="1"/>
    <d v="2020-04-13T00:00:00"/>
    <x v="2"/>
    <n v="1760.9619999999998"/>
    <n v="454.93699999999995"/>
    <x v="0"/>
    <x v="1"/>
    <x v="3"/>
    <n v="3"/>
  </r>
  <r>
    <n v="1"/>
    <d v="2020-04-13T00:00:00"/>
    <x v="1"/>
    <n v="4434.954999999999"/>
    <n v="3206.3779999999997"/>
    <x v="0"/>
    <x v="1"/>
    <x v="3"/>
    <n v="3"/>
  </r>
  <r>
    <n v="1"/>
    <d v="2020-04-13T00:00:00"/>
    <x v="0"/>
    <n v="-20.762"/>
    <n v="4005.6589999999997"/>
    <x v="0"/>
    <x v="1"/>
    <x v="3"/>
    <n v="3"/>
  </r>
  <r>
    <n v="1"/>
    <d v="2020-04-14T00:00:00"/>
    <x v="2"/>
    <n v="2240.105"/>
    <n v="836.61900000000003"/>
    <x v="0"/>
    <x v="1"/>
    <x v="3"/>
    <n v="3"/>
  </r>
  <r>
    <n v="1"/>
    <d v="2020-04-14T00:00:00"/>
    <x v="3"/>
    <n v="0"/>
    <n v="576.97499999999991"/>
    <x v="0"/>
    <x v="1"/>
    <x v="3"/>
    <n v="3"/>
  </r>
  <r>
    <n v="1"/>
    <d v="2020-04-14T00:00:00"/>
    <x v="0"/>
    <n v="7.9519999999999991"/>
    <n v="3673.0399999999995"/>
    <x v="0"/>
    <x v="1"/>
    <x v="3"/>
    <n v="3"/>
  </r>
  <r>
    <n v="1"/>
    <d v="2020-04-14T00:00:00"/>
    <x v="1"/>
    <n v="4939.0879999999997"/>
    <n v="3383.9469999999997"/>
    <x v="0"/>
    <x v="1"/>
    <x v="3"/>
    <n v="3"/>
  </r>
  <r>
    <n v="1"/>
    <d v="2020-04-15T00:00:00"/>
    <x v="2"/>
    <n v="2868.4249999999997"/>
    <n v="827.83399999999983"/>
    <x v="0"/>
    <x v="1"/>
    <x v="3"/>
    <n v="3"/>
  </r>
  <r>
    <n v="1"/>
    <d v="2020-04-15T00:00:00"/>
    <x v="1"/>
    <n v="5607.5109999999995"/>
    <n v="3498.2149999999997"/>
    <x v="0"/>
    <x v="1"/>
    <x v="3"/>
    <n v="3"/>
  </r>
  <r>
    <n v="1"/>
    <d v="2020-04-15T00:00:00"/>
    <x v="3"/>
    <n v="0"/>
    <n v="346.185"/>
    <x v="0"/>
    <x v="1"/>
    <x v="3"/>
    <n v="3"/>
  </r>
  <r>
    <n v="1"/>
    <d v="2020-04-15T00:00:00"/>
    <x v="0"/>
    <n v="-1.4"/>
    <n v="4771.9489999999996"/>
    <x v="0"/>
    <x v="1"/>
    <x v="3"/>
    <n v="3"/>
  </r>
  <r>
    <n v="1"/>
    <d v="2020-04-16T00:00:00"/>
    <x v="2"/>
    <n v="3147.116"/>
    <n v="1322.104"/>
    <x v="0"/>
    <x v="1"/>
    <x v="3"/>
    <n v="3"/>
  </r>
  <r>
    <n v="1"/>
    <d v="2020-04-16T00:00:00"/>
    <x v="0"/>
    <n v="230.99999999999997"/>
    <n v="4917.8499999999995"/>
    <x v="0"/>
    <x v="1"/>
    <x v="3"/>
    <n v="3"/>
  </r>
  <r>
    <n v="1"/>
    <d v="2020-04-16T00:00:00"/>
    <x v="3"/>
    <n v="53.578000000000003"/>
    <n v="393.73599999999999"/>
    <x v="0"/>
    <x v="1"/>
    <x v="3"/>
    <n v="3"/>
  </r>
  <r>
    <n v="1"/>
    <d v="2020-04-16T00:00:00"/>
    <x v="1"/>
    <n v="5363.5469999999996"/>
    <n v="3958.2829999999994"/>
    <x v="0"/>
    <x v="1"/>
    <x v="3"/>
    <n v="3"/>
  </r>
  <r>
    <n v="1"/>
    <d v="2020-04-17T00:00:00"/>
    <x v="2"/>
    <n v="3407.2359999999994"/>
    <n v="1469.3839999999998"/>
    <x v="0"/>
    <x v="1"/>
    <x v="3"/>
    <n v="3"/>
  </r>
  <r>
    <n v="1"/>
    <d v="2020-04-17T00:00:00"/>
    <x v="1"/>
    <n v="5782.4690000000001"/>
    <n v="3664.5629999999996"/>
    <x v="0"/>
    <x v="1"/>
    <x v="3"/>
    <n v="3"/>
  </r>
  <r>
    <n v="1"/>
    <d v="2020-04-17T00:00:00"/>
    <x v="0"/>
    <n v="465.30399999999997"/>
    <n v="5368.9369999999999"/>
    <x v="0"/>
    <x v="1"/>
    <x v="3"/>
    <n v="3"/>
  </r>
  <r>
    <n v="1"/>
    <d v="2020-04-17T00:00:00"/>
    <x v="3"/>
    <n v="40.760999999999996"/>
    <n v="365.43499999999995"/>
    <x v="0"/>
    <x v="1"/>
    <x v="3"/>
    <n v="3"/>
  </r>
  <r>
    <n v="1"/>
    <d v="2020-04-18T00:00:00"/>
    <x v="0"/>
    <n v="593.85899999999992"/>
    <n v="6003.5640000000003"/>
    <x v="0"/>
    <x v="1"/>
    <x v="3"/>
    <n v="3"/>
  </r>
  <r>
    <n v="1"/>
    <d v="2020-04-18T00:00:00"/>
    <x v="2"/>
    <n v="3116.645"/>
    <n v="735.67899999999997"/>
    <x v="0"/>
    <x v="1"/>
    <x v="3"/>
    <n v="3"/>
  </r>
  <r>
    <n v="1"/>
    <d v="2020-04-18T00:00:00"/>
    <x v="3"/>
    <n v="0"/>
    <n v="384.65"/>
    <x v="0"/>
    <x v="1"/>
    <x v="3"/>
    <n v="3"/>
  </r>
  <r>
    <n v="1"/>
    <d v="2020-04-18T00:00:00"/>
    <x v="1"/>
    <n v="5795.72"/>
    <n v="3740.9679999999994"/>
    <x v="0"/>
    <x v="1"/>
    <x v="3"/>
    <n v="3"/>
  </r>
  <r>
    <n v="1"/>
    <d v="2020-04-19T00:00:00"/>
    <x v="1"/>
    <n v="3041.5140000000001"/>
    <n v="1629.894"/>
    <x v="0"/>
    <x v="1"/>
    <x v="3"/>
    <n v="3"/>
  </r>
  <r>
    <n v="1"/>
    <d v="2020-04-19T00:00:00"/>
    <x v="3"/>
    <n v="0"/>
    <n v="0"/>
    <x v="0"/>
    <x v="1"/>
    <x v="3"/>
    <n v="3"/>
  </r>
  <r>
    <n v="1"/>
    <d v="2020-04-19T00:00:00"/>
    <x v="2"/>
    <n v="1263.626"/>
    <n v="317.13499999999999"/>
    <x v="0"/>
    <x v="1"/>
    <x v="3"/>
    <n v="3"/>
  </r>
  <r>
    <n v="1"/>
    <d v="2020-04-19T00:00:00"/>
    <x v="0"/>
    <n v="-7"/>
    <n v="2076.732"/>
    <x v="0"/>
    <x v="1"/>
    <x v="3"/>
    <n v="3"/>
  </r>
  <r>
    <n v="1"/>
    <d v="2020-04-20T00:00:00"/>
    <x v="2"/>
    <n v="2578.0439999999999"/>
    <n v="1151.6609999999998"/>
    <x v="0"/>
    <x v="1"/>
    <x v="3"/>
    <n v="4"/>
  </r>
  <r>
    <n v="1"/>
    <d v="2020-04-20T00:00:00"/>
    <x v="3"/>
    <n v="18.297999999999998"/>
    <n v="168.53899999999999"/>
    <x v="0"/>
    <x v="1"/>
    <x v="3"/>
    <n v="4"/>
  </r>
  <r>
    <n v="1"/>
    <d v="2020-04-20T00:00:00"/>
    <x v="0"/>
    <n v="-13.146000000000001"/>
    <n v="5001.9059999999999"/>
    <x v="0"/>
    <x v="1"/>
    <x v="3"/>
    <n v="4"/>
  </r>
  <r>
    <n v="1"/>
    <d v="2020-04-20T00:00:00"/>
    <x v="1"/>
    <n v="5311.6980000000003"/>
    <n v="3201.7579999999994"/>
    <x v="0"/>
    <x v="1"/>
    <x v="3"/>
    <n v="4"/>
  </r>
  <r>
    <n v="1"/>
    <d v="2020-04-21T00:00:00"/>
    <x v="2"/>
    <n v="2614.402"/>
    <n v="900.05299999999988"/>
    <x v="0"/>
    <x v="1"/>
    <x v="3"/>
    <n v="4"/>
  </r>
  <r>
    <n v="1"/>
    <d v="2020-04-21T00:00:00"/>
    <x v="0"/>
    <n v="-3.1429999999999998"/>
    <n v="4740.8059999999996"/>
    <x v="0"/>
    <x v="1"/>
    <x v="3"/>
    <n v="4"/>
  </r>
  <r>
    <n v="1"/>
    <d v="2020-04-21T00:00:00"/>
    <x v="1"/>
    <n v="4702.866"/>
    <n v="3424.0149999999999"/>
    <x v="0"/>
    <x v="1"/>
    <x v="3"/>
    <n v="4"/>
  </r>
  <r>
    <n v="1"/>
    <d v="2020-04-21T00:00:00"/>
    <x v="3"/>
    <n v="3.9129999999999998"/>
    <n v="183.21799999999999"/>
    <x v="0"/>
    <x v="1"/>
    <x v="3"/>
    <n v="4"/>
  </r>
  <r>
    <n v="1"/>
    <d v="2020-04-22T00:00:00"/>
    <x v="3"/>
    <n v="0"/>
    <n v="11.542999999999997"/>
    <x v="0"/>
    <x v="1"/>
    <x v="3"/>
    <n v="4"/>
  </r>
  <r>
    <n v="1"/>
    <d v="2020-04-22T00:00:00"/>
    <x v="0"/>
    <n v="-6.5730000000000004"/>
    <n v="5524.7219999999998"/>
    <x v="0"/>
    <x v="1"/>
    <x v="3"/>
    <n v="4"/>
  </r>
  <r>
    <n v="1"/>
    <d v="2020-04-22T00:00:00"/>
    <x v="1"/>
    <n v="5345.5640000000003"/>
    <n v="4331.9709999999995"/>
    <x v="0"/>
    <x v="1"/>
    <x v="3"/>
    <n v="4"/>
  </r>
  <r>
    <n v="1"/>
    <d v="2020-04-22T00:00:00"/>
    <x v="2"/>
    <n v="2612.9110000000001"/>
    <n v="1279.0819999999999"/>
    <x v="0"/>
    <x v="1"/>
    <x v="3"/>
    <n v="4"/>
  </r>
  <r>
    <n v="1"/>
    <d v="2020-04-23T00:00:00"/>
    <x v="0"/>
    <n v="183.73599999999999"/>
    <n v="5933.9419999999991"/>
    <x v="0"/>
    <x v="1"/>
    <x v="3"/>
    <n v="4"/>
  </r>
  <r>
    <n v="1"/>
    <d v="2020-04-23T00:00:00"/>
    <x v="1"/>
    <n v="5263.86"/>
    <n v="4078.4799999999996"/>
    <x v="0"/>
    <x v="1"/>
    <x v="3"/>
    <n v="4"/>
  </r>
  <r>
    <n v="1"/>
    <d v="2020-04-23T00:00:00"/>
    <x v="3"/>
    <n v="8.3929999999999989"/>
    <n v="341.29199999999997"/>
    <x v="0"/>
    <x v="1"/>
    <x v="3"/>
    <n v="4"/>
  </r>
  <r>
    <n v="1"/>
    <d v="2020-04-23T00:00:00"/>
    <x v="2"/>
    <n v="2878.7079999999996"/>
    <n v="1940.8829999999998"/>
    <x v="0"/>
    <x v="1"/>
    <x v="3"/>
    <n v="4"/>
  </r>
  <r>
    <n v="1"/>
    <d v="2020-04-24T00:00:00"/>
    <x v="0"/>
    <n v="687.29499999999996"/>
    <n v="6413.2599999999993"/>
    <x v="0"/>
    <x v="1"/>
    <x v="3"/>
    <n v="4"/>
  </r>
  <r>
    <n v="1"/>
    <d v="2020-04-24T00:00:00"/>
    <x v="3"/>
    <n v="0"/>
    <n v="654.58399999999995"/>
    <x v="0"/>
    <x v="1"/>
    <x v="3"/>
    <n v="4"/>
  </r>
  <r>
    <n v="1"/>
    <d v="2020-04-24T00:00:00"/>
    <x v="1"/>
    <n v="6463.2749999999996"/>
    <n v="4197.4799999999996"/>
    <x v="0"/>
    <x v="1"/>
    <x v="3"/>
    <n v="4"/>
  </r>
  <r>
    <n v="1"/>
    <d v="2020-04-24T00:00:00"/>
    <x v="2"/>
    <n v="6063.2530000000006"/>
    <n v="1845.2629999999999"/>
    <x v="0"/>
    <x v="1"/>
    <x v="3"/>
    <n v="4"/>
  </r>
  <r>
    <n v="1"/>
    <d v="2020-04-25T00:00:00"/>
    <x v="0"/>
    <n v="522.17200000000003"/>
    <n v="6809.7609999999995"/>
    <x v="0"/>
    <x v="1"/>
    <x v="3"/>
    <n v="4"/>
  </r>
  <r>
    <n v="1"/>
    <d v="2020-04-25T00:00:00"/>
    <x v="2"/>
    <n v="4181.6390000000001"/>
    <n v="1326.6120000000001"/>
    <x v="0"/>
    <x v="1"/>
    <x v="3"/>
    <n v="4"/>
  </r>
  <r>
    <n v="1"/>
    <d v="2020-04-25T00:00:00"/>
    <x v="1"/>
    <n v="5926.2349999999988"/>
    <n v="3656.835"/>
    <x v="0"/>
    <x v="1"/>
    <x v="3"/>
    <n v="4"/>
  </r>
  <r>
    <n v="1"/>
    <d v="2020-04-25T00:00:00"/>
    <x v="3"/>
    <n v="0"/>
    <n v="230.78999999999996"/>
    <x v="0"/>
    <x v="1"/>
    <x v="3"/>
    <n v="4"/>
  </r>
  <r>
    <n v="1"/>
    <d v="2020-04-26T00:00:00"/>
    <x v="2"/>
    <n v="1665.6219999999998"/>
    <n v="255.745"/>
    <x v="0"/>
    <x v="1"/>
    <x v="3"/>
    <n v="4"/>
  </r>
  <r>
    <n v="1"/>
    <d v="2020-04-26T00:00:00"/>
    <x v="0"/>
    <n v="-39.717999999999996"/>
    <n v="2581.4319999999998"/>
    <x v="0"/>
    <x v="1"/>
    <x v="3"/>
    <n v="4"/>
  </r>
  <r>
    <n v="1"/>
    <d v="2020-04-26T00:00:00"/>
    <x v="1"/>
    <n v="2983.7849999999999"/>
    <n v="2033.1149999999998"/>
    <x v="0"/>
    <x v="1"/>
    <x v="3"/>
    <n v="4"/>
  </r>
  <r>
    <n v="1"/>
    <d v="2020-04-26T00:00:00"/>
    <x v="3"/>
    <n v="0"/>
    <n v="0"/>
    <x v="0"/>
    <x v="1"/>
    <x v="3"/>
    <n v="4"/>
  </r>
  <r>
    <n v="2"/>
    <d v="2019-01-01T00:00:00"/>
    <x v="2"/>
    <n v="458.661"/>
    <n v="277.72499999999997"/>
    <x v="1"/>
    <x v="0"/>
    <x v="0"/>
    <n v="1"/>
  </r>
  <r>
    <n v="2"/>
    <d v="2019-01-01T00:00:00"/>
    <x v="3"/>
    <n v="0"/>
    <n v="0"/>
    <x v="1"/>
    <x v="0"/>
    <x v="0"/>
    <n v="1"/>
  </r>
  <r>
    <n v="2"/>
    <d v="2019-01-01T00:00:00"/>
    <x v="0"/>
    <n v="1994.0199999999998"/>
    <n v="1959.4960000000001"/>
    <x v="1"/>
    <x v="0"/>
    <x v="0"/>
    <n v="1"/>
  </r>
  <r>
    <n v="2"/>
    <d v="2019-01-01T00:00:00"/>
    <x v="1"/>
    <n v="953.96699999999987"/>
    <n v="0"/>
    <x v="1"/>
    <x v="0"/>
    <x v="0"/>
    <n v="1"/>
  </r>
  <r>
    <n v="2"/>
    <d v="2019-01-02T00:00:00"/>
    <x v="0"/>
    <n v="1640.4499999999998"/>
    <n v="1783.5089999999998"/>
    <x v="1"/>
    <x v="0"/>
    <x v="0"/>
    <n v="1"/>
  </r>
  <r>
    <n v="2"/>
    <d v="2019-01-02T00:00:00"/>
    <x v="3"/>
    <n v="28.951999999999998"/>
    <n v="0"/>
    <x v="1"/>
    <x v="0"/>
    <x v="0"/>
    <n v="1"/>
  </r>
  <r>
    <n v="2"/>
    <d v="2019-01-02T00:00:00"/>
    <x v="1"/>
    <n v="786.548"/>
    <n v="0"/>
    <x v="1"/>
    <x v="0"/>
    <x v="0"/>
    <n v="1"/>
  </r>
  <r>
    <n v="2"/>
    <d v="2019-01-02T00:00:00"/>
    <x v="2"/>
    <n v="182.65099999999998"/>
    <n v="247.63899999999998"/>
    <x v="1"/>
    <x v="0"/>
    <x v="0"/>
    <n v="1"/>
  </r>
  <r>
    <n v="2"/>
    <d v="2019-01-03T00:00:00"/>
    <x v="2"/>
    <n v="380.39399999999995"/>
    <n v="306.54399999999998"/>
    <x v="1"/>
    <x v="0"/>
    <x v="0"/>
    <n v="1"/>
  </r>
  <r>
    <n v="2"/>
    <d v="2019-01-03T00:00:00"/>
    <x v="0"/>
    <n v="1980.8320000000001"/>
    <n v="2228.163"/>
    <x v="1"/>
    <x v="0"/>
    <x v="0"/>
    <n v="1"/>
  </r>
  <r>
    <n v="2"/>
    <d v="2019-01-03T00:00:00"/>
    <x v="3"/>
    <n v="0"/>
    <n v="0"/>
    <x v="1"/>
    <x v="0"/>
    <x v="0"/>
    <n v="1"/>
  </r>
  <r>
    <n v="2"/>
    <d v="2019-01-03T00:00:00"/>
    <x v="1"/>
    <n v="1218.98"/>
    <n v="0"/>
    <x v="1"/>
    <x v="0"/>
    <x v="0"/>
    <n v="1"/>
  </r>
  <r>
    <n v="2"/>
    <d v="2019-01-04T00:00:00"/>
    <x v="2"/>
    <n v="1008.7489999999999"/>
    <n v="426.46799999999996"/>
    <x v="1"/>
    <x v="0"/>
    <x v="0"/>
    <n v="1"/>
  </r>
  <r>
    <n v="2"/>
    <d v="2019-01-04T00:00:00"/>
    <x v="0"/>
    <n v="1870.8829999999998"/>
    <n v="3077.5989999999997"/>
    <x v="1"/>
    <x v="0"/>
    <x v="0"/>
    <n v="1"/>
  </r>
  <r>
    <n v="2"/>
    <d v="2019-01-04T00:00:00"/>
    <x v="1"/>
    <n v="711.99099999999999"/>
    <n v="0"/>
    <x v="1"/>
    <x v="0"/>
    <x v="0"/>
    <n v="1"/>
  </r>
  <r>
    <n v="2"/>
    <d v="2019-01-04T00:00:00"/>
    <x v="3"/>
    <n v="0"/>
    <n v="0"/>
    <x v="1"/>
    <x v="0"/>
    <x v="0"/>
    <n v="1"/>
  </r>
  <r>
    <n v="2"/>
    <d v="2019-01-05T00:00:00"/>
    <x v="3"/>
    <n v="58.401000000000003"/>
    <n v="4.5430000000000001"/>
    <x v="1"/>
    <x v="0"/>
    <x v="0"/>
    <n v="1"/>
  </r>
  <r>
    <n v="2"/>
    <d v="2019-01-05T00:00:00"/>
    <x v="1"/>
    <n v="900.16499999999996"/>
    <n v="0"/>
    <x v="1"/>
    <x v="0"/>
    <x v="0"/>
    <n v="1"/>
  </r>
  <r>
    <n v="2"/>
    <d v="2019-01-05T00:00:00"/>
    <x v="0"/>
    <n v="2007.0259999999998"/>
    <n v="2889.7959999999998"/>
    <x v="1"/>
    <x v="0"/>
    <x v="0"/>
    <n v="1"/>
  </r>
  <r>
    <n v="2"/>
    <d v="2019-01-05T00:00:00"/>
    <x v="2"/>
    <n v="441.33600000000001"/>
    <n v="521.40199999999993"/>
    <x v="1"/>
    <x v="0"/>
    <x v="0"/>
    <n v="1"/>
  </r>
  <r>
    <n v="2"/>
    <d v="2019-01-06T00:00:00"/>
    <x v="3"/>
    <n v="0"/>
    <n v="0"/>
    <x v="1"/>
    <x v="0"/>
    <x v="0"/>
    <n v="1"/>
  </r>
  <r>
    <n v="2"/>
    <d v="2019-01-06T00:00:00"/>
    <x v="1"/>
    <n v="678.37699999999995"/>
    <n v="0"/>
    <x v="1"/>
    <x v="0"/>
    <x v="0"/>
    <n v="1"/>
  </r>
  <r>
    <n v="2"/>
    <d v="2019-01-06T00:00:00"/>
    <x v="2"/>
    <n v="158.22799999999998"/>
    <n v="299.98500000000001"/>
    <x v="1"/>
    <x v="0"/>
    <x v="0"/>
    <n v="1"/>
  </r>
  <r>
    <n v="2"/>
    <d v="2019-01-06T00:00:00"/>
    <x v="0"/>
    <n v="1004.353"/>
    <n v="1241.9259999999999"/>
    <x v="1"/>
    <x v="0"/>
    <x v="0"/>
    <n v="1"/>
  </r>
  <r>
    <n v="2"/>
    <d v="2019-01-07T00:00:00"/>
    <x v="2"/>
    <n v="215.97800000000001"/>
    <n v="272.95099999999996"/>
    <x v="1"/>
    <x v="0"/>
    <x v="0"/>
    <n v="2"/>
  </r>
  <r>
    <n v="2"/>
    <d v="2019-01-07T00:00:00"/>
    <x v="1"/>
    <n v="811.3"/>
    <n v="0"/>
    <x v="1"/>
    <x v="0"/>
    <x v="0"/>
    <n v="2"/>
  </r>
  <r>
    <n v="2"/>
    <d v="2019-01-07T00:00:00"/>
    <x v="0"/>
    <n v="1209.04"/>
    <n v="1618.4279999999999"/>
    <x v="1"/>
    <x v="0"/>
    <x v="0"/>
    <n v="2"/>
  </r>
  <r>
    <n v="2"/>
    <d v="2019-01-07T00:00:00"/>
    <x v="3"/>
    <n v="0"/>
    <n v="0"/>
    <x v="1"/>
    <x v="0"/>
    <x v="0"/>
    <n v="2"/>
  </r>
  <r>
    <n v="2"/>
    <d v="2019-01-08T00:00:00"/>
    <x v="1"/>
    <n v="817.79599999999994"/>
    <n v="0"/>
    <x v="1"/>
    <x v="0"/>
    <x v="0"/>
    <n v="2"/>
  </r>
  <r>
    <n v="2"/>
    <d v="2019-01-08T00:00:00"/>
    <x v="2"/>
    <n v="261.35199999999998"/>
    <n v="189.04899999999998"/>
    <x v="1"/>
    <x v="0"/>
    <x v="0"/>
    <n v="2"/>
  </r>
  <r>
    <n v="2"/>
    <d v="2019-01-08T00:00:00"/>
    <x v="0"/>
    <n v="1754.6059999999998"/>
    <n v="1858.7239999999999"/>
    <x v="1"/>
    <x v="0"/>
    <x v="0"/>
    <n v="2"/>
  </r>
  <r>
    <n v="2"/>
    <d v="2019-01-08T00:00:00"/>
    <x v="3"/>
    <n v="0"/>
    <n v="0"/>
    <x v="1"/>
    <x v="0"/>
    <x v="0"/>
    <n v="2"/>
  </r>
  <r>
    <n v="2"/>
    <d v="2019-01-09T00:00:00"/>
    <x v="2"/>
    <n v="205.40799999999999"/>
    <n v="429.625"/>
    <x v="1"/>
    <x v="0"/>
    <x v="0"/>
    <n v="2"/>
  </r>
  <r>
    <n v="2"/>
    <d v="2019-01-09T00:00:00"/>
    <x v="0"/>
    <n v="1725.7380000000001"/>
    <n v="1515.7309999999998"/>
    <x v="1"/>
    <x v="0"/>
    <x v="0"/>
    <n v="2"/>
  </r>
  <r>
    <n v="2"/>
    <d v="2019-01-09T00:00:00"/>
    <x v="3"/>
    <n v="130.07399999999998"/>
    <n v="0"/>
    <x v="1"/>
    <x v="0"/>
    <x v="0"/>
    <n v="2"/>
  </r>
  <r>
    <n v="2"/>
    <d v="2019-01-09T00:00:00"/>
    <x v="1"/>
    <n v="710.22699999999998"/>
    <n v="0"/>
    <x v="1"/>
    <x v="0"/>
    <x v="0"/>
    <n v="2"/>
  </r>
  <r>
    <n v="2"/>
    <d v="2019-01-10T00:00:00"/>
    <x v="3"/>
    <n v="0"/>
    <n v="0"/>
    <x v="1"/>
    <x v="0"/>
    <x v="0"/>
    <n v="2"/>
  </r>
  <r>
    <n v="2"/>
    <d v="2019-01-10T00:00:00"/>
    <x v="1"/>
    <n v="850.89899999999989"/>
    <n v="0"/>
    <x v="1"/>
    <x v="0"/>
    <x v="0"/>
    <n v="2"/>
  </r>
  <r>
    <n v="2"/>
    <d v="2019-01-10T00:00:00"/>
    <x v="2"/>
    <n v="353.54899999999998"/>
    <n v="490.99399999999991"/>
    <x v="1"/>
    <x v="0"/>
    <x v="0"/>
    <n v="2"/>
  </r>
  <r>
    <n v="2"/>
    <d v="2019-01-10T00:00:00"/>
    <x v="0"/>
    <n v="1897.5949999999998"/>
    <n v="2360.5819999999999"/>
    <x v="1"/>
    <x v="0"/>
    <x v="0"/>
    <n v="2"/>
  </r>
  <r>
    <n v="2"/>
    <d v="2019-01-11T00:00:00"/>
    <x v="1"/>
    <n v="1025.8009999999999"/>
    <n v="0"/>
    <x v="1"/>
    <x v="0"/>
    <x v="0"/>
    <n v="2"/>
  </r>
  <r>
    <n v="2"/>
    <d v="2019-01-11T00:00:00"/>
    <x v="0"/>
    <n v="2610.3839999999996"/>
    <n v="2777.4879999999998"/>
    <x v="1"/>
    <x v="0"/>
    <x v="0"/>
    <n v="2"/>
  </r>
  <r>
    <n v="2"/>
    <d v="2019-01-11T00:00:00"/>
    <x v="3"/>
    <n v="317.33799999999997"/>
    <n v="183.57499999999999"/>
    <x v="1"/>
    <x v="0"/>
    <x v="0"/>
    <n v="2"/>
  </r>
  <r>
    <n v="2"/>
    <d v="2019-01-11T00:00:00"/>
    <x v="2"/>
    <n v="224.96599999999998"/>
    <n v="815.84299999999996"/>
    <x v="1"/>
    <x v="0"/>
    <x v="0"/>
    <n v="2"/>
  </r>
  <r>
    <n v="2"/>
    <d v="2019-01-12T00:00:00"/>
    <x v="0"/>
    <n v="2484.0830000000001"/>
    <n v="2863.6019999999999"/>
    <x v="1"/>
    <x v="0"/>
    <x v="0"/>
    <n v="2"/>
  </r>
  <r>
    <n v="2"/>
    <d v="2019-01-12T00:00:00"/>
    <x v="3"/>
    <n v="36.344000000000001"/>
    <n v="12.592999999999998"/>
    <x v="1"/>
    <x v="0"/>
    <x v="0"/>
    <n v="2"/>
  </r>
  <r>
    <n v="2"/>
    <d v="2019-01-12T00:00:00"/>
    <x v="1"/>
    <n v="1135.6029999999998"/>
    <n v="0"/>
    <x v="1"/>
    <x v="0"/>
    <x v="0"/>
    <n v="2"/>
  </r>
  <r>
    <n v="2"/>
    <d v="2019-01-12T00:00:00"/>
    <x v="2"/>
    <n v="383.85899999999998"/>
    <n v="401.00899999999996"/>
    <x v="1"/>
    <x v="0"/>
    <x v="0"/>
    <n v="2"/>
  </r>
  <r>
    <n v="2"/>
    <d v="2019-01-13T00:00:00"/>
    <x v="3"/>
    <n v="0"/>
    <n v="0"/>
    <x v="1"/>
    <x v="0"/>
    <x v="0"/>
    <n v="2"/>
  </r>
  <r>
    <n v="2"/>
    <d v="2019-01-13T00:00:00"/>
    <x v="0"/>
    <n v="1077.1669999999999"/>
    <n v="1224.9929999999999"/>
    <x v="1"/>
    <x v="0"/>
    <x v="0"/>
    <n v="2"/>
  </r>
  <r>
    <n v="2"/>
    <d v="2019-01-13T00:00:00"/>
    <x v="2"/>
    <n v="105.64399999999999"/>
    <n v="276.12199999999996"/>
    <x v="1"/>
    <x v="0"/>
    <x v="0"/>
    <n v="2"/>
  </r>
  <r>
    <n v="2"/>
    <d v="2019-01-13T00:00:00"/>
    <x v="1"/>
    <n v="592.52199999999993"/>
    <n v="0"/>
    <x v="1"/>
    <x v="0"/>
    <x v="0"/>
    <n v="2"/>
  </r>
  <r>
    <n v="2"/>
    <d v="2019-01-14T00:00:00"/>
    <x v="2"/>
    <n v="353.017"/>
    <n v="434.16800000000001"/>
    <x v="1"/>
    <x v="0"/>
    <x v="0"/>
    <n v="3"/>
  </r>
  <r>
    <n v="2"/>
    <d v="2019-01-14T00:00:00"/>
    <x v="0"/>
    <n v="1411.837"/>
    <n v="1977.038"/>
    <x v="1"/>
    <x v="0"/>
    <x v="0"/>
    <n v="3"/>
  </r>
  <r>
    <n v="2"/>
    <d v="2019-01-14T00:00:00"/>
    <x v="1"/>
    <n v="760.89299999999992"/>
    <n v="0"/>
    <x v="1"/>
    <x v="0"/>
    <x v="0"/>
    <n v="3"/>
  </r>
  <r>
    <n v="2"/>
    <d v="2019-01-14T00:00:00"/>
    <x v="3"/>
    <n v="113.95299999999999"/>
    <n v="0"/>
    <x v="1"/>
    <x v="0"/>
    <x v="0"/>
    <n v="3"/>
  </r>
  <r>
    <n v="2"/>
    <d v="2019-01-15T00:00:00"/>
    <x v="0"/>
    <n v="1627.9969999999998"/>
    <n v="1769.0119999999997"/>
    <x v="1"/>
    <x v="0"/>
    <x v="0"/>
    <n v="3"/>
  </r>
  <r>
    <n v="2"/>
    <d v="2019-01-15T00:00:00"/>
    <x v="1"/>
    <n v="753.12300000000005"/>
    <n v="0"/>
    <x v="1"/>
    <x v="0"/>
    <x v="0"/>
    <n v="3"/>
  </r>
  <r>
    <n v="2"/>
    <d v="2019-01-15T00:00:00"/>
    <x v="2"/>
    <n v="427.51799999999997"/>
    <n v="568.28800000000001"/>
    <x v="1"/>
    <x v="0"/>
    <x v="0"/>
    <n v="3"/>
  </r>
  <r>
    <n v="2"/>
    <d v="2019-01-15T00:00:00"/>
    <x v="3"/>
    <n v="0"/>
    <n v="97.201999999999998"/>
    <x v="1"/>
    <x v="0"/>
    <x v="0"/>
    <n v="3"/>
  </r>
  <r>
    <n v="2"/>
    <d v="2019-01-16T00:00:00"/>
    <x v="1"/>
    <n v="736.30199999999991"/>
    <n v="0"/>
    <x v="1"/>
    <x v="0"/>
    <x v="0"/>
    <n v="3"/>
  </r>
  <r>
    <n v="2"/>
    <d v="2019-01-16T00:00:00"/>
    <x v="3"/>
    <n v="0"/>
    <n v="0"/>
    <x v="1"/>
    <x v="0"/>
    <x v="0"/>
    <n v="3"/>
  </r>
  <r>
    <n v="2"/>
    <d v="2019-01-16T00:00:00"/>
    <x v="0"/>
    <n v="1680.9939999999999"/>
    <n v="1575.6229999999998"/>
    <x v="1"/>
    <x v="0"/>
    <x v="0"/>
    <n v="3"/>
  </r>
  <r>
    <n v="2"/>
    <d v="2019-01-16T00:00:00"/>
    <x v="2"/>
    <n v="374.416"/>
    <n v="229.90099999999998"/>
    <x v="1"/>
    <x v="0"/>
    <x v="0"/>
    <n v="3"/>
  </r>
  <r>
    <n v="2"/>
    <d v="2019-01-17T00:00:00"/>
    <x v="0"/>
    <n v="1420.944"/>
    <n v="2264.3809999999999"/>
    <x v="1"/>
    <x v="0"/>
    <x v="0"/>
    <n v="3"/>
  </r>
  <r>
    <n v="2"/>
    <d v="2019-01-17T00:00:00"/>
    <x v="3"/>
    <n v="28.671999999999997"/>
    <n v="0"/>
    <x v="1"/>
    <x v="0"/>
    <x v="0"/>
    <n v="3"/>
  </r>
  <r>
    <n v="2"/>
    <d v="2019-01-17T00:00:00"/>
    <x v="1"/>
    <n v="1082.172"/>
    <n v="0"/>
    <x v="1"/>
    <x v="0"/>
    <x v="0"/>
    <n v="3"/>
  </r>
  <r>
    <n v="2"/>
    <d v="2019-01-17T00:00:00"/>
    <x v="2"/>
    <n v="332.53499999999997"/>
    <n v="438.91399999999999"/>
    <x v="1"/>
    <x v="0"/>
    <x v="0"/>
    <n v="3"/>
  </r>
  <r>
    <n v="2"/>
    <d v="2019-01-18T00:00:00"/>
    <x v="3"/>
    <n v="231.56"/>
    <n v="0"/>
    <x v="1"/>
    <x v="0"/>
    <x v="0"/>
    <n v="3"/>
  </r>
  <r>
    <n v="2"/>
    <d v="2019-01-18T00:00:00"/>
    <x v="2"/>
    <n v="182.74199999999999"/>
    <n v="330.12700000000001"/>
    <x v="1"/>
    <x v="0"/>
    <x v="0"/>
    <n v="3"/>
  </r>
  <r>
    <n v="2"/>
    <d v="2019-01-18T00:00:00"/>
    <x v="1"/>
    <n v="1188.229"/>
    <n v="0"/>
    <x v="1"/>
    <x v="0"/>
    <x v="0"/>
    <n v="3"/>
  </r>
  <r>
    <n v="2"/>
    <d v="2019-01-18T00:00:00"/>
    <x v="0"/>
    <n v="2378.6419999999998"/>
    <n v="2711.2190000000001"/>
    <x v="1"/>
    <x v="0"/>
    <x v="0"/>
    <n v="3"/>
  </r>
  <r>
    <n v="2"/>
    <d v="2019-01-19T00:00:00"/>
    <x v="1"/>
    <n v="998.96999999999991"/>
    <n v="0"/>
    <x v="1"/>
    <x v="0"/>
    <x v="0"/>
    <n v="3"/>
  </r>
  <r>
    <n v="2"/>
    <d v="2019-01-19T00:00:00"/>
    <x v="0"/>
    <n v="2238.922"/>
    <n v="2446.8359999999998"/>
    <x v="1"/>
    <x v="0"/>
    <x v="0"/>
    <n v="3"/>
  </r>
  <r>
    <n v="2"/>
    <d v="2019-01-19T00:00:00"/>
    <x v="3"/>
    <n v="0"/>
    <n v="0"/>
    <x v="1"/>
    <x v="0"/>
    <x v="0"/>
    <n v="3"/>
  </r>
  <r>
    <n v="2"/>
    <d v="2019-01-19T00:00:00"/>
    <x v="2"/>
    <n v="486.21299999999997"/>
    <n v="586.37599999999998"/>
    <x v="1"/>
    <x v="0"/>
    <x v="0"/>
    <n v="3"/>
  </r>
  <r>
    <n v="2"/>
    <d v="2019-01-20T00:00:00"/>
    <x v="2"/>
    <n v="227.703"/>
    <n v="268.779"/>
    <x v="1"/>
    <x v="0"/>
    <x v="0"/>
    <n v="3"/>
  </r>
  <r>
    <n v="2"/>
    <d v="2019-01-20T00:00:00"/>
    <x v="0"/>
    <n v="1166.011"/>
    <n v="1394.9179999999999"/>
    <x v="1"/>
    <x v="0"/>
    <x v="0"/>
    <n v="3"/>
  </r>
  <r>
    <n v="2"/>
    <d v="2019-01-20T00:00:00"/>
    <x v="3"/>
    <n v="0"/>
    <n v="0"/>
    <x v="1"/>
    <x v="0"/>
    <x v="0"/>
    <n v="3"/>
  </r>
  <r>
    <n v="2"/>
    <d v="2019-01-20T00:00:00"/>
    <x v="1"/>
    <n v="443.50600000000003"/>
    <n v="0"/>
    <x v="1"/>
    <x v="0"/>
    <x v="0"/>
    <n v="3"/>
  </r>
  <r>
    <n v="2"/>
    <d v="2019-01-21T00:00:00"/>
    <x v="3"/>
    <n v="0"/>
    <n v="0"/>
    <x v="1"/>
    <x v="0"/>
    <x v="0"/>
    <n v="4"/>
  </r>
  <r>
    <n v="2"/>
    <d v="2019-01-21T00:00:00"/>
    <x v="1"/>
    <n v="784.07699999999988"/>
    <n v="0"/>
    <x v="1"/>
    <x v="0"/>
    <x v="0"/>
    <n v="4"/>
  </r>
  <r>
    <n v="2"/>
    <d v="2019-01-21T00:00:00"/>
    <x v="2"/>
    <n v="237.57299999999998"/>
    <n v="387.37999999999994"/>
    <x v="1"/>
    <x v="0"/>
    <x v="0"/>
    <n v="4"/>
  </r>
  <r>
    <n v="2"/>
    <d v="2019-01-21T00:00:00"/>
    <x v="0"/>
    <n v="1357.5029999999999"/>
    <n v="1487.7939999999999"/>
    <x v="1"/>
    <x v="0"/>
    <x v="0"/>
    <n v="4"/>
  </r>
  <r>
    <n v="2"/>
    <d v="2019-01-22T00:00:00"/>
    <x v="1"/>
    <n v="909.73399999999981"/>
    <n v="0"/>
    <x v="1"/>
    <x v="0"/>
    <x v="0"/>
    <n v="4"/>
  </r>
  <r>
    <n v="2"/>
    <d v="2019-01-22T00:00:00"/>
    <x v="3"/>
    <n v="115.39499999999998"/>
    <n v="318.101"/>
    <x v="1"/>
    <x v="0"/>
    <x v="0"/>
    <n v="4"/>
  </r>
  <r>
    <n v="2"/>
    <d v="2019-01-22T00:00:00"/>
    <x v="2"/>
    <n v="318.68899999999996"/>
    <n v="591.34599999999989"/>
    <x v="1"/>
    <x v="0"/>
    <x v="0"/>
    <n v="4"/>
  </r>
  <r>
    <n v="2"/>
    <d v="2019-01-22T00:00:00"/>
    <x v="0"/>
    <n v="1646.1339999999998"/>
    <n v="2324.2309999999998"/>
    <x v="1"/>
    <x v="0"/>
    <x v="0"/>
    <n v="4"/>
  </r>
  <r>
    <n v="2"/>
    <d v="2019-01-23T00:00:00"/>
    <x v="3"/>
    <n v="0"/>
    <n v="0"/>
    <x v="1"/>
    <x v="0"/>
    <x v="0"/>
    <n v="4"/>
  </r>
  <r>
    <n v="2"/>
    <d v="2019-01-23T00:00:00"/>
    <x v="1"/>
    <n v="625.02299999999991"/>
    <n v="0"/>
    <x v="1"/>
    <x v="0"/>
    <x v="0"/>
    <n v="4"/>
  </r>
  <r>
    <n v="2"/>
    <d v="2019-01-23T00:00:00"/>
    <x v="2"/>
    <n v="273.42"/>
    <n v="297.94099999999997"/>
    <x v="1"/>
    <x v="0"/>
    <x v="0"/>
    <n v="4"/>
  </r>
  <r>
    <n v="2"/>
    <d v="2019-01-23T00:00:00"/>
    <x v="0"/>
    <n v="1727.3339999999998"/>
    <n v="1532.202"/>
    <x v="1"/>
    <x v="0"/>
    <x v="0"/>
    <n v="4"/>
  </r>
  <r>
    <n v="2"/>
    <d v="2019-01-24T00:00:00"/>
    <x v="0"/>
    <n v="2041.0669999999998"/>
    <n v="2662.1839999999997"/>
    <x v="1"/>
    <x v="0"/>
    <x v="0"/>
    <n v="4"/>
  </r>
  <r>
    <n v="2"/>
    <d v="2019-01-24T00:00:00"/>
    <x v="1"/>
    <n v="928.65499999999997"/>
    <n v="0"/>
    <x v="1"/>
    <x v="0"/>
    <x v="0"/>
    <n v="4"/>
  </r>
  <r>
    <n v="2"/>
    <d v="2019-01-24T00:00:00"/>
    <x v="3"/>
    <n v="153.85999999999999"/>
    <n v="0"/>
    <x v="1"/>
    <x v="0"/>
    <x v="0"/>
    <n v="4"/>
  </r>
  <r>
    <n v="2"/>
    <d v="2019-01-24T00:00:00"/>
    <x v="2"/>
    <n v="284.25599999999997"/>
    <n v="509.21499999999997"/>
    <x v="1"/>
    <x v="0"/>
    <x v="0"/>
    <n v="4"/>
  </r>
  <r>
    <n v="2"/>
    <d v="2019-01-25T00:00:00"/>
    <x v="0"/>
    <n v="2346.8409999999999"/>
    <n v="2937.8649999999998"/>
    <x v="1"/>
    <x v="0"/>
    <x v="0"/>
    <n v="4"/>
  </r>
  <r>
    <n v="2"/>
    <d v="2019-01-25T00:00:00"/>
    <x v="2"/>
    <n v="412.23699999999997"/>
    <n v="726.18700000000001"/>
    <x v="1"/>
    <x v="0"/>
    <x v="0"/>
    <n v="4"/>
  </r>
  <r>
    <n v="2"/>
    <d v="2019-01-25T00:00:00"/>
    <x v="3"/>
    <n v="0"/>
    <n v="0"/>
    <x v="1"/>
    <x v="0"/>
    <x v="0"/>
    <n v="4"/>
  </r>
  <r>
    <n v="2"/>
    <d v="2019-01-25T00:00:00"/>
    <x v="1"/>
    <n v="1217.2929999999999"/>
    <n v="0"/>
    <x v="1"/>
    <x v="0"/>
    <x v="0"/>
    <n v="4"/>
  </r>
  <r>
    <n v="2"/>
    <d v="2019-01-26T00:00:00"/>
    <x v="3"/>
    <n v="69.384"/>
    <n v="196.93799999999996"/>
    <x v="1"/>
    <x v="0"/>
    <x v="0"/>
    <n v="4"/>
  </r>
  <r>
    <n v="2"/>
    <d v="2019-01-26T00:00:00"/>
    <x v="1"/>
    <n v="1044.106"/>
    <n v="0"/>
    <x v="1"/>
    <x v="0"/>
    <x v="0"/>
    <n v="4"/>
  </r>
  <r>
    <n v="2"/>
    <d v="2019-01-26T00:00:00"/>
    <x v="2"/>
    <n v="445.19299999999998"/>
    <n v="488.92899999999997"/>
    <x v="1"/>
    <x v="0"/>
    <x v="0"/>
    <n v="4"/>
  </r>
  <r>
    <n v="2"/>
    <d v="2019-01-26T00:00:00"/>
    <x v="0"/>
    <n v="2000.6419999999998"/>
    <n v="2478.5320000000002"/>
    <x v="1"/>
    <x v="0"/>
    <x v="0"/>
    <n v="4"/>
  </r>
  <r>
    <n v="2"/>
    <d v="2019-01-27T00:00:00"/>
    <x v="0"/>
    <n v="968.8"/>
    <n v="1310.1059999999998"/>
    <x v="1"/>
    <x v="0"/>
    <x v="0"/>
    <n v="4"/>
  </r>
  <r>
    <n v="2"/>
    <d v="2019-01-27T00:00:00"/>
    <x v="3"/>
    <n v="173.43199999999999"/>
    <n v="0"/>
    <x v="1"/>
    <x v="0"/>
    <x v="0"/>
    <n v="4"/>
  </r>
  <r>
    <n v="2"/>
    <d v="2019-01-27T00:00:00"/>
    <x v="2"/>
    <n v="357.86099999999999"/>
    <n v="349.49599999999998"/>
    <x v="1"/>
    <x v="0"/>
    <x v="0"/>
    <n v="4"/>
  </r>
  <r>
    <n v="2"/>
    <d v="2019-01-27T00:00:00"/>
    <x v="1"/>
    <n v="613.50800000000004"/>
    <n v="0"/>
    <x v="1"/>
    <x v="0"/>
    <x v="0"/>
    <n v="4"/>
  </r>
  <r>
    <n v="2"/>
    <d v="2019-01-28T00:00:00"/>
    <x v="3"/>
    <n v="0"/>
    <n v="0"/>
    <x v="1"/>
    <x v="0"/>
    <x v="1"/>
    <n v="1"/>
  </r>
  <r>
    <n v="2"/>
    <d v="2019-01-28T00:00:00"/>
    <x v="2"/>
    <n v="166.761"/>
    <n v="160.41899999999998"/>
    <x v="1"/>
    <x v="0"/>
    <x v="1"/>
    <n v="1"/>
  </r>
  <r>
    <n v="2"/>
    <d v="2019-01-28T00:00:00"/>
    <x v="1"/>
    <n v="750.09199999999987"/>
    <n v="0"/>
    <x v="1"/>
    <x v="0"/>
    <x v="1"/>
    <n v="1"/>
  </r>
  <r>
    <n v="2"/>
    <d v="2019-01-28T00:00:00"/>
    <x v="0"/>
    <n v="1475.271"/>
    <n v="1484.8609999999999"/>
    <x v="1"/>
    <x v="0"/>
    <x v="1"/>
    <n v="1"/>
  </r>
  <r>
    <n v="2"/>
    <d v="2019-01-29T00:00:00"/>
    <x v="0"/>
    <n v="1781.0869999999998"/>
    <n v="1880.3820000000001"/>
    <x v="1"/>
    <x v="0"/>
    <x v="1"/>
    <n v="1"/>
  </r>
  <r>
    <n v="2"/>
    <d v="2019-01-29T00:00:00"/>
    <x v="3"/>
    <n v="0"/>
    <n v="361.95600000000002"/>
    <x v="1"/>
    <x v="0"/>
    <x v="1"/>
    <n v="1"/>
  </r>
  <r>
    <n v="2"/>
    <d v="2019-01-29T00:00:00"/>
    <x v="2"/>
    <n v="338.95400000000001"/>
    <n v="499.62499999999994"/>
    <x v="1"/>
    <x v="0"/>
    <x v="1"/>
    <n v="1"/>
  </r>
  <r>
    <n v="2"/>
    <d v="2019-01-29T00:00:00"/>
    <x v="1"/>
    <n v="838.572"/>
    <n v="0"/>
    <x v="1"/>
    <x v="0"/>
    <x v="1"/>
    <n v="1"/>
  </r>
  <r>
    <n v="2"/>
    <d v="2019-01-30T00:00:00"/>
    <x v="1"/>
    <n v="896.97299999999996"/>
    <n v="0"/>
    <x v="1"/>
    <x v="0"/>
    <x v="1"/>
    <n v="1"/>
  </r>
  <r>
    <n v="2"/>
    <d v="2019-01-30T00:00:00"/>
    <x v="0"/>
    <n v="1445.941"/>
    <n v="1725.5630000000001"/>
    <x v="1"/>
    <x v="0"/>
    <x v="1"/>
    <n v="1"/>
  </r>
  <r>
    <n v="2"/>
    <d v="2019-01-30T00:00:00"/>
    <x v="2"/>
    <n v="388.17799999999994"/>
    <n v="393.16899999999993"/>
    <x v="1"/>
    <x v="0"/>
    <x v="1"/>
    <n v="1"/>
  </r>
  <r>
    <n v="2"/>
    <d v="2019-01-30T00:00:00"/>
    <x v="3"/>
    <n v="0"/>
    <n v="326.57799999999997"/>
    <x v="1"/>
    <x v="0"/>
    <x v="1"/>
    <n v="1"/>
  </r>
  <r>
    <n v="2"/>
    <d v="2019-01-31T00:00:00"/>
    <x v="0"/>
    <n v="2028.502"/>
    <n v="2190.0619999999999"/>
    <x v="1"/>
    <x v="0"/>
    <x v="1"/>
    <n v="1"/>
  </r>
  <r>
    <n v="2"/>
    <d v="2019-01-31T00:00:00"/>
    <x v="1"/>
    <n v="884.0089999999999"/>
    <n v="0"/>
    <x v="1"/>
    <x v="0"/>
    <x v="1"/>
    <n v="1"/>
  </r>
  <r>
    <n v="2"/>
    <d v="2019-01-31T00:00:00"/>
    <x v="3"/>
    <n v="0"/>
    <n v="0"/>
    <x v="1"/>
    <x v="0"/>
    <x v="1"/>
    <n v="1"/>
  </r>
  <r>
    <n v="2"/>
    <d v="2019-01-31T00:00:00"/>
    <x v="2"/>
    <n v="302.834"/>
    <n v="488.06799999999998"/>
    <x v="1"/>
    <x v="0"/>
    <x v="1"/>
    <n v="1"/>
  </r>
  <r>
    <n v="2"/>
    <d v="2019-02-01T00:00:00"/>
    <x v="0"/>
    <n v="2148.7759999999998"/>
    <n v="2803.9619999999995"/>
    <x v="1"/>
    <x v="0"/>
    <x v="1"/>
    <n v="1"/>
  </r>
  <r>
    <n v="2"/>
    <d v="2019-02-01T00:00:00"/>
    <x v="3"/>
    <n v="0"/>
    <n v="419.15299999999996"/>
    <x v="1"/>
    <x v="0"/>
    <x v="1"/>
    <n v="1"/>
  </r>
  <r>
    <n v="2"/>
    <d v="2019-02-01T00:00:00"/>
    <x v="1"/>
    <n v="1137.8429999999998"/>
    <n v="0"/>
    <x v="1"/>
    <x v="0"/>
    <x v="1"/>
    <n v="1"/>
  </r>
  <r>
    <n v="2"/>
    <d v="2019-02-01T00:00:00"/>
    <x v="2"/>
    <n v="505.988"/>
    <n v="515.09500000000003"/>
    <x v="1"/>
    <x v="0"/>
    <x v="1"/>
    <n v="1"/>
  </r>
  <r>
    <n v="2"/>
    <d v="2019-02-02T00:00:00"/>
    <x v="1"/>
    <n v="866.92200000000003"/>
    <n v="0"/>
    <x v="1"/>
    <x v="0"/>
    <x v="1"/>
    <n v="1"/>
  </r>
  <r>
    <n v="2"/>
    <d v="2019-02-02T00:00:00"/>
    <x v="2"/>
    <n v="319.137"/>
    <n v="497.16799999999995"/>
    <x v="1"/>
    <x v="0"/>
    <x v="1"/>
    <n v="1"/>
  </r>
  <r>
    <n v="2"/>
    <d v="2019-02-02T00:00:00"/>
    <x v="3"/>
    <n v="0"/>
    <n v="0"/>
    <x v="1"/>
    <x v="0"/>
    <x v="1"/>
    <n v="1"/>
  </r>
  <r>
    <n v="2"/>
    <d v="2019-02-02T00:00:00"/>
    <x v="0"/>
    <n v="2295.538"/>
    <n v="3021.4589999999998"/>
    <x v="1"/>
    <x v="0"/>
    <x v="1"/>
    <n v="1"/>
  </r>
  <r>
    <n v="2"/>
    <d v="2019-02-03T00:00:00"/>
    <x v="3"/>
    <n v="0"/>
    <n v="275.16299999999995"/>
    <x v="1"/>
    <x v="0"/>
    <x v="1"/>
    <n v="1"/>
  </r>
  <r>
    <n v="2"/>
    <d v="2019-02-03T00:00:00"/>
    <x v="1"/>
    <n v="487.19299999999998"/>
    <n v="0"/>
    <x v="1"/>
    <x v="0"/>
    <x v="1"/>
    <n v="1"/>
  </r>
  <r>
    <n v="2"/>
    <d v="2019-02-03T00:00:00"/>
    <x v="2"/>
    <n v="167.97899999999998"/>
    <n v="289.142"/>
    <x v="1"/>
    <x v="0"/>
    <x v="1"/>
    <n v="1"/>
  </r>
  <r>
    <n v="2"/>
    <d v="2019-02-03T00:00:00"/>
    <x v="0"/>
    <n v="705.1099999999999"/>
    <n v="1375.3389999999999"/>
    <x v="1"/>
    <x v="0"/>
    <x v="1"/>
    <n v="1"/>
  </r>
  <r>
    <n v="2"/>
    <d v="2019-02-04T00:00:00"/>
    <x v="3"/>
    <n v="0"/>
    <n v="0"/>
    <x v="1"/>
    <x v="0"/>
    <x v="1"/>
    <n v="2"/>
  </r>
  <r>
    <n v="2"/>
    <d v="2019-02-04T00:00:00"/>
    <x v="1"/>
    <n v="827.09199999999987"/>
    <n v="0"/>
    <x v="1"/>
    <x v="0"/>
    <x v="1"/>
    <n v="2"/>
  </r>
  <r>
    <n v="2"/>
    <d v="2019-02-04T00:00:00"/>
    <x v="2"/>
    <n v="110.922"/>
    <n v="315.32900000000001"/>
    <x v="1"/>
    <x v="0"/>
    <x v="1"/>
    <n v="2"/>
  </r>
  <r>
    <n v="2"/>
    <d v="2019-02-04T00:00:00"/>
    <x v="0"/>
    <n v="1287.125"/>
    <n v="1426.3899999999999"/>
    <x v="1"/>
    <x v="0"/>
    <x v="1"/>
    <n v="2"/>
  </r>
  <r>
    <n v="2"/>
    <d v="2019-02-05T00:00:00"/>
    <x v="2"/>
    <n v="428.904"/>
    <n v="364.322"/>
    <x v="1"/>
    <x v="0"/>
    <x v="1"/>
    <n v="2"/>
  </r>
  <r>
    <n v="2"/>
    <d v="2019-02-05T00:00:00"/>
    <x v="0"/>
    <n v="1811.0399999999997"/>
    <n v="2061.08"/>
    <x v="1"/>
    <x v="0"/>
    <x v="1"/>
    <n v="2"/>
  </r>
  <r>
    <n v="2"/>
    <d v="2019-02-05T00:00:00"/>
    <x v="3"/>
    <n v="0"/>
    <n v="0"/>
    <x v="1"/>
    <x v="0"/>
    <x v="1"/>
    <n v="2"/>
  </r>
  <r>
    <n v="2"/>
    <d v="2019-02-05T00:00:00"/>
    <x v="1"/>
    <n v="938.95899999999983"/>
    <n v="0"/>
    <x v="1"/>
    <x v="0"/>
    <x v="1"/>
    <n v="2"/>
  </r>
  <r>
    <n v="2"/>
    <d v="2019-02-06T00:00:00"/>
    <x v="3"/>
    <n v="0"/>
    <n v="88.613"/>
    <x v="1"/>
    <x v="0"/>
    <x v="1"/>
    <n v="2"/>
  </r>
  <r>
    <n v="2"/>
    <d v="2019-02-06T00:00:00"/>
    <x v="1"/>
    <n v="777.09100000000001"/>
    <n v="0"/>
    <x v="1"/>
    <x v="0"/>
    <x v="1"/>
    <n v="2"/>
  </r>
  <r>
    <n v="2"/>
    <d v="2019-02-06T00:00:00"/>
    <x v="2"/>
    <n v="256.214"/>
    <n v="382.73199999999997"/>
    <x v="1"/>
    <x v="0"/>
    <x v="1"/>
    <n v="2"/>
  </r>
  <r>
    <n v="2"/>
    <d v="2019-02-06T00:00:00"/>
    <x v="0"/>
    <n v="1519.7559999999999"/>
    <n v="1755.4179999999997"/>
    <x v="1"/>
    <x v="0"/>
    <x v="1"/>
    <n v="2"/>
  </r>
  <r>
    <n v="2"/>
    <d v="2019-02-07T00:00:00"/>
    <x v="0"/>
    <n v="1717.191"/>
    <n v="1973.538"/>
    <x v="1"/>
    <x v="0"/>
    <x v="1"/>
    <n v="2"/>
  </r>
  <r>
    <n v="2"/>
    <d v="2019-02-07T00:00:00"/>
    <x v="2"/>
    <n v="138.71899999999999"/>
    <n v="405.61500000000001"/>
    <x v="1"/>
    <x v="0"/>
    <x v="1"/>
    <n v="2"/>
  </r>
  <r>
    <n v="2"/>
    <d v="2019-02-07T00:00:00"/>
    <x v="3"/>
    <n v="0"/>
    <n v="0"/>
    <x v="1"/>
    <x v="0"/>
    <x v="1"/>
    <n v="2"/>
  </r>
  <r>
    <n v="2"/>
    <d v="2019-02-07T00:00:00"/>
    <x v="1"/>
    <n v="1002.197"/>
    <n v="0"/>
    <x v="1"/>
    <x v="0"/>
    <x v="1"/>
    <n v="2"/>
  </r>
  <r>
    <n v="2"/>
    <d v="2019-02-08T00:00:00"/>
    <x v="0"/>
    <n v="2220.0009999999997"/>
    <n v="3224.942"/>
    <x v="1"/>
    <x v="0"/>
    <x v="1"/>
    <n v="2"/>
  </r>
  <r>
    <n v="2"/>
    <d v="2019-02-08T00:00:00"/>
    <x v="3"/>
    <n v="0"/>
    <n v="0"/>
    <x v="1"/>
    <x v="0"/>
    <x v="1"/>
    <n v="2"/>
  </r>
  <r>
    <n v="2"/>
    <d v="2019-02-08T00:00:00"/>
    <x v="2"/>
    <n v="399.952"/>
    <n v="611.13499999999988"/>
    <x v="1"/>
    <x v="0"/>
    <x v="1"/>
    <n v="2"/>
  </r>
  <r>
    <n v="2"/>
    <d v="2019-02-08T00:00:00"/>
    <x v="1"/>
    <n v="1336.5169999999998"/>
    <n v="0"/>
    <x v="1"/>
    <x v="0"/>
    <x v="1"/>
    <n v="2"/>
  </r>
  <r>
    <n v="2"/>
    <d v="2019-02-09T00:00:00"/>
    <x v="2"/>
    <n v="422.21199999999993"/>
    <n v="463.65899999999999"/>
    <x v="1"/>
    <x v="0"/>
    <x v="1"/>
    <n v="2"/>
  </r>
  <r>
    <n v="2"/>
    <d v="2019-02-09T00:00:00"/>
    <x v="0"/>
    <n v="1783.9149999999997"/>
    <n v="2310.4759999999997"/>
    <x v="1"/>
    <x v="0"/>
    <x v="1"/>
    <n v="2"/>
  </r>
  <r>
    <n v="2"/>
    <d v="2019-02-09T00:00:00"/>
    <x v="1"/>
    <n v="850.95500000000004"/>
    <n v="0"/>
    <x v="1"/>
    <x v="0"/>
    <x v="1"/>
    <n v="2"/>
  </r>
  <r>
    <n v="2"/>
    <d v="2019-02-09T00:00:00"/>
    <x v="3"/>
    <n v="184.63199999999998"/>
    <n v="110.145"/>
    <x v="1"/>
    <x v="0"/>
    <x v="1"/>
    <n v="2"/>
  </r>
  <r>
    <n v="2"/>
    <d v="2019-02-10T00:00:00"/>
    <x v="0"/>
    <n v="1148.6019999999999"/>
    <n v="1358"/>
    <x v="1"/>
    <x v="0"/>
    <x v="1"/>
    <n v="2"/>
  </r>
  <r>
    <n v="2"/>
    <d v="2019-02-10T00:00:00"/>
    <x v="2"/>
    <n v="112.44799999999998"/>
    <n v="184.81399999999996"/>
    <x v="1"/>
    <x v="0"/>
    <x v="1"/>
    <n v="2"/>
  </r>
  <r>
    <n v="2"/>
    <d v="2019-02-10T00:00:00"/>
    <x v="1"/>
    <n v="536.78099999999995"/>
    <n v="0"/>
    <x v="1"/>
    <x v="0"/>
    <x v="1"/>
    <n v="2"/>
  </r>
  <r>
    <n v="2"/>
    <d v="2019-02-10T00:00:00"/>
    <x v="3"/>
    <n v="0"/>
    <n v="0"/>
    <x v="1"/>
    <x v="0"/>
    <x v="1"/>
    <n v="2"/>
  </r>
  <r>
    <n v="2"/>
    <d v="2019-02-11T00:00:00"/>
    <x v="2"/>
    <n v="111.69899999999998"/>
    <n v="219.28899999999999"/>
    <x v="1"/>
    <x v="0"/>
    <x v="1"/>
    <n v="3"/>
  </r>
  <r>
    <n v="2"/>
    <d v="2019-02-11T00:00:00"/>
    <x v="0"/>
    <n v="1441.8039999999999"/>
    <n v="1446.8440000000001"/>
    <x v="1"/>
    <x v="0"/>
    <x v="1"/>
    <n v="3"/>
  </r>
  <r>
    <n v="2"/>
    <d v="2019-02-11T00:00:00"/>
    <x v="3"/>
    <n v="338.13499999999999"/>
    <n v="0"/>
    <x v="1"/>
    <x v="0"/>
    <x v="1"/>
    <n v="3"/>
  </r>
  <r>
    <n v="2"/>
    <d v="2019-02-11T00:00:00"/>
    <x v="1"/>
    <n v="692.32799999999997"/>
    <n v="0"/>
    <x v="1"/>
    <x v="0"/>
    <x v="1"/>
    <n v="3"/>
  </r>
  <r>
    <n v="2"/>
    <d v="2019-02-12T00:00:00"/>
    <x v="0"/>
    <n v="1848.721"/>
    <n v="2000.4809999999998"/>
    <x v="1"/>
    <x v="0"/>
    <x v="1"/>
    <n v="3"/>
  </r>
  <r>
    <n v="2"/>
    <d v="2019-02-12T00:00:00"/>
    <x v="2"/>
    <n v="446.74"/>
    <n v="394.18399999999997"/>
    <x v="1"/>
    <x v="0"/>
    <x v="1"/>
    <n v="3"/>
  </r>
  <r>
    <n v="2"/>
    <d v="2019-02-12T00:00:00"/>
    <x v="3"/>
    <n v="0"/>
    <n v="0"/>
    <x v="1"/>
    <x v="0"/>
    <x v="1"/>
    <n v="3"/>
  </r>
  <r>
    <n v="2"/>
    <d v="2019-02-12T00:00:00"/>
    <x v="1"/>
    <n v="826.70699999999999"/>
    <n v="0"/>
    <x v="1"/>
    <x v="0"/>
    <x v="1"/>
    <n v="3"/>
  </r>
  <r>
    <n v="2"/>
    <d v="2019-02-13T00:00:00"/>
    <x v="2"/>
    <n v="190.61699999999999"/>
    <n v="522.64099999999996"/>
    <x v="1"/>
    <x v="0"/>
    <x v="1"/>
    <n v="3"/>
  </r>
  <r>
    <n v="2"/>
    <d v="2019-02-13T00:00:00"/>
    <x v="0"/>
    <n v="1624.952"/>
    <n v="2809.6179999999995"/>
    <x v="1"/>
    <x v="0"/>
    <x v="1"/>
    <n v="3"/>
  </r>
  <r>
    <n v="2"/>
    <d v="2019-02-13T00:00:00"/>
    <x v="3"/>
    <n v="199.11499999999998"/>
    <n v="0"/>
    <x v="1"/>
    <x v="0"/>
    <x v="1"/>
    <n v="3"/>
  </r>
  <r>
    <n v="2"/>
    <d v="2019-02-13T00:00:00"/>
    <x v="1"/>
    <n v="981.35799999999995"/>
    <n v="0"/>
    <x v="1"/>
    <x v="0"/>
    <x v="1"/>
    <n v="3"/>
  </r>
  <r>
    <n v="2"/>
    <d v="2019-02-14T00:00:00"/>
    <x v="2"/>
    <n v="583.89799999999991"/>
    <n v="323.60300000000001"/>
    <x v="1"/>
    <x v="0"/>
    <x v="1"/>
    <n v="3"/>
  </r>
  <r>
    <n v="2"/>
    <d v="2019-02-14T00:00:00"/>
    <x v="0"/>
    <n v="2240.1189999999997"/>
    <n v="1980.2579999999998"/>
    <x v="1"/>
    <x v="0"/>
    <x v="1"/>
    <n v="3"/>
  </r>
  <r>
    <n v="2"/>
    <d v="2019-02-14T00:00:00"/>
    <x v="3"/>
    <n v="437.745"/>
    <n v="0"/>
    <x v="1"/>
    <x v="0"/>
    <x v="1"/>
    <n v="3"/>
  </r>
  <r>
    <n v="2"/>
    <d v="2019-02-14T00:00:00"/>
    <x v="1"/>
    <n v="1633.982"/>
    <n v="0"/>
    <x v="1"/>
    <x v="0"/>
    <x v="1"/>
    <n v="3"/>
  </r>
  <r>
    <n v="2"/>
    <d v="2019-02-15T00:00:00"/>
    <x v="2"/>
    <n v="499.74399999999991"/>
    <n v="480.59899999999999"/>
    <x v="1"/>
    <x v="0"/>
    <x v="1"/>
    <n v="3"/>
  </r>
  <r>
    <n v="2"/>
    <d v="2019-02-15T00:00:00"/>
    <x v="0"/>
    <n v="2084.922"/>
    <n v="2628.3809999999999"/>
    <x v="1"/>
    <x v="0"/>
    <x v="1"/>
    <n v="3"/>
  </r>
  <r>
    <n v="2"/>
    <d v="2019-02-15T00:00:00"/>
    <x v="3"/>
    <n v="0"/>
    <n v="288.49099999999999"/>
    <x v="1"/>
    <x v="0"/>
    <x v="1"/>
    <n v="3"/>
  </r>
  <r>
    <n v="2"/>
    <d v="2019-02-15T00:00:00"/>
    <x v="1"/>
    <n v="1158.444"/>
    <n v="0"/>
    <x v="1"/>
    <x v="0"/>
    <x v="1"/>
    <n v="3"/>
  </r>
  <r>
    <n v="2"/>
    <d v="2019-02-16T00:00:00"/>
    <x v="2"/>
    <n v="311.60499999999996"/>
    <n v="401.20499999999998"/>
    <x v="1"/>
    <x v="0"/>
    <x v="1"/>
    <n v="3"/>
  </r>
  <r>
    <n v="2"/>
    <d v="2019-02-16T00:00:00"/>
    <x v="0"/>
    <n v="1851.1569999999999"/>
    <n v="2588.7469999999998"/>
    <x v="1"/>
    <x v="0"/>
    <x v="1"/>
    <n v="3"/>
  </r>
  <r>
    <n v="2"/>
    <d v="2019-02-16T00:00:00"/>
    <x v="1"/>
    <n v="1063.2370000000001"/>
    <n v="0"/>
    <x v="1"/>
    <x v="0"/>
    <x v="1"/>
    <n v="3"/>
  </r>
  <r>
    <n v="2"/>
    <d v="2019-02-16T00:00:00"/>
    <x v="3"/>
    <n v="0"/>
    <n v="0"/>
    <x v="1"/>
    <x v="0"/>
    <x v="1"/>
    <n v="3"/>
  </r>
  <r>
    <n v="2"/>
    <d v="2019-02-17T00:00:00"/>
    <x v="0"/>
    <n v="848.35799999999995"/>
    <n v="1288.7279999999998"/>
    <x v="1"/>
    <x v="0"/>
    <x v="1"/>
    <n v="3"/>
  </r>
  <r>
    <n v="2"/>
    <d v="2019-02-17T00:00:00"/>
    <x v="3"/>
    <n v="0"/>
    <n v="0"/>
    <x v="1"/>
    <x v="0"/>
    <x v="1"/>
    <n v="3"/>
  </r>
  <r>
    <n v="2"/>
    <d v="2019-02-17T00:00:00"/>
    <x v="2"/>
    <n v="78.308999999999997"/>
    <n v="354.43099999999998"/>
    <x v="1"/>
    <x v="0"/>
    <x v="1"/>
    <n v="3"/>
  </r>
  <r>
    <n v="2"/>
    <d v="2019-02-17T00:00:00"/>
    <x v="1"/>
    <n v="533.17599999999993"/>
    <n v="0"/>
    <x v="1"/>
    <x v="0"/>
    <x v="1"/>
    <n v="3"/>
  </r>
  <r>
    <n v="2"/>
    <d v="2019-02-18T00:00:00"/>
    <x v="3"/>
    <n v="0"/>
    <n v="0"/>
    <x v="1"/>
    <x v="0"/>
    <x v="1"/>
    <n v="4"/>
  </r>
  <r>
    <n v="2"/>
    <d v="2019-02-18T00:00:00"/>
    <x v="0"/>
    <n v="1655.297"/>
    <n v="1749.9859999999999"/>
    <x v="1"/>
    <x v="0"/>
    <x v="1"/>
    <n v="4"/>
  </r>
  <r>
    <n v="2"/>
    <d v="2019-02-18T00:00:00"/>
    <x v="2"/>
    <n v="281.22499999999997"/>
    <n v="249.67599999999999"/>
    <x v="1"/>
    <x v="0"/>
    <x v="1"/>
    <n v="4"/>
  </r>
  <r>
    <n v="2"/>
    <d v="2019-02-18T00:00:00"/>
    <x v="1"/>
    <n v="870.68799999999987"/>
    <n v="0"/>
    <x v="1"/>
    <x v="0"/>
    <x v="1"/>
    <n v="4"/>
  </r>
  <r>
    <n v="2"/>
    <d v="2019-02-19T00:00:00"/>
    <x v="0"/>
    <n v="1584.31"/>
    <n v="1881.81"/>
    <x v="1"/>
    <x v="0"/>
    <x v="1"/>
    <n v="4"/>
  </r>
  <r>
    <n v="2"/>
    <d v="2019-02-19T00:00:00"/>
    <x v="3"/>
    <n v="187.71200000000002"/>
    <n v="0"/>
    <x v="1"/>
    <x v="0"/>
    <x v="1"/>
    <n v="4"/>
  </r>
  <r>
    <n v="2"/>
    <d v="2019-02-19T00:00:00"/>
    <x v="1"/>
    <n v="908.96399999999994"/>
    <n v="0"/>
    <x v="1"/>
    <x v="0"/>
    <x v="1"/>
    <n v="4"/>
  </r>
  <r>
    <n v="2"/>
    <d v="2019-02-19T00:00:00"/>
    <x v="2"/>
    <n v="354.858"/>
    <n v="425.06099999999998"/>
    <x v="1"/>
    <x v="0"/>
    <x v="1"/>
    <n v="4"/>
  </r>
  <r>
    <n v="2"/>
    <d v="2019-02-20T00:00:00"/>
    <x v="0"/>
    <n v="2151.6109999999999"/>
    <n v="2056.7750000000001"/>
    <x v="1"/>
    <x v="0"/>
    <x v="1"/>
    <n v="4"/>
  </r>
  <r>
    <n v="2"/>
    <d v="2019-02-20T00:00:00"/>
    <x v="1"/>
    <n v="1015.154"/>
    <n v="0"/>
    <x v="1"/>
    <x v="0"/>
    <x v="1"/>
    <n v="4"/>
  </r>
  <r>
    <n v="2"/>
    <d v="2019-02-20T00:00:00"/>
    <x v="2"/>
    <n v="303.84899999999999"/>
    <n v="369.74"/>
    <x v="1"/>
    <x v="0"/>
    <x v="1"/>
    <n v="4"/>
  </r>
  <r>
    <n v="2"/>
    <d v="2019-02-20T00:00:00"/>
    <x v="3"/>
    <n v="217.13299999999998"/>
    <n v="191.52699999999999"/>
    <x v="1"/>
    <x v="0"/>
    <x v="1"/>
    <n v="4"/>
  </r>
  <r>
    <n v="2"/>
    <d v="2019-02-21T00:00:00"/>
    <x v="1"/>
    <n v="1177.498"/>
    <n v="0"/>
    <x v="1"/>
    <x v="0"/>
    <x v="1"/>
    <n v="4"/>
  </r>
  <r>
    <n v="2"/>
    <d v="2019-02-21T00:00:00"/>
    <x v="0"/>
    <n v="1618.5329999999999"/>
    <n v="2529.163"/>
    <x v="1"/>
    <x v="0"/>
    <x v="1"/>
    <n v="4"/>
  </r>
  <r>
    <n v="2"/>
    <d v="2019-02-21T00:00:00"/>
    <x v="3"/>
    <n v="0"/>
    <n v="0"/>
    <x v="1"/>
    <x v="0"/>
    <x v="1"/>
    <n v="4"/>
  </r>
  <r>
    <n v="2"/>
    <d v="2019-02-21T00:00:00"/>
    <x v="2"/>
    <n v="241.88499999999999"/>
    <n v="234.619"/>
    <x v="1"/>
    <x v="0"/>
    <x v="1"/>
    <n v="4"/>
  </r>
  <r>
    <n v="2"/>
    <d v="2019-02-22T00:00:00"/>
    <x v="1"/>
    <n v="1461.586"/>
    <n v="0"/>
    <x v="1"/>
    <x v="0"/>
    <x v="1"/>
    <n v="4"/>
  </r>
  <r>
    <n v="2"/>
    <d v="2019-02-22T00:00:00"/>
    <x v="3"/>
    <n v="0"/>
    <n v="0"/>
    <x v="1"/>
    <x v="0"/>
    <x v="1"/>
    <n v="4"/>
  </r>
  <r>
    <n v="2"/>
    <d v="2019-02-22T00:00:00"/>
    <x v="2"/>
    <n v="464.82799999999992"/>
    <n v="463.81299999999999"/>
    <x v="1"/>
    <x v="0"/>
    <x v="1"/>
    <n v="4"/>
  </r>
  <r>
    <n v="2"/>
    <d v="2019-02-22T00:00:00"/>
    <x v="0"/>
    <n v="2718.31"/>
    <n v="2745.596"/>
    <x v="1"/>
    <x v="0"/>
    <x v="1"/>
    <n v="4"/>
  </r>
  <r>
    <n v="2"/>
    <d v="2019-02-23T00:00:00"/>
    <x v="1"/>
    <n v="863.42899999999997"/>
    <n v="0"/>
    <x v="1"/>
    <x v="0"/>
    <x v="1"/>
    <n v="4"/>
  </r>
  <r>
    <n v="2"/>
    <d v="2019-02-23T00:00:00"/>
    <x v="2"/>
    <n v="164.82899999999998"/>
    <n v="517.60800000000006"/>
    <x v="1"/>
    <x v="0"/>
    <x v="1"/>
    <n v="4"/>
  </r>
  <r>
    <n v="2"/>
    <d v="2019-02-23T00:00:00"/>
    <x v="0"/>
    <n v="2188.7529999999997"/>
    <n v="2662.3729999999996"/>
    <x v="1"/>
    <x v="0"/>
    <x v="1"/>
    <n v="4"/>
  </r>
  <r>
    <n v="2"/>
    <d v="2019-02-23T00:00:00"/>
    <x v="3"/>
    <n v="468.447"/>
    <n v="0"/>
    <x v="1"/>
    <x v="0"/>
    <x v="1"/>
    <n v="4"/>
  </r>
  <r>
    <n v="2"/>
    <d v="2019-02-24T00:00:00"/>
    <x v="3"/>
    <n v="0"/>
    <n v="0"/>
    <x v="1"/>
    <x v="0"/>
    <x v="1"/>
    <n v="4"/>
  </r>
  <r>
    <n v="2"/>
    <d v="2019-02-24T00:00:00"/>
    <x v="0"/>
    <n v="1529.808"/>
    <n v="1202.5929999999998"/>
    <x v="1"/>
    <x v="0"/>
    <x v="1"/>
    <n v="4"/>
  </r>
  <r>
    <n v="2"/>
    <d v="2019-02-24T00:00:00"/>
    <x v="2"/>
    <n v="302.96699999999998"/>
    <n v="135.14899999999997"/>
    <x v="1"/>
    <x v="0"/>
    <x v="1"/>
    <n v="4"/>
  </r>
  <r>
    <n v="2"/>
    <d v="2019-02-24T00:00:00"/>
    <x v="1"/>
    <n v="785.63099999999986"/>
    <n v="0"/>
    <x v="1"/>
    <x v="0"/>
    <x v="1"/>
    <n v="4"/>
  </r>
  <r>
    <n v="2"/>
    <d v="2019-02-25T00:00:00"/>
    <x v="2"/>
    <n v="136.24099999999999"/>
    <n v="377.32099999999997"/>
    <x v="1"/>
    <x v="0"/>
    <x v="2"/>
    <n v="1"/>
  </r>
  <r>
    <n v="2"/>
    <d v="2019-02-25T00:00:00"/>
    <x v="0"/>
    <n v="1522.1079999999999"/>
    <n v="1614.2979999999998"/>
    <x v="1"/>
    <x v="0"/>
    <x v="2"/>
    <n v="1"/>
  </r>
  <r>
    <n v="2"/>
    <d v="2019-02-25T00:00:00"/>
    <x v="3"/>
    <n v="0"/>
    <n v="0"/>
    <x v="1"/>
    <x v="0"/>
    <x v="2"/>
    <n v="1"/>
  </r>
  <r>
    <n v="2"/>
    <d v="2019-02-25T00:00:00"/>
    <x v="1"/>
    <n v="789.13099999999986"/>
    <n v="0"/>
    <x v="1"/>
    <x v="0"/>
    <x v="2"/>
    <n v="1"/>
  </r>
  <r>
    <n v="2"/>
    <d v="2019-02-26T00:00:00"/>
    <x v="1"/>
    <n v="1267.6299999999999"/>
    <n v="0"/>
    <x v="1"/>
    <x v="0"/>
    <x v="2"/>
    <n v="1"/>
  </r>
  <r>
    <n v="2"/>
    <d v="2019-02-26T00:00:00"/>
    <x v="0"/>
    <n v="1701.5740000000001"/>
    <n v="2465.8759999999997"/>
    <x v="1"/>
    <x v="0"/>
    <x v="2"/>
    <n v="1"/>
  </r>
  <r>
    <n v="2"/>
    <d v="2019-02-26T00:00:00"/>
    <x v="3"/>
    <n v="0"/>
    <n v="0"/>
    <x v="1"/>
    <x v="0"/>
    <x v="2"/>
    <n v="1"/>
  </r>
  <r>
    <n v="2"/>
    <d v="2019-02-26T00:00:00"/>
    <x v="2"/>
    <n v="292.97800000000001"/>
    <n v="323.44200000000001"/>
    <x v="1"/>
    <x v="0"/>
    <x v="2"/>
    <n v="1"/>
  </r>
  <r>
    <n v="2"/>
    <d v="2019-02-27T00:00:00"/>
    <x v="0"/>
    <n v="1548.2669999999998"/>
    <n v="2029.6499999999999"/>
    <x v="1"/>
    <x v="0"/>
    <x v="2"/>
    <n v="1"/>
  </r>
  <r>
    <n v="2"/>
    <d v="2019-02-27T00:00:00"/>
    <x v="3"/>
    <n v="169.24599999999998"/>
    <n v="829.24099999999999"/>
    <x v="1"/>
    <x v="0"/>
    <x v="2"/>
    <n v="1"/>
  </r>
  <r>
    <n v="2"/>
    <d v="2019-02-27T00:00:00"/>
    <x v="1"/>
    <n v="812.86099999999999"/>
    <n v="0"/>
    <x v="1"/>
    <x v="0"/>
    <x v="2"/>
    <n v="1"/>
  </r>
  <r>
    <n v="2"/>
    <d v="2019-02-27T00:00:00"/>
    <x v="2"/>
    <n v="383.488"/>
    <n v="324.28199999999998"/>
    <x v="1"/>
    <x v="0"/>
    <x v="2"/>
    <n v="1"/>
  </r>
  <r>
    <n v="2"/>
    <d v="2019-02-28T00:00:00"/>
    <x v="2"/>
    <n v="396.65499999999997"/>
    <n v="462.7"/>
    <x v="1"/>
    <x v="0"/>
    <x v="2"/>
    <n v="1"/>
  </r>
  <r>
    <n v="2"/>
    <d v="2019-02-28T00:00:00"/>
    <x v="0"/>
    <n v="1558.144"/>
    <n v="2241.5399999999995"/>
    <x v="1"/>
    <x v="0"/>
    <x v="2"/>
    <n v="1"/>
  </r>
  <r>
    <n v="2"/>
    <d v="2019-02-28T00:00:00"/>
    <x v="3"/>
    <n v="0"/>
    <n v="506.59699999999998"/>
    <x v="1"/>
    <x v="0"/>
    <x v="2"/>
    <n v="1"/>
  </r>
  <r>
    <n v="2"/>
    <d v="2019-02-28T00:00:00"/>
    <x v="1"/>
    <n v="1031.366"/>
    <n v="0"/>
    <x v="1"/>
    <x v="0"/>
    <x v="2"/>
    <n v="1"/>
  </r>
  <r>
    <n v="2"/>
    <d v="2019-03-01T00:00:00"/>
    <x v="0"/>
    <n v="2566.5429999999997"/>
    <n v="2530.8989999999999"/>
    <x v="1"/>
    <x v="0"/>
    <x v="2"/>
    <n v="1"/>
  </r>
  <r>
    <n v="2"/>
    <d v="2019-03-01T00:00:00"/>
    <x v="3"/>
    <n v="0"/>
    <n v="0"/>
    <x v="1"/>
    <x v="0"/>
    <x v="2"/>
    <n v="1"/>
  </r>
  <r>
    <n v="2"/>
    <d v="2019-03-01T00:00:00"/>
    <x v="1"/>
    <n v="1332.9189999999999"/>
    <n v="0"/>
    <x v="1"/>
    <x v="0"/>
    <x v="2"/>
    <n v="1"/>
  </r>
  <r>
    <n v="2"/>
    <d v="2019-03-01T00:00:00"/>
    <x v="2"/>
    <n v="628.89399999999989"/>
    <n v="836.64699999999993"/>
    <x v="1"/>
    <x v="0"/>
    <x v="2"/>
    <n v="1"/>
  </r>
  <r>
    <n v="2"/>
    <d v="2019-03-02T00:00:00"/>
    <x v="0"/>
    <n v="1989.5609999999999"/>
    <n v="2724.5539999999996"/>
    <x v="1"/>
    <x v="0"/>
    <x v="2"/>
    <n v="1"/>
  </r>
  <r>
    <n v="2"/>
    <d v="2019-03-02T00:00:00"/>
    <x v="3"/>
    <n v="0"/>
    <n v="22.028999999999996"/>
    <x v="1"/>
    <x v="0"/>
    <x v="2"/>
    <n v="1"/>
  </r>
  <r>
    <n v="2"/>
    <d v="2019-03-02T00:00:00"/>
    <x v="2"/>
    <n v="308.161"/>
    <n v="485.42199999999997"/>
    <x v="1"/>
    <x v="0"/>
    <x v="2"/>
    <n v="1"/>
  </r>
  <r>
    <n v="2"/>
    <d v="2019-03-02T00:00:00"/>
    <x v="1"/>
    <n v="987.06299999999987"/>
    <n v="0"/>
    <x v="1"/>
    <x v="0"/>
    <x v="2"/>
    <n v="1"/>
  </r>
  <r>
    <n v="2"/>
    <d v="2019-03-03T00:00:00"/>
    <x v="3"/>
    <n v="0"/>
    <n v="0"/>
    <x v="1"/>
    <x v="0"/>
    <x v="2"/>
    <n v="1"/>
  </r>
  <r>
    <n v="2"/>
    <d v="2019-03-03T00:00:00"/>
    <x v="0"/>
    <n v="1153.0260000000001"/>
    <n v="1220.4639999999999"/>
    <x v="1"/>
    <x v="0"/>
    <x v="2"/>
    <n v="1"/>
  </r>
  <r>
    <n v="2"/>
    <d v="2019-03-03T00:00:00"/>
    <x v="1"/>
    <n v="759.9129999999999"/>
    <n v="0"/>
    <x v="1"/>
    <x v="0"/>
    <x v="2"/>
    <n v="1"/>
  </r>
  <r>
    <n v="2"/>
    <d v="2019-03-03T00:00:00"/>
    <x v="2"/>
    <n v="286.39799999999997"/>
    <n v="173.684"/>
    <x v="1"/>
    <x v="0"/>
    <x v="2"/>
    <n v="1"/>
  </r>
  <r>
    <n v="2"/>
    <d v="2019-03-04T00:00:00"/>
    <x v="2"/>
    <n v="213.59799999999998"/>
    <n v="369.334"/>
    <x v="1"/>
    <x v="0"/>
    <x v="2"/>
    <n v="2"/>
  </r>
  <r>
    <n v="2"/>
    <d v="2019-03-04T00:00:00"/>
    <x v="1"/>
    <n v="864.03099999999995"/>
    <n v="0"/>
    <x v="1"/>
    <x v="0"/>
    <x v="2"/>
    <n v="2"/>
  </r>
  <r>
    <n v="2"/>
    <d v="2019-03-04T00:00:00"/>
    <x v="0"/>
    <n v="1323.0769999999998"/>
    <n v="1866.2979999999998"/>
    <x v="1"/>
    <x v="0"/>
    <x v="2"/>
    <n v="2"/>
  </r>
  <r>
    <n v="2"/>
    <d v="2019-03-04T00:00:00"/>
    <x v="3"/>
    <n v="0"/>
    <n v="0"/>
    <x v="1"/>
    <x v="0"/>
    <x v="2"/>
    <n v="2"/>
  </r>
  <r>
    <n v="2"/>
    <d v="2019-03-05T00:00:00"/>
    <x v="3"/>
    <n v="153.46099999999998"/>
    <n v="0"/>
    <x v="1"/>
    <x v="0"/>
    <x v="2"/>
    <n v="2"/>
  </r>
  <r>
    <n v="2"/>
    <d v="2019-03-05T00:00:00"/>
    <x v="2"/>
    <n v="288.267"/>
    <n v="397.25699999999995"/>
    <x v="1"/>
    <x v="0"/>
    <x v="2"/>
    <n v="2"/>
  </r>
  <r>
    <n v="2"/>
    <d v="2019-03-05T00:00:00"/>
    <x v="0"/>
    <n v="1792.1259999999997"/>
    <n v="1909.7119999999998"/>
    <x v="1"/>
    <x v="0"/>
    <x v="2"/>
    <n v="2"/>
  </r>
  <r>
    <n v="2"/>
    <d v="2019-03-05T00:00:00"/>
    <x v="1"/>
    <n v="1007.23"/>
    <n v="0"/>
    <x v="1"/>
    <x v="0"/>
    <x v="2"/>
    <n v="2"/>
  </r>
  <r>
    <n v="2"/>
    <d v="2019-03-06T00:00:00"/>
    <x v="3"/>
    <n v="0"/>
    <n v="0"/>
    <x v="1"/>
    <x v="0"/>
    <x v="2"/>
    <n v="2"/>
  </r>
  <r>
    <n v="2"/>
    <d v="2019-03-06T00:00:00"/>
    <x v="1"/>
    <n v="841.18299999999999"/>
    <n v="0"/>
    <x v="1"/>
    <x v="0"/>
    <x v="2"/>
    <n v="2"/>
  </r>
  <r>
    <n v="2"/>
    <d v="2019-03-06T00:00:00"/>
    <x v="2"/>
    <n v="207.96299999999997"/>
    <n v="554.14099999999996"/>
    <x v="1"/>
    <x v="0"/>
    <x v="2"/>
    <n v="2"/>
  </r>
  <r>
    <n v="2"/>
    <d v="2019-03-06T00:00:00"/>
    <x v="0"/>
    <n v="1674.414"/>
    <n v="2116.3869999999997"/>
    <x v="1"/>
    <x v="0"/>
    <x v="2"/>
    <n v="2"/>
  </r>
  <r>
    <n v="2"/>
    <d v="2019-03-07T00:00:00"/>
    <x v="3"/>
    <n v="507.738"/>
    <n v="0"/>
    <x v="1"/>
    <x v="0"/>
    <x v="2"/>
    <n v="2"/>
  </r>
  <r>
    <n v="2"/>
    <d v="2019-03-07T00:00:00"/>
    <x v="0"/>
    <n v="2116.6179999999999"/>
    <n v="2220.9179999999997"/>
    <x v="1"/>
    <x v="0"/>
    <x v="2"/>
    <n v="2"/>
  </r>
  <r>
    <n v="2"/>
    <d v="2019-03-07T00:00:00"/>
    <x v="1"/>
    <n v="1261.9669999999999"/>
    <n v="0"/>
    <x v="1"/>
    <x v="0"/>
    <x v="2"/>
    <n v="2"/>
  </r>
  <r>
    <n v="2"/>
    <d v="2019-03-07T00:00:00"/>
    <x v="2"/>
    <n v="404.92899999999997"/>
    <n v="270.91399999999999"/>
    <x v="1"/>
    <x v="0"/>
    <x v="2"/>
    <n v="2"/>
  </r>
  <r>
    <n v="2"/>
    <d v="2019-03-08T00:00:00"/>
    <x v="2"/>
    <n v="418.14499999999998"/>
    <n v="610.07799999999997"/>
    <x v="1"/>
    <x v="0"/>
    <x v="2"/>
    <n v="2"/>
  </r>
  <r>
    <n v="2"/>
    <d v="2019-03-08T00:00:00"/>
    <x v="1"/>
    <n v="1261.8899999999999"/>
    <n v="0"/>
    <x v="1"/>
    <x v="0"/>
    <x v="2"/>
    <n v="2"/>
  </r>
  <r>
    <n v="2"/>
    <d v="2019-03-08T00:00:00"/>
    <x v="0"/>
    <n v="2493.4490000000001"/>
    <n v="2930.0039999999999"/>
    <x v="1"/>
    <x v="0"/>
    <x v="2"/>
    <n v="2"/>
  </r>
  <r>
    <n v="2"/>
    <d v="2019-03-08T00:00:00"/>
    <x v="3"/>
    <n v="0"/>
    <n v="0"/>
    <x v="1"/>
    <x v="0"/>
    <x v="2"/>
    <n v="2"/>
  </r>
  <r>
    <n v="2"/>
    <d v="2019-03-09T00:00:00"/>
    <x v="1"/>
    <n v="1064.252"/>
    <n v="0"/>
    <x v="1"/>
    <x v="0"/>
    <x v="2"/>
    <n v="2"/>
  </r>
  <r>
    <n v="2"/>
    <d v="2019-03-09T00:00:00"/>
    <x v="2"/>
    <n v="401.49199999999996"/>
    <n v="445.79500000000002"/>
    <x v="1"/>
    <x v="0"/>
    <x v="2"/>
    <n v="2"/>
  </r>
  <r>
    <n v="2"/>
    <d v="2019-03-09T00:00:00"/>
    <x v="0"/>
    <n v="1917.7479999999998"/>
    <n v="2641.4639999999999"/>
    <x v="1"/>
    <x v="0"/>
    <x v="2"/>
    <n v="2"/>
  </r>
  <r>
    <n v="2"/>
    <d v="2019-03-09T00:00:00"/>
    <x v="3"/>
    <n v="0"/>
    <n v="0"/>
    <x v="1"/>
    <x v="0"/>
    <x v="2"/>
    <n v="2"/>
  </r>
  <r>
    <n v="2"/>
    <d v="2019-03-10T00:00:00"/>
    <x v="0"/>
    <n v="1207.297"/>
    <n v="1304.933"/>
    <x v="1"/>
    <x v="0"/>
    <x v="2"/>
    <n v="2"/>
  </r>
  <r>
    <n v="2"/>
    <d v="2019-03-10T00:00:00"/>
    <x v="3"/>
    <n v="0"/>
    <n v="80.64"/>
    <x v="1"/>
    <x v="0"/>
    <x v="2"/>
    <n v="2"/>
  </r>
  <r>
    <n v="2"/>
    <d v="2019-03-10T00:00:00"/>
    <x v="1"/>
    <n v="804.923"/>
    <n v="0"/>
    <x v="1"/>
    <x v="0"/>
    <x v="2"/>
    <n v="2"/>
  </r>
  <r>
    <n v="2"/>
    <d v="2019-03-10T00:00:00"/>
    <x v="2"/>
    <n v="359.09299999999996"/>
    <n v="183.44899999999998"/>
    <x v="1"/>
    <x v="0"/>
    <x v="2"/>
    <n v="2"/>
  </r>
  <r>
    <n v="2"/>
    <d v="2019-03-11T00:00:00"/>
    <x v="2"/>
    <n v="128.39399999999998"/>
    <n v="286.96499999999997"/>
    <x v="1"/>
    <x v="0"/>
    <x v="2"/>
    <n v="3"/>
  </r>
  <r>
    <n v="2"/>
    <d v="2019-03-11T00:00:00"/>
    <x v="1"/>
    <n v="772.61099999999999"/>
    <n v="0"/>
    <x v="1"/>
    <x v="0"/>
    <x v="2"/>
    <n v="3"/>
  </r>
  <r>
    <n v="2"/>
    <d v="2019-03-11T00:00:00"/>
    <x v="0"/>
    <n v="1652.8539999999998"/>
    <n v="1670.1089999999999"/>
    <x v="1"/>
    <x v="0"/>
    <x v="2"/>
    <n v="3"/>
  </r>
  <r>
    <n v="2"/>
    <d v="2019-03-11T00:00:00"/>
    <x v="3"/>
    <n v="191.56899999999999"/>
    <n v="146.85999999999999"/>
    <x v="1"/>
    <x v="0"/>
    <x v="2"/>
    <n v="3"/>
  </r>
  <r>
    <n v="2"/>
    <d v="2019-03-12T00:00:00"/>
    <x v="2"/>
    <n v="232.34399999999999"/>
    <n v="524.77599999999995"/>
    <x v="1"/>
    <x v="0"/>
    <x v="2"/>
    <n v="3"/>
  </r>
  <r>
    <n v="2"/>
    <d v="2019-03-12T00:00:00"/>
    <x v="0"/>
    <n v="1915.655"/>
    <n v="2093.364"/>
    <x v="1"/>
    <x v="0"/>
    <x v="2"/>
    <n v="3"/>
  </r>
  <r>
    <n v="2"/>
    <d v="2019-03-12T00:00:00"/>
    <x v="3"/>
    <n v="135.39399999999998"/>
    <n v="0"/>
    <x v="1"/>
    <x v="0"/>
    <x v="2"/>
    <n v="3"/>
  </r>
  <r>
    <n v="2"/>
    <d v="2019-03-12T00:00:00"/>
    <x v="1"/>
    <n v="1023.05"/>
    <n v="0"/>
    <x v="1"/>
    <x v="0"/>
    <x v="2"/>
    <n v="3"/>
  </r>
  <r>
    <n v="2"/>
    <d v="2019-03-13T00:00:00"/>
    <x v="1"/>
    <n v="936.12399999999991"/>
    <n v="0"/>
    <x v="1"/>
    <x v="0"/>
    <x v="2"/>
    <n v="3"/>
  </r>
  <r>
    <n v="2"/>
    <d v="2019-03-13T00:00:00"/>
    <x v="3"/>
    <n v="0"/>
    <n v="226.91899999999998"/>
    <x v="1"/>
    <x v="0"/>
    <x v="2"/>
    <n v="3"/>
  </r>
  <r>
    <n v="2"/>
    <d v="2019-03-13T00:00:00"/>
    <x v="2"/>
    <n v="385.83300000000003"/>
    <n v="295.30199999999996"/>
    <x v="1"/>
    <x v="0"/>
    <x v="2"/>
    <n v="3"/>
  </r>
  <r>
    <n v="2"/>
    <d v="2019-03-13T00:00:00"/>
    <x v="0"/>
    <n v="1598.1699999999998"/>
    <n v="2134.9649999999997"/>
    <x v="1"/>
    <x v="0"/>
    <x v="2"/>
    <n v="3"/>
  </r>
  <r>
    <n v="2"/>
    <d v="2019-03-14T00:00:00"/>
    <x v="2"/>
    <n v="254.27499999999998"/>
    <n v="504.53899999999993"/>
    <x v="1"/>
    <x v="0"/>
    <x v="2"/>
    <n v="3"/>
  </r>
  <r>
    <n v="2"/>
    <d v="2019-03-14T00:00:00"/>
    <x v="3"/>
    <n v="0"/>
    <n v="0"/>
    <x v="1"/>
    <x v="0"/>
    <x v="2"/>
    <n v="3"/>
  </r>
  <r>
    <n v="2"/>
    <d v="2019-03-14T00:00:00"/>
    <x v="0"/>
    <n v="1882.902"/>
    <n v="2497.9639999999999"/>
    <x v="1"/>
    <x v="0"/>
    <x v="2"/>
    <n v="3"/>
  </r>
  <r>
    <n v="2"/>
    <d v="2019-03-14T00:00:00"/>
    <x v="1"/>
    <n v="1074.3879999999999"/>
    <n v="0"/>
    <x v="1"/>
    <x v="0"/>
    <x v="2"/>
    <n v="3"/>
  </r>
  <r>
    <n v="2"/>
    <d v="2019-03-15T00:00:00"/>
    <x v="3"/>
    <n v="0"/>
    <n v="0"/>
    <x v="1"/>
    <x v="0"/>
    <x v="2"/>
    <n v="3"/>
  </r>
  <r>
    <n v="2"/>
    <d v="2019-03-15T00:00:00"/>
    <x v="1"/>
    <n v="1357.0619999999999"/>
    <n v="0"/>
    <x v="1"/>
    <x v="0"/>
    <x v="2"/>
    <n v="3"/>
  </r>
  <r>
    <n v="2"/>
    <d v="2019-03-15T00:00:00"/>
    <x v="2"/>
    <n v="360.56299999999999"/>
    <n v="568.53300000000002"/>
    <x v="1"/>
    <x v="0"/>
    <x v="2"/>
    <n v="3"/>
  </r>
  <r>
    <n v="2"/>
    <d v="2019-03-15T00:00:00"/>
    <x v="0"/>
    <n v="2475.6059999999998"/>
    <n v="2944.9700000000003"/>
    <x v="1"/>
    <x v="0"/>
    <x v="2"/>
    <n v="3"/>
  </r>
  <r>
    <n v="2"/>
    <d v="2019-03-16T00:00:00"/>
    <x v="0"/>
    <n v="2270.4919999999997"/>
    <n v="2514.0429999999997"/>
    <x v="1"/>
    <x v="0"/>
    <x v="2"/>
    <n v="3"/>
  </r>
  <r>
    <n v="2"/>
    <d v="2019-03-16T00:00:00"/>
    <x v="3"/>
    <n v="163.64599999999999"/>
    <n v="0"/>
    <x v="1"/>
    <x v="0"/>
    <x v="2"/>
    <n v="3"/>
  </r>
  <r>
    <n v="2"/>
    <d v="2019-03-16T00:00:00"/>
    <x v="2"/>
    <n v="258.38400000000001"/>
    <n v="479.34599999999995"/>
    <x v="1"/>
    <x v="0"/>
    <x v="2"/>
    <n v="3"/>
  </r>
  <r>
    <n v="2"/>
    <d v="2019-03-16T00:00:00"/>
    <x v="1"/>
    <n v="1166.1299999999999"/>
    <n v="0"/>
    <x v="1"/>
    <x v="0"/>
    <x v="2"/>
    <n v="3"/>
  </r>
  <r>
    <n v="2"/>
    <d v="2019-03-17T00:00:00"/>
    <x v="2"/>
    <n v="82.914999999999992"/>
    <n v="379.98099999999999"/>
    <x v="1"/>
    <x v="0"/>
    <x v="2"/>
    <n v="3"/>
  </r>
  <r>
    <n v="2"/>
    <d v="2019-03-17T00:00:00"/>
    <x v="0"/>
    <n v="1348.5989999999999"/>
    <n v="1406.9649999999999"/>
    <x v="1"/>
    <x v="0"/>
    <x v="2"/>
    <n v="3"/>
  </r>
  <r>
    <n v="2"/>
    <d v="2019-03-17T00:00:00"/>
    <x v="3"/>
    <n v="38.359999999999992"/>
    <n v="161.54599999999999"/>
    <x v="1"/>
    <x v="0"/>
    <x v="2"/>
    <n v="3"/>
  </r>
  <r>
    <n v="2"/>
    <d v="2019-03-17T00:00:00"/>
    <x v="1"/>
    <n v="680.93899999999996"/>
    <n v="0"/>
    <x v="1"/>
    <x v="0"/>
    <x v="2"/>
    <n v="3"/>
  </r>
  <r>
    <n v="2"/>
    <d v="2019-03-18T00:00:00"/>
    <x v="3"/>
    <n v="0"/>
    <n v="0"/>
    <x v="1"/>
    <x v="0"/>
    <x v="2"/>
    <n v="4"/>
  </r>
  <r>
    <n v="2"/>
    <d v="2019-03-18T00:00:00"/>
    <x v="0"/>
    <n v="1238.4749999999999"/>
    <n v="1880.3889999999999"/>
    <x v="1"/>
    <x v="0"/>
    <x v="2"/>
    <n v="4"/>
  </r>
  <r>
    <n v="2"/>
    <d v="2019-03-18T00:00:00"/>
    <x v="1"/>
    <n v="897.47699999999986"/>
    <n v="0"/>
    <x v="1"/>
    <x v="0"/>
    <x v="2"/>
    <n v="4"/>
  </r>
  <r>
    <n v="2"/>
    <d v="2019-03-18T00:00:00"/>
    <x v="2"/>
    <n v="174.88800000000001"/>
    <n v="525.01400000000001"/>
    <x v="1"/>
    <x v="0"/>
    <x v="2"/>
    <n v="4"/>
  </r>
  <r>
    <n v="2"/>
    <d v="2019-03-19T00:00:00"/>
    <x v="2"/>
    <n v="656.10299999999995"/>
    <n v="548.77199999999993"/>
    <x v="1"/>
    <x v="0"/>
    <x v="2"/>
    <n v="4"/>
  </r>
  <r>
    <n v="2"/>
    <d v="2019-03-19T00:00:00"/>
    <x v="0"/>
    <n v="1917.7549999999999"/>
    <n v="2070.2919999999999"/>
    <x v="1"/>
    <x v="0"/>
    <x v="2"/>
    <n v="4"/>
  </r>
  <r>
    <n v="2"/>
    <d v="2019-03-19T00:00:00"/>
    <x v="3"/>
    <n v="31.597999999999999"/>
    <n v="0"/>
    <x v="1"/>
    <x v="0"/>
    <x v="2"/>
    <n v="4"/>
  </r>
  <r>
    <n v="2"/>
    <d v="2019-03-19T00:00:00"/>
    <x v="1"/>
    <n v="1032.08"/>
    <n v="0"/>
    <x v="1"/>
    <x v="0"/>
    <x v="2"/>
    <n v="4"/>
  </r>
  <r>
    <n v="2"/>
    <d v="2019-03-20T00:00:00"/>
    <x v="3"/>
    <n v="211.56100000000001"/>
    <n v="0"/>
    <x v="1"/>
    <x v="0"/>
    <x v="2"/>
    <n v="4"/>
  </r>
  <r>
    <n v="2"/>
    <d v="2019-03-20T00:00:00"/>
    <x v="2"/>
    <n v="263.83"/>
    <n v="132.74099999999999"/>
    <x v="1"/>
    <x v="0"/>
    <x v="2"/>
    <n v="4"/>
  </r>
  <r>
    <n v="2"/>
    <d v="2019-03-20T00:00:00"/>
    <x v="0"/>
    <n v="1473.7380000000001"/>
    <n v="2287.7749999999996"/>
    <x v="1"/>
    <x v="0"/>
    <x v="2"/>
    <n v="4"/>
  </r>
  <r>
    <n v="2"/>
    <d v="2019-03-20T00:00:00"/>
    <x v="1"/>
    <n v="964.48799999999983"/>
    <n v="0"/>
    <x v="1"/>
    <x v="0"/>
    <x v="2"/>
    <n v="4"/>
  </r>
  <r>
    <n v="2"/>
    <d v="2019-03-21T00:00:00"/>
    <x v="0"/>
    <n v="1644.16"/>
    <n v="2485.721"/>
    <x v="1"/>
    <x v="0"/>
    <x v="2"/>
    <n v="4"/>
  </r>
  <r>
    <n v="2"/>
    <d v="2019-03-21T00:00:00"/>
    <x v="1"/>
    <n v="1045.3589999999999"/>
    <n v="0"/>
    <x v="1"/>
    <x v="0"/>
    <x v="2"/>
    <n v="4"/>
  </r>
  <r>
    <n v="2"/>
    <d v="2019-03-21T00:00:00"/>
    <x v="3"/>
    <n v="0"/>
    <n v="0"/>
    <x v="1"/>
    <x v="0"/>
    <x v="2"/>
    <n v="4"/>
  </r>
  <r>
    <n v="2"/>
    <d v="2019-03-21T00:00:00"/>
    <x v="2"/>
    <n v="417.46599999999995"/>
    <n v="308.30099999999999"/>
    <x v="1"/>
    <x v="0"/>
    <x v="2"/>
    <n v="4"/>
  </r>
  <r>
    <n v="2"/>
    <d v="2019-03-22T00:00:00"/>
    <x v="3"/>
    <n v="0"/>
    <n v="176.54"/>
    <x v="1"/>
    <x v="0"/>
    <x v="2"/>
    <n v="4"/>
  </r>
  <r>
    <n v="2"/>
    <d v="2019-03-22T00:00:00"/>
    <x v="1"/>
    <n v="1283.6669999999999"/>
    <n v="0"/>
    <x v="1"/>
    <x v="0"/>
    <x v="2"/>
    <n v="4"/>
  </r>
  <r>
    <n v="2"/>
    <d v="2019-03-22T00:00:00"/>
    <x v="2"/>
    <n v="502.60699999999997"/>
    <n v="550.05299999999988"/>
    <x v="1"/>
    <x v="0"/>
    <x v="2"/>
    <n v="4"/>
  </r>
  <r>
    <n v="2"/>
    <d v="2019-03-22T00:00:00"/>
    <x v="0"/>
    <n v="2041.3539999999998"/>
    <n v="2686.4459999999999"/>
    <x v="1"/>
    <x v="0"/>
    <x v="2"/>
    <n v="4"/>
  </r>
  <r>
    <n v="2"/>
    <d v="2019-03-23T00:00:00"/>
    <x v="3"/>
    <n v="0"/>
    <n v="0"/>
    <x v="1"/>
    <x v="0"/>
    <x v="2"/>
    <n v="4"/>
  </r>
  <r>
    <n v="2"/>
    <d v="2019-03-23T00:00:00"/>
    <x v="2"/>
    <n v="357.82599999999996"/>
    <n v="454.77599999999995"/>
    <x v="1"/>
    <x v="0"/>
    <x v="2"/>
    <n v="4"/>
  </r>
  <r>
    <n v="2"/>
    <d v="2019-03-23T00:00:00"/>
    <x v="0"/>
    <n v="2539.1169999999997"/>
    <n v="2468.9490000000001"/>
    <x v="1"/>
    <x v="0"/>
    <x v="2"/>
    <n v="4"/>
  </r>
  <r>
    <n v="2"/>
    <d v="2019-03-23T00:00:00"/>
    <x v="1"/>
    <n v="1138.424"/>
    <n v="0"/>
    <x v="1"/>
    <x v="0"/>
    <x v="2"/>
    <n v="4"/>
  </r>
  <r>
    <n v="2"/>
    <d v="2019-03-24T00:00:00"/>
    <x v="0"/>
    <n v="1336.6849999999999"/>
    <n v="1502.3820000000001"/>
    <x v="1"/>
    <x v="0"/>
    <x v="2"/>
    <n v="4"/>
  </r>
  <r>
    <n v="2"/>
    <d v="2019-03-24T00:00:00"/>
    <x v="1"/>
    <n v="588.67200000000003"/>
    <n v="0"/>
    <x v="1"/>
    <x v="0"/>
    <x v="2"/>
    <n v="4"/>
  </r>
  <r>
    <n v="2"/>
    <d v="2019-03-24T00:00:00"/>
    <x v="3"/>
    <n v="0"/>
    <n v="0"/>
    <x v="1"/>
    <x v="0"/>
    <x v="2"/>
    <n v="4"/>
  </r>
  <r>
    <n v="2"/>
    <d v="2019-03-24T00:00:00"/>
    <x v="2"/>
    <n v="282.01599999999996"/>
    <n v="402.03100000000001"/>
    <x v="1"/>
    <x v="0"/>
    <x v="2"/>
    <n v="4"/>
  </r>
  <r>
    <n v="2"/>
    <d v="2019-03-25T00:00:00"/>
    <x v="1"/>
    <n v="997.43700000000001"/>
    <n v="0"/>
    <x v="1"/>
    <x v="0"/>
    <x v="2"/>
    <n v="5"/>
  </r>
  <r>
    <n v="2"/>
    <d v="2019-03-25T00:00:00"/>
    <x v="0"/>
    <n v="1544.48"/>
    <n v="1445.6189999999999"/>
    <x v="1"/>
    <x v="0"/>
    <x v="2"/>
    <n v="5"/>
  </r>
  <r>
    <n v="2"/>
    <d v="2019-03-25T00:00:00"/>
    <x v="2"/>
    <n v="228.809"/>
    <n v="442.51199999999994"/>
    <x v="1"/>
    <x v="0"/>
    <x v="2"/>
    <n v="5"/>
  </r>
  <r>
    <n v="2"/>
    <d v="2019-03-25T00:00:00"/>
    <x v="3"/>
    <n v="0"/>
    <n v="0"/>
    <x v="1"/>
    <x v="0"/>
    <x v="2"/>
    <n v="5"/>
  </r>
  <r>
    <n v="2"/>
    <d v="2019-03-26T00:00:00"/>
    <x v="0"/>
    <n v="1801.3799999999999"/>
    <n v="2163.6859999999997"/>
    <x v="1"/>
    <x v="0"/>
    <x v="2"/>
    <n v="5"/>
  </r>
  <r>
    <n v="2"/>
    <d v="2019-03-26T00:00:00"/>
    <x v="1"/>
    <n v="1052.9959999999999"/>
    <n v="0"/>
    <x v="1"/>
    <x v="0"/>
    <x v="2"/>
    <n v="5"/>
  </r>
  <r>
    <n v="2"/>
    <d v="2019-03-26T00:00:00"/>
    <x v="3"/>
    <n v="0"/>
    <n v="157.68899999999999"/>
    <x v="1"/>
    <x v="0"/>
    <x v="2"/>
    <n v="5"/>
  </r>
  <r>
    <n v="2"/>
    <d v="2019-03-26T00:00:00"/>
    <x v="2"/>
    <n v="226.91200000000001"/>
    <n v="383.45299999999997"/>
    <x v="1"/>
    <x v="0"/>
    <x v="2"/>
    <n v="5"/>
  </r>
  <r>
    <n v="2"/>
    <d v="2019-03-27T00:00:00"/>
    <x v="3"/>
    <n v="319.536"/>
    <n v="0"/>
    <x v="1"/>
    <x v="0"/>
    <x v="2"/>
    <n v="5"/>
  </r>
  <r>
    <n v="2"/>
    <d v="2019-03-27T00:00:00"/>
    <x v="1"/>
    <n v="1019.83"/>
    <n v="0"/>
    <x v="1"/>
    <x v="0"/>
    <x v="2"/>
    <n v="5"/>
  </r>
  <r>
    <n v="2"/>
    <d v="2019-03-27T00:00:00"/>
    <x v="0"/>
    <n v="1728.5869999999998"/>
    <n v="2495.5210000000002"/>
    <x v="1"/>
    <x v="0"/>
    <x v="2"/>
    <n v="5"/>
  </r>
  <r>
    <n v="2"/>
    <d v="2019-03-27T00:00:00"/>
    <x v="2"/>
    <n v="379.95999999999992"/>
    <n v="385.64399999999995"/>
    <x v="1"/>
    <x v="0"/>
    <x v="2"/>
    <n v="5"/>
  </r>
  <r>
    <n v="2"/>
    <d v="2019-03-28T00:00:00"/>
    <x v="2"/>
    <n v="281.33699999999999"/>
    <n v="305.54300000000001"/>
    <x v="1"/>
    <x v="0"/>
    <x v="2"/>
    <n v="5"/>
  </r>
  <r>
    <n v="2"/>
    <d v="2019-03-28T00:00:00"/>
    <x v="1"/>
    <n v="1319.4859999999999"/>
    <n v="0"/>
    <x v="1"/>
    <x v="0"/>
    <x v="2"/>
    <n v="5"/>
  </r>
  <r>
    <n v="2"/>
    <d v="2019-03-28T00:00:00"/>
    <x v="3"/>
    <n v="0"/>
    <n v="0"/>
    <x v="1"/>
    <x v="0"/>
    <x v="2"/>
    <n v="5"/>
  </r>
  <r>
    <n v="2"/>
    <d v="2019-03-28T00:00:00"/>
    <x v="0"/>
    <n v="2173.5070000000001"/>
    <n v="2137.8490000000002"/>
    <x v="1"/>
    <x v="0"/>
    <x v="2"/>
    <n v="5"/>
  </r>
  <r>
    <n v="2"/>
    <d v="2019-03-29T00:00:00"/>
    <x v="0"/>
    <n v="2187.1779999999999"/>
    <n v="2518.2779999999998"/>
    <x v="1"/>
    <x v="0"/>
    <x v="2"/>
    <n v="5"/>
  </r>
  <r>
    <n v="2"/>
    <d v="2019-03-29T00:00:00"/>
    <x v="3"/>
    <n v="303.17"/>
    <n v="0"/>
    <x v="1"/>
    <x v="0"/>
    <x v="2"/>
    <n v="5"/>
  </r>
  <r>
    <n v="2"/>
    <d v="2019-03-29T00:00:00"/>
    <x v="1"/>
    <n v="1111.1029999999998"/>
    <n v="0"/>
    <x v="1"/>
    <x v="0"/>
    <x v="2"/>
    <n v="5"/>
  </r>
  <r>
    <n v="2"/>
    <d v="2019-03-29T00:00:00"/>
    <x v="2"/>
    <n v="472.59799999999996"/>
    <n v="443.83499999999992"/>
    <x v="1"/>
    <x v="0"/>
    <x v="2"/>
    <n v="5"/>
  </r>
  <r>
    <n v="2"/>
    <d v="2019-03-30T00:00:00"/>
    <x v="0"/>
    <n v="2383.8359999999998"/>
    <n v="2772.3849999999998"/>
    <x v="1"/>
    <x v="0"/>
    <x v="2"/>
    <n v="5"/>
  </r>
  <r>
    <n v="2"/>
    <d v="2019-03-30T00:00:00"/>
    <x v="2"/>
    <n v="444.48599999999999"/>
    <n v="504.07"/>
    <x v="1"/>
    <x v="0"/>
    <x v="2"/>
    <n v="5"/>
  </r>
  <r>
    <n v="2"/>
    <d v="2019-03-30T00:00:00"/>
    <x v="1"/>
    <n v="925.58199999999988"/>
    <n v="0"/>
    <x v="1"/>
    <x v="0"/>
    <x v="2"/>
    <n v="5"/>
  </r>
  <r>
    <n v="2"/>
    <d v="2019-03-30T00:00:00"/>
    <x v="3"/>
    <n v="0"/>
    <n v="141.589"/>
    <x v="1"/>
    <x v="0"/>
    <x v="2"/>
    <n v="5"/>
  </r>
  <r>
    <n v="2"/>
    <d v="2019-03-31T00:00:00"/>
    <x v="3"/>
    <n v="0"/>
    <n v="0"/>
    <x v="1"/>
    <x v="0"/>
    <x v="2"/>
    <n v="5"/>
  </r>
  <r>
    <n v="2"/>
    <d v="2019-03-31T00:00:00"/>
    <x v="2"/>
    <n v="299.71899999999999"/>
    <n v="146.85299999999998"/>
    <x v="1"/>
    <x v="0"/>
    <x v="2"/>
    <n v="5"/>
  </r>
  <r>
    <n v="2"/>
    <d v="2019-03-31T00:00:00"/>
    <x v="0"/>
    <n v="1418.711"/>
    <n v="1538.999"/>
    <x v="1"/>
    <x v="0"/>
    <x v="2"/>
    <n v="5"/>
  </r>
  <r>
    <n v="2"/>
    <d v="2019-03-31T00:00:00"/>
    <x v="1"/>
    <n v="758.61099999999999"/>
    <n v="0"/>
    <x v="1"/>
    <x v="0"/>
    <x v="2"/>
    <n v="5"/>
  </r>
  <r>
    <n v="2"/>
    <d v="2019-04-01T00:00:00"/>
    <x v="2"/>
    <n v="336.12599999999998"/>
    <n v="364.81899999999996"/>
    <x v="1"/>
    <x v="0"/>
    <x v="3"/>
    <n v="1"/>
  </r>
  <r>
    <n v="2"/>
    <d v="2019-04-01T00:00:00"/>
    <x v="0"/>
    <n v="1223.18"/>
    <n v="1778.203"/>
    <x v="1"/>
    <x v="0"/>
    <x v="3"/>
    <n v="1"/>
  </r>
  <r>
    <n v="2"/>
    <d v="2019-04-01T00:00:00"/>
    <x v="3"/>
    <n v="0"/>
    <n v="0"/>
    <x v="1"/>
    <x v="0"/>
    <x v="3"/>
    <n v="1"/>
  </r>
  <r>
    <n v="2"/>
    <d v="2019-04-01T00:00:00"/>
    <x v="1"/>
    <n v="1125.9849999999999"/>
    <n v="0"/>
    <x v="1"/>
    <x v="0"/>
    <x v="3"/>
    <n v="1"/>
  </r>
  <r>
    <n v="2"/>
    <d v="2019-04-02T00:00:00"/>
    <x v="0"/>
    <n v="1482.3899999999999"/>
    <n v="2053.0369999999998"/>
    <x v="1"/>
    <x v="0"/>
    <x v="3"/>
    <n v="1"/>
  </r>
  <r>
    <n v="2"/>
    <d v="2019-04-02T00:00:00"/>
    <x v="3"/>
    <n v="0"/>
    <n v="161.54599999999999"/>
    <x v="1"/>
    <x v="0"/>
    <x v="3"/>
    <n v="1"/>
  </r>
  <r>
    <n v="2"/>
    <d v="2019-04-02T00:00:00"/>
    <x v="1"/>
    <n v="1114.386"/>
    <n v="0"/>
    <x v="1"/>
    <x v="0"/>
    <x v="3"/>
    <n v="1"/>
  </r>
  <r>
    <n v="2"/>
    <d v="2019-04-02T00:00:00"/>
    <x v="2"/>
    <n v="431.98399999999998"/>
    <n v="450.91899999999993"/>
    <x v="1"/>
    <x v="0"/>
    <x v="3"/>
    <n v="1"/>
  </r>
  <r>
    <n v="2"/>
    <d v="2019-04-03T00:00:00"/>
    <x v="0"/>
    <n v="1705.5710000000001"/>
    <n v="2174.3609999999999"/>
    <x v="1"/>
    <x v="0"/>
    <x v="3"/>
    <n v="1"/>
  </r>
  <r>
    <n v="2"/>
    <d v="2019-04-03T00:00:00"/>
    <x v="2"/>
    <n v="164.64699999999999"/>
    <n v="397.69099999999997"/>
    <x v="1"/>
    <x v="0"/>
    <x v="3"/>
    <n v="1"/>
  </r>
  <r>
    <n v="2"/>
    <d v="2019-04-03T00:00:00"/>
    <x v="1"/>
    <n v="1097.5999999999999"/>
    <n v="0"/>
    <x v="1"/>
    <x v="0"/>
    <x v="3"/>
    <n v="1"/>
  </r>
  <r>
    <n v="2"/>
    <d v="2019-04-03T00:00:00"/>
    <x v="3"/>
    <n v="221.35400000000001"/>
    <n v="0"/>
    <x v="1"/>
    <x v="0"/>
    <x v="3"/>
    <n v="1"/>
  </r>
  <r>
    <n v="2"/>
    <d v="2019-04-04T00:00:00"/>
    <x v="0"/>
    <n v="2046.4079999999999"/>
    <n v="3242.3859999999995"/>
    <x v="1"/>
    <x v="0"/>
    <x v="3"/>
    <n v="1"/>
  </r>
  <r>
    <n v="2"/>
    <d v="2019-04-04T00:00:00"/>
    <x v="1"/>
    <n v="1096.7389999999998"/>
    <n v="0"/>
    <x v="1"/>
    <x v="0"/>
    <x v="3"/>
    <n v="1"/>
  </r>
  <r>
    <n v="2"/>
    <d v="2019-04-04T00:00:00"/>
    <x v="2"/>
    <n v="506.11399999999998"/>
    <n v="549.12199999999996"/>
    <x v="1"/>
    <x v="0"/>
    <x v="3"/>
    <n v="1"/>
  </r>
  <r>
    <n v="2"/>
    <d v="2019-04-04T00:00:00"/>
    <x v="3"/>
    <n v="0"/>
    <n v="223.083"/>
    <x v="1"/>
    <x v="0"/>
    <x v="3"/>
    <n v="1"/>
  </r>
  <r>
    <n v="2"/>
    <d v="2019-04-05T00:00:00"/>
    <x v="2"/>
    <n v="463.37899999999996"/>
    <n v="635.84500000000003"/>
    <x v="1"/>
    <x v="0"/>
    <x v="3"/>
    <n v="1"/>
  </r>
  <r>
    <n v="2"/>
    <d v="2019-04-05T00:00:00"/>
    <x v="3"/>
    <n v="0"/>
    <n v="371.245"/>
    <x v="1"/>
    <x v="0"/>
    <x v="3"/>
    <n v="1"/>
  </r>
  <r>
    <n v="2"/>
    <d v="2019-04-05T00:00:00"/>
    <x v="0"/>
    <n v="2565.6959999999999"/>
    <n v="2706.6479999999997"/>
    <x v="1"/>
    <x v="0"/>
    <x v="3"/>
    <n v="1"/>
  </r>
  <r>
    <n v="2"/>
    <d v="2019-04-05T00:00:00"/>
    <x v="1"/>
    <n v="1166.711"/>
    <n v="0"/>
    <x v="1"/>
    <x v="0"/>
    <x v="3"/>
    <n v="1"/>
  </r>
  <r>
    <n v="2"/>
    <d v="2019-04-06T00:00:00"/>
    <x v="3"/>
    <n v="16.744"/>
    <n v="7.6859999999999999"/>
    <x v="1"/>
    <x v="0"/>
    <x v="3"/>
    <n v="1"/>
  </r>
  <r>
    <n v="2"/>
    <d v="2019-04-06T00:00:00"/>
    <x v="2"/>
    <n v="315.04199999999997"/>
    <n v="575.89699999999993"/>
    <x v="1"/>
    <x v="0"/>
    <x v="3"/>
    <n v="1"/>
  </r>
  <r>
    <n v="2"/>
    <d v="2019-04-06T00:00:00"/>
    <x v="0"/>
    <n v="2678.9490000000001"/>
    <n v="2205.2660000000001"/>
    <x v="1"/>
    <x v="0"/>
    <x v="3"/>
    <n v="1"/>
  </r>
  <r>
    <n v="2"/>
    <d v="2019-04-06T00:00:00"/>
    <x v="1"/>
    <n v="1163.6309999999999"/>
    <n v="0"/>
    <x v="1"/>
    <x v="0"/>
    <x v="3"/>
    <n v="1"/>
  </r>
  <r>
    <n v="2"/>
    <d v="2019-04-07T00:00:00"/>
    <x v="3"/>
    <n v="206.96200000000002"/>
    <n v="0"/>
    <x v="1"/>
    <x v="0"/>
    <x v="3"/>
    <n v="1"/>
  </r>
  <r>
    <n v="2"/>
    <d v="2019-04-07T00:00:00"/>
    <x v="2"/>
    <n v="220.80099999999999"/>
    <n v="209.79699999999997"/>
    <x v="1"/>
    <x v="0"/>
    <x v="3"/>
    <n v="1"/>
  </r>
  <r>
    <n v="2"/>
    <d v="2019-04-07T00:00:00"/>
    <x v="1"/>
    <n v="822.21999999999991"/>
    <n v="0"/>
    <x v="1"/>
    <x v="0"/>
    <x v="3"/>
    <n v="1"/>
  </r>
  <r>
    <n v="2"/>
    <d v="2019-04-07T00:00:00"/>
    <x v="0"/>
    <n v="1170.5260000000001"/>
    <n v="1496.2570000000001"/>
    <x v="1"/>
    <x v="0"/>
    <x v="3"/>
    <n v="1"/>
  </r>
  <r>
    <n v="2"/>
    <d v="2019-04-08T00:00:00"/>
    <x v="3"/>
    <n v="126.931"/>
    <n v="0"/>
    <x v="1"/>
    <x v="0"/>
    <x v="3"/>
    <n v="2"/>
  </r>
  <r>
    <n v="2"/>
    <d v="2019-04-08T00:00:00"/>
    <x v="1"/>
    <n v="955.29"/>
    <n v="0"/>
    <x v="1"/>
    <x v="0"/>
    <x v="3"/>
    <n v="2"/>
  </r>
  <r>
    <n v="2"/>
    <d v="2019-04-08T00:00:00"/>
    <x v="0"/>
    <n v="1953.2029999999997"/>
    <n v="1539.9649999999997"/>
    <x v="1"/>
    <x v="0"/>
    <x v="3"/>
    <n v="2"/>
  </r>
  <r>
    <n v="2"/>
    <d v="2019-04-08T00:00:00"/>
    <x v="2"/>
    <n v="189.28700000000001"/>
    <n v="441.61599999999999"/>
    <x v="1"/>
    <x v="0"/>
    <x v="3"/>
    <n v="2"/>
  </r>
  <r>
    <n v="2"/>
    <d v="2019-04-09T00:00:00"/>
    <x v="2"/>
    <n v="273.18199999999996"/>
    <n v="346.01"/>
    <x v="1"/>
    <x v="0"/>
    <x v="3"/>
    <n v="2"/>
  </r>
  <r>
    <n v="2"/>
    <d v="2019-04-09T00:00:00"/>
    <x v="0"/>
    <n v="1781.8710000000001"/>
    <n v="2219.2169999999996"/>
    <x v="1"/>
    <x v="0"/>
    <x v="3"/>
    <n v="2"/>
  </r>
  <r>
    <n v="2"/>
    <d v="2019-04-09T00:00:00"/>
    <x v="3"/>
    <n v="0"/>
    <n v="488.20099999999991"/>
    <x v="1"/>
    <x v="0"/>
    <x v="3"/>
    <n v="2"/>
  </r>
  <r>
    <n v="2"/>
    <d v="2019-04-09T00:00:00"/>
    <x v="1"/>
    <n v="1254.0429999999999"/>
    <n v="0"/>
    <x v="1"/>
    <x v="0"/>
    <x v="3"/>
    <n v="2"/>
  </r>
  <r>
    <n v="2"/>
    <d v="2019-04-10T00:00:00"/>
    <x v="3"/>
    <n v="0"/>
    <n v="155.946"/>
    <x v="1"/>
    <x v="0"/>
    <x v="3"/>
    <n v="2"/>
  </r>
  <r>
    <n v="2"/>
    <d v="2019-04-10T00:00:00"/>
    <x v="2"/>
    <n v="331.68099999999998"/>
    <n v="421.55399999999997"/>
    <x v="1"/>
    <x v="0"/>
    <x v="3"/>
    <n v="2"/>
  </r>
  <r>
    <n v="2"/>
    <d v="2019-04-10T00:00:00"/>
    <x v="0"/>
    <n v="1813.5319999999999"/>
    <n v="1835.4699999999998"/>
    <x v="1"/>
    <x v="0"/>
    <x v="3"/>
    <n v="2"/>
  </r>
  <r>
    <n v="2"/>
    <d v="2019-04-10T00:00:00"/>
    <x v="1"/>
    <n v="1099.441"/>
    <n v="0"/>
    <x v="1"/>
    <x v="0"/>
    <x v="3"/>
    <n v="2"/>
  </r>
  <r>
    <n v="2"/>
    <d v="2019-04-11T00:00:00"/>
    <x v="1"/>
    <n v="1039.3529999999998"/>
    <n v="0"/>
    <x v="1"/>
    <x v="0"/>
    <x v="3"/>
    <n v="2"/>
  </r>
  <r>
    <n v="2"/>
    <d v="2019-04-11T00:00:00"/>
    <x v="2"/>
    <n v="347.98399999999998"/>
    <n v="516.07499999999993"/>
    <x v="1"/>
    <x v="0"/>
    <x v="3"/>
    <n v="2"/>
  </r>
  <r>
    <n v="2"/>
    <d v="2019-04-11T00:00:00"/>
    <x v="0"/>
    <n v="1736.0139999999999"/>
    <n v="2276.9039999999995"/>
    <x v="1"/>
    <x v="0"/>
    <x v="3"/>
    <n v="2"/>
  </r>
  <r>
    <n v="2"/>
    <d v="2019-04-11T00:00:00"/>
    <x v="3"/>
    <n v="281.56799999999998"/>
    <n v="168.62299999999999"/>
    <x v="1"/>
    <x v="0"/>
    <x v="3"/>
    <n v="2"/>
  </r>
  <r>
    <n v="2"/>
    <d v="2019-04-12T00:00:00"/>
    <x v="3"/>
    <n v="0"/>
    <n v="0"/>
    <x v="1"/>
    <x v="0"/>
    <x v="3"/>
    <n v="2"/>
  </r>
  <r>
    <n v="2"/>
    <d v="2019-04-12T00:00:00"/>
    <x v="2"/>
    <n v="266.97999999999996"/>
    <n v="662.58499999999992"/>
    <x v="1"/>
    <x v="0"/>
    <x v="3"/>
    <n v="2"/>
  </r>
  <r>
    <n v="2"/>
    <d v="2019-04-12T00:00:00"/>
    <x v="0"/>
    <n v="2672.3689999999997"/>
    <n v="2984.8420000000001"/>
    <x v="1"/>
    <x v="0"/>
    <x v="3"/>
    <n v="2"/>
  </r>
  <r>
    <n v="2"/>
    <d v="2019-04-12T00:00:00"/>
    <x v="1"/>
    <n v="1335.9079999999999"/>
    <n v="0"/>
    <x v="1"/>
    <x v="0"/>
    <x v="3"/>
    <n v="2"/>
  </r>
  <r>
    <n v="2"/>
    <d v="2019-04-13T00:00:00"/>
    <x v="1"/>
    <n v="1125.7049999999999"/>
    <n v="0"/>
    <x v="1"/>
    <x v="0"/>
    <x v="3"/>
    <n v="2"/>
  </r>
  <r>
    <n v="2"/>
    <d v="2019-04-13T00:00:00"/>
    <x v="2"/>
    <n v="307.29300000000001"/>
    <n v="445.89299999999997"/>
    <x v="1"/>
    <x v="0"/>
    <x v="3"/>
    <n v="2"/>
  </r>
  <r>
    <n v="2"/>
    <d v="2019-04-13T00:00:00"/>
    <x v="3"/>
    <n v="0"/>
    <n v="0"/>
    <x v="1"/>
    <x v="0"/>
    <x v="3"/>
    <n v="2"/>
  </r>
  <r>
    <n v="2"/>
    <d v="2019-04-13T00:00:00"/>
    <x v="0"/>
    <n v="2818.3609999999999"/>
    <n v="2499.5320000000002"/>
    <x v="1"/>
    <x v="0"/>
    <x v="3"/>
    <n v="2"/>
  </r>
  <r>
    <n v="2"/>
    <d v="2019-04-14T00:00:00"/>
    <x v="1"/>
    <n v="547.673"/>
    <n v="0"/>
    <x v="1"/>
    <x v="0"/>
    <x v="3"/>
    <n v="2"/>
  </r>
  <r>
    <n v="2"/>
    <d v="2019-04-14T00:00:00"/>
    <x v="3"/>
    <n v="0"/>
    <n v="0"/>
    <x v="1"/>
    <x v="0"/>
    <x v="3"/>
    <n v="2"/>
  </r>
  <r>
    <n v="2"/>
    <d v="2019-04-14T00:00:00"/>
    <x v="2"/>
    <n v="262.91299999999995"/>
    <n v="333.61299999999994"/>
    <x v="1"/>
    <x v="0"/>
    <x v="3"/>
    <n v="2"/>
  </r>
  <r>
    <n v="2"/>
    <d v="2019-04-14T00:00:00"/>
    <x v="0"/>
    <n v="1461.383"/>
    <n v="1509.886"/>
    <x v="1"/>
    <x v="0"/>
    <x v="3"/>
    <n v="2"/>
  </r>
  <r>
    <n v="2"/>
    <d v="2019-04-15T00:00:00"/>
    <x v="1"/>
    <n v="1083.4949999999999"/>
    <n v="0"/>
    <x v="1"/>
    <x v="0"/>
    <x v="3"/>
    <n v="3"/>
  </r>
  <r>
    <n v="2"/>
    <d v="2019-04-15T00:00:00"/>
    <x v="2"/>
    <n v="368.02499999999998"/>
    <n v="439.166"/>
    <x v="1"/>
    <x v="0"/>
    <x v="3"/>
    <n v="3"/>
  </r>
  <r>
    <n v="2"/>
    <d v="2019-04-15T00:00:00"/>
    <x v="0"/>
    <n v="1564.9549999999999"/>
    <n v="1687.3219999999999"/>
    <x v="1"/>
    <x v="0"/>
    <x v="3"/>
    <n v="3"/>
  </r>
  <r>
    <n v="2"/>
    <d v="2019-04-15T00:00:00"/>
    <x v="3"/>
    <n v="0"/>
    <n v="0"/>
    <x v="1"/>
    <x v="0"/>
    <x v="3"/>
    <n v="3"/>
  </r>
  <r>
    <n v="2"/>
    <d v="2019-04-16T00:00:00"/>
    <x v="0"/>
    <n v="1991.8219999999999"/>
    <n v="1921.675"/>
    <x v="1"/>
    <x v="0"/>
    <x v="3"/>
    <n v="3"/>
  </r>
  <r>
    <n v="2"/>
    <d v="2019-04-16T00:00:00"/>
    <x v="1"/>
    <n v="847.74899999999991"/>
    <n v="0"/>
    <x v="1"/>
    <x v="0"/>
    <x v="3"/>
    <n v="3"/>
  </r>
  <r>
    <n v="2"/>
    <d v="2019-04-16T00:00:00"/>
    <x v="2"/>
    <n v="221.63399999999999"/>
    <n v="382.78800000000001"/>
    <x v="1"/>
    <x v="0"/>
    <x v="3"/>
    <n v="3"/>
  </r>
  <r>
    <n v="2"/>
    <d v="2019-04-16T00:00:00"/>
    <x v="3"/>
    <n v="0"/>
    <n v="0"/>
    <x v="1"/>
    <x v="0"/>
    <x v="3"/>
    <n v="3"/>
  </r>
  <r>
    <n v="2"/>
    <d v="2019-04-17T00:00:00"/>
    <x v="1"/>
    <n v="1128.7639999999999"/>
    <n v="0"/>
    <x v="1"/>
    <x v="0"/>
    <x v="3"/>
    <n v="3"/>
  </r>
  <r>
    <n v="2"/>
    <d v="2019-04-17T00:00:00"/>
    <x v="0"/>
    <n v="1696.933"/>
    <n v="2065.63"/>
    <x v="1"/>
    <x v="0"/>
    <x v="3"/>
    <n v="3"/>
  </r>
  <r>
    <n v="2"/>
    <d v="2019-04-17T00:00:00"/>
    <x v="3"/>
    <n v="356.95799999999997"/>
    <n v="161.54599999999999"/>
    <x v="1"/>
    <x v="0"/>
    <x v="3"/>
    <n v="3"/>
  </r>
  <r>
    <n v="2"/>
    <d v="2019-04-17T00:00:00"/>
    <x v="2"/>
    <n v="322.26599999999996"/>
    <n v="283.27600000000001"/>
    <x v="1"/>
    <x v="0"/>
    <x v="3"/>
    <n v="3"/>
  </r>
  <r>
    <n v="2"/>
    <d v="2019-04-18T00:00:00"/>
    <x v="1"/>
    <n v="1120.2729999999999"/>
    <n v="0"/>
    <x v="1"/>
    <x v="0"/>
    <x v="3"/>
    <n v="3"/>
  </r>
  <r>
    <n v="2"/>
    <d v="2019-04-18T00:00:00"/>
    <x v="0"/>
    <n v="1921.1219999999998"/>
    <n v="2455.3829999999998"/>
    <x v="1"/>
    <x v="0"/>
    <x v="3"/>
    <n v="3"/>
  </r>
  <r>
    <n v="2"/>
    <d v="2019-04-18T00:00:00"/>
    <x v="3"/>
    <n v="0"/>
    <n v="0"/>
    <x v="1"/>
    <x v="0"/>
    <x v="3"/>
    <n v="3"/>
  </r>
  <r>
    <n v="2"/>
    <d v="2019-04-18T00:00:00"/>
    <x v="2"/>
    <n v="473.88599999999997"/>
    <n v="501.03199999999998"/>
    <x v="1"/>
    <x v="0"/>
    <x v="3"/>
    <n v="3"/>
  </r>
  <r>
    <n v="2"/>
    <d v="2019-04-19T00:00:00"/>
    <x v="1"/>
    <n v="1444.2469999999998"/>
    <n v="0"/>
    <x v="1"/>
    <x v="0"/>
    <x v="3"/>
    <n v="3"/>
  </r>
  <r>
    <n v="2"/>
    <d v="2019-04-19T00:00:00"/>
    <x v="2"/>
    <n v="366.47099999999995"/>
    <n v="729.7639999999999"/>
    <x v="1"/>
    <x v="0"/>
    <x v="3"/>
    <n v="3"/>
  </r>
  <r>
    <n v="2"/>
    <d v="2019-04-19T00:00:00"/>
    <x v="3"/>
    <n v="41.873999999999995"/>
    <n v="0"/>
    <x v="1"/>
    <x v="0"/>
    <x v="3"/>
    <n v="3"/>
  </r>
  <r>
    <n v="2"/>
    <d v="2019-04-19T00:00:00"/>
    <x v="0"/>
    <n v="2373.8049999999998"/>
    <n v="3035.6619999999998"/>
    <x v="1"/>
    <x v="0"/>
    <x v="3"/>
    <n v="3"/>
  </r>
  <r>
    <n v="2"/>
    <d v="2019-04-20T00:00:00"/>
    <x v="1"/>
    <n v="1001.1959999999999"/>
    <n v="0"/>
    <x v="1"/>
    <x v="0"/>
    <x v="3"/>
    <n v="3"/>
  </r>
  <r>
    <n v="2"/>
    <d v="2019-04-20T00:00:00"/>
    <x v="0"/>
    <n v="2355.3809999999999"/>
    <n v="2646.364"/>
    <x v="1"/>
    <x v="0"/>
    <x v="3"/>
    <n v="3"/>
  </r>
  <r>
    <n v="2"/>
    <d v="2019-04-20T00:00:00"/>
    <x v="3"/>
    <n v="0"/>
    <n v="0"/>
    <x v="1"/>
    <x v="0"/>
    <x v="3"/>
    <n v="3"/>
  </r>
  <r>
    <n v="2"/>
    <d v="2019-04-20T00:00:00"/>
    <x v="2"/>
    <n v="340.68299999999999"/>
    <n v="243.71899999999999"/>
    <x v="1"/>
    <x v="0"/>
    <x v="3"/>
    <n v="3"/>
  </r>
  <r>
    <n v="2"/>
    <d v="2019-04-21T00:00:00"/>
    <x v="2"/>
    <n v="190.86199999999999"/>
    <n v="351.59599999999995"/>
    <x v="1"/>
    <x v="0"/>
    <x v="3"/>
    <n v="3"/>
  </r>
  <r>
    <n v="2"/>
    <d v="2019-04-21T00:00:00"/>
    <x v="0"/>
    <n v="1219.729"/>
    <n v="1451.828"/>
    <x v="1"/>
    <x v="0"/>
    <x v="3"/>
    <n v="3"/>
  </r>
  <r>
    <n v="2"/>
    <d v="2019-04-21T00:00:00"/>
    <x v="3"/>
    <n v="0"/>
    <n v="0"/>
    <x v="1"/>
    <x v="0"/>
    <x v="3"/>
    <n v="3"/>
  </r>
  <r>
    <n v="2"/>
    <d v="2019-04-21T00:00:00"/>
    <x v="1"/>
    <n v="564.94899999999996"/>
    <n v="0"/>
    <x v="1"/>
    <x v="0"/>
    <x v="3"/>
    <n v="3"/>
  </r>
  <r>
    <n v="2"/>
    <d v="2019-04-22T00:00:00"/>
    <x v="2"/>
    <n v="140.66499999999999"/>
    <n v="395.17799999999994"/>
    <x v="1"/>
    <x v="0"/>
    <x v="3"/>
    <n v="4"/>
  </r>
  <r>
    <n v="2"/>
    <d v="2019-04-22T00:00:00"/>
    <x v="0"/>
    <n v="2089.605"/>
    <n v="1699.5369999999998"/>
    <x v="1"/>
    <x v="0"/>
    <x v="3"/>
    <n v="4"/>
  </r>
  <r>
    <n v="2"/>
    <d v="2019-04-22T00:00:00"/>
    <x v="1"/>
    <n v="1007.972"/>
    <n v="0"/>
    <x v="1"/>
    <x v="0"/>
    <x v="3"/>
    <n v="4"/>
  </r>
  <r>
    <n v="2"/>
    <d v="2019-04-22T00:00:00"/>
    <x v="3"/>
    <n v="0"/>
    <n v="0"/>
    <x v="1"/>
    <x v="0"/>
    <x v="3"/>
    <n v="4"/>
  </r>
  <r>
    <n v="2"/>
    <d v="2019-04-23T00:00:00"/>
    <x v="2"/>
    <n v="188.53099999999998"/>
    <n v="283.30399999999997"/>
    <x v="1"/>
    <x v="0"/>
    <x v="3"/>
    <n v="4"/>
  </r>
  <r>
    <n v="2"/>
    <d v="2019-04-23T00:00:00"/>
    <x v="0"/>
    <n v="1826.6149999999998"/>
    <n v="2115.547"/>
    <x v="1"/>
    <x v="0"/>
    <x v="3"/>
    <n v="4"/>
  </r>
  <r>
    <n v="2"/>
    <d v="2019-04-23T00:00:00"/>
    <x v="3"/>
    <n v="263.02499999999998"/>
    <n v="242.31899999999999"/>
    <x v="1"/>
    <x v="0"/>
    <x v="3"/>
    <n v="4"/>
  </r>
  <r>
    <n v="2"/>
    <d v="2019-04-23T00:00:00"/>
    <x v="1"/>
    <n v="877.56200000000001"/>
    <n v="0"/>
    <x v="1"/>
    <x v="0"/>
    <x v="3"/>
    <n v="4"/>
  </r>
  <r>
    <n v="2"/>
    <d v="2019-04-24T00:00:00"/>
    <x v="0"/>
    <n v="1721.93"/>
    <n v="2280.9289999999996"/>
    <x v="1"/>
    <x v="0"/>
    <x v="3"/>
    <n v="4"/>
  </r>
  <r>
    <n v="2"/>
    <d v="2019-04-24T00:00:00"/>
    <x v="1"/>
    <n v="1158.8429999999998"/>
    <n v="0"/>
    <x v="1"/>
    <x v="0"/>
    <x v="3"/>
    <n v="4"/>
  </r>
  <r>
    <n v="2"/>
    <d v="2019-04-24T00:00:00"/>
    <x v="2"/>
    <n v="264.36899999999997"/>
    <n v="378.74199999999996"/>
    <x v="1"/>
    <x v="0"/>
    <x v="3"/>
    <n v="4"/>
  </r>
  <r>
    <n v="2"/>
    <d v="2019-04-24T00:00:00"/>
    <x v="3"/>
    <n v="0"/>
    <n v="401.91899999999993"/>
    <x v="1"/>
    <x v="0"/>
    <x v="3"/>
    <n v="4"/>
  </r>
  <r>
    <n v="2"/>
    <d v="2019-04-25T00:00:00"/>
    <x v="1"/>
    <n v="1213.5899999999999"/>
    <n v="0"/>
    <x v="1"/>
    <x v="0"/>
    <x v="3"/>
    <n v="4"/>
  </r>
  <r>
    <n v="2"/>
    <d v="2019-04-25T00:00:00"/>
    <x v="0"/>
    <n v="2040.4159999999999"/>
    <n v="2577.6029999999996"/>
    <x v="1"/>
    <x v="0"/>
    <x v="3"/>
    <n v="4"/>
  </r>
  <r>
    <n v="2"/>
    <d v="2019-04-25T00:00:00"/>
    <x v="3"/>
    <n v="0"/>
    <n v="0"/>
    <x v="1"/>
    <x v="0"/>
    <x v="3"/>
    <n v="4"/>
  </r>
  <r>
    <n v="2"/>
    <d v="2019-04-25T00:00:00"/>
    <x v="2"/>
    <n v="363.40499999999997"/>
    <n v="469.51099999999997"/>
    <x v="1"/>
    <x v="0"/>
    <x v="3"/>
    <n v="4"/>
  </r>
  <r>
    <n v="2"/>
    <d v="2019-04-26T00:00:00"/>
    <x v="1"/>
    <n v="1678.7049999999999"/>
    <n v="0"/>
    <x v="1"/>
    <x v="0"/>
    <x v="3"/>
    <n v="4"/>
  </r>
  <r>
    <n v="2"/>
    <d v="2019-04-26T00:00:00"/>
    <x v="0"/>
    <n v="2437.4629999999997"/>
    <n v="3049.6129999999998"/>
    <x v="1"/>
    <x v="0"/>
    <x v="3"/>
    <n v="4"/>
  </r>
  <r>
    <n v="2"/>
    <d v="2019-04-26T00:00:00"/>
    <x v="3"/>
    <n v="164.82899999999998"/>
    <n v="0"/>
    <x v="1"/>
    <x v="0"/>
    <x v="3"/>
    <n v="4"/>
  </r>
  <r>
    <n v="2"/>
    <d v="2019-04-26T00:00:00"/>
    <x v="2"/>
    <n v="515.39599999999996"/>
    <n v="657.87400000000002"/>
    <x v="1"/>
    <x v="0"/>
    <x v="3"/>
    <n v="4"/>
  </r>
  <r>
    <n v="2"/>
    <d v="2019-04-27T00:00:00"/>
    <x v="2"/>
    <n v="399.40600000000001"/>
    <n v="329.35699999999997"/>
    <x v="1"/>
    <x v="0"/>
    <x v="3"/>
    <n v="4"/>
  </r>
  <r>
    <n v="2"/>
    <d v="2019-04-27T00:00:00"/>
    <x v="0"/>
    <n v="2512.4119999999998"/>
    <n v="3206.6299999999997"/>
    <x v="1"/>
    <x v="0"/>
    <x v="3"/>
    <n v="4"/>
  </r>
  <r>
    <n v="2"/>
    <d v="2019-04-27T00:00:00"/>
    <x v="3"/>
    <n v="0"/>
    <n v="0"/>
    <x v="1"/>
    <x v="0"/>
    <x v="3"/>
    <n v="4"/>
  </r>
  <r>
    <n v="2"/>
    <d v="2019-04-27T00:00:00"/>
    <x v="1"/>
    <n v="1124.6339999999998"/>
    <n v="0"/>
    <x v="1"/>
    <x v="0"/>
    <x v="3"/>
    <n v="4"/>
  </r>
  <r>
    <n v="2"/>
    <d v="2019-04-28T00:00:00"/>
    <x v="1"/>
    <n v="889.29399999999998"/>
    <n v="0"/>
    <x v="1"/>
    <x v="0"/>
    <x v="3"/>
    <n v="4"/>
  </r>
  <r>
    <n v="2"/>
    <d v="2019-04-28T00:00:00"/>
    <x v="3"/>
    <n v="82.361999999999995"/>
    <n v="0"/>
    <x v="1"/>
    <x v="0"/>
    <x v="3"/>
    <n v="4"/>
  </r>
  <r>
    <n v="2"/>
    <d v="2019-04-28T00:00:00"/>
    <x v="0"/>
    <n v="1322.3139999999999"/>
    <n v="1486.4639999999999"/>
    <x v="1"/>
    <x v="0"/>
    <x v="3"/>
    <n v="4"/>
  </r>
  <r>
    <n v="2"/>
    <d v="2019-04-28T00:00:00"/>
    <x v="2"/>
    <n v="408.12099999999998"/>
    <n v="322.88199999999995"/>
    <x v="1"/>
    <x v="0"/>
    <x v="3"/>
    <n v="4"/>
  </r>
  <r>
    <n v="2"/>
    <d v="2019-04-29T00:00:00"/>
    <x v="2"/>
    <n v="356.99299999999999"/>
    <n v="219.261"/>
    <x v="1"/>
    <x v="0"/>
    <x v="4"/>
    <n v="1"/>
  </r>
  <r>
    <n v="2"/>
    <d v="2019-04-29T00:00:00"/>
    <x v="3"/>
    <n v="0"/>
    <n v="151.40299999999999"/>
    <x v="1"/>
    <x v="0"/>
    <x v="4"/>
    <n v="1"/>
  </r>
  <r>
    <n v="2"/>
    <d v="2019-04-29T00:00:00"/>
    <x v="0"/>
    <n v="1662.6399999999999"/>
    <n v="1725.7660000000001"/>
    <x v="1"/>
    <x v="0"/>
    <x v="4"/>
    <n v="1"/>
  </r>
  <r>
    <n v="2"/>
    <d v="2019-04-29T00:00:00"/>
    <x v="1"/>
    <n v="887.62099999999998"/>
    <n v="0"/>
    <x v="1"/>
    <x v="0"/>
    <x v="4"/>
    <n v="1"/>
  </r>
  <r>
    <n v="2"/>
    <d v="2019-04-30T00:00:00"/>
    <x v="1"/>
    <n v="1215.4029999999998"/>
    <n v="0"/>
    <x v="1"/>
    <x v="0"/>
    <x v="4"/>
    <n v="1"/>
  </r>
  <r>
    <n v="2"/>
    <d v="2019-04-30T00:00:00"/>
    <x v="3"/>
    <n v="305.24199999999996"/>
    <n v="0"/>
    <x v="1"/>
    <x v="0"/>
    <x v="4"/>
    <n v="1"/>
  </r>
  <r>
    <n v="2"/>
    <d v="2019-04-30T00:00:00"/>
    <x v="0"/>
    <n v="1791.1179999999997"/>
    <n v="2262.2109999999998"/>
    <x v="1"/>
    <x v="0"/>
    <x v="4"/>
    <n v="1"/>
  </r>
  <r>
    <n v="2"/>
    <d v="2019-04-30T00:00:00"/>
    <x v="2"/>
    <n v="279.08999999999997"/>
    <n v="429.98899999999998"/>
    <x v="1"/>
    <x v="0"/>
    <x v="4"/>
    <n v="1"/>
  </r>
  <r>
    <n v="2"/>
    <d v="2019-05-01T00:00:00"/>
    <x v="3"/>
    <n v="0"/>
    <n v="217.31499999999997"/>
    <x v="1"/>
    <x v="0"/>
    <x v="4"/>
    <n v="1"/>
  </r>
  <r>
    <n v="2"/>
    <d v="2019-05-01T00:00:00"/>
    <x v="0"/>
    <n v="1825.2009999999998"/>
    <n v="1946.2659999999998"/>
    <x v="1"/>
    <x v="0"/>
    <x v="4"/>
    <n v="1"/>
  </r>
  <r>
    <n v="2"/>
    <d v="2019-05-01T00:00:00"/>
    <x v="2"/>
    <n v="417.55699999999996"/>
    <n v="328.86"/>
    <x v="1"/>
    <x v="0"/>
    <x v="4"/>
    <n v="1"/>
  </r>
  <r>
    <n v="2"/>
    <d v="2019-05-01T00:00:00"/>
    <x v="1"/>
    <n v="1245.7059999999999"/>
    <n v="0"/>
    <x v="1"/>
    <x v="0"/>
    <x v="4"/>
    <n v="1"/>
  </r>
  <r>
    <n v="2"/>
    <d v="2019-05-02T00:00:00"/>
    <x v="2"/>
    <n v="291.24899999999997"/>
    <n v="560"/>
    <x v="1"/>
    <x v="0"/>
    <x v="4"/>
    <n v="1"/>
  </r>
  <r>
    <n v="2"/>
    <d v="2019-05-02T00:00:00"/>
    <x v="0"/>
    <n v="2105.2289999999998"/>
    <n v="2533.1389999999997"/>
    <x v="1"/>
    <x v="0"/>
    <x v="4"/>
    <n v="1"/>
  </r>
  <r>
    <n v="2"/>
    <d v="2019-05-02T00:00:00"/>
    <x v="3"/>
    <n v="0"/>
    <n v="339.24799999999999"/>
    <x v="1"/>
    <x v="0"/>
    <x v="4"/>
    <n v="1"/>
  </r>
  <r>
    <n v="2"/>
    <d v="2019-05-02T00:00:00"/>
    <x v="1"/>
    <n v="1264.9419999999998"/>
    <n v="0"/>
    <x v="1"/>
    <x v="0"/>
    <x v="4"/>
    <n v="1"/>
  </r>
  <r>
    <n v="2"/>
    <d v="2019-05-03T00:00:00"/>
    <x v="3"/>
    <n v="380.79999999999995"/>
    <n v="26.235999999999997"/>
    <x v="1"/>
    <x v="0"/>
    <x v="4"/>
    <n v="1"/>
  </r>
  <r>
    <n v="2"/>
    <d v="2019-05-03T00:00:00"/>
    <x v="0"/>
    <n v="2511.8029999999999"/>
    <n v="3696.2939999999999"/>
    <x v="1"/>
    <x v="0"/>
    <x v="4"/>
    <n v="1"/>
  </r>
  <r>
    <n v="2"/>
    <d v="2019-05-03T00:00:00"/>
    <x v="2"/>
    <n v="513.47799999999995"/>
    <n v="679.53899999999999"/>
    <x v="1"/>
    <x v="0"/>
    <x v="4"/>
    <n v="1"/>
  </r>
  <r>
    <n v="2"/>
    <d v="2019-05-03T00:00:00"/>
    <x v="1"/>
    <n v="1171.8979999999999"/>
    <n v="0"/>
    <x v="1"/>
    <x v="0"/>
    <x v="4"/>
    <n v="1"/>
  </r>
  <r>
    <n v="2"/>
    <d v="2019-05-04T00:00:00"/>
    <x v="2"/>
    <n v="235.33299999999997"/>
    <n v="816.88599999999997"/>
    <x v="1"/>
    <x v="0"/>
    <x v="4"/>
    <n v="1"/>
  </r>
  <r>
    <n v="2"/>
    <d v="2019-05-04T00:00:00"/>
    <x v="0"/>
    <n v="2626.1969999999997"/>
    <n v="3603.3829999999994"/>
    <x v="1"/>
    <x v="0"/>
    <x v="4"/>
    <n v="1"/>
  </r>
  <r>
    <n v="2"/>
    <d v="2019-05-04T00:00:00"/>
    <x v="3"/>
    <n v="0"/>
    <n v="269.06599999999997"/>
    <x v="1"/>
    <x v="0"/>
    <x v="4"/>
    <n v="1"/>
  </r>
  <r>
    <n v="2"/>
    <d v="2019-05-04T00:00:00"/>
    <x v="1"/>
    <n v="954.29599999999994"/>
    <n v="0"/>
    <x v="1"/>
    <x v="0"/>
    <x v="4"/>
    <n v="1"/>
  </r>
  <r>
    <n v="2"/>
    <d v="2019-05-05T00:00:00"/>
    <x v="3"/>
    <n v="534.98199999999997"/>
    <n v="0"/>
    <x v="1"/>
    <x v="0"/>
    <x v="4"/>
    <n v="1"/>
  </r>
  <r>
    <n v="2"/>
    <d v="2019-05-05T00:00:00"/>
    <x v="2"/>
    <n v="417.50099999999992"/>
    <n v="111.755"/>
    <x v="1"/>
    <x v="0"/>
    <x v="4"/>
    <n v="1"/>
  </r>
  <r>
    <n v="2"/>
    <d v="2019-05-05T00:00:00"/>
    <x v="0"/>
    <n v="1669.5979999999997"/>
    <n v="1506.26"/>
    <x v="1"/>
    <x v="0"/>
    <x v="4"/>
    <n v="1"/>
  </r>
  <r>
    <n v="2"/>
    <d v="2019-05-05T00:00:00"/>
    <x v="1"/>
    <n v="894.27799999999991"/>
    <n v="0"/>
    <x v="1"/>
    <x v="0"/>
    <x v="4"/>
    <n v="1"/>
  </r>
  <r>
    <n v="2"/>
    <d v="2019-05-06T00:00:00"/>
    <x v="0"/>
    <n v="1406.307"/>
    <n v="1648.2899999999997"/>
    <x v="1"/>
    <x v="0"/>
    <x v="4"/>
    <n v="2"/>
  </r>
  <r>
    <n v="2"/>
    <d v="2019-05-06T00:00:00"/>
    <x v="2"/>
    <n v="444.17799999999994"/>
    <n v="331.00899999999996"/>
    <x v="1"/>
    <x v="0"/>
    <x v="4"/>
    <n v="2"/>
  </r>
  <r>
    <n v="2"/>
    <d v="2019-05-06T00:00:00"/>
    <x v="3"/>
    <n v="0"/>
    <n v="0"/>
    <x v="1"/>
    <x v="0"/>
    <x v="4"/>
    <n v="2"/>
  </r>
  <r>
    <n v="2"/>
    <d v="2019-05-06T00:00:00"/>
    <x v="1"/>
    <n v="977.66200000000003"/>
    <n v="0"/>
    <x v="1"/>
    <x v="0"/>
    <x v="4"/>
    <n v="2"/>
  </r>
  <r>
    <n v="2"/>
    <d v="2019-05-07T00:00:00"/>
    <x v="1"/>
    <n v="1067.059"/>
    <n v="0"/>
    <x v="1"/>
    <x v="0"/>
    <x v="4"/>
    <n v="2"/>
  </r>
  <r>
    <n v="2"/>
    <d v="2019-05-07T00:00:00"/>
    <x v="3"/>
    <n v="211.56100000000001"/>
    <n v="0"/>
    <x v="1"/>
    <x v="0"/>
    <x v="4"/>
    <n v="2"/>
  </r>
  <r>
    <n v="2"/>
    <d v="2019-05-07T00:00:00"/>
    <x v="0"/>
    <n v="1772.6729999999998"/>
    <n v="2723.4059999999999"/>
    <x v="1"/>
    <x v="0"/>
    <x v="4"/>
    <n v="2"/>
  </r>
  <r>
    <n v="2"/>
    <d v="2019-05-07T00:00:00"/>
    <x v="2"/>
    <n v="591.84999999999991"/>
    <n v="367.99700000000001"/>
    <x v="1"/>
    <x v="0"/>
    <x v="4"/>
    <n v="2"/>
  </r>
  <r>
    <n v="2"/>
    <d v="2019-05-08T00:00:00"/>
    <x v="3"/>
    <n v="448.39199999999994"/>
    <n v="181.53799999999998"/>
    <x v="1"/>
    <x v="0"/>
    <x v="4"/>
    <n v="2"/>
  </r>
  <r>
    <n v="2"/>
    <d v="2019-05-08T00:00:00"/>
    <x v="0"/>
    <n v="2090.06"/>
    <n v="1891.127"/>
    <x v="1"/>
    <x v="0"/>
    <x v="4"/>
    <n v="2"/>
  </r>
  <r>
    <n v="2"/>
    <d v="2019-05-08T00:00:00"/>
    <x v="2"/>
    <n v="183.904"/>
    <n v="398.14599999999996"/>
    <x v="1"/>
    <x v="0"/>
    <x v="4"/>
    <n v="2"/>
  </r>
  <r>
    <n v="2"/>
    <d v="2019-05-08T00:00:00"/>
    <x v="1"/>
    <n v="912.35199999999986"/>
    <n v="0"/>
    <x v="1"/>
    <x v="0"/>
    <x v="4"/>
    <n v="2"/>
  </r>
  <r>
    <n v="2"/>
    <d v="2019-05-09T00:00:00"/>
    <x v="1"/>
    <n v="1095.5"/>
    <n v="0"/>
    <x v="1"/>
    <x v="0"/>
    <x v="4"/>
    <n v="2"/>
  </r>
  <r>
    <n v="2"/>
    <d v="2019-05-09T00:00:00"/>
    <x v="0"/>
    <n v="1718.9269999999999"/>
    <n v="2426.4659999999999"/>
    <x v="1"/>
    <x v="0"/>
    <x v="4"/>
    <n v="2"/>
  </r>
  <r>
    <n v="2"/>
    <d v="2019-05-09T00:00:00"/>
    <x v="2"/>
    <n v="246.88299999999998"/>
    <n v="535.19199999999989"/>
    <x v="1"/>
    <x v="0"/>
    <x v="4"/>
    <n v="2"/>
  </r>
  <r>
    <n v="2"/>
    <d v="2019-05-09T00:00:00"/>
    <x v="3"/>
    <n v="0"/>
    <n v="0"/>
    <x v="1"/>
    <x v="0"/>
    <x v="4"/>
    <n v="2"/>
  </r>
  <r>
    <n v="2"/>
    <d v="2019-05-10T00:00:00"/>
    <x v="1"/>
    <n v="1158.43"/>
    <n v="0"/>
    <x v="1"/>
    <x v="0"/>
    <x v="4"/>
    <n v="2"/>
  </r>
  <r>
    <n v="2"/>
    <d v="2019-05-10T00:00:00"/>
    <x v="3"/>
    <n v="0"/>
    <n v="276.94799999999998"/>
    <x v="1"/>
    <x v="0"/>
    <x v="4"/>
    <n v="2"/>
  </r>
  <r>
    <n v="2"/>
    <d v="2019-05-10T00:00:00"/>
    <x v="0"/>
    <n v="1910.027"/>
    <n v="2847.4389999999999"/>
    <x v="1"/>
    <x v="0"/>
    <x v="4"/>
    <n v="2"/>
  </r>
  <r>
    <n v="2"/>
    <d v="2019-05-10T00:00:00"/>
    <x v="2"/>
    <n v="446.15199999999999"/>
    <n v="360.07299999999998"/>
    <x v="1"/>
    <x v="0"/>
    <x v="4"/>
    <n v="2"/>
  </r>
  <r>
    <n v="2"/>
    <d v="2019-05-11T00:00:00"/>
    <x v="0"/>
    <n v="2309.2579999999998"/>
    <n v="2544.85"/>
    <x v="1"/>
    <x v="0"/>
    <x v="4"/>
    <n v="2"/>
  </r>
  <r>
    <n v="2"/>
    <d v="2019-05-11T00:00:00"/>
    <x v="3"/>
    <n v="448.97999999999996"/>
    <n v="0"/>
    <x v="1"/>
    <x v="0"/>
    <x v="4"/>
    <n v="2"/>
  </r>
  <r>
    <n v="2"/>
    <d v="2019-05-11T00:00:00"/>
    <x v="2"/>
    <n v="480.24900000000002"/>
    <n v="537.22900000000004"/>
    <x v="1"/>
    <x v="0"/>
    <x v="4"/>
    <n v="2"/>
  </r>
  <r>
    <n v="2"/>
    <d v="2019-05-11T00:00:00"/>
    <x v="1"/>
    <n v="1081.346"/>
    <n v="0"/>
    <x v="1"/>
    <x v="0"/>
    <x v="4"/>
    <n v="2"/>
  </r>
  <r>
    <n v="2"/>
    <d v="2019-05-12T00:00:00"/>
    <x v="2"/>
    <n v="317.56200000000001"/>
    <n v="539.95899999999995"/>
    <x v="1"/>
    <x v="0"/>
    <x v="4"/>
    <n v="2"/>
  </r>
  <r>
    <n v="2"/>
    <d v="2019-05-12T00:00:00"/>
    <x v="0"/>
    <n v="1471.8689999999999"/>
    <n v="1559.18"/>
    <x v="1"/>
    <x v="0"/>
    <x v="4"/>
    <n v="2"/>
  </r>
  <r>
    <n v="2"/>
    <d v="2019-05-12T00:00:00"/>
    <x v="3"/>
    <n v="0"/>
    <n v="16.001999999999999"/>
    <x v="1"/>
    <x v="0"/>
    <x v="4"/>
    <n v="2"/>
  </r>
  <r>
    <n v="2"/>
    <d v="2019-05-12T00:00:00"/>
    <x v="1"/>
    <n v="777.84699999999998"/>
    <n v="0"/>
    <x v="1"/>
    <x v="0"/>
    <x v="4"/>
    <n v="2"/>
  </r>
  <r>
    <n v="2"/>
    <d v="2019-05-13T00:00:00"/>
    <x v="0"/>
    <n v="1862.8119999999997"/>
    <n v="1765.5889999999999"/>
    <x v="1"/>
    <x v="0"/>
    <x v="4"/>
    <n v="3"/>
  </r>
  <r>
    <n v="2"/>
    <d v="2019-05-13T00:00:00"/>
    <x v="1"/>
    <n v="853.35599999999988"/>
    <n v="0"/>
    <x v="1"/>
    <x v="0"/>
    <x v="4"/>
    <n v="3"/>
  </r>
  <r>
    <n v="2"/>
    <d v="2019-05-13T00:00:00"/>
    <x v="3"/>
    <n v="36.231999999999999"/>
    <n v="278.67699999999996"/>
    <x v="1"/>
    <x v="0"/>
    <x v="4"/>
    <n v="3"/>
  </r>
  <r>
    <n v="2"/>
    <d v="2019-05-13T00:00:00"/>
    <x v="2"/>
    <n v="345.82099999999997"/>
    <n v="355.334"/>
    <x v="1"/>
    <x v="0"/>
    <x v="4"/>
    <n v="3"/>
  </r>
  <r>
    <n v="2"/>
    <d v="2019-05-14T00:00:00"/>
    <x v="1"/>
    <n v="958.99299999999994"/>
    <n v="0"/>
    <x v="1"/>
    <x v="0"/>
    <x v="4"/>
    <n v="3"/>
  </r>
  <r>
    <n v="2"/>
    <d v="2019-05-14T00:00:00"/>
    <x v="0"/>
    <n v="1769.1589999999999"/>
    <n v="1965.6210000000001"/>
    <x v="1"/>
    <x v="0"/>
    <x v="4"/>
    <n v="3"/>
  </r>
  <r>
    <n v="2"/>
    <d v="2019-05-14T00:00:00"/>
    <x v="2"/>
    <n v="306.78199999999998"/>
    <n v="539.65800000000002"/>
    <x v="1"/>
    <x v="0"/>
    <x v="4"/>
    <n v="3"/>
  </r>
  <r>
    <n v="2"/>
    <d v="2019-05-14T00:00:00"/>
    <x v="3"/>
    <n v="0"/>
    <n v="27.257999999999996"/>
    <x v="1"/>
    <x v="0"/>
    <x v="4"/>
    <n v="3"/>
  </r>
  <r>
    <n v="2"/>
    <d v="2019-05-15T00:00:00"/>
    <x v="0"/>
    <n v="1894.6479999999997"/>
    <n v="2031.5399999999997"/>
    <x v="1"/>
    <x v="0"/>
    <x v="4"/>
    <n v="3"/>
  </r>
  <r>
    <n v="2"/>
    <d v="2019-05-15T00:00:00"/>
    <x v="2"/>
    <n v="359.33800000000002"/>
    <n v="203.97999999999996"/>
    <x v="1"/>
    <x v="0"/>
    <x v="4"/>
    <n v="3"/>
  </r>
  <r>
    <n v="2"/>
    <d v="2019-05-15T00:00:00"/>
    <x v="1"/>
    <n v="1079.2249999999999"/>
    <n v="0"/>
    <x v="1"/>
    <x v="0"/>
    <x v="4"/>
    <n v="3"/>
  </r>
  <r>
    <n v="2"/>
    <d v="2019-05-15T00:00:00"/>
    <x v="3"/>
    <n v="47.88"/>
    <n v="183.57499999999999"/>
    <x v="1"/>
    <x v="0"/>
    <x v="4"/>
    <n v="3"/>
  </r>
  <r>
    <n v="2"/>
    <d v="2019-05-16T00:00:00"/>
    <x v="2"/>
    <n v="369.09599999999995"/>
    <n v="330.73599999999999"/>
    <x v="1"/>
    <x v="0"/>
    <x v="4"/>
    <n v="3"/>
  </r>
  <r>
    <n v="2"/>
    <d v="2019-05-16T00:00:00"/>
    <x v="0"/>
    <n v="1996.9880000000001"/>
    <n v="2463.636"/>
    <x v="1"/>
    <x v="0"/>
    <x v="4"/>
    <n v="3"/>
  </r>
  <r>
    <n v="2"/>
    <d v="2019-05-16T00:00:00"/>
    <x v="3"/>
    <n v="13.278999999999998"/>
    <n v="217.68600000000001"/>
    <x v="1"/>
    <x v="0"/>
    <x v="4"/>
    <n v="3"/>
  </r>
  <r>
    <n v="2"/>
    <d v="2019-05-16T00:00:00"/>
    <x v="1"/>
    <n v="1189.5940000000001"/>
    <n v="0"/>
    <x v="1"/>
    <x v="0"/>
    <x v="4"/>
    <n v="3"/>
  </r>
  <r>
    <n v="2"/>
    <d v="2019-05-17T00:00:00"/>
    <x v="1"/>
    <n v="1555.1339999999998"/>
    <n v="0"/>
    <x v="1"/>
    <x v="0"/>
    <x v="4"/>
    <n v="3"/>
  </r>
  <r>
    <n v="2"/>
    <d v="2019-05-17T00:00:00"/>
    <x v="0"/>
    <n v="2338.7979999999998"/>
    <n v="2742.3339999999998"/>
    <x v="1"/>
    <x v="0"/>
    <x v="4"/>
    <n v="3"/>
  </r>
  <r>
    <n v="2"/>
    <d v="2019-05-17T00:00:00"/>
    <x v="2"/>
    <n v="443.149"/>
    <n v="563.23399999999992"/>
    <x v="1"/>
    <x v="0"/>
    <x v="4"/>
    <n v="3"/>
  </r>
  <r>
    <n v="2"/>
    <d v="2019-05-17T00:00:00"/>
    <x v="3"/>
    <n v="0"/>
    <n v="0"/>
    <x v="1"/>
    <x v="0"/>
    <x v="4"/>
    <n v="3"/>
  </r>
  <r>
    <n v="2"/>
    <d v="2019-05-18T00:00:00"/>
    <x v="0"/>
    <n v="2582.6219999999998"/>
    <n v="3197.3269999999998"/>
    <x v="1"/>
    <x v="0"/>
    <x v="4"/>
    <n v="3"/>
  </r>
  <r>
    <n v="2"/>
    <d v="2019-05-18T00:00:00"/>
    <x v="3"/>
    <n v="16.085999999999999"/>
    <n v="0"/>
    <x v="1"/>
    <x v="0"/>
    <x v="4"/>
    <n v="3"/>
  </r>
  <r>
    <n v="2"/>
    <d v="2019-05-18T00:00:00"/>
    <x v="2"/>
    <n v="424.31899999999996"/>
    <n v="519.86899999999991"/>
    <x v="1"/>
    <x v="0"/>
    <x v="4"/>
    <n v="3"/>
  </r>
  <r>
    <n v="2"/>
    <d v="2019-05-18T00:00:00"/>
    <x v="1"/>
    <n v="1018.4019999999998"/>
    <n v="0"/>
    <x v="1"/>
    <x v="0"/>
    <x v="4"/>
    <n v="3"/>
  </r>
  <r>
    <n v="2"/>
    <d v="2019-05-19T00:00:00"/>
    <x v="1"/>
    <n v="766.55599999999993"/>
    <n v="0"/>
    <x v="1"/>
    <x v="0"/>
    <x v="4"/>
    <n v="3"/>
  </r>
  <r>
    <n v="2"/>
    <d v="2019-05-19T00:00:00"/>
    <x v="3"/>
    <n v="10.485999999999999"/>
    <n v="0"/>
    <x v="1"/>
    <x v="0"/>
    <x v="4"/>
    <n v="3"/>
  </r>
  <r>
    <n v="2"/>
    <d v="2019-05-19T00:00:00"/>
    <x v="2"/>
    <n v="212.68099999999998"/>
    <n v="401.14199999999994"/>
    <x v="1"/>
    <x v="0"/>
    <x v="4"/>
    <n v="3"/>
  </r>
  <r>
    <n v="2"/>
    <d v="2019-05-19T00:00:00"/>
    <x v="0"/>
    <n v="1159.9349999999999"/>
    <n v="1774.7449999999999"/>
    <x v="1"/>
    <x v="0"/>
    <x v="4"/>
    <n v="3"/>
  </r>
  <r>
    <n v="2"/>
    <d v="2019-05-20T00:00:00"/>
    <x v="1"/>
    <n v="884.12799999999993"/>
    <n v="0"/>
    <x v="1"/>
    <x v="0"/>
    <x v="4"/>
    <n v="4"/>
  </r>
  <r>
    <n v="2"/>
    <d v="2019-05-20T00:00:00"/>
    <x v="2"/>
    <n v="240.702"/>
    <n v="212.303"/>
    <x v="1"/>
    <x v="0"/>
    <x v="4"/>
    <n v="4"/>
  </r>
  <r>
    <n v="2"/>
    <d v="2019-05-20T00:00:00"/>
    <x v="0"/>
    <n v="1781.1079999999999"/>
    <n v="1607.9839999999999"/>
    <x v="1"/>
    <x v="0"/>
    <x v="4"/>
    <n v="4"/>
  </r>
  <r>
    <n v="2"/>
    <d v="2019-05-20T00:00:00"/>
    <x v="3"/>
    <n v="10.619"/>
    <n v="0"/>
    <x v="1"/>
    <x v="0"/>
    <x v="4"/>
    <n v="4"/>
  </r>
  <r>
    <n v="2"/>
    <d v="2019-05-21T00:00:00"/>
    <x v="3"/>
    <n v="0"/>
    <n v="408.87700000000001"/>
    <x v="1"/>
    <x v="0"/>
    <x v="4"/>
    <n v="4"/>
  </r>
  <r>
    <n v="2"/>
    <d v="2019-05-21T00:00:00"/>
    <x v="0"/>
    <n v="1858.4369999999997"/>
    <n v="2476.39"/>
    <x v="1"/>
    <x v="0"/>
    <x v="4"/>
    <n v="4"/>
  </r>
  <r>
    <n v="2"/>
    <d v="2019-05-21T00:00:00"/>
    <x v="2"/>
    <n v="239.66599999999997"/>
    <n v="326.87199999999996"/>
    <x v="1"/>
    <x v="0"/>
    <x v="4"/>
    <n v="4"/>
  </r>
  <r>
    <n v="2"/>
    <d v="2019-05-21T00:00:00"/>
    <x v="1"/>
    <n v="1111.4459999999999"/>
    <n v="0"/>
    <x v="1"/>
    <x v="0"/>
    <x v="4"/>
    <n v="4"/>
  </r>
  <r>
    <n v="2"/>
    <d v="2019-05-22T00:00:00"/>
    <x v="3"/>
    <n v="0"/>
    <n v="201.929"/>
    <x v="1"/>
    <x v="0"/>
    <x v="4"/>
    <n v="4"/>
  </r>
  <r>
    <n v="2"/>
    <d v="2019-05-22T00:00:00"/>
    <x v="1"/>
    <n v="1061.9699999999998"/>
    <n v="0"/>
    <x v="1"/>
    <x v="0"/>
    <x v="4"/>
    <n v="4"/>
  </r>
  <r>
    <n v="2"/>
    <d v="2019-05-22T00:00:00"/>
    <x v="0"/>
    <n v="1719.1579999999999"/>
    <n v="1975.6729999999998"/>
    <x v="1"/>
    <x v="0"/>
    <x v="4"/>
    <n v="4"/>
  </r>
  <r>
    <n v="2"/>
    <d v="2019-05-22T00:00:00"/>
    <x v="2"/>
    <n v="410.774"/>
    <n v="402.89199999999994"/>
    <x v="1"/>
    <x v="0"/>
    <x v="4"/>
    <n v="4"/>
  </r>
  <r>
    <n v="2"/>
    <d v="2019-05-23T00:00:00"/>
    <x v="2"/>
    <n v="270.14400000000001"/>
    <n v="491.029"/>
    <x v="1"/>
    <x v="0"/>
    <x v="4"/>
    <n v="4"/>
  </r>
  <r>
    <n v="2"/>
    <d v="2019-05-23T00:00:00"/>
    <x v="0"/>
    <n v="2617.335"/>
    <n v="2412.83"/>
    <x v="1"/>
    <x v="0"/>
    <x v="4"/>
    <n v="4"/>
  </r>
  <r>
    <n v="2"/>
    <d v="2019-05-23T00:00:00"/>
    <x v="3"/>
    <n v="0"/>
    <n v="43.672999999999995"/>
    <x v="1"/>
    <x v="0"/>
    <x v="4"/>
    <n v="4"/>
  </r>
  <r>
    <n v="2"/>
    <d v="2019-05-23T00:00:00"/>
    <x v="1"/>
    <n v="1246.0909999999999"/>
    <n v="0"/>
    <x v="1"/>
    <x v="0"/>
    <x v="4"/>
    <n v="4"/>
  </r>
  <r>
    <n v="2"/>
    <d v="2019-05-24T00:00:00"/>
    <x v="3"/>
    <n v="438.05999999999995"/>
    <n v="0"/>
    <x v="1"/>
    <x v="0"/>
    <x v="4"/>
    <n v="4"/>
  </r>
  <r>
    <n v="2"/>
    <d v="2019-05-24T00:00:00"/>
    <x v="1"/>
    <n v="875.69299999999998"/>
    <n v="0"/>
    <x v="1"/>
    <x v="0"/>
    <x v="4"/>
    <n v="4"/>
  </r>
  <r>
    <n v="2"/>
    <d v="2019-05-24T00:00:00"/>
    <x v="2"/>
    <n v="485.38699999999994"/>
    <n v="490.79099999999994"/>
    <x v="1"/>
    <x v="0"/>
    <x v="4"/>
    <n v="4"/>
  </r>
  <r>
    <n v="2"/>
    <d v="2019-05-24T00:00:00"/>
    <x v="0"/>
    <n v="1893.1639999999998"/>
    <n v="2614.6610000000001"/>
    <x v="1"/>
    <x v="0"/>
    <x v="4"/>
    <n v="4"/>
  </r>
  <r>
    <n v="2"/>
    <d v="2019-05-25T00:00:00"/>
    <x v="2"/>
    <n v="385.02799999999996"/>
    <n v="357.74899999999997"/>
    <x v="1"/>
    <x v="0"/>
    <x v="4"/>
    <n v="4"/>
  </r>
  <r>
    <n v="2"/>
    <d v="2019-05-25T00:00:00"/>
    <x v="0"/>
    <n v="1823.3669999999997"/>
    <n v="2697.5969999999998"/>
    <x v="1"/>
    <x v="0"/>
    <x v="4"/>
    <n v="4"/>
  </r>
  <r>
    <n v="2"/>
    <d v="2019-05-25T00:00:00"/>
    <x v="3"/>
    <n v="232.65899999999999"/>
    <n v="0"/>
    <x v="1"/>
    <x v="0"/>
    <x v="4"/>
    <n v="4"/>
  </r>
  <r>
    <n v="2"/>
    <d v="2019-05-25T00:00:00"/>
    <x v="1"/>
    <n v="1103.2629999999999"/>
    <n v="0"/>
    <x v="1"/>
    <x v="0"/>
    <x v="4"/>
    <n v="4"/>
  </r>
  <r>
    <n v="2"/>
    <d v="2019-05-26T00:00:00"/>
    <x v="3"/>
    <n v="10.843"/>
    <n v="0"/>
    <x v="1"/>
    <x v="0"/>
    <x v="4"/>
    <n v="4"/>
  </r>
  <r>
    <n v="2"/>
    <d v="2019-05-26T00:00:00"/>
    <x v="2"/>
    <n v="213.59099999999998"/>
    <n v="211.309"/>
    <x v="1"/>
    <x v="0"/>
    <x v="4"/>
    <n v="4"/>
  </r>
  <r>
    <n v="2"/>
    <d v="2019-05-26T00:00:00"/>
    <x v="0"/>
    <n v="1259.4889999999998"/>
    <n v="1330.5319999999999"/>
    <x v="1"/>
    <x v="0"/>
    <x v="4"/>
    <n v="4"/>
  </r>
  <r>
    <n v="2"/>
    <d v="2019-05-26T00:00:00"/>
    <x v="1"/>
    <n v="607.92899999999997"/>
    <n v="0"/>
    <x v="1"/>
    <x v="0"/>
    <x v="4"/>
    <n v="4"/>
  </r>
  <r>
    <n v="2"/>
    <d v="2019-05-27T00:00:00"/>
    <x v="1"/>
    <n v="1120.098"/>
    <n v="0"/>
    <x v="1"/>
    <x v="0"/>
    <x v="5"/>
    <n v="1"/>
  </r>
  <r>
    <n v="2"/>
    <d v="2019-05-27T00:00:00"/>
    <x v="2"/>
    <n v="365.13399999999996"/>
    <n v="469.37799999999993"/>
    <x v="1"/>
    <x v="0"/>
    <x v="5"/>
    <n v="1"/>
  </r>
  <r>
    <n v="2"/>
    <d v="2019-05-27T00:00:00"/>
    <x v="0"/>
    <n v="2009.8119999999997"/>
    <n v="1935.1569999999999"/>
    <x v="1"/>
    <x v="0"/>
    <x v="5"/>
    <n v="1"/>
  </r>
  <r>
    <n v="2"/>
    <d v="2019-05-27T00:00:00"/>
    <x v="3"/>
    <n v="0"/>
    <n v="0"/>
    <x v="1"/>
    <x v="0"/>
    <x v="5"/>
    <n v="1"/>
  </r>
  <r>
    <n v="2"/>
    <d v="2019-05-28T00:00:00"/>
    <x v="0"/>
    <n v="1615.1589999999999"/>
    <n v="2044.952"/>
    <x v="1"/>
    <x v="0"/>
    <x v="5"/>
    <n v="1"/>
  </r>
  <r>
    <n v="2"/>
    <d v="2019-05-28T00:00:00"/>
    <x v="2"/>
    <n v="240.07199999999997"/>
    <n v="476.10499999999996"/>
    <x v="1"/>
    <x v="0"/>
    <x v="5"/>
    <n v="1"/>
  </r>
  <r>
    <n v="2"/>
    <d v="2019-05-28T00:00:00"/>
    <x v="1"/>
    <n v="887.15899999999988"/>
    <n v="450.786"/>
    <x v="1"/>
    <x v="0"/>
    <x v="5"/>
    <n v="1"/>
  </r>
  <r>
    <n v="2"/>
    <d v="2019-05-28T00:00:00"/>
    <x v="3"/>
    <n v="0"/>
    <n v="32.507999999999996"/>
    <x v="1"/>
    <x v="0"/>
    <x v="5"/>
    <n v="1"/>
  </r>
  <r>
    <n v="2"/>
    <d v="2019-05-29T00:00:00"/>
    <x v="0"/>
    <n v="1695.7429999999997"/>
    <n v="1751.3929999999998"/>
    <x v="1"/>
    <x v="0"/>
    <x v="5"/>
    <n v="1"/>
  </r>
  <r>
    <n v="2"/>
    <d v="2019-05-29T00:00:00"/>
    <x v="1"/>
    <n v="827.89"/>
    <n v="603.6869999999999"/>
    <x v="1"/>
    <x v="0"/>
    <x v="5"/>
    <n v="1"/>
  </r>
  <r>
    <n v="2"/>
    <d v="2019-05-29T00:00:00"/>
    <x v="2"/>
    <n v="419.22999999999996"/>
    <n v="446.404"/>
    <x v="1"/>
    <x v="0"/>
    <x v="5"/>
    <n v="1"/>
  </r>
  <r>
    <n v="2"/>
    <d v="2019-05-29T00:00:00"/>
    <x v="3"/>
    <n v="0"/>
    <n v="363.86699999999996"/>
    <x v="1"/>
    <x v="0"/>
    <x v="5"/>
    <n v="1"/>
  </r>
  <r>
    <n v="2"/>
    <d v="2019-05-30T00:00:00"/>
    <x v="2"/>
    <n v="279.25099999999998"/>
    <n v="297.68199999999996"/>
    <x v="1"/>
    <x v="0"/>
    <x v="5"/>
    <n v="1"/>
  </r>
  <r>
    <n v="2"/>
    <d v="2019-05-30T00:00:00"/>
    <x v="0"/>
    <n v="1690.5139999999999"/>
    <n v="2021.0749999999998"/>
    <x v="1"/>
    <x v="0"/>
    <x v="5"/>
    <n v="1"/>
  </r>
  <r>
    <n v="2"/>
    <d v="2019-05-30T00:00:00"/>
    <x v="3"/>
    <n v="0"/>
    <n v="0"/>
    <x v="1"/>
    <x v="0"/>
    <x v="5"/>
    <n v="1"/>
  </r>
  <r>
    <n v="2"/>
    <d v="2019-05-30T00:00:00"/>
    <x v="1"/>
    <n v="1063.2160000000001"/>
    <n v="569.77199999999993"/>
    <x v="1"/>
    <x v="0"/>
    <x v="5"/>
    <n v="1"/>
  </r>
  <r>
    <n v="2"/>
    <d v="2019-05-31T00:00:00"/>
    <x v="2"/>
    <n v="299.62099999999998"/>
    <n v="486.69599999999997"/>
    <x v="1"/>
    <x v="0"/>
    <x v="5"/>
    <n v="1"/>
  </r>
  <r>
    <n v="2"/>
    <d v="2019-05-31T00:00:00"/>
    <x v="0"/>
    <n v="2378.6"/>
    <n v="2430.239"/>
    <x v="1"/>
    <x v="0"/>
    <x v="5"/>
    <n v="1"/>
  </r>
  <r>
    <n v="2"/>
    <d v="2019-05-31T00:00:00"/>
    <x v="3"/>
    <n v="0"/>
    <n v="0"/>
    <x v="1"/>
    <x v="0"/>
    <x v="5"/>
    <n v="1"/>
  </r>
  <r>
    <n v="2"/>
    <d v="2019-05-31T00:00:00"/>
    <x v="1"/>
    <n v="1252.104"/>
    <n v="681.779"/>
    <x v="1"/>
    <x v="0"/>
    <x v="5"/>
    <n v="1"/>
  </r>
  <r>
    <n v="2"/>
    <d v="2019-06-01T00:00:00"/>
    <x v="0"/>
    <n v="2085.2440000000001"/>
    <n v="2732.9119999999998"/>
    <x v="1"/>
    <x v="0"/>
    <x v="5"/>
    <n v="1"/>
  </r>
  <r>
    <n v="2"/>
    <d v="2019-06-01T00:00:00"/>
    <x v="3"/>
    <n v="0"/>
    <n v="0"/>
    <x v="1"/>
    <x v="0"/>
    <x v="5"/>
    <n v="1"/>
  </r>
  <r>
    <n v="2"/>
    <d v="2019-06-01T00:00:00"/>
    <x v="2"/>
    <n v="427.58800000000002"/>
    <n v="506.91899999999993"/>
    <x v="1"/>
    <x v="0"/>
    <x v="5"/>
    <n v="1"/>
  </r>
  <r>
    <n v="2"/>
    <d v="2019-06-01T00:00:00"/>
    <x v="1"/>
    <n v="794.80100000000004"/>
    <n v="417.08100000000002"/>
    <x v="1"/>
    <x v="0"/>
    <x v="5"/>
    <n v="1"/>
  </r>
  <r>
    <n v="2"/>
    <d v="2019-06-02T00:00:00"/>
    <x v="2"/>
    <n v="303.60399999999998"/>
    <n v="326.46599999999995"/>
    <x v="1"/>
    <x v="0"/>
    <x v="5"/>
    <n v="1"/>
  </r>
  <r>
    <n v="2"/>
    <d v="2019-06-02T00:00:00"/>
    <x v="1"/>
    <n v="682.77299999999991"/>
    <n v="469.90999999999991"/>
    <x v="1"/>
    <x v="0"/>
    <x v="5"/>
    <n v="1"/>
  </r>
  <r>
    <n v="2"/>
    <d v="2019-06-02T00:00:00"/>
    <x v="0"/>
    <n v="1104.5160000000001"/>
    <n v="1027.6489999999999"/>
    <x v="1"/>
    <x v="0"/>
    <x v="5"/>
    <n v="1"/>
  </r>
  <r>
    <n v="2"/>
    <d v="2019-06-02T00:00:00"/>
    <x v="3"/>
    <n v="31.744999999999997"/>
    <n v="345.80699999999996"/>
    <x v="1"/>
    <x v="0"/>
    <x v="5"/>
    <n v="1"/>
  </r>
  <r>
    <n v="2"/>
    <d v="2019-06-03T00:00:00"/>
    <x v="0"/>
    <n v="1665.1880000000001"/>
    <n v="1876.2939999999999"/>
    <x v="1"/>
    <x v="0"/>
    <x v="5"/>
    <n v="2"/>
  </r>
  <r>
    <n v="2"/>
    <d v="2019-06-03T00:00:00"/>
    <x v="3"/>
    <n v="0"/>
    <n v="0"/>
    <x v="1"/>
    <x v="0"/>
    <x v="5"/>
    <n v="2"/>
  </r>
  <r>
    <n v="2"/>
    <d v="2019-06-03T00:00:00"/>
    <x v="1"/>
    <n v="926.68799999999987"/>
    <n v="481.08899999999994"/>
    <x v="1"/>
    <x v="0"/>
    <x v="5"/>
    <n v="2"/>
  </r>
  <r>
    <n v="2"/>
    <d v="2019-06-03T00:00:00"/>
    <x v="2"/>
    <n v="242.31899999999999"/>
    <n v="308.959"/>
    <x v="1"/>
    <x v="0"/>
    <x v="5"/>
    <n v="2"/>
  </r>
  <r>
    <n v="2"/>
    <d v="2019-06-04T00:00:00"/>
    <x v="0"/>
    <n v="1872.5629999999999"/>
    <n v="2108.6169999999997"/>
    <x v="1"/>
    <x v="0"/>
    <x v="5"/>
    <n v="2"/>
  </r>
  <r>
    <n v="2"/>
    <d v="2019-06-04T00:00:00"/>
    <x v="3"/>
    <n v="0"/>
    <n v="207.71799999999999"/>
    <x v="1"/>
    <x v="0"/>
    <x v="5"/>
    <n v="2"/>
  </r>
  <r>
    <n v="2"/>
    <d v="2019-06-04T00:00:00"/>
    <x v="2"/>
    <n v="521.59100000000001"/>
    <n v="551.1099999999999"/>
    <x v="1"/>
    <x v="0"/>
    <x v="5"/>
    <n v="2"/>
  </r>
  <r>
    <n v="2"/>
    <d v="2019-06-04T00:00:00"/>
    <x v="1"/>
    <n v="929.404"/>
    <n v="506.00199999999995"/>
    <x v="1"/>
    <x v="0"/>
    <x v="5"/>
    <n v="2"/>
  </r>
  <r>
    <n v="2"/>
    <d v="2019-06-05T00:00:00"/>
    <x v="0"/>
    <n v="1533.9029999999998"/>
    <n v="1653.9739999999999"/>
    <x v="1"/>
    <x v="0"/>
    <x v="5"/>
    <n v="2"/>
  </r>
  <r>
    <n v="2"/>
    <d v="2019-06-05T00:00:00"/>
    <x v="3"/>
    <n v="0"/>
    <n v="0"/>
    <x v="1"/>
    <x v="0"/>
    <x v="5"/>
    <n v="2"/>
  </r>
  <r>
    <n v="2"/>
    <d v="2019-06-05T00:00:00"/>
    <x v="1"/>
    <n v="972.15999999999985"/>
    <n v="554.15499999999997"/>
    <x v="1"/>
    <x v="0"/>
    <x v="5"/>
    <n v="2"/>
  </r>
  <r>
    <n v="2"/>
    <d v="2019-06-05T00:00:00"/>
    <x v="2"/>
    <n v="294.09099999999995"/>
    <n v="287.476"/>
    <x v="1"/>
    <x v="0"/>
    <x v="5"/>
    <n v="2"/>
  </r>
  <r>
    <n v="2"/>
    <d v="2019-06-06T00:00:00"/>
    <x v="0"/>
    <n v="1493.1979999999999"/>
    <n v="2307.1929999999998"/>
    <x v="1"/>
    <x v="0"/>
    <x v="5"/>
    <n v="2"/>
  </r>
  <r>
    <n v="2"/>
    <d v="2019-06-06T00:00:00"/>
    <x v="1"/>
    <n v="1150.4849999999999"/>
    <n v="495.97799999999995"/>
    <x v="1"/>
    <x v="0"/>
    <x v="5"/>
    <n v="2"/>
  </r>
  <r>
    <n v="2"/>
    <d v="2019-06-06T00:00:00"/>
    <x v="3"/>
    <n v="0"/>
    <n v="0"/>
    <x v="1"/>
    <x v="0"/>
    <x v="5"/>
    <n v="2"/>
  </r>
  <r>
    <n v="2"/>
    <d v="2019-06-06T00:00:00"/>
    <x v="2"/>
    <n v="506.16300000000001"/>
    <n v="358.267"/>
    <x v="1"/>
    <x v="0"/>
    <x v="5"/>
    <n v="2"/>
  </r>
  <r>
    <n v="2"/>
    <d v="2019-06-07T00:00:00"/>
    <x v="1"/>
    <n v="1265.6209999999999"/>
    <n v="758.53399999999988"/>
    <x v="1"/>
    <x v="0"/>
    <x v="5"/>
    <n v="2"/>
  </r>
  <r>
    <n v="2"/>
    <d v="2019-06-07T00:00:00"/>
    <x v="2"/>
    <n v="353.60499999999996"/>
    <n v="482.57999999999993"/>
    <x v="1"/>
    <x v="0"/>
    <x v="5"/>
    <n v="2"/>
  </r>
  <r>
    <n v="2"/>
    <d v="2019-06-07T00:00:00"/>
    <x v="0"/>
    <n v="2512.5869999999995"/>
    <n v="2284.87"/>
    <x v="1"/>
    <x v="0"/>
    <x v="5"/>
    <n v="2"/>
  </r>
  <r>
    <n v="2"/>
    <d v="2019-06-07T00:00:00"/>
    <x v="3"/>
    <n v="201.07499999999999"/>
    <n v="0"/>
    <x v="1"/>
    <x v="0"/>
    <x v="5"/>
    <n v="2"/>
  </r>
  <r>
    <n v="2"/>
    <d v="2019-06-08T00:00:00"/>
    <x v="1"/>
    <n v="762.27199999999993"/>
    <n v="658.08399999999995"/>
    <x v="1"/>
    <x v="0"/>
    <x v="5"/>
    <n v="2"/>
  </r>
  <r>
    <n v="2"/>
    <d v="2019-06-08T00:00:00"/>
    <x v="3"/>
    <n v="23.484999999999996"/>
    <n v="161.54599999999999"/>
    <x v="1"/>
    <x v="0"/>
    <x v="5"/>
    <n v="2"/>
  </r>
  <r>
    <n v="2"/>
    <d v="2019-06-08T00:00:00"/>
    <x v="2"/>
    <n v="447.14599999999996"/>
    <n v="427.79799999999994"/>
    <x v="1"/>
    <x v="0"/>
    <x v="5"/>
    <n v="2"/>
  </r>
  <r>
    <n v="2"/>
    <d v="2019-06-08T00:00:00"/>
    <x v="0"/>
    <n v="2212.2939999999999"/>
    <n v="2342.8789999999999"/>
    <x v="1"/>
    <x v="0"/>
    <x v="5"/>
    <n v="2"/>
  </r>
  <r>
    <n v="2"/>
    <d v="2019-06-09T00:00:00"/>
    <x v="0"/>
    <n v="1606.0519999999999"/>
    <n v="1565.1929999999998"/>
    <x v="1"/>
    <x v="0"/>
    <x v="5"/>
    <n v="2"/>
  </r>
  <r>
    <n v="2"/>
    <d v="2019-06-09T00:00:00"/>
    <x v="2"/>
    <n v="124.41799999999999"/>
    <n v="173.292"/>
    <x v="1"/>
    <x v="0"/>
    <x v="5"/>
    <n v="2"/>
  </r>
  <r>
    <n v="2"/>
    <d v="2019-06-09T00:00:00"/>
    <x v="3"/>
    <n v="0"/>
    <n v="0"/>
    <x v="1"/>
    <x v="0"/>
    <x v="5"/>
    <n v="2"/>
  </r>
  <r>
    <n v="2"/>
    <d v="2019-06-09T00:00:00"/>
    <x v="1"/>
    <n v="821.07899999999995"/>
    <n v="469.02099999999996"/>
    <x v="1"/>
    <x v="0"/>
    <x v="5"/>
    <n v="2"/>
  </r>
  <r>
    <n v="2"/>
    <d v="2019-06-10T00:00:00"/>
    <x v="2"/>
    <n v="248.703"/>
    <n v="219.52"/>
    <x v="1"/>
    <x v="0"/>
    <x v="5"/>
    <n v="3"/>
  </r>
  <r>
    <n v="2"/>
    <d v="2019-06-10T00:00:00"/>
    <x v="0"/>
    <n v="1792.3149999999998"/>
    <n v="1836.1979999999999"/>
    <x v="1"/>
    <x v="0"/>
    <x v="5"/>
    <n v="3"/>
  </r>
  <r>
    <n v="2"/>
    <d v="2019-06-10T00:00:00"/>
    <x v="1"/>
    <n v="1190.4129999999998"/>
    <n v="484.75699999999995"/>
    <x v="1"/>
    <x v="0"/>
    <x v="5"/>
    <n v="3"/>
  </r>
  <r>
    <n v="2"/>
    <d v="2019-06-10T00:00:00"/>
    <x v="3"/>
    <n v="691.74"/>
    <n v="0"/>
    <x v="1"/>
    <x v="0"/>
    <x v="5"/>
    <n v="3"/>
  </r>
  <r>
    <n v="2"/>
    <d v="2019-06-11T00:00:00"/>
    <x v="2"/>
    <n v="558.85899999999992"/>
    <n v="498.49799999999993"/>
    <x v="1"/>
    <x v="0"/>
    <x v="5"/>
    <n v="3"/>
  </r>
  <r>
    <n v="2"/>
    <d v="2019-06-11T00:00:00"/>
    <x v="0"/>
    <n v="1923.7049999999999"/>
    <n v="2271.6539999999995"/>
    <x v="1"/>
    <x v="0"/>
    <x v="5"/>
    <n v="3"/>
  </r>
  <r>
    <n v="2"/>
    <d v="2019-06-11T00:00:00"/>
    <x v="1"/>
    <n v="1241.443"/>
    <n v="610.07099999999991"/>
    <x v="1"/>
    <x v="0"/>
    <x v="5"/>
    <n v="3"/>
  </r>
  <r>
    <n v="2"/>
    <d v="2019-06-11T00:00:00"/>
    <x v="3"/>
    <n v="0"/>
    <n v="161.54599999999999"/>
    <x v="1"/>
    <x v="0"/>
    <x v="5"/>
    <n v="3"/>
  </r>
  <r>
    <n v="2"/>
    <d v="2019-06-12T00:00:00"/>
    <x v="0"/>
    <n v="1654.9539999999997"/>
    <n v="1656.8579999999999"/>
    <x v="1"/>
    <x v="0"/>
    <x v="5"/>
    <n v="3"/>
  </r>
  <r>
    <n v="2"/>
    <d v="2019-06-12T00:00:00"/>
    <x v="3"/>
    <n v="1106.2589999999998"/>
    <n v="0"/>
    <x v="1"/>
    <x v="0"/>
    <x v="5"/>
    <n v="3"/>
  </r>
  <r>
    <n v="2"/>
    <d v="2019-06-12T00:00:00"/>
    <x v="2"/>
    <n v="299.98500000000001"/>
    <n v="531.55200000000002"/>
    <x v="1"/>
    <x v="0"/>
    <x v="5"/>
    <n v="3"/>
  </r>
  <r>
    <n v="2"/>
    <d v="2019-06-12T00:00:00"/>
    <x v="1"/>
    <n v="1075.557"/>
    <n v="440.286"/>
    <x v="1"/>
    <x v="0"/>
    <x v="5"/>
    <n v="3"/>
  </r>
  <r>
    <n v="2"/>
    <d v="2019-06-13T00:00:00"/>
    <x v="2"/>
    <n v="274.59599999999995"/>
    <n v="670.75400000000002"/>
    <x v="1"/>
    <x v="0"/>
    <x v="5"/>
    <n v="3"/>
  </r>
  <r>
    <n v="2"/>
    <d v="2019-06-13T00:00:00"/>
    <x v="0"/>
    <n v="1821.7359999999999"/>
    <n v="1904.0629999999999"/>
    <x v="1"/>
    <x v="0"/>
    <x v="5"/>
    <n v="3"/>
  </r>
  <r>
    <n v="2"/>
    <d v="2019-06-13T00:00:00"/>
    <x v="1"/>
    <n v="1430.0719999999999"/>
    <n v="716.66"/>
    <x v="1"/>
    <x v="0"/>
    <x v="5"/>
    <n v="3"/>
  </r>
  <r>
    <n v="2"/>
    <d v="2019-06-13T00:00:00"/>
    <x v="3"/>
    <n v="65.757999999999996"/>
    <n v="27.341999999999999"/>
    <x v="1"/>
    <x v="0"/>
    <x v="5"/>
    <n v="3"/>
  </r>
  <r>
    <n v="2"/>
    <d v="2019-06-14T00:00:00"/>
    <x v="1"/>
    <n v="1163.4699999999998"/>
    <n v="594.61500000000001"/>
    <x v="1"/>
    <x v="0"/>
    <x v="5"/>
    <n v="3"/>
  </r>
  <r>
    <n v="2"/>
    <d v="2019-06-14T00:00:00"/>
    <x v="2"/>
    <n v="249.74599999999995"/>
    <n v="334.04699999999997"/>
    <x v="1"/>
    <x v="0"/>
    <x v="5"/>
    <n v="3"/>
  </r>
  <r>
    <n v="2"/>
    <d v="2019-06-14T00:00:00"/>
    <x v="0"/>
    <n v="2595.047"/>
    <n v="2583.9939999999997"/>
    <x v="1"/>
    <x v="0"/>
    <x v="5"/>
    <n v="3"/>
  </r>
  <r>
    <n v="2"/>
    <d v="2019-06-14T00:00:00"/>
    <x v="3"/>
    <n v="0"/>
    <n v="0"/>
    <x v="1"/>
    <x v="0"/>
    <x v="5"/>
    <n v="3"/>
  </r>
  <r>
    <n v="2"/>
    <d v="2019-06-15T00:00:00"/>
    <x v="2"/>
    <n v="481.92899999999997"/>
    <n v="407.988"/>
    <x v="1"/>
    <x v="0"/>
    <x v="5"/>
    <n v="3"/>
  </r>
  <r>
    <n v="2"/>
    <d v="2019-06-15T00:00:00"/>
    <x v="0"/>
    <n v="2627.38"/>
    <n v="2035.7819999999999"/>
    <x v="1"/>
    <x v="0"/>
    <x v="5"/>
    <n v="3"/>
  </r>
  <r>
    <n v="2"/>
    <d v="2019-06-15T00:00:00"/>
    <x v="3"/>
    <n v="15.308999999999999"/>
    <n v="0"/>
    <x v="1"/>
    <x v="0"/>
    <x v="5"/>
    <n v="3"/>
  </r>
  <r>
    <n v="2"/>
    <d v="2019-06-15T00:00:00"/>
    <x v="1"/>
    <n v="1221.0449999999998"/>
    <n v="600.649"/>
    <x v="1"/>
    <x v="0"/>
    <x v="5"/>
    <n v="3"/>
  </r>
  <r>
    <n v="2"/>
    <d v="2019-06-16T00:00:00"/>
    <x v="3"/>
    <n v="0"/>
    <n v="21.181999999999999"/>
    <x v="1"/>
    <x v="0"/>
    <x v="5"/>
    <n v="3"/>
  </r>
  <r>
    <n v="2"/>
    <d v="2019-06-16T00:00:00"/>
    <x v="0"/>
    <n v="1441.4259999999997"/>
    <n v="878.3599999999999"/>
    <x v="1"/>
    <x v="0"/>
    <x v="5"/>
    <n v="3"/>
  </r>
  <r>
    <n v="2"/>
    <d v="2019-06-16T00:00:00"/>
    <x v="2"/>
    <n v="284.25599999999997"/>
    <n v="255.94799999999998"/>
    <x v="1"/>
    <x v="0"/>
    <x v="5"/>
    <n v="3"/>
  </r>
  <r>
    <n v="2"/>
    <d v="2019-06-16T00:00:00"/>
    <x v="1"/>
    <n v="604.98899999999992"/>
    <n v="378.34999999999997"/>
    <x v="1"/>
    <x v="0"/>
    <x v="5"/>
    <n v="3"/>
  </r>
  <r>
    <n v="2"/>
    <d v="2019-06-17T00:00:00"/>
    <x v="1"/>
    <n v="940.59699999999998"/>
    <n v="484.86199999999997"/>
    <x v="1"/>
    <x v="0"/>
    <x v="5"/>
    <n v="4"/>
  </r>
  <r>
    <n v="2"/>
    <d v="2019-06-17T00:00:00"/>
    <x v="2"/>
    <n v="333.17899999999997"/>
    <n v="334.06099999999998"/>
    <x v="1"/>
    <x v="0"/>
    <x v="5"/>
    <n v="4"/>
  </r>
  <r>
    <n v="2"/>
    <d v="2019-06-17T00:00:00"/>
    <x v="0"/>
    <n v="1446.1229999999998"/>
    <n v="1662.7660000000001"/>
    <x v="1"/>
    <x v="0"/>
    <x v="5"/>
    <n v="4"/>
  </r>
  <r>
    <n v="2"/>
    <d v="2019-06-17T00:00:00"/>
    <x v="3"/>
    <n v="0"/>
    <n v="0"/>
    <x v="1"/>
    <x v="0"/>
    <x v="5"/>
    <n v="4"/>
  </r>
  <r>
    <n v="2"/>
    <d v="2019-06-18T00:00:00"/>
    <x v="1"/>
    <n v="1090.5999999999999"/>
    <n v="553.46899999999994"/>
    <x v="1"/>
    <x v="0"/>
    <x v="5"/>
    <n v="4"/>
  </r>
  <r>
    <n v="2"/>
    <d v="2019-06-18T00:00:00"/>
    <x v="2"/>
    <n v="298.62700000000001"/>
    <n v="387.43599999999998"/>
    <x v="1"/>
    <x v="0"/>
    <x v="5"/>
    <n v="4"/>
  </r>
  <r>
    <n v="2"/>
    <d v="2019-06-18T00:00:00"/>
    <x v="3"/>
    <n v="354.03899999999999"/>
    <n v="0"/>
    <x v="1"/>
    <x v="0"/>
    <x v="5"/>
    <n v="4"/>
  </r>
  <r>
    <n v="2"/>
    <d v="2019-06-18T00:00:00"/>
    <x v="0"/>
    <n v="1950.2699999999998"/>
    <n v="1899.4570000000001"/>
    <x v="1"/>
    <x v="0"/>
    <x v="5"/>
    <n v="4"/>
  </r>
  <r>
    <n v="2"/>
    <d v="2019-06-19T00:00:00"/>
    <x v="0"/>
    <n v="1988.4549999999999"/>
    <n v="1836.0509999999997"/>
    <x v="1"/>
    <x v="0"/>
    <x v="5"/>
    <n v="4"/>
  </r>
  <r>
    <n v="2"/>
    <d v="2019-06-19T00:00:00"/>
    <x v="2"/>
    <n v="549.12900000000002"/>
    <n v="342.14599999999996"/>
    <x v="1"/>
    <x v="0"/>
    <x v="5"/>
    <n v="4"/>
  </r>
  <r>
    <n v="2"/>
    <d v="2019-06-19T00:00:00"/>
    <x v="1"/>
    <n v="1140.867"/>
    <n v="598.66099999999994"/>
    <x v="1"/>
    <x v="0"/>
    <x v="5"/>
    <n v="4"/>
  </r>
  <r>
    <n v="2"/>
    <d v="2019-06-19T00:00:00"/>
    <x v="3"/>
    <n v="0"/>
    <n v="155.946"/>
    <x v="1"/>
    <x v="0"/>
    <x v="5"/>
    <n v="4"/>
  </r>
  <r>
    <n v="2"/>
    <d v="2019-06-20T00:00:00"/>
    <x v="3"/>
    <n v="0"/>
    <n v="0"/>
    <x v="1"/>
    <x v="0"/>
    <x v="5"/>
    <n v="4"/>
  </r>
  <r>
    <n v="2"/>
    <d v="2019-06-20T00:00:00"/>
    <x v="1"/>
    <n v="1259.7199999999998"/>
    <n v="566.28599999999994"/>
    <x v="1"/>
    <x v="0"/>
    <x v="5"/>
    <n v="4"/>
  </r>
  <r>
    <n v="2"/>
    <d v="2019-06-20T00:00:00"/>
    <x v="0"/>
    <n v="1761.144"/>
    <n v="2128.7839999999997"/>
    <x v="1"/>
    <x v="0"/>
    <x v="5"/>
    <n v="4"/>
  </r>
  <r>
    <n v="2"/>
    <d v="2019-06-20T00:00:00"/>
    <x v="2"/>
    <n v="501.80899999999997"/>
    <n v="426.58"/>
    <x v="1"/>
    <x v="0"/>
    <x v="5"/>
    <n v="4"/>
  </r>
  <r>
    <n v="2"/>
    <d v="2019-06-21T00:00:00"/>
    <x v="2"/>
    <n v="254.268"/>
    <n v="571.9"/>
    <x v="1"/>
    <x v="0"/>
    <x v="5"/>
    <n v="4"/>
  </r>
  <r>
    <n v="2"/>
    <d v="2019-06-21T00:00:00"/>
    <x v="1"/>
    <n v="1175.587"/>
    <n v="951.86699999999985"/>
    <x v="1"/>
    <x v="0"/>
    <x v="5"/>
    <n v="4"/>
  </r>
  <r>
    <n v="2"/>
    <d v="2019-06-21T00:00:00"/>
    <x v="0"/>
    <n v="2307.6410000000001"/>
    <n v="2443.5249999999996"/>
    <x v="1"/>
    <x v="0"/>
    <x v="5"/>
    <n v="4"/>
  </r>
  <r>
    <n v="2"/>
    <d v="2019-06-21T00:00:00"/>
    <x v="3"/>
    <n v="583.19099999999992"/>
    <n v="0"/>
    <x v="1"/>
    <x v="0"/>
    <x v="5"/>
    <n v="4"/>
  </r>
  <r>
    <n v="2"/>
    <d v="2019-06-22T00:00:00"/>
    <x v="1"/>
    <n v="859.31299999999987"/>
    <n v="719.27099999999996"/>
    <x v="1"/>
    <x v="0"/>
    <x v="5"/>
    <n v="4"/>
  </r>
  <r>
    <n v="2"/>
    <d v="2019-06-22T00:00:00"/>
    <x v="2"/>
    <n v="251.97900000000001"/>
    <n v="437.10099999999994"/>
    <x v="1"/>
    <x v="0"/>
    <x v="5"/>
    <n v="4"/>
  </r>
  <r>
    <n v="2"/>
    <d v="2019-06-22T00:00:00"/>
    <x v="0"/>
    <n v="2076.1929999999998"/>
    <n v="2565.4089999999997"/>
    <x v="1"/>
    <x v="0"/>
    <x v="5"/>
    <n v="4"/>
  </r>
  <r>
    <n v="2"/>
    <d v="2019-06-22T00:00:00"/>
    <x v="3"/>
    <n v="1407.665"/>
    <n v="0"/>
    <x v="1"/>
    <x v="0"/>
    <x v="5"/>
    <n v="4"/>
  </r>
  <r>
    <n v="2"/>
    <d v="2019-06-23T00:00:00"/>
    <x v="0"/>
    <n v="1554.749"/>
    <n v="927.11500000000001"/>
    <x v="1"/>
    <x v="0"/>
    <x v="5"/>
    <n v="4"/>
  </r>
  <r>
    <n v="2"/>
    <d v="2019-06-23T00:00:00"/>
    <x v="2"/>
    <n v="247.55499999999998"/>
    <n v="247.702"/>
    <x v="1"/>
    <x v="0"/>
    <x v="5"/>
    <n v="4"/>
  </r>
  <r>
    <n v="2"/>
    <d v="2019-06-23T00:00:00"/>
    <x v="3"/>
    <n v="0"/>
    <n v="0"/>
    <x v="1"/>
    <x v="0"/>
    <x v="5"/>
    <n v="4"/>
  </r>
  <r>
    <n v="2"/>
    <d v="2019-06-23T00:00:00"/>
    <x v="1"/>
    <n v="558.76099999999997"/>
    <n v="361.70400000000001"/>
    <x v="1"/>
    <x v="0"/>
    <x v="5"/>
    <n v="4"/>
  </r>
  <r>
    <n v="2"/>
    <d v="2019-06-24T00:00:00"/>
    <x v="3"/>
    <n v="320.14499999999998"/>
    <n v="617.6869999999999"/>
    <x v="1"/>
    <x v="0"/>
    <x v="5"/>
    <n v="5"/>
  </r>
  <r>
    <n v="2"/>
    <d v="2019-06-24T00:00:00"/>
    <x v="0"/>
    <n v="1562.1619999999998"/>
    <n v="1709.3089999999997"/>
    <x v="1"/>
    <x v="0"/>
    <x v="5"/>
    <n v="5"/>
  </r>
  <r>
    <n v="2"/>
    <d v="2019-06-24T00:00:00"/>
    <x v="2"/>
    <n v="448.245"/>
    <n v="327.93599999999998"/>
    <x v="1"/>
    <x v="0"/>
    <x v="5"/>
    <n v="5"/>
  </r>
  <r>
    <n v="2"/>
    <d v="2019-06-24T00:00:00"/>
    <x v="1"/>
    <n v="1000.279"/>
    <n v="626.36699999999996"/>
    <x v="1"/>
    <x v="0"/>
    <x v="5"/>
    <n v="5"/>
  </r>
  <r>
    <n v="2"/>
    <d v="2019-06-25T00:00:00"/>
    <x v="0"/>
    <n v="1966.2929999999997"/>
    <n v="1794.7859999999998"/>
    <x v="1"/>
    <x v="0"/>
    <x v="5"/>
    <n v="5"/>
  </r>
  <r>
    <n v="2"/>
    <d v="2019-06-25T00:00:00"/>
    <x v="1"/>
    <n v="1108.1980000000001"/>
    <n v="664.94399999999996"/>
    <x v="1"/>
    <x v="0"/>
    <x v="5"/>
    <n v="5"/>
  </r>
  <r>
    <n v="2"/>
    <d v="2019-06-25T00:00:00"/>
    <x v="3"/>
    <n v="1166.2349999999999"/>
    <n v="413.58800000000002"/>
    <x v="1"/>
    <x v="0"/>
    <x v="5"/>
    <n v="5"/>
  </r>
  <r>
    <n v="2"/>
    <d v="2019-06-25T00:00:00"/>
    <x v="2"/>
    <n v="306.95699999999999"/>
    <n v="278.14499999999998"/>
    <x v="1"/>
    <x v="0"/>
    <x v="5"/>
    <n v="5"/>
  </r>
  <r>
    <n v="2"/>
    <d v="2019-06-26T00:00:00"/>
    <x v="0"/>
    <n v="1496.502"/>
    <n v="1914.85"/>
    <x v="1"/>
    <x v="0"/>
    <x v="5"/>
    <n v="5"/>
  </r>
  <r>
    <n v="2"/>
    <d v="2019-06-26T00:00:00"/>
    <x v="2"/>
    <n v="161.79799999999997"/>
    <n v="227.94799999999998"/>
    <x v="1"/>
    <x v="0"/>
    <x v="5"/>
    <n v="5"/>
  </r>
  <r>
    <n v="2"/>
    <d v="2019-06-26T00:00:00"/>
    <x v="3"/>
    <n v="0"/>
    <n v="212.19799999999998"/>
    <x v="1"/>
    <x v="0"/>
    <x v="5"/>
    <n v="5"/>
  </r>
  <r>
    <n v="2"/>
    <d v="2019-06-26T00:00:00"/>
    <x v="1"/>
    <n v="1023.2459999999999"/>
    <n v="698.64199999999994"/>
    <x v="1"/>
    <x v="0"/>
    <x v="5"/>
    <n v="5"/>
  </r>
  <r>
    <n v="2"/>
    <d v="2019-06-27T00:00:00"/>
    <x v="3"/>
    <n v="22.645"/>
    <n v="194.62800000000001"/>
    <x v="1"/>
    <x v="0"/>
    <x v="5"/>
    <n v="5"/>
  </r>
  <r>
    <n v="2"/>
    <d v="2019-06-27T00:00:00"/>
    <x v="2"/>
    <n v="305.34699999999998"/>
    <n v="520.625"/>
    <x v="1"/>
    <x v="0"/>
    <x v="5"/>
    <n v="5"/>
  </r>
  <r>
    <n v="2"/>
    <d v="2019-06-27T00:00:00"/>
    <x v="0"/>
    <n v="2112.5720000000001"/>
    <n v="2289.8049999999998"/>
    <x v="1"/>
    <x v="0"/>
    <x v="5"/>
    <n v="5"/>
  </r>
  <r>
    <n v="2"/>
    <d v="2019-06-27T00:00:00"/>
    <x v="1"/>
    <n v="1209.81"/>
    <n v="583.21899999999994"/>
    <x v="1"/>
    <x v="0"/>
    <x v="5"/>
    <n v="5"/>
  </r>
  <r>
    <n v="2"/>
    <d v="2019-06-28T00:00:00"/>
    <x v="2"/>
    <n v="285.01900000000001"/>
    <n v="431.12299999999999"/>
    <x v="1"/>
    <x v="0"/>
    <x v="5"/>
    <n v="5"/>
  </r>
  <r>
    <n v="2"/>
    <d v="2019-06-28T00:00:00"/>
    <x v="0"/>
    <n v="2141.4470000000001"/>
    <n v="2629.2629999999999"/>
    <x v="1"/>
    <x v="0"/>
    <x v="5"/>
    <n v="5"/>
  </r>
  <r>
    <n v="2"/>
    <d v="2019-06-28T00:00:00"/>
    <x v="3"/>
    <n v="0"/>
    <n v="0"/>
    <x v="1"/>
    <x v="0"/>
    <x v="5"/>
    <n v="5"/>
  </r>
  <r>
    <n v="2"/>
    <d v="2019-06-28T00:00:00"/>
    <x v="1"/>
    <n v="1289.386"/>
    <n v="736.82699999999988"/>
    <x v="1"/>
    <x v="0"/>
    <x v="5"/>
    <n v="5"/>
  </r>
  <r>
    <n v="2"/>
    <d v="2019-06-29T00:00:00"/>
    <x v="1"/>
    <n v="993.59399999999994"/>
    <n v="695.26799999999992"/>
    <x v="1"/>
    <x v="0"/>
    <x v="5"/>
    <n v="5"/>
  </r>
  <r>
    <n v="2"/>
    <d v="2019-06-29T00:00:00"/>
    <x v="2"/>
    <n v="269.64699999999999"/>
    <n v="341.92899999999997"/>
    <x v="1"/>
    <x v="0"/>
    <x v="5"/>
    <n v="5"/>
  </r>
  <r>
    <n v="2"/>
    <d v="2019-06-29T00:00:00"/>
    <x v="3"/>
    <n v="0"/>
    <n v="0"/>
    <x v="1"/>
    <x v="0"/>
    <x v="5"/>
    <n v="5"/>
  </r>
  <r>
    <n v="2"/>
    <d v="2019-06-29T00:00:00"/>
    <x v="0"/>
    <n v="1901.3329999999999"/>
    <n v="2181.83"/>
    <x v="1"/>
    <x v="0"/>
    <x v="5"/>
    <n v="5"/>
  </r>
  <r>
    <n v="2"/>
    <d v="2019-06-30T00:00:00"/>
    <x v="0"/>
    <n v="1293.9079999999999"/>
    <n v="1226.7569999999998"/>
    <x v="1"/>
    <x v="0"/>
    <x v="5"/>
    <n v="5"/>
  </r>
  <r>
    <n v="2"/>
    <d v="2019-06-30T00:00:00"/>
    <x v="3"/>
    <n v="0"/>
    <n v="0"/>
    <x v="1"/>
    <x v="0"/>
    <x v="5"/>
    <n v="5"/>
  </r>
  <r>
    <n v="2"/>
    <d v="2019-06-30T00:00:00"/>
    <x v="1"/>
    <n v="1007.314"/>
    <n v="614.50199999999995"/>
    <x v="1"/>
    <x v="0"/>
    <x v="5"/>
    <n v="5"/>
  </r>
  <r>
    <n v="2"/>
    <d v="2019-06-30T00:00:00"/>
    <x v="2"/>
    <n v="266.81900000000002"/>
    <n v="169.547"/>
    <x v="1"/>
    <x v="0"/>
    <x v="5"/>
    <n v="5"/>
  </r>
  <r>
    <n v="2"/>
    <d v="2019-07-01T00:00:00"/>
    <x v="0"/>
    <n v="1730.8759999999997"/>
    <n v="2363.48"/>
    <x v="1"/>
    <x v="0"/>
    <x v="6"/>
    <n v="1"/>
  </r>
  <r>
    <n v="2"/>
    <d v="2019-07-01T00:00:00"/>
    <x v="1"/>
    <n v="1114.33"/>
    <n v="485.40800000000002"/>
    <x v="1"/>
    <x v="0"/>
    <x v="6"/>
    <n v="1"/>
  </r>
  <r>
    <n v="2"/>
    <d v="2019-07-01T00:00:00"/>
    <x v="3"/>
    <n v="0"/>
    <n v="0"/>
    <x v="1"/>
    <x v="0"/>
    <x v="6"/>
    <n v="1"/>
  </r>
  <r>
    <n v="2"/>
    <d v="2019-07-01T00:00:00"/>
    <x v="2"/>
    <n v="267.18299999999999"/>
    <n v="386.77799999999996"/>
    <x v="1"/>
    <x v="0"/>
    <x v="6"/>
    <n v="1"/>
  </r>
  <r>
    <n v="2"/>
    <d v="2019-07-02T00:00:00"/>
    <x v="1"/>
    <n v="1143.3169999999998"/>
    <n v="771.07099999999991"/>
    <x v="1"/>
    <x v="0"/>
    <x v="6"/>
    <n v="1"/>
  </r>
  <r>
    <n v="2"/>
    <d v="2019-07-02T00:00:00"/>
    <x v="2"/>
    <n v="241.227"/>
    <n v="524.89499999999998"/>
    <x v="1"/>
    <x v="0"/>
    <x v="6"/>
    <n v="1"/>
  </r>
  <r>
    <n v="2"/>
    <d v="2019-07-02T00:00:00"/>
    <x v="0"/>
    <n v="2285.71"/>
    <n v="2314.172"/>
    <x v="1"/>
    <x v="0"/>
    <x v="6"/>
    <n v="1"/>
  </r>
  <r>
    <n v="2"/>
    <d v="2019-07-02T00:00:00"/>
    <x v="3"/>
    <n v="4.1859999999999999"/>
    <n v="153.86699999999999"/>
    <x v="1"/>
    <x v="0"/>
    <x v="6"/>
    <n v="1"/>
  </r>
  <r>
    <n v="2"/>
    <d v="2019-07-03T00:00:00"/>
    <x v="0"/>
    <n v="1989.12"/>
    <n v="1501.1990000000001"/>
    <x v="1"/>
    <x v="0"/>
    <x v="6"/>
    <n v="1"/>
  </r>
  <r>
    <n v="2"/>
    <d v="2019-07-03T00:00:00"/>
    <x v="2"/>
    <n v="276.61899999999997"/>
    <n v="343.72800000000001"/>
    <x v="1"/>
    <x v="0"/>
    <x v="6"/>
    <n v="1"/>
  </r>
  <r>
    <n v="2"/>
    <d v="2019-07-03T00:00:00"/>
    <x v="3"/>
    <n v="131.607"/>
    <n v="0"/>
    <x v="1"/>
    <x v="0"/>
    <x v="6"/>
    <n v="1"/>
  </r>
  <r>
    <n v="2"/>
    <d v="2019-07-03T00:00:00"/>
    <x v="1"/>
    <n v="1272.8869999999999"/>
    <n v="245.85400000000001"/>
    <x v="1"/>
    <x v="0"/>
    <x v="6"/>
    <n v="1"/>
  </r>
  <r>
    <n v="2"/>
    <d v="2019-07-04T00:00:00"/>
    <x v="1"/>
    <n v="606.62699999999995"/>
    <n v="570.04499999999996"/>
    <x v="1"/>
    <x v="0"/>
    <x v="6"/>
    <n v="1"/>
  </r>
  <r>
    <n v="2"/>
    <d v="2019-07-04T00:00:00"/>
    <x v="0"/>
    <n v="1972.9639999999999"/>
    <n v="1829.9189999999999"/>
    <x v="1"/>
    <x v="0"/>
    <x v="6"/>
    <n v="1"/>
  </r>
  <r>
    <n v="2"/>
    <d v="2019-07-04T00:00:00"/>
    <x v="2"/>
    <n v="208.89400000000001"/>
    <n v="211.54"/>
    <x v="1"/>
    <x v="0"/>
    <x v="6"/>
    <n v="1"/>
  </r>
  <r>
    <n v="2"/>
    <d v="2019-07-04T00:00:00"/>
    <x v="3"/>
    <n v="0"/>
    <n v="1137.6399999999999"/>
    <x v="1"/>
    <x v="0"/>
    <x v="6"/>
    <n v="1"/>
  </r>
  <r>
    <n v="2"/>
    <d v="2019-07-05T00:00:00"/>
    <x v="3"/>
    <n v="524.57999999999993"/>
    <n v="0"/>
    <x v="1"/>
    <x v="0"/>
    <x v="6"/>
    <n v="1"/>
  </r>
  <r>
    <n v="2"/>
    <d v="2019-07-05T00:00:00"/>
    <x v="0"/>
    <n v="1960.6229999999998"/>
    <n v="2122.3649999999998"/>
    <x v="1"/>
    <x v="0"/>
    <x v="6"/>
    <n v="1"/>
  </r>
  <r>
    <n v="2"/>
    <d v="2019-07-05T00:00:00"/>
    <x v="2"/>
    <n v="316.89"/>
    <n v="316.06399999999996"/>
    <x v="1"/>
    <x v="0"/>
    <x v="6"/>
    <n v="1"/>
  </r>
  <r>
    <n v="2"/>
    <d v="2019-07-05T00:00:00"/>
    <x v="1"/>
    <n v="1068.5849999999998"/>
    <n v="707.37799999999993"/>
    <x v="1"/>
    <x v="0"/>
    <x v="6"/>
    <n v="1"/>
  </r>
  <r>
    <n v="2"/>
    <d v="2019-07-06T00:00:00"/>
    <x v="0"/>
    <n v="2046.8559999999998"/>
    <n v="2242.527"/>
    <x v="1"/>
    <x v="0"/>
    <x v="6"/>
    <n v="1"/>
  </r>
  <r>
    <n v="2"/>
    <d v="2019-07-06T00:00:00"/>
    <x v="1"/>
    <n v="1096.7249999999999"/>
    <n v="612.80099999999993"/>
    <x v="1"/>
    <x v="0"/>
    <x v="6"/>
    <n v="1"/>
  </r>
  <r>
    <n v="2"/>
    <d v="2019-07-06T00:00:00"/>
    <x v="3"/>
    <n v="0"/>
    <n v="520.25400000000002"/>
    <x v="1"/>
    <x v="0"/>
    <x v="6"/>
    <n v="1"/>
  </r>
  <r>
    <n v="2"/>
    <d v="2019-07-06T00:00:00"/>
    <x v="2"/>
    <n v="401.42200000000003"/>
    <n v="412.02"/>
    <x v="1"/>
    <x v="0"/>
    <x v="6"/>
    <n v="1"/>
  </r>
  <r>
    <n v="2"/>
    <d v="2019-07-07T00:00:00"/>
    <x v="0"/>
    <n v="1496.8799999999999"/>
    <n v="1366.9739999999999"/>
    <x v="1"/>
    <x v="0"/>
    <x v="6"/>
    <n v="1"/>
  </r>
  <r>
    <n v="2"/>
    <d v="2019-07-07T00:00:00"/>
    <x v="3"/>
    <n v="0"/>
    <n v="0"/>
    <x v="1"/>
    <x v="0"/>
    <x v="6"/>
    <n v="1"/>
  </r>
  <r>
    <n v="2"/>
    <d v="2019-07-07T00:00:00"/>
    <x v="1"/>
    <n v="1054.7529999999999"/>
    <n v="499.24700000000001"/>
    <x v="1"/>
    <x v="0"/>
    <x v="6"/>
    <n v="1"/>
  </r>
  <r>
    <n v="2"/>
    <d v="2019-07-07T00:00:00"/>
    <x v="2"/>
    <n v="176.75"/>
    <n v="360.577"/>
    <x v="1"/>
    <x v="0"/>
    <x v="6"/>
    <n v="1"/>
  </r>
  <r>
    <n v="2"/>
    <d v="2019-07-08T00:00:00"/>
    <x v="2"/>
    <n v="129.31800000000001"/>
    <n v="316.40699999999998"/>
    <x v="1"/>
    <x v="0"/>
    <x v="6"/>
    <n v="2"/>
  </r>
  <r>
    <n v="2"/>
    <d v="2019-07-08T00:00:00"/>
    <x v="3"/>
    <n v="0"/>
    <n v="6.6290000000000004"/>
    <x v="1"/>
    <x v="0"/>
    <x v="6"/>
    <n v="2"/>
  </r>
  <r>
    <n v="2"/>
    <d v="2019-07-08T00:00:00"/>
    <x v="0"/>
    <n v="1500.3309999999999"/>
    <n v="1758.82"/>
    <x v="1"/>
    <x v="0"/>
    <x v="6"/>
    <n v="2"/>
  </r>
  <r>
    <n v="2"/>
    <d v="2019-07-08T00:00:00"/>
    <x v="1"/>
    <n v="878.98299999999995"/>
    <n v="443.233"/>
    <x v="1"/>
    <x v="0"/>
    <x v="6"/>
    <n v="2"/>
  </r>
  <r>
    <n v="2"/>
    <d v="2019-07-09T00:00:00"/>
    <x v="0"/>
    <n v="1755.432"/>
    <n v="1823.2339999999997"/>
    <x v="1"/>
    <x v="0"/>
    <x v="6"/>
    <n v="2"/>
  </r>
  <r>
    <n v="2"/>
    <d v="2019-07-09T00:00:00"/>
    <x v="3"/>
    <n v="0"/>
    <n v="0"/>
    <x v="1"/>
    <x v="0"/>
    <x v="6"/>
    <n v="2"/>
  </r>
  <r>
    <n v="2"/>
    <d v="2019-07-09T00:00:00"/>
    <x v="1"/>
    <n v="951.447"/>
    <n v="532.76300000000003"/>
    <x v="1"/>
    <x v="0"/>
    <x v="6"/>
    <n v="2"/>
  </r>
  <r>
    <n v="2"/>
    <d v="2019-07-09T00:00:00"/>
    <x v="2"/>
    <n v="395.59099999999995"/>
    <n v="234.87799999999999"/>
    <x v="1"/>
    <x v="0"/>
    <x v="6"/>
    <n v="2"/>
  </r>
  <r>
    <n v="2"/>
    <d v="2019-07-10T00:00:00"/>
    <x v="2"/>
    <n v="462.42699999999996"/>
    <n v="195.69899999999998"/>
    <x v="1"/>
    <x v="0"/>
    <x v="6"/>
    <n v="2"/>
  </r>
  <r>
    <n v="2"/>
    <d v="2019-07-10T00:00:00"/>
    <x v="0"/>
    <n v="1604.5539999999999"/>
    <n v="1968.5889999999999"/>
    <x v="1"/>
    <x v="0"/>
    <x v="6"/>
    <n v="2"/>
  </r>
  <r>
    <n v="2"/>
    <d v="2019-07-10T00:00:00"/>
    <x v="3"/>
    <n v="0"/>
    <n v="185.01"/>
    <x v="1"/>
    <x v="0"/>
    <x v="6"/>
    <n v="2"/>
  </r>
  <r>
    <n v="2"/>
    <d v="2019-07-10T00:00:00"/>
    <x v="1"/>
    <n v="1013.4809999999999"/>
    <n v="887.18000000000006"/>
    <x v="1"/>
    <x v="0"/>
    <x v="6"/>
    <n v="2"/>
  </r>
  <r>
    <n v="2"/>
    <d v="2019-07-11T00:00:00"/>
    <x v="2"/>
    <n v="170.40799999999999"/>
    <n v="409.00999999999993"/>
    <x v="1"/>
    <x v="0"/>
    <x v="6"/>
    <n v="2"/>
  </r>
  <r>
    <n v="2"/>
    <d v="2019-07-11T00:00:00"/>
    <x v="3"/>
    <n v="0"/>
    <n v="0"/>
    <x v="1"/>
    <x v="0"/>
    <x v="6"/>
    <n v="2"/>
  </r>
  <r>
    <n v="2"/>
    <d v="2019-07-11T00:00:00"/>
    <x v="0"/>
    <n v="2176.538"/>
    <n v="2353.89"/>
    <x v="1"/>
    <x v="0"/>
    <x v="6"/>
    <n v="2"/>
  </r>
  <r>
    <n v="2"/>
    <d v="2019-07-11T00:00:00"/>
    <x v="1"/>
    <n v="1107.057"/>
    <n v="751.26799999999992"/>
    <x v="1"/>
    <x v="0"/>
    <x v="6"/>
    <n v="2"/>
  </r>
  <r>
    <n v="2"/>
    <d v="2019-07-12T00:00:00"/>
    <x v="1"/>
    <n v="1282.54"/>
    <n v="958.73399999999981"/>
    <x v="1"/>
    <x v="0"/>
    <x v="6"/>
    <n v="2"/>
  </r>
  <r>
    <n v="2"/>
    <d v="2019-07-12T00:00:00"/>
    <x v="3"/>
    <n v="169.45599999999999"/>
    <n v="0"/>
    <x v="1"/>
    <x v="0"/>
    <x v="6"/>
    <n v="2"/>
  </r>
  <r>
    <n v="2"/>
    <d v="2019-07-12T00:00:00"/>
    <x v="2"/>
    <n v="278.166"/>
    <n v="496.74799999999993"/>
    <x v="1"/>
    <x v="0"/>
    <x v="6"/>
    <n v="2"/>
  </r>
  <r>
    <n v="2"/>
    <d v="2019-07-12T00:00:00"/>
    <x v="0"/>
    <n v="2694.902"/>
    <n v="3193.2670000000003"/>
    <x v="1"/>
    <x v="0"/>
    <x v="6"/>
    <n v="2"/>
  </r>
  <r>
    <n v="2"/>
    <d v="2019-07-13T00:00:00"/>
    <x v="0"/>
    <n v="2522.107"/>
    <n v="2512.02"/>
    <x v="1"/>
    <x v="0"/>
    <x v="6"/>
    <n v="2"/>
  </r>
  <r>
    <n v="2"/>
    <d v="2019-07-13T00:00:00"/>
    <x v="1"/>
    <n v="1230.0609999999999"/>
    <n v="740.22199999999998"/>
    <x v="1"/>
    <x v="0"/>
    <x v="6"/>
    <n v="2"/>
  </r>
  <r>
    <n v="2"/>
    <d v="2019-07-13T00:00:00"/>
    <x v="2"/>
    <n v="254.77199999999996"/>
    <n v="322.62999999999994"/>
    <x v="1"/>
    <x v="0"/>
    <x v="6"/>
    <n v="2"/>
  </r>
  <r>
    <n v="2"/>
    <d v="2019-07-13T00:00:00"/>
    <x v="3"/>
    <n v="613.53599999999994"/>
    <n v="403.86500000000001"/>
    <x v="1"/>
    <x v="0"/>
    <x v="6"/>
    <n v="2"/>
  </r>
  <r>
    <n v="2"/>
    <d v="2019-07-14T00:00:00"/>
    <x v="1"/>
    <n v="699.25099999999998"/>
    <n v="465.66799999999995"/>
    <x v="1"/>
    <x v="0"/>
    <x v="6"/>
    <n v="2"/>
  </r>
  <r>
    <n v="2"/>
    <d v="2019-07-14T00:00:00"/>
    <x v="2"/>
    <n v="185.27599999999998"/>
    <n v="237.87399999999997"/>
    <x v="1"/>
    <x v="0"/>
    <x v="6"/>
    <n v="2"/>
  </r>
  <r>
    <n v="2"/>
    <d v="2019-07-14T00:00:00"/>
    <x v="0"/>
    <n v="1123.1989999999998"/>
    <n v="1235.8709999999999"/>
    <x v="1"/>
    <x v="0"/>
    <x v="6"/>
    <n v="2"/>
  </r>
  <r>
    <n v="2"/>
    <d v="2019-07-14T00:00:00"/>
    <x v="3"/>
    <n v="412.35599999999999"/>
    <n v="0"/>
    <x v="1"/>
    <x v="0"/>
    <x v="6"/>
    <n v="2"/>
  </r>
  <r>
    <n v="2"/>
    <d v="2019-07-15T00:00:00"/>
    <x v="0"/>
    <n v="1492.925"/>
    <n v="1963.2199999999998"/>
    <x v="1"/>
    <x v="0"/>
    <x v="6"/>
    <n v="3"/>
  </r>
  <r>
    <n v="2"/>
    <d v="2019-07-15T00:00:00"/>
    <x v="3"/>
    <n v="0"/>
    <n v="0"/>
    <x v="1"/>
    <x v="0"/>
    <x v="6"/>
    <n v="3"/>
  </r>
  <r>
    <n v="2"/>
    <d v="2019-07-15T00:00:00"/>
    <x v="2"/>
    <n v="134.113"/>
    <n v="217.68600000000001"/>
    <x v="1"/>
    <x v="0"/>
    <x v="6"/>
    <n v="3"/>
  </r>
  <r>
    <n v="2"/>
    <d v="2019-07-15T00:00:00"/>
    <x v="1"/>
    <n v="940.81399999999996"/>
    <n v="712.01899999999989"/>
    <x v="1"/>
    <x v="0"/>
    <x v="6"/>
    <n v="3"/>
  </r>
  <r>
    <n v="2"/>
    <d v="2019-07-16T00:00:00"/>
    <x v="0"/>
    <n v="1700.3210000000001"/>
    <n v="1900.171"/>
    <x v="1"/>
    <x v="0"/>
    <x v="6"/>
    <n v="3"/>
  </r>
  <r>
    <n v="2"/>
    <d v="2019-07-16T00:00:00"/>
    <x v="2"/>
    <n v="369.62799999999993"/>
    <n v="263.90699999999998"/>
    <x v="1"/>
    <x v="0"/>
    <x v="6"/>
    <n v="3"/>
  </r>
  <r>
    <n v="2"/>
    <d v="2019-07-16T00:00:00"/>
    <x v="3"/>
    <n v="0"/>
    <n v="15.875999999999999"/>
    <x v="1"/>
    <x v="0"/>
    <x v="6"/>
    <n v="3"/>
  </r>
  <r>
    <n v="2"/>
    <d v="2019-07-16T00:00:00"/>
    <x v="1"/>
    <n v="1075.9769999999999"/>
    <n v="595.23799999999994"/>
    <x v="1"/>
    <x v="0"/>
    <x v="6"/>
    <n v="3"/>
  </r>
  <r>
    <n v="2"/>
    <d v="2019-07-17T00:00:00"/>
    <x v="0"/>
    <n v="1689.191"/>
    <n v="1559.271"/>
    <x v="1"/>
    <x v="0"/>
    <x v="6"/>
    <n v="3"/>
  </r>
  <r>
    <n v="2"/>
    <d v="2019-07-17T00:00:00"/>
    <x v="2"/>
    <n v="215.87299999999999"/>
    <n v="372.274"/>
    <x v="1"/>
    <x v="0"/>
    <x v="6"/>
    <n v="3"/>
  </r>
  <r>
    <n v="2"/>
    <d v="2019-07-17T00:00:00"/>
    <x v="3"/>
    <n v="230.79699999999997"/>
    <n v="275.40100000000001"/>
    <x v="1"/>
    <x v="0"/>
    <x v="6"/>
    <n v="3"/>
  </r>
  <r>
    <n v="2"/>
    <d v="2019-07-17T00:00:00"/>
    <x v="1"/>
    <n v="1018.0939999999999"/>
    <n v="707.06999999999994"/>
    <x v="1"/>
    <x v="0"/>
    <x v="6"/>
    <n v="3"/>
  </r>
  <r>
    <n v="2"/>
    <d v="2019-07-18T00:00:00"/>
    <x v="0"/>
    <n v="1839.607"/>
    <n v="2278.4299999999998"/>
    <x v="1"/>
    <x v="0"/>
    <x v="6"/>
    <n v="3"/>
  </r>
  <r>
    <n v="2"/>
    <d v="2019-07-18T00:00:00"/>
    <x v="2"/>
    <n v="250.89400000000001"/>
    <n v="417.75999999999993"/>
    <x v="1"/>
    <x v="0"/>
    <x v="6"/>
    <n v="3"/>
  </r>
  <r>
    <n v="2"/>
    <d v="2019-07-18T00:00:00"/>
    <x v="3"/>
    <n v="0"/>
    <n v="19.012"/>
    <x v="1"/>
    <x v="0"/>
    <x v="6"/>
    <n v="3"/>
  </r>
  <r>
    <n v="2"/>
    <d v="2019-07-18T00:00:00"/>
    <x v="1"/>
    <n v="1127.847"/>
    <n v="780.14299999999992"/>
    <x v="1"/>
    <x v="0"/>
    <x v="6"/>
    <n v="3"/>
  </r>
  <r>
    <n v="2"/>
    <d v="2019-07-19T00:00:00"/>
    <x v="1"/>
    <n v="1046.78"/>
    <n v="823.79499999999985"/>
    <x v="1"/>
    <x v="0"/>
    <x v="6"/>
    <n v="3"/>
  </r>
  <r>
    <n v="2"/>
    <d v="2019-07-19T00:00:00"/>
    <x v="0"/>
    <n v="2249.5409999999997"/>
    <n v="2719.5630000000001"/>
    <x v="1"/>
    <x v="0"/>
    <x v="6"/>
    <n v="3"/>
  </r>
  <r>
    <n v="2"/>
    <d v="2019-07-19T00:00:00"/>
    <x v="2"/>
    <n v="557.80200000000002"/>
    <n v="359.73699999999997"/>
    <x v="1"/>
    <x v="0"/>
    <x v="6"/>
    <n v="3"/>
  </r>
  <r>
    <n v="2"/>
    <d v="2019-07-19T00:00:00"/>
    <x v="3"/>
    <n v="0"/>
    <n v="236.55799999999999"/>
    <x v="1"/>
    <x v="0"/>
    <x v="6"/>
    <n v="3"/>
  </r>
  <r>
    <n v="2"/>
    <d v="2019-07-20T00:00:00"/>
    <x v="0"/>
    <n v="1933.5539999999996"/>
    <n v="2387.3429999999998"/>
    <x v="1"/>
    <x v="0"/>
    <x v="6"/>
    <n v="3"/>
  </r>
  <r>
    <n v="2"/>
    <d v="2019-07-20T00:00:00"/>
    <x v="3"/>
    <n v="0"/>
    <n v="0"/>
    <x v="1"/>
    <x v="0"/>
    <x v="6"/>
    <n v="3"/>
  </r>
  <r>
    <n v="2"/>
    <d v="2019-07-20T00:00:00"/>
    <x v="2"/>
    <n v="340.70400000000001"/>
    <n v="447.01299999999998"/>
    <x v="1"/>
    <x v="0"/>
    <x v="6"/>
    <n v="3"/>
  </r>
  <r>
    <n v="2"/>
    <d v="2019-07-20T00:00:00"/>
    <x v="1"/>
    <n v="983.34599999999989"/>
    <n v="816.34699999999998"/>
    <x v="1"/>
    <x v="0"/>
    <x v="6"/>
    <n v="3"/>
  </r>
  <r>
    <n v="2"/>
    <d v="2019-07-21T00:00:00"/>
    <x v="2"/>
    <n v="409.44399999999996"/>
    <n v="254.58999999999997"/>
    <x v="1"/>
    <x v="0"/>
    <x v="6"/>
    <n v="3"/>
  </r>
  <r>
    <n v="2"/>
    <d v="2019-07-21T00:00:00"/>
    <x v="1"/>
    <n v="990.36699999999985"/>
    <n v="372.02199999999999"/>
    <x v="1"/>
    <x v="0"/>
    <x v="6"/>
    <n v="3"/>
  </r>
  <r>
    <n v="2"/>
    <d v="2019-07-21T00:00:00"/>
    <x v="3"/>
    <n v="0"/>
    <n v="0"/>
    <x v="1"/>
    <x v="0"/>
    <x v="6"/>
    <n v="3"/>
  </r>
  <r>
    <n v="2"/>
    <d v="2019-07-21T00:00:00"/>
    <x v="0"/>
    <n v="1135.0709999999999"/>
    <n v="1408.029"/>
    <x v="1"/>
    <x v="0"/>
    <x v="6"/>
    <n v="3"/>
  </r>
  <r>
    <n v="2"/>
    <d v="2019-07-22T00:00:00"/>
    <x v="0"/>
    <n v="1551.347"/>
    <n v="1533.91"/>
    <x v="1"/>
    <x v="0"/>
    <x v="6"/>
    <n v="4"/>
  </r>
  <r>
    <n v="2"/>
    <d v="2019-07-22T00:00:00"/>
    <x v="1"/>
    <n v="829.92699999999991"/>
    <n v="474.59999999999997"/>
    <x v="1"/>
    <x v="0"/>
    <x v="6"/>
    <n v="4"/>
  </r>
  <r>
    <n v="2"/>
    <d v="2019-07-22T00:00:00"/>
    <x v="3"/>
    <n v="0"/>
    <n v="231.30799999999999"/>
    <x v="1"/>
    <x v="0"/>
    <x v="6"/>
    <n v="4"/>
  </r>
  <r>
    <n v="2"/>
    <d v="2019-07-22T00:00:00"/>
    <x v="2"/>
    <n v="438.06699999999995"/>
    <n v="243.23599999999999"/>
    <x v="1"/>
    <x v="0"/>
    <x v="6"/>
    <n v="4"/>
  </r>
  <r>
    <n v="2"/>
    <d v="2019-07-23T00:00:00"/>
    <x v="3"/>
    <n v="0"/>
    <n v="0"/>
    <x v="1"/>
    <x v="0"/>
    <x v="6"/>
    <n v="4"/>
  </r>
  <r>
    <n v="2"/>
    <d v="2019-07-23T00:00:00"/>
    <x v="1"/>
    <n v="1142.8620000000001"/>
    <n v="837.75999999999988"/>
    <x v="1"/>
    <x v="0"/>
    <x v="6"/>
    <n v="4"/>
  </r>
  <r>
    <n v="2"/>
    <d v="2019-07-23T00:00:00"/>
    <x v="2"/>
    <n v="454.62899999999996"/>
    <n v="257.94299999999998"/>
    <x v="1"/>
    <x v="0"/>
    <x v="6"/>
    <n v="4"/>
  </r>
  <r>
    <n v="2"/>
    <d v="2019-07-23T00:00:00"/>
    <x v="0"/>
    <n v="2080.442"/>
    <n v="2721.6279999999997"/>
    <x v="1"/>
    <x v="0"/>
    <x v="6"/>
    <n v="4"/>
  </r>
  <r>
    <n v="2"/>
    <d v="2019-07-24T00:00:00"/>
    <x v="0"/>
    <n v="2230.2559999999999"/>
    <n v="1625.0639999999999"/>
    <x v="1"/>
    <x v="0"/>
    <x v="6"/>
    <n v="4"/>
  </r>
  <r>
    <n v="2"/>
    <d v="2019-07-24T00:00:00"/>
    <x v="3"/>
    <n v="0"/>
    <n v="0"/>
    <x v="1"/>
    <x v="0"/>
    <x v="6"/>
    <n v="4"/>
  </r>
  <r>
    <n v="2"/>
    <d v="2019-07-24T00:00:00"/>
    <x v="1"/>
    <n v="810.77499999999998"/>
    <n v="544.50900000000001"/>
    <x v="1"/>
    <x v="0"/>
    <x v="6"/>
    <n v="4"/>
  </r>
  <r>
    <n v="2"/>
    <d v="2019-07-24T00:00:00"/>
    <x v="2"/>
    <n v="440.39099999999996"/>
    <n v="327.55799999999999"/>
    <x v="1"/>
    <x v="0"/>
    <x v="6"/>
    <n v="4"/>
  </r>
  <r>
    <n v="2"/>
    <d v="2019-07-25T00:00:00"/>
    <x v="0"/>
    <n v="1301.7829999999999"/>
    <n v="2055.3469999999998"/>
    <x v="1"/>
    <x v="0"/>
    <x v="6"/>
    <n v="4"/>
  </r>
  <r>
    <n v="2"/>
    <d v="2019-07-25T00:00:00"/>
    <x v="1"/>
    <n v="1107.6309999999999"/>
    <n v="678.66399999999999"/>
    <x v="1"/>
    <x v="0"/>
    <x v="6"/>
    <n v="4"/>
  </r>
  <r>
    <n v="2"/>
    <d v="2019-07-25T00:00:00"/>
    <x v="3"/>
    <n v="96.515999999999991"/>
    <n v="0"/>
    <x v="1"/>
    <x v="0"/>
    <x v="6"/>
    <n v="4"/>
  </r>
  <r>
    <n v="2"/>
    <d v="2019-07-25T00:00:00"/>
    <x v="2"/>
    <n v="302.61"/>
    <n v="546.7349999999999"/>
    <x v="1"/>
    <x v="0"/>
    <x v="6"/>
    <n v="4"/>
  </r>
  <r>
    <n v="2"/>
    <d v="2019-07-26T00:00:00"/>
    <x v="2"/>
    <n v="553.39199999999994"/>
    <n v="385.67899999999997"/>
    <x v="1"/>
    <x v="0"/>
    <x v="6"/>
    <n v="4"/>
  </r>
  <r>
    <n v="2"/>
    <d v="2019-07-26T00:00:00"/>
    <x v="0"/>
    <n v="2378.6839999999997"/>
    <n v="2732.4779999999996"/>
    <x v="1"/>
    <x v="0"/>
    <x v="6"/>
    <n v="4"/>
  </r>
  <r>
    <n v="2"/>
    <d v="2019-07-26T00:00:00"/>
    <x v="3"/>
    <n v="0"/>
    <n v="0"/>
    <x v="1"/>
    <x v="0"/>
    <x v="6"/>
    <n v="4"/>
  </r>
  <r>
    <n v="2"/>
    <d v="2019-07-26T00:00:00"/>
    <x v="1"/>
    <n v="1324.9879999999998"/>
    <n v="1139.8869999999999"/>
    <x v="1"/>
    <x v="0"/>
    <x v="6"/>
    <n v="4"/>
  </r>
  <r>
    <n v="2"/>
    <d v="2019-07-27T00:00:00"/>
    <x v="0"/>
    <n v="2430.8130000000001"/>
    <n v="2384.8020000000001"/>
    <x v="1"/>
    <x v="0"/>
    <x v="6"/>
    <n v="4"/>
  </r>
  <r>
    <n v="2"/>
    <d v="2019-07-27T00:00:00"/>
    <x v="3"/>
    <n v="0"/>
    <n v="13.132"/>
    <x v="1"/>
    <x v="0"/>
    <x v="6"/>
    <n v="4"/>
  </r>
  <r>
    <n v="2"/>
    <d v="2019-07-27T00:00:00"/>
    <x v="1"/>
    <n v="923.12499999999989"/>
    <n v="603.18999999999994"/>
    <x v="1"/>
    <x v="0"/>
    <x v="6"/>
    <n v="4"/>
  </r>
  <r>
    <n v="2"/>
    <d v="2019-07-27T00:00:00"/>
    <x v="2"/>
    <n v="340.41699999999997"/>
    <n v="268.05099999999999"/>
    <x v="1"/>
    <x v="0"/>
    <x v="6"/>
    <n v="4"/>
  </r>
  <r>
    <n v="2"/>
    <d v="2019-07-28T00:00:00"/>
    <x v="1"/>
    <n v="719.86599999999999"/>
    <n v="437.29"/>
    <x v="1"/>
    <x v="0"/>
    <x v="6"/>
    <n v="4"/>
  </r>
  <r>
    <n v="2"/>
    <d v="2019-07-28T00:00:00"/>
    <x v="2"/>
    <n v="141.876"/>
    <n v="291.31900000000002"/>
    <x v="1"/>
    <x v="0"/>
    <x v="6"/>
    <n v="4"/>
  </r>
  <r>
    <n v="2"/>
    <d v="2019-07-28T00:00:00"/>
    <x v="3"/>
    <n v="0"/>
    <n v="219.09299999999999"/>
    <x v="1"/>
    <x v="0"/>
    <x v="6"/>
    <n v="4"/>
  </r>
  <r>
    <n v="2"/>
    <d v="2019-07-28T00:00:00"/>
    <x v="0"/>
    <n v="1375.7099999999998"/>
    <n v="1335.068"/>
    <x v="1"/>
    <x v="0"/>
    <x v="6"/>
    <n v="4"/>
  </r>
  <r>
    <n v="2"/>
    <d v="2019-07-29T00:00:00"/>
    <x v="3"/>
    <n v="0"/>
    <n v="189.62999999999997"/>
    <x v="1"/>
    <x v="0"/>
    <x v="7"/>
    <n v="1"/>
  </r>
  <r>
    <n v="2"/>
    <d v="2019-07-29T00:00:00"/>
    <x v="2"/>
    <n v="187.768"/>
    <n v="167.41899999999998"/>
    <x v="1"/>
    <x v="0"/>
    <x v="7"/>
    <n v="1"/>
  </r>
  <r>
    <n v="2"/>
    <d v="2019-07-29T00:00:00"/>
    <x v="0"/>
    <n v="1671.894"/>
    <n v="1648.367"/>
    <x v="1"/>
    <x v="0"/>
    <x v="7"/>
    <n v="1"/>
  </r>
  <r>
    <n v="2"/>
    <d v="2019-07-29T00:00:00"/>
    <x v="1"/>
    <n v="895.18099999999993"/>
    <n v="584.72400000000005"/>
    <x v="1"/>
    <x v="0"/>
    <x v="7"/>
    <n v="1"/>
  </r>
  <r>
    <n v="2"/>
    <d v="2019-07-30T00:00:00"/>
    <x v="3"/>
    <n v="0"/>
    <n v="35.650999999999996"/>
    <x v="1"/>
    <x v="0"/>
    <x v="7"/>
    <n v="1"/>
  </r>
  <r>
    <n v="2"/>
    <d v="2019-07-30T00:00:00"/>
    <x v="0"/>
    <n v="1768.0740000000001"/>
    <n v="2204.0129999999999"/>
    <x v="1"/>
    <x v="0"/>
    <x v="7"/>
    <n v="1"/>
  </r>
  <r>
    <n v="2"/>
    <d v="2019-07-30T00:00:00"/>
    <x v="1"/>
    <n v="1054.06"/>
    <n v="597.702"/>
    <x v="1"/>
    <x v="0"/>
    <x v="7"/>
    <n v="1"/>
  </r>
  <r>
    <n v="2"/>
    <d v="2019-07-30T00:00:00"/>
    <x v="2"/>
    <n v="242.22800000000001"/>
    <n v="313.05399999999997"/>
    <x v="1"/>
    <x v="0"/>
    <x v="7"/>
    <n v="1"/>
  </r>
  <r>
    <n v="2"/>
    <d v="2019-07-31T00:00:00"/>
    <x v="2"/>
    <n v="212.42199999999997"/>
    <n v="251.18099999999998"/>
    <x v="1"/>
    <x v="0"/>
    <x v="7"/>
    <n v="1"/>
  </r>
  <r>
    <n v="2"/>
    <d v="2019-07-31T00:00:00"/>
    <x v="0"/>
    <n v="1975.5889999999999"/>
    <n v="2250.395"/>
    <x v="1"/>
    <x v="0"/>
    <x v="7"/>
    <n v="1"/>
  </r>
  <r>
    <n v="2"/>
    <d v="2019-07-31T00:00:00"/>
    <x v="3"/>
    <n v="0"/>
    <n v="235.24899999999997"/>
    <x v="1"/>
    <x v="0"/>
    <x v="7"/>
    <n v="1"/>
  </r>
  <r>
    <n v="2"/>
    <d v="2019-07-31T00:00:00"/>
    <x v="1"/>
    <n v="1106.0349999999999"/>
    <n v="667.49199999999996"/>
    <x v="1"/>
    <x v="0"/>
    <x v="7"/>
    <n v="1"/>
  </r>
  <r>
    <n v="2"/>
    <d v="2019-08-01T00:00:00"/>
    <x v="1"/>
    <n v="1087.4079999999999"/>
    <n v="796.65599999999995"/>
    <x v="1"/>
    <x v="0"/>
    <x v="7"/>
    <n v="1"/>
  </r>
  <r>
    <n v="2"/>
    <d v="2019-08-01T00:00:00"/>
    <x v="2"/>
    <n v="232.25299999999999"/>
    <n v="125.54499999999999"/>
    <x v="1"/>
    <x v="0"/>
    <x v="7"/>
    <n v="1"/>
  </r>
  <r>
    <n v="2"/>
    <d v="2019-08-01T00:00:00"/>
    <x v="3"/>
    <n v="132.71299999999999"/>
    <n v="384.64299999999997"/>
    <x v="1"/>
    <x v="0"/>
    <x v="7"/>
    <n v="1"/>
  </r>
  <r>
    <n v="2"/>
    <d v="2019-08-01T00:00:00"/>
    <x v="0"/>
    <n v="1521.7859999999998"/>
    <n v="2043.741"/>
    <x v="1"/>
    <x v="0"/>
    <x v="7"/>
    <n v="1"/>
  </r>
  <r>
    <n v="2"/>
    <d v="2019-08-02T00:00:00"/>
    <x v="0"/>
    <n v="2333.3029999999999"/>
    <n v="2718.1279999999997"/>
    <x v="1"/>
    <x v="0"/>
    <x v="7"/>
    <n v="1"/>
  </r>
  <r>
    <n v="2"/>
    <d v="2019-08-02T00:00:00"/>
    <x v="1"/>
    <n v="1441.1039999999998"/>
    <n v="790.63599999999997"/>
    <x v="1"/>
    <x v="0"/>
    <x v="7"/>
    <n v="1"/>
  </r>
  <r>
    <n v="2"/>
    <d v="2019-08-02T00:00:00"/>
    <x v="3"/>
    <n v="193.03199999999998"/>
    <n v="24.611999999999995"/>
    <x v="1"/>
    <x v="0"/>
    <x v="7"/>
    <n v="1"/>
  </r>
  <r>
    <n v="2"/>
    <d v="2019-08-02T00:00:00"/>
    <x v="2"/>
    <n v="437.22699999999998"/>
    <n v="517.26499999999999"/>
    <x v="1"/>
    <x v="0"/>
    <x v="7"/>
    <n v="1"/>
  </r>
  <r>
    <n v="2"/>
    <d v="2019-08-03T00:00:00"/>
    <x v="2"/>
    <n v="279.39099999999996"/>
    <n v="548.82799999999997"/>
    <x v="1"/>
    <x v="0"/>
    <x v="7"/>
    <n v="1"/>
  </r>
  <r>
    <n v="2"/>
    <d v="2019-08-03T00:00:00"/>
    <x v="3"/>
    <n v="20.628999999999998"/>
    <n v="20.986000000000001"/>
    <x v="1"/>
    <x v="0"/>
    <x v="7"/>
    <n v="1"/>
  </r>
  <r>
    <n v="2"/>
    <d v="2019-08-03T00:00:00"/>
    <x v="0"/>
    <n v="2031.0219999999999"/>
    <n v="2608.3259999999996"/>
    <x v="1"/>
    <x v="0"/>
    <x v="7"/>
    <n v="1"/>
  </r>
  <r>
    <n v="2"/>
    <d v="2019-08-03T00:00:00"/>
    <x v="1"/>
    <n v="1045.5830000000001"/>
    <n v="900.64800000000002"/>
    <x v="1"/>
    <x v="0"/>
    <x v="7"/>
    <n v="1"/>
  </r>
  <r>
    <n v="2"/>
    <d v="2019-08-04T00:00:00"/>
    <x v="0"/>
    <n v="1463.7559999999999"/>
    <n v="1066.086"/>
    <x v="1"/>
    <x v="0"/>
    <x v="7"/>
    <n v="1"/>
  </r>
  <r>
    <n v="2"/>
    <d v="2019-08-04T00:00:00"/>
    <x v="3"/>
    <n v="0"/>
    <n v="367.15"/>
    <x v="1"/>
    <x v="0"/>
    <x v="7"/>
    <n v="1"/>
  </r>
  <r>
    <n v="2"/>
    <d v="2019-08-04T00:00:00"/>
    <x v="1"/>
    <n v="764.25299999999993"/>
    <n v="545.32799999999997"/>
    <x v="1"/>
    <x v="0"/>
    <x v="7"/>
    <n v="1"/>
  </r>
  <r>
    <n v="2"/>
    <d v="2019-08-04T00:00:00"/>
    <x v="2"/>
    <n v="286.125"/>
    <n v="359.541"/>
    <x v="1"/>
    <x v="0"/>
    <x v="7"/>
    <n v="1"/>
  </r>
  <r>
    <n v="2"/>
    <d v="2019-08-05T00:00:00"/>
    <x v="0"/>
    <n v="1823.9619999999998"/>
    <n v="1843.9119999999998"/>
    <x v="1"/>
    <x v="0"/>
    <x v="7"/>
    <n v="2"/>
  </r>
  <r>
    <n v="2"/>
    <d v="2019-08-05T00:00:00"/>
    <x v="2"/>
    <n v="280.53199999999998"/>
    <n v="165.44499999999999"/>
    <x v="1"/>
    <x v="0"/>
    <x v="7"/>
    <n v="2"/>
  </r>
  <r>
    <n v="2"/>
    <d v="2019-08-05T00:00:00"/>
    <x v="1"/>
    <n v="1040.508"/>
    <n v="850.90599999999995"/>
    <x v="1"/>
    <x v="0"/>
    <x v="7"/>
    <n v="2"/>
  </r>
  <r>
    <n v="2"/>
    <d v="2019-08-05T00:00:00"/>
    <x v="3"/>
    <n v="0"/>
    <n v="292.69799999999998"/>
    <x v="1"/>
    <x v="0"/>
    <x v="7"/>
    <n v="2"/>
  </r>
  <r>
    <n v="2"/>
    <d v="2019-08-06T00:00:00"/>
    <x v="0"/>
    <n v="1848.6019999999999"/>
    <n v="2257.3249999999998"/>
    <x v="1"/>
    <x v="0"/>
    <x v="7"/>
    <n v="2"/>
  </r>
  <r>
    <n v="2"/>
    <d v="2019-08-06T00:00:00"/>
    <x v="1"/>
    <n v="1272.3129999999999"/>
    <n v="873.64199999999994"/>
    <x v="1"/>
    <x v="0"/>
    <x v="7"/>
    <n v="2"/>
  </r>
  <r>
    <n v="2"/>
    <d v="2019-08-06T00:00:00"/>
    <x v="2"/>
    <n v="361.74599999999998"/>
    <n v="477.47699999999998"/>
    <x v="1"/>
    <x v="0"/>
    <x v="7"/>
    <n v="2"/>
  </r>
  <r>
    <n v="2"/>
    <d v="2019-08-06T00:00:00"/>
    <x v="3"/>
    <n v="483.29399999999993"/>
    <n v="431.55699999999996"/>
    <x v="1"/>
    <x v="0"/>
    <x v="7"/>
    <n v="2"/>
  </r>
  <r>
    <n v="2"/>
    <d v="2019-08-07T00:00:00"/>
    <x v="3"/>
    <n v="0"/>
    <n v="0"/>
    <x v="1"/>
    <x v="0"/>
    <x v="7"/>
    <n v="2"/>
  </r>
  <r>
    <n v="2"/>
    <d v="2019-08-07T00:00:00"/>
    <x v="2"/>
    <n v="210.959"/>
    <n v="316.55399999999997"/>
    <x v="1"/>
    <x v="0"/>
    <x v="7"/>
    <n v="2"/>
  </r>
  <r>
    <n v="2"/>
    <d v="2019-08-07T00:00:00"/>
    <x v="0"/>
    <n v="1990.8139999999999"/>
    <n v="1848.6019999999999"/>
    <x v="1"/>
    <x v="0"/>
    <x v="7"/>
    <n v="2"/>
  </r>
  <r>
    <n v="2"/>
    <d v="2019-08-07T00:00:00"/>
    <x v="1"/>
    <n v="836.21999999999991"/>
    <n v="658.8119999999999"/>
    <x v="1"/>
    <x v="0"/>
    <x v="7"/>
    <n v="2"/>
  </r>
  <r>
    <n v="2"/>
    <d v="2019-08-08T00:00:00"/>
    <x v="0"/>
    <n v="1837.0729999999999"/>
    <n v="2510.578"/>
    <x v="1"/>
    <x v="0"/>
    <x v="7"/>
    <n v="2"/>
  </r>
  <r>
    <n v="2"/>
    <d v="2019-08-08T00:00:00"/>
    <x v="2"/>
    <n v="430.85699999999997"/>
    <n v="580.34199999999987"/>
    <x v="1"/>
    <x v="0"/>
    <x v="7"/>
    <n v="2"/>
  </r>
  <r>
    <n v="2"/>
    <d v="2019-08-08T00:00:00"/>
    <x v="1"/>
    <n v="1334.4029999999998"/>
    <n v="710.75199999999995"/>
    <x v="1"/>
    <x v="0"/>
    <x v="7"/>
    <n v="2"/>
  </r>
  <r>
    <n v="2"/>
    <d v="2019-08-08T00:00:00"/>
    <x v="3"/>
    <n v="315.93799999999999"/>
    <n v="155.386"/>
    <x v="1"/>
    <x v="0"/>
    <x v="7"/>
    <n v="2"/>
  </r>
  <r>
    <n v="2"/>
    <d v="2019-08-09T00:00:00"/>
    <x v="0"/>
    <n v="2673.58"/>
    <n v="2454.9979999999996"/>
    <x v="1"/>
    <x v="0"/>
    <x v="7"/>
    <n v="2"/>
  </r>
  <r>
    <n v="2"/>
    <d v="2019-08-09T00:00:00"/>
    <x v="3"/>
    <n v="236.10300000000001"/>
    <n v="298.08799999999997"/>
    <x v="1"/>
    <x v="0"/>
    <x v="7"/>
    <n v="2"/>
  </r>
  <r>
    <n v="2"/>
    <d v="2019-08-09T00:00:00"/>
    <x v="1"/>
    <n v="1165.8219999999999"/>
    <n v="859.43899999999996"/>
    <x v="1"/>
    <x v="0"/>
    <x v="7"/>
    <n v="2"/>
  </r>
  <r>
    <n v="2"/>
    <d v="2019-08-09T00:00:00"/>
    <x v="2"/>
    <n v="405.35599999999999"/>
    <n v="418.78199999999998"/>
    <x v="1"/>
    <x v="0"/>
    <x v="7"/>
    <n v="2"/>
  </r>
  <r>
    <n v="2"/>
    <d v="2019-08-10T00:00:00"/>
    <x v="0"/>
    <n v="1547.3289999999997"/>
    <n v="1987.0899999999997"/>
    <x v="1"/>
    <x v="0"/>
    <x v="7"/>
    <n v="2"/>
  </r>
  <r>
    <n v="2"/>
    <d v="2019-08-10T00:00:00"/>
    <x v="2"/>
    <n v="532.52499999999998"/>
    <n v="424.64099999999996"/>
    <x v="1"/>
    <x v="0"/>
    <x v="7"/>
    <n v="2"/>
  </r>
  <r>
    <n v="2"/>
    <d v="2019-08-10T00:00:00"/>
    <x v="1"/>
    <n v="1028.1389999999999"/>
    <n v="894.10299999999995"/>
    <x v="1"/>
    <x v="0"/>
    <x v="7"/>
    <n v="2"/>
  </r>
  <r>
    <n v="2"/>
    <d v="2019-08-10T00:00:00"/>
    <x v="3"/>
    <n v="0"/>
    <n v="0"/>
    <x v="1"/>
    <x v="0"/>
    <x v="7"/>
    <n v="2"/>
  </r>
  <r>
    <n v="2"/>
    <d v="2019-08-11T00:00:00"/>
    <x v="0"/>
    <n v="1181.173"/>
    <n v="1085.672"/>
    <x v="1"/>
    <x v="0"/>
    <x v="7"/>
    <n v="2"/>
  </r>
  <r>
    <n v="2"/>
    <d v="2019-08-11T00:00:00"/>
    <x v="3"/>
    <n v="0"/>
    <n v="0"/>
    <x v="1"/>
    <x v="0"/>
    <x v="7"/>
    <n v="2"/>
  </r>
  <r>
    <n v="2"/>
    <d v="2019-08-11T00:00:00"/>
    <x v="1"/>
    <n v="676.59199999999987"/>
    <n v="439.52299999999997"/>
    <x v="1"/>
    <x v="0"/>
    <x v="7"/>
    <n v="2"/>
  </r>
  <r>
    <n v="2"/>
    <d v="2019-08-11T00:00:00"/>
    <x v="2"/>
    <n v="224.595"/>
    <n v="436.32400000000001"/>
    <x v="1"/>
    <x v="0"/>
    <x v="7"/>
    <n v="2"/>
  </r>
  <r>
    <n v="2"/>
    <d v="2019-08-12T00:00:00"/>
    <x v="3"/>
    <n v="132.71299999999999"/>
    <n v="0"/>
    <x v="1"/>
    <x v="0"/>
    <x v="7"/>
    <n v="3"/>
  </r>
  <r>
    <n v="2"/>
    <d v="2019-08-12T00:00:00"/>
    <x v="2"/>
    <n v="296.68099999999998"/>
    <n v="196.58799999999997"/>
    <x v="1"/>
    <x v="0"/>
    <x v="7"/>
    <n v="3"/>
  </r>
  <r>
    <n v="2"/>
    <d v="2019-08-12T00:00:00"/>
    <x v="1"/>
    <n v="973.22399999999993"/>
    <n v="719.31999999999994"/>
    <x v="1"/>
    <x v="0"/>
    <x v="7"/>
    <n v="3"/>
  </r>
  <r>
    <n v="2"/>
    <d v="2019-08-12T00:00:00"/>
    <x v="0"/>
    <n v="1564.01"/>
    <n v="1833.5589999999997"/>
    <x v="1"/>
    <x v="0"/>
    <x v="7"/>
    <n v="3"/>
  </r>
  <r>
    <n v="2"/>
    <d v="2019-08-13T00:00:00"/>
    <x v="2"/>
    <n v="198.15599999999998"/>
    <n v="350.74899999999997"/>
    <x v="1"/>
    <x v="0"/>
    <x v="7"/>
    <n v="3"/>
  </r>
  <r>
    <n v="2"/>
    <d v="2019-08-13T00:00:00"/>
    <x v="0"/>
    <n v="2188.6549999999997"/>
    <n v="2323.174"/>
    <x v="1"/>
    <x v="0"/>
    <x v="7"/>
    <n v="3"/>
  </r>
  <r>
    <n v="2"/>
    <d v="2019-08-13T00:00:00"/>
    <x v="3"/>
    <n v="0"/>
    <n v="248.64"/>
    <x v="1"/>
    <x v="0"/>
    <x v="7"/>
    <n v="3"/>
  </r>
  <r>
    <n v="2"/>
    <d v="2019-08-13T00:00:00"/>
    <x v="1"/>
    <n v="1155.588"/>
    <n v="774.08799999999985"/>
    <x v="1"/>
    <x v="0"/>
    <x v="7"/>
    <n v="3"/>
  </r>
  <r>
    <n v="2"/>
    <d v="2019-08-14T00:00:00"/>
    <x v="2"/>
    <n v="155.76400000000001"/>
    <n v="300.04799999999994"/>
    <x v="1"/>
    <x v="0"/>
    <x v="7"/>
    <n v="3"/>
  </r>
  <r>
    <n v="2"/>
    <d v="2019-08-14T00:00:00"/>
    <x v="1"/>
    <n v="1214.2339999999999"/>
    <n v="655.94899999999996"/>
    <x v="1"/>
    <x v="0"/>
    <x v="7"/>
    <n v="3"/>
  </r>
  <r>
    <n v="2"/>
    <d v="2019-08-14T00:00:00"/>
    <x v="0"/>
    <n v="1662.3249999999998"/>
    <n v="2000.2079999999999"/>
    <x v="1"/>
    <x v="0"/>
    <x v="7"/>
    <n v="3"/>
  </r>
  <r>
    <n v="2"/>
    <d v="2019-08-14T00:00:00"/>
    <x v="3"/>
    <n v="0"/>
    <n v="166.54399999999998"/>
    <x v="1"/>
    <x v="0"/>
    <x v="7"/>
    <n v="3"/>
  </r>
  <r>
    <n v="2"/>
    <d v="2019-08-15T00:00:00"/>
    <x v="2"/>
    <n v="402.23399999999998"/>
    <n v="269.91299999999995"/>
    <x v="1"/>
    <x v="0"/>
    <x v="7"/>
    <n v="3"/>
  </r>
  <r>
    <n v="2"/>
    <d v="2019-08-15T00:00:00"/>
    <x v="0"/>
    <n v="2200.6039999999998"/>
    <n v="2373.6999999999998"/>
    <x v="1"/>
    <x v="0"/>
    <x v="7"/>
    <n v="3"/>
  </r>
  <r>
    <n v="2"/>
    <d v="2019-08-15T00:00:00"/>
    <x v="3"/>
    <n v="0"/>
    <n v="0"/>
    <x v="1"/>
    <x v="0"/>
    <x v="7"/>
    <n v="3"/>
  </r>
  <r>
    <n v="2"/>
    <d v="2019-08-15T00:00:00"/>
    <x v="1"/>
    <n v="1170.204"/>
    <n v="809.94199999999989"/>
    <x v="1"/>
    <x v="0"/>
    <x v="7"/>
    <n v="3"/>
  </r>
  <r>
    <n v="2"/>
    <d v="2019-08-16T00:00:00"/>
    <x v="3"/>
    <n v="0"/>
    <n v="0"/>
    <x v="1"/>
    <x v="0"/>
    <x v="7"/>
    <n v="3"/>
  </r>
  <r>
    <n v="2"/>
    <d v="2019-08-16T00:00:00"/>
    <x v="0"/>
    <n v="2327.136"/>
    <n v="2954.567"/>
    <x v="1"/>
    <x v="0"/>
    <x v="7"/>
    <n v="3"/>
  </r>
  <r>
    <n v="2"/>
    <d v="2019-08-16T00:00:00"/>
    <x v="2"/>
    <n v="504.72099999999995"/>
    <n v="631.14799999999991"/>
    <x v="1"/>
    <x v="0"/>
    <x v="7"/>
    <n v="3"/>
  </r>
  <r>
    <n v="2"/>
    <d v="2019-08-16T00:00:00"/>
    <x v="1"/>
    <n v="1274.5319999999999"/>
    <n v="1117.816"/>
    <x v="1"/>
    <x v="0"/>
    <x v="7"/>
    <n v="3"/>
  </r>
  <r>
    <n v="2"/>
    <d v="2019-08-17T00:00:00"/>
    <x v="1"/>
    <n v="1291.6679999999999"/>
    <n v="682.4369999999999"/>
    <x v="1"/>
    <x v="0"/>
    <x v="7"/>
    <n v="3"/>
  </r>
  <r>
    <n v="2"/>
    <d v="2019-08-17T00:00:00"/>
    <x v="3"/>
    <n v="186.893"/>
    <n v="0"/>
    <x v="1"/>
    <x v="0"/>
    <x v="7"/>
    <n v="3"/>
  </r>
  <r>
    <n v="2"/>
    <d v="2019-08-17T00:00:00"/>
    <x v="0"/>
    <n v="2294.0889999999999"/>
    <n v="1917.566"/>
    <x v="1"/>
    <x v="0"/>
    <x v="7"/>
    <n v="3"/>
  </r>
  <r>
    <n v="2"/>
    <d v="2019-08-17T00:00:00"/>
    <x v="2"/>
    <n v="349.83199999999999"/>
    <n v="303.45"/>
    <x v="1"/>
    <x v="0"/>
    <x v="7"/>
    <n v="3"/>
  </r>
  <r>
    <n v="2"/>
    <d v="2019-08-18T00:00:00"/>
    <x v="0"/>
    <n v="1190.6859999999999"/>
    <n v="1124.2279999999998"/>
    <x v="1"/>
    <x v="0"/>
    <x v="7"/>
    <n v="3"/>
  </r>
  <r>
    <n v="2"/>
    <d v="2019-08-18T00:00:00"/>
    <x v="2"/>
    <n v="194.27799999999999"/>
    <n v="338.84199999999998"/>
    <x v="1"/>
    <x v="0"/>
    <x v="7"/>
    <n v="3"/>
  </r>
  <r>
    <n v="2"/>
    <d v="2019-08-18T00:00:00"/>
    <x v="1"/>
    <n v="938.30099999999993"/>
    <n v="539.25199999999995"/>
    <x v="1"/>
    <x v="0"/>
    <x v="7"/>
    <n v="3"/>
  </r>
  <r>
    <n v="2"/>
    <d v="2019-08-18T00:00:00"/>
    <x v="3"/>
    <n v="0"/>
    <n v="0"/>
    <x v="1"/>
    <x v="0"/>
    <x v="7"/>
    <n v="3"/>
  </r>
  <r>
    <n v="2"/>
    <d v="2019-08-19T00:00:00"/>
    <x v="0"/>
    <n v="1563.4009999999998"/>
    <n v="2114.8820000000001"/>
    <x v="1"/>
    <x v="0"/>
    <x v="7"/>
    <n v="4"/>
  </r>
  <r>
    <n v="2"/>
    <d v="2019-08-19T00:00:00"/>
    <x v="2"/>
    <n v="307.58699999999999"/>
    <n v="375.03899999999999"/>
    <x v="1"/>
    <x v="0"/>
    <x v="7"/>
    <n v="4"/>
  </r>
  <r>
    <n v="2"/>
    <d v="2019-08-19T00:00:00"/>
    <x v="1"/>
    <n v="1099.847"/>
    <n v="621.81699999999989"/>
    <x v="1"/>
    <x v="0"/>
    <x v="7"/>
    <n v="4"/>
  </r>
  <r>
    <n v="2"/>
    <d v="2019-08-19T00:00:00"/>
    <x v="3"/>
    <n v="0"/>
    <n v="0"/>
    <x v="1"/>
    <x v="0"/>
    <x v="7"/>
    <n v="4"/>
  </r>
  <r>
    <n v="2"/>
    <d v="2019-08-20T00:00:00"/>
    <x v="1"/>
    <n v="1087.954"/>
    <n v="627.29099999999994"/>
    <x v="1"/>
    <x v="0"/>
    <x v="7"/>
    <n v="4"/>
  </r>
  <r>
    <n v="2"/>
    <d v="2019-08-20T00:00:00"/>
    <x v="2"/>
    <n v="315.70699999999999"/>
    <n v="191.95400000000001"/>
    <x v="1"/>
    <x v="0"/>
    <x v="7"/>
    <n v="4"/>
  </r>
  <r>
    <n v="2"/>
    <d v="2019-08-20T00:00:00"/>
    <x v="0"/>
    <n v="1609.125"/>
    <n v="1773.2190000000001"/>
    <x v="1"/>
    <x v="0"/>
    <x v="7"/>
    <n v="4"/>
  </r>
  <r>
    <n v="2"/>
    <d v="2019-08-20T00:00:00"/>
    <x v="3"/>
    <n v="0"/>
    <n v="38.800999999999995"/>
    <x v="1"/>
    <x v="0"/>
    <x v="7"/>
    <n v="4"/>
  </r>
  <r>
    <n v="2"/>
    <d v="2019-08-21T00:00:00"/>
    <x v="1"/>
    <n v="973.53199999999993"/>
    <n v="623.53199999999993"/>
    <x v="1"/>
    <x v="0"/>
    <x v="7"/>
    <n v="4"/>
  </r>
  <r>
    <n v="2"/>
    <d v="2019-08-21T00:00:00"/>
    <x v="0"/>
    <n v="1578.0940000000001"/>
    <n v="1343.4749999999999"/>
    <x v="1"/>
    <x v="0"/>
    <x v="7"/>
    <n v="4"/>
  </r>
  <r>
    <n v="2"/>
    <d v="2019-08-21T00:00:00"/>
    <x v="3"/>
    <n v="184.21200000000002"/>
    <n v="166.54399999999998"/>
    <x v="1"/>
    <x v="0"/>
    <x v="7"/>
    <n v="4"/>
  </r>
  <r>
    <n v="2"/>
    <d v="2019-08-21T00:00:00"/>
    <x v="2"/>
    <n v="220.535"/>
    <n v="204.16900000000001"/>
    <x v="1"/>
    <x v="0"/>
    <x v="7"/>
    <n v="4"/>
  </r>
  <r>
    <n v="2"/>
    <d v="2019-08-22T00:00:00"/>
    <x v="2"/>
    <n v="204.512"/>
    <n v="279.19499999999999"/>
    <x v="1"/>
    <x v="0"/>
    <x v="7"/>
    <n v="4"/>
  </r>
  <r>
    <n v="2"/>
    <d v="2019-08-22T00:00:00"/>
    <x v="0"/>
    <n v="1903.7339999999997"/>
    <n v="2043.0479999999998"/>
    <x v="1"/>
    <x v="0"/>
    <x v="7"/>
    <n v="4"/>
  </r>
  <r>
    <n v="2"/>
    <d v="2019-08-22T00:00:00"/>
    <x v="3"/>
    <n v="251.81799999999998"/>
    <n v="353.892"/>
    <x v="1"/>
    <x v="0"/>
    <x v="7"/>
    <n v="4"/>
  </r>
  <r>
    <n v="2"/>
    <d v="2019-08-22T00:00:00"/>
    <x v="1"/>
    <n v="1329.846"/>
    <n v="935.01799999999992"/>
    <x v="1"/>
    <x v="0"/>
    <x v="7"/>
    <n v="4"/>
  </r>
  <r>
    <n v="2"/>
    <d v="2019-08-23T00:00:00"/>
    <x v="0"/>
    <n v="2101.6379999999999"/>
    <n v="2477.7829999999999"/>
    <x v="1"/>
    <x v="0"/>
    <x v="7"/>
    <n v="4"/>
  </r>
  <r>
    <n v="2"/>
    <d v="2019-08-23T00:00:00"/>
    <x v="3"/>
    <n v="0"/>
    <n v="0"/>
    <x v="1"/>
    <x v="0"/>
    <x v="7"/>
    <n v="4"/>
  </r>
  <r>
    <n v="2"/>
    <d v="2019-08-23T00:00:00"/>
    <x v="2"/>
    <n v="205.68799999999996"/>
    <n v="728.39899999999989"/>
    <x v="1"/>
    <x v="0"/>
    <x v="7"/>
    <n v="4"/>
  </r>
  <r>
    <n v="2"/>
    <d v="2019-08-23T00:00:00"/>
    <x v="1"/>
    <n v="1251.8309999999999"/>
    <n v="952.154"/>
    <x v="1"/>
    <x v="0"/>
    <x v="7"/>
    <n v="4"/>
  </r>
  <r>
    <n v="2"/>
    <d v="2019-08-24T00:00:00"/>
    <x v="2"/>
    <n v="428.57499999999999"/>
    <n v="423.64699999999999"/>
    <x v="1"/>
    <x v="0"/>
    <x v="7"/>
    <n v="4"/>
  </r>
  <r>
    <n v="2"/>
    <d v="2019-08-24T00:00:00"/>
    <x v="3"/>
    <n v="112.602"/>
    <n v="179.935"/>
    <x v="1"/>
    <x v="0"/>
    <x v="7"/>
    <n v="4"/>
  </r>
  <r>
    <n v="2"/>
    <d v="2019-08-24T00:00:00"/>
    <x v="0"/>
    <n v="1806.8399999999997"/>
    <n v="2150.1970000000001"/>
    <x v="1"/>
    <x v="0"/>
    <x v="7"/>
    <n v="4"/>
  </r>
  <r>
    <n v="2"/>
    <d v="2019-08-24T00:00:00"/>
    <x v="1"/>
    <n v="1121.5819999999999"/>
    <n v="691.36899999999991"/>
    <x v="1"/>
    <x v="0"/>
    <x v="7"/>
    <n v="4"/>
  </r>
  <r>
    <n v="2"/>
    <d v="2019-08-25T00:00:00"/>
    <x v="0"/>
    <n v="1057.7559999999999"/>
    <n v="1132.9849999999999"/>
    <x v="1"/>
    <x v="0"/>
    <x v="7"/>
    <n v="4"/>
  </r>
  <r>
    <n v="2"/>
    <d v="2019-08-25T00:00:00"/>
    <x v="3"/>
    <n v="0"/>
    <n v="0"/>
    <x v="1"/>
    <x v="0"/>
    <x v="7"/>
    <n v="4"/>
  </r>
  <r>
    <n v="2"/>
    <d v="2019-08-25T00:00:00"/>
    <x v="2"/>
    <n v="302.98799999999994"/>
    <n v="235.36099999999999"/>
    <x v="1"/>
    <x v="0"/>
    <x v="7"/>
    <n v="4"/>
  </r>
  <r>
    <n v="2"/>
    <d v="2019-08-25T00:00:00"/>
    <x v="1"/>
    <n v="812.76999999999987"/>
    <n v="442.14099999999996"/>
    <x v="1"/>
    <x v="0"/>
    <x v="7"/>
    <n v="4"/>
  </r>
  <r>
    <n v="2"/>
    <d v="2019-08-26T00:00:00"/>
    <x v="0"/>
    <n v="1567.8320000000001"/>
    <n v="1662.5630000000001"/>
    <x v="1"/>
    <x v="0"/>
    <x v="8"/>
    <n v="1"/>
  </r>
  <r>
    <n v="2"/>
    <d v="2019-08-26T00:00:00"/>
    <x v="2"/>
    <n v="372.28800000000001"/>
    <n v="490.7419999999999"/>
    <x v="1"/>
    <x v="0"/>
    <x v="8"/>
    <n v="1"/>
  </r>
  <r>
    <n v="2"/>
    <d v="2019-08-26T00:00:00"/>
    <x v="3"/>
    <n v="0"/>
    <n v="230.46099999999998"/>
    <x v="1"/>
    <x v="0"/>
    <x v="8"/>
    <n v="1"/>
  </r>
  <r>
    <n v="2"/>
    <d v="2019-08-26T00:00:00"/>
    <x v="1"/>
    <n v="1028.3"/>
    <n v="759.28300000000002"/>
    <x v="1"/>
    <x v="0"/>
    <x v="8"/>
    <n v="1"/>
  </r>
  <r>
    <n v="2"/>
    <d v="2019-08-27T00:00:00"/>
    <x v="2"/>
    <n v="129.381"/>
    <n v="265.93700000000001"/>
    <x v="1"/>
    <x v="0"/>
    <x v="8"/>
    <n v="1"/>
  </r>
  <r>
    <n v="2"/>
    <d v="2019-08-27T00:00:00"/>
    <x v="0"/>
    <n v="1959.1320000000001"/>
    <n v="1581.3559999999998"/>
    <x v="1"/>
    <x v="0"/>
    <x v="8"/>
    <n v="1"/>
  </r>
  <r>
    <n v="2"/>
    <d v="2019-08-27T00:00:00"/>
    <x v="3"/>
    <n v="732.9559999999999"/>
    <n v="0"/>
    <x v="1"/>
    <x v="0"/>
    <x v="8"/>
    <n v="1"/>
  </r>
  <r>
    <n v="2"/>
    <d v="2019-08-27T00:00:00"/>
    <x v="1"/>
    <n v="1021.062"/>
    <n v="739.98399999999992"/>
    <x v="1"/>
    <x v="0"/>
    <x v="8"/>
    <n v="1"/>
  </r>
  <r>
    <n v="2"/>
    <d v="2019-08-28T00:00:00"/>
    <x v="3"/>
    <n v="160.85999999999999"/>
    <n v="0"/>
    <x v="1"/>
    <x v="0"/>
    <x v="8"/>
    <n v="1"/>
  </r>
  <r>
    <n v="2"/>
    <d v="2019-08-28T00:00:00"/>
    <x v="2"/>
    <n v="170.32399999999998"/>
    <n v="264.62799999999999"/>
    <x v="1"/>
    <x v="0"/>
    <x v="8"/>
    <n v="1"/>
  </r>
  <r>
    <n v="2"/>
    <d v="2019-08-28T00:00:00"/>
    <x v="0"/>
    <n v="1533.4619999999998"/>
    <n v="1626.3589999999999"/>
    <x v="1"/>
    <x v="0"/>
    <x v="8"/>
    <n v="1"/>
  </r>
  <r>
    <n v="2"/>
    <d v="2019-08-28T00:00:00"/>
    <x v="1"/>
    <n v="831.71199999999999"/>
    <n v="575.01499999999999"/>
    <x v="1"/>
    <x v="0"/>
    <x v="8"/>
    <n v="1"/>
  </r>
  <r>
    <n v="2"/>
    <d v="2019-08-29T00:00:00"/>
    <x v="0"/>
    <n v="1952.9579999999999"/>
    <n v="2126.0259999999998"/>
    <x v="1"/>
    <x v="0"/>
    <x v="8"/>
    <n v="1"/>
  </r>
  <r>
    <n v="2"/>
    <d v="2019-08-29T00:00:00"/>
    <x v="3"/>
    <n v="0"/>
    <n v="166.54399999999998"/>
    <x v="1"/>
    <x v="0"/>
    <x v="8"/>
    <n v="1"/>
  </r>
  <r>
    <n v="2"/>
    <d v="2019-08-29T00:00:00"/>
    <x v="2"/>
    <n v="414.16899999999993"/>
    <n v="242.41"/>
    <x v="1"/>
    <x v="0"/>
    <x v="8"/>
    <n v="1"/>
  </r>
  <r>
    <n v="2"/>
    <d v="2019-08-29T00:00:00"/>
    <x v="1"/>
    <n v="1384.7190000000001"/>
    <n v="788.96999999999991"/>
    <x v="1"/>
    <x v="0"/>
    <x v="8"/>
    <n v="1"/>
  </r>
  <r>
    <n v="2"/>
    <d v="2019-08-30T00:00:00"/>
    <x v="0"/>
    <n v="2384.5009999999997"/>
    <n v="2376.4299999999998"/>
    <x v="1"/>
    <x v="0"/>
    <x v="8"/>
    <n v="1"/>
  </r>
  <r>
    <n v="2"/>
    <d v="2019-08-30T00:00:00"/>
    <x v="1"/>
    <n v="1172.2619999999999"/>
    <n v="1139.1659999999999"/>
    <x v="1"/>
    <x v="0"/>
    <x v="8"/>
    <n v="1"/>
  </r>
  <r>
    <n v="2"/>
    <d v="2019-08-30T00:00:00"/>
    <x v="3"/>
    <n v="0"/>
    <n v="0"/>
    <x v="1"/>
    <x v="0"/>
    <x v="8"/>
    <n v="1"/>
  </r>
  <r>
    <n v="2"/>
    <d v="2019-08-30T00:00:00"/>
    <x v="2"/>
    <n v="501.96999999999997"/>
    <n v="524.54499999999996"/>
    <x v="1"/>
    <x v="0"/>
    <x v="8"/>
    <n v="1"/>
  </r>
  <r>
    <n v="2"/>
    <d v="2019-08-31T00:00:00"/>
    <x v="0"/>
    <n v="1920.394"/>
    <n v="1897.0699999999997"/>
    <x v="1"/>
    <x v="0"/>
    <x v="8"/>
    <n v="1"/>
  </r>
  <r>
    <n v="2"/>
    <d v="2019-08-31T00:00:00"/>
    <x v="3"/>
    <n v="0"/>
    <n v="752.02399999999989"/>
    <x v="1"/>
    <x v="0"/>
    <x v="8"/>
    <n v="1"/>
  </r>
  <r>
    <n v="2"/>
    <d v="2019-08-31T00:00:00"/>
    <x v="1"/>
    <n v="990.976"/>
    <n v="636.67099999999994"/>
    <x v="1"/>
    <x v="0"/>
    <x v="8"/>
    <n v="1"/>
  </r>
  <r>
    <n v="2"/>
    <d v="2019-08-31T00:00:00"/>
    <x v="2"/>
    <n v="324.82799999999997"/>
    <n v="239.078"/>
    <x v="1"/>
    <x v="0"/>
    <x v="8"/>
    <n v="1"/>
  </r>
  <r>
    <n v="2"/>
    <d v="2019-09-01T00:00:00"/>
    <x v="3"/>
    <n v="0"/>
    <n v="0"/>
    <x v="1"/>
    <x v="0"/>
    <x v="8"/>
    <n v="1"/>
  </r>
  <r>
    <n v="2"/>
    <d v="2019-09-01T00:00:00"/>
    <x v="1"/>
    <n v="685.82499999999993"/>
    <n v="392.959"/>
    <x v="1"/>
    <x v="0"/>
    <x v="8"/>
    <n v="1"/>
  </r>
  <r>
    <n v="2"/>
    <d v="2019-09-01T00:00:00"/>
    <x v="0"/>
    <n v="868.00699999999995"/>
    <n v="1323.5669999999998"/>
    <x v="1"/>
    <x v="0"/>
    <x v="8"/>
    <n v="1"/>
  </r>
  <r>
    <n v="2"/>
    <d v="2019-09-01T00:00:00"/>
    <x v="2"/>
    <n v="220.934"/>
    <n v="145.69099999999997"/>
    <x v="1"/>
    <x v="0"/>
    <x v="8"/>
    <n v="1"/>
  </r>
  <r>
    <n v="2"/>
    <d v="2019-09-02T00:00:00"/>
    <x v="1"/>
    <n v="781.38199999999995"/>
    <n v="609.8119999999999"/>
    <x v="1"/>
    <x v="0"/>
    <x v="8"/>
    <n v="2"/>
  </r>
  <r>
    <n v="2"/>
    <d v="2019-09-02T00:00:00"/>
    <x v="2"/>
    <n v="408.63199999999995"/>
    <n v="430.43699999999995"/>
    <x v="1"/>
    <x v="0"/>
    <x v="8"/>
    <n v="2"/>
  </r>
  <r>
    <n v="2"/>
    <d v="2019-09-02T00:00:00"/>
    <x v="0"/>
    <n v="1768.7179999999998"/>
    <n v="1902.2289999999998"/>
    <x v="1"/>
    <x v="0"/>
    <x v="8"/>
    <n v="2"/>
  </r>
  <r>
    <n v="2"/>
    <d v="2019-09-02T00:00:00"/>
    <x v="3"/>
    <n v="0"/>
    <n v="0"/>
    <x v="1"/>
    <x v="0"/>
    <x v="8"/>
    <n v="2"/>
  </r>
  <r>
    <n v="2"/>
    <d v="2019-09-03T00:00:00"/>
    <x v="2"/>
    <n v="530.88"/>
    <n v="392.18199999999996"/>
    <x v="1"/>
    <x v="0"/>
    <x v="8"/>
    <n v="2"/>
  </r>
  <r>
    <n v="2"/>
    <d v="2019-09-03T00:00:00"/>
    <x v="1"/>
    <n v="1008.7419999999998"/>
    <n v="659.35799999999995"/>
    <x v="1"/>
    <x v="0"/>
    <x v="8"/>
    <n v="2"/>
  </r>
  <r>
    <n v="2"/>
    <d v="2019-09-03T00:00:00"/>
    <x v="0"/>
    <n v="1697.1079999999999"/>
    <n v="1649.3820000000001"/>
    <x v="1"/>
    <x v="0"/>
    <x v="8"/>
    <n v="2"/>
  </r>
  <r>
    <n v="2"/>
    <d v="2019-09-03T00:00:00"/>
    <x v="3"/>
    <n v="0"/>
    <n v="0"/>
    <x v="1"/>
    <x v="0"/>
    <x v="8"/>
    <n v="2"/>
  </r>
  <r>
    <n v="2"/>
    <d v="2019-09-04T00:00:00"/>
    <x v="2"/>
    <n v="472.47199999999998"/>
    <n v="256.459"/>
    <x v="1"/>
    <x v="0"/>
    <x v="8"/>
    <n v="2"/>
  </r>
  <r>
    <n v="2"/>
    <d v="2019-09-04T00:00:00"/>
    <x v="0"/>
    <n v="1534.547"/>
    <n v="1498.2869999999998"/>
    <x v="1"/>
    <x v="0"/>
    <x v="8"/>
    <n v="2"/>
  </r>
  <r>
    <n v="2"/>
    <d v="2019-09-04T00:00:00"/>
    <x v="3"/>
    <n v="0"/>
    <n v="0"/>
    <x v="1"/>
    <x v="0"/>
    <x v="8"/>
    <n v="2"/>
  </r>
  <r>
    <n v="2"/>
    <d v="2019-09-04T00:00:00"/>
    <x v="1"/>
    <n v="1010.275"/>
    <n v="684.76099999999997"/>
    <x v="1"/>
    <x v="0"/>
    <x v="8"/>
    <n v="2"/>
  </r>
  <r>
    <n v="2"/>
    <d v="2019-09-05T00:00:00"/>
    <x v="3"/>
    <n v="0"/>
    <n v="0"/>
    <x v="1"/>
    <x v="0"/>
    <x v="8"/>
    <n v="2"/>
  </r>
  <r>
    <n v="2"/>
    <d v="2019-09-05T00:00:00"/>
    <x v="0"/>
    <n v="1867.9639999999999"/>
    <n v="1907.374"/>
    <x v="1"/>
    <x v="0"/>
    <x v="8"/>
    <n v="2"/>
  </r>
  <r>
    <n v="2"/>
    <d v="2019-09-05T00:00:00"/>
    <x v="1"/>
    <n v="981.78499999999985"/>
    <n v="651.44099999999992"/>
    <x v="1"/>
    <x v="0"/>
    <x v="8"/>
    <n v="2"/>
  </r>
  <r>
    <n v="2"/>
    <d v="2019-09-05T00:00:00"/>
    <x v="2"/>
    <n v="446.88699999999994"/>
    <n v="235.12999999999997"/>
    <x v="1"/>
    <x v="0"/>
    <x v="8"/>
    <n v="2"/>
  </r>
  <r>
    <n v="2"/>
    <d v="2019-09-06T00:00:00"/>
    <x v="0"/>
    <n v="2433.5639999999999"/>
    <n v="2669.2749999999996"/>
    <x v="1"/>
    <x v="0"/>
    <x v="8"/>
    <n v="2"/>
  </r>
  <r>
    <n v="2"/>
    <d v="2019-09-06T00:00:00"/>
    <x v="3"/>
    <n v="0"/>
    <n v="0"/>
    <x v="1"/>
    <x v="0"/>
    <x v="8"/>
    <n v="2"/>
  </r>
  <r>
    <n v="2"/>
    <d v="2019-09-06T00:00:00"/>
    <x v="1"/>
    <n v="1441.3910000000001"/>
    <n v="831.70500000000004"/>
    <x v="1"/>
    <x v="0"/>
    <x v="8"/>
    <n v="2"/>
  </r>
  <r>
    <n v="2"/>
    <d v="2019-09-06T00:00:00"/>
    <x v="2"/>
    <n v="359.27499999999998"/>
    <n v="728.90299999999991"/>
    <x v="1"/>
    <x v="0"/>
    <x v="8"/>
    <n v="2"/>
  </r>
  <r>
    <n v="2"/>
    <d v="2019-09-07T00:00:00"/>
    <x v="2"/>
    <n v="563.03800000000001"/>
    <n v="432.25"/>
    <x v="1"/>
    <x v="0"/>
    <x v="8"/>
    <n v="2"/>
  </r>
  <r>
    <n v="2"/>
    <d v="2019-09-07T00:00:00"/>
    <x v="0"/>
    <n v="2320.8919999999998"/>
    <n v="2249.4919999999997"/>
    <x v="1"/>
    <x v="0"/>
    <x v="8"/>
    <n v="2"/>
  </r>
  <r>
    <n v="2"/>
    <d v="2019-09-07T00:00:00"/>
    <x v="3"/>
    <n v="265.41899999999998"/>
    <n v="26.901"/>
    <x v="1"/>
    <x v="0"/>
    <x v="8"/>
    <n v="2"/>
  </r>
  <r>
    <n v="2"/>
    <d v="2019-09-07T00:00:00"/>
    <x v="1"/>
    <n v="1190.1609999999998"/>
    <n v="682.15"/>
    <x v="1"/>
    <x v="0"/>
    <x v="8"/>
    <n v="2"/>
  </r>
  <r>
    <n v="2"/>
    <d v="2019-09-08T00:00:00"/>
    <x v="2"/>
    <n v="428.67299999999994"/>
    <n v="200.20699999999999"/>
    <x v="1"/>
    <x v="0"/>
    <x v="8"/>
    <n v="2"/>
  </r>
  <r>
    <n v="2"/>
    <d v="2019-09-08T00:00:00"/>
    <x v="0"/>
    <n v="1211.154"/>
    <n v="1178.366"/>
    <x v="1"/>
    <x v="0"/>
    <x v="8"/>
    <n v="2"/>
  </r>
  <r>
    <n v="2"/>
    <d v="2019-09-08T00:00:00"/>
    <x v="3"/>
    <n v="14.510999999999999"/>
    <n v="149.072"/>
    <x v="1"/>
    <x v="0"/>
    <x v="8"/>
    <n v="2"/>
  </r>
  <r>
    <n v="2"/>
    <d v="2019-09-08T00:00:00"/>
    <x v="1"/>
    <n v="684.95699999999999"/>
    <n v="684.74699999999996"/>
    <x v="1"/>
    <x v="0"/>
    <x v="8"/>
    <n v="2"/>
  </r>
  <r>
    <n v="2"/>
    <d v="2019-09-09T00:00:00"/>
    <x v="0"/>
    <n v="1333.1569999999999"/>
    <n v="1612.0089999999998"/>
    <x v="1"/>
    <x v="0"/>
    <x v="8"/>
    <n v="3"/>
  </r>
  <r>
    <n v="2"/>
    <d v="2019-09-09T00:00:00"/>
    <x v="2"/>
    <n v="261.56200000000001"/>
    <n v="336.82599999999996"/>
    <x v="1"/>
    <x v="0"/>
    <x v="8"/>
    <n v="3"/>
  </r>
  <r>
    <n v="2"/>
    <d v="2019-09-09T00:00:00"/>
    <x v="3"/>
    <n v="0"/>
    <n v="0"/>
    <x v="1"/>
    <x v="0"/>
    <x v="8"/>
    <n v="3"/>
  </r>
  <r>
    <n v="2"/>
    <d v="2019-09-09T00:00:00"/>
    <x v="1"/>
    <n v="777.11900000000003"/>
    <n v="430.17099999999994"/>
    <x v="1"/>
    <x v="0"/>
    <x v="8"/>
    <n v="3"/>
  </r>
  <r>
    <n v="2"/>
    <d v="2019-09-10T00:00:00"/>
    <x v="3"/>
    <n v="171.06599999999997"/>
    <n v="0"/>
    <x v="1"/>
    <x v="0"/>
    <x v="8"/>
    <n v="3"/>
  </r>
  <r>
    <n v="2"/>
    <d v="2019-09-10T00:00:00"/>
    <x v="0"/>
    <n v="1445.8919999999998"/>
    <n v="1842.7429999999997"/>
    <x v="1"/>
    <x v="0"/>
    <x v="8"/>
    <n v="3"/>
  </r>
  <r>
    <n v="2"/>
    <d v="2019-09-10T00:00:00"/>
    <x v="2"/>
    <n v="424.40999999999997"/>
    <n v="286.62199999999996"/>
    <x v="1"/>
    <x v="0"/>
    <x v="8"/>
    <n v="3"/>
  </r>
  <r>
    <n v="2"/>
    <d v="2019-09-10T00:00:00"/>
    <x v="1"/>
    <n v="766.45100000000002"/>
    <n v="648.774"/>
    <x v="1"/>
    <x v="0"/>
    <x v="8"/>
    <n v="3"/>
  </r>
  <r>
    <n v="2"/>
    <d v="2019-09-11T00:00:00"/>
    <x v="1"/>
    <n v="935.10199999999986"/>
    <n v="706.02"/>
    <x v="1"/>
    <x v="0"/>
    <x v="8"/>
    <n v="3"/>
  </r>
  <r>
    <n v="2"/>
    <d v="2019-09-11T00:00:00"/>
    <x v="3"/>
    <n v="0"/>
    <n v="24.527999999999999"/>
    <x v="1"/>
    <x v="0"/>
    <x v="8"/>
    <n v="3"/>
  </r>
  <r>
    <n v="2"/>
    <d v="2019-09-11T00:00:00"/>
    <x v="0"/>
    <n v="1285.088"/>
    <n v="1763.9929999999997"/>
    <x v="1"/>
    <x v="0"/>
    <x v="8"/>
    <n v="3"/>
  </r>
  <r>
    <n v="2"/>
    <d v="2019-09-11T00:00:00"/>
    <x v="2"/>
    <n v="250.53700000000001"/>
    <n v="232.89"/>
    <x v="1"/>
    <x v="0"/>
    <x v="8"/>
    <n v="3"/>
  </r>
  <r>
    <n v="2"/>
    <d v="2019-09-12T00:00:00"/>
    <x v="0"/>
    <n v="1501.0169999999998"/>
    <n v="2034.8649999999998"/>
    <x v="1"/>
    <x v="0"/>
    <x v="8"/>
    <n v="3"/>
  </r>
  <r>
    <n v="2"/>
    <d v="2019-09-12T00:00:00"/>
    <x v="1"/>
    <n v="1326.2760000000001"/>
    <n v="806.70799999999997"/>
    <x v="1"/>
    <x v="0"/>
    <x v="8"/>
    <n v="3"/>
  </r>
  <r>
    <n v="2"/>
    <d v="2019-09-12T00:00:00"/>
    <x v="3"/>
    <n v="459.22099999999995"/>
    <n v="0"/>
    <x v="1"/>
    <x v="0"/>
    <x v="8"/>
    <n v="3"/>
  </r>
  <r>
    <n v="2"/>
    <d v="2019-09-12T00:00:00"/>
    <x v="2"/>
    <n v="426.38399999999996"/>
    <n v="643.58699999999999"/>
    <x v="1"/>
    <x v="0"/>
    <x v="8"/>
    <n v="3"/>
  </r>
  <r>
    <n v="2"/>
    <d v="2019-09-13T00:00:00"/>
    <x v="2"/>
    <n v="436.12799999999993"/>
    <n v="676.43100000000004"/>
    <x v="1"/>
    <x v="0"/>
    <x v="8"/>
    <n v="3"/>
  </r>
  <r>
    <n v="2"/>
    <d v="2019-09-13T00:00:00"/>
    <x v="1"/>
    <n v="1492.722"/>
    <n v="881.17399999999986"/>
    <x v="1"/>
    <x v="0"/>
    <x v="8"/>
    <n v="3"/>
  </r>
  <r>
    <n v="2"/>
    <d v="2019-09-13T00:00:00"/>
    <x v="0"/>
    <n v="2378.971"/>
    <n v="2297.3159999999998"/>
    <x v="1"/>
    <x v="0"/>
    <x v="8"/>
    <n v="3"/>
  </r>
  <r>
    <n v="2"/>
    <d v="2019-09-13T00:00:00"/>
    <x v="3"/>
    <n v="20.908999999999999"/>
    <n v="0"/>
    <x v="1"/>
    <x v="0"/>
    <x v="8"/>
    <n v="3"/>
  </r>
  <r>
    <n v="2"/>
    <d v="2019-09-14T00:00:00"/>
    <x v="2"/>
    <n v="417.83699999999993"/>
    <n v="443.55499999999995"/>
    <x v="1"/>
    <x v="0"/>
    <x v="8"/>
    <n v="3"/>
  </r>
  <r>
    <n v="2"/>
    <d v="2019-09-14T00:00:00"/>
    <x v="0"/>
    <n v="1899.5059999999999"/>
    <n v="2297.596"/>
    <x v="1"/>
    <x v="0"/>
    <x v="8"/>
    <n v="3"/>
  </r>
  <r>
    <n v="2"/>
    <d v="2019-09-14T00:00:00"/>
    <x v="3"/>
    <n v="0"/>
    <n v="0"/>
    <x v="1"/>
    <x v="0"/>
    <x v="8"/>
    <n v="3"/>
  </r>
  <r>
    <n v="2"/>
    <d v="2019-09-14T00:00:00"/>
    <x v="1"/>
    <n v="1091.1949999999999"/>
    <n v="933.20500000000004"/>
    <x v="1"/>
    <x v="0"/>
    <x v="8"/>
    <n v="3"/>
  </r>
  <r>
    <n v="2"/>
    <d v="2019-09-15T00:00:00"/>
    <x v="2"/>
    <n v="370.02"/>
    <n v="315.27999999999997"/>
    <x v="1"/>
    <x v="0"/>
    <x v="8"/>
    <n v="3"/>
  </r>
  <r>
    <n v="2"/>
    <d v="2019-09-15T00:00:00"/>
    <x v="0"/>
    <n v="1234.0929999999998"/>
    <n v="1118.4669999999999"/>
    <x v="1"/>
    <x v="0"/>
    <x v="8"/>
    <n v="3"/>
  </r>
  <r>
    <n v="2"/>
    <d v="2019-09-15T00:00:00"/>
    <x v="3"/>
    <n v="0"/>
    <n v="0"/>
    <x v="1"/>
    <x v="0"/>
    <x v="8"/>
    <n v="3"/>
  </r>
  <r>
    <n v="2"/>
    <d v="2019-09-15T00:00:00"/>
    <x v="1"/>
    <n v="701.47"/>
    <n v="578.92799999999988"/>
    <x v="1"/>
    <x v="0"/>
    <x v="8"/>
    <n v="3"/>
  </r>
  <r>
    <n v="2"/>
    <d v="2019-09-16T00:00:00"/>
    <x v="3"/>
    <n v="0"/>
    <n v="0"/>
    <x v="1"/>
    <x v="0"/>
    <x v="8"/>
    <n v="4"/>
  </r>
  <r>
    <n v="2"/>
    <d v="2019-09-16T00:00:00"/>
    <x v="2"/>
    <n v="542.59799999999996"/>
    <n v="246.25299999999999"/>
    <x v="1"/>
    <x v="0"/>
    <x v="8"/>
    <n v="4"/>
  </r>
  <r>
    <n v="2"/>
    <d v="2019-09-16T00:00:00"/>
    <x v="0"/>
    <n v="1712.9770000000001"/>
    <n v="1338.316"/>
    <x v="1"/>
    <x v="0"/>
    <x v="8"/>
    <n v="4"/>
  </r>
  <r>
    <n v="2"/>
    <d v="2019-09-16T00:00:00"/>
    <x v="1"/>
    <n v="948.48599999999999"/>
    <n v="642.70499999999993"/>
    <x v="1"/>
    <x v="0"/>
    <x v="8"/>
    <n v="4"/>
  </r>
  <r>
    <n v="2"/>
    <d v="2019-09-17T00:00:00"/>
    <x v="2"/>
    <n v="411.02599999999995"/>
    <n v="242.28399999999999"/>
    <x v="1"/>
    <x v="0"/>
    <x v="8"/>
    <n v="4"/>
  </r>
  <r>
    <n v="2"/>
    <d v="2019-09-17T00:00:00"/>
    <x v="3"/>
    <n v="0"/>
    <n v="0"/>
    <x v="1"/>
    <x v="0"/>
    <x v="8"/>
    <n v="4"/>
  </r>
  <r>
    <n v="2"/>
    <d v="2019-09-17T00:00:00"/>
    <x v="0"/>
    <n v="1773.73"/>
    <n v="1700.9369999999999"/>
    <x v="1"/>
    <x v="0"/>
    <x v="8"/>
    <n v="4"/>
  </r>
  <r>
    <n v="2"/>
    <d v="2019-09-17T00:00:00"/>
    <x v="1"/>
    <n v="945.34999999999991"/>
    <n v="736.72899999999993"/>
    <x v="1"/>
    <x v="0"/>
    <x v="8"/>
    <n v="4"/>
  </r>
  <r>
    <n v="2"/>
    <d v="2019-09-18T00:00:00"/>
    <x v="1"/>
    <n v="763.07699999999988"/>
    <n v="609.86099999999999"/>
    <x v="1"/>
    <x v="0"/>
    <x v="8"/>
    <n v="4"/>
  </r>
  <r>
    <n v="2"/>
    <d v="2019-09-18T00:00:00"/>
    <x v="0"/>
    <n v="1419.5229999999999"/>
    <n v="1658.9369999999999"/>
    <x v="1"/>
    <x v="0"/>
    <x v="8"/>
    <n v="4"/>
  </r>
  <r>
    <n v="2"/>
    <d v="2019-09-18T00:00:00"/>
    <x v="2"/>
    <n v="208.453"/>
    <n v="264.495"/>
    <x v="1"/>
    <x v="0"/>
    <x v="8"/>
    <n v="4"/>
  </r>
  <r>
    <n v="2"/>
    <d v="2019-09-18T00:00:00"/>
    <x v="3"/>
    <n v="0"/>
    <n v="437.96199999999993"/>
    <x v="1"/>
    <x v="0"/>
    <x v="8"/>
    <n v="4"/>
  </r>
  <r>
    <n v="2"/>
    <d v="2019-09-19T00:00:00"/>
    <x v="2"/>
    <n v="344.10599999999999"/>
    <n v="445.96999999999997"/>
    <x v="1"/>
    <x v="0"/>
    <x v="8"/>
    <n v="4"/>
  </r>
  <r>
    <n v="2"/>
    <d v="2019-09-19T00:00:00"/>
    <x v="3"/>
    <n v="26.844999999999999"/>
    <n v="176.946"/>
    <x v="1"/>
    <x v="0"/>
    <x v="8"/>
    <n v="4"/>
  </r>
  <r>
    <n v="2"/>
    <d v="2019-09-19T00:00:00"/>
    <x v="0"/>
    <n v="1508.4929999999997"/>
    <n v="1534.953"/>
    <x v="1"/>
    <x v="0"/>
    <x v="8"/>
    <n v="4"/>
  </r>
  <r>
    <n v="2"/>
    <d v="2019-09-19T00:00:00"/>
    <x v="1"/>
    <n v="1312.549"/>
    <n v="743.28099999999995"/>
    <x v="1"/>
    <x v="0"/>
    <x v="8"/>
    <n v="4"/>
  </r>
  <r>
    <n v="2"/>
    <d v="2019-09-20T00:00:00"/>
    <x v="0"/>
    <n v="2501.8419999999996"/>
    <n v="2466.0299999999997"/>
    <x v="1"/>
    <x v="0"/>
    <x v="8"/>
    <n v="4"/>
  </r>
  <r>
    <n v="2"/>
    <d v="2019-09-20T00:00:00"/>
    <x v="3"/>
    <n v="0"/>
    <n v="0"/>
    <x v="1"/>
    <x v="0"/>
    <x v="8"/>
    <n v="4"/>
  </r>
  <r>
    <n v="2"/>
    <d v="2019-09-20T00:00:00"/>
    <x v="1"/>
    <n v="1351.7349999999999"/>
    <n v="991.80199999999991"/>
    <x v="1"/>
    <x v="0"/>
    <x v="8"/>
    <n v="4"/>
  </r>
  <r>
    <n v="2"/>
    <d v="2019-09-20T00:00:00"/>
    <x v="2"/>
    <n v="782.39699999999993"/>
    <n v="270.28399999999999"/>
    <x v="1"/>
    <x v="0"/>
    <x v="8"/>
    <n v="4"/>
  </r>
  <r>
    <n v="2"/>
    <d v="2019-09-21T00:00:00"/>
    <x v="3"/>
    <n v="311.66800000000001"/>
    <n v="0"/>
    <x v="1"/>
    <x v="0"/>
    <x v="8"/>
    <n v="4"/>
  </r>
  <r>
    <n v="2"/>
    <d v="2019-09-21T00:00:00"/>
    <x v="2"/>
    <n v="350.72099999999995"/>
    <n v="435.988"/>
    <x v="1"/>
    <x v="0"/>
    <x v="8"/>
    <n v="4"/>
  </r>
  <r>
    <n v="2"/>
    <d v="2019-09-21T00:00:00"/>
    <x v="0"/>
    <n v="2233.1749999999997"/>
    <n v="2143.54"/>
    <x v="1"/>
    <x v="0"/>
    <x v="8"/>
    <n v="4"/>
  </r>
  <r>
    <n v="2"/>
    <d v="2019-09-21T00:00:00"/>
    <x v="1"/>
    <n v="1203.377"/>
    <n v="966.51799999999992"/>
    <x v="1"/>
    <x v="0"/>
    <x v="8"/>
    <n v="4"/>
  </r>
  <r>
    <n v="2"/>
    <d v="2019-09-22T00:00:00"/>
    <x v="0"/>
    <n v="1296.19"/>
    <n v="1227.954"/>
    <x v="1"/>
    <x v="0"/>
    <x v="8"/>
    <n v="4"/>
  </r>
  <r>
    <n v="2"/>
    <d v="2019-09-22T00:00:00"/>
    <x v="3"/>
    <n v="265.41899999999998"/>
    <n v="0"/>
    <x v="1"/>
    <x v="0"/>
    <x v="8"/>
    <n v="4"/>
  </r>
  <r>
    <n v="2"/>
    <d v="2019-09-22T00:00:00"/>
    <x v="2"/>
    <n v="247.87699999999998"/>
    <n v="324.50599999999997"/>
    <x v="1"/>
    <x v="0"/>
    <x v="8"/>
    <n v="4"/>
  </r>
  <r>
    <n v="2"/>
    <d v="2019-09-22T00:00:00"/>
    <x v="1"/>
    <n v="825.18099999999993"/>
    <n v="483.16799999999995"/>
    <x v="1"/>
    <x v="0"/>
    <x v="8"/>
    <n v="4"/>
  </r>
  <r>
    <n v="2"/>
    <d v="2019-09-23T00:00:00"/>
    <x v="2"/>
    <n v="416.36699999999996"/>
    <n v="280.52499999999998"/>
    <x v="1"/>
    <x v="0"/>
    <x v="8"/>
    <n v="5"/>
  </r>
  <r>
    <n v="2"/>
    <d v="2019-09-23T00:00:00"/>
    <x v="0"/>
    <n v="1565.6130000000001"/>
    <n v="1420.0199999999998"/>
    <x v="1"/>
    <x v="0"/>
    <x v="8"/>
    <n v="5"/>
  </r>
  <r>
    <n v="2"/>
    <d v="2019-09-23T00:00:00"/>
    <x v="1"/>
    <n v="892.23399999999992"/>
    <n v="631.72199999999998"/>
    <x v="1"/>
    <x v="0"/>
    <x v="8"/>
    <n v="5"/>
  </r>
  <r>
    <n v="2"/>
    <d v="2019-09-23T00:00:00"/>
    <x v="3"/>
    <n v="189.161"/>
    <n v="1671.2009999999998"/>
    <x v="1"/>
    <x v="0"/>
    <x v="8"/>
    <n v="5"/>
  </r>
  <r>
    <n v="2"/>
    <d v="2019-09-24T00:00:00"/>
    <x v="0"/>
    <n v="1906.9189999999999"/>
    <n v="1691.788"/>
    <x v="1"/>
    <x v="0"/>
    <x v="8"/>
    <n v="5"/>
  </r>
  <r>
    <n v="2"/>
    <d v="2019-09-24T00:00:00"/>
    <x v="3"/>
    <n v="118.09699999999999"/>
    <n v="162.60999999999999"/>
    <x v="1"/>
    <x v="0"/>
    <x v="8"/>
    <n v="5"/>
  </r>
  <r>
    <n v="2"/>
    <d v="2019-09-24T00:00:00"/>
    <x v="1"/>
    <n v="1118.586"/>
    <n v="883.7639999999999"/>
    <x v="1"/>
    <x v="0"/>
    <x v="8"/>
    <n v="5"/>
  </r>
  <r>
    <n v="2"/>
    <d v="2019-09-24T00:00:00"/>
    <x v="2"/>
    <n v="440.84599999999995"/>
    <n v="337.08499999999998"/>
    <x v="1"/>
    <x v="0"/>
    <x v="8"/>
    <n v="5"/>
  </r>
  <r>
    <n v="2"/>
    <d v="2019-09-25T00:00:00"/>
    <x v="0"/>
    <n v="1279.6419999999998"/>
    <n v="1613.8710000000001"/>
    <x v="1"/>
    <x v="0"/>
    <x v="8"/>
    <n v="5"/>
  </r>
  <r>
    <n v="2"/>
    <d v="2019-09-25T00:00:00"/>
    <x v="1"/>
    <n v="1205.162"/>
    <n v="745.15699999999993"/>
    <x v="1"/>
    <x v="0"/>
    <x v="8"/>
    <n v="5"/>
  </r>
  <r>
    <n v="2"/>
    <d v="2019-09-25T00:00:00"/>
    <x v="2"/>
    <n v="403.40299999999996"/>
    <n v="310.04399999999998"/>
    <x v="1"/>
    <x v="0"/>
    <x v="8"/>
    <n v="5"/>
  </r>
  <r>
    <n v="2"/>
    <d v="2019-09-25T00:00:00"/>
    <x v="3"/>
    <n v="160.85999999999999"/>
    <n v="0"/>
    <x v="1"/>
    <x v="0"/>
    <x v="8"/>
    <n v="5"/>
  </r>
  <r>
    <n v="2"/>
    <d v="2019-09-26T00:00:00"/>
    <x v="3"/>
    <n v="0"/>
    <n v="0"/>
    <x v="1"/>
    <x v="0"/>
    <x v="8"/>
    <n v="5"/>
  </r>
  <r>
    <n v="2"/>
    <d v="2019-09-26T00:00:00"/>
    <x v="2"/>
    <n v="428.54"/>
    <n v="326.18599999999998"/>
    <x v="1"/>
    <x v="0"/>
    <x v="8"/>
    <n v="5"/>
  </r>
  <r>
    <n v="2"/>
    <d v="2019-09-26T00:00:00"/>
    <x v="0"/>
    <n v="2060.3939999999998"/>
    <n v="1667.6379999999999"/>
    <x v="1"/>
    <x v="0"/>
    <x v="8"/>
    <n v="5"/>
  </r>
  <r>
    <n v="2"/>
    <d v="2019-09-26T00:00:00"/>
    <x v="1"/>
    <n v="905.70199999999988"/>
    <n v="734.65699999999993"/>
    <x v="1"/>
    <x v="0"/>
    <x v="8"/>
    <n v="5"/>
  </r>
  <r>
    <n v="2"/>
    <d v="2019-09-27T00:00:00"/>
    <x v="0"/>
    <n v="2612.7149999999997"/>
    <n v="2555.4969999999998"/>
    <x v="1"/>
    <x v="0"/>
    <x v="8"/>
    <n v="5"/>
  </r>
  <r>
    <n v="2"/>
    <d v="2019-09-27T00:00:00"/>
    <x v="1"/>
    <n v="1479.1490000000001"/>
    <n v="957.13799999999992"/>
    <x v="1"/>
    <x v="0"/>
    <x v="8"/>
    <n v="5"/>
  </r>
  <r>
    <n v="2"/>
    <d v="2019-09-27T00:00:00"/>
    <x v="3"/>
    <n v="0"/>
    <n v="276.53499999999997"/>
    <x v="1"/>
    <x v="0"/>
    <x v="8"/>
    <n v="5"/>
  </r>
  <r>
    <n v="2"/>
    <d v="2019-09-27T00:00:00"/>
    <x v="2"/>
    <n v="416.35999999999996"/>
    <n v="451.47199999999998"/>
    <x v="1"/>
    <x v="0"/>
    <x v="8"/>
    <n v="5"/>
  </r>
  <r>
    <n v="2"/>
    <d v="2019-09-28T00:00:00"/>
    <x v="2"/>
    <n v="466.87899999999996"/>
    <n v="510.22999999999996"/>
    <x v="1"/>
    <x v="0"/>
    <x v="8"/>
    <n v="5"/>
  </r>
  <r>
    <n v="2"/>
    <d v="2019-09-28T00:00:00"/>
    <x v="0"/>
    <n v="2091.2639999999997"/>
    <n v="2094.547"/>
    <x v="1"/>
    <x v="0"/>
    <x v="8"/>
    <n v="5"/>
  </r>
  <r>
    <n v="2"/>
    <d v="2019-09-28T00:00:00"/>
    <x v="3"/>
    <n v="174.85999999999999"/>
    <n v="221.053"/>
    <x v="1"/>
    <x v="0"/>
    <x v="8"/>
    <n v="5"/>
  </r>
  <r>
    <n v="2"/>
    <d v="2019-09-28T00:00:00"/>
    <x v="1"/>
    <n v="1055.5650000000001"/>
    <n v="668.26199999999994"/>
    <x v="1"/>
    <x v="0"/>
    <x v="8"/>
    <n v="5"/>
  </r>
  <r>
    <n v="2"/>
    <d v="2019-09-29T00:00:00"/>
    <x v="3"/>
    <n v="0"/>
    <n v="570.81499999999994"/>
    <x v="1"/>
    <x v="0"/>
    <x v="8"/>
    <n v="5"/>
  </r>
  <r>
    <n v="2"/>
    <d v="2019-09-29T00:00:00"/>
    <x v="0"/>
    <n v="1210.9159999999999"/>
    <n v="1088.7379999999998"/>
    <x v="1"/>
    <x v="0"/>
    <x v="8"/>
    <n v="5"/>
  </r>
  <r>
    <n v="2"/>
    <d v="2019-09-29T00:00:00"/>
    <x v="2"/>
    <n v="244.37"/>
    <n v="230.26499999999999"/>
    <x v="1"/>
    <x v="0"/>
    <x v="8"/>
    <n v="5"/>
  </r>
  <r>
    <n v="2"/>
    <d v="2019-09-29T00:00:00"/>
    <x v="1"/>
    <n v="688.57599999999991"/>
    <n v="698.2639999999999"/>
    <x v="1"/>
    <x v="0"/>
    <x v="8"/>
    <n v="5"/>
  </r>
  <r>
    <n v="2"/>
    <d v="2019-09-30T00:00:00"/>
    <x v="1"/>
    <n v="1143.6109999999999"/>
    <n v="645.63099999999997"/>
    <x v="1"/>
    <x v="0"/>
    <x v="9"/>
    <n v="1"/>
  </r>
  <r>
    <n v="2"/>
    <d v="2019-09-30T00:00:00"/>
    <x v="3"/>
    <n v="0"/>
    <n v="200.71100000000001"/>
    <x v="1"/>
    <x v="0"/>
    <x v="9"/>
    <n v="1"/>
  </r>
  <r>
    <n v="2"/>
    <d v="2019-09-30T00:00:00"/>
    <x v="0"/>
    <n v="1299.0319999999999"/>
    <n v="1848.3289999999997"/>
    <x v="1"/>
    <x v="0"/>
    <x v="9"/>
    <n v="1"/>
  </r>
  <r>
    <n v="2"/>
    <d v="2019-09-30T00:00:00"/>
    <x v="2"/>
    <n v="239.39999999999998"/>
    <n v="175.952"/>
    <x v="1"/>
    <x v="0"/>
    <x v="9"/>
    <n v="1"/>
  </r>
  <r>
    <n v="2"/>
    <d v="2019-10-01T00:00:00"/>
    <x v="2"/>
    <n v="416.39499999999998"/>
    <n v="364.399"/>
    <x v="1"/>
    <x v="0"/>
    <x v="9"/>
    <n v="1"/>
  </r>
  <r>
    <n v="2"/>
    <d v="2019-10-01T00:00:00"/>
    <x v="1"/>
    <n v="952.11900000000003"/>
    <n v="754.15899999999988"/>
    <x v="1"/>
    <x v="0"/>
    <x v="9"/>
    <n v="1"/>
  </r>
  <r>
    <n v="2"/>
    <d v="2019-10-01T00:00:00"/>
    <x v="0"/>
    <n v="1551.6059999999998"/>
    <n v="1701.644"/>
    <x v="1"/>
    <x v="0"/>
    <x v="9"/>
    <n v="1"/>
  </r>
  <r>
    <n v="2"/>
    <d v="2019-10-01T00:00:00"/>
    <x v="3"/>
    <n v="0"/>
    <n v="0"/>
    <x v="1"/>
    <x v="0"/>
    <x v="9"/>
    <n v="1"/>
  </r>
  <r>
    <n v="2"/>
    <d v="2019-10-02T00:00:00"/>
    <x v="1"/>
    <n v="1146.5160000000001"/>
    <n v="677.42499999999995"/>
    <x v="1"/>
    <x v="0"/>
    <x v="9"/>
    <n v="1"/>
  </r>
  <r>
    <n v="2"/>
    <d v="2019-10-02T00:00:00"/>
    <x v="3"/>
    <n v="1087.6389999999999"/>
    <n v="0"/>
    <x v="1"/>
    <x v="0"/>
    <x v="9"/>
    <n v="1"/>
  </r>
  <r>
    <n v="2"/>
    <d v="2019-10-02T00:00:00"/>
    <x v="0"/>
    <n v="1416.3239999999998"/>
    <n v="1535.9960000000001"/>
    <x v="1"/>
    <x v="0"/>
    <x v="9"/>
    <n v="1"/>
  </r>
  <r>
    <n v="2"/>
    <d v="2019-10-02T00:00:00"/>
    <x v="2"/>
    <n v="410.452"/>
    <n v="381.55599999999998"/>
    <x v="1"/>
    <x v="0"/>
    <x v="9"/>
    <n v="1"/>
  </r>
  <r>
    <n v="2"/>
    <d v="2019-10-03T00:00:00"/>
    <x v="1"/>
    <n v="1369.4870000000001"/>
    <n v="924.92399999999986"/>
    <x v="1"/>
    <x v="0"/>
    <x v="9"/>
    <n v="1"/>
  </r>
  <r>
    <n v="2"/>
    <d v="2019-10-03T00:00:00"/>
    <x v="0"/>
    <n v="1714.2089999999998"/>
    <n v="1748.46"/>
    <x v="1"/>
    <x v="0"/>
    <x v="9"/>
    <n v="1"/>
  </r>
  <r>
    <n v="2"/>
    <d v="2019-10-03T00:00:00"/>
    <x v="3"/>
    <n v="0"/>
    <n v="151.40299999999999"/>
    <x v="1"/>
    <x v="0"/>
    <x v="9"/>
    <n v="1"/>
  </r>
  <r>
    <n v="2"/>
    <d v="2019-10-03T00:00:00"/>
    <x v="2"/>
    <n v="270.54300000000001"/>
    <n v="327.37599999999998"/>
    <x v="1"/>
    <x v="0"/>
    <x v="9"/>
    <n v="1"/>
  </r>
  <r>
    <n v="2"/>
    <d v="2019-10-04T00:00:00"/>
    <x v="3"/>
    <n v="304.21299999999997"/>
    <n v="0"/>
    <x v="1"/>
    <x v="0"/>
    <x v="9"/>
    <n v="1"/>
  </r>
  <r>
    <n v="2"/>
    <d v="2019-10-04T00:00:00"/>
    <x v="0"/>
    <n v="2381.12"/>
    <n v="2236.5"/>
    <x v="1"/>
    <x v="0"/>
    <x v="9"/>
    <n v="1"/>
  </r>
  <r>
    <n v="2"/>
    <d v="2019-10-04T00:00:00"/>
    <x v="1"/>
    <n v="1354.297"/>
    <n v="613.53599999999994"/>
    <x v="1"/>
    <x v="0"/>
    <x v="9"/>
    <n v="1"/>
  </r>
  <r>
    <n v="2"/>
    <d v="2019-10-04T00:00:00"/>
    <x v="2"/>
    <n v="764.07099999999991"/>
    <n v="438.58499999999992"/>
    <x v="1"/>
    <x v="0"/>
    <x v="9"/>
    <n v="1"/>
  </r>
  <r>
    <n v="2"/>
    <d v="2019-10-05T00:00:00"/>
    <x v="2"/>
    <n v="469.97299999999996"/>
    <n v="317.64599999999996"/>
    <x v="1"/>
    <x v="0"/>
    <x v="9"/>
    <n v="1"/>
  </r>
  <r>
    <n v="2"/>
    <d v="2019-10-05T00:00:00"/>
    <x v="3"/>
    <n v="0"/>
    <n v="0"/>
    <x v="1"/>
    <x v="0"/>
    <x v="9"/>
    <n v="1"/>
  </r>
  <r>
    <n v="2"/>
    <d v="2019-10-05T00:00:00"/>
    <x v="0"/>
    <n v="2161.4319999999998"/>
    <n v="2274.5729999999999"/>
    <x v="1"/>
    <x v="0"/>
    <x v="9"/>
    <n v="1"/>
  </r>
  <r>
    <n v="2"/>
    <d v="2019-10-05T00:00:00"/>
    <x v="1"/>
    <n v="1070.9089999999999"/>
    <n v="759.39499999999987"/>
    <x v="1"/>
    <x v="0"/>
    <x v="9"/>
    <n v="1"/>
  </r>
  <r>
    <n v="2"/>
    <d v="2019-10-06T00:00:00"/>
    <x v="3"/>
    <n v="0"/>
    <n v="0"/>
    <x v="1"/>
    <x v="0"/>
    <x v="9"/>
    <n v="1"/>
  </r>
  <r>
    <n v="2"/>
    <d v="2019-10-06T00:00:00"/>
    <x v="0"/>
    <n v="1204.98"/>
    <n v="1076.1659999999999"/>
    <x v="1"/>
    <x v="0"/>
    <x v="9"/>
    <n v="1"/>
  </r>
  <r>
    <n v="2"/>
    <d v="2019-10-06T00:00:00"/>
    <x v="1"/>
    <n v="804.07600000000002"/>
    <n v="513.82799999999997"/>
    <x v="1"/>
    <x v="0"/>
    <x v="9"/>
    <n v="1"/>
  </r>
  <r>
    <n v="2"/>
    <d v="2019-10-06T00:00:00"/>
    <x v="2"/>
    <n v="463.70800000000003"/>
    <n v="291.529"/>
    <x v="1"/>
    <x v="0"/>
    <x v="9"/>
    <n v="1"/>
  </r>
  <r>
    <n v="2"/>
    <d v="2019-10-07T00:00:00"/>
    <x v="0"/>
    <n v="1272.2359999999999"/>
    <n v="1526.7839999999999"/>
    <x v="1"/>
    <x v="0"/>
    <x v="9"/>
    <n v="2"/>
  </r>
  <r>
    <n v="2"/>
    <d v="2019-10-07T00:00:00"/>
    <x v="2"/>
    <n v="333.99099999999999"/>
    <n v="315.62999999999994"/>
    <x v="1"/>
    <x v="0"/>
    <x v="9"/>
    <n v="2"/>
  </r>
  <r>
    <n v="2"/>
    <d v="2019-10-07T00:00:00"/>
    <x v="1"/>
    <n v="1024.7370000000001"/>
    <n v="711.71799999999996"/>
    <x v="1"/>
    <x v="0"/>
    <x v="9"/>
    <n v="2"/>
  </r>
  <r>
    <n v="2"/>
    <d v="2019-10-07T00:00:00"/>
    <x v="3"/>
    <n v="0"/>
    <n v="0"/>
    <x v="1"/>
    <x v="0"/>
    <x v="9"/>
    <n v="2"/>
  </r>
  <r>
    <n v="2"/>
    <d v="2019-10-08T00:00:00"/>
    <x v="3"/>
    <n v="254.352"/>
    <n v="0"/>
    <x v="1"/>
    <x v="0"/>
    <x v="9"/>
    <n v="2"/>
  </r>
  <r>
    <n v="2"/>
    <d v="2019-10-08T00:00:00"/>
    <x v="1"/>
    <n v="1009.5609999999999"/>
    <n v="818.09699999999998"/>
    <x v="1"/>
    <x v="0"/>
    <x v="9"/>
    <n v="2"/>
  </r>
  <r>
    <n v="2"/>
    <d v="2019-10-08T00:00:00"/>
    <x v="2"/>
    <n v="366.54799999999994"/>
    <n v="345.702"/>
    <x v="1"/>
    <x v="0"/>
    <x v="9"/>
    <n v="2"/>
  </r>
  <r>
    <n v="2"/>
    <d v="2019-10-08T00:00:00"/>
    <x v="0"/>
    <n v="1829.0089999999998"/>
    <n v="1474.039"/>
    <x v="1"/>
    <x v="0"/>
    <x v="9"/>
    <n v="2"/>
  </r>
  <r>
    <n v="2"/>
    <d v="2019-10-09T00:00:00"/>
    <x v="2"/>
    <n v="407.42099999999994"/>
    <n v="359.863"/>
    <x v="1"/>
    <x v="0"/>
    <x v="9"/>
    <n v="2"/>
  </r>
  <r>
    <n v="2"/>
    <d v="2019-10-09T00:00:00"/>
    <x v="0"/>
    <n v="1467.5009999999997"/>
    <n v="1421.7279999999998"/>
    <x v="1"/>
    <x v="0"/>
    <x v="9"/>
    <n v="2"/>
  </r>
  <r>
    <n v="2"/>
    <d v="2019-10-09T00:00:00"/>
    <x v="3"/>
    <n v="589.75"/>
    <n v="230.01299999999998"/>
    <x v="1"/>
    <x v="0"/>
    <x v="9"/>
    <n v="2"/>
  </r>
  <r>
    <n v="2"/>
    <d v="2019-10-09T00:00:00"/>
    <x v="1"/>
    <n v="998.57099999999991"/>
    <n v="729.21799999999996"/>
    <x v="1"/>
    <x v="0"/>
    <x v="9"/>
    <n v="2"/>
  </r>
  <r>
    <n v="2"/>
    <d v="2019-10-10T00:00:00"/>
    <x v="0"/>
    <n v="1787.835"/>
    <n v="1950.3329999999999"/>
    <x v="1"/>
    <x v="0"/>
    <x v="9"/>
    <n v="2"/>
  </r>
  <r>
    <n v="2"/>
    <d v="2019-10-10T00:00:00"/>
    <x v="1"/>
    <n v="956.52199999999993"/>
    <n v="750.60299999999995"/>
    <x v="1"/>
    <x v="0"/>
    <x v="9"/>
    <n v="2"/>
  </r>
  <r>
    <n v="2"/>
    <d v="2019-10-10T00:00:00"/>
    <x v="2"/>
    <n v="323.11299999999994"/>
    <n v="234.31100000000001"/>
    <x v="1"/>
    <x v="0"/>
    <x v="9"/>
    <n v="2"/>
  </r>
  <r>
    <n v="2"/>
    <d v="2019-10-10T00:00:00"/>
    <x v="3"/>
    <n v="6.0829999999999993"/>
    <n v="0"/>
    <x v="1"/>
    <x v="0"/>
    <x v="9"/>
    <n v="2"/>
  </r>
  <r>
    <n v="2"/>
    <d v="2019-10-11T00:00:00"/>
    <x v="2"/>
    <n v="596.47"/>
    <n v="619.08699999999999"/>
    <x v="1"/>
    <x v="0"/>
    <x v="9"/>
    <n v="2"/>
  </r>
  <r>
    <n v="2"/>
    <d v="2019-10-11T00:00:00"/>
    <x v="1"/>
    <n v="1096.8089999999997"/>
    <n v="1037.0149999999999"/>
    <x v="1"/>
    <x v="0"/>
    <x v="9"/>
    <n v="2"/>
  </r>
  <r>
    <n v="2"/>
    <d v="2019-10-11T00:00:00"/>
    <x v="3"/>
    <n v="0"/>
    <n v="11.528999999999998"/>
    <x v="1"/>
    <x v="0"/>
    <x v="9"/>
    <n v="2"/>
  </r>
  <r>
    <n v="2"/>
    <d v="2019-10-11T00:00:00"/>
    <x v="0"/>
    <n v="2388.855"/>
    <n v="2633.0429999999997"/>
    <x v="1"/>
    <x v="0"/>
    <x v="9"/>
    <n v="2"/>
  </r>
  <r>
    <n v="2"/>
    <d v="2019-10-12T00:00:00"/>
    <x v="2"/>
    <n v="625.08600000000001"/>
    <n v="330.39299999999997"/>
    <x v="1"/>
    <x v="0"/>
    <x v="9"/>
    <n v="2"/>
  </r>
  <r>
    <n v="2"/>
    <d v="2019-10-12T00:00:00"/>
    <x v="0"/>
    <n v="2509.1079999999997"/>
    <n v="2719.0309999999999"/>
    <x v="1"/>
    <x v="0"/>
    <x v="9"/>
    <n v="2"/>
  </r>
  <r>
    <n v="2"/>
    <d v="2019-10-12T00:00:00"/>
    <x v="3"/>
    <n v="0"/>
    <n v="0"/>
    <x v="1"/>
    <x v="0"/>
    <x v="9"/>
    <n v="2"/>
  </r>
  <r>
    <n v="2"/>
    <d v="2019-10-12T00:00:00"/>
    <x v="1"/>
    <n v="1199.7859999999998"/>
    <n v="1041.684"/>
    <x v="1"/>
    <x v="0"/>
    <x v="9"/>
    <n v="2"/>
  </r>
  <r>
    <n v="2"/>
    <d v="2019-10-13T00:00:00"/>
    <x v="3"/>
    <n v="0"/>
    <n v="0"/>
    <x v="1"/>
    <x v="0"/>
    <x v="9"/>
    <n v="2"/>
  </r>
  <r>
    <n v="2"/>
    <d v="2019-10-13T00:00:00"/>
    <x v="0"/>
    <n v="1205.8059999999998"/>
    <n v="1016.9599999999999"/>
    <x v="1"/>
    <x v="0"/>
    <x v="9"/>
    <n v="2"/>
  </r>
  <r>
    <n v="2"/>
    <d v="2019-10-13T00:00:00"/>
    <x v="2"/>
    <n v="412.279"/>
    <n v="282.68099999999998"/>
    <x v="1"/>
    <x v="0"/>
    <x v="9"/>
    <n v="2"/>
  </r>
  <r>
    <n v="2"/>
    <d v="2019-10-13T00:00:00"/>
    <x v="1"/>
    <n v="794.05899999999986"/>
    <n v="537.005"/>
    <x v="1"/>
    <x v="0"/>
    <x v="9"/>
    <n v="2"/>
  </r>
  <r>
    <n v="2"/>
    <d v="2019-10-14T00:00:00"/>
    <x v="2"/>
    <n v="456.52599999999995"/>
    <n v="182.31499999999997"/>
    <x v="1"/>
    <x v="0"/>
    <x v="9"/>
    <n v="3"/>
  </r>
  <r>
    <n v="2"/>
    <d v="2019-10-14T00:00:00"/>
    <x v="3"/>
    <n v="0"/>
    <n v="0"/>
    <x v="1"/>
    <x v="0"/>
    <x v="9"/>
    <n v="3"/>
  </r>
  <r>
    <n v="2"/>
    <d v="2019-10-14T00:00:00"/>
    <x v="0"/>
    <n v="1438.8990000000001"/>
    <n v="1706.222"/>
    <x v="1"/>
    <x v="0"/>
    <x v="9"/>
    <n v="3"/>
  </r>
  <r>
    <n v="2"/>
    <d v="2019-10-14T00:00:00"/>
    <x v="1"/>
    <n v="792.73599999999999"/>
    <n v="609.58100000000002"/>
    <x v="1"/>
    <x v="0"/>
    <x v="9"/>
    <n v="3"/>
  </r>
  <r>
    <n v="2"/>
    <d v="2019-10-15T00:00:00"/>
    <x v="0"/>
    <n v="1623.9089999999999"/>
    <n v="1612.2049999999999"/>
    <x v="1"/>
    <x v="0"/>
    <x v="9"/>
    <n v="3"/>
  </r>
  <r>
    <n v="2"/>
    <d v="2019-10-15T00:00:00"/>
    <x v="1"/>
    <n v="1063.02"/>
    <n v="719.85899999999992"/>
    <x v="1"/>
    <x v="0"/>
    <x v="9"/>
    <n v="3"/>
  </r>
  <r>
    <n v="2"/>
    <d v="2019-10-15T00:00:00"/>
    <x v="2"/>
    <n v="221.2"/>
    <n v="300.08299999999997"/>
    <x v="1"/>
    <x v="0"/>
    <x v="9"/>
    <n v="3"/>
  </r>
  <r>
    <n v="2"/>
    <d v="2019-10-15T00:00:00"/>
    <x v="3"/>
    <n v="263.67599999999999"/>
    <n v="0"/>
    <x v="1"/>
    <x v="0"/>
    <x v="9"/>
    <n v="3"/>
  </r>
  <r>
    <n v="2"/>
    <d v="2019-10-16T00:00:00"/>
    <x v="0"/>
    <n v="1663.9770000000001"/>
    <n v="1757.8259999999998"/>
    <x v="1"/>
    <x v="0"/>
    <x v="9"/>
    <n v="3"/>
  </r>
  <r>
    <n v="2"/>
    <d v="2019-10-16T00:00:00"/>
    <x v="3"/>
    <n v="82.424999999999997"/>
    <n v="0"/>
    <x v="1"/>
    <x v="0"/>
    <x v="9"/>
    <n v="3"/>
  </r>
  <r>
    <n v="2"/>
    <d v="2019-10-16T00:00:00"/>
    <x v="2"/>
    <n v="347.62"/>
    <n v="220.40899999999999"/>
    <x v="1"/>
    <x v="0"/>
    <x v="9"/>
    <n v="3"/>
  </r>
  <r>
    <n v="2"/>
    <d v="2019-10-16T00:00:00"/>
    <x v="1"/>
    <n v="1004.955"/>
    <n v="668.75199999999995"/>
    <x v="1"/>
    <x v="0"/>
    <x v="9"/>
    <n v="3"/>
  </r>
  <r>
    <n v="2"/>
    <d v="2019-10-17T00:00:00"/>
    <x v="0"/>
    <n v="1866.3749999999998"/>
    <n v="2048.9139999999998"/>
    <x v="1"/>
    <x v="0"/>
    <x v="9"/>
    <n v="3"/>
  </r>
  <r>
    <n v="2"/>
    <d v="2019-10-17T00:00:00"/>
    <x v="2"/>
    <n v="433.48899999999998"/>
    <n v="459.54299999999995"/>
    <x v="1"/>
    <x v="0"/>
    <x v="9"/>
    <n v="3"/>
  </r>
  <r>
    <n v="2"/>
    <d v="2019-10-17T00:00:00"/>
    <x v="1"/>
    <n v="1333.066"/>
    <n v="898.72299999999996"/>
    <x v="1"/>
    <x v="0"/>
    <x v="9"/>
    <n v="3"/>
  </r>
  <r>
    <n v="2"/>
    <d v="2019-10-17T00:00:00"/>
    <x v="3"/>
    <n v="79.841999999999999"/>
    <n v="0"/>
    <x v="1"/>
    <x v="0"/>
    <x v="9"/>
    <n v="3"/>
  </r>
  <r>
    <n v="2"/>
    <d v="2019-10-18T00:00:00"/>
    <x v="1"/>
    <n v="1270.7309999999998"/>
    <n v="995.11299999999983"/>
    <x v="1"/>
    <x v="0"/>
    <x v="9"/>
    <n v="3"/>
  </r>
  <r>
    <n v="2"/>
    <d v="2019-10-18T00:00:00"/>
    <x v="0"/>
    <n v="2394.9519999999998"/>
    <n v="2381.652"/>
    <x v="1"/>
    <x v="0"/>
    <x v="9"/>
    <n v="3"/>
  </r>
  <r>
    <n v="2"/>
    <d v="2019-10-18T00:00:00"/>
    <x v="2"/>
    <n v="587.03399999999999"/>
    <n v="373.87700000000001"/>
    <x v="1"/>
    <x v="0"/>
    <x v="9"/>
    <n v="3"/>
  </r>
  <r>
    <n v="2"/>
    <d v="2019-10-18T00:00:00"/>
    <x v="3"/>
    <n v="0"/>
    <n v="24.416"/>
    <x v="1"/>
    <x v="0"/>
    <x v="9"/>
    <n v="3"/>
  </r>
  <r>
    <n v="2"/>
    <d v="2019-10-19T00:00:00"/>
    <x v="3"/>
    <n v="1226.694"/>
    <n v="0"/>
    <x v="1"/>
    <x v="0"/>
    <x v="9"/>
    <n v="3"/>
  </r>
  <r>
    <n v="2"/>
    <d v="2019-10-19T00:00:00"/>
    <x v="0"/>
    <n v="1730.6659999999999"/>
    <n v="2294.2779999999998"/>
    <x v="1"/>
    <x v="0"/>
    <x v="9"/>
    <n v="3"/>
  </r>
  <r>
    <n v="2"/>
    <d v="2019-10-19T00:00:00"/>
    <x v="2"/>
    <n v="393.53300000000002"/>
    <n v="417.35399999999998"/>
    <x v="1"/>
    <x v="0"/>
    <x v="9"/>
    <n v="3"/>
  </r>
  <r>
    <n v="2"/>
    <d v="2019-10-19T00:00:00"/>
    <x v="1"/>
    <n v="1297.905"/>
    <n v="790.18799999999987"/>
    <x v="1"/>
    <x v="0"/>
    <x v="9"/>
    <n v="3"/>
  </r>
  <r>
    <n v="2"/>
    <d v="2019-10-20T00:00:00"/>
    <x v="0"/>
    <n v="1161.4749999999999"/>
    <n v="972.55199999999991"/>
    <x v="1"/>
    <x v="0"/>
    <x v="9"/>
    <n v="3"/>
  </r>
  <r>
    <n v="2"/>
    <d v="2019-10-20T00:00:00"/>
    <x v="2"/>
    <n v="422.98199999999997"/>
    <n v="178.68199999999999"/>
    <x v="1"/>
    <x v="0"/>
    <x v="9"/>
    <n v="3"/>
  </r>
  <r>
    <n v="2"/>
    <d v="2019-10-20T00:00:00"/>
    <x v="3"/>
    <n v="0"/>
    <n v="0"/>
    <x v="1"/>
    <x v="0"/>
    <x v="9"/>
    <n v="3"/>
  </r>
  <r>
    <n v="2"/>
    <d v="2019-10-20T00:00:00"/>
    <x v="1"/>
    <n v="860.46100000000001"/>
    <n v="663.87299999999993"/>
    <x v="1"/>
    <x v="0"/>
    <x v="9"/>
    <n v="3"/>
  </r>
  <r>
    <n v="2"/>
    <d v="2019-10-21T00:00:00"/>
    <x v="1"/>
    <n v="998.86500000000001"/>
    <n v="824.71199999999999"/>
    <x v="1"/>
    <x v="0"/>
    <x v="9"/>
    <n v="4"/>
  </r>
  <r>
    <n v="2"/>
    <d v="2019-10-21T00:00:00"/>
    <x v="3"/>
    <n v="0"/>
    <n v="0"/>
    <x v="1"/>
    <x v="0"/>
    <x v="9"/>
    <n v="4"/>
  </r>
  <r>
    <n v="2"/>
    <d v="2019-10-21T00:00:00"/>
    <x v="0"/>
    <n v="1694.1679999999997"/>
    <n v="1385.1669999999999"/>
    <x v="1"/>
    <x v="0"/>
    <x v="9"/>
    <n v="4"/>
  </r>
  <r>
    <n v="2"/>
    <d v="2019-10-21T00:00:00"/>
    <x v="2"/>
    <n v="362.01199999999994"/>
    <n v="273.46899999999999"/>
    <x v="1"/>
    <x v="0"/>
    <x v="9"/>
    <n v="4"/>
  </r>
  <r>
    <n v="2"/>
    <d v="2019-10-22T00:00:00"/>
    <x v="0"/>
    <n v="1689.6809999999998"/>
    <n v="1702.8339999999998"/>
    <x v="1"/>
    <x v="0"/>
    <x v="9"/>
    <n v="4"/>
  </r>
  <r>
    <n v="2"/>
    <d v="2019-10-22T00:00:00"/>
    <x v="3"/>
    <n v="0"/>
    <n v="0"/>
    <x v="1"/>
    <x v="0"/>
    <x v="9"/>
    <n v="4"/>
  </r>
  <r>
    <n v="2"/>
    <d v="2019-10-22T00:00:00"/>
    <x v="2"/>
    <n v="310.10699999999997"/>
    <n v="241.94799999999998"/>
    <x v="1"/>
    <x v="0"/>
    <x v="9"/>
    <n v="4"/>
  </r>
  <r>
    <n v="2"/>
    <d v="2019-10-22T00:00:00"/>
    <x v="1"/>
    <n v="1227.3519999999999"/>
    <n v="856.66699999999992"/>
    <x v="1"/>
    <x v="0"/>
    <x v="9"/>
    <n v="4"/>
  </r>
  <r>
    <n v="2"/>
    <d v="2019-10-23T00:00:00"/>
    <x v="1"/>
    <n v="982.29599999999994"/>
    <n v="721.28"/>
    <x v="1"/>
    <x v="0"/>
    <x v="9"/>
    <n v="4"/>
  </r>
  <r>
    <n v="2"/>
    <d v="2019-10-23T00:00:00"/>
    <x v="2"/>
    <n v="404.327"/>
    <n v="150.80799999999999"/>
    <x v="1"/>
    <x v="0"/>
    <x v="9"/>
    <n v="4"/>
  </r>
  <r>
    <n v="2"/>
    <d v="2019-10-23T00:00:00"/>
    <x v="0"/>
    <n v="1297.4079999999999"/>
    <n v="1520.2529999999999"/>
    <x v="1"/>
    <x v="0"/>
    <x v="9"/>
    <n v="4"/>
  </r>
  <r>
    <n v="2"/>
    <d v="2019-10-23T00:00:00"/>
    <x v="3"/>
    <n v="129.23400000000001"/>
    <n v="0"/>
    <x v="1"/>
    <x v="0"/>
    <x v="9"/>
    <n v="4"/>
  </r>
  <r>
    <n v="2"/>
    <d v="2019-10-24T00:00:00"/>
    <x v="0"/>
    <n v="1747.8019999999999"/>
    <n v="1684.1299999999999"/>
    <x v="1"/>
    <x v="0"/>
    <x v="9"/>
    <n v="4"/>
  </r>
  <r>
    <n v="2"/>
    <d v="2019-10-24T00:00:00"/>
    <x v="1"/>
    <n v="1285.2139999999999"/>
    <n v="775.39699999999993"/>
    <x v="1"/>
    <x v="0"/>
    <x v="9"/>
    <n v="4"/>
  </r>
  <r>
    <n v="2"/>
    <d v="2019-10-24T00:00:00"/>
    <x v="3"/>
    <n v="0"/>
    <n v="154.20299999999997"/>
    <x v="1"/>
    <x v="0"/>
    <x v="9"/>
    <n v="4"/>
  </r>
  <r>
    <n v="2"/>
    <d v="2019-10-24T00:00:00"/>
    <x v="2"/>
    <n v="483.28699999999992"/>
    <n v="153.59399999999999"/>
    <x v="1"/>
    <x v="0"/>
    <x v="9"/>
    <n v="4"/>
  </r>
  <r>
    <n v="2"/>
    <d v="2019-10-25T00:00:00"/>
    <x v="1"/>
    <n v="1312.962"/>
    <n v="915.04"/>
    <x v="1"/>
    <x v="0"/>
    <x v="9"/>
    <n v="4"/>
  </r>
  <r>
    <n v="2"/>
    <d v="2019-10-25T00:00:00"/>
    <x v="3"/>
    <n v="387.46399999999994"/>
    <n v="516.71899999999994"/>
    <x v="1"/>
    <x v="0"/>
    <x v="9"/>
    <n v="4"/>
  </r>
  <r>
    <n v="2"/>
    <d v="2019-10-25T00:00:00"/>
    <x v="0"/>
    <n v="2147.2779999999998"/>
    <n v="2746.835"/>
    <x v="1"/>
    <x v="0"/>
    <x v="9"/>
    <n v="4"/>
  </r>
  <r>
    <n v="2"/>
    <d v="2019-10-25T00:00:00"/>
    <x v="2"/>
    <n v="513.779"/>
    <n v="431.19299999999998"/>
    <x v="1"/>
    <x v="0"/>
    <x v="9"/>
    <n v="4"/>
  </r>
  <r>
    <n v="2"/>
    <d v="2019-10-26T00:00:00"/>
    <x v="2"/>
    <n v="349.524"/>
    <n v="329.791"/>
    <x v="1"/>
    <x v="0"/>
    <x v="9"/>
    <n v="4"/>
  </r>
  <r>
    <n v="2"/>
    <d v="2019-10-26T00:00:00"/>
    <x v="0"/>
    <n v="2069.9070000000002"/>
    <n v="1997.9399999999998"/>
    <x v="1"/>
    <x v="0"/>
    <x v="9"/>
    <n v="4"/>
  </r>
  <r>
    <n v="2"/>
    <d v="2019-10-26T00:00:00"/>
    <x v="3"/>
    <n v="0"/>
    <n v="0"/>
    <x v="1"/>
    <x v="0"/>
    <x v="9"/>
    <n v="4"/>
  </r>
  <r>
    <n v="2"/>
    <d v="2019-10-26T00:00:00"/>
    <x v="1"/>
    <n v="1105.3839999999998"/>
    <n v="969.15699999999993"/>
    <x v="1"/>
    <x v="0"/>
    <x v="9"/>
    <n v="4"/>
  </r>
  <r>
    <n v="2"/>
    <d v="2019-10-27T00:00:00"/>
    <x v="0"/>
    <n v="1128.365"/>
    <n v="1018.857"/>
    <x v="1"/>
    <x v="0"/>
    <x v="9"/>
    <n v="4"/>
  </r>
  <r>
    <n v="2"/>
    <d v="2019-10-27T00:00:00"/>
    <x v="1"/>
    <n v="657.31399999999996"/>
    <n v="544.19399999999996"/>
    <x v="1"/>
    <x v="0"/>
    <x v="9"/>
    <n v="4"/>
  </r>
  <r>
    <n v="2"/>
    <d v="2019-10-27T00:00:00"/>
    <x v="3"/>
    <n v="0"/>
    <n v="323.09199999999998"/>
    <x v="1"/>
    <x v="0"/>
    <x v="9"/>
    <n v="4"/>
  </r>
  <r>
    <n v="2"/>
    <d v="2019-10-27T00:00:00"/>
    <x v="2"/>
    <n v="298.21399999999994"/>
    <n v="307.18799999999999"/>
    <x v="1"/>
    <x v="0"/>
    <x v="9"/>
    <n v="4"/>
  </r>
  <r>
    <n v="2"/>
    <d v="2019-10-28T00:00:00"/>
    <x v="2"/>
    <n v="412.01299999999998"/>
    <n v="381.10099999999994"/>
    <x v="1"/>
    <x v="0"/>
    <x v="10"/>
    <n v="1"/>
  </r>
  <r>
    <n v="2"/>
    <d v="2019-10-28T00:00:00"/>
    <x v="3"/>
    <n v="249.24899999999997"/>
    <n v="0"/>
    <x v="1"/>
    <x v="0"/>
    <x v="10"/>
    <n v="1"/>
  </r>
  <r>
    <n v="2"/>
    <d v="2019-10-28T00:00:00"/>
    <x v="0"/>
    <n v="1155.9099999999999"/>
    <n v="1602.6849999999999"/>
    <x v="1"/>
    <x v="0"/>
    <x v="10"/>
    <n v="1"/>
  </r>
  <r>
    <n v="2"/>
    <d v="2019-10-28T00:00:00"/>
    <x v="1"/>
    <n v="853.755"/>
    <n v="832.279"/>
    <x v="1"/>
    <x v="0"/>
    <x v="10"/>
    <n v="1"/>
  </r>
  <r>
    <n v="2"/>
    <d v="2019-10-29T00:00:00"/>
    <x v="0"/>
    <n v="1461.7190000000001"/>
    <n v="1618.6869999999999"/>
    <x v="1"/>
    <x v="0"/>
    <x v="10"/>
    <n v="1"/>
  </r>
  <r>
    <n v="2"/>
    <d v="2019-10-29T00:00:00"/>
    <x v="3"/>
    <n v="314.34199999999998"/>
    <n v="0"/>
    <x v="1"/>
    <x v="0"/>
    <x v="10"/>
    <n v="1"/>
  </r>
  <r>
    <n v="2"/>
    <d v="2019-10-29T00:00:00"/>
    <x v="1"/>
    <n v="1127.5249999999999"/>
    <n v="854.30100000000004"/>
    <x v="1"/>
    <x v="0"/>
    <x v="10"/>
    <n v="1"/>
  </r>
  <r>
    <n v="2"/>
    <d v="2019-10-29T00:00:00"/>
    <x v="2"/>
    <n v="380.55499999999995"/>
    <n v="279.97899999999998"/>
    <x v="1"/>
    <x v="0"/>
    <x v="10"/>
    <n v="1"/>
  </r>
  <r>
    <n v="2"/>
    <d v="2019-10-30T00:00:00"/>
    <x v="0"/>
    <n v="1292.893"/>
    <n v="1571.297"/>
    <x v="1"/>
    <x v="0"/>
    <x v="10"/>
    <n v="1"/>
  </r>
  <r>
    <n v="2"/>
    <d v="2019-10-30T00:00:00"/>
    <x v="2"/>
    <n v="366.29599999999994"/>
    <n v="196.98699999999999"/>
    <x v="1"/>
    <x v="0"/>
    <x v="10"/>
    <n v="1"/>
  </r>
  <r>
    <n v="2"/>
    <d v="2019-10-30T00:00:00"/>
    <x v="3"/>
    <n v="0"/>
    <n v="0"/>
    <x v="1"/>
    <x v="0"/>
    <x v="10"/>
    <n v="1"/>
  </r>
  <r>
    <n v="2"/>
    <d v="2019-10-30T00:00:00"/>
    <x v="1"/>
    <n v="1069.3269999999998"/>
    <n v="800.39400000000001"/>
    <x v="1"/>
    <x v="0"/>
    <x v="10"/>
    <n v="1"/>
  </r>
  <r>
    <n v="2"/>
    <d v="2019-10-31T00:00:00"/>
    <x v="2"/>
    <n v="429.49199999999996"/>
    <n v="345.20499999999998"/>
    <x v="1"/>
    <x v="0"/>
    <x v="10"/>
    <n v="1"/>
  </r>
  <r>
    <n v="2"/>
    <d v="2019-10-31T00:00:00"/>
    <x v="1"/>
    <n v="1011.591"/>
    <n v="998.55"/>
    <x v="1"/>
    <x v="0"/>
    <x v="10"/>
    <n v="1"/>
  </r>
  <r>
    <n v="2"/>
    <d v="2019-10-31T00:00:00"/>
    <x v="3"/>
    <n v="0"/>
    <n v="176.54"/>
    <x v="1"/>
    <x v="0"/>
    <x v="10"/>
    <n v="1"/>
  </r>
  <r>
    <n v="2"/>
    <d v="2019-10-31T00:00:00"/>
    <x v="0"/>
    <n v="1419.5160000000001"/>
    <n v="1673.9449999999999"/>
    <x v="1"/>
    <x v="0"/>
    <x v="10"/>
    <n v="1"/>
  </r>
  <r>
    <n v="2"/>
    <d v="2019-11-01T00:00:00"/>
    <x v="2"/>
    <n v="575.21799999999996"/>
    <n v="324.149"/>
    <x v="1"/>
    <x v="0"/>
    <x v="10"/>
    <n v="1"/>
  </r>
  <r>
    <n v="2"/>
    <d v="2019-11-01T00:00:00"/>
    <x v="0"/>
    <n v="2304.6029999999996"/>
    <n v="2578.107"/>
    <x v="1"/>
    <x v="0"/>
    <x v="10"/>
    <n v="1"/>
  </r>
  <r>
    <n v="2"/>
    <d v="2019-11-01T00:00:00"/>
    <x v="3"/>
    <n v="0"/>
    <n v="4.5430000000000001"/>
    <x v="1"/>
    <x v="0"/>
    <x v="10"/>
    <n v="1"/>
  </r>
  <r>
    <n v="2"/>
    <d v="2019-11-01T00:00:00"/>
    <x v="1"/>
    <n v="1328.5509999999999"/>
    <n v="1010.8069999999999"/>
    <x v="1"/>
    <x v="0"/>
    <x v="10"/>
    <n v="1"/>
  </r>
  <r>
    <n v="2"/>
    <d v="2019-11-02T00:00:00"/>
    <x v="3"/>
    <n v="0"/>
    <n v="0"/>
    <x v="1"/>
    <x v="0"/>
    <x v="10"/>
    <n v="1"/>
  </r>
  <r>
    <n v="2"/>
    <d v="2019-11-02T00:00:00"/>
    <x v="0"/>
    <n v="1973.5729999999999"/>
    <n v="2038.288"/>
    <x v="1"/>
    <x v="0"/>
    <x v="10"/>
    <n v="1"/>
  </r>
  <r>
    <n v="2"/>
    <d v="2019-11-02T00:00:00"/>
    <x v="1"/>
    <n v="1096.0319999999999"/>
    <n v="1083.6279999999999"/>
    <x v="1"/>
    <x v="0"/>
    <x v="10"/>
    <n v="1"/>
  </r>
  <r>
    <n v="2"/>
    <d v="2019-11-02T00:00:00"/>
    <x v="2"/>
    <n v="555.072"/>
    <n v="377.25800000000004"/>
    <x v="1"/>
    <x v="0"/>
    <x v="10"/>
    <n v="1"/>
  </r>
  <r>
    <n v="2"/>
    <d v="2019-11-03T00:00:00"/>
    <x v="3"/>
    <n v="0"/>
    <n v="0"/>
    <x v="1"/>
    <x v="0"/>
    <x v="10"/>
    <n v="1"/>
  </r>
  <r>
    <n v="2"/>
    <d v="2019-11-03T00:00:00"/>
    <x v="0"/>
    <n v="884.779"/>
    <n v="1195.1239999999998"/>
    <x v="1"/>
    <x v="0"/>
    <x v="10"/>
    <n v="1"/>
  </r>
  <r>
    <n v="2"/>
    <d v="2019-11-03T00:00:00"/>
    <x v="2"/>
    <n v="359.63899999999995"/>
    <n v="153.14599999999999"/>
    <x v="1"/>
    <x v="0"/>
    <x v="10"/>
    <n v="1"/>
  </r>
  <r>
    <n v="2"/>
    <d v="2019-11-03T00:00:00"/>
    <x v="1"/>
    <n v="617.77099999999996"/>
    <n v="587.21600000000001"/>
    <x v="1"/>
    <x v="0"/>
    <x v="10"/>
    <n v="1"/>
  </r>
  <r>
    <n v="2"/>
    <d v="2019-11-04T00:00:00"/>
    <x v="0"/>
    <n v="1360.8349999999998"/>
    <n v="1610.5809999999999"/>
    <x v="1"/>
    <x v="0"/>
    <x v="10"/>
    <n v="2"/>
  </r>
  <r>
    <n v="2"/>
    <d v="2019-11-04T00:00:00"/>
    <x v="3"/>
    <n v="0"/>
    <n v="0"/>
    <x v="1"/>
    <x v="0"/>
    <x v="10"/>
    <n v="2"/>
  </r>
  <r>
    <n v="2"/>
    <d v="2019-11-04T00:00:00"/>
    <x v="1"/>
    <n v="1053.787"/>
    <n v="895.46100000000001"/>
    <x v="1"/>
    <x v="0"/>
    <x v="10"/>
    <n v="2"/>
  </r>
  <r>
    <n v="2"/>
    <d v="2019-11-04T00:00:00"/>
    <x v="2"/>
    <n v="262.21299999999997"/>
    <n v="235.94199999999998"/>
    <x v="1"/>
    <x v="0"/>
    <x v="10"/>
    <n v="2"/>
  </r>
  <r>
    <n v="2"/>
    <d v="2019-11-05T00:00:00"/>
    <x v="0"/>
    <n v="1761.557"/>
    <n v="1620.0940000000001"/>
    <x v="1"/>
    <x v="0"/>
    <x v="10"/>
    <n v="2"/>
  </r>
  <r>
    <n v="2"/>
    <d v="2019-11-05T00:00:00"/>
    <x v="2"/>
    <n v="369.06799999999998"/>
    <n v="437.28300000000002"/>
    <x v="1"/>
    <x v="0"/>
    <x v="10"/>
    <n v="2"/>
  </r>
  <r>
    <n v="2"/>
    <d v="2019-11-05T00:00:00"/>
    <x v="3"/>
    <n v="0"/>
    <n v="159.95699999999999"/>
    <x v="1"/>
    <x v="0"/>
    <x v="10"/>
    <n v="2"/>
  </r>
  <r>
    <n v="2"/>
    <d v="2019-11-05T00:00:00"/>
    <x v="1"/>
    <n v="1112.5589999999997"/>
    <n v="1002.7569999999999"/>
    <x v="1"/>
    <x v="0"/>
    <x v="10"/>
    <n v="2"/>
  </r>
  <r>
    <n v="2"/>
    <d v="2019-11-06T00:00:00"/>
    <x v="0"/>
    <n v="1986.9849999999999"/>
    <n v="1692.383"/>
    <x v="1"/>
    <x v="0"/>
    <x v="10"/>
    <n v="2"/>
  </r>
  <r>
    <n v="2"/>
    <d v="2019-11-06T00:00:00"/>
    <x v="3"/>
    <n v="0"/>
    <n v="0"/>
    <x v="1"/>
    <x v="0"/>
    <x v="10"/>
    <n v="2"/>
  </r>
  <r>
    <n v="2"/>
    <d v="2019-11-06T00:00:00"/>
    <x v="2"/>
    <n v="356.202"/>
    <n v="258.34899999999999"/>
    <x v="1"/>
    <x v="0"/>
    <x v="10"/>
    <n v="2"/>
  </r>
  <r>
    <n v="2"/>
    <d v="2019-11-06T00:00:00"/>
    <x v="1"/>
    <n v="1253.6510000000001"/>
    <n v="842.77199999999993"/>
    <x v="1"/>
    <x v="0"/>
    <x v="10"/>
    <n v="2"/>
  </r>
  <r>
    <n v="2"/>
    <d v="2019-11-07T00:00:00"/>
    <x v="0"/>
    <n v="1617.4269999999999"/>
    <n v="1980.335"/>
    <x v="1"/>
    <x v="0"/>
    <x v="10"/>
    <n v="2"/>
  </r>
  <r>
    <n v="2"/>
    <d v="2019-11-07T00:00:00"/>
    <x v="1"/>
    <n v="1214.2059999999999"/>
    <n v="1143.6949999999999"/>
    <x v="1"/>
    <x v="0"/>
    <x v="10"/>
    <n v="2"/>
  </r>
  <r>
    <n v="2"/>
    <d v="2019-11-07T00:00:00"/>
    <x v="2"/>
    <n v="370.29999999999995"/>
    <n v="248.09399999999999"/>
    <x v="1"/>
    <x v="0"/>
    <x v="10"/>
    <n v="2"/>
  </r>
  <r>
    <n v="2"/>
    <d v="2019-11-07T00:00:00"/>
    <x v="3"/>
    <n v="0"/>
    <n v="0"/>
    <x v="1"/>
    <x v="0"/>
    <x v="10"/>
    <n v="2"/>
  </r>
  <r>
    <n v="2"/>
    <d v="2019-11-08T00:00:00"/>
    <x v="2"/>
    <n v="596.23899999999992"/>
    <n v="373.25400000000002"/>
    <x v="1"/>
    <x v="0"/>
    <x v="10"/>
    <n v="2"/>
  </r>
  <r>
    <n v="2"/>
    <d v="2019-11-08T00:00:00"/>
    <x v="0"/>
    <n v="2506.4270000000001"/>
    <n v="2512.1460000000002"/>
    <x v="1"/>
    <x v="0"/>
    <x v="10"/>
    <n v="2"/>
  </r>
  <r>
    <n v="2"/>
    <d v="2019-11-08T00:00:00"/>
    <x v="3"/>
    <n v="0"/>
    <n v="0"/>
    <x v="1"/>
    <x v="0"/>
    <x v="10"/>
    <n v="2"/>
  </r>
  <r>
    <n v="2"/>
    <d v="2019-11-08T00:00:00"/>
    <x v="1"/>
    <n v="929.404"/>
    <n v="1293.579"/>
    <x v="1"/>
    <x v="0"/>
    <x v="10"/>
    <n v="2"/>
  </r>
  <r>
    <n v="2"/>
    <d v="2019-11-09T00:00:00"/>
    <x v="2"/>
    <n v="530.87299999999993"/>
    <n v="288.512"/>
    <x v="1"/>
    <x v="0"/>
    <x v="10"/>
    <n v="2"/>
  </r>
  <r>
    <n v="2"/>
    <d v="2019-11-09T00:00:00"/>
    <x v="0"/>
    <n v="2205.1329999999998"/>
    <n v="2078.7059999999997"/>
    <x v="1"/>
    <x v="0"/>
    <x v="10"/>
    <n v="2"/>
  </r>
  <r>
    <n v="2"/>
    <d v="2019-11-09T00:00:00"/>
    <x v="1"/>
    <n v="988.87599999999998"/>
    <n v="987.67899999999997"/>
    <x v="1"/>
    <x v="0"/>
    <x v="10"/>
    <n v="2"/>
  </r>
  <r>
    <n v="2"/>
    <d v="2019-11-09T00:00:00"/>
    <x v="3"/>
    <n v="0"/>
    <n v="0"/>
    <x v="1"/>
    <x v="0"/>
    <x v="10"/>
    <n v="2"/>
  </r>
  <r>
    <n v="2"/>
    <d v="2019-11-10T00:00:00"/>
    <x v="1"/>
    <n v="684.59999999999991"/>
    <n v="592.15099999999995"/>
    <x v="1"/>
    <x v="0"/>
    <x v="10"/>
    <n v="2"/>
  </r>
  <r>
    <n v="2"/>
    <d v="2019-11-10T00:00:00"/>
    <x v="2"/>
    <n v="453.45299999999992"/>
    <n v="189.56"/>
    <x v="1"/>
    <x v="0"/>
    <x v="10"/>
    <n v="2"/>
  </r>
  <r>
    <n v="2"/>
    <d v="2019-11-10T00:00:00"/>
    <x v="3"/>
    <n v="96.515999999999991"/>
    <n v="0"/>
    <x v="1"/>
    <x v="0"/>
    <x v="10"/>
    <n v="2"/>
  </r>
  <r>
    <n v="2"/>
    <d v="2019-11-10T00:00:00"/>
    <x v="0"/>
    <n v="1457.3999999999999"/>
    <n v="1081.297"/>
    <x v="1"/>
    <x v="0"/>
    <x v="10"/>
    <n v="2"/>
  </r>
  <r>
    <n v="2"/>
    <d v="2019-11-11T00:00:00"/>
    <x v="2"/>
    <n v="470.23199999999997"/>
    <n v="221.25599999999997"/>
    <x v="1"/>
    <x v="0"/>
    <x v="10"/>
    <n v="3"/>
  </r>
  <r>
    <n v="2"/>
    <d v="2019-11-11T00:00:00"/>
    <x v="0"/>
    <n v="1446.5149999999999"/>
    <n v="1303.4839999999999"/>
    <x v="1"/>
    <x v="0"/>
    <x v="10"/>
    <n v="3"/>
  </r>
  <r>
    <n v="2"/>
    <d v="2019-11-11T00:00:00"/>
    <x v="1"/>
    <n v="936.41099999999994"/>
    <n v="665.05600000000004"/>
    <x v="1"/>
    <x v="0"/>
    <x v="10"/>
    <n v="3"/>
  </r>
  <r>
    <n v="2"/>
    <d v="2019-11-11T00:00:00"/>
    <x v="3"/>
    <n v="31.870999999999999"/>
    <n v="0"/>
    <x v="1"/>
    <x v="0"/>
    <x v="10"/>
    <n v="3"/>
  </r>
  <r>
    <n v="2"/>
    <d v="2019-11-12T00:00:00"/>
    <x v="2"/>
    <n v="257.84500000000003"/>
    <n v="453.06799999999998"/>
    <x v="1"/>
    <x v="0"/>
    <x v="10"/>
    <n v="3"/>
  </r>
  <r>
    <n v="2"/>
    <d v="2019-11-12T00:00:00"/>
    <x v="0"/>
    <n v="1717.499"/>
    <n v="1553.4469999999999"/>
    <x v="1"/>
    <x v="0"/>
    <x v="10"/>
    <n v="3"/>
  </r>
  <r>
    <n v="2"/>
    <d v="2019-11-12T00:00:00"/>
    <x v="3"/>
    <n v="0"/>
    <n v="0"/>
    <x v="1"/>
    <x v="0"/>
    <x v="10"/>
    <n v="3"/>
  </r>
  <r>
    <n v="2"/>
    <d v="2019-11-12T00:00:00"/>
    <x v="1"/>
    <n v="887.83799999999985"/>
    <n v="851.3889999999999"/>
    <x v="1"/>
    <x v="0"/>
    <x v="10"/>
    <n v="3"/>
  </r>
  <r>
    <n v="2"/>
    <d v="2019-11-13T00:00:00"/>
    <x v="2"/>
    <n v="290.73099999999999"/>
    <n v="276.78699999999998"/>
    <x v="1"/>
    <x v="0"/>
    <x v="10"/>
    <n v="3"/>
  </r>
  <r>
    <n v="2"/>
    <d v="2019-11-13T00:00:00"/>
    <x v="3"/>
    <n v="0"/>
    <n v="0"/>
    <x v="1"/>
    <x v="0"/>
    <x v="10"/>
    <n v="3"/>
  </r>
  <r>
    <n v="2"/>
    <d v="2019-11-13T00:00:00"/>
    <x v="0"/>
    <n v="1543.5909999999999"/>
    <n v="1433.922"/>
    <x v="1"/>
    <x v="0"/>
    <x v="10"/>
    <n v="3"/>
  </r>
  <r>
    <n v="2"/>
    <d v="2019-11-13T00:00:00"/>
    <x v="1"/>
    <n v="1229.3889999999999"/>
    <n v="848.28099999999995"/>
    <x v="1"/>
    <x v="0"/>
    <x v="10"/>
    <n v="3"/>
  </r>
  <r>
    <n v="2"/>
    <d v="2019-11-14T00:00:00"/>
    <x v="0"/>
    <n v="1456.0979999999997"/>
    <n v="2017.0779999999997"/>
    <x v="1"/>
    <x v="0"/>
    <x v="10"/>
    <n v="3"/>
  </r>
  <r>
    <n v="2"/>
    <d v="2019-11-14T00:00:00"/>
    <x v="3"/>
    <n v="0"/>
    <n v="0"/>
    <x v="1"/>
    <x v="0"/>
    <x v="10"/>
    <n v="3"/>
  </r>
  <r>
    <n v="2"/>
    <d v="2019-11-14T00:00:00"/>
    <x v="2"/>
    <n v="286.06900000000002"/>
    <n v="215.71899999999999"/>
    <x v="1"/>
    <x v="0"/>
    <x v="10"/>
    <n v="3"/>
  </r>
  <r>
    <n v="2"/>
    <d v="2019-11-14T00:00:00"/>
    <x v="1"/>
    <n v="1152.3399999999999"/>
    <n v="947.3309999999999"/>
    <x v="1"/>
    <x v="0"/>
    <x v="10"/>
    <n v="3"/>
  </r>
  <r>
    <n v="2"/>
    <d v="2019-11-15T00:00:00"/>
    <x v="0"/>
    <n v="2006.1019999999999"/>
    <n v="1986.096"/>
    <x v="1"/>
    <x v="0"/>
    <x v="10"/>
    <n v="3"/>
  </r>
  <r>
    <n v="2"/>
    <d v="2019-11-15T00:00:00"/>
    <x v="2"/>
    <n v="320.04699999999997"/>
    <n v="317.82799999999997"/>
    <x v="1"/>
    <x v="0"/>
    <x v="10"/>
    <n v="3"/>
  </r>
  <r>
    <n v="2"/>
    <d v="2019-11-15T00:00:00"/>
    <x v="3"/>
    <n v="176.946"/>
    <n v="246.93899999999996"/>
    <x v="1"/>
    <x v="0"/>
    <x v="10"/>
    <n v="3"/>
  </r>
  <r>
    <n v="2"/>
    <d v="2019-11-15T00:00:00"/>
    <x v="1"/>
    <n v="1626.261"/>
    <n v="1342.068"/>
    <x v="1"/>
    <x v="0"/>
    <x v="10"/>
    <n v="3"/>
  </r>
  <r>
    <n v="2"/>
    <d v="2019-11-16T00:00:00"/>
    <x v="0"/>
    <n v="1776.9570000000001"/>
    <n v="1854.1949999999997"/>
    <x v="1"/>
    <x v="0"/>
    <x v="10"/>
    <n v="3"/>
  </r>
  <r>
    <n v="2"/>
    <d v="2019-11-16T00:00:00"/>
    <x v="2"/>
    <n v="557.03899999999999"/>
    <n v="379.16199999999998"/>
    <x v="1"/>
    <x v="0"/>
    <x v="10"/>
    <n v="3"/>
  </r>
  <r>
    <n v="2"/>
    <d v="2019-11-16T00:00:00"/>
    <x v="1"/>
    <n v="910.05599999999993"/>
    <n v="1191.701"/>
    <x v="1"/>
    <x v="0"/>
    <x v="10"/>
    <n v="3"/>
  </r>
  <r>
    <n v="2"/>
    <d v="2019-11-16T00:00:00"/>
    <x v="3"/>
    <n v="176.946"/>
    <n v="0"/>
    <x v="1"/>
    <x v="0"/>
    <x v="10"/>
    <n v="3"/>
  </r>
  <r>
    <n v="2"/>
    <d v="2019-11-17T00:00:00"/>
    <x v="3"/>
    <n v="0"/>
    <n v="0"/>
    <x v="1"/>
    <x v="0"/>
    <x v="10"/>
    <n v="3"/>
  </r>
  <r>
    <n v="2"/>
    <d v="2019-11-17T00:00:00"/>
    <x v="0"/>
    <n v="1428.3219999999999"/>
    <n v="859.08899999999994"/>
    <x v="1"/>
    <x v="0"/>
    <x v="10"/>
    <n v="3"/>
  </r>
  <r>
    <n v="2"/>
    <d v="2019-11-17T00:00:00"/>
    <x v="2"/>
    <n v="468.279"/>
    <n v="331.19099999999997"/>
    <x v="1"/>
    <x v="0"/>
    <x v="10"/>
    <n v="3"/>
  </r>
  <r>
    <n v="2"/>
    <d v="2019-11-17T00:00:00"/>
    <x v="1"/>
    <n v="795.06"/>
    <n v="789.08199999999999"/>
    <x v="1"/>
    <x v="0"/>
    <x v="10"/>
    <n v="3"/>
  </r>
  <r>
    <n v="2"/>
    <d v="2019-11-18T00:00:00"/>
    <x v="0"/>
    <n v="1259.1389999999999"/>
    <n v="1551.816"/>
    <x v="1"/>
    <x v="0"/>
    <x v="10"/>
    <n v="4"/>
  </r>
  <r>
    <n v="2"/>
    <d v="2019-11-18T00:00:00"/>
    <x v="3"/>
    <n v="707.78399999999999"/>
    <n v="0"/>
    <x v="1"/>
    <x v="0"/>
    <x v="10"/>
    <n v="4"/>
  </r>
  <r>
    <n v="2"/>
    <d v="2019-11-18T00:00:00"/>
    <x v="2"/>
    <n v="423.97599999999994"/>
    <n v="246.84799999999998"/>
    <x v="1"/>
    <x v="0"/>
    <x v="10"/>
    <n v="4"/>
  </r>
  <r>
    <n v="2"/>
    <d v="2019-11-18T00:00:00"/>
    <x v="1"/>
    <n v="823.76699999999994"/>
    <n v="881.95100000000002"/>
    <x v="1"/>
    <x v="0"/>
    <x v="10"/>
    <n v="4"/>
  </r>
  <r>
    <n v="2"/>
    <d v="2019-11-19T00:00:00"/>
    <x v="2"/>
    <n v="209.53099999999998"/>
    <n v="262.92"/>
    <x v="1"/>
    <x v="0"/>
    <x v="10"/>
    <n v="4"/>
  </r>
  <r>
    <n v="2"/>
    <d v="2019-11-19T00:00:00"/>
    <x v="3"/>
    <n v="0"/>
    <n v="0"/>
    <x v="1"/>
    <x v="0"/>
    <x v="10"/>
    <n v="4"/>
  </r>
  <r>
    <n v="2"/>
    <d v="2019-11-19T00:00:00"/>
    <x v="1"/>
    <n v="1252.944"/>
    <n v="793.35899999999992"/>
    <x v="1"/>
    <x v="0"/>
    <x v="10"/>
    <n v="4"/>
  </r>
  <r>
    <n v="2"/>
    <d v="2019-11-19T00:00:00"/>
    <x v="0"/>
    <n v="1652.1259999999997"/>
    <n v="1933.1759999999997"/>
    <x v="1"/>
    <x v="0"/>
    <x v="10"/>
    <n v="4"/>
  </r>
  <r>
    <n v="2"/>
    <d v="2019-11-20T00:00:00"/>
    <x v="0"/>
    <n v="1555.0639999999999"/>
    <n v="2311.33"/>
    <x v="1"/>
    <x v="0"/>
    <x v="10"/>
    <n v="4"/>
  </r>
  <r>
    <n v="2"/>
    <d v="2019-11-20T00:00:00"/>
    <x v="3"/>
    <n v="361.65499999999997"/>
    <n v="0"/>
    <x v="1"/>
    <x v="0"/>
    <x v="10"/>
    <n v="4"/>
  </r>
  <r>
    <n v="2"/>
    <d v="2019-11-20T00:00:00"/>
    <x v="2"/>
    <n v="222.95699999999999"/>
    <n v="284.25599999999997"/>
    <x v="1"/>
    <x v="0"/>
    <x v="10"/>
    <n v="4"/>
  </r>
  <r>
    <n v="2"/>
    <d v="2019-11-20T00:00:00"/>
    <x v="1"/>
    <n v="909.79"/>
    <n v="977.10899999999981"/>
    <x v="1"/>
    <x v="0"/>
    <x v="10"/>
    <n v="4"/>
  </r>
  <r>
    <n v="2"/>
    <d v="2019-11-21T00:00:00"/>
    <x v="0"/>
    <n v="1894.4169999999999"/>
    <n v="0"/>
    <x v="1"/>
    <x v="0"/>
    <x v="10"/>
    <n v="4"/>
  </r>
  <r>
    <n v="2"/>
    <d v="2019-11-21T00:00:00"/>
    <x v="2"/>
    <n v="355.23599999999999"/>
    <n v="0"/>
    <x v="1"/>
    <x v="0"/>
    <x v="10"/>
    <n v="4"/>
  </r>
  <r>
    <n v="2"/>
    <d v="2019-11-21T00:00:00"/>
    <x v="3"/>
    <n v="0"/>
    <n v="0"/>
    <x v="1"/>
    <x v="0"/>
    <x v="10"/>
    <n v="4"/>
  </r>
  <r>
    <n v="2"/>
    <d v="2019-11-21T00:00:00"/>
    <x v="1"/>
    <n v="1180.578"/>
    <n v="0"/>
    <x v="1"/>
    <x v="0"/>
    <x v="10"/>
    <n v="4"/>
  </r>
  <r>
    <n v="2"/>
    <d v="2019-11-22T00:00:00"/>
    <x v="2"/>
    <n v="482.15999999999991"/>
    <n v="184.29599999999996"/>
    <x v="1"/>
    <x v="0"/>
    <x v="10"/>
    <n v="4"/>
  </r>
  <r>
    <n v="2"/>
    <d v="2019-11-22T00:00:00"/>
    <x v="0"/>
    <n v="1834.9659999999999"/>
    <n v="2167.9279999999999"/>
    <x v="1"/>
    <x v="0"/>
    <x v="10"/>
    <n v="4"/>
  </r>
  <r>
    <n v="2"/>
    <d v="2019-11-22T00:00:00"/>
    <x v="3"/>
    <n v="0"/>
    <n v="0"/>
    <x v="1"/>
    <x v="0"/>
    <x v="10"/>
    <n v="4"/>
  </r>
  <r>
    <n v="2"/>
    <d v="2019-11-22T00:00:00"/>
    <x v="1"/>
    <n v="1400.1120000000001"/>
    <n v="1099.2239999999999"/>
    <x v="1"/>
    <x v="0"/>
    <x v="10"/>
    <n v="4"/>
  </r>
  <r>
    <n v="2"/>
    <d v="2019-11-23T00:00:00"/>
    <x v="0"/>
    <n v="2268.4829999999997"/>
    <n v="2101.2949999999996"/>
    <x v="1"/>
    <x v="0"/>
    <x v="10"/>
    <n v="4"/>
  </r>
  <r>
    <n v="2"/>
    <d v="2019-11-23T00:00:00"/>
    <x v="2"/>
    <n v="492.065"/>
    <n v="165.851"/>
    <x v="1"/>
    <x v="0"/>
    <x v="10"/>
    <n v="4"/>
  </r>
  <r>
    <n v="2"/>
    <d v="2019-11-23T00:00:00"/>
    <x v="1"/>
    <n v="1572.655"/>
    <n v="771.37900000000002"/>
    <x v="1"/>
    <x v="0"/>
    <x v="10"/>
    <n v="4"/>
  </r>
  <r>
    <n v="2"/>
    <d v="2019-11-23T00:00:00"/>
    <x v="3"/>
    <n v="0"/>
    <n v="0"/>
    <x v="1"/>
    <x v="0"/>
    <x v="10"/>
    <n v="4"/>
  </r>
  <r>
    <n v="2"/>
    <d v="2019-11-24T00:00:00"/>
    <x v="2"/>
    <n v="343.476"/>
    <n v="238.42699999999999"/>
    <x v="1"/>
    <x v="0"/>
    <x v="10"/>
    <n v="4"/>
  </r>
  <r>
    <n v="2"/>
    <d v="2019-11-24T00:00:00"/>
    <x v="3"/>
    <n v="0"/>
    <n v="23.085999999999995"/>
    <x v="1"/>
    <x v="0"/>
    <x v="10"/>
    <n v="4"/>
  </r>
  <r>
    <n v="2"/>
    <d v="2019-11-24T00:00:00"/>
    <x v="0"/>
    <n v="1227.5829999999999"/>
    <n v="1179.5629999999999"/>
    <x v="1"/>
    <x v="0"/>
    <x v="10"/>
    <n v="4"/>
  </r>
  <r>
    <n v="2"/>
    <d v="2019-11-24T00:00:00"/>
    <x v="1"/>
    <n v="575.81299999999999"/>
    <n v="579.16599999999994"/>
    <x v="1"/>
    <x v="0"/>
    <x v="10"/>
    <n v="4"/>
  </r>
  <r>
    <n v="2"/>
    <d v="2019-11-25T00:00:00"/>
    <x v="3"/>
    <n v="1725.2270000000001"/>
    <n v="122.28999999999998"/>
    <x v="1"/>
    <x v="0"/>
    <x v="11"/>
    <n v="1"/>
  </r>
  <r>
    <n v="2"/>
    <d v="2019-11-25T00:00:00"/>
    <x v="0"/>
    <n v="1361.2269999999999"/>
    <n v="1333.4649999999999"/>
    <x v="1"/>
    <x v="0"/>
    <x v="11"/>
    <n v="1"/>
  </r>
  <r>
    <n v="2"/>
    <d v="2019-11-25T00:00:00"/>
    <x v="2"/>
    <n v="514.17099999999994"/>
    <n v="173.88"/>
    <x v="1"/>
    <x v="0"/>
    <x v="11"/>
    <n v="1"/>
  </r>
  <r>
    <n v="2"/>
    <d v="2019-11-25T00:00:00"/>
    <x v="1"/>
    <n v="720.34199999999987"/>
    <n v="764.89"/>
    <x v="1"/>
    <x v="0"/>
    <x v="11"/>
    <n v="1"/>
  </r>
  <r>
    <n v="2"/>
    <d v="2019-11-26T00:00:00"/>
    <x v="1"/>
    <n v="956.46600000000001"/>
    <n v="962.12899999999991"/>
    <x v="1"/>
    <x v="0"/>
    <x v="11"/>
    <n v="1"/>
  </r>
  <r>
    <n v="2"/>
    <d v="2019-11-26T00:00:00"/>
    <x v="2"/>
    <n v="524.25099999999998"/>
    <n v="311.09399999999999"/>
    <x v="1"/>
    <x v="0"/>
    <x v="11"/>
    <n v="1"/>
  </r>
  <r>
    <n v="2"/>
    <d v="2019-11-26T00:00:00"/>
    <x v="0"/>
    <n v="1499.3089999999997"/>
    <n v="1618.1339999999998"/>
    <x v="1"/>
    <x v="0"/>
    <x v="11"/>
    <n v="1"/>
  </r>
  <r>
    <n v="2"/>
    <d v="2019-11-26T00:00:00"/>
    <x v="3"/>
    <n v="0"/>
    <n v="605.99"/>
    <x v="1"/>
    <x v="0"/>
    <x v="11"/>
    <n v="1"/>
  </r>
  <r>
    <n v="2"/>
    <d v="2019-11-27T00:00:00"/>
    <x v="1"/>
    <n v="850.99"/>
    <n v="773.91999999999985"/>
    <x v="1"/>
    <x v="0"/>
    <x v="11"/>
    <n v="1"/>
  </r>
  <r>
    <n v="2"/>
    <d v="2019-11-27T00:00:00"/>
    <x v="2"/>
    <n v="434.93799999999999"/>
    <n v="284.137"/>
    <x v="1"/>
    <x v="0"/>
    <x v="11"/>
    <n v="1"/>
  </r>
  <r>
    <n v="2"/>
    <d v="2019-11-27T00:00:00"/>
    <x v="3"/>
    <n v="160.85999999999999"/>
    <n v="0"/>
    <x v="1"/>
    <x v="0"/>
    <x v="11"/>
    <n v="1"/>
  </r>
  <r>
    <n v="2"/>
    <d v="2019-11-27T00:00:00"/>
    <x v="0"/>
    <n v="1753.269"/>
    <n v="1284.9690000000001"/>
    <x v="1"/>
    <x v="0"/>
    <x v="11"/>
    <n v="1"/>
  </r>
  <r>
    <n v="2"/>
    <d v="2019-11-28T00:00:00"/>
    <x v="2"/>
    <n v="0"/>
    <n v="205.345"/>
    <x v="1"/>
    <x v="0"/>
    <x v="11"/>
    <n v="1"/>
  </r>
  <r>
    <n v="2"/>
    <d v="2019-11-28T00:00:00"/>
    <x v="0"/>
    <n v="0"/>
    <n v="1459.4159999999999"/>
    <x v="1"/>
    <x v="0"/>
    <x v="11"/>
    <n v="1"/>
  </r>
  <r>
    <n v="2"/>
    <d v="2019-11-28T00:00:00"/>
    <x v="3"/>
    <n v="0"/>
    <n v="52.884999999999998"/>
    <x v="1"/>
    <x v="0"/>
    <x v="11"/>
    <n v="1"/>
  </r>
  <r>
    <n v="2"/>
    <d v="2019-11-28T00:00:00"/>
    <x v="1"/>
    <n v="0"/>
    <n v="920.12899999999991"/>
    <x v="1"/>
    <x v="0"/>
    <x v="11"/>
    <n v="1"/>
  </r>
  <r>
    <n v="2"/>
    <d v="2019-11-29T00:00:00"/>
    <x v="3"/>
    <n v="63.923999999999992"/>
    <n v="20.096999999999998"/>
    <x v="1"/>
    <x v="0"/>
    <x v="11"/>
    <n v="1"/>
  </r>
  <r>
    <n v="2"/>
    <d v="2019-11-29T00:00:00"/>
    <x v="1"/>
    <n v="839.01299999999992"/>
    <n v="1369.5849999999998"/>
    <x v="1"/>
    <x v="0"/>
    <x v="11"/>
    <n v="1"/>
  </r>
  <r>
    <n v="2"/>
    <d v="2019-11-29T00:00:00"/>
    <x v="0"/>
    <n v="1674.6869999999999"/>
    <n v="2704.7019999999998"/>
    <x v="1"/>
    <x v="0"/>
    <x v="11"/>
    <n v="1"/>
  </r>
  <r>
    <n v="2"/>
    <d v="2019-11-29T00:00:00"/>
    <x v="2"/>
    <n v="525.46899999999994"/>
    <n v="332.76599999999996"/>
    <x v="1"/>
    <x v="0"/>
    <x v="11"/>
    <n v="1"/>
  </r>
  <r>
    <n v="2"/>
    <d v="2019-11-30T00:00:00"/>
    <x v="0"/>
    <n v="1650.3689999999999"/>
    <n v="1997.2329999999999"/>
    <x v="1"/>
    <x v="0"/>
    <x v="11"/>
    <n v="1"/>
  </r>
  <r>
    <n v="2"/>
    <d v="2019-11-30T00:00:00"/>
    <x v="2"/>
    <n v="529.03899999999999"/>
    <n v="382.04599999999994"/>
    <x v="1"/>
    <x v="0"/>
    <x v="11"/>
    <n v="1"/>
  </r>
  <r>
    <n v="2"/>
    <d v="2019-11-30T00:00:00"/>
    <x v="1"/>
    <n v="805.322"/>
    <n v="992.04"/>
    <x v="1"/>
    <x v="0"/>
    <x v="11"/>
    <n v="1"/>
  </r>
  <r>
    <n v="2"/>
    <d v="2019-11-30T00:00:00"/>
    <x v="3"/>
    <n v="0"/>
    <n v="0"/>
    <x v="1"/>
    <x v="0"/>
    <x v="11"/>
    <n v="1"/>
  </r>
  <r>
    <n v="2"/>
    <d v="2019-12-01T00:00:00"/>
    <x v="2"/>
    <n v="407.76399999999995"/>
    <n v="111.39799999999998"/>
    <x v="1"/>
    <x v="0"/>
    <x v="11"/>
    <n v="1"/>
  </r>
  <r>
    <n v="2"/>
    <d v="2019-12-01T00:00:00"/>
    <x v="0"/>
    <n v="1008.819"/>
    <n v="725.32600000000002"/>
    <x v="1"/>
    <x v="0"/>
    <x v="11"/>
    <n v="1"/>
  </r>
  <r>
    <n v="2"/>
    <d v="2019-12-01T00:00:00"/>
    <x v="1"/>
    <n v="718.59199999999987"/>
    <n v="468.14599999999996"/>
    <x v="1"/>
    <x v="0"/>
    <x v="11"/>
    <n v="1"/>
  </r>
  <r>
    <n v="2"/>
    <d v="2019-12-01T00:00:00"/>
    <x v="3"/>
    <n v="0"/>
    <n v="0"/>
    <x v="1"/>
    <x v="0"/>
    <x v="11"/>
    <n v="1"/>
  </r>
  <r>
    <n v="2"/>
    <d v="2019-12-02T00:00:00"/>
    <x v="0"/>
    <n v="1709.9809999999998"/>
    <n v="1227.422"/>
    <x v="1"/>
    <x v="0"/>
    <x v="11"/>
    <n v="2"/>
  </r>
  <r>
    <n v="2"/>
    <d v="2019-12-02T00:00:00"/>
    <x v="2"/>
    <n v="442.86199999999997"/>
    <n v="286.48899999999998"/>
    <x v="1"/>
    <x v="0"/>
    <x v="11"/>
    <n v="2"/>
  </r>
  <r>
    <n v="2"/>
    <d v="2019-12-02T00:00:00"/>
    <x v="1"/>
    <n v="1017.8699999999999"/>
    <n v="812.31499999999994"/>
    <x v="1"/>
    <x v="0"/>
    <x v="11"/>
    <n v="2"/>
  </r>
  <r>
    <n v="2"/>
    <d v="2019-12-02T00:00:00"/>
    <x v="3"/>
    <n v="0"/>
    <n v="0"/>
    <x v="1"/>
    <x v="0"/>
    <x v="11"/>
    <n v="2"/>
  </r>
  <r>
    <n v="2"/>
    <d v="2019-12-03T00:00:00"/>
    <x v="3"/>
    <n v="331.56200000000001"/>
    <n v="0"/>
    <x v="1"/>
    <x v="0"/>
    <x v="11"/>
    <n v="2"/>
  </r>
  <r>
    <n v="2"/>
    <d v="2019-12-03T00:00:00"/>
    <x v="2"/>
    <n v="265.67099999999999"/>
    <n v="213.934"/>
    <x v="1"/>
    <x v="0"/>
    <x v="11"/>
    <n v="2"/>
  </r>
  <r>
    <n v="2"/>
    <d v="2019-12-03T00:00:00"/>
    <x v="0"/>
    <n v="1613.521"/>
    <n v="1553.8249999999998"/>
    <x v="1"/>
    <x v="0"/>
    <x v="11"/>
    <n v="2"/>
  </r>
  <r>
    <n v="2"/>
    <d v="2019-12-03T00:00:00"/>
    <x v="1"/>
    <n v="918.95299999999986"/>
    <n v="891.947"/>
    <x v="1"/>
    <x v="0"/>
    <x v="11"/>
    <n v="2"/>
  </r>
  <r>
    <n v="2"/>
    <d v="2019-12-04T00:00:00"/>
    <x v="1"/>
    <n v="1138.4029999999998"/>
    <n v="923.77599999999995"/>
    <x v="1"/>
    <x v="0"/>
    <x v="11"/>
    <n v="2"/>
  </r>
  <r>
    <n v="2"/>
    <d v="2019-12-04T00:00:00"/>
    <x v="0"/>
    <n v="1469.671"/>
    <n v="1359.5819999999999"/>
    <x v="1"/>
    <x v="0"/>
    <x v="11"/>
    <n v="2"/>
  </r>
  <r>
    <n v="2"/>
    <d v="2019-12-04T00:00:00"/>
    <x v="3"/>
    <n v="0"/>
    <n v="0"/>
    <x v="1"/>
    <x v="0"/>
    <x v="11"/>
    <n v="2"/>
  </r>
  <r>
    <n v="2"/>
    <d v="2019-12-04T00:00:00"/>
    <x v="2"/>
    <n v="308.32199999999995"/>
    <n v="176.09899999999999"/>
    <x v="1"/>
    <x v="0"/>
    <x v="11"/>
    <n v="2"/>
  </r>
  <r>
    <n v="2"/>
    <d v="2019-12-05T00:00:00"/>
    <x v="0"/>
    <n v="1917.6429999999998"/>
    <n v="1949.0869999999998"/>
    <x v="1"/>
    <x v="0"/>
    <x v="11"/>
    <n v="2"/>
  </r>
  <r>
    <n v="2"/>
    <d v="2019-12-05T00:00:00"/>
    <x v="3"/>
    <n v="230.81799999999998"/>
    <n v="213.85699999999997"/>
    <x v="1"/>
    <x v="0"/>
    <x v="11"/>
    <n v="2"/>
  </r>
  <r>
    <n v="2"/>
    <d v="2019-12-05T00:00:00"/>
    <x v="2"/>
    <n v="477.38599999999997"/>
    <n v="283.57"/>
    <x v="1"/>
    <x v="0"/>
    <x v="11"/>
    <n v="2"/>
  </r>
  <r>
    <n v="2"/>
    <d v="2019-12-05T00:00:00"/>
    <x v="1"/>
    <n v="1232.3150000000001"/>
    <n v="1005.669"/>
    <x v="1"/>
    <x v="0"/>
    <x v="11"/>
    <n v="2"/>
  </r>
  <r>
    <n v="2"/>
    <d v="2019-12-06T00:00:00"/>
    <x v="2"/>
    <n v="653.779"/>
    <n v="358.84099999999995"/>
    <x v="1"/>
    <x v="0"/>
    <x v="11"/>
    <n v="2"/>
  </r>
  <r>
    <n v="2"/>
    <d v="2019-12-06T00:00:00"/>
    <x v="0"/>
    <n v="2008.0199999999998"/>
    <n v="2206.4629999999997"/>
    <x v="1"/>
    <x v="0"/>
    <x v="11"/>
    <n v="2"/>
  </r>
  <r>
    <n v="2"/>
    <d v="2019-12-06T00:00:00"/>
    <x v="1"/>
    <n v="1363.1589999999999"/>
    <n v="1048.299"/>
    <x v="1"/>
    <x v="0"/>
    <x v="11"/>
    <n v="2"/>
  </r>
  <r>
    <n v="2"/>
    <d v="2019-12-06T00:00:00"/>
    <x v="3"/>
    <n v="0"/>
    <n v="163.64599999999999"/>
    <x v="1"/>
    <x v="0"/>
    <x v="11"/>
    <n v="2"/>
  </r>
  <r>
    <n v="2"/>
    <d v="2019-12-07T00:00:00"/>
    <x v="1"/>
    <n v="1090.1239999999998"/>
    <n v="678.19499999999994"/>
    <x v="1"/>
    <x v="0"/>
    <x v="11"/>
    <n v="2"/>
  </r>
  <r>
    <n v="2"/>
    <d v="2019-12-07T00:00:00"/>
    <x v="3"/>
    <n v="0"/>
    <n v="0"/>
    <x v="1"/>
    <x v="0"/>
    <x v="11"/>
    <n v="2"/>
  </r>
  <r>
    <n v="2"/>
    <d v="2019-12-07T00:00:00"/>
    <x v="0"/>
    <n v="1789.5219999999999"/>
    <n v="1630.9859999999999"/>
    <x v="1"/>
    <x v="0"/>
    <x v="11"/>
    <n v="2"/>
  </r>
  <r>
    <n v="2"/>
    <d v="2019-12-07T00:00:00"/>
    <x v="2"/>
    <n v="425.90099999999995"/>
    <n v="412.447"/>
    <x v="1"/>
    <x v="0"/>
    <x v="11"/>
    <n v="2"/>
  </r>
  <r>
    <n v="2"/>
    <d v="2019-12-08T00:00:00"/>
    <x v="2"/>
    <n v="218.94599999999997"/>
    <n v="46.213999999999992"/>
    <x v="1"/>
    <x v="0"/>
    <x v="11"/>
    <n v="2"/>
  </r>
  <r>
    <n v="2"/>
    <d v="2019-12-08T00:00:00"/>
    <x v="0"/>
    <n v="737.40099999999995"/>
    <n v="641.00400000000002"/>
    <x v="1"/>
    <x v="0"/>
    <x v="11"/>
    <n v="2"/>
  </r>
  <r>
    <n v="2"/>
    <d v="2019-12-08T00:00:00"/>
    <x v="1"/>
    <n v="368.01099999999997"/>
    <n v="277.32599999999996"/>
    <x v="1"/>
    <x v="0"/>
    <x v="11"/>
    <n v="2"/>
  </r>
  <r>
    <n v="2"/>
    <d v="2019-12-08T00:00:00"/>
    <x v="3"/>
    <n v="0"/>
    <n v="26.102999999999998"/>
    <x v="1"/>
    <x v="0"/>
    <x v="11"/>
    <n v="2"/>
  </r>
  <r>
    <n v="2"/>
    <d v="2019-12-09T00:00:00"/>
    <x v="1"/>
    <n v="1034.6209999999999"/>
    <n v="943.37599999999998"/>
    <x v="1"/>
    <x v="0"/>
    <x v="11"/>
    <n v="3"/>
  </r>
  <r>
    <n v="2"/>
    <d v="2019-12-09T00:00:00"/>
    <x v="2"/>
    <n v="289.142"/>
    <n v="204.09899999999999"/>
    <x v="1"/>
    <x v="0"/>
    <x v="11"/>
    <n v="3"/>
  </r>
  <r>
    <n v="2"/>
    <d v="2019-12-09T00:00:00"/>
    <x v="3"/>
    <n v="0"/>
    <n v="0"/>
    <x v="1"/>
    <x v="0"/>
    <x v="11"/>
    <n v="3"/>
  </r>
  <r>
    <n v="2"/>
    <d v="2019-12-09T00:00:00"/>
    <x v="0"/>
    <n v="1338.386"/>
    <n v="1400.672"/>
    <x v="1"/>
    <x v="0"/>
    <x v="11"/>
    <n v="3"/>
  </r>
  <r>
    <n v="2"/>
    <d v="2019-12-10T00:00:00"/>
    <x v="3"/>
    <n v="0"/>
    <n v="0"/>
    <x v="1"/>
    <x v="0"/>
    <x v="11"/>
    <n v="3"/>
  </r>
  <r>
    <n v="2"/>
    <d v="2019-12-10T00:00:00"/>
    <x v="2"/>
    <n v="507.06599999999997"/>
    <n v="481.30599999999998"/>
    <x v="1"/>
    <x v="0"/>
    <x v="11"/>
    <n v="3"/>
  </r>
  <r>
    <n v="2"/>
    <d v="2019-12-10T00:00:00"/>
    <x v="1"/>
    <n v="1143.4359999999999"/>
    <n v="922.71199999999999"/>
    <x v="1"/>
    <x v="0"/>
    <x v="11"/>
    <n v="3"/>
  </r>
  <r>
    <n v="2"/>
    <d v="2019-12-10T00:00:00"/>
    <x v="0"/>
    <n v="1805.3559999999998"/>
    <n v="1643.6979999999999"/>
    <x v="1"/>
    <x v="0"/>
    <x v="11"/>
    <n v="3"/>
  </r>
  <r>
    <n v="2"/>
    <d v="2019-12-11T00:00:00"/>
    <x v="1"/>
    <n v="1209.838"/>
    <n v="985.77499999999998"/>
    <x v="1"/>
    <x v="0"/>
    <x v="11"/>
    <n v="3"/>
  </r>
  <r>
    <n v="2"/>
    <d v="2019-12-11T00:00:00"/>
    <x v="2"/>
    <n v="707.53899999999999"/>
    <n v="365.79900000000004"/>
    <x v="1"/>
    <x v="0"/>
    <x v="11"/>
    <n v="3"/>
  </r>
  <r>
    <n v="2"/>
    <d v="2019-12-11T00:00:00"/>
    <x v="3"/>
    <n v="202.41200000000001"/>
    <n v="365.75699999999995"/>
    <x v="1"/>
    <x v="0"/>
    <x v="11"/>
    <n v="3"/>
  </r>
  <r>
    <n v="2"/>
    <d v="2019-12-11T00:00:00"/>
    <x v="0"/>
    <n v="1502.8229999999999"/>
    <n v="1539.1109999999999"/>
    <x v="1"/>
    <x v="0"/>
    <x v="11"/>
    <n v="3"/>
  </r>
  <r>
    <n v="2"/>
    <d v="2019-12-12T00:00:00"/>
    <x v="1"/>
    <n v="1311.415"/>
    <n v="976.05199999999991"/>
    <x v="1"/>
    <x v="0"/>
    <x v="11"/>
    <n v="3"/>
  </r>
  <r>
    <n v="2"/>
    <d v="2019-12-12T00:00:00"/>
    <x v="0"/>
    <n v="1615.7190000000001"/>
    <n v="1832.2009999999998"/>
    <x v="1"/>
    <x v="0"/>
    <x v="11"/>
    <n v="3"/>
  </r>
  <r>
    <n v="2"/>
    <d v="2019-12-12T00:00:00"/>
    <x v="3"/>
    <n v="192.34599999999998"/>
    <n v="888.5379999999999"/>
    <x v="1"/>
    <x v="0"/>
    <x v="11"/>
    <n v="3"/>
  </r>
  <r>
    <n v="2"/>
    <d v="2019-12-12T00:00:00"/>
    <x v="2"/>
    <n v="322.27999999999997"/>
    <n v="228.94899999999998"/>
    <x v="1"/>
    <x v="0"/>
    <x v="11"/>
    <n v="3"/>
  </r>
  <r>
    <n v="2"/>
    <d v="2019-12-13T00:00:00"/>
    <x v="2"/>
    <n v="772.99599999999998"/>
    <n v="306.71899999999999"/>
    <x v="1"/>
    <x v="0"/>
    <x v="11"/>
    <n v="3"/>
  </r>
  <r>
    <n v="2"/>
    <d v="2019-12-13T00:00:00"/>
    <x v="3"/>
    <n v="804.01299999999992"/>
    <n v="246.96699999999998"/>
    <x v="1"/>
    <x v="0"/>
    <x v="11"/>
    <n v="3"/>
  </r>
  <r>
    <n v="2"/>
    <d v="2019-12-13T00:00:00"/>
    <x v="0"/>
    <n v="1897.1959999999999"/>
    <n v="2379.538"/>
    <x v="1"/>
    <x v="0"/>
    <x v="11"/>
    <n v="3"/>
  </r>
  <r>
    <n v="2"/>
    <d v="2019-12-13T00:00:00"/>
    <x v="1"/>
    <n v="1466.038"/>
    <n v="1397.424"/>
    <x v="1"/>
    <x v="0"/>
    <x v="11"/>
    <n v="3"/>
  </r>
  <r>
    <n v="2"/>
    <d v="2019-12-14T00:00:00"/>
    <x v="2"/>
    <n v="663.83799999999997"/>
    <n v="331.54799999999994"/>
    <x v="1"/>
    <x v="0"/>
    <x v="11"/>
    <n v="3"/>
  </r>
  <r>
    <n v="2"/>
    <d v="2019-12-14T00:00:00"/>
    <x v="1"/>
    <n v="1127.742"/>
    <n v="654.67499999999995"/>
    <x v="1"/>
    <x v="0"/>
    <x v="11"/>
    <n v="3"/>
  </r>
  <r>
    <n v="2"/>
    <d v="2019-12-14T00:00:00"/>
    <x v="0"/>
    <n v="1631.182"/>
    <n v="2011.933"/>
    <x v="1"/>
    <x v="0"/>
    <x v="11"/>
    <n v="3"/>
  </r>
  <r>
    <n v="2"/>
    <d v="2019-12-14T00:00:00"/>
    <x v="3"/>
    <n v="569.10699999999997"/>
    <n v="0"/>
    <x v="1"/>
    <x v="0"/>
    <x v="11"/>
    <n v="3"/>
  </r>
  <r>
    <n v="2"/>
    <d v="2019-12-15T00:00:00"/>
    <x v="1"/>
    <n v="728.45500000000004"/>
    <n v="806.11299999999994"/>
    <x v="1"/>
    <x v="0"/>
    <x v="11"/>
    <n v="3"/>
  </r>
  <r>
    <n v="2"/>
    <d v="2019-12-15T00:00:00"/>
    <x v="0"/>
    <n v="973.4129999999999"/>
    <n v="1236.9559999999999"/>
    <x v="1"/>
    <x v="0"/>
    <x v="11"/>
    <n v="3"/>
  </r>
  <r>
    <n v="2"/>
    <d v="2019-12-15T00:00:00"/>
    <x v="2"/>
    <n v="374.12900000000002"/>
    <n v="226.96099999999998"/>
    <x v="1"/>
    <x v="0"/>
    <x v="11"/>
    <n v="3"/>
  </r>
  <r>
    <n v="2"/>
    <d v="2019-12-15T00:00:00"/>
    <x v="3"/>
    <n v="66.590999999999994"/>
    <n v="0"/>
    <x v="1"/>
    <x v="0"/>
    <x v="11"/>
    <n v="3"/>
  </r>
  <r>
    <n v="2"/>
    <d v="2019-12-16T00:00:00"/>
    <x v="2"/>
    <n v="422.32400000000001"/>
    <n v="266.18899999999996"/>
    <x v="1"/>
    <x v="0"/>
    <x v="11"/>
    <n v="4"/>
  </r>
  <r>
    <n v="2"/>
    <d v="2019-12-16T00:00:00"/>
    <x v="3"/>
    <n v="0"/>
    <n v="0"/>
    <x v="1"/>
    <x v="0"/>
    <x v="11"/>
    <n v="4"/>
  </r>
  <r>
    <n v="2"/>
    <d v="2019-12-16T00:00:00"/>
    <x v="0"/>
    <n v="1669.346"/>
    <n v="1630.3"/>
    <x v="1"/>
    <x v="0"/>
    <x v="11"/>
    <n v="4"/>
  </r>
  <r>
    <n v="2"/>
    <d v="2019-12-16T00:00:00"/>
    <x v="1"/>
    <n v="920.90599999999984"/>
    <n v="609.49699999999996"/>
    <x v="1"/>
    <x v="0"/>
    <x v="11"/>
    <n v="4"/>
  </r>
  <r>
    <n v="2"/>
    <d v="2019-12-17T00:00:00"/>
    <x v="0"/>
    <n v="1618.1059999999998"/>
    <n v="2113.4399999999996"/>
    <x v="1"/>
    <x v="0"/>
    <x v="11"/>
    <n v="4"/>
  </r>
  <r>
    <n v="2"/>
    <d v="2019-12-17T00:00:00"/>
    <x v="2"/>
    <n v="264.58600000000001"/>
    <n v="191.84199999999998"/>
    <x v="1"/>
    <x v="0"/>
    <x v="11"/>
    <n v="4"/>
  </r>
  <r>
    <n v="2"/>
    <d v="2019-12-17T00:00:00"/>
    <x v="1"/>
    <n v="1099.462"/>
    <n v="896.322"/>
    <x v="1"/>
    <x v="0"/>
    <x v="11"/>
    <n v="4"/>
  </r>
  <r>
    <n v="2"/>
    <d v="2019-12-17T00:00:00"/>
    <x v="3"/>
    <n v="0"/>
    <n v="0"/>
    <x v="1"/>
    <x v="0"/>
    <x v="11"/>
    <n v="4"/>
  </r>
  <r>
    <n v="2"/>
    <d v="2019-12-18T00:00:00"/>
    <x v="2"/>
    <n v="457.75099999999992"/>
    <n v="213.29"/>
    <x v="1"/>
    <x v="0"/>
    <x v="11"/>
    <n v="4"/>
  </r>
  <r>
    <n v="2"/>
    <d v="2019-12-18T00:00:00"/>
    <x v="0"/>
    <n v="1556.8139999999999"/>
    <n v="1843.261"/>
    <x v="1"/>
    <x v="0"/>
    <x v="11"/>
    <n v="4"/>
  </r>
  <r>
    <n v="2"/>
    <d v="2019-12-18T00:00:00"/>
    <x v="1"/>
    <n v="1175.104"/>
    <n v="930.048"/>
    <x v="1"/>
    <x v="0"/>
    <x v="11"/>
    <n v="4"/>
  </r>
  <r>
    <n v="2"/>
    <d v="2019-12-18T00:00:00"/>
    <x v="3"/>
    <n v="80.772999999999996"/>
    <n v="646.26099999999997"/>
    <x v="1"/>
    <x v="0"/>
    <x v="11"/>
    <n v="4"/>
  </r>
  <r>
    <n v="2"/>
    <d v="2019-12-19T00:00:00"/>
    <x v="2"/>
    <n v="351.17599999999999"/>
    <n v="251.328"/>
    <x v="1"/>
    <x v="0"/>
    <x v="11"/>
    <n v="4"/>
  </r>
  <r>
    <n v="2"/>
    <d v="2019-12-19T00:00:00"/>
    <x v="1"/>
    <n v="1186.2339999999999"/>
    <n v="1004.8499999999999"/>
    <x v="1"/>
    <x v="0"/>
    <x v="11"/>
    <n v="4"/>
  </r>
  <r>
    <n v="2"/>
    <d v="2019-12-19T00:00:00"/>
    <x v="0"/>
    <n v="1545.8169999999998"/>
    <n v="1863.7429999999997"/>
    <x v="1"/>
    <x v="0"/>
    <x v="11"/>
    <n v="4"/>
  </r>
  <r>
    <n v="2"/>
    <d v="2019-12-19T00:00:00"/>
    <x v="3"/>
    <n v="80.429999999999993"/>
    <n v="0"/>
    <x v="1"/>
    <x v="0"/>
    <x v="11"/>
    <n v="4"/>
  </r>
  <r>
    <n v="2"/>
    <d v="2019-12-20T00:00:00"/>
    <x v="0"/>
    <n v="2693.2710000000002"/>
    <n v="2451.4559999999997"/>
    <x v="1"/>
    <x v="0"/>
    <x v="11"/>
    <n v="4"/>
  </r>
  <r>
    <n v="2"/>
    <d v="2019-12-20T00:00:00"/>
    <x v="2"/>
    <n v="816.19999999999993"/>
    <n v="413.959"/>
    <x v="1"/>
    <x v="0"/>
    <x v="11"/>
    <n v="4"/>
  </r>
  <r>
    <n v="2"/>
    <d v="2019-12-20T00:00:00"/>
    <x v="3"/>
    <n v="212.65299999999999"/>
    <n v="0"/>
    <x v="1"/>
    <x v="0"/>
    <x v="11"/>
    <n v="4"/>
  </r>
  <r>
    <n v="2"/>
    <d v="2019-12-20T00:00:00"/>
    <x v="1"/>
    <n v="1548.2039999999997"/>
    <n v="1160.5089999999998"/>
    <x v="1"/>
    <x v="0"/>
    <x v="11"/>
    <n v="4"/>
  </r>
  <r>
    <n v="2"/>
    <d v="2019-12-21T00:00:00"/>
    <x v="2"/>
    <n v="528.654"/>
    <n v="593.39"/>
    <x v="1"/>
    <x v="0"/>
    <x v="11"/>
    <n v="4"/>
  </r>
  <r>
    <n v="2"/>
    <d v="2019-12-21T00:00:00"/>
    <x v="1"/>
    <n v="1259.8039999999999"/>
    <n v="891.17699999999991"/>
    <x v="1"/>
    <x v="0"/>
    <x v="11"/>
    <n v="4"/>
  </r>
  <r>
    <n v="2"/>
    <d v="2019-12-21T00:00:00"/>
    <x v="0"/>
    <n v="1851.0589999999997"/>
    <n v="2102.0229999999997"/>
    <x v="1"/>
    <x v="0"/>
    <x v="11"/>
    <n v="4"/>
  </r>
  <r>
    <n v="2"/>
    <d v="2019-12-21T00:00:00"/>
    <x v="3"/>
    <n v="290.178"/>
    <n v="6.9019999999999992"/>
    <x v="1"/>
    <x v="0"/>
    <x v="11"/>
    <n v="4"/>
  </r>
  <r>
    <n v="2"/>
    <d v="2019-12-22T00:00:00"/>
    <x v="0"/>
    <n v="1514.9679999999998"/>
    <n v="1050.9379999999999"/>
    <x v="1"/>
    <x v="0"/>
    <x v="11"/>
    <n v="4"/>
  </r>
  <r>
    <n v="2"/>
    <d v="2019-12-22T00:00:00"/>
    <x v="2"/>
    <n v="312.06700000000001"/>
    <n v="102.431"/>
    <x v="1"/>
    <x v="0"/>
    <x v="11"/>
    <n v="4"/>
  </r>
  <r>
    <n v="2"/>
    <d v="2019-12-22T00:00:00"/>
    <x v="1"/>
    <n v="803.6629999999999"/>
    <n v="451.32499999999999"/>
    <x v="1"/>
    <x v="0"/>
    <x v="11"/>
    <n v="4"/>
  </r>
  <r>
    <n v="2"/>
    <d v="2019-12-22T00:00:00"/>
    <x v="3"/>
    <n v="0"/>
    <n v="10.542"/>
    <x v="1"/>
    <x v="0"/>
    <x v="11"/>
    <n v="4"/>
  </r>
  <r>
    <n v="2"/>
    <d v="2019-12-23T00:00:00"/>
    <x v="2"/>
    <n v="379.21799999999996"/>
    <n v="267.97399999999999"/>
    <x v="1"/>
    <x v="0"/>
    <x v="11"/>
    <n v="5"/>
  </r>
  <r>
    <n v="2"/>
    <d v="2019-12-23T00:00:00"/>
    <x v="0"/>
    <n v="2312.3939999999998"/>
    <n v="1928.213"/>
    <x v="1"/>
    <x v="0"/>
    <x v="11"/>
    <n v="5"/>
  </r>
  <r>
    <n v="2"/>
    <d v="2019-12-23T00:00:00"/>
    <x v="3"/>
    <n v="24.065999999999999"/>
    <n v="34.278999999999996"/>
    <x v="1"/>
    <x v="0"/>
    <x v="11"/>
    <n v="5"/>
  </r>
  <r>
    <n v="2"/>
    <d v="2019-12-23T00:00:00"/>
    <x v="1"/>
    <n v="1331.5819999999999"/>
    <n v="548.68799999999999"/>
    <x v="1"/>
    <x v="0"/>
    <x v="11"/>
    <n v="5"/>
  </r>
  <r>
    <n v="2"/>
    <d v="2019-12-24T00:00:00"/>
    <x v="1"/>
    <n v="719.44599999999991"/>
    <n v="0"/>
    <x v="1"/>
    <x v="0"/>
    <x v="11"/>
    <n v="5"/>
  </r>
  <r>
    <n v="2"/>
    <d v="2019-12-24T00:00:00"/>
    <x v="2"/>
    <n v="227.059"/>
    <n v="0"/>
    <x v="1"/>
    <x v="0"/>
    <x v="11"/>
    <n v="5"/>
  </r>
  <r>
    <n v="2"/>
    <d v="2019-12-24T00:00:00"/>
    <x v="0"/>
    <n v="1627.4089999999999"/>
    <n v="0"/>
    <x v="1"/>
    <x v="0"/>
    <x v="11"/>
    <n v="5"/>
  </r>
  <r>
    <n v="2"/>
    <d v="2019-12-24T00:00:00"/>
    <x v="3"/>
    <n v="139.39099999999999"/>
    <n v="0"/>
    <x v="1"/>
    <x v="0"/>
    <x v="11"/>
    <n v="5"/>
  </r>
  <r>
    <n v="2"/>
    <d v="2019-12-25T00:00:00"/>
    <x v="0"/>
    <n v="0"/>
    <n v="2376.8149999999996"/>
    <x v="1"/>
    <x v="0"/>
    <x v="11"/>
    <n v="5"/>
  </r>
  <r>
    <n v="2"/>
    <d v="2019-12-25T00:00:00"/>
    <x v="2"/>
    <n v="0"/>
    <n v="255.82199999999997"/>
    <x v="1"/>
    <x v="0"/>
    <x v="11"/>
    <n v="5"/>
  </r>
  <r>
    <n v="2"/>
    <d v="2019-12-25T00:00:00"/>
    <x v="3"/>
    <n v="0"/>
    <n v="0"/>
    <x v="1"/>
    <x v="0"/>
    <x v="11"/>
    <n v="5"/>
  </r>
  <r>
    <n v="2"/>
    <d v="2019-12-25T00:00:00"/>
    <x v="1"/>
    <n v="0"/>
    <n v="1031.5409999999999"/>
    <x v="1"/>
    <x v="0"/>
    <x v="11"/>
    <n v="5"/>
  </r>
  <r>
    <n v="2"/>
    <d v="2019-12-26T00:00:00"/>
    <x v="0"/>
    <n v="2390.8359999999998"/>
    <n v="2213.0009999999997"/>
    <x v="1"/>
    <x v="0"/>
    <x v="11"/>
    <n v="5"/>
  </r>
  <r>
    <n v="2"/>
    <d v="2019-12-26T00:00:00"/>
    <x v="2"/>
    <n v="598.27599999999995"/>
    <n v="248.40199999999999"/>
    <x v="1"/>
    <x v="0"/>
    <x v="11"/>
    <n v="5"/>
  </r>
  <r>
    <n v="2"/>
    <d v="2019-12-26T00:00:00"/>
    <x v="1"/>
    <n v="1159.4099999999999"/>
    <n v="848.77099999999996"/>
    <x v="1"/>
    <x v="0"/>
    <x v="11"/>
    <n v="5"/>
  </r>
  <r>
    <n v="2"/>
    <d v="2019-12-26T00:00:00"/>
    <x v="3"/>
    <n v="210.44799999999998"/>
    <n v="0"/>
    <x v="1"/>
    <x v="0"/>
    <x v="11"/>
    <n v="5"/>
  </r>
  <r>
    <n v="2"/>
    <d v="2019-12-27T00:00:00"/>
    <x v="0"/>
    <n v="2393.944"/>
    <n v="2526.9089999999997"/>
    <x v="1"/>
    <x v="0"/>
    <x v="11"/>
    <n v="5"/>
  </r>
  <r>
    <n v="2"/>
    <d v="2019-12-27T00:00:00"/>
    <x v="2"/>
    <n v="676.99099999999999"/>
    <n v="407.666"/>
    <x v="1"/>
    <x v="0"/>
    <x v="11"/>
    <n v="5"/>
  </r>
  <r>
    <n v="2"/>
    <d v="2019-12-27T00:00:00"/>
    <x v="1"/>
    <n v="1383.6129999999998"/>
    <n v="1072.4349999999999"/>
    <x v="1"/>
    <x v="0"/>
    <x v="11"/>
    <n v="5"/>
  </r>
  <r>
    <n v="2"/>
    <d v="2019-12-27T00:00:00"/>
    <x v="3"/>
    <n v="0"/>
    <n v="0"/>
    <x v="1"/>
    <x v="0"/>
    <x v="11"/>
    <n v="5"/>
  </r>
  <r>
    <n v="2"/>
    <d v="2019-12-28T00:00:00"/>
    <x v="2"/>
    <n v="706.32099999999991"/>
    <n v="491.24599999999992"/>
    <x v="1"/>
    <x v="0"/>
    <x v="11"/>
    <n v="5"/>
  </r>
  <r>
    <n v="2"/>
    <d v="2019-12-28T00:00:00"/>
    <x v="1"/>
    <n v="1401.932"/>
    <n v="1258.0539999999999"/>
    <x v="1"/>
    <x v="0"/>
    <x v="11"/>
    <n v="5"/>
  </r>
  <r>
    <n v="2"/>
    <d v="2019-12-28T00:00:00"/>
    <x v="0"/>
    <n v="1929.452"/>
    <n v="2126.9359999999997"/>
    <x v="1"/>
    <x v="0"/>
    <x v="11"/>
    <n v="5"/>
  </r>
  <r>
    <n v="2"/>
    <d v="2019-12-28T00:00:00"/>
    <x v="3"/>
    <n v="559.2299999999999"/>
    <n v="41.747999999999998"/>
    <x v="1"/>
    <x v="0"/>
    <x v="11"/>
    <n v="5"/>
  </r>
  <r>
    <n v="2"/>
    <d v="2019-12-29T00:00:00"/>
    <x v="1"/>
    <n v="906.70999999999992"/>
    <n v="471.33100000000002"/>
    <x v="1"/>
    <x v="0"/>
    <x v="11"/>
    <n v="5"/>
  </r>
  <r>
    <n v="2"/>
    <d v="2019-12-29T00:00:00"/>
    <x v="2"/>
    <n v="380.85599999999999"/>
    <n v="155.18299999999999"/>
    <x v="1"/>
    <x v="0"/>
    <x v="11"/>
    <n v="5"/>
  </r>
  <r>
    <n v="2"/>
    <d v="2019-12-29T00:00:00"/>
    <x v="0"/>
    <n v="1282.1969999999999"/>
    <n v="1151.0519999999999"/>
    <x v="1"/>
    <x v="0"/>
    <x v="11"/>
    <n v="5"/>
  </r>
  <r>
    <n v="2"/>
    <d v="2019-12-29T00:00:00"/>
    <x v="3"/>
    <n v="0"/>
    <n v="177.63900000000001"/>
    <x v="1"/>
    <x v="0"/>
    <x v="11"/>
    <n v="5"/>
  </r>
  <r>
    <n v="2"/>
    <d v="2019-12-30T00:00:00"/>
    <x v="1"/>
    <n v="1232.9449999999999"/>
    <n v="835.35899999999992"/>
    <x v="1"/>
    <x v="1"/>
    <x v="0"/>
    <n v="1"/>
  </r>
  <r>
    <n v="2"/>
    <d v="2019-12-30T00:00:00"/>
    <x v="2"/>
    <n v="415.75099999999992"/>
    <n v="407.78499999999997"/>
    <x v="1"/>
    <x v="1"/>
    <x v="0"/>
    <n v="1"/>
  </r>
  <r>
    <n v="2"/>
    <d v="2019-12-30T00:00:00"/>
    <x v="0"/>
    <n v="1932.385"/>
    <n v="1854.8669999999997"/>
    <x v="1"/>
    <x v="1"/>
    <x v="0"/>
    <n v="1"/>
  </r>
  <r>
    <n v="2"/>
    <d v="2019-12-30T00:00:00"/>
    <x v="3"/>
    <n v="210.44799999999998"/>
    <n v="33.578999999999994"/>
    <x v="1"/>
    <x v="1"/>
    <x v="0"/>
    <n v="1"/>
  </r>
  <r>
    <n v="2"/>
    <d v="2019-12-31T00:00:00"/>
    <x v="0"/>
    <n v="2132.3679999999999"/>
    <n v="1994.0199999999998"/>
    <x v="1"/>
    <x v="1"/>
    <x v="0"/>
    <n v="1"/>
  </r>
  <r>
    <n v="2"/>
    <d v="2019-12-31T00:00:00"/>
    <x v="2"/>
    <n v="591.67499999999995"/>
    <n v="458.661"/>
    <x v="1"/>
    <x v="1"/>
    <x v="0"/>
    <n v="1"/>
  </r>
  <r>
    <n v="2"/>
    <d v="2019-12-31T00:00:00"/>
    <x v="1"/>
    <n v="1097.712"/>
    <n v="953.96699999999987"/>
    <x v="1"/>
    <x v="1"/>
    <x v="0"/>
    <n v="1"/>
  </r>
  <r>
    <n v="2"/>
    <d v="2019-12-31T00:00:00"/>
    <x v="3"/>
    <n v="442.36500000000001"/>
    <n v="0"/>
    <x v="1"/>
    <x v="1"/>
    <x v="0"/>
    <n v="1"/>
  </r>
  <r>
    <n v="2"/>
    <d v="2020-01-01T00:00:00"/>
    <x v="0"/>
    <n v="1629.2079999999999"/>
    <n v="1640.4499999999998"/>
    <x v="1"/>
    <x v="1"/>
    <x v="0"/>
    <n v="1"/>
  </r>
  <r>
    <n v="2"/>
    <d v="2020-01-01T00:00:00"/>
    <x v="2"/>
    <n v="528.81500000000005"/>
    <n v="182.65099999999998"/>
    <x v="1"/>
    <x v="1"/>
    <x v="0"/>
    <n v="1"/>
  </r>
  <r>
    <n v="2"/>
    <d v="2020-01-01T00:00:00"/>
    <x v="1"/>
    <n v="1123.444"/>
    <n v="786.548"/>
    <x v="1"/>
    <x v="1"/>
    <x v="0"/>
    <n v="1"/>
  </r>
  <r>
    <n v="2"/>
    <d v="2020-01-01T00:00:00"/>
    <x v="3"/>
    <n v="0"/>
    <n v="28.951999999999998"/>
    <x v="1"/>
    <x v="1"/>
    <x v="0"/>
    <n v="1"/>
  </r>
  <r>
    <n v="2"/>
    <d v="2020-01-02T00:00:00"/>
    <x v="2"/>
    <n v="492.92599999999993"/>
    <n v="380.39399999999995"/>
    <x v="1"/>
    <x v="1"/>
    <x v="0"/>
    <n v="1"/>
  </r>
  <r>
    <n v="2"/>
    <d v="2020-01-02T00:00:00"/>
    <x v="1"/>
    <n v="1151.1709999999998"/>
    <n v="1218.98"/>
    <x v="1"/>
    <x v="1"/>
    <x v="0"/>
    <n v="1"/>
  </r>
  <r>
    <n v="2"/>
    <d v="2020-01-02T00:00:00"/>
    <x v="0"/>
    <n v="1647.9679999999998"/>
    <n v="1980.8320000000001"/>
    <x v="1"/>
    <x v="1"/>
    <x v="0"/>
    <n v="1"/>
  </r>
  <r>
    <n v="2"/>
    <d v="2020-01-02T00:00:00"/>
    <x v="3"/>
    <n v="0"/>
    <n v="0"/>
    <x v="1"/>
    <x v="1"/>
    <x v="0"/>
    <n v="1"/>
  </r>
  <r>
    <n v="2"/>
    <d v="2020-01-03T00:00:00"/>
    <x v="0"/>
    <n v="2478.0769999999998"/>
    <n v="1870.8829999999998"/>
    <x v="1"/>
    <x v="1"/>
    <x v="0"/>
    <n v="1"/>
  </r>
  <r>
    <n v="2"/>
    <d v="2020-01-03T00:00:00"/>
    <x v="1"/>
    <n v="1502.0949999999998"/>
    <n v="711.99099999999999"/>
    <x v="1"/>
    <x v="1"/>
    <x v="0"/>
    <n v="1"/>
  </r>
  <r>
    <n v="2"/>
    <d v="2020-01-03T00:00:00"/>
    <x v="3"/>
    <n v="0"/>
    <n v="0"/>
    <x v="1"/>
    <x v="1"/>
    <x v="0"/>
    <n v="1"/>
  </r>
  <r>
    <n v="2"/>
    <d v="2020-01-03T00:00:00"/>
    <x v="2"/>
    <n v="562.06499999999994"/>
    <n v="1008.7489999999999"/>
    <x v="1"/>
    <x v="1"/>
    <x v="0"/>
    <n v="1"/>
  </r>
  <r>
    <n v="2"/>
    <d v="2020-01-04T00:00:00"/>
    <x v="2"/>
    <n v="696.49299999999994"/>
    <n v="441.33600000000001"/>
    <x v="1"/>
    <x v="1"/>
    <x v="0"/>
    <n v="1"/>
  </r>
  <r>
    <n v="2"/>
    <d v="2020-01-04T00:00:00"/>
    <x v="0"/>
    <n v="2156.4409999999998"/>
    <n v="2007.0259999999998"/>
    <x v="1"/>
    <x v="1"/>
    <x v="0"/>
    <n v="1"/>
  </r>
  <r>
    <n v="2"/>
    <d v="2020-01-04T00:00:00"/>
    <x v="3"/>
    <n v="0"/>
    <n v="58.401000000000003"/>
    <x v="1"/>
    <x v="1"/>
    <x v="0"/>
    <n v="1"/>
  </r>
  <r>
    <n v="2"/>
    <d v="2020-01-04T00:00:00"/>
    <x v="1"/>
    <n v="1047.886"/>
    <n v="900.16499999999996"/>
    <x v="1"/>
    <x v="1"/>
    <x v="0"/>
    <n v="1"/>
  </r>
  <r>
    <n v="2"/>
    <d v="2020-01-05T00:00:00"/>
    <x v="3"/>
    <n v="0"/>
    <n v="0"/>
    <x v="1"/>
    <x v="1"/>
    <x v="0"/>
    <n v="1"/>
  </r>
  <r>
    <n v="2"/>
    <d v="2020-01-05T00:00:00"/>
    <x v="2"/>
    <n v="284.33999999999997"/>
    <n v="158.22799999999998"/>
    <x v="1"/>
    <x v="1"/>
    <x v="0"/>
    <n v="1"/>
  </r>
  <r>
    <n v="2"/>
    <d v="2020-01-05T00:00:00"/>
    <x v="1"/>
    <n v="714.28699999999992"/>
    <n v="678.37699999999995"/>
    <x v="1"/>
    <x v="1"/>
    <x v="0"/>
    <n v="1"/>
  </r>
  <r>
    <n v="2"/>
    <d v="2020-01-05T00:00:00"/>
    <x v="0"/>
    <n v="1008.441"/>
    <n v="1004.353"/>
    <x v="1"/>
    <x v="1"/>
    <x v="0"/>
    <n v="1"/>
  </r>
  <r>
    <n v="2"/>
    <d v="2020-01-06T00:00:00"/>
    <x v="2"/>
    <n v="269.98999999999995"/>
    <n v="215.97800000000001"/>
    <x v="1"/>
    <x v="1"/>
    <x v="0"/>
    <n v="2"/>
  </r>
  <r>
    <n v="2"/>
    <d v="2020-01-06T00:00:00"/>
    <x v="1"/>
    <n v="954.70199999999988"/>
    <n v="811.3"/>
    <x v="1"/>
    <x v="1"/>
    <x v="0"/>
    <n v="2"/>
  </r>
  <r>
    <n v="2"/>
    <d v="2020-01-06T00:00:00"/>
    <x v="3"/>
    <n v="0"/>
    <n v="0"/>
    <x v="1"/>
    <x v="1"/>
    <x v="0"/>
    <n v="2"/>
  </r>
  <r>
    <n v="2"/>
    <d v="2020-01-06T00:00:00"/>
    <x v="0"/>
    <n v="1709.4279999999999"/>
    <n v="1209.04"/>
    <x v="1"/>
    <x v="1"/>
    <x v="0"/>
    <n v="2"/>
  </r>
  <r>
    <n v="2"/>
    <d v="2020-01-07T00:00:00"/>
    <x v="0"/>
    <n v="1877.4490000000001"/>
    <n v="1754.6059999999998"/>
    <x v="1"/>
    <x v="1"/>
    <x v="0"/>
    <n v="2"/>
  </r>
  <r>
    <n v="2"/>
    <d v="2020-01-07T00:00:00"/>
    <x v="3"/>
    <n v="401.04399999999993"/>
    <n v="0"/>
    <x v="1"/>
    <x v="1"/>
    <x v="0"/>
    <n v="2"/>
  </r>
  <r>
    <n v="2"/>
    <d v="2020-01-07T00:00:00"/>
    <x v="2"/>
    <n v="556.64"/>
    <n v="261.35199999999998"/>
    <x v="1"/>
    <x v="1"/>
    <x v="0"/>
    <n v="2"/>
  </r>
  <r>
    <n v="2"/>
    <d v="2020-01-07T00:00:00"/>
    <x v="1"/>
    <n v="835.87699999999984"/>
    <n v="817.79599999999994"/>
    <x v="1"/>
    <x v="1"/>
    <x v="0"/>
    <n v="2"/>
  </r>
  <r>
    <n v="2"/>
    <d v="2020-01-08T00:00:00"/>
    <x v="0"/>
    <n v="1194.8999999999999"/>
    <n v="1725.7380000000001"/>
    <x v="1"/>
    <x v="1"/>
    <x v="0"/>
    <n v="2"/>
  </r>
  <r>
    <n v="2"/>
    <d v="2020-01-08T00:00:00"/>
    <x v="2"/>
    <n v="399.57400000000001"/>
    <n v="205.40799999999999"/>
    <x v="1"/>
    <x v="1"/>
    <x v="0"/>
    <n v="2"/>
  </r>
  <r>
    <n v="2"/>
    <d v="2020-01-08T00:00:00"/>
    <x v="1"/>
    <n v="1078.924"/>
    <n v="710.22699999999998"/>
    <x v="1"/>
    <x v="1"/>
    <x v="0"/>
    <n v="2"/>
  </r>
  <r>
    <n v="2"/>
    <d v="2020-01-08T00:00:00"/>
    <x v="3"/>
    <n v="0"/>
    <n v="130.07399999999998"/>
    <x v="1"/>
    <x v="1"/>
    <x v="0"/>
    <n v="2"/>
  </r>
  <r>
    <n v="2"/>
    <d v="2020-01-09T00:00:00"/>
    <x v="0"/>
    <n v="1765.7009999999998"/>
    <n v="1897.5949999999998"/>
    <x v="1"/>
    <x v="1"/>
    <x v="0"/>
    <n v="2"/>
  </r>
  <r>
    <n v="2"/>
    <d v="2020-01-09T00:00:00"/>
    <x v="2"/>
    <n v="452.05999999999995"/>
    <n v="353.54899999999998"/>
    <x v="1"/>
    <x v="1"/>
    <x v="0"/>
    <n v="2"/>
  </r>
  <r>
    <n v="2"/>
    <d v="2020-01-09T00:00:00"/>
    <x v="3"/>
    <n v="0"/>
    <n v="0"/>
    <x v="1"/>
    <x v="1"/>
    <x v="0"/>
    <n v="2"/>
  </r>
  <r>
    <n v="2"/>
    <d v="2020-01-09T00:00:00"/>
    <x v="1"/>
    <n v="1000.433"/>
    <n v="850.89899999999989"/>
    <x v="1"/>
    <x v="1"/>
    <x v="0"/>
    <n v="2"/>
  </r>
  <r>
    <n v="2"/>
    <d v="2020-01-10T00:00:00"/>
    <x v="0"/>
    <n v="2484.7199999999998"/>
    <n v="2610.3839999999996"/>
    <x v="1"/>
    <x v="1"/>
    <x v="0"/>
    <n v="2"/>
  </r>
  <r>
    <n v="2"/>
    <d v="2020-01-10T00:00:00"/>
    <x v="2"/>
    <n v="419.37700000000001"/>
    <n v="224.96599999999998"/>
    <x v="1"/>
    <x v="1"/>
    <x v="0"/>
    <n v="2"/>
  </r>
  <r>
    <n v="2"/>
    <d v="2020-01-10T00:00:00"/>
    <x v="3"/>
    <n v="0"/>
    <n v="317.33799999999997"/>
    <x v="1"/>
    <x v="1"/>
    <x v="0"/>
    <n v="2"/>
  </r>
  <r>
    <n v="2"/>
    <d v="2020-01-10T00:00:00"/>
    <x v="1"/>
    <n v="1733.6410000000001"/>
    <n v="1025.8009999999999"/>
    <x v="1"/>
    <x v="1"/>
    <x v="0"/>
    <n v="2"/>
  </r>
  <r>
    <n v="2"/>
    <d v="2020-01-11T00:00:00"/>
    <x v="2"/>
    <n v="688.38699999999994"/>
    <n v="383.85899999999998"/>
    <x v="1"/>
    <x v="1"/>
    <x v="0"/>
    <n v="2"/>
  </r>
  <r>
    <n v="2"/>
    <d v="2020-01-11T00:00:00"/>
    <x v="0"/>
    <n v="1882.8879999999999"/>
    <n v="2484.0830000000001"/>
    <x v="1"/>
    <x v="1"/>
    <x v="0"/>
    <n v="2"/>
  </r>
  <r>
    <n v="2"/>
    <d v="2020-01-11T00:00:00"/>
    <x v="3"/>
    <n v="0"/>
    <n v="36.344000000000001"/>
    <x v="1"/>
    <x v="1"/>
    <x v="0"/>
    <n v="2"/>
  </r>
  <r>
    <n v="2"/>
    <d v="2020-01-11T00:00:00"/>
    <x v="1"/>
    <n v="1125.5160000000001"/>
    <n v="1135.6029999999998"/>
    <x v="1"/>
    <x v="1"/>
    <x v="0"/>
    <n v="2"/>
  </r>
  <r>
    <n v="2"/>
    <d v="2020-01-12T00:00:00"/>
    <x v="3"/>
    <n v="17.297000000000001"/>
    <n v="0"/>
    <x v="1"/>
    <x v="1"/>
    <x v="0"/>
    <n v="2"/>
  </r>
  <r>
    <n v="2"/>
    <d v="2020-01-12T00:00:00"/>
    <x v="0"/>
    <n v="876.56099999999992"/>
    <n v="1077.1669999999999"/>
    <x v="1"/>
    <x v="1"/>
    <x v="0"/>
    <n v="2"/>
  </r>
  <r>
    <n v="2"/>
    <d v="2020-01-12T00:00:00"/>
    <x v="2"/>
    <n v="299.99199999999996"/>
    <n v="105.64399999999999"/>
    <x v="1"/>
    <x v="1"/>
    <x v="0"/>
    <n v="2"/>
  </r>
  <r>
    <n v="2"/>
    <d v="2020-01-12T00:00:00"/>
    <x v="1"/>
    <n v="648.67599999999993"/>
    <n v="592.52199999999993"/>
    <x v="1"/>
    <x v="1"/>
    <x v="0"/>
    <n v="2"/>
  </r>
  <r>
    <n v="2"/>
    <d v="2020-01-13T00:00:00"/>
    <x v="3"/>
    <n v="422.37299999999999"/>
    <n v="113.95299999999999"/>
    <x v="1"/>
    <x v="1"/>
    <x v="0"/>
    <n v="3"/>
  </r>
  <r>
    <n v="2"/>
    <d v="2020-01-13T00:00:00"/>
    <x v="0"/>
    <n v="1361.3389999999999"/>
    <n v="1411.837"/>
    <x v="1"/>
    <x v="1"/>
    <x v="0"/>
    <n v="3"/>
  </r>
  <r>
    <n v="2"/>
    <d v="2020-01-13T00:00:00"/>
    <x v="2"/>
    <n v="294.154"/>
    <n v="353.017"/>
    <x v="1"/>
    <x v="1"/>
    <x v="0"/>
    <n v="3"/>
  </r>
  <r>
    <n v="2"/>
    <d v="2020-01-13T00:00:00"/>
    <x v="1"/>
    <n v="948.59100000000001"/>
    <n v="760.89299999999992"/>
    <x v="1"/>
    <x v="1"/>
    <x v="0"/>
    <n v="3"/>
  </r>
  <r>
    <n v="2"/>
    <d v="2020-01-14T00:00:00"/>
    <x v="1"/>
    <n v="1048.894"/>
    <n v="753.12300000000005"/>
    <x v="1"/>
    <x v="1"/>
    <x v="0"/>
    <n v="3"/>
  </r>
  <r>
    <n v="2"/>
    <d v="2020-01-14T00:00:00"/>
    <x v="3"/>
    <n v="0"/>
    <n v="0"/>
    <x v="1"/>
    <x v="1"/>
    <x v="0"/>
    <n v="3"/>
  </r>
  <r>
    <n v="2"/>
    <d v="2020-01-14T00:00:00"/>
    <x v="2"/>
    <n v="340.51499999999999"/>
    <n v="427.51799999999997"/>
    <x v="1"/>
    <x v="1"/>
    <x v="0"/>
    <n v="3"/>
  </r>
  <r>
    <n v="2"/>
    <d v="2020-01-14T00:00:00"/>
    <x v="0"/>
    <n v="1695.0289999999998"/>
    <n v="1627.9969999999998"/>
    <x v="1"/>
    <x v="1"/>
    <x v="0"/>
    <n v="3"/>
  </r>
  <r>
    <n v="2"/>
    <d v="2020-01-15T00:00:00"/>
    <x v="0"/>
    <n v="1294.9019999999998"/>
    <n v="1680.9939999999999"/>
    <x v="1"/>
    <x v="1"/>
    <x v="0"/>
    <n v="3"/>
  </r>
  <r>
    <n v="2"/>
    <d v="2020-01-15T00:00:00"/>
    <x v="1"/>
    <n v="817.90099999999995"/>
    <n v="736.30199999999991"/>
    <x v="1"/>
    <x v="1"/>
    <x v="0"/>
    <n v="3"/>
  </r>
  <r>
    <n v="2"/>
    <d v="2020-01-15T00:00:00"/>
    <x v="2"/>
    <n v="363.202"/>
    <n v="374.416"/>
    <x v="1"/>
    <x v="1"/>
    <x v="0"/>
    <n v="3"/>
  </r>
  <r>
    <n v="2"/>
    <d v="2020-01-15T00:00:00"/>
    <x v="3"/>
    <n v="442.36500000000001"/>
    <n v="0"/>
    <x v="1"/>
    <x v="1"/>
    <x v="0"/>
    <n v="3"/>
  </r>
  <r>
    <n v="2"/>
    <d v="2020-01-16T00:00:00"/>
    <x v="0"/>
    <n v="1725.7449999999999"/>
    <n v="1420.944"/>
    <x v="1"/>
    <x v="1"/>
    <x v="0"/>
    <n v="3"/>
  </r>
  <r>
    <n v="2"/>
    <d v="2020-01-16T00:00:00"/>
    <x v="2"/>
    <n v="531.46100000000001"/>
    <n v="332.53499999999997"/>
    <x v="1"/>
    <x v="1"/>
    <x v="0"/>
    <n v="3"/>
  </r>
  <r>
    <n v="2"/>
    <d v="2020-01-16T00:00:00"/>
    <x v="1"/>
    <n v="1215.5709999999999"/>
    <n v="1082.172"/>
    <x v="1"/>
    <x v="1"/>
    <x v="0"/>
    <n v="3"/>
  </r>
  <r>
    <n v="2"/>
    <d v="2020-01-16T00:00:00"/>
    <x v="3"/>
    <n v="442.36500000000001"/>
    <n v="28.671999999999997"/>
    <x v="1"/>
    <x v="1"/>
    <x v="0"/>
    <n v="3"/>
  </r>
  <r>
    <n v="2"/>
    <d v="2020-01-17T00:00:00"/>
    <x v="0"/>
    <n v="2467.3249999999998"/>
    <n v="2378.6419999999998"/>
    <x v="1"/>
    <x v="1"/>
    <x v="0"/>
    <n v="3"/>
  </r>
  <r>
    <n v="2"/>
    <d v="2020-01-17T00:00:00"/>
    <x v="3"/>
    <n v="0"/>
    <n v="231.56"/>
    <x v="1"/>
    <x v="1"/>
    <x v="0"/>
    <n v="3"/>
  </r>
  <r>
    <n v="2"/>
    <d v="2020-01-17T00:00:00"/>
    <x v="2"/>
    <n v="648.01099999999997"/>
    <n v="182.74199999999999"/>
    <x v="1"/>
    <x v="1"/>
    <x v="0"/>
    <n v="3"/>
  </r>
  <r>
    <n v="2"/>
    <d v="2020-01-17T00:00:00"/>
    <x v="1"/>
    <n v="1567.4189999999999"/>
    <n v="1188.229"/>
    <x v="1"/>
    <x v="1"/>
    <x v="0"/>
    <n v="3"/>
  </r>
  <r>
    <n v="2"/>
    <d v="2020-01-18T00:00:00"/>
    <x v="2"/>
    <n v="533.26699999999994"/>
    <n v="486.21299999999997"/>
    <x v="1"/>
    <x v="1"/>
    <x v="0"/>
    <n v="3"/>
  </r>
  <r>
    <n v="2"/>
    <d v="2020-01-18T00:00:00"/>
    <x v="1"/>
    <n v="838.35500000000002"/>
    <n v="998.96999999999991"/>
    <x v="1"/>
    <x v="1"/>
    <x v="0"/>
    <n v="3"/>
  </r>
  <r>
    <n v="2"/>
    <d v="2020-01-18T00:00:00"/>
    <x v="0"/>
    <n v="1805.6779999999999"/>
    <n v="2238.922"/>
    <x v="1"/>
    <x v="1"/>
    <x v="0"/>
    <n v="3"/>
  </r>
  <r>
    <n v="2"/>
    <d v="2020-01-18T00:00:00"/>
    <x v="3"/>
    <n v="280.59499999999997"/>
    <n v="0"/>
    <x v="1"/>
    <x v="1"/>
    <x v="0"/>
    <n v="3"/>
  </r>
  <r>
    <n v="2"/>
    <d v="2020-01-19T00:00:00"/>
    <x v="0"/>
    <n v="1046.4649999999999"/>
    <n v="1166.011"/>
    <x v="1"/>
    <x v="1"/>
    <x v="0"/>
    <n v="3"/>
  </r>
  <r>
    <n v="2"/>
    <d v="2020-01-19T00:00:00"/>
    <x v="2"/>
    <n v="393.48399999999998"/>
    <n v="227.703"/>
    <x v="1"/>
    <x v="1"/>
    <x v="0"/>
    <n v="3"/>
  </r>
  <r>
    <n v="2"/>
    <d v="2020-01-19T00:00:00"/>
    <x v="1"/>
    <n v="686.68599999999992"/>
    <n v="443.50600000000003"/>
    <x v="1"/>
    <x v="1"/>
    <x v="0"/>
    <n v="3"/>
  </r>
  <r>
    <n v="2"/>
    <d v="2020-01-19T00:00:00"/>
    <x v="3"/>
    <n v="0"/>
    <n v="0"/>
    <x v="1"/>
    <x v="1"/>
    <x v="0"/>
    <n v="3"/>
  </r>
  <r>
    <n v="2"/>
    <d v="2020-01-20T00:00:00"/>
    <x v="2"/>
    <n v="476.81899999999996"/>
    <n v="237.57299999999998"/>
    <x v="1"/>
    <x v="1"/>
    <x v="0"/>
    <n v="4"/>
  </r>
  <r>
    <n v="2"/>
    <d v="2020-01-20T00:00:00"/>
    <x v="0"/>
    <n v="1468.8029999999999"/>
    <n v="1357.5029999999999"/>
    <x v="1"/>
    <x v="1"/>
    <x v="0"/>
    <n v="4"/>
  </r>
  <r>
    <n v="2"/>
    <d v="2020-01-20T00:00:00"/>
    <x v="1"/>
    <n v="1113.133"/>
    <n v="784.07699999999988"/>
    <x v="1"/>
    <x v="1"/>
    <x v="0"/>
    <n v="4"/>
  </r>
  <r>
    <n v="2"/>
    <d v="2020-01-20T00:00:00"/>
    <x v="3"/>
    <n v="0"/>
    <n v="0"/>
    <x v="1"/>
    <x v="1"/>
    <x v="0"/>
    <n v="4"/>
  </r>
  <r>
    <n v="2"/>
    <d v="2020-01-21T00:00:00"/>
    <x v="0"/>
    <n v="1513.799"/>
    <n v="1646.1339999999998"/>
    <x v="1"/>
    <x v="1"/>
    <x v="0"/>
    <n v="4"/>
  </r>
  <r>
    <n v="2"/>
    <d v="2020-01-21T00:00:00"/>
    <x v="2"/>
    <n v="272.15300000000002"/>
    <n v="318.68899999999996"/>
    <x v="1"/>
    <x v="1"/>
    <x v="0"/>
    <n v="4"/>
  </r>
  <r>
    <n v="2"/>
    <d v="2020-01-21T00:00:00"/>
    <x v="1"/>
    <n v="1056.3419999999999"/>
    <n v="909.73399999999981"/>
    <x v="1"/>
    <x v="1"/>
    <x v="0"/>
    <n v="4"/>
  </r>
  <r>
    <n v="2"/>
    <d v="2020-01-21T00:00:00"/>
    <x v="3"/>
    <n v="96.515999999999991"/>
    <n v="115.39499999999998"/>
    <x v="1"/>
    <x v="1"/>
    <x v="0"/>
    <n v="4"/>
  </r>
  <r>
    <n v="2"/>
    <d v="2020-01-22T00:00:00"/>
    <x v="3"/>
    <n v="174.85999999999999"/>
    <n v="0"/>
    <x v="1"/>
    <x v="1"/>
    <x v="0"/>
    <n v="4"/>
  </r>
  <r>
    <n v="2"/>
    <d v="2020-01-22T00:00:00"/>
    <x v="2"/>
    <n v="454.48199999999997"/>
    <n v="273.42"/>
    <x v="1"/>
    <x v="1"/>
    <x v="0"/>
    <n v="4"/>
  </r>
  <r>
    <n v="2"/>
    <d v="2020-01-22T00:00:00"/>
    <x v="0"/>
    <n v="1463.6999999999998"/>
    <n v="1727.3339999999998"/>
    <x v="1"/>
    <x v="1"/>
    <x v="0"/>
    <n v="4"/>
  </r>
  <r>
    <n v="2"/>
    <d v="2020-01-22T00:00:00"/>
    <x v="1"/>
    <n v="856.82799999999997"/>
    <n v="625.02299999999991"/>
    <x v="1"/>
    <x v="1"/>
    <x v="0"/>
    <n v="4"/>
  </r>
  <r>
    <n v="2"/>
    <d v="2020-01-23T00:00:00"/>
    <x v="2"/>
    <n v="526.79899999999998"/>
    <n v="284.25599999999997"/>
    <x v="1"/>
    <x v="1"/>
    <x v="0"/>
    <n v="4"/>
  </r>
  <r>
    <n v="2"/>
    <d v="2020-01-23T00:00:00"/>
    <x v="0"/>
    <n v="1867.3479999999997"/>
    <n v="2041.0669999999998"/>
    <x v="1"/>
    <x v="1"/>
    <x v="0"/>
    <n v="4"/>
  </r>
  <r>
    <n v="2"/>
    <d v="2020-01-23T00:00:00"/>
    <x v="1"/>
    <n v="1139.3409999999999"/>
    <n v="928.65499999999997"/>
    <x v="1"/>
    <x v="1"/>
    <x v="0"/>
    <n v="4"/>
  </r>
  <r>
    <n v="2"/>
    <d v="2020-01-23T00:00:00"/>
    <x v="3"/>
    <n v="0"/>
    <n v="153.85999999999999"/>
    <x v="1"/>
    <x v="1"/>
    <x v="0"/>
    <n v="4"/>
  </r>
  <r>
    <n v="2"/>
    <d v="2020-01-24T00:00:00"/>
    <x v="0"/>
    <n v="2611.3289999999997"/>
    <n v="2346.8409999999999"/>
    <x v="1"/>
    <x v="1"/>
    <x v="0"/>
    <n v="4"/>
  </r>
  <r>
    <n v="2"/>
    <d v="2020-01-24T00:00:00"/>
    <x v="1"/>
    <n v="1590.9109999999998"/>
    <n v="1217.2929999999999"/>
    <x v="1"/>
    <x v="1"/>
    <x v="0"/>
    <n v="4"/>
  </r>
  <r>
    <n v="2"/>
    <d v="2020-01-24T00:00:00"/>
    <x v="3"/>
    <n v="15.658999999999999"/>
    <n v="0"/>
    <x v="1"/>
    <x v="1"/>
    <x v="0"/>
    <n v="4"/>
  </r>
  <r>
    <n v="2"/>
    <d v="2020-01-24T00:00:00"/>
    <x v="2"/>
    <n v="523.31999999999994"/>
    <n v="412.23699999999997"/>
    <x v="1"/>
    <x v="1"/>
    <x v="0"/>
    <n v="4"/>
  </r>
  <r>
    <n v="2"/>
    <d v="2020-01-25T00:00:00"/>
    <x v="0"/>
    <n v="1978.8789999999997"/>
    <n v="2000.6419999999998"/>
    <x v="1"/>
    <x v="1"/>
    <x v="0"/>
    <n v="4"/>
  </r>
  <r>
    <n v="2"/>
    <d v="2020-01-25T00:00:00"/>
    <x v="3"/>
    <n v="0"/>
    <n v="69.384"/>
    <x v="1"/>
    <x v="1"/>
    <x v="0"/>
    <n v="4"/>
  </r>
  <r>
    <n v="2"/>
    <d v="2020-01-25T00:00:00"/>
    <x v="2"/>
    <n v="422.83499999999992"/>
    <n v="445.19299999999998"/>
    <x v="1"/>
    <x v="1"/>
    <x v="0"/>
    <n v="4"/>
  </r>
  <r>
    <n v="2"/>
    <d v="2020-01-25T00:00:00"/>
    <x v="1"/>
    <n v="1011.4160000000001"/>
    <n v="1044.106"/>
    <x v="1"/>
    <x v="1"/>
    <x v="0"/>
    <n v="4"/>
  </r>
  <r>
    <n v="2"/>
    <d v="2020-01-26T00:00:00"/>
    <x v="2"/>
    <n v="374.11500000000001"/>
    <n v="357.86099999999999"/>
    <x v="1"/>
    <x v="1"/>
    <x v="0"/>
    <n v="4"/>
  </r>
  <r>
    <n v="2"/>
    <d v="2020-01-26T00:00:00"/>
    <x v="3"/>
    <n v="236.79599999999996"/>
    <n v="173.43199999999999"/>
    <x v="1"/>
    <x v="1"/>
    <x v="0"/>
    <n v="4"/>
  </r>
  <r>
    <n v="2"/>
    <d v="2020-01-26T00:00:00"/>
    <x v="0"/>
    <n v="1062.4110000000001"/>
    <n v="968.8"/>
    <x v="1"/>
    <x v="1"/>
    <x v="0"/>
    <n v="4"/>
  </r>
  <r>
    <n v="2"/>
    <d v="2020-01-26T00:00:00"/>
    <x v="1"/>
    <n v="762.55899999999986"/>
    <n v="613.50800000000004"/>
    <x v="1"/>
    <x v="1"/>
    <x v="0"/>
    <n v="4"/>
  </r>
  <r>
    <n v="2"/>
    <d v="2020-01-27T00:00:00"/>
    <x v="2"/>
    <n v="445.94199999999995"/>
    <n v="166.761"/>
    <x v="1"/>
    <x v="1"/>
    <x v="1"/>
    <n v="1"/>
  </r>
  <r>
    <n v="2"/>
    <d v="2020-01-27T00:00:00"/>
    <x v="0"/>
    <n v="1201.2769999999998"/>
    <n v="1475.271"/>
    <x v="1"/>
    <x v="1"/>
    <x v="1"/>
    <n v="1"/>
  </r>
  <r>
    <n v="2"/>
    <d v="2020-01-27T00:00:00"/>
    <x v="1"/>
    <n v="1014.0199999999999"/>
    <n v="750.09199999999987"/>
    <x v="1"/>
    <x v="1"/>
    <x v="1"/>
    <n v="1"/>
  </r>
  <r>
    <n v="2"/>
    <d v="2020-01-27T00:00:00"/>
    <x v="3"/>
    <n v="0"/>
    <n v="0"/>
    <x v="1"/>
    <x v="1"/>
    <x v="1"/>
    <n v="1"/>
  </r>
  <r>
    <n v="2"/>
    <d v="2020-01-28T00:00:00"/>
    <x v="2"/>
    <n v="426.81799999999998"/>
    <n v="338.95400000000001"/>
    <x v="1"/>
    <x v="1"/>
    <x v="1"/>
    <n v="1"/>
  </r>
  <r>
    <n v="2"/>
    <d v="2020-01-28T00:00:00"/>
    <x v="0"/>
    <n v="1689.7159999999999"/>
    <n v="1781.0869999999998"/>
    <x v="1"/>
    <x v="1"/>
    <x v="1"/>
    <n v="1"/>
  </r>
  <r>
    <n v="2"/>
    <d v="2020-01-28T00:00:00"/>
    <x v="3"/>
    <n v="132.71299999999999"/>
    <n v="0"/>
    <x v="1"/>
    <x v="1"/>
    <x v="1"/>
    <n v="1"/>
  </r>
  <r>
    <n v="2"/>
    <d v="2020-01-28T00:00:00"/>
    <x v="1"/>
    <n v="1111.5089999999998"/>
    <n v="838.572"/>
    <x v="1"/>
    <x v="1"/>
    <x v="1"/>
    <n v="1"/>
  </r>
  <r>
    <n v="2"/>
    <d v="2020-01-29T00:00:00"/>
    <x v="1"/>
    <n v="1050.7"/>
    <n v="896.97299999999996"/>
    <x v="1"/>
    <x v="1"/>
    <x v="1"/>
    <n v="1"/>
  </r>
  <r>
    <n v="2"/>
    <d v="2020-01-29T00:00:00"/>
    <x v="0"/>
    <n v="1620.5279999999998"/>
    <n v="1445.941"/>
    <x v="1"/>
    <x v="1"/>
    <x v="1"/>
    <n v="1"/>
  </r>
  <r>
    <n v="2"/>
    <d v="2020-01-29T00:00:00"/>
    <x v="2"/>
    <n v="375.64099999999996"/>
    <n v="388.17799999999994"/>
    <x v="1"/>
    <x v="1"/>
    <x v="1"/>
    <n v="1"/>
  </r>
  <r>
    <n v="2"/>
    <d v="2020-01-29T00:00:00"/>
    <x v="3"/>
    <n v="304.53499999999997"/>
    <n v="0"/>
    <x v="1"/>
    <x v="1"/>
    <x v="1"/>
    <n v="1"/>
  </r>
  <r>
    <n v="2"/>
    <d v="2020-01-30T00:00:00"/>
    <x v="1"/>
    <n v="1165.1709999999998"/>
    <n v="884.0089999999999"/>
    <x v="1"/>
    <x v="1"/>
    <x v="1"/>
    <n v="1"/>
  </r>
  <r>
    <n v="2"/>
    <d v="2020-01-30T00:00:00"/>
    <x v="3"/>
    <n v="353.892"/>
    <n v="0"/>
    <x v="1"/>
    <x v="1"/>
    <x v="1"/>
    <n v="1"/>
  </r>
  <r>
    <n v="2"/>
    <d v="2020-01-30T00:00:00"/>
    <x v="2"/>
    <n v="471.94"/>
    <n v="302.834"/>
    <x v="1"/>
    <x v="1"/>
    <x v="1"/>
    <n v="1"/>
  </r>
  <r>
    <n v="2"/>
    <d v="2020-01-30T00:00:00"/>
    <x v="0"/>
    <n v="1646.3019999999999"/>
    <n v="2028.502"/>
    <x v="1"/>
    <x v="1"/>
    <x v="1"/>
    <n v="1"/>
  </r>
  <r>
    <n v="2"/>
    <d v="2020-01-31T00:00:00"/>
    <x v="1"/>
    <n v="1017.0019999999998"/>
    <n v="1137.8429999999998"/>
    <x v="1"/>
    <x v="1"/>
    <x v="1"/>
    <n v="1"/>
  </r>
  <r>
    <n v="2"/>
    <d v="2020-01-31T00:00:00"/>
    <x v="0"/>
    <n v="1946.1189999999999"/>
    <n v="2148.7759999999998"/>
    <x v="1"/>
    <x v="1"/>
    <x v="1"/>
    <n v="1"/>
  </r>
  <r>
    <n v="2"/>
    <d v="2020-01-31T00:00:00"/>
    <x v="2"/>
    <n v="693.49"/>
    <n v="505.988"/>
    <x v="1"/>
    <x v="1"/>
    <x v="1"/>
    <n v="1"/>
  </r>
  <r>
    <n v="2"/>
    <d v="2020-01-31T00:00:00"/>
    <x v="3"/>
    <n v="543.51499999999999"/>
    <n v="0"/>
    <x v="1"/>
    <x v="1"/>
    <x v="1"/>
    <n v="1"/>
  </r>
  <r>
    <n v="2"/>
    <d v="2020-02-01T00:00:00"/>
    <x v="3"/>
    <n v="194.642"/>
    <n v="0"/>
    <x v="1"/>
    <x v="1"/>
    <x v="1"/>
    <n v="1"/>
  </r>
  <r>
    <n v="2"/>
    <d v="2020-02-01T00:00:00"/>
    <x v="2"/>
    <n v="413.79799999999994"/>
    <n v="319.137"/>
    <x v="1"/>
    <x v="1"/>
    <x v="1"/>
    <n v="1"/>
  </r>
  <r>
    <n v="2"/>
    <d v="2020-02-01T00:00:00"/>
    <x v="0"/>
    <n v="2093.4690000000001"/>
    <n v="2295.538"/>
    <x v="1"/>
    <x v="1"/>
    <x v="1"/>
    <n v="1"/>
  </r>
  <r>
    <n v="2"/>
    <d v="2020-02-01T00:00:00"/>
    <x v="1"/>
    <n v="1351.7559999999999"/>
    <n v="866.92200000000003"/>
    <x v="1"/>
    <x v="1"/>
    <x v="1"/>
    <n v="1"/>
  </r>
  <r>
    <n v="2"/>
    <d v="2020-02-02T00:00:00"/>
    <x v="3"/>
    <n v="0"/>
    <n v="0"/>
    <x v="1"/>
    <x v="1"/>
    <x v="1"/>
    <n v="1"/>
  </r>
  <r>
    <n v="2"/>
    <d v="2020-02-02T00:00:00"/>
    <x v="0"/>
    <n v="1009.4209999999999"/>
    <n v="705.1099999999999"/>
    <x v="1"/>
    <x v="1"/>
    <x v="1"/>
    <n v="1"/>
  </r>
  <r>
    <n v="2"/>
    <d v="2020-02-02T00:00:00"/>
    <x v="1"/>
    <n v="603.51899999999989"/>
    <n v="487.19299999999998"/>
    <x v="1"/>
    <x v="1"/>
    <x v="1"/>
    <n v="1"/>
  </r>
  <r>
    <n v="2"/>
    <d v="2020-02-02T00:00:00"/>
    <x v="2"/>
    <n v="477.995"/>
    <n v="167.97899999999998"/>
    <x v="1"/>
    <x v="1"/>
    <x v="1"/>
    <n v="1"/>
  </r>
  <r>
    <n v="2"/>
    <d v="2020-02-03T00:00:00"/>
    <x v="0"/>
    <n v="970.28399999999988"/>
    <n v="1287.125"/>
    <x v="1"/>
    <x v="1"/>
    <x v="1"/>
    <n v="2"/>
  </r>
  <r>
    <n v="2"/>
    <d v="2020-02-03T00:00:00"/>
    <x v="2"/>
    <n v="417.08100000000002"/>
    <n v="110.922"/>
    <x v="1"/>
    <x v="1"/>
    <x v="1"/>
    <n v="2"/>
  </r>
  <r>
    <n v="2"/>
    <d v="2020-02-03T00:00:00"/>
    <x v="1"/>
    <n v="721.67200000000003"/>
    <n v="827.09199999999987"/>
    <x v="1"/>
    <x v="1"/>
    <x v="1"/>
    <n v="2"/>
  </r>
  <r>
    <n v="2"/>
    <d v="2020-02-03T00:00:00"/>
    <x v="3"/>
    <n v="442.36500000000001"/>
    <n v="0"/>
    <x v="1"/>
    <x v="1"/>
    <x v="1"/>
    <n v="2"/>
  </r>
  <r>
    <n v="2"/>
    <d v="2020-02-04T00:00:00"/>
    <x v="0"/>
    <n v="1805.482"/>
    <n v="1811.0399999999997"/>
    <x v="1"/>
    <x v="1"/>
    <x v="1"/>
    <n v="2"/>
  </r>
  <r>
    <n v="2"/>
    <d v="2020-02-04T00:00:00"/>
    <x v="2"/>
    <n v="373.96799999999996"/>
    <n v="428.904"/>
    <x v="1"/>
    <x v="1"/>
    <x v="1"/>
    <n v="2"/>
  </r>
  <r>
    <n v="2"/>
    <d v="2020-02-04T00:00:00"/>
    <x v="3"/>
    <n v="0"/>
    <n v="0"/>
    <x v="1"/>
    <x v="1"/>
    <x v="1"/>
    <n v="2"/>
  </r>
  <r>
    <n v="2"/>
    <d v="2020-02-04T00:00:00"/>
    <x v="1"/>
    <n v="1150.373"/>
    <n v="938.95899999999983"/>
    <x v="1"/>
    <x v="1"/>
    <x v="1"/>
    <n v="2"/>
  </r>
  <r>
    <n v="2"/>
    <d v="2020-02-05T00:00:00"/>
    <x v="3"/>
    <n v="354.59899999999999"/>
    <n v="0"/>
    <x v="1"/>
    <x v="1"/>
    <x v="1"/>
    <n v="2"/>
  </r>
  <r>
    <n v="2"/>
    <d v="2020-02-05T00:00:00"/>
    <x v="2"/>
    <n v="364.077"/>
    <n v="256.214"/>
    <x v="1"/>
    <x v="1"/>
    <x v="1"/>
    <n v="2"/>
  </r>
  <r>
    <n v="2"/>
    <d v="2020-02-05T00:00:00"/>
    <x v="0"/>
    <n v="1402.3029999999999"/>
    <n v="1519.7559999999999"/>
    <x v="1"/>
    <x v="1"/>
    <x v="1"/>
    <n v="2"/>
  </r>
  <r>
    <n v="2"/>
    <d v="2020-02-05T00:00:00"/>
    <x v="1"/>
    <n v="1358.9870000000001"/>
    <n v="777.09100000000001"/>
    <x v="1"/>
    <x v="1"/>
    <x v="1"/>
    <n v="2"/>
  </r>
  <r>
    <n v="2"/>
    <d v="2020-02-06T00:00:00"/>
    <x v="2"/>
    <n v="291.57099999999997"/>
    <n v="138.71899999999999"/>
    <x v="1"/>
    <x v="1"/>
    <x v="1"/>
    <n v="2"/>
  </r>
  <r>
    <n v="2"/>
    <d v="2020-02-06T00:00:00"/>
    <x v="0"/>
    <n v="1632.1969999999999"/>
    <n v="1717.191"/>
    <x v="1"/>
    <x v="1"/>
    <x v="1"/>
    <n v="2"/>
  </r>
  <r>
    <n v="2"/>
    <d v="2020-02-06T00:00:00"/>
    <x v="3"/>
    <n v="0"/>
    <n v="0"/>
    <x v="1"/>
    <x v="1"/>
    <x v="1"/>
    <n v="2"/>
  </r>
  <r>
    <n v="2"/>
    <d v="2020-02-06T00:00:00"/>
    <x v="1"/>
    <n v="1043.1959999999999"/>
    <n v="1002.197"/>
    <x v="1"/>
    <x v="1"/>
    <x v="1"/>
    <n v="2"/>
  </r>
  <r>
    <n v="2"/>
    <d v="2020-02-07T00:00:00"/>
    <x v="0"/>
    <n v="2399.25"/>
    <n v="2220.0009999999997"/>
    <x v="1"/>
    <x v="1"/>
    <x v="1"/>
    <n v="2"/>
  </r>
  <r>
    <n v="2"/>
    <d v="2020-02-07T00:00:00"/>
    <x v="2"/>
    <n v="478.11399999999998"/>
    <n v="399.952"/>
    <x v="1"/>
    <x v="1"/>
    <x v="1"/>
    <n v="2"/>
  </r>
  <r>
    <n v="2"/>
    <d v="2020-02-07T00:00:00"/>
    <x v="3"/>
    <n v="221.179"/>
    <n v="0"/>
    <x v="1"/>
    <x v="1"/>
    <x v="1"/>
    <n v="2"/>
  </r>
  <r>
    <n v="2"/>
    <d v="2020-02-07T00:00:00"/>
    <x v="1"/>
    <n v="1454.9009999999998"/>
    <n v="1336.5169999999998"/>
    <x v="1"/>
    <x v="1"/>
    <x v="1"/>
    <n v="2"/>
  </r>
  <r>
    <n v="2"/>
    <d v="2020-02-08T00:00:00"/>
    <x v="0"/>
    <n v="2131.2759999999998"/>
    <n v="1783.9149999999997"/>
    <x v="1"/>
    <x v="1"/>
    <x v="1"/>
    <n v="2"/>
  </r>
  <r>
    <n v="2"/>
    <d v="2020-02-08T00:00:00"/>
    <x v="3"/>
    <n v="69.16"/>
    <n v="184.63199999999998"/>
    <x v="1"/>
    <x v="1"/>
    <x v="1"/>
    <n v="2"/>
  </r>
  <r>
    <n v="2"/>
    <d v="2020-02-08T00:00:00"/>
    <x v="2"/>
    <n v="299.47399999999999"/>
    <n v="422.21199999999993"/>
    <x v="1"/>
    <x v="1"/>
    <x v="1"/>
    <n v="2"/>
  </r>
  <r>
    <n v="2"/>
    <d v="2020-02-08T00:00:00"/>
    <x v="1"/>
    <n v="1038.7649999999999"/>
    <n v="850.95500000000004"/>
    <x v="1"/>
    <x v="1"/>
    <x v="1"/>
    <n v="2"/>
  </r>
  <r>
    <n v="2"/>
    <d v="2020-02-09T00:00:00"/>
    <x v="0"/>
    <n v="1234.982"/>
    <n v="1148.6019999999999"/>
    <x v="1"/>
    <x v="1"/>
    <x v="1"/>
    <n v="2"/>
  </r>
  <r>
    <n v="2"/>
    <d v="2020-02-09T00:00:00"/>
    <x v="2"/>
    <n v="329.13299999999998"/>
    <n v="112.44799999999998"/>
    <x v="1"/>
    <x v="1"/>
    <x v="1"/>
    <n v="2"/>
  </r>
  <r>
    <n v="2"/>
    <d v="2020-02-09T00:00:00"/>
    <x v="3"/>
    <n v="0"/>
    <n v="0"/>
    <x v="1"/>
    <x v="1"/>
    <x v="1"/>
    <n v="2"/>
  </r>
  <r>
    <n v="2"/>
    <d v="2020-02-09T00:00:00"/>
    <x v="1"/>
    <n v="761.49499999999989"/>
    <n v="536.78099999999995"/>
    <x v="1"/>
    <x v="1"/>
    <x v="1"/>
    <n v="2"/>
  </r>
  <r>
    <n v="2"/>
    <d v="2020-02-10T00:00:00"/>
    <x v="0"/>
    <n v="1252.23"/>
    <n v="1441.8039999999999"/>
    <x v="1"/>
    <x v="1"/>
    <x v="1"/>
    <n v="3"/>
  </r>
  <r>
    <n v="2"/>
    <d v="2020-02-10T00:00:00"/>
    <x v="3"/>
    <n v="0"/>
    <n v="338.13499999999999"/>
    <x v="1"/>
    <x v="1"/>
    <x v="1"/>
    <n v="3"/>
  </r>
  <r>
    <n v="2"/>
    <d v="2020-02-10T00:00:00"/>
    <x v="1"/>
    <n v="1051.9739999999999"/>
    <n v="692.32799999999997"/>
    <x v="1"/>
    <x v="1"/>
    <x v="1"/>
    <n v="3"/>
  </r>
  <r>
    <n v="2"/>
    <d v="2020-02-10T00:00:00"/>
    <x v="2"/>
    <n v="206.43700000000001"/>
    <n v="111.69899999999998"/>
    <x v="1"/>
    <x v="1"/>
    <x v="1"/>
    <n v="3"/>
  </r>
  <r>
    <n v="2"/>
    <d v="2020-02-11T00:00:00"/>
    <x v="0"/>
    <n v="1907.5419999999999"/>
    <n v="1848.721"/>
    <x v="1"/>
    <x v="1"/>
    <x v="1"/>
    <n v="3"/>
  </r>
  <r>
    <n v="2"/>
    <d v="2020-02-11T00:00:00"/>
    <x v="2"/>
    <n v="432.59299999999996"/>
    <n v="446.74"/>
    <x v="1"/>
    <x v="1"/>
    <x v="1"/>
    <n v="3"/>
  </r>
  <r>
    <n v="2"/>
    <d v="2020-02-11T00:00:00"/>
    <x v="3"/>
    <n v="138.87299999999999"/>
    <n v="0"/>
    <x v="1"/>
    <x v="1"/>
    <x v="1"/>
    <n v="3"/>
  </r>
  <r>
    <n v="2"/>
    <d v="2020-02-11T00:00:00"/>
    <x v="1"/>
    <n v="1270.9969999999998"/>
    <n v="826.70699999999999"/>
    <x v="1"/>
    <x v="1"/>
    <x v="1"/>
    <n v="3"/>
  </r>
  <r>
    <n v="2"/>
    <d v="2020-02-12T00:00:00"/>
    <x v="2"/>
    <n v="268.45"/>
    <n v="190.61699999999999"/>
    <x v="1"/>
    <x v="1"/>
    <x v="1"/>
    <n v="3"/>
  </r>
  <r>
    <n v="2"/>
    <d v="2020-02-12T00:00:00"/>
    <x v="0"/>
    <n v="1792.1959999999999"/>
    <n v="1624.952"/>
    <x v="1"/>
    <x v="1"/>
    <x v="1"/>
    <n v="3"/>
  </r>
  <r>
    <n v="2"/>
    <d v="2020-02-12T00:00:00"/>
    <x v="3"/>
    <n v="0"/>
    <n v="199.11499999999998"/>
    <x v="1"/>
    <x v="1"/>
    <x v="1"/>
    <n v="3"/>
  </r>
  <r>
    <n v="2"/>
    <d v="2020-02-12T00:00:00"/>
    <x v="1"/>
    <n v="1060.143"/>
    <n v="981.35799999999995"/>
    <x v="1"/>
    <x v="1"/>
    <x v="1"/>
    <n v="3"/>
  </r>
  <r>
    <n v="2"/>
    <d v="2020-02-13T00:00:00"/>
    <x v="2"/>
    <n v="548.40099999999995"/>
    <n v="583.89799999999991"/>
    <x v="1"/>
    <x v="1"/>
    <x v="1"/>
    <n v="3"/>
  </r>
  <r>
    <n v="2"/>
    <d v="2020-02-13T00:00:00"/>
    <x v="0"/>
    <n v="1659.0070000000001"/>
    <n v="2240.1189999999997"/>
    <x v="1"/>
    <x v="1"/>
    <x v="1"/>
    <n v="3"/>
  </r>
  <r>
    <n v="2"/>
    <d v="2020-02-13T00:00:00"/>
    <x v="1"/>
    <n v="1156.5119999999999"/>
    <n v="1633.982"/>
    <x v="1"/>
    <x v="1"/>
    <x v="1"/>
    <n v="3"/>
  </r>
  <r>
    <n v="2"/>
    <d v="2020-02-13T00:00:00"/>
    <x v="3"/>
    <n v="241.00299999999999"/>
    <n v="437.745"/>
    <x v="1"/>
    <x v="1"/>
    <x v="1"/>
    <n v="3"/>
  </r>
  <r>
    <n v="2"/>
    <d v="2020-02-14T00:00:00"/>
    <x v="1"/>
    <n v="1216.4669999999999"/>
    <n v="1158.444"/>
    <x v="1"/>
    <x v="1"/>
    <x v="1"/>
    <n v="3"/>
  </r>
  <r>
    <n v="2"/>
    <d v="2020-02-14T00:00:00"/>
    <x v="0"/>
    <n v="3406.7249999999999"/>
    <n v="2084.922"/>
    <x v="1"/>
    <x v="1"/>
    <x v="1"/>
    <n v="3"/>
  </r>
  <r>
    <n v="2"/>
    <d v="2020-02-14T00:00:00"/>
    <x v="2"/>
    <n v="354.83699999999999"/>
    <n v="499.74399999999991"/>
    <x v="1"/>
    <x v="1"/>
    <x v="1"/>
    <n v="3"/>
  </r>
  <r>
    <n v="2"/>
    <d v="2020-02-14T00:00:00"/>
    <x v="3"/>
    <n v="228.31899999999999"/>
    <n v="0"/>
    <x v="1"/>
    <x v="1"/>
    <x v="1"/>
    <n v="3"/>
  </r>
  <r>
    <n v="2"/>
    <d v="2020-02-15T00:00:00"/>
    <x v="2"/>
    <n v="697.30499999999995"/>
    <n v="311.60499999999996"/>
    <x v="1"/>
    <x v="1"/>
    <x v="1"/>
    <n v="3"/>
  </r>
  <r>
    <n v="2"/>
    <d v="2020-02-15T00:00:00"/>
    <x v="0"/>
    <n v="2351.335"/>
    <n v="1851.1569999999999"/>
    <x v="1"/>
    <x v="1"/>
    <x v="1"/>
    <n v="3"/>
  </r>
  <r>
    <n v="2"/>
    <d v="2020-02-15T00:00:00"/>
    <x v="1"/>
    <n v="1243.3119999999999"/>
    <n v="1063.2370000000001"/>
    <x v="1"/>
    <x v="1"/>
    <x v="1"/>
    <n v="3"/>
  </r>
  <r>
    <n v="2"/>
    <d v="2020-02-15T00:00:00"/>
    <x v="3"/>
    <n v="0"/>
    <n v="0"/>
    <x v="1"/>
    <x v="1"/>
    <x v="1"/>
    <n v="3"/>
  </r>
  <r>
    <n v="2"/>
    <d v="2020-02-16T00:00:00"/>
    <x v="3"/>
    <n v="0"/>
    <n v="0"/>
    <x v="1"/>
    <x v="1"/>
    <x v="1"/>
    <n v="3"/>
  </r>
  <r>
    <n v="2"/>
    <d v="2020-02-16T00:00:00"/>
    <x v="0"/>
    <n v="1265.873"/>
    <n v="848.35799999999995"/>
    <x v="1"/>
    <x v="1"/>
    <x v="1"/>
    <n v="3"/>
  </r>
  <r>
    <n v="2"/>
    <d v="2020-02-16T00:00:00"/>
    <x v="2"/>
    <n v="457.93299999999999"/>
    <n v="78.308999999999997"/>
    <x v="1"/>
    <x v="1"/>
    <x v="1"/>
    <n v="3"/>
  </r>
  <r>
    <n v="2"/>
    <d v="2020-02-16T00:00:00"/>
    <x v="1"/>
    <n v="659.12"/>
    <n v="533.17599999999993"/>
    <x v="1"/>
    <x v="1"/>
    <x v="1"/>
    <n v="3"/>
  </r>
  <r>
    <n v="2"/>
    <d v="2020-02-17T00:00:00"/>
    <x v="2"/>
    <n v="442.77099999999996"/>
    <n v="281.22499999999997"/>
    <x v="1"/>
    <x v="1"/>
    <x v="1"/>
    <n v="4"/>
  </r>
  <r>
    <n v="2"/>
    <d v="2020-02-17T00:00:00"/>
    <x v="1"/>
    <n v="926.41499999999996"/>
    <n v="870.68799999999987"/>
    <x v="1"/>
    <x v="1"/>
    <x v="1"/>
    <n v="4"/>
  </r>
  <r>
    <n v="2"/>
    <d v="2020-02-17T00:00:00"/>
    <x v="0"/>
    <n v="1838.8929999999998"/>
    <n v="1655.297"/>
    <x v="1"/>
    <x v="1"/>
    <x v="1"/>
    <n v="4"/>
  </r>
  <r>
    <n v="2"/>
    <d v="2020-02-17T00:00:00"/>
    <x v="3"/>
    <n v="0"/>
    <n v="0"/>
    <x v="1"/>
    <x v="1"/>
    <x v="1"/>
    <n v="4"/>
  </r>
  <r>
    <n v="2"/>
    <d v="2020-02-18T00:00:00"/>
    <x v="0"/>
    <n v="1853.1309999999999"/>
    <n v="1584.31"/>
    <x v="1"/>
    <x v="1"/>
    <x v="1"/>
    <n v="4"/>
  </r>
  <r>
    <n v="2"/>
    <d v="2020-02-18T00:00:00"/>
    <x v="2"/>
    <n v="496.67099999999994"/>
    <n v="354.858"/>
    <x v="1"/>
    <x v="1"/>
    <x v="1"/>
    <n v="4"/>
  </r>
  <r>
    <n v="2"/>
    <d v="2020-02-18T00:00:00"/>
    <x v="3"/>
    <n v="417.73199999999997"/>
    <n v="187.71200000000002"/>
    <x v="1"/>
    <x v="1"/>
    <x v="1"/>
    <n v="4"/>
  </r>
  <r>
    <n v="2"/>
    <d v="2020-02-18T00:00:00"/>
    <x v="1"/>
    <n v="1197.9169999999999"/>
    <n v="908.96399999999994"/>
    <x v="1"/>
    <x v="1"/>
    <x v="1"/>
    <n v="4"/>
  </r>
  <r>
    <n v="2"/>
    <d v="2020-02-19T00:00:00"/>
    <x v="2"/>
    <n v="396.74599999999998"/>
    <n v="303.84899999999999"/>
    <x v="1"/>
    <x v="1"/>
    <x v="1"/>
    <n v="4"/>
  </r>
  <r>
    <n v="2"/>
    <d v="2020-02-19T00:00:00"/>
    <x v="0"/>
    <n v="1507.0229999999999"/>
    <n v="2151.6109999999999"/>
    <x v="1"/>
    <x v="1"/>
    <x v="1"/>
    <n v="4"/>
  </r>
  <r>
    <n v="2"/>
    <d v="2020-02-19T00:00:00"/>
    <x v="3"/>
    <n v="95.739000000000004"/>
    <n v="217.13299999999998"/>
    <x v="1"/>
    <x v="1"/>
    <x v="1"/>
    <n v="4"/>
  </r>
  <r>
    <n v="2"/>
    <d v="2020-02-19T00:00:00"/>
    <x v="1"/>
    <n v="980.39199999999994"/>
    <n v="1015.154"/>
    <x v="1"/>
    <x v="1"/>
    <x v="1"/>
    <n v="4"/>
  </r>
  <r>
    <n v="2"/>
    <d v="2020-02-20T00:00:00"/>
    <x v="3"/>
    <n v="0"/>
    <n v="0"/>
    <x v="1"/>
    <x v="1"/>
    <x v="1"/>
    <n v="4"/>
  </r>
  <r>
    <n v="2"/>
    <d v="2020-02-20T00:00:00"/>
    <x v="2"/>
    <n v="578.90699999999993"/>
    <n v="241.88499999999999"/>
    <x v="1"/>
    <x v="1"/>
    <x v="1"/>
    <n v="4"/>
  </r>
  <r>
    <n v="2"/>
    <d v="2020-02-20T00:00:00"/>
    <x v="0"/>
    <n v="1739.1919999999998"/>
    <n v="1618.5329999999999"/>
    <x v="1"/>
    <x v="1"/>
    <x v="1"/>
    <n v="4"/>
  </r>
  <r>
    <n v="2"/>
    <d v="2020-02-20T00:00:00"/>
    <x v="1"/>
    <n v="1309.518"/>
    <n v="1177.498"/>
    <x v="1"/>
    <x v="1"/>
    <x v="1"/>
    <n v="4"/>
  </r>
  <r>
    <n v="2"/>
    <d v="2020-02-21T00:00:00"/>
    <x v="2"/>
    <n v="637.57399999999996"/>
    <n v="464.82799999999992"/>
    <x v="1"/>
    <x v="1"/>
    <x v="1"/>
    <n v="4"/>
  </r>
  <r>
    <n v="2"/>
    <d v="2020-02-21T00:00:00"/>
    <x v="0"/>
    <n v="2097.7249999999999"/>
    <n v="2718.31"/>
    <x v="1"/>
    <x v="1"/>
    <x v="1"/>
    <n v="4"/>
  </r>
  <r>
    <n v="2"/>
    <d v="2020-02-21T00:00:00"/>
    <x v="3"/>
    <n v="0"/>
    <n v="0"/>
    <x v="1"/>
    <x v="1"/>
    <x v="1"/>
    <n v="4"/>
  </r>
  <r>
    <n v="2"/>
    <d v="2020-02-21T00:00:00"/>
    <x v="1"/>
    <n v="1483.3489999999999"/>
    <n v="1461.586"/>
    <x v="1"/>
    <x v="1"/>
    <x v="1"/>
    <n v="4"/>
  </r>
  <r>
    <n v="2"/>
    <d v="2020-02-22T00:00:00"/>
    <x v="2"/>
    <n v="768.78899999999999"/>
    <n v="164.82899999999998"/>
    <x v="1"/>
    <x v="1"/>
    <x v="1"/>
    <n v="4"/>
  </r>
  <r>
    <n v="2"/>
    <d v="2020-02-22T00:00:00"/>
    <x v="0"/>
    <n v="2156.672"/>
    <n v="2188.7529999999997"/>
    <x v="1"/>
    <x v="1"/>
    <x v="1"/>
    <n v="4"/>
  </r>
  <r>
    <n v="2"/>
    <d v="2020-02-22T00:00:00"/>
    <x v="1"/>
    <n v="1402.961"/>
    <n v="863.42899999999997"/>
    <x v="1"/>
    <x v="1"/>
    <x v="1"/>
    <n v="4"/>
  </r>
  <r>
    <n v="2"/>
    <d v="2020-02-22T00:00:00"/>
    <x v="3"/>
    <n v="0"/>
    <n v="468.447"/>
    <x v="1"/>
    <x v="1"/>
    <x v="1"/>
    <n v="4"/>
  </r>
  <r>
    <n v="2"/>
    <d v="2020-02-23T00:00:00"/>
    <x v="3"/>
    <n v="16.785999999999998"/>
    <n v="0"/>
    <x v="1"/>
    <x v="1"/>
    <x v="1"/>
    <n v="4"/>
  </r>
  <r>
    <n v="2"/>
    <d v="2020-02-23T00:00:00"/>
    <x v="0"/>
    <n v="1027.3339999999998"/>
    <n v="1529.808"/>
    <x v="1"/>
    <x v="1"/>
    <x v="1"/>
    <n v="4"/>
  </r>
  <r>
    <n v="2"/>
    <d v="2020-02-23T00:00:00"/>
    <x v="2"/>
    <n v="360.96899999999994"/>
    <n v="302.96699999999998"/>
    <x v="1"/>
    <x v="1"/>
    <x v="1"/>
    <n v="4"/>
  </r>
  <r>
    <n v="2"/>
    <d v="2020-02-23T00:00:00"/>
    <x v="1"/>
    <n v="975.06499999999994"/>
    <n v="785.63099999999986"/>
    <x v="1"/>
    <x v="1"/>
    <x v="1"/>
    <n v="4"/>
  </r>
  <r>
    <n v="2"/>
    <d v="2020-02-24T00:00:00"/>
    <x v="0"/>
    <n v="1523.9349999999999"/>
    <n v="1522.1079999999999"/>
    <x v="1"/>
    <x v="1"/>
    <x v="2"/>
    <n v="1"/>
  </r>
  <r>
    <n v="2"/>
    <d v="2020-02-24T00:00:00"/>
    <x v="2"/>
    <n v="399.16800000000001"/>
    <n v="136.24099999999999"/>
    <x v="1"/>
    <x v="1"/>
    <x v="2"/>
    <n v="1"/>
  </r>
  <r>
    <n v="2"/>
    <d v="2020-02-24T00:00:00"/>
    <x v="3"/>
    <n v="0"/>
    <n v="0"/>
    <x v="1"/>
    <x v="1"/>
    <x v="2"/>
    <n v="1"/>
  </r>
  <r>
    <n v="2"/>
    <d v="2020-02-24T00:00:00"/>
    <x v="1"/>
    <n v="1148.9029999999998"/>
    <n v="789.13099999999986"/>
    <x v="1"/>
    <x v="1"/>
    <x v="2"/>
    <n v="1"/>
  </r>
  <r>
    <n v="2"/>
    <d v="2020-02-25T00:00:00"/>
    <x v="1"/>
    <n v="1296.4069999999999"/>
    <n v="1267.6299999999999"/>
    <x v="1"/>
    <x v="1"/>
    <x v="2"/>
    <n v="1"/>
  </r>
  <r>
    <n v="2"/>
    <d v="2020-02-25T00:00:00"/>
    <x v="0"/>
    <n v="1697.6960000000001"/>
    <n v="1701.5740000000001"/>
    <x v="1"/>
    <x v="1"/>
    <x v="2"/>
    <n v="1"/>
  </r>
  <r>
    <n v="2"/>
    <d v="2020-02-25T00:00:00"/>
    <x v="3"/>
    <n v="217.637"/>
    <n v="0"/>
    <x v="1"/>
    <x v="1"/>
    <x v="2"/>
    <n v="1"/>
  </r>
  <r>
    <n v="2"/>
    <d v="2020-02-25T00:00:00"/>
    <x v="2"/>
    <n v="462.28699999999992"/>
    <n v="292.97800000000001"/>
    <x v="1"/>
    <x v="1"/>
    <x v="2"/>
    <n v="1"/>
  </r>
  <r>
    <n v="2"/>
    <d v="2020-02-26T00:00:00"/>
    <x v="3"/>
    <n v="24.073"/>
    <n v="169.24599999999998"/>
    <x v="1"/>
    <x v="1"/>
    <x v="2"/>
    <n v="1"/>
  </r>
  <r>
    <n v="2"/>
    <d v="2020-02-26T00:00:00"/>
    <x v="0"/>
    <n v="1507.7159999999999"/>
    <n v="1548.2669999999998"/>
    <x v="1"/>
    <x v="1"/>
    <x v="2"/>
    <n v="1"/>
  </r>
  <r>
    <n v="2"/>
    <d v="2020-02-26T00:00:00"/>
    <x v="2"/>
    <n v="320.93599999999998"/>
    <n v="383.488"/>
    <x v="1"/>
    <x v="1"/>
    <x v="2"/>
    <n v="1"/>
  </r>
  <r>
    <n v="2"/>
    <d v="2020-02-26T00:00:00"/>
    <x v="1"/>
    <n v="1358.0349999999999"/>
    <n v="812.86099999999999"/>
    <x v="1"/>
    <x v="1"/>
    <x v="2"/>
    <n v="1"/>
  </r>
  <r>
    <n v="2"/>
    <d v="2020-02-27T00:00:00"/>
    <x v="0"/>
    <n v="1491.8609999999999"/>
    <n v="1558.144"/>
    <x v="1"/>
    <x v="1"/>
    <x v="2"/>
    <n v="1"/>
  </r>
  <r>
    <n v="2"/>
    <d v="2020-02-27T00:00:00"/>
    <x v="2"/>
    <n v="420.53199999999998"/>
    <n v="396.65499999999997"/>
    <x v="1"/>
    <x v="1"/>
    <x v="2"/>
    <n v="1"/>
  </r>
  <r>
    <n v="2"/>
    <d v="2020-02-27T00:00:00"/>
    <x v="3"/>
    <n v="0"/>
    <n v="0"/>
    <x v="1"/>
    <x v="1"/>
    <x v="2"/>
    <n v="1"/>
  </r>
  <r>
    <n v="2"/>
    <d v="2020-02-27T00:00:00"/>
    <x v="1"/>
    <n v="1186.7589999999998"/>
    <n v="1031.366"/>
    <x v="1"/>
    <x v="1"/>
    <x v="2"/>
    <n v="1"/>
  </r>
  <r>
    <n v="2"/>
    <d v="2020-02-28T00:00:00"/>
    <x v="2"/>
    <n v="565.12400000000002"/>
    <n v="628.89399999999989"/>
    <x v="1"/>
    <x v="1"/>
    <x v="2"/>
    <n v="1"/>
  </r>
  <r>
    <n v="2"/>
    <d v="2020-02-28T00:00:00"/>
    <x v="1"/>
    <n v="1369.1510000000001"/>
    <n v="1332.9189999999999"/>
    <x v="1"/>
    <x v="1"/>
    <x v="2"/>
    <n v="1"/>
  </r>
  <r>
    <n v="2"/>
    <d v="2020-02-28T00:00:00"/>
    <x v="0"/>
    <n v="2437.2949999999996"/>
    <n v="2566.5429999999997"/>
    <x v="1"/>
    <x v="1"/>
    <x v="2"/>
    <n v="1"/>
  </r>
  <r>
    <n v="2"/>
    <d v="2020-02-28T00:00:00"/>
    <x v="3"/>
    <n v="0"/>
    <n v="0"/>
    <x v="1"/>
    <x v="1"/>
    <x v="2"/>
    <n v="1"/>
  </r>
  <r>
    <n v="2"/>
    <d v="2020-02-29T00:00:00"/>
    <x v="0"/>
    <n v="2434.5649999999996"/>
    <n v="1989.5609999999999"/>
    <x v="1"/>
    <x v="1"/>
    <x v="2"/>
    <n v="1"/>
  </r>
  <r>
    <n v="2"/>
    <d v="2020-02-29T00:00:00"/>
    <x v="2"/>
    <n v="647.10099999999989"/>
    <n v="308.161"/>
    <x v="1"/>
    <x v="1"/>
    <x v="2"/>
    <n v="1"/>
  </r>
  <r>
    <n v="2"/>
    <d v="2020-02-29T00:00:00"/>
    <x v="1"/>
    <n v="1505.3149999999998"/>
    <n v="987.06299999999987"/>
    <x v="1"/>
    <x v="1"/>
    <x v="2"/>
    <n v="1"/>
  </r>
  <r>
    <n v="2"/>
    <d v="2020-02-29T00:00:00"/>
    <x v="3"/>
    <n v="342.74099999999999"/>
    <n v="0"/>
    <x v="1"/>
    <x v="1"/>
    <x v="2"/>
    <n v="1"/>
  </r>
  <r>
    <n v="2"/>
    <d v="2020-03-01T00:00:00"/>
    <x v="1"/>
    <n v="831.88700000000006"/>
    <n v="759.9129999999999"/>
    <x v="1"/>
    <x v="1"/>
    <x v="2"/>
    <n v="1"/>
  </r>
  <r>
    <n v="2"/>
    <d v="2020-03-01T00:00:00"/>
    <x v="2"/>
    <n v="315.73500000000001"/>
    <n v="286.39799999999997"/>
    <x v="1"/>
    <x v="1"/>
    <x v="2"/>
    <n v="1"/>
  </r>
  <r>
    <n v="2"/>
    <d v="2020-03-01T00:00:00"/>
    <x v="3"/>
    <n v="0"/>
    <n v="0"/>
    <x v="1"/>
    <x v="1"/>
    <x v="2"/>
    <n v="1"/>
  </r>
  <r>
    <n v="2"/>
    <d v="2020-03-01T00:00:00"/>
    <x v="0"/>
    <n v="1067.0449999999998"/>
    <n v="1153.0260000000001"/>
    <x v="1"/>
    <x v="1"/>
    <x v="2"/>
    <n v="1"/>
  </r>
  <r>
    <n v="2"/>
    <d v="2020-03-02T00:00:00"/>
    <x v="2"/>
    <n v="436.779"/>
    <n v="213.59799999999998"/>
    <x v="1"/>
    <x v="1"/>
    <x v="2"/>
    <n v="2"/>
  </r>
  <r>
    <n v="2"/>
    <d v="2020-03-02T00:00:00"/>
    <x v="0"/>
    <n v="1883.3009999999997"/>
    <n v="1323.0769999999998"/>
    <x v="1"/>
    <x v="1"/>
    <x v="2"/>
    <n v="2"/>
  </r>
  <r>
    <n v="2"/>
    <d v="2020-03-02T00:00:00"/>
    <x v="1"/>
    <n v="951.48899999999992"/>
    <n v="864.03099999999995"/>
    <x v="1"/>
    <x v="1"/>
    <x v="2"/>
    <n v="2"/>
  </r>
  <r>
    <n v="2"/>
    <d v="2020-03-02T00:00:00"/>
    <x v="3"/>
    <n v="172.809"/>
    <n v="0"/>
    <x v="1"/>
    <x v="1"/>
    <x v="2"/>
    <n v="2"/>
  </r>
  <r>
    <n v="2"/>
    <d v="2020-03-03T00:00:00"/>
    <x v="3"/>
    <n v="0"/>
    <n v="153.46099999999998"/>
    <x v="1"/>
    <x v="1"/>
    <x v="2"/>
    <n v="2"/>
  </r>
  <r>
    <n v="2"/>
    <d v="2020-03-03T00:00:00"/>
    <x v="0"/>
    <n v="2041.7460000000001"/>
    <n v="1792.1259999999997"/>
    <x v="1"/>
    <x v="1"/>
    <x v="2"/>
    <n v="2"/>
  </r>
  <r>
    <n v="2"/>
    <d v="2020-03-03T00:00:00"/>
    <x v="2"/>
    <n v="543.15099999999995"/>
    <n v="288.267"/>
    <x v="1"/>
    <x v="1"/>
    <x v="2"/>
    <n v="2"/>
  </r>
  <r>
    <n v="2"/>
    <d v="2020-03-03T00:00:00"/>
    <x v="1"/>
    <n v="1491.98"/>
    <n v="1007.23"/>
    <x v="1"/>
    <x v="1"/>
    <x v="2"/>
    <n v="2"/>
  </r>
  <r>
    <n v="2"/>
    <d v="2020-03-04T00:00:00"/>
    <x v="2"/>
    <n v="399.01399999999995"/>
    <n v="207.96299999999997"/>
    <x v="1"/>
    <x v="1"/>
    <x v="2"/>
    <n v="2"/>
  </r>
  <r>
    <n v="2"/>
    <d v="2020-03-04T00:00:00"/>
    <x v="0"/>
    <n v="1642.3399999999997"/>
    <n v="1674.414"/>
    <x v="1"/>
    <x v="1"/>
    <x v="2"/>
    <n v="2"/>
  </r>
  <r>
    <n v="2"/>
    <d v="2020-03-04T00:00:00"/>
    <x v="1"/>
    <n v="973.8889999999999"/>
    <n v="841.18299999999999"/>
    <x v="1"/>
    <x v="1"/>
    <x v="2"/>
    <n v="2"/>
  </r>
  <r>
    <n v="2"/>
    <d v="2020-03-04T00:00:00"/>
    <x v="3"/>
    <n v="0"/>
    <n v="0"/>
    <x v="1"/>
    <x v="1"/>
    <x v="2"/>
    <n v="2"/>
  </r>
  <r>
    <n v="2"/>
    <d v="2020-03-05T00:00:00"/>
    <x v="0"/>
    <n v="2045.8689999999999"/>
    <n v="2116.6179999999999"/>
    <x v="1"/>
    <x v="1"/>
    <x v="2"/>
    <n v="2"/>
  </r>
  <r>
    <n v="2"/>
    <d v="2020-03-05T00:00:00"/>
    <x v="1"/>
    <n v="1371.0550000000001"/>
    <n v="1261.9669999999999"/>
    <x v="1"/>
    <x v="1"/>
    <x v="2"/>
    <n v="2"/>
  </r>
  <r>
    <n v="2"/>
    <d v="2020-03-05T00:00:00"/>
    <x v="2"/>
    <n v="387.00899999999996"/>
    <n v="404.92899999999997"/>
    <x v="1"/>
    <x v="1"/>
    <x v="2"/>
    <n v="2"/>
  </r>
  <r>
    <n v="2"/>
    <d v="2020-03-05T00:00:00"/>
    <x v="3"/>
    <n v="249.14400000000001"/>
    <n v="507.738"/>
    <x v="1"/>
    <x v="1"/>
    <x v="2"/>
    <n v="2"/>
  </r>
  <r>
    <n v="2"/>
    <d v="2020-03-06T00:00:00"/>
    <x v="0"/>
    <n v="2067.3380000000002"/>
    <n v="2493.4490000000001"/>
    <x v="1"/>
    <x v="1"/>
    <x v="2"/>
    <n v="2"/>
  </r>
  <r>
    <n v="2"/>
    <d v="2020-03-06T00:00:00"/>
    <x v="2"/>
    <n v="661.08699999999999"/>
    <n v="418.14499999999998"/>
    <x v="1"/>
    <x v="1"/>
    <x v="2"/>
    <n v="2"/>
  </r>
  <r>
    <n v="2"/>
    <d v="2020-03-06T00:00:00"/>
    <x v="3"/>
    <n v="0"/>
    <n v="0"/>
    <x v="1"/>
    <x v="1"/>
    <x v="2"/>
    <n v="2"/>
  </r>
  <r>
    <n v="2"/>
    <d v="2020-03-06T00:00:00"/>
    <x v="1"/>
    <n v="1150.8629999999998"/>
    <n v="1261.8899999999999"/>
    <x v="1"/>
    <x v="1"/>
    <x v="2"/>
    <n v="2"/>
  </r>
  <r>
    <n v="2"/>
    <d v="2020-03-07T00:00:00"/>
    <x v="2"/>
    <n v="665.30099999999993"/>
    <n v="401.49199999999996"/>
    <x v="1"/>
    <x v="1"/>
    <x v="2"/>
    <n v="2"/>
  </r>
  <r>
    <n v="2"/>
    <d v="2020-03-07T00:00:00"/>
    <x v="0"/>
    <n v="1707.5309999999999"/>
    <n v="1917.7479999999998"/>
    <x v="1"/>
    <x v="1"/>
    <x v="2"/>
    <n v="2"/>
  </r>
  <r>
    <n v="2"/>
    <d v="2020-03-07T00:00:00"/>
    <x v="3"/>
    <n v="0"/>
    <n v="0"/>
    <x v="1"/>
    <x v="1"/>
    <x v="2"/>
    <n v="2"/>
  </r>
  <r>
    <n v="2"/>
    <d v="2020-03-07T00:00:00"/>
    <x v="1"/>
    <n v="1447.8729999999998"/>
    <n v="1064.252"/>
    <x v="1"/>
    <x v="1"/>
    <x v="2"/>
    <n v="2"/>
  </r>
  <r>
    <n v="2"/>
    <d v="2020-03-08T00:00:00"/>
    <x v="0"/>
    <n v="1123.9549999999999"/>
    <n v="1207.297"/>
    <x v="1"/>
    <x v="1"/>
    <x v="2"/>
    <n v="2"/>
  </r>
  <r>
    <n v="2"/>
    <d v="2020-03-08T00:00:00"/>
    <x v="2"/>
    <n v="537.2639999999999"/>
    <n v="359.09299999999996"/>
    <x v="1"/>
    <x v="1"/>
    <x v="2"/>
    <n v="2"/>
  </r>
  <r>
    <n v="2"/>
    <d v="2020-03-08T00:00:00"/>
    <x v="3"/>
    <n v="0"/>
    <n v="0"/>
    <x v="1"/>
    <x v="1"/>
    <x v="2"/>
    <n v="2"/>
  </r>
  <r>
    <n v="2"/>
    <d v="2020-03-08T00:00:00"/>
    <x v="1"/>
    <n v="888.8599999999999"/>
    <n v="804.923"/>
    <x v="1"/>
    <x v="1"/>
    <x v="2"/>
    <n v="2"/>
  </r>
  <r>
    <n v="2"/>
    <d v="2020-03-09T00:00:00"/>
    <x v="0"/>
    <n v="1428.9939999999999"/>
    <n v="1652.8539999999998"/>
    <x v="1"/>
    <x v="1"/>
    <x v="2"/>
    <n v="3"/>
  </r>
  <r>
    <n v="2"/>
    <d v="2020-03-09T00:00:00"/>
    <x v="3"/>
    <n v="329.65100000000001"/>
    <n v="191.56899999999999"/>
    <x v="1"/>
    <x v="1"/>
    <x v="2"/>
    <n v="3"/>
  </r>
  <r>
    <n v="2"/>
    <d v="2020-03-09T00:00:00"/>
    <x v="2"/>
    <n v="528.81500000000005"/>
    <n v="128.39399999999998"/>
    <x v="1"/>
    <x v="1"/>
    <x v="2"/>
    <n v="3"/>
  </r>
  <r>
    <n v="2"/>
    <d v="2020-03-09T00:00:00"/>
    <x v="1"/>
    <n v="836.85699999999997"/>
    <n v="772.61099999999999"/>
    <x v="1"/>
    <x v="1"/>
    <x v="2"/>
    <n v="3"/>
  </r>
  <r>
    <n v="2"/>
    <d v="2020-03-10T00:00:00"/>
    <x v="1"/>
    <n v="1317.0919999999999"/>
    <n v="1023.05"/>
    <x v="1"/>
    <x v="1"/>
    <x v="2"/>
    <n v="3"/>
  </r>
  <r>
    <n v="2"/>
    <d v="2020-03-10T00:00:00"/>
    <x v="2"/>
    <n v="545.83199999999999"/>
    <n v="232.34399999999999"/>
    <x v="1"/>
    <x v="1"/>
    <x v="2"/>
    <n v="3"/>
  </r>
  <r>
    <n v="2"/>
    <d v="2020-03-10T00:00:00"/>
    <x v="0"/>
    <n v="1639.008"/>
    <n v="1915.655"/>
    <x v="1"/>
    <x v="1"/>
    <x v="2"/>
    <n v="3"/>
  </r>
  <r>
    <n v="2"/>
    <d v="2020-03-10T00:00:00"/>
    <x v="3"/>
    <n v="104.916"/>
    <n v="135.39399999999998"/>
    <x v="1"/>
    <x v="1"/>
    <x v="2"/>
    <n v="3"/>
  </r>
  <r>
    <n v="2"/>
    <d v="2020-03-11T00:00:00"/>
    <x v="1"/>
    <n v="1093.001"/>
    <n v="936.12399999999991"/>
    <x v="1"/>
    <x v="1"/>
    <x v="2"/>
    <n v="3"/>
  </r>
  <r>
    <n v="2"/>
    <d v="2020-03-11T00:00:00"/>
    <x v="0"/>
    <n v="1465.03"/>
    <n v="1598.1699999999998"/>
    <x v="1"/>
    <x v="1"/>
    <x v="2"/>
    <n v="3"/>
  </r>
  <r>
    <n v="2"/>
    <d v="2020-03-11T00:00:00"/>
    <x v="3"/>
    <n v="0"/>
    <n v="0"/>
    <x v="1"/>
    <x v="1"/>
    <x v="2"/>
    <n v="3"/>
  </r>
  <r>
    <n v="2"/>
    <d v="2020-03-11T00:00:00"/>
    <x v="2"/>
    <n v="200.94899999999998"/>
    <n v="385.83300000000003"/>
    <x v="1"/>
    <x v="1"/>
    <x v="2"/>
    <n v="3"/>
  </r>
  <r>
    <n v="2"/>
    <d v="2020-03-12T00:00:00"/>
    <x v="2"/>
    <n v="455.66500000000002"/>
    <n v="254.27499999999998"/>
    <x v="1"/>
    <x v="1"/>
    <x v="2"/>
    <n v="3"/>
  </r>
  <r>
    <n v="2"/>
    <d v="2020-03-12T00:00:00"/>
    <x v="0"/>
    <n v="1767.9619999999998"/>
    <n v="1882.902"/>
    <x v="1"/>
    <x v="1"/>
    <x v="2"/>
    <n v="3"/>
  </r>
  <r>
    <n v="2"/>
    <d v="2020-03-12T00:00:00"/>
    <x v="3"/>
    <n v="176.946"/>
    <n v="0"/>
    <x v="1"/>
    <x v="1"/>
    <x v="2"/>
    <n v="3"/>
  </r>
  <r>
    <n v="2"/>
    <d v="2020-03-12T00:00:00"/>
    <x v="1"/>
    <n v="1228.1919999999998"/>
    <n v="1074.3879999999999"/>
    <x v="1"/>
    <x v="1"/>
    <x v="2"/>
    <n v="3"/>
  </r>
  <r>
    <n v="2"/>
    <d v="2020-03-13T00:00:00"/>
    <x v="1"/>
    <n v="1434.5449999999998"/>
    <n v="1357.0619999999999"/>
    <x v="1"/>
    <x v="1"/>
    <x v="2"/>
    <n v="3"/>
  </r>
  <r>
    <n v="2"/>
    <d v="2020-03-13T00:00:00"/>
    <x v="0"/>
    <n v="1828.0149999999996"/>
    <n v="2475.6059999999998"/>
    <x v="1"/>
    <x v="1"/>
    <x v="2"/>
    <n v="3"/>
  </r>
  <r>
    <n v="2"/>
    <d v="2020-03-13T00:00:00"/>
    <x v="3"/>
    <n v="0"/>
    <n v="0"/>
    <x v="1"/>
    <x v="1"/>
    <x v="2"/>
    <n v="3"/>
  </r>
  <r>
    <n v="2"/>
    <d v="2020-03-13T00:00:00"/>
    <x v="2"/>
    <n v="620.96299999999997"/>
    <n v="360.56299999999999"/>
    <x v="1"/>
    <x v="1"/>
    <x v="2"/>
    <n v="3"/>
  </r>
  <r>
    <n v="2"/>
    <d v="2020-03-14T00:00:00"/>
    <x v="3"/>
    <n v="0"/>
    <n v="163.64599999999999"/>
    <x v="1"/>
    <x v="1"/>
    <x v="2"/>
    <n v="3"/>
  </r>
  <r>
    <n v="2"/>
    <d v="2020-03-14T00:00:00"/>
    <x v="0"/>
    <n v="1649.4169999999999"/>
    <n v="2270.4919999999997"/>
    <x v="1"/>
    <x v="1"/>
    <x v="2"/>
    <n v="3"/>
  </r>
  <r>
    <n v="2"/>
    <d v="2020-03-14T00:00:00"/>
    <x v="2"/>
    <n v="739.34"/>
    <n v="258.38400000000001"/>
    <x v="1"/>
    <x v="1"/>
    <x v="2"/>
    <n v="3"/>
  </r>
  <r>
    <n v="2"/>
    <d v="2020-03-14T00:00:00"/>
    <x v="1"/>
    <n v="1283.2329999999999"/>
    <n v="1166.1299999999999"/>
    <x v="1"/>
    <x v="1"/>
    <x v="2"/>
    <n v="3"/>
  </r>
  <r>
    <n v="2"/>
    <d v="2020-03-15T00:00:00"/>
    <x v="2"/>
    <n v="178.70299999999997"/>
    <n v="82.914999999999992"/>
    <x v="1"/>
    <x v="1"/>
    <x v="2"/>
    <n v="3"/>
  </r>
  <r>
    <n v="2"/>
    <d v="2020-03-15T00:00:00"/>
    <x v="0"/>
    <n v="1314.3269999999998"/>
    <n v="1348.5989999999999"/>
    <x v="1"/>
    <x v="1"/>
    <x v="2"/>
    <n v="3"/>
  </r>
  <r>
    <n v="2"/>
    <d v="2020-03-15T00:00:00"/>
    <x v="3"/>
    <n v="188.727"/>
    <n v="38.359999999999992"/>
    <x v="1"/>
    <x v="1"/>
    <x v="2"/>
    <n v="3"/>
  </r>
  <r>
    <n v="2"/>
    <d v="2020-03-15T00:00:00"/>
    <x v="1"/>
    <n v="600.85199999999998"/>
    <n v="680.93899999999996"/>
    <x v="1"/>
    <x v="1"/>
    <x v="2"/>
    <n v="3"/>
  </r>
  <r>
    <n v="2"/>
    <d v="2020-03-16T00:00:00"/>
    <x v="2"/>
    <n v="436.42200000000003"/>
    <n v="174.88800000000001"/>
    <x v="1"/>
    <x v="1"/>
    <x v="2"/>
    <n v="4"/>
  </r>
  <r>
    <n v="2"/>
    <d v="2020-03-16T00:00:00"/>
    <x v="0"/>
    <n v="747.15199999999993"/>
    <n v="1238.4749999999999"/>
    <x v="1"/>
    <x v="1"/>
    <x v="2"/>
    <n v="4"/>
  </r>
  <r>
    <n v="2"/>
    <d v="2020-03-16T00:00:00"/>
    <x v="1"/>
    <n v="1035.3979999999999"/>
    <n v="897.47699999999986"/>
    <x v="1"/>
    <x v="1"/>
    <x v="2"/>
    <n v="4"/>
  </r>
  <r>
    <n v="2"/>
    <d v="2020-03-16T00:00:00"/>
    <x v="3"/>
    <n v="0"/>
    <n v="0"/>
    <x v="1"/>
    <x v="1"/>
    <x v="2"/>
    <n v="4"/>
  </r>
  <r>
    <n v="2"/>
    <d v="2020-03-17T00:00:00"/>
    <x v="0"/>
    <n v="-4.6899999999999995"/>
    <n v="1917.7549999999999"/>
    <x v="1"/>
    <x v="1"/>
    <x v="2"/>
    <n v="4"/>
  </r>
  <r>
    <n v="2"/>
    <d v="2020-03-17T00:00:00"/>
    <x v="2"/>
    <n v="617.8549999999999"/>
    <n v="656.10299999999995"/>
    <x v="1"/>
    <x v="1"/>
    <x v="2"/>
    <n v="4"/>
  </r>
  <r>
    <n v="2"/>
    <d v="2020-03-17T00:00:00"/>
    <x v="3"/>
    <n v="0"/>
    <n v="31.597999999999999"/>
    <x v="1"/>
    <x v="1"/>
    <x v="2"/>
    <n v="4"/>
  </r>
  <r>
    <n v="2"/>
    <d v="2020-03-17T00:00:00"/>
    <x v="1"/>
    <n v="1831.1999999999998"/>
    <n v="1032.08"/>
    <x v="1"/>
    <x v="1"/>
    <x v="2"/>
    <n v="4"/>
  </r>
  <r>
    <n v="2"/>
    <d v="2020-03-18T00:00:00"/>
    <x v="2"/>
    <n v="878.15699999999993"/>
    <n v="263.83"/>
    <x v="1"/>
    <x v="1"/>
    <x v="2"/>
    <n v="4"/>
  </r>
  <r>
    <n v="2"/>
    <d v="2020-03-18T00:00:00"/>
    <x v="3"/>
    <n v="249.22099999999998"/>
    <n v="211.56100000000001"/>
    <x v="1"/>
    <x v="1"/>
    <x v="2"/>
    <n v="4"/>
  </r>
  <r>
    <n v="2"/>
    <d v="2020-03-18T00:00:00"/>
    <x v="0"/>
    <n v="-6.9929999999999994"/>
    <n v="1473.7380000000001"/>
    <x v="1"/>
    <x v="1"/>
    <x v="2"/>
    <n v="4"/>
  </r>
  <r>
    <n v="2"/>
    <d v="2020-03-18T00:00:00"/>
    <x v="1"/>
    <n v="1561.21"/>
    <n v="964.48799999999983"/>
    <x v="1"/>
    <x v="1"/>
    <x v="2"/>
    <n v="4"/>
  </r>
  <r>
    <n v="2"/>
    <d v="2020-03-19T00:00:00"/>
    <x v="0"/>
    <n v="14.686"/>
    <n v="1644.16"/>
    <x v="1"/>
    <x v="1"/>
    <x v="2"/>
    <n v="4"/>
  </r>
  <r>
    <n v="2"/>
    <d v="2020-03-19T00:00:00"/>
    <x v="3"/>
    <n v="33.628"/>
    <n v="0"/>
    <x v="1"/>
    <x v="1"/>
    <x v="2"/>
    <n v="4"/>
  </r>
  <r>
    <n v="2"/>
    <d v="2020-03-19T00:00:00"/>
    <x v="2"/>
    <n v="1123.2619999999999"/>
    <n v="417.46599999999995"/>
    <x v="1"/>
    <x v="1"/>
    <x v="2"/>
    <n v="4"/>
  </r>
  <r>
    <n v="2"/>
    <d v="2020-03-19T00:00:00"/>
    <x v="1"/>
    <n v="1903.1949999999997"/>
    <n v="1045.3589999999999"/>
    <x v="1"/>
    <x v="1"/>
    <x v="2"/>
    <n v="4"/>
  </r>
  <r>
    <n v="2"/>
    <d v="2020-03-20T00:00:00"/>
    <x v="2"/>
    <n v="1019.06"/>
    <n v="502.60699999999997"/>
    <x v="1"/>
    <x v="1"/>
    <x v="2"/>
    <n v="4"/>
  </r>
  <r>
    <n v="2"/>
    <d v="2020-03-20T00:00:00"/>
    <x v="0"/>
    <n v="0.7"/>
    <n v="2041.3539999999998"/>
    <x v="1"/>
    <x v="1"/>
    <x v="2"/>
    <n v="4"/>
  </r>
  <r>
    <n v="2"/>
    <d v="2020-03-20T00:00:00"/>
    <x v="3"/>
    <n v="0"/>
    <n v="0"/>
    <x v="1"/>
    <x v="1"/>
    <x v="2"/>
    <n v="4"/>
  </r>
  <r>
    <n v="2"/>
    <d v="2020-03-20T00:00:00"/>
    <x v="1"/>
    <n v="2866.1219999999998"/>
    <n v="1283.6669999999999"/>
    <x v="1"/>
    <x v="1"/>
    <x v="2"/>
    <n v="4"/>
  </r>
  <r>
    <n v="2"/>
    <d v="2020-03-21T00:00:00"/>
    <x v="2"/>
    <n v="1485.4839999999999"/>
    <n v="357.82599999999996"/>
    <x v="1"/>
    <x v="1"/>
    <x v="2"/>
    <n v="4"/>
  </r>
  <r>
    <n v="2"/>
    <d v="2020-03-21T00:00:00"/>
    <x v="0"/>
    <n v="7.2729999999999997"/>
    <n v="2539.1169999999997"/>
    <x v="1"/>
    <x v="1"/>
    <x v="2"/>
    <n v="4"/>
  </r>
  <r>
    <n v="2"/>
    <d v="2020-03-21T00:00:00"/>
    <x v="3"/>
    <n v="0"/>
    <n v="0"/>
    <x v="1"/>
    <x v="1"/>
    <x v="2"/>
    <n v="4"/>
  </r>
  <r>
    <n v="2"/>
    <d v="2020-03-21T00:00:00"/>
    <x v="1"/>
    <n v="2930.0879999999997"/>
    <n v="1138.424"/>
    <x v="1"/>
    <x v="1"/>
    <x v="2"/>
    <n v="4"/>
  </r>
  <r>
    <n v="2"/>
    <d v="2020-03-22T00:00:00"/>
    <x v="2"/>
    <n v="787.38099999999986"/>
    <n v="282.01599999999996"/>
    <x v="1"/>
    <x v="1"/>
    <x v="2"/>
    <n v="4"/>
  </r>
  <r>
    <n v="2"/>
    <d v="2020-03-22T00:00:00"/>
    <x v="3"/>
    <n v="0"/>
    <n v="0"/>
    <x v="1"/>
    <x v="1"/>
    <x v="2"/>
    <n v="4"/>
  </r>
  <r>
    <n v="2"/>
    <d v="2020-03-22T00:00:00"/>
    <x v="0"/>
    <n v="13.838999999999999"/>
    <n v="1336.6849999999999"/>
    <x v="1"/>
    <x v="1"/>
    <x v="2"/>
    <n v="4"/>
  </r>
  <r>
    <n v="2"/>
    <d v="2020-03-22T00:00:00"/>
    <x v="1"/>
    <n v="1565.4309999999998"/>
    <n v="588.67200000000003"/>
    <x v="1"/>
    <x v="1"/>
    <x v="2"/>
    <n v="4"/>
  </r>
  <r>
    <n v="2"/>
    <d v="2020-03-23T00:00:00"/>
    <x v="1"/>
    <n v="2048.9139999999998"/>
    <n v="997.43700000000001"/>
    <x v="1"/>
    <x v="1"/>
    <x v="2"/>
    <n v="5"/>
  </r>
  <r>
    <n v="2"/>
    <d v="2020-03-23T00:00:00"/>
    <x v="3"/>
    <n v="0"/>
    <n v="0"/>
    <x v="1"/>
    <x v="1"/>
    <x v="2"/>
    <n v="5"/>
  </r>
  <r>
    <n v="2"/>
    <d v="2020-03-23T00:00:00"/>
    <x v="2"/>
    <n v="603.40699999999993"/>
    <n v="228.809"/>
    <x v="1"/>
    <x v="1"/>
    <x v="2"/>
    <n v="5"/>
  </r>
  <r>
    <n v="2"/>
    <d v="2020-03-23T00:00:00"/>
    <x v="0"/>
    <n v="129.40899999999999"/>
    <n v="1544.48"/>
    <x v="1"/>
    <x v="1"/>
    <x v="2"/>
    <n v="5"/>
  </r>
  <r>
    <n v="2"/>
    <d v="2020-03-24T00:00:00"/>
    <x v="0"/>
    <n v="48.061999999999998"/>
    <n v="1801.3799999999999"/>
    <x v="1"/>
    <x v="1"/>
    <x v="2"/>
    <n v="5"/>
  </r>
  <r>
    <n v="2"/>
    <d v="2020-03-24T00:00:00"/>
    <x v="2"/>
    <n v="1091.566"/>
    <n v="226.91200000000001"/>
    <x v="1"/>
    <x v="1"/>
    <x v="2"/>
    <n v="5"/>
  </r>
  <r>
    <n v="2"/>
    <d v="2020-03-24T00:00:00"/>
    <x v="3"/>
    <n v="0"/>
    <n v="0"/>
    <x v="1"/>
    <x v="1"/>
    <x v="2"/>
    <n v="5"/>
  </r>
  <r>
    <n v="2"/>
    <d v="2020-03-24T00:00:00"/>
    <x v="1"/>
    <n v="2136.8690000000001"/>
    <n v="1052.9959999999999"/>
    <x v="1"/>
    <x v="1"/>
    <x v="2"/>
    <n v="5"/>
  </r>
  <r>
    <n v="2"/>
    <d v="2020-03-25T00:00:00"/>
    <x v="0"/>
    <n v="-22.939"/>
    <n v="1728.5869999999998"/>
    <x v="1"/>
    <x v="1"/>
    <x v="2"/>
    <n v="5"/>
  </r>
  <r>
    <n v="2"/>
    <d v="2020-03-25T00:00:00"/>
    <x v="1"/>
    <n v="1969.7719999999999"/>
    <n v="1019.83"/>
    <x v="1"/>
    <x v="1"/>
    <x v="2"/>
    <n v="5"/>
  </r>
  <r>
    <n v="2"/>
    <d v="2020-03-25T00:00:00"/>
    <x v="2"/>
    <n v="887.70500000000004"/>
    <n v="379.95999999999992"/>
    <x v="1"/>
    <x v="1"/>
    <x v="2"/>
    <n v="5"/>
  </r>
  <r>
    <n v="2"/>
    <d v="2020-03-25T00:00:00"/>
    <x v="3"/>
    <n v="0"/>
    <n v="319.536"/>
    <x v="1"/>
    <x v="1"/>
    <x v="2"/>
    <n v="5"/>
  </r>
  <r>
    <n v="2"/>
    <d v="2020-03-26T00:00:00"/>
    <x v="0"/>
    <n v="36.686999999999998"/>
    <n v="2173.5070000000001"/>
    <x v="1"/>
    <x v="1"/>
    <x v="2"/>
    <n v="5"/>
  </r>
  <r>
    <n v="2"/>
    <d v="2020-03-26T00:00:00"/>
    <x v="2"/>
    <n v="1360.5199999999998"/>
    <n v="281.33699999999999"/>
    <x v="1"/>
    <x v="1"/>
    <x v="2"/>
    <n v="5"/>
  </r>
  <r>
    <n v="2"/>
    <d v="2020-03-26T00:00:00"/>
    <x v="1"/>
    <n v="2369.9619999999995"/>
    <n v="1319.4859999999999"/>
    <x v="1"/>
    <x v="1"/>
    <x v="2"/>
    <n v="5"/>
  </r>
  <r>
    <n v="2"/>
    <d v="2020-03-26T00:00:00"/>
    <x v="3"/>
    <n v="0"/>
    <n v="0"/>
    <x v="1"/>
    <x v="1"/>
    <x v="2"/>
    <n v="5"/>
  </r>
  <r>
    <n v="2"/>
    <d v="2020-03-27T00:00:00"/>
    <x v="2"/>
    <n v="1432.3679999999999"/>
    <n v="472.59799999999996"/>
    <x v="1"/>
    <x v="1"/>
    <x v="2"/>
    <n v="5"/>
  </r>
  <r>
    <n v="2"/>
    <d v="2020-03-27T00:00:00"/>
    <x v="0"/>
    <n v="50.847999999999999"/>
    <n v="2187.1779999999999"/>
    <x v="1"/>
    <x v="1"/>
    <x v="2"/>
    <n v="5"/>
  </r>
  <r>
    <n v="2"/>
    <d v="2020-03-27T00:00:00"/>
    <x v="1"/>
    <n v="3121.797"/>
    <n v="1111.1029999999998"/>
    <x v="1"/>
    <x v="1"/>
    <x v="2"/>
    <n v="5"/>
  </r>
  <r>
    <n v="2"/>
    <d v="2020-03-27T00:00:00"/>
    <x v="3"/>
    <n v="236.74699999999996"/>
    <n v="303.17"/>
    <x v="1"/>
    <x v="1"/>
    <x v="2"/>
    <n v="5"/>
  </r>
  <r>
    <n v="2"/>
    <d v="2020-03-28T00:00:00"/>
    <x v="0"/>
    <n v="-5.88"/>
    <n v="2383.8359999999998"/>
    <x v="1"/>
    <x v="1"/>
    <x v="2"/>
    <n v="5"/>
  </r>
  <r>
    <n v="2"/>
    <d v="2020-03-28T00:00:00"/>
    <x v="1"/>
    <n v="3031.2379999999998"/>
    <n v="925.58199999999988"/>
    <x v="1"/>
    <x v="1"/>
    <x v="2"/>
    <n v="5"/>
  </r>
  <r>
    <n v="2"/>
    <d v="2020-03-28T00:00:00"/>
    <x v="3"/>
    <n v="0"/>
    <n v="0"/>
    <x v="1"/>
    <x v="1"/>
    <x v="2"/>
    <n v="5"/>
  </r>
  <r>
    <n v="2"/>
    <d v="2020-03-28T00:00:00"/>
    <x v="2"/>
    <n v="2241.078"/>
    <n v="444.48599999999999"/>
    <x v="1"/>
    <x v="1"/>
    <x v="2"/>
    <n v="5"/>
  </r>
  <r>
    <n v="2"/>
    <d v="2020-03-29T00:00:00"/>
    <x v="2"/>
    <n v="775.03300000000002"/>
    <n v="299.71899999999999"/>
    <x v="1"/>
    <x v="1"/>
    <x v="2"/>
    <n v="5"/>
  </r>
  <r>
    <n v="2"/>
    <d v="2020-03-29T00:00:00"/>
    <x v="0"/>
    <n v="-49.622999999999998"/>
    <n v="1418.711"/>
    <x v="1"/>
    <x v="1"/>
    <x v="2"/>
    <n v="5"/>
  </r>
  <r>
    <n v="2"/>
    <d v="2020-03-29T00:00:00"/>
    <x v="1"/>
    <n v="1250.3609999999999"/>
    <n v="758.61099999999999"/>
    <x v="1"/>
    <x v="1"/>
    <x v="2"/>
    <n v="5"/>
  </r>
  <r>
    <n v="2"/>
    <d v="2020-03-29T00:00:00"/>
    <x v="3"/>
    <n v="0"/>
    <n v="0"/>
    <x v="1"/>
    <x v="1"/>
    <x v="2"/>
    <n v="5"/>
  </r>
  <r>
    <n v="2"/>
    <d v="2020-03-30T00:00:00"/>
    <x v="3"/>
    <n v="0"/>
    <n v="0"/>
    <x v="1"/>
    <x v="1"/>
    <x v="3"/>
    <n v="1"/>
  </r>
  <r>
    <n v="2"/>
    <d v="2020-03-30T00:00:00"/>
    <x v="2"/>
    <n v="610.87599999999998"/>
    <n v="336.12599999999998"/>
    <x v="1"/>
    <x v="1"/>
    <x v="3"/>
    <n v="1"/>
  </r>
  <r>
    <n v="2"/>
    <d v="2020-03-30T00:00:00"/>
    <x v="1"/>
    <n v="2052.2739999999999"/>
    <n v="1125.9849999999999"/>
    <x v="1"/>
    <x v="1"/>
    <x v="3"/>
    <n v="1"/>
  </r>
  <r>
    <n v="2"/>
    <d v="2020-03-30T00:00:00"/>
    <x v="0"/>
    <n v="-22.448999999999998"/>
    <n v="1223.18"/>
    <x v="1"/>
    <x v="1"/>
    <x v="3"/>
    <n v="1"/>
  </r>
  <r>
    <n v="2"/>
    <d v="2020-03-31T00:00:00"/>
    <x v="0"/>
    <n v="2.4430000000000001"/>
    <n v="1482.3899999999999"/>
    <x v="1"/>
    <x v="1"/>
    <x v="3"/>
    <n v="1"/>
  </r>
  <r>
    <n v="2"/>
    <d v="2020-03-31T00:00:00"/>
    <x v="2"/>
    <n v="1392.1319999999998"/>
    <n v="431.98399999999998"/>
    <x v="1"/>
    <x v="1"/>
    <x v="3"/>
    <n v="1"/>
  </r>
  <r>
    <n v="2"/>
    <d v="2020-03-31T00:00:00"/>
    <x v="3"/>
    <n v="6.5029999999999992"/>
    <n v="0"/>
    <x v="1"/>
    <x v="1"/>
    <x v="3"/>
    <n v="1"/>
  </r>
  <r>
    <n v="2"/>
    <d v="2020-03-31T00:00:00"/>
    <x v="1"/>
    <n v="2116.002"/>
    <n v="1114.386"/>
    <x v="1"/>
    <x v="1"/>
    <x v="3"/>
    <n v="1"/>
  </r>
  <r>
    <n v="2"/>
    <d v="2020-04-01T00:00:00"/>
    <x v="3"/>
    <n v="0"/>
    <n v="221.35400000000001"/>
    <x v="1"/>
    <x v="1"/>
    <x v="3"/>
    <n v="1"/>
  </r>
  <r>
    <n v="2"/>
    <d v="2020-04-01T00:00:00"/>
    <x v="2"/>
    <n v="1155.588"/>
    <n v="164.64699999999999"/>
    <x v="1"/>
    <x v="1"/>
    <x v="3"/>
    <n v="1"/>
  </r>
  <r>
    <n v="2"/>
    <d v="2020-04-01T00:00:00"/>
    <x v="1"/>
    <n v="1938.6919999999998"/>
    <n v="1097.5999999999999"/>
    <x v="1"/>
    <x v="1"/>
    <x v="3"/>
    <n v="1"/>
  </r>
  <r>
    <n v="2"/>
    <d v="2020-04-01T00:00:00"/>
    <x v="0"/>
    <n v="-3.9759999999999995"/>
    <n v="1705.5710000000001"/>
    <x v="1"/>
    <x v="1"/>
    <x v="3"/>
    <n v="1"/>
  </r>
  <r>
    <n v="2"/>
    <d v="2020-04-02T00:00:00"/>
    <x v="0"/>
    <n v="51.295999999999999"/>
    <n v="2046.4079999999999"/>
    <x v="1"/>
    <x v="1"/>
    <x v="3"/>
    <n v="1"/>
  </r>
  <r>
    <n v="2"/>
    <d v="2020-04-02T00:00:00"/>
    <x v="2"/>
    <n v="2541.5320000000002"/>
    <n v="506.11399999999998"/>
    <x v="1"/>
    <x v="1"/>
    <x v="3"/>
    <n v="1"/>
  </r>
  <r>
    <n v="2"/>
    <d v="2020-04-02T00:00:00"/>
    <x v="1"/>
    <n v="3008.39"/>
    <n v="1096.7389999999998"/>
    <x v="1"/>
    <x v="1"/>
    <x v="3"/>
    <n v="1"/>
  </r>
  <r>
    <n v="2"/>
    <d v="2020-04-02T00:00:00"/>
    <x v="3"/>
    <n v="0"/>
    <n v="0"/>
    <x v="1"/>
    <x v="1"/>
    <x v="3"/>
    <n v="1"/>
  </r>
  <r>
    <n v="2"/>
    <d v="2020-04-03T00:00:00"/>
    <x v="1"/>
    <n v="2938.7190000000001"/>
    <n v="1166.711"/>
    <x v="1"/>
    <x v="1"/>
    <x v="3"/>
    <n v="1"/>
  </r>
  <r>
    <n v="2"/>
    <d v="2020-04-03T00:00:00"/>
    <x v="2"/>
    <n v="1397.2139999999999"/>
    <n v="463.37899999999996"/>
    <x v="1"/>
    <x v="1"/>
    <x v="3"/>
    <n v="1"/>
  </r>
  <r>
    <n v="2"/>
    <d v="2020-04-03T00:00:00"/>
    <x v="3"/>
    <n v="0"/>
    <n v="0"/>
    <x v="1"/>
    <x v="1"/>
    <x v="3"/>
    <n v="1"/>
  </r>
  <r>
    <n v="2"/>
    <d v="2020-04-03T00:00:00"/>
    <x v="0"/>
    <n v="31.856999999999996"/>
    <n v="2565.6959999999999"/>
    <x v="1"/>
    <x v="1"/>
    <x v="3"/>
    <n v="1"/>
  </r>
  <r>
    <n v="2"/>
    <d v="2020-04-04T00:00:00"/>
    <x v="2"/>
    <n v="1697.2759999999998"/>
    <n v="315.04199999999997"/>
    <x v="1"/>
    <x v="1"/>
    <x v="3"/>
    <n v="1"/>
  </r>
  <r>
    <n v="2"/>
    <d v="2020-04-04T00:00:00"/>
    <x v="0"/>
    <n v="-4.1159999999999997"/>
    <n v="2678.9490000000001"/>
    <x v="1"/>
    <x v="1"/>
    <x v="3"/>
    <n v="1"/>
  </r>
  <r>
    <n v="2"/>
    <d v="2020-04-04T00:00:00"/>
    <x v="1"/>
    <n v="2240.5949999999998"/>
    <n v="1163.6309999999999"/>
    <x v="1"/>
    <x v="1"/>
    <x v="3"/>
    <n v="1"/>
  </r>
  <r>
    <n v="2"/>
    <d v="2020-04-04T00:00:00"/>
    <x v="3"/>
    <n v="56.090999999999994"/>
    <n v="16.744"/>
    <x v="1"/>
    <x v="1"/>
    <x v="3"/>
    <n v="1"/>
  </r>
  <r>
    <n v="2"/>
    <d v="2020-04-05T00:00:00"/>
    <x v="2"/>
    <n v="731.99699999999996"/>
    <n v="220.80099999999999"/>
    <x v="1"/>
    <x v="1"/>
    <x v="3"/>
    <n v="1"/>
  </r>
  <r>
    <n v="2"/>
    <d v="2020-04-05T00:00:00"/>
    <x v="3"/>
    <n v="0"/>
    <n v="206.96200000000002"/>
    <x v="1"/>
    <x v="1"/>
    <x v="3"/>
    <n v="1"/>
  </r>
  <r>
    <n v="2"/>
    <d v="2020-04-05T00:00:00"/>
    <x v="1"/>
    <n v="1179.1779999999999"/>
    <n v="822.21999999999991"/>
    <x v="1"/>
    <x v="1"/>
    <x v="3"/>
    <n v="1"/>
  </r>
  <r>
    <n v="2"/>
    <d v="2020-04-05T00:00:00"/>
    <x v="0"/>
    <n v="7.9029999999999987"/>
    <n v="1170.5260000000001"/>
    <x v="1"/>
    <x v="1"/>
    <x v="3"/>
    <n v="1"/>
  </r>
  <r>
    <n v="2"/>
    <d v="2020-04-06T00:00:00"/>
    <x v="0"/>
    <n v="-9.0790000000000006"/>
    <n v="1953.2029999999997"/>
    <x v="1"/>
    <x v="1"/>
    <x v="3"/>
    <n v="2"/>
  </r>
  <r>
    <n v="2"/>
    <d v="2020-04-06T00:00:00"/>
    <x v="1"/>
    <n v="1696.9749999999999"/>
    <n v="955.29"/>
    <x v="1"/>
    <x v="1"/>
    <x v="3"/>
    <n v="2"/>
  </r>
  <r>
    <n v="2"/>
    <d v="2020-04-06T00:00:00"/>
    <x v="3"/>
    <n v="14.587999999999999"/>
    <n v="126.931"/>
    <x v="1"/>
    <x v="1"/>
    <x v="3"/>
    <n v="2"/>
  </r>
  <r>
    <n v="2"/>
    <d v="2020-04-06T00:00:00"/>
    <x v="2"/>
    <n v="1244.32"/>
    <n v="189.28700000000001"/>
    <x v="1"/>
    <x v="1"/>
    <x v="3"/>
    <n v="2"/>
  </r>
  <r>
    <n v="2"/>
    <d v="2020-04-07T00:00:00"/>
    <x v="0"/>
    <n v="0.19600000000000001"/>
    <n v="1781.8710000000001"/>
    <x v="1"/>
    <x v="1"/>
    <x v="3"/>
    <n v="2"/>
  </r>
  <r>
    <n v="2"/>
    <d v="2020-04-07T00:00:00"/>
    <x v="2"/>
    <n v="1544.7809999999999"/>
    <n v="273.18199999999996"/>
    <x v="1"/>
    <x v="1"/>
    <x v="3"/>
    <n v="2"/>
  </r>
  <r>
    <n v="2"/>
    <d v="2020-04-07T00:00:00"/>
    <x v="1"/>
    <n v="2386.8179999999998"/>
    <n v="1254.0429999999999"/>
    <x v="1"/>
    <x v="1"/>
    <x v="3"/>
    <n v="2"/>
  </r>
  <r>
    <n v="2"/>
    <d v="2020-04-07T00:00:00"/>
    <x v="3"/>
    <n v="144.71099999999998"/>
    <n v="0"/>
    <x v="1"/>
    <x v="1"/>
    <x v="3"/>
    <n v="2"/>
  </r>
  <r>
    <n v="2"/>
    <d v="2020-04-08T00:00:00"/>
    <x v="0"/>
    <n v="-44.890999999999991"/>
    <n v="1813.5319999999999"/>
    <x v="1"/>
    <x v="1"/>
    <x v="3"/>
    <n v="2"/>
  </r>
  <r>
    <n v="2"/>
    <d v="2020-04-08T00:00:00"/>
    <x v="1"/>
    <n v="2545.6059999999998"/>
    <n v="1099.441"/>
    <x v="1"/>
    <x v="1"/>
    <x v="3"/>
    <n v="2"/>
  </r>
  <r>
    <n v="2"/>
    <d v="2020-04-08T00:00:00"/>
    <x v="2"/>
    <n v="1640.6949999999999"/>
    <n v="331.68099999999998"/>
    <x v="1"/>
    <x v="1"/>
    <x v="3"/>
    <n v="2"/>
  </r>
  <r>
    <n v="2"/>
    <d v="2020-04-08T00:00:00"/>
    <x v="3"/>
    <n v="33.264000000000003"/>
    <n v="0"/>
    <x v="1"/>
    <x v="1"/>
    <x v="3"/>
    <n v="2"/>
  </r>
  <r>
    <n v="2"/>
    <d v="2020-04-09T00:00:00"/>
    <x v="3"/>
    <n v="0"/>
    <n v="281.56799999999998"/>
    <x v="1"/>
    <x v="1"/>
    <x v="3"/>
    <n v="2"/>
  </r>
  <r>
    <n v="2"/>
    <d v="2020-04-09T00:00:00"/>
    <x v="2"/>
    <n v="1814.0359999999998"/>
    <n v="347.98399999999998"/>
    <x v="1"/>
    <x v="1"/>
    <x v="3"/>
    <n v="2"/>
  </r>
  <r>
    <n v="2"/>
    <d v="2020-04-09T00:00:00"/>
    <x v="0"/>
    <n v="35.567"/>
    <n v="1736.0139999999999"/>
    <x v="1"/>
    <x v="1"/>
    <x v="3"/>
    <n v="2"/>
  </r>
  <r>
    <n v="2"/>
    <d v="2020-04-09T00:00:00"/>
    <x v="1"/>
    <n v="2372.3490000000002"/>
    <n v="1039.3529999999998"/>
    <x v="1"/>
    <x v="1"/>
    <x v="3"/>
    <n v="2"/>
  </r>
  <r>
    <n v="2"/>
    <d v="2020-04-10T00:00:00"/>
    <x v="2"/>
    <n v="2746.835"/>
    <n v="266.97999999999996"/>
    <x v="1"/>
    <x v="1"/>
    <x v="3"/>
    <n v="2"/>
  </r>
  <r>
    <n v="2"/>
    <d v="2020-04-10T00:00:00"/>
    <x v="3"/>
    <n v="25.528999999999996"/>
    <n v="0"/>
    <x v="1"/>
    <x v="1"/>
    <x v="3"/>
    <n v="2"/>
  </r>
  <r>
    <n v="2"/>
    <d v="2020-04-10T00:00:00"/>
    <x v="0"/>
    <n v="14.055999999999997"/>
    <n v="2672.3689999999997"/>
    <x v="1"/>
    <x v="1"/>
    <x v="3"/>
    <n v="2"/>
  </r>
  <r>
    <n v="2"/>
    <d v="2020-04-10T00:00:00"/>
    <x v="1"/>
    <n v="3382.8969999999999"/>
    <n v="1335.9079999999999"/>
    <x v="1"/>
    <x v="1"/>
    <x v="3"/>
    <n v="2"/>
  </r>
  <r>
    <n v="2"/>
    <d v="2020-04-11T00:00:00"/>
    <x v="2"/>
    <n v="1733.396"/>
    <n v="307.29300000000001"/>
    <x v="1"/>
    <x v="1"/>
    <x v="3"/>
    <n v="2"/>
  </r>
  <r>
    <n v="2"/>
    <d v="2020-04-11T00:00:00"/>
    <x v="0"/>
    <n v="-14.762999999999998"/>
    <n v="2818.3609999999999"/>
    <x v="1"/>
    <x v="1"/>
    <x v="3"/>
    <n v="2"/>
  </r>
  <r>
    <n v="2"/>
    <d v="2020-04-11T00:00:00"/>
    <x v="3"/>
    <n v="0"/>
    <n v="0"/>
    <x v="1"/>
    <x v="1"/>
    <x v="3"/>
    <n v="2"/>
  </r>
  <r>
    <n v="2"/>
    <d v="2020-04-11T00:00:00"/>
    <x v="1"/>
    <n v="2739.058"/>
    <n v="1125.7049999999999"/>
    <x v="1"/>
    <x v="1"/>
    <x v="3"/>
    <n v="2"/>
  </r>
  <r>
    <n v="2"/>
    <d v="2020-04-12T00:00:00"/>
    <x v="2"/>
    <n v="590.50599999999997"/>
    <n v="262.91299999999995"/>
    <x v="1"/>
    <x v="1"/>
    <x v="3"/>
    <n v="2"/>
  </r>
  <r>
    <n v="2"/>
    <d v="2020-04-12T00:00:00"/>
    <x v="0"/>
    <n v="-19.782"/>
    <n v="1461.383"/>
    <x v="1"/>
    <x v="1"/>
    <x v="3"/>
    <n v="2"/>
  </r>
  <r>
    <n v="2"/>
    <d v="2020-04-12T00:00:00"/>
    <x v="3"/>
    <n v="0"/>
    <n v="0"/>
    <x v="1"/>
    <x v="1"/>
    <x v="3"/>
    <n v="2"/>
  </r>
  <r>
    <n v="2"/>
    <d v="2020-04-12T00:00:00"/>
    <x v="1"/>
    <n v="1301.482"/>
    <n v="547.673"/>
    <x v="1"/>
    <x v="1"/>
    <x v="3"/>
    <n v="2"/>
  </r>
  <r>
    <n v="2"/>
    <d v="2020-04-13T00:00:00"/>
    <x v="0"/>
    <n v="-23.414999999999999"/>
    <n v="1564.9549999999999"/>
    <x v="1"/>
    <x v="1"/>
    <x v="3"/>
    <n v="3"/>
  </r>
  <r>
    <n v="2"/>
    <d v="2020-04-13T00:00:00"/>
    <x v="3"/>
    <n v="13.691999999999998"/>
    <n v="0"/>
    <x v="1"/>
    <x v="1"/>
    <x v="3"/>
    <n v="3"/>
  </r>
  <r>
    <n v="2"/>
    <d v="2020-04-13T00:00:00"/>
    <x v="2"/>
    <n v="1434.3139999999999"/>
    <n v="368.02499999999998"/>
    <x v="1"/>
    <x v="1"/>
    <x v="3"/>
    <n v="3"/>
  </r>
  <r>
    <n v="2"/>
    <d v="2020-04-13T00:00:00"/>
    <x v="1"/>
    <n v="1913.7859999999998"/>
    <n v="1083.4949999999999"/>
    <x v="1"/>
    <x v="1"/>
    <x v="3"/>
    <n v="3"/>
  </r>
  <r>
    <n v="2"/>
    <d v="2020-04-14T00:00:00"/>
    <x v="0"/>
    <n v="0"/>
    <n v="1991.8219999999999"/>
    <x v="1"/>
    <x v="1"/>
    <x v="3"/>
    <n v="3"/>
  </r>
  <r>
    <n v="2"/>
    <d v="2020-04-14T00:00:00"/>
    <x v="2"/>
    <n v="2430.5119999999997"/>
    <n v="221.63399999999999"/>
    <x v="1"/>
    <x v="1"/>
    <x v="3"/>
    <n v="3"/>
  </r>
  <r>
    <n v="2"/>
    <d v="2020-04-14T00:00:00"/>
    <x v="3"/>
    <n v="66.254999999999995"/>
    <n v="0"/>
    <x v="1"/>
    <x v="1"/>
    <x v="3"/>
    <n v="3"/>
  </r>
  <r>
    <n v="2"/>
    <d v="2020-04-14T00:00:00"/>
    <x v="1"/>
    <n v="3016.6010000000001"/>
    <n v="847.74899999999991"/>
    <x v="1"/>
    <x v="1"/>
    <x v="3"/>
    <n v="3"/>
  </r>
  <r>
    <n v="2"/>
    <d v="2020-04-15T00:00:00"/>
    <x v="2"/>
    <n v="2290.8689999999997"/>
    <n v="322.26599999999996"/>
    <x v="1"/>
    <x v="1"/>
    <x v="3"/>
    <n v="3"/>
  </r>
  <r>
    <n v="2"/>
    <d v="2020-04-15T00:00:00"/>
    <x v="0"/>
    <n v="-64.266999999999996"/>
    <n v="1696.933"/>
    <x v="1"/>
    <x v="1"/>
    <x v="3"/>
    <n v="3"/>
  </r>
  <r>
    <n v="2"/>
    <d v="2020-04-15T00:00:00"/>
    <x v="3"/>
    <n v="0"/>
    <n v="356.95799999999997"/>
    <x v="1"/>
    <x v="1"/>
    <x v="3"/>
    <n v="3"/>
  </r>
  <r>
    <n v="2"/>
    <d v="2020-04-15T00:00:00"/>
    <x v="1"/>
    <n v="2671.5709999999999"/>
    <n v="1128.7639999999999"/>
    <x v="1"/>
    <x v="1"/>
    <x v="3"/>
    <n v="3"/>
  </r>
  <r>
    <n v="2"/>
    <d v="2020-04-16T00:00:00"/>
    <x v="2"/>
    <n v="2114.7979999999998"/>
    <n v="473.88599999999997"/>
    <x v="1"/>
    <x v="1"/>
    <x v="3"/>
    <n v="3"/>
  </r>
  <r>
    <n v="2"/>
    <d v="2020-04-16T00:00:00"/>
    <x v="0"/>
    <n v="0.7"/>
    <n v="1921.1219999999998"/>
    <x v="1"/>
    <x v="1"/>
    <x v="3"/>
    <n v="3"/>
  </r>
  <r>
    <n v="2"/>
    <d v="2020-04-16T00:00:00"/>
    <x v="3"/>
    <n v="106.16899999999998"/>
    <n v="0"/>
    <x v="1"/>
    <x v="1"/>
    <x v="3"/>
    <n v="3"/>
  </r>
  <r>
    <n v="2"/>
    <d v="2020-04-16T00:00:00"/>
    <x v="1"/>
    <n v="2471.1889999999999"/>
    <n v="1120.2729999999999"/>
    <x v="1"/>
    <x v="1"/>
    <x v="3"/>
    <n v="3"/>
  </r>
  <r>
    <n v="2"/>
    <d v="2020-04-17T00:00:00"/>
    <x v="2"/>
    <n v="2932.6429999999996"/>
    <n v="366.47099999999995"/>
    <x v="1"/>
    <x v="1"/>
    <x v="3"/>
    <n v="3"/>
  </r>
  <r>
    <n v="2"/>
    <d v="2020-04-17T00:00:00"/>
    <x v="0"/>
    <n v="3.206"/>
    <n v="2373.8049999999998"/>
    <x v="1"/>
    <x v="1"/>
    <x v="3"/>
    <n v="3"/>
  </r>
  <r>
    <n v="2"/>
    <d v="2020-04-17T00:00:00"/>
    <x v="1"/>
    <n v="3090.395"/>
    <n v="1444.2469999999998"/>
    <x v="1"/>
    <x v="1"/>
    <x v="3"/>
    <n v="3"/>
  </r>
  <r>
    <n v="2"/>
    <d v="2020-04-17T00:00:00"/>
    <x v="3"/>
    <n v="0"/>
    <n v="41.873999999999995"/>
    <x v="1"/>
    <x v="1"/>
    <x v="3"/>
    <n v="3"/>
  </r>
  <r>
    <n v="2"/>
    <d v="2020-04-18T00:00:00"/>
    <x v="0"/>
    <n v="-80.961999999999989"/>
    <n v="2355.3809999999999"/>
    <x v="1"/>
    <x v="1"/>
    <x v="3"/>
    <n v="3"/>
  </r>
  <r>
    <n v="2"/>
    <d v="2020-04-18T00:00:00"/>
    <x v="1"/>
    <n v="3096.8910000000001"/>
    <n v="1001.1959999999999"/>
    <x v="1"/>
    <x v="1"/>
    <x v="3"/>
    <n v="3"/>
  </r>
  <r>
    <n v="2"/>
    <d v="2020-04-18T00:00:00"/>
    <x v="3"/>
    <n v="26.403999999999996"/>
    <n v="0"/>
    <x v="1"/>
    <x v="1"/>
    <x v="3"/>
    <n v="3"/>
  </r>
  <r>
    <n v="2"/>
    <d v="2020-04-18T00:00:00"/>
    <x v="2"/>
    <n v="2593.5839999999998"/>
    <n v="340.68299999999999"/>
    <x v="1"/>
    <x v="1"/>
    <x v="3"/>
    <n v="3"/>
  </r>
  <r>
    <n v="2"/>
    <d v="2020-04-19T00:00:00"/>
    <x v="2"/>
    <n v="888.62199999999996"/>
    <n v="190.86199999999999"/>
    <x v="1"/>
    <x v="1"/>
    <x v="3"/>
    <n v="3"/>
  </r>
  <r>
    <n v="2"/>
    <d v="2020-04-19T00:00:00"/>
    <x v="0"/>
    <n v="-33.074999999999996"/>
    <n v="1219.729"/>
    <x v="1"/>
    <x v="1"/>
    <x v="3"/>
    <n v="3"/>
  </r>
  <r>
    <n v="2"/>
    <d v="2020-04-19T00:00:00"/>
    <x v="3"/>
    <n v="0"/>
    <n v="0"/>
    <x v="1"/>
    <x v="1"/>
    <x v="3"/>
    <n v="3"/>
  </r>
  <r>
    <n v="2"/>
    <d v="2020-04-19T00:00:00"/>
    <x v="1"/>
    <n v="1903.7269999999999"/>
    <n v="564.94899999999996"/>
    <x v="1"/>
    <x v="1"/>
    <x v="3"/>
    <n v="3"/>
  </r>
  <r>
    <n v="2"/>
    <d v="2020-04-20T00:00:00"/>
    <x v="2"/>
    <n v="1754.816"/>
    <n v="140.66499999999999"/>
    <x v="1"/>
    <x v="1"/>
    <x v="3"/>
    <n v="4"/>
  </r>
  <r>
    <n v="2"/>
    <d v="2020-04-20T00:00:00"/>
    <x v="0"/>
    <n v="39.906999999999996"/>
    <n v="2089.605"/>
    <x v="1"/>
    <x v="1"/>
    <x v="3"/>
    <n v="4"/>
  </r>
  <r>
    <n v="2"/>
    <d v="2020-04-20T00:00:00"/>
    <x v="3"/>
    <n v="0"/>
    <n v="0"/>
    <x v="1"/>
    <x v="1"/>
    <x v="3"/>
    <n v="4"/>
  </r>
  <r>
    <n v="2"/>
    <d v="2020-04-20T00:00:00"/>
    <x v="1"/>
    <n v="2584.4070000000002"/>
    <n v="1007.972"/>
    <x v="1"/>
    <x v="1"/>
    <x v="3"/>
    <n v="4"/>
  </r>
  <r>
    <n v="2"/>
    <d v="2020-04-21T00:00:00"/>
    <x v="3"/>
    <n v="0"/>
    <n v="263.02499999999998"/>
    <x v="1"/>
    <x v="1"/>
    <x v="3"/>
    <n v="4"/>
  </r>
  <r>
    <n v="2"/>
    <d v="2020-04-21T00:00:00"/>
    <x v="0"/>
    <n v="-9.3659999999999997"/>
    <n v="1826.6149999999998"/>
    <x v="1"/>
    <x v="1"/>
    <x v="3"/>
    <n v="4"/>
  </r>
  <r>
    <n v="2"/>
    <d v="2020-04-21T00:00:00"/>
    <x v="1"/>
    <n v="2441.0189999999998"/>
    <n v="877.56200000000001"/>
    <x v="1"/>
    <x v="1"/>
    <x v="3"/>
    <n v="4"/>
  </r>
  <r>
    <n v="2"/>
    <d v="2020-04-21T00:00:00"/>
    <x v="2"/>
    <n v="2273.2919999999999"/>
    <n v="188.53099999999998"/>
    <x v="1"/>
    <x v="1"/>
    <x v="3"/>
    <n v="4"/>
  </r>
  <r>
    <n v="2"/>
    <d v="2020-04-22T00:00:00"/>
    <x v="2"/>
    <n v="1652.3919999999998"/>
    <n v="264.36899999999997"/>
    <x v="1"/>
    <x v="1"/>
    <x v="3"/>
    <n v="4"/>
  </r>
  <r>
    <n v="2"/>
    <d v="2020-04-22T00:00:00"/>
    <x v="3"/>
    <n v="0"/>
    <n v="0"/>
    <x v="1"/>
    <x v="1"/>
    <x v="3"/>
    <n v="4"/>
  </r>
  <r>
    <n v="2"/>
    <d v="2020-04-22T00:00:00"/>
    <x v="1"/>
    <n v="2465.6379999999999"/>
    <n v="1158.8429999999998"/>
    <x v="1"/>
    <x v="1"/>
    <x v="3"/>
    <n v="4"/>
  </r>
  <r>
    <n v="2"/>
    <d v="2020-04-22T00:00:00"/>
    <x v="0"/>
    <n v="0"/>
    <n v="1721.93"/>
    <x v="1"/>
    <x v="1"/>
    <x v="3"/>
    <n v="4"/>
  </r>
  <r>
    <n v="2"/>
    <d v="2020-04-23T00:00:00"/>
    <x v="3"/>
    <n v="58.351999999999997"/>
    <n v="0"/>
    <x v="1"/>
    <x v="1"/>
    <x v="3"/>
    <n v="4"/>
  </r>
  <r>
    <n v="2"/>
    <d v="2020-04-23T00:00:00"/>
    <x v="0"/>
    <n v="7.4759999999999991"/>
    <n v="2040.4159999999999"/>
    <x v="1"/>
    <x v="1"/>
    <x v="3"/>
    <n v="4"/>
  </r>
  <r>
    <n v="2"/>
    <d v="2020-04-23T00:00:00"/>
    <x v="2"/>
    <n v="2108.8829999999998"/>
    <n v="363.40499999999997"/>
    <x v="1"/>
    <x v="1"/>
    <x v="3"/>
    <n v="4"/>
  </r>
  <r>
    <n v="2"/>
    <d v="2020-04-23T00:00:00"/>
    <x v="1"/>
    <n v="2700.95"/>
    <n v="1213.5899999999999"/>
    <x v="1"/>
    <x v="1"/>
    <x v="3"/>
    <n v="4"/>
  </r>
  <r>
    <n v="2"/>
    <d v="2020-04-24T00:00:00"/>
    <x v="0"/>
    <n v="-0.7"/>
    <n v="2437.4629999999997"/>
    <x v="1"/>
    <x v="1"/>
    <x v="3"/>
    <n v="4"/>
  </r>
  <r>
    <n v="2"/>
    <d v="2020-04-24T00:00:00"/>
    <x v="3"/>
    <n v="0"/>
    <n v="164.82899999999998"/>
    <x v="1"/>
    <x v="1"/>
    <x v="3"/>
    <n v="4"/>
  </r>
  <r>
    <n v="2"/>
    <d v="2020-04-24T00:00:00"/>
    <x v="2"/>
    <n v="2652.1179999999995"/>
    <n v="515.39599999999996"/>
    <x v="1"/>
    <x v="1"/>
    <x v="3"/>
    <n v="4"/>
  </r>
  <r>
    <n v="2"/>
    <d v="2020-04-24T00:00:00"/>
    <x v="1"/>
    <n v="3290.7839999999997"/>
    <n v="1678.7049999999999"/>
    <x v="1"/>
    <x v="1"/>
    <x v="3"/>
    <n v="4"/>
  </r>
  <r>
    <n v="2"/>
    <d v="2020-04-25T00:00:00"/>
    <x v="3"/>
    <n v="0"/>
    <n v="0"/>
    <x v="1"/>
    <x v="1"/>
    <x v="3"/>
    <n v="4"/>
  </r>
  <r>
    <n v="2"/>
    <d v="2020-04-25T00:00:00"/>
    <x v="0"/>
    <n v="-22.854999999999997"/>
    <n v="2512.4119999999998"/>
    <x v="1"/>
    <x v="1"/>
    <x v="3"/>
    <n v="4"/>
  </r>
  <r>
    <n v="2"/>
    <d v="2020-04-25T00:00:00"/>
    <x v="1"/>
    <n v="2975.1819999999998"/>
    <n v="1124.6339999999998"/>
    <x v="1"/>
    <x v="1"/>
    <x v="3"/>
    <n v="4"/>
  </r>
  <r>
    <n v="2"/>
    <d v="2020-04-25T00:00:00"/>
    <x v="2"/>
    <n v="2451.8339999999998"/>
    <n v="399.40600000000001"/>
    <x v="1"/>
    <x v="1"/>
    <x v="3"/>
    <n v="4"/>
  </r>
  <r>
    <n v="2"/>
    <d v="2020-04-26T00:00:00"/>
    <x v="0"/>
    <n v="-20.971999999999998"/>
    <n v="1322.3139999999999"/>
    <x v="1"/>
    <x v="1"/>
    <x v="3"/>
    <n v="4"/>
  </r>
  <r>
    <n v="2"/>
    <d v="2020-04-26T00:00:00"/>
    <x v="1"/>
    <n v="1786.925"/>
    <n v="889.29399999999998"/>
    <x v="1"/>
    <x v="1"/>
    <x v="3"/>
    <n v="4"/>
  </r>
  <r>
    <n v="2"/>
    <d v="2020-04-26T00:00:00"/>
    <x v="3"/>
    <n v="0"/>
    <n v="82.361999999999995"/>
    <x v="1"/>
    <x v="1"/>
    <x v="3"/>
    <n v="4"/>
  </r>
  <r>
    <n v="2"/>
    <d v="2020-04-26T00:00:00"/>
    <x v="2"/>
    <n v="1518.2649999999999"/>
    <n v="408.12099999999998"/>
    <x v="1"/>
    <x v="1"/>
    <x v="3"/>
    <n v="4"/>
  </r>
  <r>
    <n v="3"/>
    <d v="2019-01-01T00:00:00"/>
    <x v="2"/>
    <n v="1008.329"/>
    <n v="0"/>
    <x v="2"/>
    <x v="0"/>
    <x v="0"/>
    <n v="1"/>
  </r>
  <r>
    <n v="3"/>
    <d v="2019-01-01T00:00:00"/>
    <x v="0"/>
    <n v="3371.326"/>
    <n v="0"/>
    <x v="2"/>
    <x v="0"/>
    <x v="0"/>
    <n v="1"/>
  </r>
  <r>
    <n v="3"/>
    <d v="2019-01-01T00:00:00"/>
    <x v="1"/>
    <n v="3022.1659999999997"/>
    <n v="0"/>
    <x v="2"/>
    <x v="0"/>
    <x v="0"/>
    <n v="1"/>
  </r>
  <r>
    <n v="3"/>
    <d v="2019-01-01T00:00:00"/>
    <x v="3"/>
    <n v="0"/>
    <n v="0"/>
    <x v="2"/>
    <x v="0"/>
    <x v="0"/>
    <n v="1"/>
  </r>
  <r>
    <n v="3"/>
    <d v="2019-01-02T00:00:00"/>
    <x v="0"/>
    <n v="2752.6379999999999"/>
    <n v="0"/>
    <x v="2"/>
    <x v="0"/>
    <x v="0"/>
    <n v="1"/>
  </r>
  <r>
    <n v="3"/>
    <d v="2019-01-02T00:00:00"/>
    <x v="2"/>
    <n v="1110.2279999999998"/>
    <n v="0"/>
    <x v="2"/>
    <x v="0"/>
    <x v="0"/>
    <n v="1"/>
  </r>
  <r>
    <n v="3"/>
    <d v="2019-01-02T00:00:00"/>
    <x v="1"/>
    <n v="2740.395"/>
    <n v="0"/>
    <x v="2"/>
    <x v="0"/>
    <x v="0"/>
    <n v="1"/>
  </r>
  <r>
    <n v="3"/>
    <d v="2019-01-02T00:00:00"/>
    <x v="3"/>
    <n v="0"/>
    <n v="0"/>
    <x v="2"/>
    <x v="0"/>
    <x v="0"/>
    <n v="1"/>
  </r>
  <r>
    <n v="3"/>
    <d v="2019-01-03T00:00:00"/>
    <x v="2"/>
    <n v="1152.6199999999999"/>
    <n v="0"/>
    <x v="2"/>
    <x v="0"/>
    <x v="0"/>
    <n v="1"/>
  </r>
  <r>
    <n v="3"/>
    <d v="2019-01-03T00:00:00"/>
    <x v="0"/>
    <n v="3010.0419999999999"/>
    <n v="0"/>
    <x v="2"/>
    <x v="0"/>
    <x v="0"/>
    <n v="1"/>
  </r>
  <r>
    <n v="3"/>
    <d v="2019-01-03T00:00:00"/>
    <x v="3"/>
    <n v="260.74299999999999"/>
    <n v="0"/>
    <x v="2"/>
    <x v="0"/>
    <x v="0"/>
    <n v="1"/>
  </r>
  <r>
    <n v="3"/>
    <d v="2019-01-03T00:00:00"/>
    <x v="1"/>
    <n v="2796.8849999999998"/>
    <n v="0"/>
    <x v="2"/>
    <x v="0"/>
    <x v="0"/>
    <n v="1"/>
  </r>
  <r>
    <n v="3"/>
    <d v="2019-01-04T00:00:00"/>
    <x v="3"/>
    <n v="10.843"/>
    <n v="0"/>
    <x v="2"/>
    <x v="0"/>
    <x v="0"/>
    <n v="1"/>
  </r>
  <r>
    <n v="3"/>
    <d v="2019-01-04T00:00:00"/>
    <x v="1"/>
    <n v="3420.7459999999996"/>
    <n v="0"/>
    <x v="2"/>
    <x v="0"/>
    <x v="0"/>
    <n v="1"/>
  </r>
  <r>
    <n v="3"/>
    <d v="2019-01-04T00:00:00"/>
    <x v="2"/>
    <n v="1149.33"/>
    <n v="0"/>
    <x v="2"/>
    <x v="0"/>
    <x v="0"/>
    <n v="1"/>
  </r>
  <r>
    <n v="3"/>
    <d v="2019-01-04T00:00:00"/>
    <x v="0"/>
    <n v="3822.8679999999995"/>
    <n v="0"/>
    <x v="2"/>
    <x v="0"/>
    <x v="0"/>
    <n v="1"/>
  </r>
  <r>
    <n v="3"/>
    <d v="2019-01-05T00:00:00"/>
    <x v="0"/>
    <n v="3919.1039999999998"/>
    <n v="0"/>
    <x v="2"/>
    <x v="0"/>
    <x v="0"/>
    <n v="1"/>
  </r>
  <r>
    <n v="3"/>
    <d v="2019-01-05T00:00:00"/>
    <x v="3"/>
    <n v="153.85999999999999"/>
    <n v="0"/>
    <x v="2"/>
    <x v="0"/>
    <x v="0"/>
    <n v="1"/>
  </r>
  <r>
    <n v="3"/>
    <d v="2019-01-05T00:00:00"/>
    <x v="2"/>
    <n v="1000.5379999999999"/>
    <n v="0"/>
    <x v="2"/>
    <x v="0"/>
    <x v="0"/>
    <n v="1"/>
  </r>
  <r>
    <n v="3"/>
    <d v="2019-01-05T00:00:00"/>
    <x v="1"/>
    <n v="3538.2549999999997"/>
    <n v="0"/>
    <x v="2"/>
    <x v="0"/>
    <x v="0"/>
    <n v="1"/>
  </r>
  <r>
    <n v="3"/>
    <d v="2019-01-06T00:00:00"/>
    <x v="2"/>
    <n v="614.649"/>
    <n v="0"/>
    <x v="2"/>
    <x v="0"/>
    <x v="0"/>
    <n v="1"/>
  </r>
  <r>
    <n v="3"/>
    <d v="2019-01-06T00:00:00"/>
    <x v="0"/>
    <n v="2545.5009999999997"/>
    <n v="0"/>
    <x v="2"/>
    <x v="0"/>
    <x v="0"/>
    <n v="1"/>
  </r>
  <r>
    <n v="3"/>
    <d v="2019-01-06T00:00:00"/>
    <x v="3"/>
    <n v="169.24599999999998"/>
    <n v="0"/>
    <x v="2"/>
    <x v="0"/>
    <x v="0"/>
    <n v="1"/>
  </r>
  <r>
    <n v="3"/>
    <d v="2019-01-06T00:00:00"/>
    <x v="1"/>
    <n v="2494.1"/>
    <n v="0"/>
    <x v="2"/>
    <x v="0"/>
    <x v="0"/>
    <n v="1"/>
  </r>
  <r>
    <n v="3"/>
    <d v="2019-01-07T00:00:00"/>
    <x v="2"/>
    <n v="678.07599999999991"/>
    <n v="0"/>
    <x v="2"/>
    <x v="0"/>
    <x v="0"/>
    <n v="2"/>
  </r>
  <r>
    <n v="3"/>
    <d v="2019-01-07T00:00:00"/>
    <x v="3"/>
    <n v="18.535999999999998"/>
    <n v="0"/>
    <x v="2"/>
    <x v="0"/>
    <x v="0"/>
    <n v="2"/>
  </r>
  <r>
    <n v="3"/>
    <d v="2019-01-07T00:00:00"/>
    <x v="0"/>
    <n v="2577.9740000000002"/>
    <n v="0"/>
    <x v="2"/>
    <x v="0"/>
    <x v="0"/>
    <n v="2"/>
  </r>
  <r>
    <n v="3"/>
    <d v="2019-01-07T00:00:00"/>
    <x v="1"/>
    <n v="2907.7019999999998"/>
    <n v="0"/>
    <x v="2"/>
    <x v="0"/>
    <x v="0"/>
    <n v="2"/>
  </r>
  <r>
    <n v="3"/>
    <d v="2019-01-08T00:00:00"/>
    <x v="3"/>
    <n v="153.85999999999999"/>
    <n v="0"/>
    <x v="2"/>
    <x v="0"/>
    <x v="0"/>
    <n v="2"/>
  </r>
  <r>
    <n v="3"/>
    <d v="2019-01-08T00:00:00"/>
    <x v="1"/>
    <n v="2890.8739999999998"/>
    <n v="0"/>
    <x v="2"/>
    <x v="0"/>
    <x v="0"/>
    <n v="2"/>
  </r>
  <r>
    <n v="3"/>
    <d v="2019-01-08T00:00:00"/>
    <x v="2"/>
    <n v="840.63"/>
    <n v="0"/>
    <x v="2"/>
    <x v="0"/>
    <x v="0"/>
    <n v="2"/>
  </r>
  <r>
    <n v="3"/>
    <d v="2019-01-08T00:00:00"/>
    <x v="0"/>
    <n v="3072.5729999999999"/>
    <n v="0"/>
    <x v="2"/>
    <x v="0"/>
    <x v="0"/>
    <n v="2"/>
  </r>
  <r>
    <n v="3"/>
    <d v="2019-01-09T00:00:00"/>
    <x v="3"/>
    <n v="23.484999999999996"/>
    <n v="0"/>
    <x v="2"/>
    <x v="0"/>
    <x v="0"/>
    <n v="2"/>
  </r>
  <r>
    <n v="3"/>
    <d v="2019-01-09T00:00:00"/>
    <x v="2"/>
    <n v="979.54499999999985"/>
    <n v="0"/>
    <x v="2"/>
    <x v="0"/>
    <x v="0"/>
    <n v="2"/>
  </r>
  <r>
    <n v="3"/>
    <d v="2019-01-09T00:00:00"/>
    <x v="0"/>
    <n v="3021.4799999999996"/>
    <n v="0"/>
    <x v="2"/>
    <x v="0"/>
    <x v="0"/>
    <n v="2"/>
  </r>
  <r>
    <n v="3"/>
    <d v="2019-01-09T00:00:00"/>
    <x v="1"/>
    <n v="2924.6489999999994"/>
    <n v="0"/>
    <x v="2"/>
    <x v="0"/>
    <x v="0"/>
    <n v="2"/>
  </r>
  <r>
    <n v="3"/>
    <d v="2019-01-10T00:00:00"/>
    <x v="1"/>
    <n v="3120.6839999999997"/>
    <n v="0"/>
    <x v="2"/>
    <x v="0"/>
    <x v="0"/>
    <n v="2"/>
  </r>
  <r>
    <n v="3"/>
    <d v="2019-01-10T00:00:00"/>
    <x v="0"/>
    <n v="3301.7599999999998"/>
    <n v="0"/>
    <x v="2"/>
    <x v="0"/>
    <x v="0"/>
    <n v="2"/>
  </r>
  <r>
    <n v="3"/>
    <d v="2019-01-10T00:00:00"/>
    <x v="2"/>
    <n v="876.72899999999993"/>
    <n v="0"/>
    <x v="2"/>
    <x v="0"/>
    <x v="0"/>
    <n v="2"/>
  </r>
  <r>
    <n v="3"/>
    <d v="2019-01-10T00:00:00"/>
    <x v="3"/>
    <n v="0"/>
    <n v="0"/>
    <x v="2"/>
    <x v="0"/>
    <x v="0"/>
    <n v="2"/>
  </r>
  <r>
    <n v="3"/>
    <d v="2019-01-11T00:00:00"/>
    <x v="2"/>
    <n v="944.72699999999986"/>
    <n v="0"/>
    <x v="2"/>
    <x v="0"/>
    <x v="0"/>
    <n v="2"/>
  </r>
  <r>
    <n v="3"/>
    <d v="2019-01-11T00:00:00"/>
    <x v="0"/>
    <n v="3916.9409999999998"/>
    <n v="0"/>
    <x v="2"/>
    <x v="0"/>
    <x v="0"/>
    <n v="2"/>
  </r>
  <r>
    <n v="3"/>
    <d v="2019-01-11T00:00:00"/>
    <x v="1"/>
    <n v="3776.4159999999997"/>
    <n v="0"/>
    <x v="2"/>
    <x v="0"/>
    <x v="0"/>
    <n v="2"/>
  </r>
  <r>
    <n v="3"/>
    <d v="2019-01-11T00:00:00"/>
    <x v="3"/>
    <n v="27.257999999999996"/>
    <n v="0"/>
    <x v="2"/>
    <x v="0"/>
    <x v="0"/>
    <n v="2"/>
  </r>
  <r>
    <n v="3"/>
    <d v="2019-01-12T00:00:00"/>
    <x v="0"/>
    <n v="4455.485999999999"/>
    <n v="0"/>
    <x v="2"/>
    <x v="0"/>
    <x v="0"/>
    <n v="2"/>
  </r>
  <r>
    <n v="3"/>
    <d v="2019-01-12T00:00:00"/>
    <x v="3"/>
    <n v="200.65499999999997"/>
    <n v="0"/>
    <x v="2"/>
    <x v="0"/>
    <x v="0"/>
    <n v="2"/>
  </r>
  <r>
    <n v="3"/>
    <d v="2019-01-12T00:00:00"/>
    <x v="1"/>
    <n v="3449.0609999999997"/>
    <n v="0"/>
    <x v="2"/>
    <x v="0"/>
    <x v="0"/>
    <n v="2"/>
  </r>
  <r>
    <n v="3"/>
    <d v="2019-01-12T00:00:00"/>
    <x v="2"/>
    <n v="1154.1599999999999"/>
    <n v="0"/>
    <x v="2"/>
    <x v="0"/>
    <x v="0"/>
    <n v="2"/>
  </r>
  <r>
    <n v="3"/>
    <d v="2019-01-13T00:00:00"/>
    <x v="3"/>
    <n v="213.91299999999998"/>
    <n v="0"/>
    <x v="2"/>
    <x v="0"/>
    <x v="0"/>
    <n v="2"/>
  </r>
  <r>
    <n v="3"/>
    <d v="2019-01-13T00:00:00"/>
    <x v="1"/>
    <n v="2435.125"/>
    <n v="0"/>
    <x v="2"/>
    <x v="0"/>
    <x v="0"/>
    <n v="2"/>
  </r>
  <r>
    <n v="3"/>
    <d v="2019-01-13T00:00:00"/>
    <x v="2"/>
    <n v="694.08499999999992"/>
    <n v="0"/>
    <x v="2"/>
    <x v="0"/>
    <x v="0"/>
    <n v="2"/>
  </r>
  <r>
    <n v="3"/>
    <d v="2019-01-13T00:00:00"/>
    <x v="0"/>
    <n v="2611.7489999999998"/>
    <n v="0"/>
    <x v="2"/>
    <x v="0"/>
    <x v="0"/>
    <n v="2"/>
  </r>
  <r>
    <n v="3"/>
    <d v="2019-01-14T00:00:00"/>
    <x v="2"/>
    <n v="705.90800000000002"/>
    <n v="0"/>
    <x v="2"/>
    <x v="0"/>
    <x v="0"/>
    <n v="3"/>
  </r>
  <r>
    <n v="3"/>
    <d v="2019-01-14T00:00:00"/>
    <x v="0"/>
    <n v="3107.9859999999994"/>
    <n v="0"/>
    <x v="2"/>
    <x v="0"/>
    <x v="0"/>
    <n v="3"/>
  </r>
  <r>
    <n v="3"/>
    <d v="2019-01-14T00:00:00"/>
    <x v="3"/>
    <n v="0"/>
    <n v="0"/>
    <x v="2"/>
    <x v="0"/>
    <x v="0"/>
    <n v="3"/>
  </r>
  <r>
    <n v="3"/>
    <d v="2019-01-14T00:00:00"/>
    <x v="1"/>
    <n v="2942.7299999999996"/>
    <n v="0"/>
    <x v="2"/>
    <x v="0"/>
    <x v="0"/>
    <n v="3"/>
  </r>
  <r>
    <n v="3"/>
    <d v="2019-01-15T00:00:00"/>
    <x v="2"/>
    <n v="719.68399999999986"/>
    <n v="0"/>
    <x v="2"/>
    <x v="0"/>
    <x v="0"/>
    <n v="3"/>
  </r>
  <r>
    <n v="3"/>
    <d v="2019-01-15T00:00:00"/>
    <x v="0"/>
    <n v="2910.5790000000002"/>
    <n v="0"/>
    <x v="2"/>
    <x v="0"/>
    <x v="0"/>
    <n v="3"/>
  </r>
  <r>
    <n v="3"/>
    <d v="2019-01-15T00:00:00"/>
    <x v="3"/>
    <n v="0"/>
    <n v="0"/>
    <x v="2"/>
    <x v="0"/>
    <x v="0"/>
    <n v="3"/>
  </r>
  <r>
    <n v="3"/>
    <d v="2019-01-15T00:00:00"/>
    <x v="1"/>
    <n v="3221.1129999999998"/>
    <n v="0"/>
    <x v="2"/>
    <x v="0"/>
    <x v="0"/>
    <n v="3"/>
  </r>
  <r>
    <n v="3"/>
    <d v="2019-01-16T00:00:00"/>
    <x v="3"/>
    <n v="0"/>
    <n v="0"/>
    <x v="2"/>
    <x v="0"/>
    <x v="0"/>
    <n v="3"/>
  </r>
  <r>
    <n v="3"/>
    <d v="2019-01-16T00:00:00"/>
    <x v="0"/>
    <n v="3260.2359999999994"/>
    <n v="0"/>
    <x v="2"/>
    <x v="0"/>
    <x v="0"/>
    <n v="3"/>
  </r>
  <r>
    <n v="3"/>
    <d v="2019-01-16T00:00:00"/>
    <x v="1"/>
    <n v="3218.0189999999998"/>
    <n v="0"/>
    <x v="2"/>
    <x v="0"/>
    <x v="0"/>
    <n v="3"/>
  </r>
  <r>
    <n v="3"/>
    <d v="2019-01-16T00:00:00"/>
    <x v="2"/>
    <n v="893.26299999999992"/>
    <n v="0"/>
    <x v="2"/>
    <x v="0"/>
    <x v="0"/>
    <n v="3"/>
  </r>
  <r>
    <n v="3"/>
    <d v="2019-01-17T00:00:00"/>
    <x v="2"/>
    <n v="957.68399999999986"/>
    <n v="0"/>
    <x v="2"/>
    <x v="0"/>
    <x v="0"/>
    <n v="3"/>
  </r>
  <r>
    <n v="3"/>
    <d v="2019-01-17T00:00:00"/>
    <x v="0"/>
    <n v="3192.2730000000001"/>
    <n v="0"/>
    <x v="2"/>
    <x v="0"/>
    <x v="0"/>
    <n v="3"/>
  </r>
  <r>
    <n v="3"/>
    <d v="2019-01-17T00:00:00"/>
    <x v="3"/>
    <n v="163.29599999999999"/>
    <n v="0"/>
    <x v="2"/>
    <x v="0"/>
    <x v="0"/>
    <n v="3"/>
  </r>
  <r>
    <n v="3"/>
    <d v="2019-01-17T00:00:00"/>
    <x v="1"/>
    <n v="3401.9719999999998"/>
    <n v="0"/>
    <x v="2"/>
    <x v="0"/>
    <x v="0"/>
    <n v="3"/>
  </r>
  <r>
    <n v="3"/>
    <d v="2019-01-18T00:00:00"/>
    <x v="0"/>
    <n v="4275.3549999999996"/>
    <n v="0"/>
    <x v="2"/>
    <x v="0"/>
    <x v="0"/>
    <n v="3"/>
  </r>
  <r>
    <n v="3"/>
    <d v="2019-01-18T00:00:00"/>
    <x v="2"/>
    <n v="1442.9939999999999"/>
    <n v="0"/>
    <x v="2"/>
    <x v="0"/>
    <x v="0"/>
    <n v="3"/>
  </r>
  <r>
    <n v="3"/>
    <d v="2019-01-18T00:00:00"/>
    <x v="3"/>
    <n v="0"/>
    <n v="0"/>
    <x v="2"/>
    <x v="0"/>
    <x v="0"/>
    <n v="3"/>
  </r>
  <r>
    <n v="3"/>
    <d v="2019-01-18T00:00:00"/>
    <x v="1"/>
    <n v="3545.6119999999996"/>
    <n v="0"/>
    <x v="2"/>
    <x v="0"/>
    <x v="0"/>
    <n v="3"/>
  </r>
  <r>
    <n v="3"/>
    <d v="2019-01-19T00:00:00"/>
    <x v="2"/>
    <n v="920.37399999999991"/>
    <n v="0"/>
    <x v="2"/>
    <x v="0"/>
    <x v="0"/>
    <n v="3"/>
  </r>
  <r>
    <n v="3"/>
    <d v="2019-01-19T00:00:00"/>
    <x v="3"/>
    <n v="273.79799999999994"/>
    <n v="0"/>
    <x v="2"/>
    <x v="0"/>
    <x v="0"/>
    <n v="3"/>
  </r>
  <r>
    <n v="3"/>
    <d v="2019-01-19T00:00:00"/>
    <x v="1"/>
    <n v="3209.913"/>
    <n v="0"/>
    <x v="2"/>
    <x v="0"/>
    <x v="0"/>
    <n v="3"/>
  </r>
  <r>
    <n v="3"/>
    <d v="2019-01-19T00:00:00"/>
    <x v="0"/>
    <n v="3599.9109999999996"/>
    <n v="0"/>
    <x v="2"/>
    <x v="0"/>
    <x v="0"/>
    <n v="3"/>
  </r>
  <r>
    <n v="3"/>
    <d v="2019-01-20T00:00:00"/>
    <x v="1"/>
    <n v="2524.473"/>
    <n v="0"/>
    <x v="2"/>
    <x v="0"/>
    <x v="0"/>
    <n v="3"/>
  </r>
  <r>
    <n v="3"/>
    <d v="2019-01-20T00:00:00"/>
    <x v="0"/>
    <n v="2307.5360000000001"/>
    <n v="0"/>
    <x v="2"/>
    <x v="0"/>
    <x v="0"/>
    <n v="3"/>
  </r>
  <r>
    <n v="3"/>
    <d v="2019-01-20T00:00:00"/>
    <x v="2"/>
    <n v="795.77399999999989"/>
    <n v="0"/>
    <x v="2"/>
    <x v="0"/>
    <x v="0"/>
    <n v="3"/>
  </r>
  <r>
    <n v="3"/>
    <d v="2019-01-20T00:00:00"/>
    <x v="3"/>
    <n v="21.686"/>
    <n v="0"/>
    <x v="2"/>
    <x v="0"/>
    <x v="0"/>
    <n v="3"/>
  </r>
  <r>
    <n v="3"/>
    <d v="2019-01-21T00:00:00"/>
    <x v="3"/>
    <n v="0"/>
    <n v="0"/>
    <x v="2"/>
    <x v="0"/>
    <x v="0"/>
    <n v="4"/>
  </r>
  <r>
    <n v="3"/>
    <d v="2019-01-21T00:00:00"/>
    <x v="1"/>
    <n v="2675.2460000000001"/>
    <n v="0"/>
    <x v="2"/>
    <x v="0"/>
    <x v="0"/>
    <n v="4"/>
  </r>
  <r>
    <n v="3"/>
    <d v="2019-01-21T00:00:00"/>
    <x v="2"/>
    <n v="798.4129999999999"/>
    <n v="0"/>
    <x v="2"/>
    <x v="0"/>
    <x v="0"/>
    <n v="4"/>
  </r>
  <r>
    <n v="3"/>
    <d v="2019-01-21T00:00:00"/>
    <x v="0"/>
    <n v="2983.0429999999997"/>
    <n v="0"/>
    <x v="2"/>
    <x v="0"/>
    <x v="0"/>
    <n v="4"/>
  </r>
  <r>
    <n v="3"/>
    <d v="2019-01-22T00:00:00"/>
    <x v="1"/>
    <n v="2948.6170000000002"/>
    <n v="0"/>
    <x v="2"/>
    <x v="0"/>
    <x v="0"/>
    <n v="4"/>
  </r>
  <r>
    <n v="3"/>
    <d v="2019-01-22T00:00:00"/>
    <x v="2"/>
    <n v="737.56899999999996"/>
    <n v="0"/>
    <x v="2"/>
    <x v="0"/>
    <x v="0"/>
    <n v="4"/>
  </r>
  <r>
    <n v="3"/>
    <d v="2019-01-22T00:00:00"/>
    <x v="0"/>
    <n v="2754.2550000000001"/>
    <n v="0"/>
    <x v="2"/>
    <x v="0"/>
    <x v="0"/>
    <n v="4"/>
  </r>
  <r>
    <n v="3"/>
    <d v="2019-01-22T00:00:00"/>
    <x v="3"/>
    <n v="162.84799999999998"/>
    <n v="0"/>
    <x v="2"/>
    <x v="0"/>
    <x v="0"/>
    <n v="4"/>
  </r>
  <r>
    <n v="3"/>
    <d v="2019-01-23T00:00:00"/>
    <x v="1"/>
    <n v="3282.7339999999999"/>
    <n v="0"/>
    <x v="2"/>
    <x v="0"/>
    <x v="0"/>
    <n v="4"/>
  </r>
  <r>
    <n v="3"/>
    <d v="2019-01-23T00:00:00"/>
    <x v="3"/>
    <n v="98.259"/>
    <n v="0"/>
    <x v="2"/>
    <x v="0"/>
    <x v="0"/>
    <n v="4"/>
  </r>
  <r>
    <n v="3"/>
    <d v="2019-01-23T00:00:00"/>
    <x v="0"/>
    <n v="3011.3159999999998"/>
    <n v="0"/>
    <x v="2"/>
    <x v="0"/>
    <x v="0"/>
    <n v="4"/>
  </r>
  <r>
    <n v="3"/>
    <d v="2019-01-23T00:00:00"/>
    <x v="2"/>
    <n v="866.25699999999995"/>
    <n v="0"/>
    <x v="2"/>
    <x v="0"/>
    <x v="0"/>
    <n v="4"/>
  </r>
  <r>
    <n v="3"/>
    <d v="2019-01-24T00:00:00"/>
    <x v="2"/>
    <n v="944.02699999999982"/>
    <n v="0"/>
    <x v="2"/>
    <x v="0"/>
    <x v="0"/>
    <n v="4"/>
  </r>
  <r>
    <n v="3"/>
    <d v="2019-01-24T00:00:00"/>
    <x v="1"/>
    <n v="3313.8209999999995"/>
    <n v="0"/>
    <x v="2"/>
    <x v="0"/>
    <x v="0"/>
    <n v="4"/>
  </r>
  <r>
    <n v="3"/>
    <d v="2019-01-24T00:00:00"/>
    <x v="0"/>
    <n v="3552.1499999999996"/>
    <n v="0"/>
    <x v="2"/>
    <x v="0"/>
    <x v="0"/>
    <n v="4"/>
  </r>
  <r>
    <n v="3"/>
    <d v="2019-01-24T00:00:00"/>
    <x v="3"/>
    <n v="0"/>
    <n v="0"/>
    <x v="2"/>
    <x v="0"/>
    <x v="0"/>
    <n v="4"/>
  </r>
  <r>
    <n v="3"/>
    <d v="2019-01-25T00:00:00"/>
    <x v="2"/>
    <n v="1487.836"/>
    <n v="0"/>
    <x v="2"/>
    <x v="0"/>
    <x v="0"/>
    <n v="4"/>
  </r>
  <r>
    <n v="3"/>
    <d v="2019-01-25T00:00:00"/>
    <x v="0"/>
    <n v="4225.1229999999996"/>
    <n v="0"/>
    <x v="2"/>
    <x v="0"/>
    <x v="0"/>
    <n v="4"/>
  </r>
  <r>
    <n v="3"/>
    <d v="2019-01-25T00:00:00"/>
    <x v="3"/>
    <n v="167.85999999999999"/>
    <n v="0"/>
    <x v="2"/>
    <x v="0"/>
    <x v="0"/>
    <n v="4"/>
  </r>
  <r>
    <n v="3"/>
    <d v="2019-01-25T00:00:00"/>
    <x v="1"/>
    <n v="3343.6969999999997"/>
    <n v="0"/>
    <x v="2"/>
    <x v="0"/>
    <x v="0"/>
    <n v="4"/>
  </r>
  <r>
    <n v="3"/>
    <d v="2019-01-26T00:00:00"/>
    <x v="0"/>
    <n v="3958.3809999999999"/>
    <n v="0"/>
    <x v="2"/>
    <x v="0"/>
    <x v="0"/>
    <n v="4"/>
  </r>
  <r>
    <n v="3"/>
    <d v="2019-01-26T00:00:00"/>
    <x v="2"/>
    <n v="1046.269"/>
    <n v="0"/>
    <x v="2"/>
    <x v="0"/>
    <x v="0"/>
    <n v="4"/>
  </r>
  <r>
    <n v="3"/>
    <d v="2019-01-26T00:00:00"/>
    <x v="1"/>
    <n v="3306.625"/>
    <n v="0"/>
    <x v="2"/>
    <x v="0"/>
    <x v="0"/>
    <n v="4"/>
  </r>
  <r>
    <n v="3"/>
    <d v="2019-01-26T00:00:00"/>
    <x v="3"/>
    <n v="0"/>
    <n v="0"/>
    <x v="2"/>
    <x v="0"/>
    <x v="0"/>
    <n v="4"/>
  </r>
  <r>
    <n v="3"/>
    <d v="2019-01-27T00:00:00"/>
    <x v="3"/>
    <n v="177.64599999999999"/>
    <n v="0"/>
    <x v="2"/>
    <x v="0"/>
    <x v="0"/>
    <n v="4"/>
  </r>
  <r>
    <n v="3"/>
    <d v="2019-01-27T00:00:00"/>
    <x v="1"/>
    <n v="2899.232"/>
    <n v="0"/>
    <x v="2"/>
    <x v="0"/>
    <x v="0"/>
    <n v="4"/>
  </r>
  <r>
    <n v="3"/>
    <d v="2019-01-27T00:00:00"/>
    <x v="2"/>
    <n v="682.70299999999997"/>
    <n v="0"/>
    <x v="2"/>
    <x v="0"/>
    <x v="0"/>
    <n v="4"/>
  </r>
  <r>
    <n v="3"/>
    <d v="2019-01-27T00:00:00"/>
    <x v="0"/>
    <n v="2816.9189999999999"/>
    <n v="0"/>
    <x v="2"/>
    <x v="0"/>
    <x v="0"/>
    <n v="4"/>
  </r>
  <r>
    <n v="3"/>
    <d v="2019-01-28T00:00:00"/>
    <x v="2"/>
    <n v="771.14100000000008"/>
    <n v="0"/>
    <x v="2"/>
    <x v="0"/>
    <x v="1"/>
    <n v="1"/>
  </r>
  <r>
    <n v="3"/>
    <d v="2019-01-28T00:00:00"/>
    <x v="3"/>
    <n v="133.56700000000001"/>
    <n v="0"/>
    <x v="2"/>
    <x v="0"/>
    <x v="1"/>
    <n v="1"/>
  </r>
  <r>
    <n v="3"/>
    <d v="2019-01-28T00:00:00"/>
    <x v="0"/>
    <n v="2832.991"/>
    <n v="0"/>
    <x v="2"/>
    <x v="0"/>
    <x v="1"/>
    <n v="1"/>
  </r>
  <r>
    <n v="3"/>
    <d v="2019-01-28T00:00:00"/>
    <x v="1"/>
    <n v="2856.1539999999995"/>
    <n v="0"/>
    <x v="2"/>
    <x v="0"/>
    <x v="1"/>
    <n v="1"/>
  </r>
  <r>
    <n v="3"/>
    <d v="2019-01-29T00:00:00"/>
    <x v="1"/>
    <n v="3208.3379999999997"/>
    <n v="0"/>
    <x v="2"/>
    <x v="0"/>
    <x v="1"/>
    <n v="1"/>
  </r>
  <r>
    <n v="3"/>
    <d v="2019-01-29T00:00:00"/>
    <x v="0"/>
    <n v="3164.3989999999994"/>
    <n v="0"/>
    <x v="2"/>
    <x v="0"/>
    <x v="1"/>
    <n v="1"/>
  </r>
  <r>
    <n v="3"/>
    <d v="2019-01-29T00:00:00"/>
    <x v="3"/>
    <n v="0"/>
    <n v="0"/>
    <x v="2"/>
    <x v="0"/>
    <x v="1"/>
    <n v="1"/>
  </r>
  <r>
    <n v="3"/>
    <d v="2019-01-29T00:00:00"/>
    <x v="2"/>
    <n v="582.51899999999989"/>
    <n v="0"/>
    <x v="2"/>
    <x v="0"/>
    <x v="1"/>
    <n v="1"/>
  </r>
  <r>
    <n v="3"/>
    <d v="2019-01-30T00:00:00"/>
    <x v="2"/>
    <n v="764.25299999999993"/>
    <n v="0"/>
    <x v="2"/>
    <x v="0"/>
    <x v="1"/>
    <n v="1"/>
  </r>
  <r>
    <n v="3"/>
    <d v="2019-01-30T00:00:00"/>
    <x v="3"/>
    <n v="153.85999999999999"/>
    <n v="0"/>
    <x v="2"/>
    <x v="0"/>
    <x v="1"/>
    <n v="1"/>
  </r>
  <r>
    <n v="3"/>
    <d v="2019-01-30T00:00:00"/>
    <x v="0"/>
    <n v="3267.0889999999999"/>
    <n v="0"/>
    <x v="2"/>
    <x v="0"/>
    <x v="1"/>
    <n v="1"/>
  </r>
  <r>
    <n v="3"/>
    <d v="2019-01-30T00:00:00"/>
    <x v="1"/>
    <n v="3541.4049999999997"/>
    <n v="0"/>
    <x v="2"/>
    <x v="0"/>
    <x v="1"/>
    <n v="1"/>
  </r>
  <r>
    <n v="3"/>
    <d v="2019-01-31T00:00:00"/>
    <x v="2"/>
    <n v="870.83499999999992"/>
    <n v="0"/>
    <x v="2"/>
    <x v="0"/>
    <x v="1"/>
    <n v="1"/>
  </r>
  <r>
    <n v="3"/>
    <d v="2019-01-31T00:00:00"/>
    <x v="3"/>
    <n v="35.678999999999995"/>
    <n v="0"/>
    <x v="2"/>
    <x v="0"/>
    <x v="1"/>
    <n v="1"/>
  </r>
  <r>
    <n v="3"/>
    <d v="2019-01-31T00:00:00"/>
    <x v="0"/>
    <n v="3353.098"/>
    <n v="0"/>
    <x v="2"/>
    <x v="0"/>
    <x v="1"/>
    <n v="1"/>
  </r>
  <r>
    <n v="3"/>
    <d v="2019-01-31T00:00:00"/>
    <x v="1"/>
    <n v="3163.2159999999999"/>
    <n v="0"/>
    <x v="2"/>
    <x v="0"/>
    <x v="1"/>
    <n v="1"/>
  </r>
  <r>
    <n v="3"/>
    <d v="2019-02-01T00:00:00"/>
    <x v="1"/>
    <n v="3559.1570000000002"/>
    <n v="0"/>
    <x v="2"/>
    <x v="0"/>
    <x v="1"/>
    <n v="1"/>
  </r>
  <r>
    <n v="3"/>
    <d v="2019-02-01T00:00:00"/>
    <x v="3"/>
    <n v="134.32999999999998"/>
    <n v="0"/>
    <x v="2"/>
    <x v="0"/>
    <x v="1"/>
    <n v="1"/>
  </r>
  <r>
    <n v="3"/>
    <d v="2019-02-01T00:00:00"/>
    <x v="0"/>
    <n v="4015.2559999999999"/>
    <n v="0"/>
    <x v="2"/>
    <x v="0"/>
    <x v="1"/>
    <n v="1"/>
  </r>
  <r>
    <n v="3"/>
    <d v="2019-02-01T00:00:00"/>
    <x v="2"/>
    <n v="1103.5359999999998"/>
    <n v="0"/>
    <x v="2"/>
    <x v="0"/>
    <x v="1"/>
    <n v="1"/>
  </r>
  <r>
    <n v="3"/>
    <d v="2019-02-02T00:00:00"/>
    <x v="1"/>
    <n v="3333.2459999999996"/>
    <n v="0"/>
    <x v="2"/>
    <x v="0"/>
    <x v="1"/>
    <n v="1"/>
  </r>
  <r>
    <n v="3"/>
    <d v="2019-02-02T00:00:00"/>
    <x v="3"/>
    <n v="75.509"/>
    <n v="0"/>
    <x v="2"/>
    <x v="0"/>
    <x v="1"/>
    <n v="1"/>
  </r>
  <r>
    <n v="3"/>
    <d v="2019-02-02T00:00:00"/>
    <x v="2"/>
    <n v="910.03499999999985"/>
    <n v="0"/>
    <x v="2"/>
    <x v="0"/>
    <x v="1"/>
    <n v="1"/>
  </r>
  <r>
    <n v="3"/>
    <d v="2019-02-02T00:00:00"/>
    <x v="0"/>
    <n v="3712.9539999999997"/>
    <n v="0"/>
    <x v="2"/>
    <x v="0"/>
    <x v="1"/>
    <n v="1"/>
  </r>
  <r>
    <n v="3"/>
    <d v="2019-02-03T00:00:00"/>
    <x v="0"/>
    <n v="1649.3889999999999"/>
    <n v="0"/>
    <x v="2"/>
    <x v="0"/>
    <x v="1"/>
    <n v="1"/>
  </r>
  <r>
    <n v="3"/>
    <d v="2019-02-03T00:00:00"/>
    <x v="1"/>
    <n v="1759.569"/>
    <n v="0"/>
    <x v="2"/>
    <x v="0"/>
    <x v="1"/>
    <n v="1"/>
  </r>
  <r>
    <n v="3"/>
    <d v="2019-02-03T00:00:00"/>
    <x v="2"/>
    <n v="425.17299999999994"/>
    <n v="0"/>
    <x v="2"/>
    <x v="0"/>
    <x v="1"/>
    <n v="1"/>
  </r>
  <r>
    <n v="3"/>
    <d v="2019-02-03T00:00:00"/>
    <x v="3"/>
    <n v="248.80799999999999"/>
    <n v="0"/>
    <x v="2"/>
    <x v="0"/>
    <x v="1"/>
    <n v="1"/>
  </r>
  <r>
    <n v="3"/>
    <d v="2019-02-04T00:00:00"/>
    <x v="3"/>
    <n v="0"/>
    <n v="0"/>
    <x v="2"/>
    <x v="0"/>
    <x v="1"/>
    <n v="2"/>
  </r>
  <r>
    <n v="3"/>
    <d v="2019-02-04T00:00:00"/>
    <x v="1"/>
    <n v="3087.5879999999997"/>
    <n v="0"/>
    <x v="2"/>
    <x v="0"/>
    <x v="1"/>
    <n v="2"/>
  </r>
  <r>
    <n v="3"/>
    <d v="2019-02-04T00:00:00"/>
    <x v="2"/>
    <n v="502.24299999999999"/>
    <n v="0"/>
    <x v="2"/>
    <x v="0"/>
    <x v="1"/>
    <n v="2"/>
  </r>
  <r>
    <n v="3"/>
    <d v="2019-02-04T00:00:00"/>
    <x v="0"/>
    <n v="2811.7109999999998"/>
    <n v="0"/>
    <x v="2"/>
    <x v="0"/>
    <x v="1"/>
    <n v="2"/>
  </r>
  <r>
    <n v="3"/>
    <d v="2019-02-05T00:00:00"/>
    <x v="2"/>
    <n v="817.22899999999993"/>
    <n v="0"/>
    <x v="2"/>
    <x v="0"/>
    <x v="1"/>
    <n v="2"/>
  </r>
  <r>
    <n v="3"/>
    <d v="2019-02-05T00:00:00"/>
    <x v="0"/>
    <n v="3106.663"/>
    <n v="0"/>
    <x v="2"/>
    <x v="0"/>
    <x v="1"/>
    <n v="2"/>
  </r>
  <r>
    <n v="3"/>
    <d v="2019-02-05T00:00:00"/>
    <x v="3"/>
    <n v="348.55099999999999"/>
    <n v="0"/>
    <x v="2"/>
    <x v="0"/>
    <x v="1"/>
    <n v="2"/>
  </r>
  <r>
    <n v="3"/>
    <d v="2019-02-05T00:00:00"/>
    <x v="1"/>
    <n v="3408.8179999999998"/>
    <n v="0"/>
    <x v="2"/>
    <x v="0"/>
    <x v="1"/>
    <n v="2"/>
  </r>
  <r>
    <n v="3"/>
    <d v="2019-02-06T00:00:00"/>
    <x v="2"/>
    <n v="903.00699999999995"/>
    <n v="0"/>
    <x v="2"/>
    <x v="0"/>
    <x v="1"/>
    <n v="2"/>
  </r>
  <r>
    <n v="3"/>
    <d v="2019-02-06T00:00:00"/>
    <x v="1"/>
    <n v="2927.1759999999999"/>
    <n v="0"/>
    <x v="2"/>
    <x v="0"/>
    <x v="1"/>
    <n v="2"/>
  </r>
  <r>
    <n v="3"/>
    <d v="2019-02-06T00:00:00"/>
    <x v="3"/>
    <n v="0"/>
    <n v="0"/>
    <x v="2"/>
    <x v="0"/>
    <x v="1"/>
    <n v="2"/>
  </r>
  <r>
    <n v="3"/>
    <d v="2019-02-06T00:00:00"/>
    <x v="0"/>
    <n v="3112.6269999999995"/>
    <n v="0"/>
    <x v="2"/>
    <x v="0"/>
    <x v="1"/>
    <n v="2"/>
  </r>
  <r>
    <n v="3"/>
    <d v="2019-02-07T00:00:00"/>
    <x v="3"/>
    <n v="395.48599999999999"/>
    <n v="0"/>
    <x v="2"/>
    <x v="0"/>
    <x v="1"/>
    <n v="2"/>
  </r>
  <r>
    <n v="3"/>
    <d v="2019-02-07T00:00:00"/>
    <x v="2"/>
    <n v="663.96399999999994"/>
    <n v="0"/>
    <x v="2"/>
    <x v="0"/>
    <x v="1"/>
    <n v="2"/>
  </r>
  <r>
    <n v="3"/>
    <d v="2019-02-07T00:00:00"/>
    <x v="0"/>
    <n v="2832.0039999999999"/>
    <n v="0"/>
    <x v="2"/>
    <x v="0"/>
    <x v="1"/>
    <n v="2"/>
  </r>
  <r>
    <n v="3"/>
    <d v="2019-02-07T00:00:00"/>
    <x v="1"/>
    <n v="3354.8689999999997"/>
    <n v="0"/>
    <x v="2"/>
    <x v="0"/>
    <x v="1"/>
    <n v="2"/>
  </r>
  <r>
    <n v="3"/>
    <d v="2019-02-08T00:00:00"/>
    <x v="2"/>
    <n v="1036.133"/>
    <n v="0"/>
    <x v="2"/>
    <x v="0"/>
    <x v="1"/>
    <n v="2"/>
  </r>
  <r>
    <n v="3"/>
    <d v="2019-02-08T00:00:00"/>
    <x v="0"/>
    <n v="4191.5369999999994"/>
    <n v="0"/>
    <x v="2"/>
    <x v="0"/>
    <x v="1"/>
    <n v="2"/>
  </r>
  <r>
    <n v="3"/>
    <d v="2019-02-08T00:00:00"/>
    <x v="3"/>
    <n v="0"/>
    <n v="0"/>
    <x v="2"/>
    <x v="0"/>
    <x v="1"/>
    <n v="2"/>
  </r>
  <r>
    <n v="3"/>
    <d v="2019-02-08T00:00:00"/>
    <x v="1"/>
    <n v="3804.5489999999995"/>
    <n v="0"/>
    <x v="2"/>
    <x v="0"/>
    <x v="1"/>
    <n v="2"/>
  </r>
  <r>
    <n v="3"/>
    <d v="2019-02-09T00:00:00"/>
    <x v="2"/>
    <n v="788.5569999999999"/>
    <n v="0"/>
    <x v="2"/>
    <x v="0"/>
    <x v="1"/>
    <n v="2"/>
  </r>
  <r>
    <n v="3"/>
    <d v="2019-02-09T00:00:00"/>
    <x v="0"/>
    <n v="3763.0390000000002"/>
    <n v="0"/>
    <x v="2"/>
    <x v="0"/>
    <x v="1"/>
    <n v="2"/>
  </r>
  <r>
    <n v="3"/>
    <d v="2019-02-09T00:00:00"/>
    <x v="1"/>
    <n v="3385.7809999999999"/>
    <n v="0"/>
    <x v="2"/>
    <x v="0"/>
    <x v="1"/>
    <n v="2"/>
  </r>
  <r>
    <n v="3"/>
    <d v="2019-02-09T00:00:00"/>
    <x v="3"/>
    <n v="0"/>
    <n v="0"/>
    <x v="2"/>
    <x v="0"/>
    <x v="1"/>
    <n v="2"/>
  </r>
  <r>
    <n v="3"/>
    <d v="2019-02-10T00:00:00"/>
    <x v="2"/>
    <n v="396.83699999999993"/>
    <n v="0"/>
    <x v="2"/>
    <x v="0"/>
    <x v="1"/>
    <n v="2"/>
  </r>
  <r>
    <n v="3"/>
    <d v="2019-02-10T00:00:00"/>
    <x v="0"/>
    <n v="2000.7539999999997"/>
    <n v="0"/>
    <x v="2"/>
    <x v="0"/>
    <x v="1"/>
    <n v="2"/>
  </r>
  <r>
    <n v="3"/>
    <d v="2019-02-10T00:00:00"/>
    <x v="3"/>
    <n v="0"/>
    <n v="0"/>
    <x v="2"/>
    <x v="0"/>
    <x v="1"/>
    <n v="2"/>
  </r>
  <r>
    <n v="3"/>
    <d v="2019-02-10T00:00:00"/>
    <x v="1"/>
    <n v="2391.5990000000002"/>
    <n v="0"/>
    <x v="2"/>
    <x v="0"/>
    <x v="1"/>
    <n v="2"/>
  </r>
  <r>
    <n v="3"/>
    <d v="2019-02-11T00:00:00"/>
    <x v="0"/>
    <n v="2791.2080000000001"/>
    <n v="0"/>
    <x v="2"/>
    <x v="0"/>
    <x v="1"/>
    <n v="3"/>
  </r>
  <r>
    <n v="3"/>
    <d v="2019-02-11T00:00:00"/>
    <x v="1"/>
    <n v="3242.4629999999997"/>
    <n v="0"/>
    <x v="2"/>
    <x v="0"/>
    <x v="1"/>
    <n v="3"/>
  </r>
  <r>
    <n v="3"/>
    <d v="2019-02-11T00:00:00"/>
    <x v="3"/>
    <n v="0"/>
    <n v="0"/>
    <x v="2"/>
    <x v="0"/>
    <x v="1"/>
    <n v="3"/>
  </r>
  <r>
    <n v="3"/>
    <d v="2019-02-11T00:00:00"/>
    <x v="2"/>
    <n v="640.96899999999994"/>
    <n v="0"/>
    <x v="2"/>
    <x v="0"/>
    <x v="1"/>
    <n v="3"/>
  </r>
  <r>
    <n v="3"/>
    <d v="2019-02-12T00:00:00"/>
    <x v="0"/>
    <n v="3011.1899999999996"/>
    <n v="0"/>
    <x v="2"/>
    <x v="0"/>
    <x v="1"/>
    <n v="3"/>
  </r>
  <r>
    <n v="3"/>
    <d v="2019-02-12T00:00:00"/>
    <x v="1"/>
    <n v="2921.7089999999998"/>
    <n v="0"/>
    <x v="2"/>
    <x v="0"/>
    <x v="1"/>
    <n v="3"/>
  </r>
  <r>
    <n v="3"/>
    <d v="2019-02-12T00:00:00"/>
    <x v="2"/>
    <n v="854.22399999999993"/>
    <n v="0"/>
    <x v="2"/>
    <x v="0"/>
    <x v="1"/>
    <n v="3"/>
  </r>
  <r>
    <n v="3"/>
    <d v="2019-02-12T00:00:00"/>
    <x v="3"/>
    <n v="236.404"/>
    <n v="0"/>
    <x v="2"/>
    <x v="0"/>
    <x v="1"/>
    <n v="3"/>
  </r>
  <r>
    <n v="3"/>
    <d v="2019-02-13T00:00:00"/>
    <x v="3"/>
    <n v="188.125"/>
    <n v="0"/>
    <x v="2"/>
    <x v="0"/>
    <x v="1"/>
    <n v="3"/>
  </r>
  <r>
    <n v="3"/>
    <d v="2019-02-13T00:00:00"/>
    <x v="2"/>
    <n v="905.26799999999992"/>
    <n v="0"/>
    <x v="2"/>
    <x v="0"/>
    <x v="1"/>
    <n v="3"/>
  </r>
  <r>
    <n v="3"/>
    <d v="2019-02-13T00:00:00"/>
    <x v="1"/>
    <n v="3468.4579999999996"/>
    <n v="0"/>
    <x v="2"/>
    <x v="0"/>
    <x v="1"/>
    <n v="3"/>
  </r>
  <r>
    <n v="3"/>
    <d v="2019-02-13T00:00:00"/>
    <x v="0"/>
    <n v="2873.444"/>
    <n v="0"/>
    <x v="2"/>
    <x v="0"/>
    <x v="1"/>
    <n v="3"/>
  </r>
  <r>
    <n v="3"/>
    <d v="2019-02-14T00:00:00"/>
    <x v="2"/>
    <n v="1320.375"/>
    <n v="0"/>
    <x v="2"/>
    <x v="0"/>
    <x v="1"/>
    <n v="3"/>
  </r>
  <r>
    <n v="3"/>
    <d v="2019-02-14T00:00:00"/>
    <x v="1"/>
    <n v="3435.11"/>
    <n v="0"/>
    <x v="2"/>
    <x v="0"/>
    <x v="1"/>
    <n v="3"/>
  </r>
  <r>
    <n v="3"/>
    <d v="2019-02-14T00:00:00"/>
    <x v="0"/>
    <n v="3711.2599999999998"/>
    <n v="0"/>
    <x v="2"/>
    <x v="0"/>
    <x v="1"/>
    <n v="3"/>
  </r>
  <r>
    <n v="3"/>
    <d v="2019-02-14T00:00:00"/>
    <x v="3"/>
    <n v="0"/>
    <n v="0"/>
    <x v="2"/>
    <x v="0"/>
    <x v="1"/>
    <n v="3"/>
  </r>
  <r>
    <n v="3"/>
    <d v="2019-02-15T00:00:00"/>
    <x v="0"/>
    <n v="3753.6099999999997"/>
    <n v="0"/>
    <x v="2"/>
    <x v="0"/>
    <x v="1"/>
    <n v="3"/>
  </r>
  <r>
    <n v="3"/>
    <d v="2019-02-15T00:00:00"/>
    <x v="2"/>
    <n v="734.41899999999998"/>
    <n v="0"/>
    <x v="2"/>
    <x v="0"/>
    <x v="1"/>
    <n v="3"/>
  </r>
  <r>
    <n v="3"/>
    <d v="2019-02-15T00:00:00"/>
    <x v="3"/>
    <n v="0"/>
    <n v="0"/>
    <x v="2"/>
    <x v="0"/>
    <x v="1"/>
    <n v="3"/>
  </r>
  <r>
    <n v="3"/>
    <d v="2019-02-15T00:00:00"/>
    <x v="1"/>
    <n v="3302.0749999999998"/>
    <n v="0"/>
    <x v="2"/>
    <x v="0"/>
    <x v="1"/>
    <n v="3"/>
  </r>
  <r>
    <n v="3"/>
    <d v="2019-02-16T00:00:00"/>
    <x v="0"/>
    <n v="3395.8049999999994"/>
    <n v="0"/>
    <x v="2"/>
    <x v="0"/>
    <x v="1"/>
    <n v="3"/>
  </r>
  <r>
    <n v="3"/>
    <d v="2019-02-16T00:00:00"/>
    <x v="3"/>
    <n v="409.822"/>
    <n v="0"/>
    <x v="2"/>
    <x v="0"/>
    <x v="1"/>
    <n v="3"/>
  </r>
  <r>
    <n v="3"/>
    <d v="2019-02-16T00:00:00"/>
    <x v="2"/>
    <n v="766.64"/>
    <n v="0"/>
    <x v="2"/>
    <x v="0"/>
    <x v="1"/>
    <n v="3"/>
  </r>
  <r>
    <n v="3"/>
    <d v="2019-02-16T00:00:00"/>
    <x v="1"/>
    <n v="3440.5"/>
    <n v="0"/>
    <x v="2"/>
    <x v="0"/>
    <x v="1"/>
    <n v="3"/>
  </r>
  <r>
    <n v="3"/>
    <d v="2019-02-17T00:00:00"/>
    <x v="0"/>
    <n v="2368.3029999999999"/>
    <n v="0"/>
    <x v="2"/>
    <x v="0"/>
    <x v="1"/>
    <n v="3"/>
  </r>
  <r>
    <n v="3"/>
    <d v="2019-02-17T00:00:00"/>
    <x v="2"/>
    <n v="455.30099999999993"/>
    <n v="0"/>
    <x v="2"/>
    <x v="0"/>
    <x v="1"/>
    <n v="3"/>
  </r>
  <r>
    <n v="3"/>
    <d v="2019-02-17T00:00:00"/>
    <x v="3"/>
    <n v="0"/>
    <n v="0"/>
    <x v="2"/>
    <x v="0"/>
    <x v="1"/>
    <n v="3"/>
  </r>
  <r>
    <n v="3"/>
    <d v="2019-02-17T00:00:00"/>
    <x v="1"/>
    <n v="2434.3339999999998"/>
    <n v="0"/>
    <x v="2"/>
    <x v="0"/>
    <x v="1"/>
    <n v="3"/>
  </r>
  <r>
    <n v="3"/>
    <d v="2019-02-18T00:00:00"/>
    <x v="0"/>
    <n v="3559.5279999999998"/>
    <n v="0"/>
    <x v="2"/>
    <x v="0"/>
    <x v="1"/>
    <n v="4"/>
  </r>
  <r>
    <n v="3"/>
    <d v="2019-02-18T00:00:00"/>
    <x v="1"/>
    <n v="3449.8239999999996"/>
    <n v="0"/>
    <x v="2"/>
    <x v="0"/>
    <x v="1"/>
    <n v="4"/>
  </r>
  <r>
    <n v="3"/>
    <d v="2019-02-18T00:00:00"/>
    <x v="2"/>
    <n v="928.75299999999993"/>
    <n v="0"/>
    <x v="2"/>
    <x v="0"/>
    <x v="1"/>
    <n v="4"/>
  </r>
  <r>
    <n v="3"/>
    <d v="2019-02-18T00:00:00"/>
    <x v="3"/>
    <n v="15.519"/>
    <n v="0"/>
    <x v="2"/>
    <x v="0"/>
    <x v="1"/>
    <n v="4"/>
  </r>
  <r>
    <n v="3"/>
    <d v="2019-02-19T00:00:00"/>
    <x v="0"/>
    <n v="3104.2059999999997"/>
    <n v="0"/>
    <x v="2"/>
    <x v="0"/>
    <x v="1"/>
    <n v="4"/>
  </r>
  <r>
    <n v="3"/>
    <d v="2019-02-19T00:00:00"/>
    <x v="3"/>
    <n v="0"/>
    <n v="0"/>
    <x v="2"/>
    <x v="0"/>
    <x v="1"/>
    <n v="4"/>
  </r>
  <r>
    <n v="3"/>
    <d v="2019-02-19T00:00:00"/>
    <x v="2"/>
    <n v="525.74900000000002"/>
    <n v="0"/>
    <x v="2"/>
    <x v="0"/>
    <x v="1"/>
    <n v="4"/>
  </r>
  <r>
    <n v="3"/>
    <d v="2019-02-19T00:00:00"/>
    <x v="1"/>
    <n v="3592.5609999999992"/>
    <n v="0"/>
    <x v="2"/>
    <x v="0"/>
    <x v="1"/>
    <n v="4"/>
  </r>
  <r>
    <n v="3"/>
    <d v="2019-02-20T00:00:00"/>
    <x v="1"/>
    <n v="2861.5229999999997"/>
    <n v="0"/>
    <x v="2"/>
    <x v="0"/>
    <x v="1"/>
    <n v="4"/>
  </r>
  <r>
    <n v="3"/>
    <d v="2019-02-20T00:00:00"/>
    <x v="2"/>
    <n v="703.15"/>
    <n v="0"/>
    <x v="2"/>
    <x v="0"/>
    <x v="1"/>
    <n v="4"/>
  </r>
  <r>
    <n v="3"/>
    <d v="2019-02-20T00:00:00"/>
    <x v="0"/>
    <n v="2843.1129999999998"/>
    <n v="0"/>
    <x v="2"/>
    <x v="0"/>
    <x v="1"/>
    <n v="4"/>
  </r>
  <r>
    <n v="3"/>
    <d v="2019-02-20T00:00:00"/>
    <x v="3"/>
    <n v="481.48099999999999"/>
    <n v="0"/>
    <x v="2"/>
    <x v="0"/>
    <x v="1"/>
    <n v="4"/>
  </r>
  <r>
    <n v="3"/>
    <d v="2019-02-21T00:00:00"/>
    <x v="0"/>
    <n v="3098.0529999999999"/>
    <n v="0"/>
    <x v="2"/>
    <x v="0"/>
    <x v="1"/>
    <n v="4"/>
  </r>
  <r>
    <n v="3"/>
    <d v="2019-02-21T00:00:00"/>
    <x v="1"/>
    <n v="3325.1260000000002"/>
    <n v="0"/>
    <x v="2"/>
    <x v="0"/>
    <x v="1"/>
    <n v="4"/>
  </r>
  <r>
    <n v="3"/>
    <d v="2019-02-21T00:00:00"/>
    <x v="3"/>
    <n v="0"/>
    <n v="0"/>
    <x v="2"/>
    <x v="0"/>
    <x v="1"/>
    <n v="4"/>
  </r>
  <r>
    <n v="3"/>
    <d v="2019-02-21T00:00:00"/>
    <x v="2"/>
    <n v="836.13599999999997"/>
    <n v="0"/>
    <x v="2"/>
    <x v="0"/>
    <x v="1"/>
    <n v="4"/>
  </r>
  <r>
    <n v="3"/>
    <d v="2019-02-22T00:00:00"/>
    <x v="1"/>
    <n v="3901.3449999999998"/>
    <n v="0"/>
    <x v="2"/>
    <x v="0"/>
    <x v="1"/>
    <n v="4"/>
  </r>
  <r>
    <n v="3"/>
    <d v="2019-02-22T00:00:00"/>
    <x v="2"/>
    <n v="725.21399999999994"/>
    <n v="0"/>
    <x v="2"/>
    <x v="0"/>
    <x v="1"/>
    <n v="4"/>
  </r>
  <r>
    <n v="3"/>
    <d v="2019-02-22T00:00:00"/>
    <x v="3"/>
    <n v="0"/>
    <n v="0"/>
    <x v="2"/>
    <x v="0"/>
    <x v="1"/>
    <n v="4"/>
  </r>
  <r>
    <n v="3"/>
    <d v="2019-02-22T00:00:00"/>
    <x v="0"/>
    <n v="3990.413"/>
    <n v="0"/>
    <x v="2"/>
    <x v="0"/>
    <x v="1"/>
    <n v="4"/>
  </r>
  <r>
    <n v="3"/>
    <d v="2019-02-23T00:00:00"/>
    <x v="0"/>
    <n v="4293.5200000000004"/>
    <n v="0"/>
    <x v="2"/>
    <x v="0"/>
    <x v="1"/>
    <n v="4"/>
  </r>
  <r>
    <n v="3"/>
    <d v="2019-02-23T00:00:00"/>
    <x v="3"/>
    <n v="0"/>
    <n v="0"/>
    <x v="2"/>
    <x v="0"/>
    <x v="1"/>
    <n v="4"/>
  </r>
  <r>
    <n v="3"/>
    <d v="2019-02-23T00:00:00"/>
    <x v="1"/>
    <n v="3896.8999999999996"/>
    <n v="0"/>
    <x v="2"/>
    <x v="0"/>
    <x v="1"/>
    <n v="4"/>
  </r>
  <r>
    <n v="3"/>
    <d v="2019-02-23T00:00:00"/>
    <x v="2"/>
    <n v="983.64"/>
    <n v="0"/>
    <x v="2"/>
    <x v="0"/>
    <x v="1"/>
    <n v="4"/>
  </r>
  <r>
    <n v="3"/>
    <d v="2019-02-24T00:00:00"/>
    <x v="0"/>
    <n v="2588.6770000000001"/>
    <n v="0"/>
    <x v="2"/>
    <x v="0"/>
    <x v="1"/>
    <n v="4"/>
  </r>
  <r>
    <n v="3"/>
    <d v="2019-02-24T00:00:00"/>
    <x v="2"/>
    <n v="622.13199999999995"/>
    <n v="0"/>
    <x v="2"/>
    <x v="0"/>
    <x v="1"/>
    <n v="4"/>
  </r>
  <r>
    <n v="3"/>
    <d v="2019-02-24T00:00:00"/>
    <x v="3"/>
    <n v="0"/>
    <n v="0"/>
    <x v="2"/>
    <x v="0"/>
    <x v="1"/>
    <n v="4"/>
  </r>
  <r>
    <n v="3"/>
    <d v="2019-02-24T00:00:00"/>
    <x v="1"/>
    <n v="2606.3029999999999"/>
    <n v="0"/>
    <x v="2"/>
    <x v="0"/>
    <x v="1"/>
    <n v="4"/>
  </r>
  <r>
    <n v="3"/>
    <d v="2019-02-25T00:00:00"/>
    <x v="2"/>
    <n v="548.39399999999989"/>
    <n v="0"/>
    <x v="2"/>
    <x v="0"/>
    <x v="2"/>
    <n v="1"/>
  </r>
  <r>
    <n v="3"/>
    <d v="2019-02-25T00:00:00"/>
    <x v="1"/>
    <n v="3254.5309999999999"/>
    <n v="0"/>
    <x v="2"/>
    <x v="0"/>
    <x v="2"/>
    <n v="1"/>
  </r>
  <r>
    <n v="3"/>
    <d v="2019-02-25T00:00:00"/>
    <x v="0"/>
    <n v="2687.377"/>
    <n v="0"/>
    <x v="2"/>
    <x v="0"/>
    <x v="2"/>
    <n v="1"/>
  </r>
  <r>
    <n v="3"/>
    <d v="2019-02-25T00:00:00"/>
    <x v="3"/>
    <n v="0"/>
    <n v="0"/>
    <x v="2"/>
    <x v="0"/>
    <x v="2"/>
    <n v="1"/>
  </r>
  <r>
    <n v="3"/>
    <d v="2019-02-26T00:00:00"/>
    <x v="0"/>
    <n v="2824.8219999999997"/>
    <n v="0"/>
    <x v="2"/>
    <x v="0"/>
    <x v="2"/>
    <n v="1"/>
  </r>
  <r>
    <n v="3"/>
    <d v="2019-02-26T00:00:00"/>
    <x v="2"/>
    <n v="1009.015"/>
    <n v="0"/>
    <x v="2"/>
    <x v="0"/>
    <x v="2"/>
    <n v="1"/>
  </r>
  <r>
    <n v="3"/>
    <d v="2019-02-26T00:00:00"/>
    <x v="1"/>
    <n v="3580.192"/>
    <n v="0"/>
    <x v="2"/>
    <x v="0"/>
    <x v="2"/>
    <n v="1"/>
  </r>
  <r>
    <n v="3"/>
    <d v="2019-02-26T00:00:00"/>
    <x v="3"/>
    <n v="0"/>
    <n v="0"/>
    <x v="2"/>
    <x v="0"/>
    <x v="2"/>
    <n v="1"/>
  </r>
  <r>
    <n v="3"/>
    <d v="2019-02-27T00:00:00"/>
    <x v="1"/>
    <n v="3553.3469999999998"/>
    <n v="0"/>
    <x v="2"/>
    <x v="0"/>
    <x v="2"/>
    <n v="1"/>
  </r>
  <r>
    <n v="3"/>
    <d v="2019-02-27T00:00:00"/>
    <x v="3"/>
    <n v="0"/>
    <n v="0"/>
    <x v="2"/>
    <x v="0"/>
    <x v="2"/>
    <n v="1"/>
  </r>
  <r>
    <n v="3"/>
    <d v="2019-02-27T00:00:00"/>
    <x v="0"/>
    <n v="3235.701"/>
    <n v="0"/>
    <x v="2"/>
    <x v="0"/>
    <x v="2"/>
    <n v="1"/>
  </r>
  <r>
    <n v="3"/>
    <d v="2019-02-27T00:00:00"/>
    <x v="2"/>
    <n v="935.33999999999992"/>
    <n v="0"/>
    <x v="2"/>
    <x v="0"/>
    <x v="2"/>
    <n v="1"/>
  </r>
  <r>
    <n v="3"/>
    <d v="2019-02-28T00:00:00"/>
    <x v="2"/>
    <n v="1111.5089999999998"/>
    <n v="0"/>
    <x v="2"/>
    <x v="0"/>
    <x v="2"/>
    <n v="1"/>
  </r>
  <r>
    <n v="3"/>
    <d v="2019-02-28T00:00:00"/>
    <x v="0"/>
    <n v="3620.8619999999996"/>
    <n v="0"/>
    <x v="2"/>
    <x v="0"/>
    <x v="2"/>
    <n v="1"/>
  </r>
  <r>
    <n v="3"/>
    <d v="2019-02-28T00:00:00"/>
    <x v="3"/>
    <n v="216.11099999999999"/>
    <n v="0"/>
    <x v="2"/>
    <x v="0"/>
    <x v="2"/>
    <n v="1"/>
  </r>
  <r>
    <n v="3"/>
    <d v="2019-02-28T00:00:00"/>
    <x v="1"/>
    <n v="3676.0359999999996"/>
    <n v="0"/>
    <x v="2"/>
    <x v="0"/>
    <x v="2"/>
    <n v="1"/>
  </r>
  <r>
    <n v="3"/>
    <d v="2019-03-01T00:00:00"/>
    <x v="2"/>
    <n v="1361.6469999999999"/>
    <n v="0"/>
    <x v="2"/>
    <x v="0"/>
    <x v="2"/>
    <n v="1"/>
  </r>
  <r>
    <n v="3"/>
    <d v="2019-03-01T00:00:00"/>
    <x v="3"/>
    <n v="295.07099999999997"/>
    <n v="0"/>
    <x v="2"/>
    <x v="0"/>
    <x v="2"/>
    <n v="1"/>
  </r>
  <r>
    <n v="3"/>
    <d v="2019-03-01T00:00:00"/>
    <x v="1"/>
    <n v="3887.0439999999999"/>
    <n v="0"/>
    <x v="2"/>
    <x v="0"/>
    <x v="2"/>
    <n v="1"/>
  </r>
  <r>
    <n v="3"/>
    <d v="2019-03-01T00:00:00"/>
    <x v="0"/>
    <n v="4563.1809999999996"/>
    <n v="0"/>
    <x v="2"/>
    <x v="0"/>
    <x v="2"/>
    <n v="1"/>
  </r>
  <r>
    <n v="3"/>
    <d v="2019-03-02T00:00:00"/>
    <x v="0"/>
    <n v="3290.7350000000001"/>
    <n v="0"/>
    <x v="2"/>
    <x v="0"/>
    <x v="2"/>
    <n v="1"/>
  </r>
  <r>
    <n v="3"/>
    <d v="2019-03-02T00:00:00"/>
    <x v="3"/>
    <n v="393.33"/>
    <n v="0"/>
    <x v="2"/>
    <x v="0"/>
    <x v="2"/>
    <n v="1"/>
  </r>
  <r>
    <n v="3"/>
    <d v="2019-03-02T00:00:00"/>
    <x v="1"/>
    <n v="3647.0489999999995"/>
    <n v="0"/>
    <x v="2"/>
    <x v="0"/>
    <x v="2"/>
    <n v="1"/>
  </r>
  <r>
    <n v="3"/>
    <d v="2019-03-02T00:00:00"/>
    <x v="2"/>
    <n v="872.17200000000003"/>
    <n v="0"/>
    <x v="2"/>
    <x v="0"/>
    <x v="2"/>
    <n v="1"/>
  </r>
  <r>
    <n v="3"/>
    <d v="2019-03-03T00:00:00"/>
    <x v="3"/>
    <n v="35.994"/>
    <n v="0"/>
    <x v="2"/>
    <x v="0"/>
    <x v="2"/>
    <n v="1"/>
  </r>
  <r>
    <n v="3"/>
    <d v="2019-03-03T00:00:00"/>
    <x v="1"/>
    <n v="2658.6419999999998"/>
    <n v="0"/>
    <x v="2"/>
    <x v="0"/>
    <x v="2"/>
    <n v="1"/>
  </r>
  <r>
    <n v="3"/>
    <d v="2019-03-03T00:00:00"/>
    <x v="2"/>
    <n v="616.09799999999996"/>
    <n v="0"/>
    <x v="2"/>
    <x v="0"/>
    <x v="2"/>
    <n v="1"/>
  </r>
  <r>
    <n v="3"/>
    <d v="2019-03-03T00:00:00"/>
    <x v="0"/>
    <n v="2668.6869999999999"/>
    <n v="0"/>
    <x v="2"/>
    <x v="0"/>
    <x v="2"/>
    <n v="1"/>
  </r>
  <r>
    <n v="3"/>
    <d v="2019-03-04T00:00:00"/>
    <x v="1"/>
    <n v="2990.3649999999998"/>
    <n v="0"/>
    <x v="2"/>
    <x v="0"/>
    <x v="2"/>
    <n v="2"/>
  </r>
  <r>
    <n v="3"/>
    <d v="2019-03-04T00:00:00"/>
    <x v="2"/>
    <n v="654.99"/>
    <n v="0"/>
    <x v="2"/>
    <x v="0"/>
    <x v="2"/>
    <n v="2"/>
  </r>
  <r>
    <n v="3"/>
    <d v="2019-03-04T00:00:00"/>
    <x v="0"/>
    <n v="2892.4209999999998"/>
    <n v="0"/>
    <x v="2"/>
    <x v="0"/>
    <x v="2"/>
    <n v="2"/>
  </r>
  <r>
    <n v="3"/>
    <d v="2019-03-04T00:00:00"/>
    <x v="3"/>
    <n v="203.79799999999997"/>
    <n v="0"/>
    <x v="2"/>
    <x v="0"/>
    <x v="2"/>
    <n v="2"/>
  </r>
  <r>
    <n v="3"/>
    <d v="2019-03-05T00:00:00"/>
    <x v="3"/>
    <n v="0"/>
    <n v="0"/>
    <x v="2"/>
    <x v="0"/>
    <x v="2"/>
    <n v="2"/>
  </r>
  <r>
    <n v="3"/>
    <d v="2019-03-05T00:00:00"/>
    <x v="1"/>
    <n v="2970.2749999999996"/>
    <n v="0"/>
    <x v="2"/>
    <x v="0"/>
    <x v="2"/>
    <n v="2"/>
  </r>
  <r>
    <n v="3"/>
    <d v="2019-03-05T00:00:00"/>
    <x v="0"/>
    <n v="2720.5219999999999"/>
    <n v="0"/>
    <x v="2"/>
    <x v="0"/>
    <x v="2"/>
    <n v="2"/>
  </r>
  <r>
    <n v="3"/>
    <d v="2019-03-05T00:00:00"/>
    <x v="2"/>
    <n v="856.13499999999988"/>
    <n v="0"/>
    <x v="2"/>
    <x v="0"/>
    <x v="2"/>
    <n v="2"/>
  </r>
  <r>
    <n v="3"/>
    <d v="2019-03-06T00:00:00"/>
    <x v="3"/>
    <n v="0"/>
    <n v="0"/>
    <x v="2"/>
    <x v="0"/>
    <x v="2"/>
    <n v="2"/>
  </r>
  <r>
    <n v="3"/>
    <d v="2019-03-06T00:00:00"/>
    <x v="0"/>
    <n v="2674.7279999999996"/>
    <n v="0"/>
    <x v="2"/>
    <x v="0"/>
    <x v="2"/>
    <n v="2"/>
  </r>
  <r>
    <n v="3"/>
    <d v="2019-03-06T00:00:00"/>
    <x v="1"/>
    <n v="3367.9799999999996"/>
    <n v="0"/>
    <x v="2"/>
    <x v="0"/>
    <x v="2"/>
    <n v="2"/>
  </r>
  <r>
    <n v="3"/>
    <d v="2019-03-06T00:00:00"/>
    <x v="2"/>
    <n v="733.69100000000003"/>
    <n v="0"/>
    <x v="2"/>
    <x v="0"/>
    <x v="2"/>
    <n v="2"/>
  </r>
  <r>
    <n v="3"/>
    <d v="2019-03-07T00:00:00"/>
    <x v="0"/>
    <n v="3740.6669999999999"/>
    <n v="0"/>
    <x v="2"/>
    <x v="0"/>
    <x v="2"/>
    <n v="2"/>
  </r>
  <r>
    <n v="3"/>
    <d v="2019-03-07T00:00:00"/>
    <x v="3"/>
    <n v="0"/>
    <n v="0"/>
    <x v="2"/>
    <x v="0"/>
    <x v="2"/>
    <n v="2"/>
  </r>
  <r>
    <n v="3"/>
    <d v="2019-03-07T00:00:00"/>
    <x v="1"/>
    <n v="3520.5099999999998"/>
    <n v="0"/>
    <x v="2"/>
    <x v="0"/>
    <x v="2"/>
    <n v="2"/>
  </r>
  <r>
    <n v="3"/>
    <d v="2019-03-07T00:00:00"/>
    <x v="2"/>
    <n v="813.97399999999993"/>
    <n v="0"/>
    <x v="2"/>
    <x v="0"/>
    <x v="2"/>
    <n v="2"/>
  </r>
  <r>
    <n v="3"/>
    <d v="2019-03-08T00:00:00"/>
    <x v="0"/>
    <n v="3927.2659999999996"/>
    <n v="0"/>
    <x v="2"/>
    <x v="0"/>
    <x v="2"/>
    <n v="2"/>
  </r>
  <r>
    <n v="3"/>
    <d v="2019-03-08T00:00:00"/>
    <x v="2"/>
    <n v="1018.521"/>
    <n v="0"/>
    <x v="2"/>
    <x v="0"/>
    <x v="2"/>
    <n v="2"/>
  </r>
  <r>
    <n v="3"/>
    <d v="2019-03-08T00:00:00"/>
    <x v="1"/>
    <n v="3793.8040000000001"/>
    <n v="0"/>
    <x v="2"/>
    <x v="0"/>
    <x v="2"/>
    <n v="2"/>
  </r>
  <r>
    <n v="3"/>
    <d v="2019-03-08T00:00:00"/>
    <x v="3"/>
    <n v="295.04300000000001"/>
    <n v="0"/>
    <x v="2"/>
    <x v="0"/>
    <x v="2"/>
    <n v="2"/>
  </r>
  <r>
    <n v="3"/>
    <d v="2019-03-09T00:00:00"/>
    <x v="1"/>
    <n v="3457.9019999999996"/>
    <n v="0"/>
    <x v="2"/>
    <x v="0"/>
    <x v="2"/>
    <n v="2"/>
  </r>
  <r>
    <n v="3"/>
    <d v="2019-03-09T00:00:00"/>
    <x v="2"/>
    <n v="1031.0999999999999"/>
    <n v="0"/>
    <x v="2"/>
    <x v="0"/>
    <x v="2"/>
    <n v="2"/>
  </r>
  <r>
    <n v="3"/>
    <d v="2019-03-09T00:00:00"/>
    <x v="0"/>
    <n v="3671.8079999999995"/>
    <n v="0"/>
    <x v="2"/>
    <x v="0"/>
    <x v="2"/>
    <n v="2"/>
  </r>
  <r>
    <n v="3"/>
    <d v="2019-03-09T00:00:00"/>
    <x v="3"/>
    <n v="9.0860000000000003"/>
    <n v="0"/>
    <x v="2"/>
    <x v="0"/>
    <x v="2"/>
    <n v="2"/>
  </r>
  <r>
    <n v="3"/>
    <d v="2019-03-10T00:00:00"/>
    <x v="0"/>
    <n v="2258.8789999999999"/>
    <n v="0"/>
    <x v="2"/>
    <x v="0"/>
    <x v="2"/>
    <n v="2"/>
  </r>
  <r>
    <n v="3"/>
    <d v="2019-03-10T00:00:00"/>
    <x v="1"/>
    <n v="2592.8209999999999"/>
    <n v="0"/>
    <x v="2"/>
    <x v="0"/>
    <x v="2"/>
    <n v="2"/>
  </r>
  <r>
    <n v="3"/>
    <d v="2019-03-10T00:00:00"/>
    <x v="3"/>
    <n v="111.405"/>
    <n v="0"/>
    <x v="2"/>
    <x v="0"/>
    <x v="2"/>
    <n v="2"/>
  </r>
  <r>
    <n v="3"/>
    <d v="2019-03-10T00:00:00"/>
    <x v="2"/>
    <n v="487.78800000000001"/>
    <n v="0"/>
    <x v="2"/>
    <x v="0"/>
    <x v="2"/>
    <n v="2"/>
  </r>
  <r>
    <n v="3"/>
    <d v="2019-03-11T00:00:00"/>
    <x v="3"/>
    <n v="0"/>
    <n v="0"/>
    <x v="2"/>
    <x v="0"/>
    <x v="2"/>
    <n v="3"/>
  </r>
  <r>
    <n v="3"/>
    <d v="2019-03-11T00:00:00"/>
    <x v="0"/>
    <n v="2742.7889999999998"/>
    <n v="0"/>
    <x v="2"/>
    <x v="0"/>
    <x v="2"/>
    <n v="3"/>
  </r>
  <r>
    <n v="3"/>
    <d v="2019-03-11T00:00:00"/>
    <x v="2"/>
    <n v="307.83199999999999"/>
    <n v="0"/>
    <x v="2"/>
    <x v="0"/>
    <x v="2"/>
    <n v="3"/>
  </r>
  <r>
    <n v="3"/>
    <d v="2019-03-11T00:00:00"/>
    <x v="1"/>
    <n v="3064.5509999999999"/>
    <n v="0"/>
    <x v="2"/>
    <x v="0"/>
    <x v="2"/>
    <n v="3"/>
  </r>
  <r>
    <n v="3"/>
    <d v="2019-03-12T00:00:00"/>
    <x v="2"/>
    <n v="1082.3329999999999"/>
    <n v="0"/>
    <x v="2"/>
    <x v="0"/>
    <x v="2"/>
    <n v="3"/>
  </r>
  <r>
    <n v="3"/>
    <d v="2019-03-12T00:00:00"/>
    <x v="0"/>
    <n v="2900.4989999999998"/>
    <n v="0"/>
    <x v="2"/>
    <x v="0"/>
    <x v="2"/>
    <n v="3"/>
  </r>
  <r>
    <n v="3"/>
    <d v="2019-03-12T00:00:00"/>
    <x v="3"/>
    <n v="0"/>
    <n v="0"/>
    <x v="2"/>
    <x v="0"/>
    <x v="2"/>
    <n v="3"/>
  </r>
  <r>
    <n v="3"/>
    <d v="2019-03-12T00:00:00"/>
    <x v="1"/>
    <n v="2888.578"/>
    <n v="0"/>
    <x v="2"/>
    <x v="0"/>
    <x v="2"/>
    <n v="3"/>
  </r>
  <r>
    <n v="3"/>
    <d v="2019-03-13T00:00:00"/>
    <x v="1"/>
    <n v="3194.4569999999999"/>
    <n v="0"/>
    <x v="2"/>
    <x v="0"/>
    <x v="2"/>
    <n v="3"/>
  </r>
  <r>
    <n v="3"/>
    <d v="2019-03-13T00:00:00"/>
    <x v="3"/>
    <n v="26.410999999999998"/>
    <n v="0"/>
    <x v="2"/>
    <x v="0"/>
    <x v="2"/>
    <n v="3"/>
  </r>
  <r>
    <n v="3"/>
    <d v="2019-03-13T00:00:00"/>
    <x v="0"/>
    <n v="2487.471"/>
    <n v="0"/>
    <x v="2"/>
    <x v="0"/>
    <x v="2"/>
    <n v="3"/>
  </r>
  <r>
    <n v="3"/>
    <d v="2019-03-13T00:00:00"/>
    <x v="2"/>
    <n v="1011.472"/>
    <n v="0"/>
    <x v="2"/>
    <x v="0"/>
    <x v="2"/>
    <n v="3"/>
  </r>
  <r>
    <n v="3"/>
    <d v="2019-03-14T00:00:00"/>
    <x v="2"/>
    <n v="650.41899999999998"/>
    <n v="0"/>
    <x v="2"/>
    <x v="0"/>
    <x v="2"/>
    <n v="3"/>
  </r>
  <r>
    <n v="3"/>
    <d v="2019-03-14T00:00:00"/>
    <x v="3"/>
    <n v="134.98099999999999"/>
    <n v="0"/>
    <x v="2"/>
    <x v="0"/>
    <x v="2"/>
    <n v="3"/>
  </r>
  <r>
    <n v="3"/>
    <d v="2019-03-14T00:00:00"/>
    <x v="1"/>
    <n v="3403.6029999999996"/>
    <n v="0"/>
    <x v="2"/>
    <x v="0"/>
    <x v="2"/>
    <n v="3"/>
  </r>
  <r>
    <n v="3"/>
    <d v="2019-03-14T00:00:00"/>
    <x v="0"/>
    <n v="3557.7989999999995"/>
    <n v="0"/>
    <x v="2"/>
    <x v="0"/>
    <x v="2"/>
    <n v="3"/>
  </r>
  <r>
    <n v="3"/>
    <d v="2019-03-15T00:00:00"/>
    <x v="2"/>
    <n v="1073.8699999999999"/>
    <n v="0"/>
    <x v="2"/>
    <x v="0"/>
    <x v="2"/>
    <n v="3"/>
  </r>
  <r>
    <n v="3"/>
    <d v="2019-03-15T00:00:00"/>
    <x v="1"/>
    <n v="3853.6679999999997"/>
    <n v="0"/>
    <x v="2"/>
    <x v="0"/>
    <x v="2"/>
    <n v="3"/>
  </r>
  <r>
    <n v="3"/>
    <d v="2019-03-15T00:00:00"/>
    <x v="3"/>
    <n v="0"/>
    <n v="0"/>
    <x v="2"/>
    <x v="0"/>
    <x v="2"/>
    <n v="3"/>
  </r>
  <r>
    <n v="3"/>
    <d v="2019-03-15T00:00:00"/>
    <x v="0"/>
    <n v="4247.9079999999994"/>
    <n v="0"/>
    <x v="2"/>
    <x v="0"/>
    <x v="2"/>
    <n v="3"/>
  </r>
  <r>
    <n v="3"/>
    <d v="2019-03-16T00:00:00"/>
    <x v="3"/>
    <n v="153.85999999999999"/>
    <n v="0"/>
    <x v="2"/>
    <x v="0"/>
    <x v="2"/>
    <n v="3"/>
  </r>
  <r>
    <n v="3"/>
    <d v="2019-03-16T00:00:00"/>
    <x v="1"/>
    <n v="3431.491"/>
    <n v="0"/>
    <x v="2"/>
    <x v="0"/>
    <x v="2"/>
    <n v="3"/>
  </r>
  <r>
    <n v="3"/>
    <d v="2019-03-16T00:00:00"/>
    <x v="2"/>
    <n v="740.76099999999997"/>
    <n v="0"/>
    <x v="2"/>
    <x v="0"/>
    <x v="2"/>
    <n v="3"/>
  </r>
  <r>
    <n v="3"/>
    <d v="2019-03-16T00:00:00"/>
    <x v="0"/>
    <n v="3423.1679999999997"/>
    <n v="0"/>
    <x v="2"/>
    <x v="0"/>
    <x v="2"/>
    <n v="3"/>
  </r>
  <r>
    <n v="3"/>
    <d v="2019-03-17T00:00:00"/>
    <x v="3"/>
    <n v="22.378999999999998"/>
    <n v="0"/>
    <x v="2"/>
    <x v="0"/>
    <x v="2"/>
    <n v="3"/>
  </r>
  <r>
    <n v="3"/>
    <d v="2019-03-17T00:00:00"/>
    <x v="2"/>
    <n v="460.80999999999995"/>
    <n v="0"/>
    <x v="2"/>
    <x v="0"/>
    <x v="2"/>
    <n v="3"/>
  </r>
  <r>
    <n v="3"/>
    <d v="2019-03-17T00:00:00"/>
    <x v="0"/>
    <n v="2833.0399999999995"/>
    <n v="0"/>
    <x v="2"/>
    <x v="0"/>
    <x v="2"/>
    <n v="3"/>
  </r>
  <r>
    <n v="3"/>
    <d v="2019-03-17T00:00:00"/>
    <x v="1"/>
    <n v="2932.0969999999998"/>
    <n v="0"/>
    <x v="2"/>
    <x v="0"/>
    <x v="2"/>
    <n v="3"/>
  </r>
  <r>
    <n v="3"/>
    <d v="2019-03-18T00:00:00"/>
    <x v="2"/>
    <n v="624.77799999999991"/>
    <n v="0"/>
    <x v="2"/>
    <x v="0"/>
    <x v="2"/>
    <n v="4"/>
  </r>
  <r>
    <n v="3"/>
    <d v="2019-03-18T00:00:00"/>
    <x v="0"/>
    <n v="3617.2289999999998"/>
    <n v="0"/>
    <x v="2"/>
    <x v="0"/>
    <x v="2"/>
    <n v="4"/>
  </r>
  <r>
    <n v="3"/>
    <d v="2019-03-18T00:00:00"/>
    <x v="1"/>
    <n v="3350.6899999999996"/>
    <n v="0"/>
    <x v="2"/>
    <x v="0"/>
    <x v="2"/>
    <n v="4"/>
  </r>
  <r>
    <n v="3"/>
    <d v="2019-03-18T00:00:00"/>
    <x v="3"/>
    <n v="0"/>
    <n v="0"/>
    <x v="2"/>
    <x v="0"/>
    <x v="2"/>
    <n v="4"/>
  </r>
  <r>
    <n v="3"/>
    <d v="2019-03-19T00:00:00"/>
    <x v="2"/>
    <n v="1084.972"/>
    <n v="0"/>
    <x v="2"/>
    <x v="0"/>
    <x v="2"/>
    <n v="4"/>
  </r>
  <r>
    <n v="3"/>
    <d v="2019-03-19T00:00:00"/>
    <x v="3"/>
    <n v="0"/>
    <n v="0"/>
    <x v="2"/>
    <x v="0"/>
    <x v="2"/>
    <n v="4"/>
  </r>
  <r>
    <n v="3"/>
    <d v="2019-03-19T00:00:00"/>
    <x v="1"/>
    <n v="3313.1559999999999"/>
    <n v="0"/>
    <x v="2"/>
    <x v="0"/>
    <x v="2"/>
    <n v="4"/>
  </r>
  <r>
    <n v="3"/>
    <d v="2019-03-19T00:00:00"/>
    <x v="0"/>
    <n v="2938.2149999999997"/>
    <n v="0"/>
    <x v="2"/>
    <x v="0"/>
    <x v="2"/>
    <n v="4"/>
  </r>
  <r>
    <n v="3"/>
    <d v="2019-03-20T00:00:00"/>
    <x v="1"/>
    <n v="3259.0249999999996"/>
    <n v="0"/>
    <x v="2"/>
    <x v="0"/>
    <x v="2"/>
    <n v="4"/>
  </r>
  <r>
    <n v="3"/>
    <d v="2019-03-20T00:00:00"/>
    <x v="2"/>
    <n v="1030.925"/>
    <n v="0"/>
    <x v="2"/>
    <x v="0"/>
    <x v="2"/>
    <n v="4"/>
  </r>
  <r>
    <n v="3"/>
    <d v="2019-03-20T00:00:00"/>
    <x v="3"/>
    <n v="338.83499999999998"/>
    <n v="0"/>
    <x v="2"/>
    <x v="0"/>
    <x v="2"/>
    <n v="4"/>
  </r>
  <r>
    <n v="3"/>
    <d v="2019-03-20T00:00:00"/>
    <x v="0"/>
    <n v="3145.6739999999995"/>
    <n v="0"/>
    <x v="2"/>
    <x v="0"/>
    <x v="2"/>
    <n v="4"/>
  </r>
  <r>
    <n v="3"/>
    <d v="2019-03-21T00:00:00"/>
    <x v="2"/>
    <n v="1126.3209999999999"/>
    <n v="0"/>
    <x v="2"/>
    <x v="0"/>
    <x v="2"/>
    <n v="4"/>
  </r>
  <r>
    <n v="3"/>
    <d v="2019-03-21T00:00:00"/>
    <x v="0"/>
    <n v="3786.3769999999995"/>
    <n v="0"/>
    <x v="2"/>
    <x v="0"/>
    <x v="2"/>
    <n v="4"/>
  </r>
  <r>
    <n v="3"/>
    <d v="2019-03-21T00:00:00"/>
    <x v="3"/>
    <n v="193.03899999999999"/>
    <n v="0"/>
    <x v="2"/>
    <x v="0"/>
    <x v="2"/>
    <n v="4"/>
  </r>
  <r>
    <n v="3"/>
    <d v="2019-03-21T00:00:00"/>
    <x v="1"/>
    <n v="4001.3049999999994"/>
    <n v="0"/>
    <x v="2"/>
    <x v="0"/>
    <x v="2"/>
    <n v="4"/>
  </r>
  <r>
    <n v="3"/>
    <d v="2019-03-22T00:00:00"/>
    <x v="2"/>
    <n v="1026.8019999999999"/>
    <n v="0"/>
    <x v="2"/>
    <x v="0"/>
    <x v="2"/>
    <n v="4"/>
  </r>
  <r>
    <n v="3"/>
    <d v="2019-03-22T00:00:00"/>
    <x v="0"/>
    <n v="4049.7939999999999"/>
    <n v="0"/>
    <x v="2"/>
    <x v="0"/>
    <x v="2"/>
    <n v="4"/>
  </r>
  <r>
    <n v="3"/>
    <d v="2019-03-22T00:00:00"/>
    <x v="3"/>
    <n v="0"/>
    <n v="0"/>
    <x v="2"/>
    <x v="0"/>
    <x v="2"/>
    <n v="4"/>
  </r>
  <r>
    <n v="3"/>
    <d v="2019-03-22T00:00:00"/>
    <x v="1"/>
    <n v="3733.3309999999997"/>
    <n v="0"/>
    <x v="2"/>
    <x v="0"/>
    <x v="2"/>
    <n v="4"/>
  </r>
  <r>
    <n v="3"/>
    <d v="2019-03-23T00:00:00"/>
    <x v="2"/>
    <n v="1132.761"/>
    <n v="0"/>
    <x v="2"/>
    <x v="0"/>
    <x v="2"/>
    <n v="4"/>
  </r>
  <r>
    <n v="3"/>
    <d v="2019-03-23T00:00:00"/>
    <x v="0"/>
    <n v="3604.2649999999994"/>
    <n v="0"/>
    <x v="2"/>
    <x v="0"/>
    <x v="2"/>
    <n v="4"/>
  </r>
  <r>
    <n v="3"/>
    <d v="2019-03-23T00:00:00"/>
    <x v="1"/>
    <n v="3200.3229999999999"/>
    <n v="0"/>
    <x v="2"/>
    <x v="0"/>
    <x v="2"/>
    <n v="4"/>
  </r>
  <r>
    <n v="3"/>
    <d v="2019-03-23T00:00:00"/>
    <x v="3"/>
    <n v="170.29599999999999"/>
    <n v="0"/>
    <x v="2"/>
    <x v="0"/>
    <x v="2"/>
    <n v="4"/>
  </r>
  <r>
    <n v="3"/>
    <d v="2019-03-24T00:00:00"/>
    <x v="1"/>
    <n v="2885.0499999999997"/>
    <n v="0"/>
    <x v="2"/>
    <x v="0"/>
    <x v="2"/>
    <n v="4"/>
  </r>
  <r>
    <n v="3"/>
    <d v="2019-03-24T00:00:00"/>
    <x v="0"/>
    <n v="2242.5969999999998"/>
    <n v="0"/>
    <x v="2"/>
    <x v="0"/>
    <x v="2"/>
    <n v="4"/>
  </r>
  <r>
    <n v="3"/>
    <d v="2019-03-24T00:00:00"/>
    <x v="2"/>
    <n v="521.745"/>
    <n v="0"/>
    <x v="2"/>
    <x v="0"/>
    <x v="2"/>
    <n v="4"/>
  </r>
  <r>
    <n v="3"/>
    <d v="2019-03-24T00:00:00"/>
    <x v="3"/>
    <n v="0"/>
    <n v="0"/>
    <x v="2"/>
    <x v="0"/>
    <x v="2"/>
    <n v="4"/>
  </r>
  <r>
    <n v="3"/>
    <d v="2019-03-25T00:00:00"/>
    <x v="1"/>
    <n v="3021.4939999999997"/>
    <n v="0"/>
    <x v="2"/>
    <x v="0"/>
    <x v="2"/>
    <n v="5"/>
  </r>
  <r>
    <n v="3"/>
    <d v="2019-03-25T00:00:00"/>
    <x v="2"/>
    <n v="727.14599999999996"/>
    <n v="0"/>
    <x v="2"/>
    <x v="0"/>
    <x v="2"/>
    <n v="5"/>
  </r>
  <r>
    <n v="3"/>
    <d v="2019-03-25T00:00:00"/>
    <x v="0"/>
    <n v="2768.99"/>
    <n v="0"/>
    <x v="2"/>
    <x v="0"/>
    <x v="2"/>
    <n v="5"/>
  </r>
  <r>
    <n v="3"/>
    <d v="2019-03-25T00:00:00"/>
    <x v="3"/>
    <n v="0"/>
    <n v="0"/>
    <x v="2"/>
    <x v="0"/>
    <x v="2"/>
    <n v="5"/>
  </r>
  <r>
    <n v="3"/>
    <d v="2019-03-26T00:00:00"/>
    <x v="2"/>
    <n v="941.02399999999989"/>
    <n v="0"/>
    <x v="2"/>
    <x v="0"/>
    <x v="2"/>
    <n v="5"/>
  </r>
  <r>
    <n v="3"/>
    <d v="2019-03-26T00:00:00"/>
    <x v="3"/>
    <n v="0"/>
    <n v="0"/>
    <x v="2"/>
    <x v="0"/>
    <x v="2"/>
    <n v="5"/>
  </r>
  <r>
    <n v="3"/>
    <d v="2019-03-26T00:00:00"/>
    <x v="1"/>
    <n v="3560.8859999999995"/>
    <n v="0"/>
    <x v="2"/>
    <x v="0"/>
    <x v="2"/>
    <n v="5"/>
  </r>
  <r>
    <n v="3"/>
    <d v="2019-03-26T00:00:00"/>
    <x v="0"/>
    <n v="3507.8679999999995"/>
    <n v="0"/>
    <x v="2"/>
    <x v="0"/>
    <x v="2"/>
    <n v="5"/>
  </r>
  <r>
    <n v="3"/>
    <d v="2019-03-27T00:00:00"/>
    <x v="2"/>
    <n v="728.60899999999992"/>
    <n v="0"/>
    <x v="2"/>
    <x v="0"/>
    <x v="2"/>
    <n v="5"/>
  </r>
  <r>
    <n v="3"/>
    <d v="2019-03-27T00:00:00"/>
    <x v="0"/>
    <n v="3610.2709999999997"/>
    <n v="0"/>
    <x v="2"/>
    <x v="0"/>
    <x v="2"/>
    <n v="5"/>
  </r>
  <r>
    <n v="3"/>
    <d v="2019-03-27T00:00:00"/>
    <x v="3"/>
    <n v="123.851"/>
    <n v="0"/>
    <x v="2"/>
    <x v="0"/>
    <x v="2"/>
    <n v="5"/>
  </r>
  <r>
    <n v="3"/>
    <d v="2019-03-27T00:00:00"/>
    <x v="1"/>
    <n v="3626.1679999999997"/>
    <n v="0"/>
    <x v="2"/>
    <x v="0"/>
    <x v="2"/>
    <n v="5"/>
  </r>
  <r>
    <n v="3"/>
    <d v="2019-03-28T00:00:00"/>
    <x v="2"/>
    <n v="925.82699999999988"/>
    <n v="0"/>
    <x v="2"/>
    <x v="0"/>
    <x v="2"/>
    <n v="5"/>
  </r>
  <r>
    <n v="3"/>
    <d v="2019-03-28T00:00:00"/>
    <x v="0"/>
    <n v="3606.4349999999999"/>
    <n v="0"/>
    <x v="2"/>
    <x v="0"/>
    <x v="2"/>
    <n v="5"/>
  </r>
  <r>
    <n v="3"/>
    <d v="2019-03-28T00:00:00"/>
    <x v="3"/>
    <n v="211.68700000000001"/>
    <n v="0"/>
    <x v="2"/>
    <x v="0"/>
    <x v="2"/>
    <n v="5"/>
  </r>
  <r>
    <n v="3"/>
    <d v="2019-03-28T00:00:00"/>
    <x v="1"/>
    <n v="3540.0959999999995"/>
    <n v="0"/>
    <x v="2"/>
    <x v="0"/>
    <x v="2"/>
    <n v="5"/>
  </r>
  <r>
    <n v="3"/>
    <d v="2019-03-29T00:00:00"/>
    <x v="3"/>
    <n v="307.71999999999997"/>
    <n v="0"/>
    <x v="2"/>
    <x v="0"/>
    <x v="2"/>
    <n v="5"/>
  </r>
  <r>
    <n v="3"/>
    <d v="2019-03-29T00:00:00"/>
    <x v="1"/>
    <n v="3485.3069999999998"/>
    <n v="0"/>
    <x v="2"/>
    <x v="0"/>
    <x v="2"/>
    <n v="5"/>
  </r>
  <r>
    <n v="3"/>
    <d v="2019-03-29T00:00:00"/>
    <x v="2"/>
    <n v="1206.4359999999999"/>
    <n v="0"/>
    <x v="2"/>
    <x v="0"/>
    <x v="2"/>
    <n v="5"/>
  </r>
  <r>
    <n v="3"/>
    <d v="2019-03-29T00:00:00"/>
    <x v="0"/>
    <n v="3857.5529999999999"/>
    <n v="0"/>
    <x v="2"/>
    <x v="0"/>
    <x v="2"/>
    <n v="5"/>
  </r>
  <r>
    <n v="3"/>
    <d v="2019-03-30T00:00:00"/>
    <x v="2"/>
    <n v="1117.886"/>
    <n v="0"/>
    <x v="2"/>
    <x v="0"/>
    <x v="2"/>
    <n v="5"/>
  </r>
  <r>
    <n v="3"/>
    <d v="2019-03-30T00:00:00"/>
    <x v="3"/>
    <n v="98.343000000000004"/>
    <n v="0"/>
    <x v="2"/>
    <x v="0"/>
    <x v="2"/>
    <n v="5"/>
  </r>
  <r>
    <n v="3"/>
    <d v="2019-03-30T00:00:00"/>
    <x v="1"/>
    <n v="3389.7989999999995"/>
    <n v="0"/>
    <x v="2"/>
    <x v="0"/>
    <x v="2"/>
    <n v="5"/>
  </r>
  <r>
    <n v="3"/>
    <d v="2019-03-30T00:00:00"/>
    <x v="0"/>
    <n v="3885.9309999999996"/>
    <n v="0"/>
    <x v="2"/>
    <x v="0"/>
    <x v="2"/>
    <n v="5"/>
  </r>
  <r>
    <n v="3"/>
    <d v="2019-03-31T00:00:00"/>
    <x v="1"/>
    <n v="2907.3450000000003"/>
    <n v="0"/>
    <x v="2"/>
    <x v="0"/>
    <x v="2"/>
    <n v="5"/>
  </r>
  <r>
    <n v="3"/>
    <d v="2019-03-31T00:00:00"/>
    <x v="2"/>
    <n v="548.8069999999999"/>
    <n v="0"/>
    <x v="2"/>
    <x v="0"/>
    <x v="2"/>
    <n v="5"/>
  </r>
  <r>
    <n v="3"/>
    <d v="2019-03-31T00:00:00"/>
    <x v="0"/>
    <n v="2911.5099999999998"/>
    <n v="0"/>
    <x v="2"/>
    <x v="0"/>
    <x v="2"/>
    <n v="5"/>
  </r>
  <r>
    <n v="3"/>
    <d v="2019-03-31T00:00:00"/>
    <x v="3"/>
    <n v="101.626"/>
    <n v="0"/>
    <x v="2"/>
    <x v="0"/>
    <x v="2"/>
    <n v="5"/>
  </r>
  <r>
    <n v="3"/>
    <d v="2019-04-01T00:00:00"/>
    <x v="3"/>
    <n v="174.15299999999999"/>
    <n v="0"/>
    <x v="2"/>
    <x v="0"/>
    <x v="3"/>
    <n v="1"/>
  </r>
  <r>
    <n v="3"/>
    <d v="2019-04-01T00:00:00"/>
    <x v="2"/>
    <n v="446.47399999999999"/>
    <n v="0"/>
    <x v="2"/>
    <x v="0"/>
    <x v="3"/>
    <n v="1"/>
  </r>
  <r>
    <n v="3"/>
    <d v="2019-04-01T00:00:00"/>
    <x v="0"/>
    <n v="3146.8429999999998"/>
    <n v="0"/>
    <x v="2"/>
    <x v="0"/>
    <x v="3"/>
    <n v="1"/>
  </r>
  <r>
    <n v="3"/>
    <d v="2019-04-01T00:00:00"/>
    <x v="1"/>
    <n v="2980.1029999999996"/>
    <n v="0"/>
    <x v="2"/>
    <x v="0"/>
    <x v="3"/>
    <n v="1"/>
  </r>
  <r>
    <n v="3"/>
    <d v="2019-04-02T00:00:00"/>
    <x v="3"/>
    <n v="576.97499999999991"/>
    <n v="0"/>
    <x v="2"/>
    <x v="0"/>
    <x v="3"/>
    <n v="1"/>
  </r>
  <r>
    <n v="3"/>
    <d v="2019-04-02T00:00:00"/>
    <x v="1"/>
    <n v="3258.1499999999996"/>
    <n v="0"/>
    <x v="2"/>
    <x v="0"/>
    <x v="3"/>
    <n v="1"/>
  </r>
  <r>
    <n v="3"/>
    <d v="2019-04-02T00:00:00"/>
    <x v="0"/>
    <n v="2883.3839999999996"/>
    <n v="0"/>
    <x v="2"/>
    <x v="0"/>
    <x v="3"/>
    <n v="1"/>
  </r>
  <r>
    <n v="3"/>
    <d v="2019-04-02T00:00:00"/>
    <x v="2"/>
    <n v="958.91600000000005"/>
    <n v="0"/>
    <x v="2"/>
    <x v="0"/>
    <x v="3"/>
    <n v="1"/>
  </r>
  <r>
    <n v="3"/>
    <d v="2019-04-03T00:00:00"/>
    <x v="0"/>
    <n v="3686.5009999999997"/>
    <n v="0"/>
    <x v="2"/>
    <x v="0"/>
    <x v="3"/>
    <n v="1"/>
  </r>
  <r>
    <n v="3"/>
    <d v="2019-04-03T00:00:00"/>
    <x v="1"/>
    <n v="3382.0920000000001"/>
    <n v="0"/>
    <x v="2"/>
    <x v="0"/>
    <x v="3"/>
    <n v="1"/>
  </r>
  <r>
    <n v="3"/>
    <d v="2019-04-03T00:00:00"/>
    <x v="3"/>
    <n v="169.792"/>
    <n v="0"/>
    <x v="2"/>
    <x v="0"/>
    <x v="3"/>
    <n v="1"/>
  </r>
  <r>
    <n v="3"/>
    <d v="2019-04-03T00:00:00"/>
    <x v="2"/>
    <n v="913.34599999999989"/>
    <n v="0"/>
    <x v="2"/>
    <x v="0"/>
    <x v="3"/>
    <n v="1"/>
  </r>
  <r>
    <n v="3"/>
    <d v="2019-04-04T00:00:00"/>
    <x v="1"/>
    <n v="4321.9259999999995"/>
    <n v="0"/>
    <x v="2"/>
    <x v="0"/>
    <x v="3"/>
    <n v="1"/>
  </r>
  <r>
    <n v="3"/>
    <d v="2019-04-04T00:00:00"/>
    <x v="2"/>
    <n v="1548.1619999999998"/>
    <n v="0"/>
    <x v="2"/>
    <x v="0"/>
    <x v="3"/>
    <n v="1"/>
  </r>
  <r>
    <n v="3"/>
    <d v="2019-04-04T00:00:00"/>
    <x v="0"/>
    <n v="4559.2820000000002"/>
    <n v="0"/>
    <x v="2"/>
    <x v="0"/>
    <x v="3"/>
    <n v="1"/>
  </r>
  <r>
    <n v="3"/>
    <d v="2019-04-04T00:00:00"/>
    <x v="3"/>
    <n v="0"/>
    <n v="0"/>
    <x v="2"/>
    <x v="0"/>
    <x v="3"/>
    <n v="1"/>
  </r>
  <r>
    <n v="3"/>
    <d v="2019-04-05T00:00:00"/>
    <x v="2"/>
    <n v="1050.0349999999999"/>
    <n v="0"/>
    <x v="2"/>
    <x v="0"/>
    <x v="3"/>
    <n v="1"/>
  </r>
  <r>
    <n v="3"/>
    <d v="2019-04-05T00:00:00"/>
    <x v="3"/>
    <n v="0"/>
    <n v="0"/>
    <x v="2"/>
    <x v="0"/>
    <x v="3"/>
    <n v="1"/>
  </r>
  <r>
    <n v="3"/>
    <d v="2019-04-05T00:00:00"/>
    <x v="1"/>
    <n v="4041.4079999999994"/>
    <n v="0"/>
    <x v="2"/>
    <x v="0"/>
    <x v="3"/>
    <n v="1"/>
  </r>
  <r>
    <n v="3"/>
    <d v="2019-04-05T00:00:00"/>
    <x v="0"/>
    <n v="4346.8319999999994"/>
    <n v="0"/>
    <x v="2"/>
    <x v="0"/>
    <x v="3"/>
    <n v="1"/>
  </r>
  <r>
    <n v="3"/>
    <d v="2019-04-06T00:00:00"/>
    <x v="1"/>
    <n v="3553.5359999999996"/>
    <n v="0"/>
    <x v="2"/>
    <x v="0"/>
    <x v="3"/>
    <n v="1"/>
  </r>
  <r>
    <n v="3"/>
    <d v="2019-04-06T00:00:00"/>
    <x v="2"/>
    <n v="884.11399999999992"/>
    <n v="0"/>
    <x v="2"/>
    <x v="0"/>
    <x v="3"/>
    <n v="1"/>
  </r>
  <r>
    <n v="3"/>
    <d v="2019-04-06T00:00:00"/>
    <x v="0"/>
    <n v="4188.1909999999998"/>
    <n v="0"/>
    <x v="2"/>
    <x v="0"/>
    <x v="3"/>
    <n v="1"/>
  </r>
  <r>
    <n v="3"/>
    <d v="2019-04-06T00:00:00"/>
    <x v="3"/>
    <n v="26.565000000000001"/>
    <n v="0"/>
    <x v="2"/>
    <x v="0"/>
    <x v="3"/>
    <n v="1"/>
  </r>
  <r>
    <n v="3"/>
    <d v="2019-04-07T00:00:00"/>
    <x v="0"/>
    <n v="3232.1869999999999"/>
    <n v="0"/>
    <x v="2"/>
    <x v="0"/>
    <x v="3"/>
    <n v="1"/>
  </r>
  <r>
    <n v="3"/>
    <d v="2019-04-07T00:00:00"/>
    <x v="1"/>
    <n v="2759.7570000000001"/>
    <n v="0"/>
    <x v="2"/>
    <x v="0"/>
    <x v="3"/>
    <n v="1"/>
  </r>
  <r>
    <n v="3"/>
    <d v="2019-04-07T00:00:00"/>
    <x v="2"/>
    <n v="589.65199999999993"/>
    <n v="0"/>
    <x v="2"/>
    <x v="0"/>
    <x v="3"/>
    <n v="1"/>
  </r>
  <r>
    <n v="3"/>
    <d v="2019-04-07T00:00:00"/>
    <x v="3"/>
    <n v="0"/>
    <n v="0"/>
    <x v="2"/>
    <x v="0"/>
    <x v="3"/>
    <n v="1"/>
  </r>
  <r>
    <n v="3"/>
    <d v="2019-04-08T00:00:00"/>
    <x v="0"/>
    <n v="2745.3369999999995"/>
    <n v="0"/>
    <x v="2"/>
    <x v="0"/>
    <x v="3"/>
    <n v="2"/>
  </r>
  <r>
    <n v="3"/>
    <d v="2019-04-08T00:00:00"/>
    <x v="3"/>
    <n v="0"/>
    <n v="0"/>
    <x v="2"/>
    <x v="0"/>
    <x v="3"/>
    <n v="2"/>
  </r>
  <r>
    <n v="3"/>
    <d v="2019-04-08T00:00:00"/>
    <x v="1"/>
    <n v="3038.7980000000002"/>
    <n v="0"/>
    <x v="2"/>
    <x v="0"/>
    <x v="3"/>
    <n v="2"/>
  </r>
  <r>
    <n v="3"/>
    <d v="2019-04-08T00:00:00"/>
    <x v="2"/>
    <n v="608.17399999999998"/>
    <n v="0"/>
    <x v="2"/>
    <x v="0"/>
    <x v="3"/>
    <n v="2"/>
  </r>
  <r>
    <n v="3"/>
    <d v="2019-04-09T00:00:00"/>
    <x v="2"/>
    <n v="508.94199999999995"/>
    <n v="0"/>
    <x v="2"/>
    <x v="0"/>
    <x v="3"/>
    <n v="2"/>
  </r>
  <r>
    <n v="3"/>
    <d v="2019-04-09T00:00:00"/>
    <x v="1"/>
    <n v="3478.7129999999997"/>
    <n v="0"/>
    <x v="2"/>
    <x v="0"/>
    <x v="3"/>
    <n v="2"/>
  </r>
  <r>
    <n v="3"/>
    <d v="2019-04-09T00:00:00"/>
    <x v="0"/>
    <n v="2844.6880000000001"/>
    <n v="0"/>
    <x v="2"/>
    <x v="0"/>
    <x v="3"/>
    <n v="2"/>
  </r>
  <r>
    <n v="3"/>
    <d v="2019-04-09T00:00:00"/>
    <x v="3"/>
    <n v="0"/>
    <n v="0"/>
    <x v="2"/>
    <x v="0"/>
    <x v="3"/>
    <n v="2"/>
  </r>
  <r>
    <n v="3"/>
    <d v="2019-04-10T00:00:00"/>
    <x v="3"/>
    <n v="13.985999999999999"/>
    <n v="0"/>
    <x v="2"/>
    <x v="0"/>
    <x v="3"/>
    <n v="2"/>
  </r>
  <r>
    <n v="3"/>
    <d v="2019-04-10T00:00:00"/>
    <x v="2"/>
    <n v="978.02599999999995"/>
    <n v="0"/>
    <x v="2"/>
    <x v="0"/>
    <x v="3"/>
    <n v="2"/>
  </r>
  <r>
    <n v="3"/>
    <d v="2019-04-10T00:00:00"/>
    <x v="1"/>
    <n v="3621.9609999999993"/>
    <n v="0"/>
    <x v="2"/>
    <x v="0"/>
    <x v="3"/>
    <n v="2"/>
  </r>
  <r>
    <n v="3"/>
    <d v="2019-04-10T00:00:00"/>
    <x v="0"/>
    <n v="3208.1"/>
    <n v="0"/>
    <x v="2"/>
    <x v="0"/>
    <x v="3"/>
    <n v="2"/>
  </r>
  <r>
    <n v="3"/>
    <d v="2019-04-11T00:00:00"/>
    <x v="1"/>
    <n v="3944.4719999999998"/>
    <n v="0"/>
    <x v="2"/>
    <x v="0"/>
    <x v="3"/>
    <n v="2"/>
  </r>
  <r>
    <n v="3"/>
    <d v="2019-04-11T00:00:00"/>
    <x v="0"/>
    <n v="3692.9059999999995"/>
    <n v="0"/>
    <x v="2"/>
    <x v="0"/>
    <x v="3"/>
    <n v="2"/>
  </r>
  <r>
    <n v="3"/>
    <d v="2019-04-11T00:00:00"/>
    <x v="2"/>
    <n v="1069.348"/>
    <n v="0"/>
    <x v="2"/>
    <x v="0"/>
    <x v="3"/>
    <n v="2"/>
  </r>
  <r>
    <n v="3"/>
    <d v="2019-04-11T00:00:00"/>
    <x v="3"/>
    <n v="743.75699999999995"/>
    <n v="0"/>
    <x v="2"/>
    <x v="0"/>
    <x v="3"/>
    <n v="2"/>
  </r>
  <r>
    <n v="3"/>
    <d v="2019-04-12T00:00:00"/>
    <x v="1"/>
    <n v="4007.7309999999998"/>
    <n v="0"/>
    <x v="2"/>
    <x v="0"/>
    <x v="3"/>
    <n v="2"/>
  </r>
  <r>
    <n v="3"/>
    <d v="2019-04-12T00:00:00"/>
    <x v="2"/>
    <n v="1064.5249999999999"/>
    <n v="0"/>
    <x v="2"/>
    <x v="0"/>
    <x v="3"/>
    <n v="2"/>
  </r>
  <r>
    <n v="3"/>
    <d v="2019-04-12T00:00:00"/>
    <x v="0"/>
    <n v="4169.5149999999994"/>
    <n v="0"/>
    <x v="2"/>
    <x v="0"/>
    <x v="3"/>
    <n v="2"/>
  </r>
  <r>
    <n v="3"/>
    <d v="2019-04-12T00:00:00"/>
    <x v="3"/>
    <n v="21.686"/>
    <n v="0"/>
    <x v="2"/>
    <x v="0"/>
    <x v="3"/>
    <n v="2"/>
  </r>
  <r>
    <n v="3"/>
    <d v="2019-04-13T00:00:00"/>
    <x v="3"/>
    <n v="0"/>
    <n v="0"/>
    <x v="2"/>
    <x v="0"/>
    <x v="3"/>
    <n v="2"/>
  </r>
  <r>
    <n v="3"/>
    <d v="2019-04-13T00:00:00"/>
    <x v="2"/>
    <n v="864.36699999999996"/>
    <n v="0"/>
    <x v="2"/>
    <x v="0"/>
    <x v="3"/>
    <n v="2"/>
  </r>
  <r>
    <n v="3"/>
    <d v="2019-04-13T00:00:00"/>
    <x v="0"/>
    <n v="4022.1859999999992"/>
    <n v="0"/>
    <x v="2"/>
    <x v="0"/>
    <x v="3"/>
    <n v="2"/>
  </r>
  <r>
    <n v="3"/>
    <d v="2019-04-13T00:00:00"/>
    <x v="1"/>
    <n v="3704.5609999999992"/>
    <n v="0"/>
    <x v="2"/>
    <x v="0"/>
    <x v="3"/>
    <n v="2"/>
  </r>
  <r>
    <n v="3"/>
    <d v="2019-04-14T00:00:00"/>
    <x v="3"/>
    <n v="10.836"/>
    <n v="0"/>
    <x v="2"/>
    <x v="0"/>
    <x v="3"/>
    <n v="2"/>
  </r>
  <r>
    <n v="3"/>
    <d v="2019-04-14T00:00:00"/>
    <x v="2"/>
    <n v="607.45299999999997"/>
    <n v="0"/>
    <x v="2"/>
    <x v="0"/>
    <x v="3"/>
    <n v="2"/>
  </r>
  <r>
    <n v="3"/>
    <d v="2019-04-14T00:00:00"/>
    <x v="0"/>
    <n v="3071.4179999999997"/>
    <n v="0"/>
    <x v="2"/>
    <x v="0"/>
    <x v="3"/>
    <n v="2"/>
  </r>
  <r>
    <n v="3"/>
    <d v="2019-04-14T00:00:00"/>
    <x v="1"/>
    <n v="2963.9399999999996"/>
    <n v="0"/>
    <x v="2"/>
    <x v="0"/>
    <x v="3"/>
    <n v="2"/>
  </r>
  <r>
    <n v="3"/>
    <d v="2019-04-15T00:00:00"/>
    <x v="0"/>
    <n v="2862.37"/>
    <n v="0"/>
    <x v="2"/>
    <x v="0"/>
    <x v="3"/>
    <n v="3"/>
  </r>
  <r>
    <n v="3"/>
    <d v="2019-04-15T00:00:00"/>
    <x v="3"/>
    <n v="273.44799999999998"/>
    <n v="0"/>
    <x v="2"/>
    <x v="0"/>
    <x v="3"/>
    <n v="3"/>
  </r>
  <r>
    <n v="3"/>
    <d v="2019-04-15T00:00:00"/>
    <x v="1"/>
    <n v="2920.8059999999996"/>
    <n v="0"/>
    <x v="2"/>
    <x v="0"/>
    <x v="3"/>
    <n v="3"/>
  </r>
  <r>
    <n v="3"/>
    <d v="2019-04-15T00:00:00"/>
    <x v="2"/>
    <n v="1010.898"/>
    <n v="0"/>
    <x v="2"/>
    <x v="0"/>
    <x v="3"/>
    <n v="3"/>
  </r>
  <r>
    <n v="3"/>
    <d v="2019-04-16T00:00:00"/>
    <x v="3"/>
    <n v="305.39599999999996"/>
    <n v="0"/>
    <x v="2"/>
    <x v="0"/>
    <x v="3"/>
    <n v="3"/>
  </r>
  <r>
    <n v="3"/>
    <d v="2019-04-16T00:00:00"/>
    <x v="0"/>
    <n v="3029.0399999999995"/>
    <n v="0"/>
    <x v="2"/>
    <x v="0"/>
    <x v="3"/>
    <n v="3"/>
  </r>
  <r>
    <n v="3"/>
    <d v="2019-04-16T00:00:00"/>
    <x v="1"/>
    <n v="3596.1170000000002"/>
    <n v="0"/>
    <x v="2"/>
    <x v="0"/>
    <x v="3"/>
    <n v="3"/>
  </r>
  <r>
    <n v="3"/>
    <d v="2019-04-16T00:00:00"/>
    <x v="2"/>
    <n v="608.18100000000004"/>
    <n v="0"/>
    <x v="2"/>
    <x v="0"/>
    <x v="3"/>
    <n v="3"/>
  </r>
  <r>
    <n v="3"/>
    <d v="2019-04-17T00:00:00"/>
    <x v="0"/>
    <n v="4143.51"/>
    <n v="0"/>
    <x v="2"/>
    <x v="0"/>
    <x v="3"/>
    <n v="3"/>
  </r>
  <r>
    <n v="3"/>
    <d v="2019-04-17T00:00:00"/>
    <x v="2"/>
    <n v="876.89699999999993"/>
    <n v="0"/>
    <x v="2"/>
    <x v="0"/>
    <x v="3"/>
    <n v="3"/>
  </r>
  <r>
    <n v="3"/>
    <d v="2019-04-17T00:00:00"/>
    <x v="1"/>
    <n v="3677.6529999999998"/>
    <n v="0"/>
    <x v="2"/>
    <x v="0"/>
    <x v="3"/>
    <n v="3"/>
  </r>
  <r>
    <n v="3"/>
    <d v="2019-04-17T00:00:00"/>
    <x v="3"/>
    <n v="0"/>
    <n v="0"/>
    <x v="2"/>
    <x v="0"/>
    <x v="3"/>
    <n v="3"/>
  </r>
  <r>
    <n v="3"/>
    <d v="2019-04-18T00:00:00"/>
    <x v="0"/>
    <n v="4204.1509999999998"/>
    <n v="0"/>
    <x v="2"/>
    <x v="0"/>
    <x v="3"/>
    <n v="3"/>
  </r>
  <r>
    <n v="3"/>
    <d v="2019-04-18T00:00:00"/>
    <x v="3"/>
    <n v="336.399"/>
    <n v="0"/>
    <x v="2"/>
    <x v="0"/>
    <x v="3"/>
    <n v="3"/>
  </r>
  <r>
    <n v="3"/>
    <d v="2019-04-18T00:00:00"/>
    <x v="1"/>
    <n v="3748.0099999999998"/>
    <n v="0"/>
    <x v="2"/>
    <x v="0"/>
    <x v="3"/>
    <n v="3"/>
  </r>
  <r>
    <n v="3"/>
    <d v="2019-04-18T00:00:00"/>
    <x v="2"/>
    <n v="949.851"/>
    <n v="0"/>
    <x v="2"/>
    <x v="0"/>
    <x v="3"/>
    <n v="3"/>
  </r>
  <r>
    <n v="3"/>
    <d v="2019-04-19T00:00:00"/>
    <x v="0"/>
    <n v="4100.6350000000002"/>
    <n v="0"/>
    <x v="2"/>
    <x v="0"/>
    <x v="3"/>
    <n v="3"/>
  </r>
  <r>
    <n v="3"/>
    <d v="2019-04-19T00:00:00"/>
    <x v="3"/>
    <n v="161.553"/>
    <n v="0"/>
    <x v="2"/>
    <x v="0"/>
    <x v="3"/>
    <n v="3"/>
  </r>
  <r>
    <n v="3"/>
    <d v="2019-04-19T00:00:00"/>
    <x v="2"/>
    <n v="1128.491"/>
    <n v="0"/>
    <x v="2"/>
    <x v="0"/>
    <x v="3"/>
    <n v="3"/>
  </r>
  <r>
    <n v="3"/>
    <d v="2019-04-19T00:00:00"/>
    <x v="1"/>
    <n v="3795.8969999999999"/>
    <n v="0"/>
    <x v="2"/>
    <x v="0"/>
    <x v="3"/>
    <n v="3"/>
  </r>
  <r>
    <n v="3"/>
    <d v="2019-04-20T00:00:00"/>
    <x v="0"/>
    <n v="3960.9079999999994"/>
    <n v="0"/>
    <x v="2"/>
    <x v="0"/>
    <x v="3"/>
    <n v="3"/>
  </r>
  <r>
    <n v="3"/>
    <d v="2019-04-20T00:00:00"/>
    <x v="1"/>
    <n v="3258.57"/>
    <n v="0"/>
    <x v="2"/>
    <x v="0"/>
    <x v="3"/>
    <n v="3"/>
  </r>
  <r>
    <n v="3"/>
    <d v="2019-04-20T00:00:00"/>
    <x v="3"/>
    <n v="189.54599999999996"/>
    <n v="0"/>
    <x v="2"/>
    <x v="0"/>
    <x v="3"/>
    <n v="3"/>
  </r>
  <r>
    <n v="3"/>
    <d v="2019-04-20T00:00:00"/>
    <x v="2"/>
    <n v="971.92199999999991"/>
    <n v="0"/>
    <x v="2"/>
    <x v="0"/>
    <x v="3"/>
    <n v="3"/>
  </r>
  <r>
    <n v="3"/>
    <d v="2019-04-21T00:00:00"/>
    <x v="2"/>
    <n v="412.97899999999998"/>
    <n v="0"/>
    <x v="2"/>
    <x v="0"/>
    <x v="3"/>
    <n v="3"/>
  </r>
  <r>
    <n v="3"/>
    <d v="2019-04-21T00:00:00"/>
    <x v="1"/>
    <n v="2411.5419999999999"/>
    <n v="0"/>
    <x v="2"/>
    <x v="0"/>
    <x v="3"/>
    <n v="3"/>
  </r>
  <r>
    <n v="3"/>
    <d v="2019-04-21T00:00:00"/>
    <x v="0"/>
    <n v="2349.2979999999998"/>
    <n v="0"/>
    <x v="2"/>
    <x v="0"/>
    <x v="3"/>
    <n v="3"/>
  </r>
  <r>
    <n v="3"/>
    <d v="2019-04-21T00:00:00"/>
    <x v="3"/>
    <n v="32.171999999999997"/>
    <n v="0"/>
    <x v="2"/>
    <x v="0"/>
    <x v="3"/>
    <n v="3"/>
  </r>
  <r>
    <n v="3"/>
    <d v="2019-04-22T00:00:00"/>
    <x v="2"/>
    <n v="887.80299999999988"/>
    <n v="0"/>
    <x v="2"/>
    <x v="0"/>
    <x v="3"/>
    <n v="4"/>
  </r>
  <r>
    <n v="3"/>
    <d v="2019-04-22T00:00:00"/>
    <x v="0"/>
    <n v="3619.9029999999998"/>
    <n v="0"/>
    <x v="2"/>
    <x v="0"/>
    <x v="3"/>
    <n v="4"/>
  </r>
  <r>
    <n v="3"/>
    <d v="2019-04-22T00:00:00"/>
    <x v="3"/>
    <n v="346.185"/>
    <n v="0"/>
    <x v="2"/>
    <x v="0"/>
    <x v="3"/>
    <n v="4"/>
  </r>
  <r>
    <n v="3"/>
    <d v="2019-04-22T00:00:00"/>
    <x v="1"/>
    <n v="3415.8809999999999"/>
    <n v="0"/>
    <x v="2"/>
    <x v="0"/>
    <x v="3"/>
    <n v="4"/>
  </r>
  <r>
    <n v="3"/>
    <d v="2019-04-23T00:00:00"/>
    <x v="3"/>
    <n v="10.485999999999999"/>
    <n v="0"/>
    <x v="2"/>
    <x v="0"/>
    <x v="3"/>
    <n v="4"/>
  </r>
  <r>
    <n v="3"/>
    <d v="2019-04-23T00:00:00"/>
    <x v="2"/>
    <n v="509.69799999999998"/>
    <n v="0"/>
    <x v="2"/>
    <x v="0"/>
    <x v="3"/>
    <n v="4"/>
  </r>
  <r>
    <n v="3"/>
    <d v="2019-04-23T00:00:00"/>
    <x v="1"/>
    <n v="3672.4239999999995"/>
    <n v="0"/>
    <x v="2"/>
    <x v="0"/>
    <x v="3"/>
    <n v="4"/>
  </r>
  <r>
    <n v="3"/>
    <d v="2019-04-23T00:00:00"/>
    <x v="0"/>
    <n v="3079.4329999999995"/>
    <n v="0"/>
    <x v="2"/>
    <x v="0"/>
    <x v="3"/>
    <n v="4"/>
  </r>
  <r>
    <n v="3"/>
    <d v="2019-04-24T00:00:00"/>
    <x v="1"/>
    <n v="3577.5739999999996"/>
    <n v="0"/>
    <x v="2"/>
    <x v="0"/>
    <x v="3"/>
    <n v="4"/>
  </r>
  <r>
    <n v="3"/>
    <d v="2019-04-24T00:00:00"/>
    <x v="3"/>
    <n v="521.19899999999996"/>
    <n v="0"/>
    <x v="2"/>
    <x v="0"/>
    <x v="3"/>
    <n v="4"/>
  </r>
  <r>
    <n v="3"/>
    <d v="2019-04-24T00:00:00"/>
    <x v="0"/>
    <n v="3522.3369999999995"/>
    <n v="0"/>
    <x v="2"/>
    <x v="0"/>
    <x v="3"/>
    <n v="4"/>
  </r>
  <r>
    <n v="3"/>
    <d v="2019-04-24T00:00:00"/>
    <x v="2"/>
    <n v="1010.0019999999998"/>
    <n v="0"/>
    <x v="2"/>
    <x v="0"/>
    <x v="3"/>
    <n v="4"/>
  </r>
  <r>
    <n v="3"/>
    <d v="2019-04-25T00:00:00"/>
    <x v="2"/>
    <n v="1255.7019999999998"/>
    <n v="0"/>
    <x v="2"/>
    <x v="0"/>
    <x v="3"/>
    <n v="4"/>
  </r>
  <r>
    <n v="3"/>
    <d v="2019-04-25T00:00:00"/>
    <x v="0"/>
    <n v="4322.857"/>
    <n v="0"/>
    <x v="2"/>
    <x v="0"/>
    <x v="3"/>
    <n v="4"/>
  </r>
  <r>
    <n v="3"/>
    <d v="2019-04-25T00:00:00"/>
    <x v="3"/>
    <n v="13.992999999999999"/>
    <n v="0"/>
    <x v="2"/>
    <x v="0"/>
    <x v="3"/>
    <n v="4"/>
  </r>
  <r>
    <n v="3"/>
    <d v="2019-04-25T00:00:00"/>
    <x v="1"/>
    <n v="3568.2779999999998"/>
    <n v="0"/>
    <x v="2"/>
    <x v="0"/>
    <x v="3"/>
    <n v="4"/>
  </r>
  <r>
    <n v="3"/>
    <d v="2019-04-26T00:00:00"/>
    <x v="0"/>
    <n v="4167.8559999999998"/>
    <n v="0"/>
    <x v="2"/>
    <x v="0"/>
    <x v="3"/>
    <n v="4"/>
  </r>
  <r>
    <n v="3"/>
    <d v="2019-04-26T00:00:00"/>
    <x v="2"/>
    <n v="1165.7449999999999"/>
    <n v="0"/>
    <x v="2"/>
    <x v="0"/>
    <x v="3"/>
    <n v="4"/>
  </r>
  <r>
    <n v="3"/>
    <d v="2019-04-26T00:00:00"/>
    <x v="1"/>
    <n v="3755.2619999999997"/>
    <n v="0"/>
    <x v="2"/>
    <x v="0"/>
    <x v="3"/>
    <n v="4"/>
  </r>
  <r>
    <n v="3"/>
    <d v="2019-04-26T00:00:00"/>
    <x v="3"/>
    <n v="17.268999999999998"/>
    <n v="0"/>
    <x v="2"/>
    <x v="0"/>
    <x v="3"/>
    <n v="4"/>
  </r>
  <r>
    <n v="3"/>
    <d v="2019-04-27T00:00:00"/>
    <x v="0"/>
    <n v="4425.2809999999999"/>
    <n v="0"/>
    <x v="2"/>
    <x v="0"/>
    <x v="3"/>
    <n v="4"/>
  </r>
  <r>
    <n v="3"/>
    <d v="2019-04-27T00:00:00"/>
    <x v="2"/>
    <n v="1038.338"/>
    <n v="0"/>
    <x v="2"/>
    <x v="0"/>
    <x v="3"/>
    <n v="4"/>
  </r>
  <r>
    <n v="3"/>
    <d v="2019-04-27T00:00:00"/>
    <x v="1"/>
    <n v="3505.7679999999996"/>
    <n v="0"/>
    <x v="2"/>
    <x v="0"/>
    <x v="3"/>
    <n v="4"/>
  </r>
  <r>
    <n v="3"/>
    <d v="2019-04-27T00:00:00"/>
    <x v="3"/>
    <n v="353.90599999999995"/>
    <n v="0"/>
    <x v="2"/>
    <x v="0"/>
    <x v="3"/>
    <n v="4"/>
  </r>
  <r>
    <n v="3"/>
    <d v="2019-04-28T00:00:00"/>
    <x v="0"/>
    <n v="2448.5089999999996"/>
    <n v="0"/>
    <x v="2"/>
    <x v="0"/>
    <x v="3"/>
    <n v="4"/>
  </r>
  <r>
    <n v="3"/>
    <d v="2019-04-28T00:00:00"/>
    <x v="1"/>
    <n v="2647.9249999999997"/>
    <n v="0"/>
    <x v="2"/>
    <x v="0"/>
    <x v="3"/>
    <n v="4"/>
  </r>
  <r>
    <n v="3"/>
    <d v="2019-04-28T00:00:00"/>
    <x v="3"/>
    <n v="0"/>
    <n v="0"/>
    <x v="2"/>
    <x v="0"/>
    <x v="3"/>
    <n v="4"/>
  </r>
  <r>
    <n v="3"/>
    <d v="2019-04-28T00:00:00"/>
    <x v="2"/>
    <n v="756.86799999999994"/>
    <n v="0"/>
    <x v="2"/>
    <x v="0"/>
    <x v="3"/>
    <n v="4"/>
  </r>
  <r>
    <n v="3"/>
    <d v="2019-04-29T00:00:00"/>
    <x v="2"/>
    <n v="664.85299999999995"/>
    <n v="0"/>
    <x v="2"/>
    <x v="0"/>
    <x v="4"/>
    <n v="1"/>
  </r>
  <r>
    <n v="3"/>
    <d v="2019-04-29T00:00:00"/>
    <x v="1"/>
    <n v="3498.4109999999996"/>
    <n v="0"/>
    <x v="2"/>
    <x v="0"/>
    <x v="4"/>
    <n v="1"/>
  </r>
  <r>
    <n v="3"/>
    <d v="2019-04-29T00:00:00"/>
    <x v="0"/>
    <n v="3427.4450000000002"/>
    <n v="0"/>
    <x v="2"/>
    <x v="0"/>
    <x v="4"/>
    <n v="1"/>
  </r>
  <r>
    <n v="3"/>
    <d v="2019-04-29T00:00:00"/>
    <x v="3"/>
    <n v="64.196999999999989"/>
    <n v="0"/>
    <x v="2"/>
    <x v="0"/>
    <x v="4"/>
    <n v="1"/>
  </r>
  <r>
    <n v="3"/>
    <d v="2019-04-30T00:00:00"/>
    <x v="3"/>
    <n v="123.08799999999999"/>
    <n v="0"/>
    <x v="2"/>
    <x v="0"/>
    <x v="4"/>
    <n v="1"/>
  </r>
  <r>
    <n v="3"/>
    <d v="2019-04-30T00:00:00"/>
    <x v="0"/>
    <n v="3560.2769999999996"/>
    <n v="0"/>
    <x v="2"/>
    <x v="0"/>
    <x v="4"/>
    <n v="1"/>
  </r>
  <r>
    <n v="3"/>
    <d v="2019-04-30T00:00:00"/>
    <x v="2"/>
    <n v="581.65800000000002"/>
    <n v="0"/>
    <x v="2"/>
    <x v="0"/>
    <x v="4"/>
    <n v="1"/>
  </r>
  <r>
    <n v="3"/>
    <d v="2019-04-30T00:00:00"/>
    <x v="1"/>
    <n v="3243.7510000000002"/>
    <n v="0"/>
    <x v="2"/>
    <x v="0"/>
    <x v="4"/>
    <n v="1"/>
  </r>
  <r>
    <n v="3"/>
    <d v="2019-05-01T00:00:00"/>
    <x v="2"/>
    <n v="899.64699999999993"/>
    <n v="0"/>
    <x v="2"/>
    <x v="0"/>
    <x v="4"/>
    <n v="1"/>
  </r>
  <r>
    <n v="3"/>
    <d v="2019-05-01T00:00:00"/>
    <x v="0"/>
    <n v="3872.6869999999994"/>
    <n v="0"/>
    <x v="2"/>
    <x v="0"/>
    <x v="4"/>
    <n v="1"/>
  </r>
  <r>
    <n v="3"/>
    <d v="2019-05-01T00:00:00"/>
    <x v="1"/>
    <n v="3773.098"/>
    <n v="0"/>
    <x v="2"/>
    <x v="0"/>
    <x v="4"/>
    <n v="1"/>
  </r>
  <r>
    <n v="3"/>
    <d v="2019-05-01T00:00:00"/>
    <x v="3"/>
    <n v="22.617000000000001"/>
    <n v="0"/>
    <x v="2"/>
    <x v="0"/>
    <x v="4"/>
    <n v="1"/>
  </r>
  <r>
    <n v="3"/>
    <d v="2019-05-02T00:00:00"/>
    <x v="3"/>
    <n v="530.73300000000006"/>
    <n v="0"/>
    <x v="2"/>
    <x v="0"/>
    <x v="4"/>
    <n v="1"/>
  </r>
  <r>
    <n v="3"/>
    <d v="2019-05-02T00:00:00"/>
    <x v="2"/>
    <n v="1289.3789999999999"/>
    <n v="0"/>
    <x v="2"/>
    <x v="0"/>
    <x v="4"/>
    <n v="1"/>
  </r>
  <r>
    <n v="3"/>
    <d v="2019-05-02T00:00:00"/>
    <x v="1"/>
    <n v="3894.317"/>
    <n v="0"/>
    <x v="2"/>
    <x v="0"/>
    <x v="4"/>
    <n v="1"/>
  </r>
  <r>
    <n v="3"/>
    <d v="2019-05-02T00:00:00"/>
    <x v="0"/>
    <n v="4073.951"/>
    <n v="0"/>
    <x v="2"/>
    <x v="0"/>
    <x v="4"/>
    <n v="1"/>
  </r>
  <r>
    <n v="3"/>
    <d v="2019-05-03T00:00:00"/>
    <x v="2"/>
    <n v="1295.2379999999998"/>
    <n v="0"/>
    <x v="2"/>
    <x v="0"/>
    <x v="4"/>
    <n v="1"/>
  </r>
  <r>
    <n v="3"/>
    <d v="2019-05-03T00:00:00"/>
    <x v="0"/>
    <n v="3961.3980000000001"/>
    <n v="0"/>
    <x v="2"/>
    <x v="0"/>
    <x v="4"/>
    <n v="1"/>
  </r>
  <r>
    <n v="3"/>
    <d v="2019-05-03T00:00:00"/>
    <x v="3"/>
    <n v="383.95"/>
    <n v="0"/>
    <x v="2"/>
    <x v="0"/>
    <x v="4"/>
    <n v="1"/>
  </r>
  <r>
    <n v="3"/>
    <d v="2019-05-03T00:00:00"/>
    <x v="1"/>
    <n v="3621.1769999999997"/>
    <n v="0"/>
    <x v="2"/>
    <x v="0"/>
    <x v="4"/>
    <n v="1"/>
  </r>
  <r>
    <n v="3"/>
    <d v="2019-05-04T00:00:00"/>
    <x v="0"/>
    <n v="3556.4619999999995"/>
    <n v="0"/>
    <x v="2"/>
    <x v="0"/>
    <x v="4"/>
    <n v="1"/>
  </r>
  <r>
    <n v="3"/>
    <d v="2019-05-04T00:00:00"/>
    <x v="3"/>
    <n v="2072.1820000000002"/>
    <n v="0"/>
    <x v="2"/>
    <x v="0"/>
    <x v="4"/>
    <n v="1"/>
  </r>
  <r>
    <n v="3"/>
    <d v="2019-05-04T00:00:00"/>
    <x v="1"/>
    <n v="3542.3849999999998"/>
    <n v="0"/>
    <x v="2"/>
    <x v="0"/>
    <x v="4"/>
    <n v="1"/>
  </r>
  <r>
    <n v="3"/>
    <d v="2019-05-04T00:00:00"/>
    <x v="2"/>
    <n v="740.03300000000002"/>
    <n v="0"/>
    <x v="2"/>
    <x v="0"/>
    <x v="4"/>
    <n v="1"/>
  </r>
  <r>
    <n v="3"/>
    <d v="2019-05-05T00:00:00"/>
    <x v="0"/>
    <n v="3771.817"/>
    <n v="0"/>
    <x v="2"/>
    <x v="0"/>
    <x v="4"/>
    <n v="1"/>
  </r>
  <r>
    <n v="3"/>
    <d v="2019-05-05T00:00:00"/>
    <x v="3"/>
    <n v="1079.491"/>
    <n v="0"/>
    <x v="2"/>
    <x v="0"/>
    <x v="4"/>
    <n v="1"/>
  </r>
  <r>
    <n v="3"/>
    <d v="2019-05-05T00:00:00"/>
    <x v="1"/>
    <n v="2985.6119999999996"/>
    <n v="0"/>
    <x v="2"/>
    <x v="0"/>
    <x v="4"/>
    <n v="1"/>
  </r>
  <r>
    <n v="3"/>
    <d v="2019-05-05T00:00:00"/>
    <x v="2"/>
    <n v="779.93999999999994"/>
    <n v="0"/>
    <x v="2"/>
    <x v="0"/>
    <x v="4"/>
    <n v="1"/>
  </r>
  <r>
    <n v="3"/>
    <d v="2019-05-06T00:00:00"/>
    <x v="0"/>
    <n v="2881.6969999999997"/>
    <n v="0"/>
    <x v="2"/>
    <x v="0"/>
    <x v="4"/>
    <n v="2"/>
  </r>
  <r>
    <n v="3"/>
    <d v="2019-05-06T00:00:00"/>
    <x v="1"/>
    <n v="2580.2350000000001"/>
    <n v="0"/>
    <x v="2"/>
    <x v="0"/>
    <x v="4"/>
    <n v="2"/>
  </r>
  <r>
    <n v="3"/>
    <d v="2019-05-06T00:00:00"/>
    <x v="3"/>
    <n v="0"/>
    <n v="0"/>
    <x v="2"/>
    <x v="0"/>
    <x v="4"/>
    <n v="2"/>
  </r>
  <r>
    <n v="3"/>
    <d v="2019-05-06T00:00:00"/>
    <x v="2"/>
    <n v="661.78699999999992"/>
    <n v="0"/>
    <x v="2"/>
    <x v="0"/>
    <x v="4"/>
    <n v="2"/>
  </r>
  <r>
    <n v="3"/>
    <d v="2019-05-07T00:00:00"/>
    <x v="0"/>
    <n v="2476.7049999999999"/>
    <n v="0"/>
    <x v="2"/>
    <x v="0"/>
    <x v="4"/>
    <n v="2"/>
  </r>
  <r>
    <n v="3"/>
    <d v="2019-05-07T00:00:00"/>
    <x v="3"/>
    <n v="0"/>
    <n v="0"/>
    <x v="2"/>
    <x v="0"/>
    <x v="4"/>
    <n v="2"/>
  </r>
  <r>
    <n v="3"/>
    <d v="2019-05-07T00:00:00"/>
    <x v="1"/>
    <n v="3323.9569999999999"/>
    <n v="0"/>
    <x v="2"/>
    <x v="0"/>
    <x v="4"/>
    <n v="2"/>
  </r>
  <r>
    <n v="3"/>
    <d v="2019-05-07T00:00:00"/>
    <x v="2"/>
    <n v="783.09"/>
    <n v="0"/>
    <x v="2"/>
    <x v="0"/>
    <x v="4"/>
    <n v="2"/>
  </r>
  <r>
    <n v="3"/>
    <d v="2019-05-08T00:00:00"/>
    <x v="1"/>
    <n v="3472.9380000000001"/>
    <n v="0"/>
    <x v="2"/>
    <x v="0"/>
    <x v="4"/>
    <n v="2"/>
  </r>
  <r>
    <n v="3"/>
    <d v="2019-05-08T00:00:00"/>
    <x v="2"/>
    <n v="1079.008"/>
    <n v="0"/>
    <x v="2"/>
    <x v="0"/>
    <x v="4"/>
    <n v="2"/>
  </r>
  <r>
    <n v="3"/>
    <d v="2019-05-08T00:00:00"/>
    <x v="0"/>
    <n v="3007.7040000000002"/>
    <n v="0"/>
    <x v="2"/>
    <x v="0"/>
    <x v="4"/>
    <n v="2"/>
  </r>
  <r>
    <n v="3"/>
    <d v="2019-05-08T00:00:00"/>
    <x v="3"/>
    <n v="0"/>
    <n v="0"/>
    <x v="2"/>
    <x v="0"/>
    <x v="4"/>
    <n v="2"/>
  </r>
  <r>
    <n v="3"/>
    <d v="2019-05-09T00:00:00"/>
    <x v="2"/>
    <n v="918.87599999999998"/>
    <n v="0"/>
    <x v="2"/>
    <x v="0"/>
    <x v="4"/>
    <n v="2"/>
  </r>
  <r>
    <n v="3"/>
    <d v="2019-05-09T00:00:00"/>
    <x v="0"/>
    <n v="3651.1369999999997"/>
    <n v="0"/>
    <x v="2"/>
    <x v="0"/>
    <x v="4"/>
    <n v="2"/>
  </r>
  <r>
    <n v="3"/>
    <d v="2019-05-09T00:00:00"/>
    <x v="3"/>
    <n v="242.32599999999999"/>
    <n v="0"/>
    <x v="2"/>
    <x v="0"/>
    <x v="4"/>
    <n v="2"/>
  </r>
  <r>
    <n v="3"/>
    <d v="2019-05-09T00:00:00"/>
    <x v="1"/>
    <n v="3550.3089999999997"/>
    <n v="0"/>
    <x v="2"/>
    <x v="0"/>
    <x v="4"/>
    <n v="2"/>
  </r>
  <r>
    <n v="3"/>
    <d v="2019-05-10T00:00:00"/>
    <x v="0"/>
    <n v="3862.6909999999998"/>
    <n v="0"/>
    <x v="2"/>
    <x v="0"/>
    <x v="4"/>
    <n v="2"/>
  </r>
  <r>
    <n v="3"/>
    <d v="2019-05-10T00:00:00"/>
    <x v="1"/>
    <n v="4040.8969999999999"/>
    <n v="0"/>
    <x v="2"/>
    <x v="0"/>
    <x v="4"/>
    <n v="2"/>
  </r>
  <r>
    <n v="3"/>
    <d v="2019-05-10T00:00:00"/>
    <x v="3"/>
    <n v="92.315999999999988"/>
    <n v="0"/>
    <x v="2"/>
    <x v="0"/>
    <x v="4"/>
    <n v="2"/>
  </r>
  <r>
    <n v="3"/>
    <d v="2019-05-10T00:00:00"/>
    <x v="2"/>
    <n v="927.07299999999998"/>
    <n v="0"/>
    <x v="2"/>
    <x v="0"/>
    <x v="4"/>
    <n v="2"/>
  </r>
  <r>
    <n v="3"/>
    <d v="2019-05-11T00:00:00"/>
    <x v="2"/>
    <n v="921.26999999999987"/>
    <n v="0"/>
    <x v="2"/>
    <x v="0"/>
    <x v="4"/>
    <n v="2"/>
  </r>
  <r>
    <n v="3"/>
    <d v="2019-05-11T00:00:00"/>
    <x v="0"/>
    <n v="3887.3379999999997"/>
    <n v="0"/>
    <x v="2"/>
    <x v="0"/>
    <x v="4"/>
    <n v="2"/>
  </r>
  <r>
    <n v="3"/>
    <d v="2019-05-11T00:00:00"/>
    <x v="3"/>
    <n v="644.54599999999994"/>
    <n v="0"/>
    <x v="2"/>
    <x v="0"/>
    <x v="4"/>
    <n v="2"/>
  </r>
  <r>
    <n v="3"/>
    <d v="2019-05-11T00:00:00"/>
    <x v="1"/>
    <n v="3335.0729999999999"/>
    <n v="0"/>
    <x v="2"/>
    <x v="0"/>
    <x v="4"/>
    <n v="2"/>
  </r>
  <r>
    <n v="3"/>
    <d v="2019-05-12T00:00:00"/>
    <x v="2"/>
    <n v="547.77799999999991"/>
    <n v="0"/>
    <x v="2"/>
    <x v="0"/>
    <x v="4"/>
    <n v="2"/>
  </r>
  <r>
    <n v="3"/>
    <d v="2019-05-12T00:00:00"/>
    <x v="0"/>
    <n v="2702.1189999999997"/>
    <n v="0"/>
    <x v="2"/>
    <x v="0"/>
    <x v="4"/>
    <n v="2"/>
  </r>
  <r>
    <n v="3"/>
    <d v="2019-05-12T00:00:00"/>
    <x v="3"/>
    <n v="295.12700000000001"/>
    <n v="0"/>
    <x v="2"/>
    <x v="0"/>
    <x v="4"/>
    <n v="2"/>
  </r>
  <r>
    <n v="3"/>
    <d v="2019-05-12T00:00:00"/>
    <x v="1"/>
    <n v="2613.7439999999997"/>
    <n v="0"/>
    <x v="2"/>
    <x v="0"/>
    <x v="4"/>
    <n v="2"/>
  </r>
  <r>
    <n v="3"/>
    <d v="2019-05-13T00:00:00"/>
    <x v="1"/>
    <n v="3280.6129999999998"/>
    <n v="0"/>
    <x v="2"/>
    <x v="0"/>
    <x v="4"/>
    <n v="3"/>
  </r>
  <r>
    <n v="3"/>
    <d v="2019-05-13T00:00:00"/>
    <x v="0"/>
    <n v="3430.6579999999994"/>
    <n v="0"/>
    <x v="2"/>
    <x v="0"/>
    <x v="4"/>
    <n v="3"/>
  </r>
  <r>
    <n v="3"/>
    <d v="2019-05-13T00:00:00"/>
    <x v="3"/>
    <n v="37.757999999999996"/>
    <n v="0"/>
    <x v="2"/>
    <x v="0"/>
    <x v="4"/>
    <n v="3"/>
  </r>
  <r>
    <n v="3"/>
    <d v="2019-05-13T00:00:00"/>
    <x v="2"/>
    <n v="855.18999999999994"/>
    <n v="0"/>
    <x v="2"/>
    <x v="0"/>
    <x v="4"/>
    <n v="3"/>
  </r>
  <r>
    <n v="3"/>
    <d v="2019-05-14T00:00:00"/>
    <x v="0"/>
    <n v="3292.6529999999998"/>
    <n v="0"/>
    <x v="2"/>
    <x v="0"/>
    <x v="4"/>
    <n v="3"/>
  </r>
  <r>
    <n v="3"/>
    <d v="2019-05-14T00:00:00"/>
    <x v="2"/>
    <n v="654.84299999999996"/>
    <n v="0"/>
    <x v="2"/>
    <x v="0"/>
    <x v="4"/>
    <n v="3"/>
  </r>
  <r>
    <n v="3"/>
    <d v="2019-05-14T00:00:00"/>
    <x v="3"/>
    <n v="232.17599999999999"/>
    <n v="0"/>
    <x v="2"/>
    <x v="0"/>
    <x v="4"/>
    <n v="3"/>
  </r>
  <r>
    <n v="3"/>
    <d v="2019-05-14T00:00:00"/>
    <x v="1"/>
    <n v="3325.875"/>
    <n v="0"/>
    <x v="2"/>
    <x v="0"/>
    <x v="4"/>
    <n v="3"/>
  </r>
  <r>
    <n v="3"/>
    <d v="2019-05-15T00:00:00"/>
    <x v="0"/>
    <n v="3287.2839999999997"/>
    <n v="0"/>
    <x v="2"/>
    <x v="0"/>
    <x v="4"/>
    <n v="3"/>
  </r>
  <r>
    <n v="3"/>
    <d v="2019-05-15T00:00:00"/>
    <x v="3"/>
    <n v="23.085999999999995"/>
    <n v="0"/>
    <x v="2"/>
    <x v="0"/>
    <x v="4"/>
    <n v="3"/>
  </r>
  <r>
    <n v="3"/>
    <d v="2019-05-15T00:00:00"/>
    <x v="1"/>
    <n v="3529.491"/>
    <n v="0"/>
    <x v="2"/>
    <x v="0"/>
    <x v="4"/>
    <n v="3"/>
  </r>
  <r>
    <n v="3"/>
    <d v="2019-05-15T00:00:00"/>
    <x v="2"/>
    <n v="567.93100000000004"/>
    <n v="0"/>
    <x v="2"/>
    <x v="0"/>
    <x v="4"/>
    <n v="3"/>
  </r>
  <r>
    <n v="3"/>
    <d v="2019-05-16T00:00:00"/>
    <x v="2"/>
    <n v="650.01300000000003"/>
    <n v="0"/>
    <x v="2"/>
    <x v="0"/>
    <x v="4"/>
    <n v="3"/>
  </r>
  <r>
    <n v="3"/>
    <d v="2019-05-16T00:00:00"/>
    <x v="0"/>
    <n v="3179.1759999999999"/>
    <n v="0"/>
    <x v="2"/>
    <x v="0"/>
    <x v="4"/>
    <n v="3"/>
  </r>
  <r>
    <n v="3"/>
    <d v="2019-05-16T00:00:00"/>
    <x v="3"/>
    <n v="173.43199999999999"/>
    <n v="0"/>
    <x v="2"/>
    <x v="0"/>
    <x v="4"/>
    <n v="3"/>
  </r>
  <r>
    <n v="3"/>
    <d v="2019-05-16T00:00:00"/>
    <x v="1"/>
    <n v="3690.3510000000001"/>
    <n v="0"/>
    <x v="2"/>
    <x v="0"/>
    <x v="4"/>
    <n v="3"/>
  </r>
  <r>
    <n v="3"/>
    <d v="2019-05-17T00:00:00"/>
    <x v="2"/>
    <n v="1024.604"/>
    <n v="0"/>
    <x v="2"/>
    <x v="0"/>
    <x v="4"/>
    <n v="3"/>
  </r>
  <r>
    <n v="3"/>
    <d v="2019-05-17T00:00:00"/>
    <x v="3"/>
    <n v="11.542999999999997"/>
    <n v="0"/>
    <x v="2"/>
    <x v="0"/>
    <x v="4"/>
    <n v="3"/>
  </r>
  <r>
    <n v="3"/>
    <d v="2019-05-17T00:00:00"/>
    <x v="0"/>
    <n v="3505.7260000000001"/>
    <n v="0"/>
    <x v="2"/>
    <x v="0"/>
    <x v="4"/>
    <n v="3"/>
  </r>
  <r>
    <n v="3"/>
    <d v="2019-05-17T00:00:00"/>
    <x v="1"/>
    <n v="3482.7519999999995"/>
    <n v="0"/>
    <x v="2"/>
    <x v="0"/>
    <x v="4"/>
    <n v="3"/>
  </r>
  <r>
    <n v="3"/>
    <d v="2019-05-18T00:00:00"/>
    <x v="2"/>
    <n v="647.72400000000005"/>
    <n v="0"/>
    <x v="2"/>
    <x v="0"/>
    <x v="4"/>
    <n v="3"/>
  </r>
  <r>
    <n v="3"/>
    <d v="2019-05-18T00:00:00"/>
    <x v="0"/>
    <n v="3505.5790000000002"/>
    <n v="0"/>
    <x v="2"/>
    <x v="0"/>
    <x v="4"/>
    <n v="3"/>
  </r>
  <r>
    <n v="3"/>
    <d v="2019-05-18T00:00:00"/>
    <x v="1"/>
    <n v="3599.1409999999996"/>
    <n v="0"/>
    <x v="2"/>
    <x v="0"/>
    <x v="4"/>
    <n v="3"/>
  </r>
  <r>
    <n v="3"/>
    <d v="2019-05-18T00:00:00"/>
    <x v="3"/>
    <n v="8.9459999999999997"/>
    <n v="0"/>
    <x v="2"/>
    <x v="0"/>
    <x v="4"/>
    <n v="3"/>
  </r>
  <r>
    <n v="3"/>
    <d v="2019-05-19T00:00:00"/>
    <x v="1"/>
    <n v="3046.6029999999996"/>
    <n v="0"/>
    <x v="2"/>
    <x v="0"/>
    <x v="4"/>
    <n v="3"/>
  </r>
  <r>
    <n v="3"/>
    <d v="2019-05-19T00:00:00"/>
    <x v="2"/>
    <n v="502.20800000000003"/>
    <n v="0"/>
    <x v="2"/>
    <x v="0"/>
    <x v="4"/>
    <n v="3"/>
  </r>
  <r>
    <n v="3"/>
    <d v="2019-05-19T00:00:00"/>
    <x v="0"/>
    <n v="2852.8779999999997"/>
    <n v="0"/>
    <x v="2"/>
    <x v="0"/>
    <x v="4"/>
    <n v="3"/>
  </r>
  <r>
    <n v="3"/>
    <d v="2019-05-19T00:00:00"/>
    <x v="3"/>
    <n v="0"/>
    <n v="0"/>
    <x v="2"/>
    <x v="0"/>
    <x v="4"/>
    <n v="3"/>
  </r>
  <r>
    <n v="3"/>
    <d v="2019-05-20T00:00:00"/>
    <x v="0"/>
    <n v="3250.6809999999996"/>
    <n v="0"/>
    <x v="2"/>
    <x v="0"/>
    <x v="4"/>
    <n v="4"/>
  </r>
  <r>
    <n v="3"/>
    <d v="2019-05-20T00:00:00"/>
    <x v="3"/>
    <n v="79.715999999999994"/>
    <n v="0"/>
    <x v="2"/>
    <x v="0"/>
    <x v="4"/>
    <n v="4"/>
  </r>
  <r>
    <n v="3"/>
    <d v="2019-05-20T00:00:00"/>
    <x v="1"/>
    <n v="3341.1349999999998"/>
    <n v="0"/>
    <x v="2"/>
    <x v="0"/>
    <x v="4"/>
    <n v="4"/>
  </r>
  <r>
    <n v="3"/>
    <d v="2019-05-20T00:00:00"/>
    <x v="2"/>
    <n v="631.78499999999997"/>
    <n v="0"/>
    <x v="2"/>
    <x v="0"/>
    <x v="4"/>
    <n v="4"/>
  </r>
  <r>
    <n v="3"/>
    <d v="2019-05-21T00:00:00"/>
    <x v="2"/>
    <n v="638.21100000000001"/>
    <n v="0"/>
    <x v="2"/>
    <x v="0"/>
    <x v="4"/>
    <n v="4"/>
  </r>
  <r>
    <n v="3"/>
    <d v="2019-05-21T00:00:00"/>
    <x v="1"/>
    <n v="3658.739"/>
    <n v="0"/>
    <x v="2"/>
    <x v="0"/>
    <x v="4"/>
    <n v="4"/>
  </r>
  <r>
    <n v="3"/>
    <d v="2019-05-21T00:00:00"/>
    <x v="0"/>
    <n v="2773.6869999999999"/>
    <n v="0"/>
    <x v="2"/>
    <x v="0"/>
    <x v="4"/>
    <n v="4"/>
  </r>
  <r>
    <n v="3"/>
    <d v="2019-05-21T00:00:00"/>
    <x v="3"/>
    <n v="0"/>
    <n v="0"/>
    <x v="2"/>
    <x v="0"/>
    <x v="4"/>
    <n v="4"/>
  </r>
  <r>
    <n v="3"/>
    <d v="2019-05-22T00:00:00"/>
    <x v="1"/>
    <n v="3383.373"/>
    <n v="0"/>
    <x v="2"/>
    <x v="0"/>
    <x v="4"/>
    <n v="4"/>
  </r>
  <r>
    <n v="3"/>
    <d v="2019-05-22T00:00:00"/>
    <x v="0"/>
    <n v="3518.5359999999996"/>
    <n v="0"/>
    <x v="2"/>
    <x v="0"/>
    <x v="4"/>
    <n v="4"/>
  </r>
  <r>
    <n v="3"/>
    <d v="2019-05-22T00:00:00"/>
    <x v="2"/>
    <n v="847.07699999999988"/>
    <n v="0"/>
    <x v="2"/>
    <x v="0"/>
    <x v="4"/>
    <n v="4"/>
  </r>
  <r>
    <n v="3"/>
    <d v="2019-05-22T00:00:00"/>
    <x v="3"/>
    <n v="557.02499999999998"/>
    <n v="0"/>
    <x v="2"/>
    <x v="0"/>
    <x v="4"/>
    <n v="4"/>
  </r>
  <r>
    <n v="3"/>
    <d v="2019-05-23T00:00:00"/>
    <x v="2"/>
    <n v="711.97699999999998"/>
    <n v="0"/>
    <x v="2"/>
    <x v="0"/>
    <x v="4"/>
    <n v="4"/>
  </r>
  <r>
    <n v="3"/>
    <d v="2019-05-23T00:00:00"/>
    <x v="0"/>
    <n v="3504.8019999999997"/>
    <n v="0"/>
    <x v="2"/>
    <x v="0"/>
    <x v="4"/>
    <n v="4"/>
  </r>
  <r>
    <n v="3"/>
    <d v="2019-05-23T00:00:00"/>
    <x v="3"/>
    <n v="207.71799999999999"/>
    <n v="0"/>
    <x v="2"/>
    <x v="0"/>
    <x v="4"/>
    <n v="4"/>
  </r>
  <r>
    <n v="3"/>
    <d v="2019-05-23T00:00:00"/>
    <x v="1"/>
    <n v="3767.7570000000001"/>
    <n v="0"/>
    <x v="2"/>
    <x v="0"/>
    <x v="4"/>
    <n v="4"/>
  </r>
  <r>
    <n v="3"/>
    <d v="2019-05-24T00:00:00"/>
    <x v="1"/>
    <n v="3586.4920000000002"/>
    <n v="0"/>
    <x v="2"/>
    <x v="0"/>
    <x v="4"/>
    <n v="4"/>
  </r>
  <r>
    <n v="3"/>
    <d v="2019-05-24T00:00:00"/>
    <x v="3"/>
    <n v="200.018"/>
    <n v="0"/>
    <x v="2"/>
    <x v="0"/>
    <x v="4"/>
    <n v="4"/>
  </r>
  <r>
    <n v="3"/>
    <d v="2019-05-24T00:00:00"/>
    <x v="0"/>
    <n v="3901.8839999999996"/>
    <n v="0"/>
    <x v="2"/>
    <x v="0"/>
    <x v="4"/>
    <n v="4"/>
  </r>
  <r>
    <n v="3"/>
    <d v="2019-05-24T00:00:00"/>
    <x v="2"/>
    <n v="1086.337"/>
    <n v="0"/>
    <x v="2"/>
    <x v="0"/>
    <x v="4"/>
    <n v="4"/>
  </r>
  <r>
    <n v="3"/>
    <d v="2019-05-25T00:00:00"/>
    <x v="3"/>
    <n v="144.018"/>
    <n v="0"/>
    <x v="2"/>
    <x v="0"/>
    <x v="4"/>
    <n v="4"/>
  </r>
  <r>
    <n v="3"/>
    <d v="2019-05-25T00:00:00"/>
    <x v="0"/>
    <n v="3098.5429999999997"/>
    <n v="0"/>
    <x v="2"/>
    <x v="0"/>
    <x v="4"/>
    <n v="4"/>
  </r>
  <r>
    <n v="3"/>
    <d v="2019-05-25T00:00:00"/>
    <x v="1"/>
    <n v="2986.9629999999997"/>
    <n v="0"/>
    <x v="2"/>
    <x v="0"/>
    <x v="4"/>
    <n v="4"/>
  </r>
  <r>
    <n v="3"/>
    <d v="2019-05-25T00:00:00"/>
    <x v="2"/>
    <n v="606.22799999999995"/>
    <n v="0"/>
    <x v="2"/>
    <x v="0"/>
    <x v="4"/>
    <n v="4"/>
  </r>
  <r>
    <n v="3"/>
    <d v="2019-05-26T00:00:00"/>
    <x v="2"/>
    <n v="360.47899999999998"/>
    <n v="0"/>
    <x v="2"/>
    <x v="0"/>
    <x v="4"/>
    <n v="4"/>
  </r>
  <r>
    <n v="3"/>
    <d v="2019-05-26T00:00:00"/>
    <x v="0"/>
    <n v="2765.63"/>
    <n v="0"/>
    <x v="2"/>
    <x v="0"/>
    <x v="4"/>
    <n v="4"/>
  </r>
  <r>
    <n v="3"/>
    <d v="2019-05-26T00:00:00"/>
    <x v="3"/>
    <n v="0"/>
    <n v="0"/>
    <x v="2"/>
    <x v="0"/>
    <x v="4"/>
    <n v="4"/>
  </r>
  <r>
    <n v="3"/>
    <d v="2019-05-26T00:00:00"/>
    <x v="1"/>
    <n v="2500.239"/>
    <n v="0"/>
    <x v="2"/>
    <x v="0"/>
    <x v="4"/>
    <n v="4"/>
  </r>
  <r>
    <n v="3"/>
    <d v="2019-05-27T00:00:00"/>
    <x v="3"/>
    <n v="92.315999999999988"/>
    <n v="0"/>
    <x v="2"/>
    <x v="0"/>
    <x v="5"/>
    <n v="1"/>
  </r>
  <r>
    <n v="3"/>
    <d v="2019-05-27T00:00:00"/>
    <x v="2"/>
    <n v="826.97300000000007"/>
    <n v="0"/>
    <x v="2"/>
    <x v="0"/>
    <x v="5"/>
    <n v="1"/>
  </r>
  <r>
    <n v="3"/>
    <d v="2019-05-27T00:00:00"/>
    <x v="0"/>
    <n v="3166.5409999999997"/>
    <n v="0"/>
    <x v="2"/>
    <x v="0"/>
    <x v="5"/>
    <n v="1"/>
  </r>
  <r>
    <n v="3"/>
    <d v="2019-05-27T00:00:00"/>
    <x v="1"/>
    <n v="3189.585"/>
    <n v="0"/>
    <x v="2"/>
    <x v="0"/>
    <x v="5"/>
    <n v="1"/>
  </r>
  <r>
    <n v="3"/>
    <d v="2019-05-28T00:00:00"/>
    <x v="2"/>
    <n v="655.774"/>
    <n v="0"/>
    <x v="2"/>
    <x v="0"/>
    <x v="5"/>
    <n v="1"/>
  </r>
  <r>
    <n v="3"/>
    <d v="2019-05-28T00:00:00"/>
    <x v="1"/>
    <n v="3404.6880000000001"/>
    <n v="0"/>
    <x v="2"/>
    <x v="0"/>
    <x v="5"/>
    <n v="1"/>
  </r>
  <r>
    <n v="3"/>
    <d v="2019-05-28T00:00:00"/>
    <x v="0"/>
    <n v="2522.5759999999996"/>
    <n v="0"/>
    <x v="2"/>
    <x v="0"/>
    <x v="5"/>
    <n v="1"/>
  </r>
  <r>
    <n v="3"/>
    <d v="2019-05-28T00:00:00"/>
    <x v="3"/>
    <n v="0"/>
    <n v="0"/>
    <x v="2"/>
    <x v="0"/>
    <x v="5"/>
    <n v="1"/>
  </r>
  <r>
    <n v="3"/>
    <d v="2019-05-29T00:00:00"/>
    <x v="1"/>
    <n v="3227.6089999999999"/>
    <n v="0"/>
    <x v="2"/>
    <x v="0"/>
    <x v="5"/>
    <n v="1"/>
  </r>
  <r>
    <n v="3"/>
    <d v="2019-05-29T00:00:00"/>
    <x v="0"/>
    <n v="2748.1229999999996"/>
    <n v="0"/>
    <x v="2"/>
    <x v="0"/>
    <x v="5"/>
    <n v="1"/>
  </r>
  <r>
    <n v="3"/>
    <d v="2019-05-29T00:00:00"/>
    <x v="3"/>
    <n v="176.946"/>
    <n v="0"/>
    <x v="2"/>
    <x v="0"/>
    <x v="5"/>
    <n v="1"/>
  </r>
  <r>
    <n v="3"/>
    <d v="2019-05-29T00:00:00"/>
    <x v="2"/>
    <n v="624.92499999999995"/>
    <n v="0"/>
    <x v="2"/>
    <x v="0"/>
    <x v="5"/>
    <n v="1"/>
  </r>
  <r>
    <n v="3"/>
    <d v="2019-05-30T00:00:00"/>
    <x v="2"/>
    <n v="989.05799999999999"/>
    <n v="0"/>
    <x v="2"/>
    <x v="0"/>
    <x v="5"/>
    <n v="1"/>
  </r>
  <r>
    <n v="3"/>
    <d v="2019-05-30T00:00:00"/>
    <x v="1"/>
    <n v="3553.3609999999994"/>
    <n v="0"/>
    <x v="2"/>
    <x v="0"/>
    <x v="5"/>
    <n v="1"/>
  </r>
  <r>
    <n v="3"/>
    <d v="2019-05-30T00:00:00"/>
    <x v="0"/>
    <n v="3538.3459999999995"/>
    <n v="0"/>
    <x v="2"/>
    <x v="0"/>
    <x v="5"/>
    <n v="1"/>
  </r>
  <r>
    <n v="3"/>
    <d v="2019-05-30T00:00:00"/>
    <x v="3"/>
    <n v="23.841999999999999"/>
    <n v="0"/>
    <x v="2"/>
    <x v="0"/>
    <x v="5"/>
    <n v="1"/>
  </r>
  <r>
    <n v="3"/>
    <d v="2019-05-31T00:00:00"/>
    <x v="2"/>
    <n v="1046.4580000000001"/>
    <n v="0"/>
    <x v="2"/>
    <x v="0"/>
    <x v="5"/>
    <n v="1"/>
  </r>
  <r>
    <n v="3"/>
    <d v="2019-05-31T00:00:00"/>
    <x v="1"/>
    <n v="3567.8089999999997"/>
    <n v="0"/>
    <x v="2"/>
    <x v="0"/>
    <x v="5"/>
    <n v="1"/>
  </r>
  <r>
    <n v="3"/>
    <d v="2019-05-31T00:00:00"/>
    <x v="3"/>
    <n v="13.628999999999998"/>
    <n v="0"/>
    <x v="2"/>
    <x v="0"/>
    <x v="5"/>
    <n v="1"/>
  </r>
  <r>
    <n v="3"/>
    <d v="2019-05-31T00:00:00"/>
    <x v="0"/>
    <n v="3667.8879999999999"/>
    <n v="0"/>
    <x v="2"/>
    <x v="0"/>
    <x v="5"/>
    <n v="1"/>
  </r>
  <r>
    <n v="3"/>
    <d v="2019-06-01T00:00:00"/>
    <x v="3"/>
    <n v="253.512"/>
    <n v="0"/>
    <x v="2"/>
    <x v="0"/>
    <x v="5"/>
    <n v="1"/>
  </r>
  <r>
    <n v="3"/>
    <d v="2019-06-01T00:00:00"/>
    <x v="2"/>
    <n v="631.79899999999998"/>
    <n v="0"/>
    <x v="2"/>
    <x v="0"/>
    <x v="5"/>
    <n v="1"/>
  </r>
  <r>
    <n v="3"/>
    <d v="2019-06-01T00:00:00"/>
    <x v="0"/>
    <n v="3504.6759999999999"/>
    <n v="0"/>
    <x v="2"/>
    <x v="0"/>
    <x v="5"/>
    <n v="1"/>
  </r>
  <r>
    <n v="3"/>
    <d v="2019-06-01T00:00:00"/>
    <x v="1"/>
    <n v="3347.5819999999999"/>
    <n v="0"/>
    <x v="2"/>
    <x v="0"/>
    <x v="5"/>
    <n v="1"/>
  </r>
  <r>
    <n v="3"/>
    <d v="2019-06-02T00:00:00"/>
    <x v="1"/>
    <n v="2995.5029999999997"/>
    <n v="0"/>
    <x v="2"/>
    <x v="0"/>
    <x v="5"/>
    <n v="1"/>
  </r>
  <r>
    <n v="3"/>
    <d v="2019-06-02T00:00:00"/>
    <x v="2"/>
    <n v="372.63799999999998"/>
    <n v="0"/>
    <x v="2"/>
    <x v="0"/>
    <x v="5"/>
    <n v="1"/>
  </r>
  <r>
    <n v="3"/>
    <d v="2019-06-02T00:00:00"/>
    <x v="3"/>
    <n v="277.50099999999998"/>
    <n v="0"/>
    <x v="2"/>
    <x v="0"/>
    <x v="5"/>
    <n v="1"/>
  </r>
  <r>
    <n v="3"/>
    <d v="2019-06-02T00:00:00"/>
    <x v="0"/>
    <n v="3040.9540000000002"/>
    <n v="0"/>
    <x v="2"/>
    <x v="0"/>
    <x v="5"/>
    <n v="1"/>
  </r>
  <r>
    <n v="3"/>
    <d v="2019-06-03T00:00:00"/>
    <x v="0"/>
    <n v="3059.826"/>
    <n v="0"/>
    <x v="2"/>
    <x v="0"/>
    <x v="5"/>
    <n v="2"/>
  </r>
  <r>
    <n v="3"/>
    <d v="2019-06-03T00:00:00"/>
    <x v="1"/>
    <n v="3192.0839999999998"/>
    <n v="0"/>
    <x v="2"/>
    <x v="0"/>
    <x v="5"/>
    <n v="2"/>
  </r>
  <r>
    <n v="3"/>
    <d v="2019-06-03T00:00:00"/>
    <x v="3"/>
    <n v="831.25"/>
    <n v="0"/>
    <x v="2"/>
    <x v="0"/>
    <x v="5"/>
    <n v="2"/>
  </r>
  <r>
    <n v="3"/>
    <d v="2019-06-03T00:00:00"/>
    <x v="2"/>
    <n v="704.91399999999999"/>
    <n v="0"/>
    <x v="2"/>
    <x v="0"/>
    <x v="5"/>
    <n v="2"/>
  </r>
  <r>
    <n v="3"/>
    <d v="2019-06-04T00:00:00"/>
    <x v="2"/>
    <n v="615.79"/>
    <n v="0"/>
    <x v="2"/>
    <x v="0"/>
    <x v="5"/>
    <n v="2"/>
  </r>
  <r>
    <n v="3"/>
    <d v="2019-06-04T00:00:00"/>
    <x v="0"/>
    <n v="3795.498"/>
    <n v="0"/>
    <x v="2"/>
    <x v="0"/>
    <x v="5"/>
    <n v="2"/>
  </r>
  <r>
    <n v="3"/>
    <d v="2019-06-04T00:00:00"/>
    <x v="3"/>
    <n v="0"/>
    <n v="0"/>
    <x v="2"/>
    <x v="0"/>
    <x v="5"/>
    <n v="2"/>
  </r>
  <r>
    <n v="3"/>
    <d v="2019-06-04T00:00:00"/>
    <x v="1"/>
    <n v="3410.5679999999998"/>
    <n v="0"/>
    <x v="2"/>
    <x v="0"/>
    <x v="5"/>
    <n v="2"/>
  </r>
  <r>
    <n v="3"/>
    <d v="2019-06-05T00:00:00"/>
    <x v="3"/>
    <n v="25.172000000000001"/>
    <n v="0"/>
    <x v="2"/>
    <x v="0"/>
    <x v="5"/>
    <n v="2"/>
  </r>
  <r>
    <n v="3"/>
    <d v="2019-06-05T00:00:00"/>
    <x v="1"/>
    <n v="3150.4969999999998"/>
    <n v="0"/>
    <x v="2"/>
    <x v="0"/>
    <x v="5"/>
    <n v="2"/>
  </r>
  <r>
    <n v="3"/>
    <d v="2019-06-05T00:00:00"/>
    <x v="2"/>
    <n v="836.94799999999998"/>
    <n v="0"/>
    <x v="2"/>
    <x v="0"/>
    <x v="5"/>
    <n v="2"/>
  </r>
  <r>
    <n v="3"/>
    <d v="2019-06-05T00:00:00"/>
    <x v="0"/>
    <n v="3534.9089999999997"/>
    <n v="0"/>
    <x v="2"/>
    <x v="0"/>
    <x v="5"/>
    <n v="2"/>
  </r>
  <r>
    <n v="3"/>
    <d v="2019-06-06T00:00:00"/>
    <x v="0"/>
    <n v="3898.5939999999996"/>
    <n v="0"/>
    <x v="2"/>
    <x v="0"/>
    <x v="5"/>
    <n v="2"/>
  </r>
  <r>
    <n v="3"/>
    <d v="2019-06-06T00:00:00"/>
    <x v="3"/>
    <n v="329.70699999999999"/>
    <n v="0"/>
    <x v="2"/>
    <x v="0"/>
    <x v="5"/>
    <n v="2"/>
  </r>
  <r>
    <n v="3"/>
    <d v="2019-06-06T00:00:00"/>
    <x v="2"/>
    <n v="1019.48"/>
    <n v="0"/>
    <x v="2"/>
    <x v="0"/>
    <x v="5"/>
    <n v="2"/>
  </r>
  <r>
    <n v="3"/>
    <d v="2019-06-06T00:00:00"/>
    <x v="1"/>
    <n v="3284.8409999999999"/>
    <n v="0"/>
    <x v="2"/>
    <x v="0"/>
    <x v="5"/>
    <n v="2"/>
  </r>
  <r>
    <n v="3"/>
    <d v="2019-06-07T00:00:00"/>
    <x v="2"/>
    <n v="757.505"/>
    <n v="0"/>
    <x v="2"/>
    <x v="0"/>
    <x v="5"/>
    <n v="2"/>
  </r>
  <r>
    <n v="3"/>
    <d v="2019-06-07T00:00:00"/>
    <x v="3"/>
    <n v="25.857999999999997"/>
    <n v="0"/>
    <x v="2"/>
    <x v="0"/>
    <x v="5"/>
    <n v="2"/>
  </r>
  <r>
    <n v="3"/>
    <d v="2019-06-07T00:00:00"/>
    <x v="0"/>
    <n v="4001.8719999999998"/>
    <n v="0"/>
    <x v="2"/>
    <x v="0"/>
    <x v="5"/>
    <n v="2"/>
  </r>
  <r>
    <n v="3"/>
    <d v="2019-06-07T00:00:00"/>
    <x v="1"/>
    <n v="4058.5439999999999"/>
    <n v="0"/>
    <x v="2"/>
    <x v="0"/>
    <x v="5"/>
    <n v="2"/>
  </r>
  <r>
    <n v="3"/>
    <d v="2019-06-08T00:00:00"/>
    <x v="3"/>
    <n v="311.57"/>
    <n v="0"/>
    <x v="2"/>
    <x v="0"/>
    <x v="5"/>
    <n v="2"/>
  </r>
  <r>
    <n v="3"/>
    <d v="2019-06-08T00:00:00"/>
    <x v="1"/>
    <n v="2888.8579999999997"/>
    <n v="0"/>
    <x v="2"/>
    <x v="0"/>
    <x v="5"/>
    <n v="2"/>
  </r>
  <r>
    <n v="3"/>
    <d v="2019-06-08T00:00:00"/>
    <x v="2"/>
    <n v="1040.893"/>
    <n v="0"/>
    <x v="2"/>
    <x v="0"/>
    <x v="5"/>
    <n v="2"/>
  </r>
  <r>
    <n v="3"/>
    <d v="2019-06-08T00:00:00"/>
    <x v="0"/>
    <n v="3224.7109999999993"/>
    <n v="0"/>
    <x v="2"/>
    <x v="0"/>
    <x v="5"/>
    <n v="2"/>
  </r>
  <r>
    <n v="3"/>
    <d v="2019-06-09T00:00:00"/>
    <x v="2"/>
    <n v="704.86500000000001"/>
    <n v="0"/>
    <x v="2"/>
    <x v="0"/>
    <x v="5"/>
    <n v="2"/>
  </r>
  <r>
    <n v="3"/>
    <d v="2019-06-09T00:00:00"/>
    <x v="0"/>
    <n v="3278.4989999999998"/>
    <n v="0"/>
    <x v="2"/>
    <x v="0"/>
    <x v="5"/>
    <n v="2"/>
  </r>
  <r>
    <n v="3"/>
    <d v="2019-06-09T00:00:00"/>
    <x v="3"/>
    <n v="0"/>
    <n v="0"/>
    <x v="2"/>
    <x v="0"/>
    <x v="5"/>
    <n v="2"/>
  </r>
  <r>
    <n v="3"/>
    <d v="2019-06-09T00:00:00"/>
    <x v="1"/>
    <n v="1684.7949999999998"/>
    <n v="0"/>
    <x v="2"/>
    <x v="0"/>
    <x v="5"/>
    <n v="2"/>
  </r>
  <r>
    <n v="3"/>
    <d v="2019-06-10T00:00:00"/>
    <x v="1"/>
    <n v="2816.4989999999998"/>
    <n v="0"/>
    <x v="2"/>
    <x v="0"/>
    <x v="5"/>
    <n v="3"/>
  </r>
  <r>
    <n v="3"/>
    <d v="2019-06-10T00:00:00"/>
    <x v="2"/>
    <n v="732.38199999999995"/>
    <n v="0"/>
    <x v="2"/>
    <x v="0"/>
    <x v="5"/>
    <n v="3"/>
  </r>
  <r>
    <n v="3"/>
    <d v="2019-06-10T00:00:00"/>
    <x v="0"/>
    <n v="3533.3760000000002"/>
    <n v="0"/>
    <x v="2"/>
    <x v="0"/>
    <x v="5"/>
    <n v="3"/>
  </r>
  <r>
    <n v="3"/>
    <d v="2019-06-10T00:00:00"/>
    <x v="3"/>
    <n v="0"/>
    <n v="0"/>
    <x v="2"/>
    <x v="0"/>
    <x v="5"/>
    <n v="3"/>
  </r>
  <r>
    <n v="3"/>
    <d v="2019-06-11T00:00:00"/>
    <x v="2"/>
    <n v="621.51599999999996"/>
    <n v="0"/>
    <x v="2"/>
    <x v="0"/>
    <x v="5"/>
    <n v="3"/>
  </r>
  <r>
    <n v="3"/>
    <d v="2019-06-11T00:00:00"/>
    <x v="0"/>
    <n v="3326.9390000000003"/>
    <n v="0"/>
    <x v="2"/>
    <x v="0"/>
    <x v="5"/>
    <n v="3"/>
  </r>
  <r>
    <n v="3"/>
    <d v="2019-06-11T00:00:00"/>
    <x v="3"/>
    <n v="270.87900000000002"/>
    <n v="0"/>
    <x v="2"/>
    <x v="0"/>
    <x v="5"/>
    <n v="3"/>
  </r>
  <r>
    <n v="3"/>
    <d v="2019-06-11T00:00:00"/>
    <x v="1"/>
    <n v="3171.413"/>
    <n v="0"/>
    <x v="2"/>
    <x v="0"/>
    <x v="5"/>
    <n v="3"/>
  </r>
  <r>
    <n v="3"/>
    <d v="2019-06-12T00:00:00"/>
    <x v="1"/>
    <n v="2966.607"/>
    <n v="0"/>
    <x v="2"/>
    <x v="0"/>
    <x v="5"/>
    <n v="3"/>
  </r>
  <r>
    <n v="3"/>
    <d v="2019-06-12T00:00:00"/>
    <x v="3"/>
    <n v="353.11499999999995"/>
    <n v="0"/>
    <x v="2"/>
    <x v="0"/>
    <x v="5"/>
    <n v="3"/>
  </r>
  <r>
    <n v="3"/>
    <d v="2019-06-12T00:00:00"/>
    <x v="2"/>
    <n v="973.49699999999996"/>
    <n v="0"/>
    <x v="2"/>
    <x v="0"/>
    <x v="5"/>
    <n v="3"/>
  </r>
  <r>
    <n v="3"/>
    <d v="2019-06-12T00:00:00"/>
    <x v="0"/>
    <n v="2953.1809999999996"/>
    <n v="0"/>
    <x v="2"/>
    <x v="0"/>
    <x v="5"/>
    <n v="3"/>
  </r>
  <r>
    <n v="3"/>
    <d v="2019-06-13T00:00:00"/>
    <x v="2"/>
    <n v="916.94399999999996"/>
    <n v="0"/>
    <x v="2"/>
    <x v="0"/>
    <x v="5"/>
    <n v="3"/>
  </r>
  <r>
    <n v="3"/>
    <d v="2019-06-13T00:00:00"/>
    <x v="0"/>
    <n v="3339.1959999999995"/>
    <n v="0"/>
    <x v="2"/>
    <x v="0"/>
    <x v="5"/>
    <n v="3"/>
  </r>
  <r>
    <n v="3"/>
    <d v="2019-06-13T00:00:00"/>
    <x v="3"/>
    <n v="47.698"/>
    <n v="0"/>
    <x v="2"/>
    <x v="0"/>
    <x v="5"/>
    <n v="3"/>
  </r>
  <r>
    <n v="3"/>
    <d v="2019-06-13T00:00:00"/>
    <x v="1"/>
    <n v="3237.395"/>
    <n v="0"/>
    <x v="2"/>
    <x v="0"/>
    <x v="5"/>
    <n v="3"/>
  </r>
  <r>
    <n v="3"/>
    <d v="2019-06-14T00:00:00"/>
    <x v="3"/>
    <n v="0"/>
    <n v="0"/>
    <x v="2"/>
    <x v="0"/>
    <x v="5"/>
    <n v="3"/>
  </r>
  <r>
    <n v="3"/>
    <d v="2019-06-14T00:00:00"/>
    <x v="2"/>
    <n v="998.7879999999999"/>
    <n v="0"/>
    <x v="2"/>
    <x v="0"/>
    <x v="5"/>
    <n v="3"/>
  </r>
  <r>
    <n v="3"/>
    <d v="2019-06-14T00:00:00"/>
    <x v="0"/>
    <n v="3597.2929999999997"/>
    <n v="0"/>
    <x v="2"/>
    <x v="0"/>
    <x v="5"/>
    <n v="3"/>
  </r>
  <r>
    <n v="3"/>
    <d v="2019-06-14T00:00:00"/>
    <x v="1"/>
    <n v="3446.5129999999999"/>
    <n v="0"/>
    <x v="2"/>
    <x v="0"/>
    <x v="5"/>
    <n v="3"/>
  </r>
  <r>
    <n v="3"/>
    <d v="2019-06-15T00:00:00"/>
    <x v="2"/>
    <n v="1119.867"/>
    <n v="0"/>
    <x v="2"/>
    <x v="0"/>
    <x v="5"/>
    <n v="3"/>
  </r>
  <r>
    <n v="3"/>
    <d v="2019-06-15T00:00:00"/>
    <x v="0"/>
    <n v="2785.8739999999998"/>
    <n v="0"/>
    <x v="2"/>
    <x v="0"/>
    <x v="5"/>
    <n v="3"/>
  </r>
  <r>
    <n v="3"/>
    <d v="2019-06-15T00:00:00"/>
    <x v="3"/>
    <n v="25.003999999999998"/>
    <n v="0"/>
    <x v="2"/>
    <x v="0"/>
    <x v="5"/>
    <n v="3"/>
  </r>
  <r>
    <n v="3"/>
    <d v="2019-06-15T00:00:00"/>
    <x v="1"/>
    <n v="2762.3539999999998"/>
    <n v="0"/>
    <x v="2"/>
    <x v="0"/>
    <x v="5"/>
    <n v="3"/>
  </r>
  <r>
    <n v="3"/>
    <d v="2019-06-16T00:00:00"/>
    <x v="0"/>
    <n v="3406.6829999999995"/>
    <n v="0"/>
    <x v="2"/>
    <x v="0"/>
    <x v="5"/>
    <n v="3"/>
  </r>
  <r>
    <n v="3"/>
    <d v="2019-06-16T00:00:00"/>
    <x v="3"/>
    <n v="10.661"/>
    <n v="0"/>
    <x v="2"/>
    <x v="0"/>
    <x v="5"/>
    <n v="3"/>
  </r>
  <r>
    <n v="3"/>
    <d v="2019-06-16T00:00:00"/>
    <x v="2"/>
    <n v="314.79699999999997"/>
    <n v="0"/>
    <x v="2"/>
    <x v="0"/>
    <x v="5"/>
    <n v="3"/>
  </r>
  <r>
    <n v="3"/>
    <d v="2019-06-16T00:00:00"/>
    <x v="1"/>
    <n v="0"/>
    <n v="0"/>
    <x v="2"/>
    <x v="0"/>
    <x v="5"/>
    <n v="3"/>
  </r>
  <r>
    <n v="3"/>
    <d v="2019-06-17T00:00:00"/>
    <x v="2"/>
    <n v="790.50299999999993"/>
    <n v="0"/>
    <x v="2"/>
    <x v="0"/>
    <x v="5"/>
    <n v="4"/>
  </r>
  <r>
    <n v="3"/>
    <d v="2019-06-17T00:00:00"/>
    <x v="1"/>
    <n v="2209.7529999999997"/>
    <n v="0"/>
    <x v="2"/>
    <x v="0"/>
    <x v="5"/>
    <n v="4"/>
  </r>
  <r>
    <n v="3"/>
    <d v="2019-06-17T00:00:00"/>
    <x v="0"/>
    <n v="3380.6429999999996"/>
    <n v="0"/>
    <x v="2"/>
    <x v="0"/>
    <x v="5"/>
    <n v="4"/>
  </r>
  <r>
    <n v="3"/>
    <d v="2019-06-17T00:00:00"/>
    <x v="3"/>
    <n v="639.55499999999995"/>
    <n v="0"/>
    <x v="2"/>
    <x v="0"/>
    <x v="5"/>
    <n v="4"/>
  </r>
  <r>
    <n v="3"/>
    <d v="2019-06-18T00:00:00"/>
    <x v="3"/>
    <n v="201.07499999999999"/>
    <n v="0"/>
    <x v="2"/>
    <x v="0"/>
    <x v="5"/>
    <n v="4"/>
  </r>
  <r>
    <n v="3"/>
    <d v="2019-06-18T00:00:00"/>
    <x v="2"/>
    <n v="638.23899999999992"/>
    <n v="0"/>
    <x v="2"/>
    <x v="0"/>
    <x v="5"/>
    <n v="4"/>
  </r>
  <r>
    <n v="3"/>
    <d v="2019-06-18T00:00:00"/>
    <x v="0"/>
    <n v="3800.16"/>
    <n v="0"/>
    <x v="2"/>
    <x v="0"/>
    <x v="5"/>
    <n v="4"/>
  </r>
  <r>
    <n v="3"/>
    <d v="2019-06-18T00:00:00"/>
    <x v="1"/>
    <n v="3200.3019999999997"/>
    <n v="0"/>
    <x v="2"/>
    <x v="0"/>
    <x v="5"/>
    <n v="4"/>
  </r>
  <r>
    <n v="3"/>
    <d v="2019-06-19T00:00:00"/>
    <x v="1"/>
    <n v="3313.1489999999994"/>
    <n v="0"/>
    <x v="2"/>
    <x v="0"/>
    <x v="5"/>
    <n v="4"/>
  </r>
  <r>
    <n v="3"/>
    <d v="2019-06-19T00:00:00"/>
    <x v="3"/>
    <n v="0"/>
    <n v="0"/>
    <x v="2"/>
    <x v="0"/>
    <x v="5"/>
    <n v="4"/>
  </r>
  <r>
    <n v="3"/>
    <d v="2019-06-19T00:00:00"/>
    <x v="2"/>
    <n v="797.96500000000003"/>
    <n v="0"/>
    <x v="2"/>
    <x v="0"/>
    <x v="5"/>
    <n v="4"/>
  </r>
  <r>
    <n v="3"/>
    <d v="2019-06-19T00:00:00"/>
    <x v="0"/>
    <n v="3304.35"/>
    <n v="0"/>
    <x v="2"/>
    <x v="0"/>
    <x v="5"/>
    <n v="4"/>
  </r>
  <r>
    <n v="3"/>
    <d v="2019-06-20T00:00:00"/>
    <x v="0"/>
    <n v="3482.7939999999999"/>
    <n v="0"/>
    <x v="2"/>
    <x v="0"/>
    <x v="5"/>
    <n v="4"/>
  </r>
  <r>
    <n v="3"/>
    <d v="2019-06-20T00:00:00"/>
    <x v="3"/>
    <n v="121.13500000000001"/>
    <n v="0"/>
    <x v="2"/>
    <x v="0"/>
    <x v="5"/>
    <n v="4"/>
  </r>
  <r>
    <n v="3"/>
    <d v="2019-06-20T00:00:00"/>
    <x v="1"/>
    <n v="3500.9799999999996"/>
    <n v="0"/>
    <x v="2"/>
    <x v="0"/>
    <x v="5"/>
    <n v="4"/>
  </r>
  <r>
    <n v="3"/>
    <d v="2019-06-20T00:00:00"/>
    <x v="2"/>
    <n v="841.66600000000005"/>
    <n v="0"/>
    <x v="2"/>
    <x v="0"/>
    <x v="5"/>
    <n v="4"/>
  </r>
  <r>
    <n v="3"/>
    <d v="2019-06-21T00:00:00"/>
    <x v="1"/>
    <n v="3691.31"/>
    <n v="0"/>
    <x v="2"/>
    <x v="0"/>
    <x v="5"/>
    <n v="4"/>
  </r>
  <r>
    <n v="3"/>
    <d v="2019-06-21T00:00:00"/>
    <x v="2"/>
    <n v="838.92899999999997"/>
    <n v="0"/>
    <x v="2"/>
    <x v="0"/>
    <x v="5"/>
    <n v="4"/>
  </r>
  <r>
    <n v="3"/>
    <d v="2019-06-21T00:00:00"/>
    <x v="0"/>
    <n v="3373.5659999999998"/>
    <n v="0"/>
    <x v="2"/>
    <x v="0"/>
    <x v="5"/>
    <n v="4"/>
  </r>
  <r>
    <n v="3"/>
    <d v="2019-06-21T00:00:00"/>
    <x v="3"/>
    <n v="222.90099999999998"/>
    <n v="0"/>
    <x v="2"/>
    <x v="0"/>
    <x v="5"/>
    <n v="4"/>
  </r>
  <r>
    <n v="3"/>
    <d v="2019-06-22T00:00:00"/>
    <x v="2"/>
    <n v="789.31299999999987"/>
    <n v="0"/>
    <x v="2"/>
    <x v="0"/>
    <x v="5"/>
    <n v="4"/>
  </r>
  <r>
    <n v="3"/>
    <d v="2019-06-22T00:00:00"/>
    <x v="0"/>
    <n v="3521.3709999999996"/>
    <n v="0"/>
    <x v="2"/>
    <x v="0"/>
    <x v="5"/>
    <n v="4"/>
  </r>
  <r>
    <n v="3"/>
    <d v="2019-06-22T00:00:00"/>
    <x v="3"/>
    <n v="14.147"/>
    <n v="0"/>
    <x v="2"/>
    <x v="0"/>
    <x v="5"/>
    <n v="4"/>
  </r>
  <r>
    <n v="3"/>
    <d v="2019-06-22T00:00:00"/>
    <x v="1"/>
    <n v="3406.5149999999999"/>
    <n v="0"/>
    <x v="2"/>
    <x v="0"/>
    <x v="5"/>
    <n v="4"/>
  </r>
  <r>
    <n v="3"/>
    <d v="2019-06-23T00:00:00"/>
    <x v="2"/>
    <n v="637.952"/>
    <n v="0"/>
    <x v="2"/>
    <x v="0"/>
    <x v="5"/>
    <n v="4"/>
  </r>
  <r>
    <n v="3"/>
    <d v="2019-06-23T00:00:00"/>
    <x v="0"/>
    <n v="3390.8420000000001"/>
    <n v="0"/>
    <x v="2"/>
    <x v="0"/>
    <x v="5"/>
    <n v="4"/>
  </r>
  <r>
    <n v="3"/>
    <d v="2019-06-23T00:00:00"/>
    <x v="3"/>
    <n v="0"/>
    <n v="0"/>
    <x v="2"/>
    <x v="0"/>
    <x v="5"/>
    <n v="4"/>
  </r>
  <r>
    <n v="3"/>
    <d v="2019-06-23T00:00:00"/>
    <x v="1"/>
    <n v="2866.2759999999998"/>
    <n v="0"/>
    <x v="2"/>
    <x v="0"/>
    <x v="5"/>
    <n v="4"/>
  </r>
  <r>
    <n v="3"/>
    <d v="2019-06-24T00:00:00"/>
    <x v="3"/>
    <n v="0"/>
    <n v="0"/>
    <x v="2"/>
    <x v="0"/>
    <x v="5"/>
    <n v="5"/>
  </r>
  <r>
    <n v="3"/>
    <d v="2019-06-24T00:00:00"/>
    <x v="2"/>
    <n v="773.40899999999988"/>
    <n v="0"/>
    <x v="2"/>
    <x v="0"/>
    <x v="5"/>
    <n v="5"/>
  </r>
  <r>
    <n v="3"/>
    <d v="2019-06-24T00:00:00"/>
    <x v="1"/>
    <n v="3251.6959999999995"/>
    <n v="0"/>
    <x v="2"/>
    <x v="0"/>
    <x v="5"/>
    <n v="5"/>
  </r>
  <r>
    <n v="3"/>
    <d v="2019-06-24T00:00:00"/>
    <x v="0"/>
    <n v="3085.0679999999998"/>
    <n v="0"/>
    <x v="2"/>
    <x v="0"/>
    <x v="5"/>
    <n v="5"/>
  </r>
  <r>
    <n v="3"/>
    <d v="2019-06-25T00:00:00"/>
    <x v="3"/>
    <n v="135.95399999999998"/>
    <n v="0"/>
    <x v="2"/>
    <x v="0"/>
    <x v="5"/>
    <n v="5"/>
  </r>
  <r>
    <n v="3"/>
    <d v="2019-06-25T00:00:00"/>
    <x v="0"/>
    <n v="3541.2369999999996"/>
    <n v="0"/>
    <x v="2"/>
    <x v="0"/>
    <x v="5"/>
    <n v="5"/>
  </r>
  <r>
    <n v="3"/>
    <d v="2019-06-25T00:00:00"/>
    <x v="2"/>
    <n v="673.84799999999996"/>
    <n v="0"/>
    <x v="2"/>
    <x v="0"/>
    <x v="5"/>
    <n v="5"/>
  </r>
  <r>
    <n v="3"/>
    <d v="2019-06-25T00:00:00"/>
    <x v="1"/>
    <n v="3144.3089999999997"/>
    <n v="0"/>
    <x v="2"/>
    <x v="0"/>
    <x v="5"/>
    <n v="5"/>
  </r>
  <r>
    <n v="3"/>
    <d v="2019-06-26T00:00:00"/>
    <x v="2"/>
    <n v="784.74899999999991"/>
    <n v="0"/>
    <x v="2"/>
    <x v="0"/>
    <x v="5"/>
    <n v="5"/>
  </r>
  <r>
    <n v="3"/>
    <d v="2019-06-26T00:00:00"/>
    <x v="0"/>
    <n v="3338.3629999999998"/>
    <n v="0"/>
    <x v="2"/>
    <x v="0"/>
    <x v="5"/>
    <n v="5"/>
  </r>
  <r>
    <n v="3"/>
    <d v="2019-06-26T00:00:00"/>
    <x v="3"/>
    <n v="42.021000000000001"/>
    <n v="0"/>
    <x v="2"/>
    <x v="0"/>
    <x v="5"/>
    <n v="5"/>
  </r>
  <r>
    <n v="3"/>
    <d v="2019-06-26T00:00:00"/>
    <x v="1"/>
    <n v="3273.5709999999995"/>
    <n v="0"/>
    <x v="2"/>
    <x v="0"/>
    <x v="5"/>
    <n v="5"/>
  </r>
  <r>
    <n v="3"/>
    <d v="2019-06-27T00:00:00"/>
    <x v="2"/>
    <n v="663.34100000000001"/>
    <n v="0"/>
    <x v="2"/>
    <x v="0"/>
    <x v="5"/>
    <n v="5"/>
  </r>
  <r>
    <n v="3"/>
    <d v="2019-06-27T00:00:00"/>
    <x v="3"/>
    <n v="463.029"/>
    <n v="0"/>
    <x v="2"/>
    <x v="0"/>
    <x v="5"/>
    <n v="5"/>
  </r>
  <r>
    <n v="3"/>
    <d v="2019-06-27T00:00:00"/>
    <x v="1"/>
    <n v="3638.5230000000001"/>
    <n v="0"/>
    <x v="2"/>
    <x v="0"/>
    <x v="5"/>
    <n v="5"/>
  </r>
  <r>
    <n v="3"/>
    <d v="2019-06-27T00:00:00"/>
    <x v="0"/>
    <n v="3223.1079999999997"/>
    <n v="0"/>
    <x v="2"/>
    <x v="0"/>
    <x v="5"/>
    <n v="5"/>
  </r>
  <r>
    <n v="3"/>
    <d v="2019-06-28T00:00:00"/>
    <x v="2"/>
    <n v="684.3549999999999"/>
    <n v="0"/>
    <x v="2"/>
    <x v="0"/>
    <x v="5"/>
    <n v="5"/>
  </r>
  <r>
    <n v="3"/>
    <d v="2019-06-28T00:00:00"/>
    <x v="0"/>
    <n v="3503.7170000000001"/>
    <n v="0"/>
    <x v="2"/>
    <x v="0"/>
    <x v="5"/>
    <n v="5"/>
  </r>
  <r>
    <n v="3"/>
    <d v="2019-06-28T00:00:00"/>
    <x v="3"/>
    <n v="127.44199999999999"/>
    <n v="0"/>
    <x v="2"/>
    <x v="0"/>
    <x v="5"/>
    <n v="5"/>
  </r>
  <r>
    <n v="3"/>
    <d v="2019-06-28T00:00:00"/>
    <x v="1"/>
    <n v="3712.1279999999997"/>
    <n v="0"/>
    <x v="2"/>
    <x v="0"/>
    <x v="5"/>
    <n v="5"/>
  </r>
  <r>
    <n v="3"/>
    <d v="2019-06-29T00:00:00"/>
    <x v="0"/>
    <n v="3166.7439999999997"/>
    <n v="0"/>
    <x v="2"/>
    <x v="0"/>
    <x v="5"/>
    <n v="5"/>
  </r>
  <r>
    <n v="3"/>
    <d v="2019-06-29T00:00:00"/>
    <x v="1"/>
    <n v="3225.0749999999998"/>
    <n v="0"/>
    <x v="2"/>
    <x v="0"/>
    <x v="5"/>
    <n v="5"/>
  </r>
  <r>
    <n v="3"/>
    <d v="2019-06-29T00:00:00"/>
    <x v="3"/>
    <n v="206.178"/>
    <n v="0"/>
    <x v="2"/>
    <x v="0"/>
    <x v="5"/>
    <n v="5"/>
  </r>
  <r>
    <n v="3"/>
    <d v="2019-06-29T00:00:00"/>
    <x v="2"/>
    <n v="844.29100000000005"/>
    <n v="0"/>
    <x v="2"/>
    <x v="0"/>
    <x v="5"/>
    <n v="5"/>
  </r>
  <r>
    <n v="3"/>
    <d v="2019-06-30T00:00:00"/>
    <x v="2"/>
    <n v="380.51299999999998"/>
    <n v="0"/>
    <x v="2"/>
    <x v="0"/>
    <x v="5"/>
    <n v="5"/>
  </r>
  <r>
    <n v="3"/>
    <d v="2019-06-30T00:00:00"/>
    <x v="3"/>
    <n v="0"/>
    <n v="0"/>
    <x v="2"/>
    <x v="0"/>
    <x v="5"/>
    <n v="5"/>
  </r>
  <r>
    <n v="3"/>
    <d v="2019-06-30T00:00:00"/>
    <x v="0"/>
    <n v="3150.6299999999997"/>
    <n v="0"/>
    <x v="2"/>
    <x v="0"/>
    <x v="5"/>
    <n v="5"/>
  </r>
  <r>
    <n v="3"/>
    <d v="2019-06-30T00:00:00"/>
    <x v="1"/>
    <n v="3125.192"/>
    <n v="0"/>
    <x v="2"/>
    <x v="0"/>
    <x v="5"/>
    <n v="5"/>
  </r>
  <r>
    <n v="3"/>
    <d v="2019-07-01T00:00:00"/>
    <x v="2"/>
    <n v="690.19299999999998"/>
    <n v="0"/>
    <x v="2"/>
    <x v="0"/>
    <x v="6"/>
    <n v="1"/>
  </r>
  <r>
    <n v="3"/>
    <d v="2019-07-01T00:00:00"/>
    <x v="0"/>
    <n v="3442.5509999999999"/>
    <n v="0"/>
    <x v="2"/>
    <x v="0"/>
    <x v="6"/>
    <n v="1"/>
  </r>
  <r>
    <n v="3"/>
    <d v="2019-07-01T00:00:00"/>
    <x v="3"/>
    <n v="17.975999999999999"/>
    <n v="0"/>
    <x v="2"/>
    <x v="0"/>
    <x v="6"/>
    <n v="1"/>
  </r>
  <r>
    <n v="3"/>
    <d v="2019-07-01T00:00:00"/>
    <x v="1"/>
    <n v="3032.6589999999997"/>
    <n v="0"/>
    <x v="2"/>
    <x v="0"/>
    <x v="6"/>
    <n v="1"/>
  </r>
  <r>
    <n v="3"/>
    <d v="2019-07-02T00:00:00"/>
    <x v="0"/>
    <n v="3665.2420000000002"/>
    <n v="0"/>
    <x v="2"/>
    <x v="0"/>
    <x v="6"/>
    <n v="1"/>
  </r>
  <r>
    <n v="3"/>
    <d v="2019-07-02T00:00:00"/>
    <x v="1"/>
    <n v="2996.6089999999999"/>
    <n v="0"/>
    <x v="2"/>
    <x v="0"/>
    <x v="6"/>
    <n v="1"/>
  </r>
  <r>
    <n v="3"/>
    <d v="2019-07-02T00:00:00"/>
    <x v="2"/>
    <n v="716.66699999999992"/>
    <n v="0"/>
    <x v="2"/>
    <x v="0"/>
    <x v="6"/>
    <n v="1"/>
  </r>
  <r>
    <n v="3"/>
    <d v="2019-07-02T00:00:00"/>
    <x v="3"/>
    <n v="413.20999999999992"/>
    <n v="0"/>
    <x v="2"/>
    <x v="0"/>
    <x v="6"/>
    <n v="1"/>
  </r>
  <r>
    <n v="3"/>
    <d v="2019-07-03T00:00:00"/>
    <x v="2"/>
    <n v="608.79"/>
    <n v="0"/>
    <x v="2"/>
    <x v="0"/>
    <x v="6"/>
    <n v="1"/>
  </r>
  <r>
    <n v="3"/>
    <d v="2019-07-03T00:00:00"/>
    <x v="0"/>
    <n v="3721.8089999999997"/>
    <n v="0"/>
    <x v="2"/>
    <x v="0"/>
    <x v="6"/>
    <n v="1"/>
  </r>
  <r>
    <n v="3"/>
    <d v="2019-07-03T00:00:00"/>
    <x v="1"/>
    <n v="3042.3329999999996"/>
    <n v="0"/>
    <x v="2"/>
    <x v="0"/>
    <x v="6"/>
    <n v="1"/>
  </r>
  <r>
    <n v="3"/>
    <d v="2019-07-03T00:00:00"/>
    <x v="3"/>
    <n v="0"/>
    <n v="0"/>
    <x v="2"/>
    <x v="0"/>
    <x v="6"/>
    <n v="1"/>
  </r>
  <r>
    <n v="3"/>
    <d v="2019-07-04T00:00:00"/>
    <x v="3"/>
    <n v="0"/>
    <n v="0"/>
    <x v="2"/>
    <x v="0"/>
    <x v="6"/>
    <n v="1"/>
  </r>
  <r>
    <n v="3"/>
    <d v="2019-07-04T00:00:00"/>
    <x v="0"/>
    <n v="2398.1649999999995"/>
    <n v="0"/>
    <x v="2"/>
    <x v="0"/>
    <x v="6"/>
    <n v="1"/>
  </r>
  <r>
    <n v="3"/>
    <d v="2019-07-04T00:00:00"/>
    <x v="1"/>
    <n v="1841.6369999999997"/>
    <n v="0"/>
    <x v="2"/>
    <x v="0"/>
    <x v="6"/>
    <n v="1"/>
  </r>
  <r>
    <n v="3"/>
    <d v="2019-07-04T00:00:00"/>
    <x v="2"/>
    <n v="498.52599999999995"/>
    <n v="0"/>
    <x v="2"/>
    <x v="0"/>
    <x v="6"/>
    <n v="1"/>
  </r>
  <r>
    <n v="3"/>
    <d v="2019-07-05T00:00:00"/>
    <x v="0"/>
    <n v="3434.4239999999995"/>
    <n v="0"/>
    <x v="2"/>
    <x v="0"/>
    <x v="6"/>
    <n v="1"/>
  </r>
  <r>
    <n v="3"/>
    <d v="2019-07-05T00:00:00"/>
    <x v="3"/>
    <n v="243.37599999999998"/>
    <n v="0"/>
    <x v="2"/>
    <x v="0"/>
    <x v="6"/>
    <n v="1"/>
  </r>
  <r>
    <n v="3"/>
    <d v="2019-07-05T00:00:00"/>
    <x v="1"/>
    <n v="3258.2200000000003"/>
    <n v="0"/>
    <x v="2"/>
    <x v="0"/>
    <x v="6"/>
    <n v="1"/>
  </r>
  <r>
    <n v="3"/>
    <d v="2019-07-05T00:00:00"/>
    <x v="2"/>
    <n v="981.59599999999989"/>
    <n v="0"/>
    <x v="2"/>
    <x v="0"/>
    <x v="6"/>
    <n v="1"/>
  </r>
  <r>
    <n v="3"/>
    <d v="2019-07-06T00:00:00"/>
    <x v="2"/>
    <n v="806.44199999999989"/>
    <n v="0"/>
    <x v="2"/>
    <x v="0"/>
    <x v="6"/>
    <n v="1"/>
  </r>
  <r>
    <n v="3"/>
    <d v="2019-07-06T00:00:00"/>
    <x v="1"/>
    <n v="3050.5719999999997"/>
    <n v="0"/>
    <x v="2"/>
    <x v="0"/>
    <x v="6"/>
    <n v="1"/>
  </r>
  <r>
    <n v="3"/>
    <d v="2019-07-06T00:00:00"/>
    <x v="3"/>
    <n v="288.72899999999998"/>
    <n v="0"/>
    <x v="2"/>
    <x v="0"/>
    <x v="6"/>
    <n v="1"/>
  </r>
  <r>
    <n v="3"/>
    <d v="2019-07-06T00:00:00"/>
    <x v="0"/>
    <n v="3432.422"/>
    <n v="0"/>
    <x v="2"/>
    <x v="0"/>
    <x v="6"/>
    <n v="1"/>
  </r>
  <r>
    <n v="3"/>
    <d v="2019-07-07T00:00:00"/>
    <x v="1"/>
    <n v="3304.0349999999999"/>
    <n v="0"/>
    <x v="2"/>
    <x v="0"/>
    <x v="6"/>
    <n v="1"/>
  </r>
  <r>
    <n v="3"/>
    <d v="2019-07-07T00:00:00"/>
    <x v="3"/>
    <n v="0"/>
    <n v="0"/>
    <x v="2"/>
    <x v="0"/>
    <x v="6"/>
    <n v="1"/>
  </r>
  <r>
    <n v="3"/>
    <d v="2019-07-07T00:00:00"/>
    <x v="0"/>
    <n v="2772.8119999999999"/>
    <n v="0"/>
    <x v="2"/>
    <x v="0"/>
    <x v="6"/>
    <n v="1"/>
  </r>
  <r>
    <n v="3"/>
    <d v="2019-07-07T00:00:00"/>
    <x v="2"/>
    <n v="640.93399999999997"/>
    <n v="0"/>
    <x v="2"/>
    <x v="0"/>
    <x v="6"/>
    <n v="1"/>
  </r>
  <r>
    <n v="3"/>
    <d v="2019-07-08T00:00:00"/>
    <x v="0"/>
    <n v="3274.9149999999995"/>
    <n v="0"/>
    <x v="2"/>
    <x v="0"/>
    <x v="6"/>
    <n v="2"/>
  </r>
  <r>
    <n v="3"/>
    <d v="2019-07-08T00:00:00"/>
    <x v="2"/>
    <n v="611.86299999999994"/>
    <n v="0"/>
    <x v="2"/>
    <x v="0"/>
    <x v="6"/>
    <n v="2"/>
  </r>
  <r>
    <n v="3"/>
    <d v="2019-07-08T00:00:00"/>
    <x v="3"/>
    <n v="0"/>
    <n v="0"/>
    <x v="2"/>
    <x v="0"/>
    <x v="6"/>
    <n v="2"/>
  </r>
  <r>
    <n v="3"/>
    <d v="2019-07-08T00:00:00"/>
    <x v="1"/>
    <n v="3617.1309999999999"/>
    <n v="0"/>
    <x v="2"/>
    <x v="0"/>
    <x v="6"/>
    <n v="2"/>
  </r>
  <r>
    <n v="3"/>
    <d v="2019-07-09T00:00:00"/>
    <x v="3"/>
    <n v="0"/>
    <n v="0"/>
    <x v="2"/>
    <x v="0"/>
    <x v="6"/>
    <n v="2"/>
  </r>
  <r>
    <n v="3"/>
    <d v="2019-07-09T00:00:00"/>
    <x v="1"/>
    <n v="3192.7279999999996"/>
    <n v="0"/>
    <x v="2"/>
    <x v="0"/>
    <x v="6"/>
    <n v="2"/>
  </r>
  <r>
    <n v="3"/>
    <d v="2019-07-09T00:00:00"/>
    <x v="2"/>
    <n v="542.01699999999994"/>
    <n v="0"/>
    <x v="2"/>
    <x v="0"/>
    <x v="6"/>
    <n v="2"/>
  </r>
  <r>
    <n v="3"/>
    <d v="2019-07-09T00:00:00"/>
    <x v="0"/>
    <n v="3629.8709999999996"/>
    <n v="0"/>
    <x v="2"/>
    <x v="0"/>
    <x v="6"/>
    <n v="2"/>
  </r>
  <r>
    <n v="3"/>
    <d v="2019-07-10T00:00:00"/>
    <x v="0"/>
    <n v="3571.904"/>
    <n v="0"/>
    <x v="2"/>
    <x v="0"/>
    <x v="6"/>
    <n v="2"/>
  </r>
  <r>
    <n v="3"/>
    <d v="2019-07-10T00:00:00"/>
    <x v="1"/>
    <n v="3181.9969999999998"/>
    <n v="0"/>
    <x v="2"/>
    <x v="0"/>
    <x v="6"/>
    <n v="2"/>
  </r>
  <r>
    <n v="3"/>
    <d v="2019-07-10T00:00:00"/>
    <x v="2"/>
    <n v="875.12599999999998"/>
    <n v="0"/>
    <x v="2"/>
    <x v="0"/>
    <x v="6"/>
    <n v="2"/>
  </r>
  <r>
    <n v="3"/>
    <d v="2019-07-10T00:00:00"/>
    <x v="3"/>
    <n v="31.751999999999999"/>
    <n v="0"/>
    <x v="2"/>
    <x v="0"/>
    <x v="6"/>
    <n v="2"/>
  </r>
  <r>
    <n v="3"/>
    <d v="2019-07-11T00:00:00"/>
    <x v="3"/>
    <n v="8.7359999999999989"/>
    <n v="0"/>
    <x v="2"/>
    <x v="0"/>
    <x v="6"/>
    <n v="2"/>
  </r>
  <r>
    <n v="3"/>
    <d v="2019-07-11T00:00:00"/>
    <x v="1"/>
    <n v="3452.4769999999994"/>
    <n v="0"/>
    <x v="2"/>
    <x v="0"/>
    <x v="6"/>
    <n v="2"/>
  </r>
  <r>
    <n v="3"/>
    <d v="2019-07-11T00:00:00"/>
    <x v="2"/>
    <n v="1007.1669999999999"/>
    <n v="0"/>
    <x v="2"/>
    <x v="0"/>
    <x v="6"/>
    <n v="2"/>
  </r>
  <r>
    <n v="3"/>
    <d v="2019-07-11T00:00:00"/>
    <x v="0"/>
    <n v="3575.8309999999997"/>
    <n v="0"/>
    <x v="2"/>
    <x v="0"/>
    <x v="6"/>
    <n v="2"/>
  </r>
  <r>
    <n v="3"/>
    <d v="2019-07-12T00:00:00"/>
    <x v="1"/>
    <n v="3707.2139999999999"/>
    <n v="0"/>
    <x v="2"/>
    <x v="0"/>
    <x v="6"/>
    <n v="2"/>
  </r>
  <r>
    <n v="3"/>
    <d v="2019-07-12T00:00:00"/>
    <x v="0"/>
    <n v="3712.3309999999997"/>
    <n v="0"/>
    <x v="2"/>
    <x v="0"/>
    <x v="6"/>
    <n v="2"/>
  </r>
  <r>
    <n v="3"/>
    <d v="2019-07-12T00:00:00"/>
    <x v="3"/>
    <n v="0"/>
    <n v="0"/>
    <x v="2"/>
    <x v="0"/>
    <x v="6"/>
    <n v="2"/>
  </r>
  <r>
    <n v="3"/>
    <d v="2019-07-12T00:00:00"/>
    <x v="2"/>
    <n v="1259.58"/>
    <n v="0"/>
    <x v="2"/>
    <x v="0"/>
    <x v="6"/>
    <n v="2"/>
  </r>
  <r>
    <n v="3"/>
    <d v="2019-07-13T00:00:00"/>
    <x v="0"/>
    <n v="3227.6299999999997"/>
    <n v="0"/>
    <x v="2"/>
    <x v="0"/>
    <x v="6"/>
    <n v="2"/>
  </r>
  <r>
    <n v="3"/>
    <d v="2019-07-13T00:00:00"/>
    <x v="1"/>
    <n v="3017.21"/>
    <n v="0"/>
    <x v="2"/>
    <x v="0"/>
    <x v="6"/>
    <n v="2"/>
  </r>
  <r>
    <n v="3"/>
    <d v="2019-07-13T00:00:00"/>
    <x v="2"/>
    <n v="564.33299999999997"/>
    <n v="0"/>
    <x v="2"/>
    <x v="0"/>
    <x v="6"/>
    <n v="2"/>
  </r>
  <r>
    <n v="3"/>
    <d v="2019-07-13T00:00:00"/>
    <x v="3"/>
    <n v="763.80500000000006"/>
    <n v="0"/>
    <x v="2"/>
    <x v="0"/>
    <x v="6"/>
    <n v="2"/>
  </r>
  <r>
    <n v="3"/>
    <d v="2019-07-14T00:00:00"/>
    <x v="2"/>
    <n v="612.15699999999993"/>
    <n v="0"/>
    <x v="2"/>
    <x v="0"/>
    <x v="6"/>
    <n v="2"/>
  </r>
  <r>
    <n v="3"/>
    <d v="2019-07-14T00:00:00"/>
    <x v="3"/>
    <n v="53.984000000000002"/>
    <n v="0"/>
    <x v="2"/>
    <x v="0"/>
    <x v="6"/>
    <n v="2"/>
  </r>
  <r>
    <n v="3"/>
    <d v="2019-07-14T00:00:00"/>
    <x v="0"/>
    <n v="3090.444"/>
    <n v="0"/>
    <x v="2"/>
    <x v="0"/>
    <x v="6"/>
    <n v="2"/>
  </r>
  <r>
    <n v="3"/>
    <d v="2019-07-14T00:00:00"/>
    <x v="1"/>
    <n v="3026.8839999999996"/>
    <n v="0"/>
    <x v="2"/>
    <x v="0"/>
    <x v="6"/>
    <n v="2"/>
  </r>
  <r>
    <n v="3"/>
    <d v="2019-07-15T00:00:00"/>
    <x v="0"/>
    <n v="3582.0189999999998"/>
    <n v="0"/>
    <x v="2"/>
    <x v="0"/>
    <x v="6"/>
    <n v="3"/>
  </r>
  <r>
    <n v="3"/>
    <d v="2019-07-15T00:00:00"/>
    <x v="3"/>
    <n v="0"/>
    <n v="0"/>
    <x v="2"/>
    <x v="0"/>
    <x v="6"/>
    <n v="3"/>
  </r>
  <r>
    <n v="3"/>
    <d v="2019-07-15T00:00:00"/>
    <x v="2"/>
    <n v="780.92699999999991"/>
    <n v="0"/>
    <x v="2"/>
    <x v="0"/>
    <x v="6"/>
    <n v="3"/>
  </r>
  <r>
    <n v="3"/>
    <d v="2019-07-15T00:00:00"/>
    <x v="1"/>
    <n v="2999.297"/>
    <n v="0"/>
    <x v="2"/>
    <x v="0"/>
    <x v="6"/>
    <n v="3"/>
  </r>
  <r>
    <n v="3"/>
    <d v="2019-07-16T00:00:00"/>
    <x v="1"/>
    <n v="3284.1899999999996"/>
    <n v="0"/>
    <x v="2"/>
    <x v="0"/>
    <x v="6"/>
    <n v="3"/>
  </r>
  <r>
    <n v="3"/>
    <d v="2019-07-16T00:00:00"/>
    <x v="2"/>
    <n v="834.37199999999996"/>
    <n v="0"/>
    <x v="2"/>
    <x v="0"/>
    <x v="6"/>
    <n v="3"/>
  </r>
  <r>
    <n v="3"/>
    <d v="2019-07-16T00:00:00"/>
    <x v="0"/>
    <n v="3055.3389999999999"/>
    <n v="0"/>
    <x v="2"/>
    <x v="0"/>
    <x v="6"/>
    <n v="3"/>
  </r>
  <r>
    <n v="3"/>
    <d v="2019-07-16T00:00:00"/>
    <x v="3"/>
    <n v="365.75699999999995"/>
    <n v="0"/>
    <x v="2"/>
    <x v="0"/>
    <x v="6"/>
    <n v="3"/>
  </r>
  <r>
    <n v="3"/>
    <d v="2019-07-17T00:00:00"/>
    <x v="2"/>
    <n v="777.875"/>
    <n v="0"/>
    <x v="2"/>
    <x v="0"/>
    <x v="6"/>
    <n v="3"/>
  </r>
  <r>
    <n v="3"/>
    <d v="2019-07-17T00:00:00"/>
    <x v="0"/>
    <n v="3626.3289999999997"/>
    <n v="0"/>
    <x v="2"/>
    <x v="0"/>
    <x v="6"/>
    <n v="3"/>
  </r>
  <r>
    <n v="3"/>
    <d v="2019-07-17T00:00:00"/>
    <x v="1"/>
    <n v="2896.81"/>
    <n v="0"/>
    <x v="2"/>
    <x v="0"/>
    <x v="6"/>
    <n v="3"/>
  </r>
  <r>
    <n v="3"/>
    <d v="2019-07-17T00:00:00"/>
    <x v="3"/>
    <n v="186.375"/>
    <n v="0"/>
    <x v="2"/>
    <x v="0"/>
    <x v="6"/>
    <n v="3"/>
  </r>
  <r>
    <n v="3"/>
    <d v="2019-07-18T00:00:00"/>
    <x v="0"/>
    <n v="3790.1149999999998"/>
    <n v="0"/>
    <x v="2"/>
    <x v="0"/>
    <x v="6"/>
    <n v="3"/>
  </r>
  <r>
    <n v="3"/>
    <d v="2019-07-18T00:00:00"/>
    <x v="2"/>
    <n v="860.48899999999992"/>
    <n v="0"/>
    <x v="2"/>
    <x v="0"/>
    <x v="6"/>
    <n v="3"/>
  </r>
  <r>
    <n v="3"/>
    <d v="2019-07-18T00:00:00"/>
    <x v="3"/>
    <n v="0"/>
    <n v="0"/>
    <x v="2"/>
    <x v="0"/>
    <x v="6"/>
    <n v="3"/>
  </r>
  <r>
    <n v="3"/>
    <d v="2019-07-18T00:00:00"/>
    <x v="1"/>
    <n v="3544.6390000000001"/>
    <n v="0"/>
    <x v="2"/>
    <x v="0"/>
    <x v="6"/>
    <n v="3"/>
  </r>
  <r>
    <n v="3"/>
    <d v="2019-07-19T00:00:00"/>
    <x v="1"/>
    <n v="3535.2519999999995"/>
    <n v="0"/>
    <x v="2"/>
    <x v="0"/>
    <x v="6"/>
    <n v="3"/>
  </r>
  <r>
    <n v="3"/>
    <d v="2019-07-19T00:00:00"/>
    <x v="3"/>
    <n v="0"/>
    <n v="0"/>
    <x v="2"/>
    <x v="0"/>
    <x v="6"/>
    <n v="3"/>
  </r>
  <r>
    <n v="3"/>
    <d v="2019-07-19T00:00:00"/>
    <x v="2"/>
    <n v="964.88"/>
    <n v="0"/>
    <x v="2"/>
    <x v="0"/>
    <x v="6"/>
    <n v="3"/>
  </r>
  <r>
    <n v="3"/>
    <d v="2019-07-19T00:00:00"/>
    <x v="0"/>
    <n v="4062.7299999999996"/>
    <n v="0"/>
    <x v="2"/>
    <x v="0"/>
    <x v="6"/>
    <n v="3"/>
  </r>
  <r>
    <n v="3"/>
    <d v="2019-07-20T00:00:00"/>
    <x v="1"/>
    <n v="3159.1909999999998"/>
    <n v="0"/>
    <x v="2"/>
    <x v="0"/>
    <x v="6"/>
    <n v="3"/>
  </r>
  <r>
    <n v="3"/>
    <d v="2019-07-20T00:00:00"/>
    <x v="0"/>
    <n v="3562.5589999999997"/>
    <n v="0"/>
    <x v="2"/>
    <x v="0"/>
    <x v="6"/>
    <n v="3"/>
  </r>
  <r>
    <n v="3"/>
    <d v="2019-07-20T00:00:00"/>
    <x v="2"/>
    <n v="461.33499999999992"/>
    <n v="0"/>
    <x v="2"/>
    <x v="0"/>
    <x v="6"/>
    <n v="3"/>
  </r>
  <r>
    <n v="3"/>
    <d v="2019-07-20T00:00:00"/>
    <x v="3"/>
    <n v="48.131999999999998"/>
    <n v="0"/>
    <x v="2"/>
    <x v="0"/>
    <x v="6"/>
    <n v="3"/>
  </r>
  <r>
    <n v="3"/>
    <d v="2019-07-21T00:00:00"/>
    <x v="1"/>
    <n v="2994.0399999999995"/>
    <n v="0"/>
    <x v="2"/>
    <x v="0"/>
    <x v="6"/>
    <n v="3"/>
  </r>
  <r>
    <n v="3"/>
    <d v="2019-07-21T00:00:00"/>
    <x v="2"/>
    <n v="857.53499999999997"/>
    <n v="0"/>
    <x v="2"/>
    <x v="0"/>
    <x v="6"/>
    <n v="3"/>
  </r>
  <r>
    <n v="3"/>
    <d v="2019-07-21T00:00:00"/>
    <x v="3"/>
    <n v="0"/>
    <n v="0"/>
    <x v="2"/>
    <x v="0"/>
    <x v="6"/>
    <n v="3"/>
  </r>
  <r>
    <n v="3"/>
    <d v="2019-07-21T00:00:00"/>
    <x v="0"/>
    <n v="2855.1039999999998"/>
    <n v="0"/>
    <x v="2"/>
    <x v="0"/>
    <x v="6"/>
    <n v="3"/>
  </r>
  <r>
    <n v="3"/>
    <d v="2019-07-22T00:00:00"/>
    <x v="1"/>
    <n v="3101.1189999999997"/>
    <n v="0"/>
    <x v="2"/>
    <x v="0"/>
    <x v="6"/>
    <n v="4"/>
  </r>
  <r>
    <n v="3"/>
    <d v="2019-07-22T00:00:00"/>
    <x v="0"/>
    <n v="3396.4559999999997"/>
    <n v="0"/>
    <x v="2"/>
    <x v="0"/>
    <x v="6"/>
    <n v="4"/>
  </r>
  <r>
    <n v="3"/>
    <d v="2019-07-22T00:00:00"/>
    <x v="2"/>
    <n v="844.10899999999992"/>
    <n v="0"/>
    <x v="2"/>
    <x v="0"/>
    <x v="6"/>
    <n v="4"/>
  </r>
  <r>
    <n v="3"/>
    <d v="2019-07-22T00:00:00"/>
    <x v="3"/>
    <n v="26.439"/>
    <n v="0"/>
    <x v="2"/>
    <x v="0"/>
    <x v="6"/>
    <n v="4"/>
  </r>
  <r>
    <n v="3"/>
    <d v="2019-07-23T00:00:00"/>
    <x v="3"/>
    <n v="0"/>
    <n v="0"/>
    <x v="2"/>
    <x v="0"/>
    <x v="6"/>
    <n v="4"/>
  </r>
  <r>
    <n v="3"/>
    <d v="2019-07-23T00:00:00"/>
    <x v="1"/>
    <n v="3545.654"/>
    <n v="0"/>
    <x v="2"/>
    <x v="0"/>
    <x v="6"/>
    <n v="4"/>
  </r>
  <r>
    <n v="3"/>
    <d v="2019-07-23T00:00:00"/>
    <x v="2"/>
    <n v="708.97400000000005"/>
    <n v="0"/>
    <x v="2"/>
    <x v="0"/>
    <x v="6"/>
    <n v="4"/>
  </r>
  <r>
    <n v="3"/>
    <d v="2019-07-23T00:00:00"/>
    <x v="0"/>
    <n v="3166.422"/>
    <n v="0"/>
    <x v="2"/>
    <x v="0"/>
    <x v="6"/>
    <n v="4"/>
  </r>
  <r>
    <n v="3"/>
    <d v="2019-07-24T00:00:00"/>
    <x v="3"/>
    <n v="0"/>
    <n v="0"/>
    <x v="2"/>
    <x v="0"/>
    <x v="6"/>
    <n v="4"/>
  </r>
  <r>
    <n v="3"/>
    <d v="2019-07-24T00:00:00"/>
    <x v="0"/>
    <n v="3730.4959999999996"/>
    <n v="0"/>
    <x v="2"/>
    <x v="0"/>
    <x v="6"/>
    <n v="4"/>
  </r>
  <r>
    <n v="3"/>
    <d v="2019-07-24T00:00:00"/>
    <x v="1"/>
    <n v="3205.1669999999999"/>
    <n v="0"/>
    <x v="2"/>
    <x v="0"/>
    <x v="6"/>
    <n v="4"/>
  </r>
  <r>
    <n v="3"/>
    <d v="2019-07-24T00:00:00"/>
    <x v="2"/>
    <n v="1415.8689999999999"/>
    <n v="0"/>
    <x v="2"/>
    <x v="0"/>
    <x v="6"/>
    <n v="4"/>
  </r>
  <r>
    <n v="3"/>
    <d v="2019-07-25T00:00:00"/>
    <x v="1"/>
    <n v="3436.328"/>
    <n v="0"/>
    <x v="2"/>
    <x v="0"/>
    <x v="6"/>
    <n v="4"/>
  </r>
  <r>
    <n v="3"/>
    <d v="2019-07-25T00:00:00"/>
    <x v="3"/>
    <n v="40.081999999999994"/>
    <n v="0"/>
    <x v="2"/>
    <x v="0"/>
    <x v="6"/>
    <n v="4"/>
  </r>
  <r>
    <n v="3"/>
    <d v="2019-07-25T00:00:00"/>
    <x v="0"/>
    <n v="3280.067"/>
    <n v="0"/>
    <x v="2"/>
    <x v="0"/>
    <x v="6"/>
    <n v="4"/>
  </r>
  <r>
    <n v="3"/>
    <d v="2019-07-25T00:00:00"/>
    <x v="2"/>
    <n v="800.83499999999992"/>
    <n v="0"/>
    <x v="2"/>
    <x v="0"/>
    <x v="6"/>
    <n v="4"/>
  </r>
  <r>
    <n v="3"/>
    <d v="2019-07-26T00:00:00"/>
    <x v="1"/>
    <n v="3783.4299999999994"/>
    <n v="0"/>
    <x v="2"/>
    <x v="0"/>
    <x v="6"/>
    <n v="4"/>
  </r>
  <r>
    <n v="3"/>
    <d v="2019-07-26T00:00:00"/>
    <x v="0"/>
    <n v="3755.3599999999997"/>
    <n v="0"/>
    <x v="2"/>
    <x v="0"/>
    <x v="6"/>
    <n v="4"/>
  </r>
  <r>
    <n v="3"/>
    <d v="2019-07-26T00:00:00"/>
    <x v="2"/>
    <n v="983.38099999999986"/>
    <n v="0"/>
    <x v="2"/>
    <x v="0"/>
    <x v="6"/>
    <n v="4"/>
  </r>
  <r>
    <n v="3"/>
    <d v="2019-07-26T00:00:00"/>
    <x v="3"/>
    <n v="26.145"/>
    <n v="0"/>
    <x v="2"/>
    <x v="0"/>
    <x v="6"/>
    <n v="4"/>
  </r>
  <r>
    <n v="3"/>
    <d v="2019-07-27T00:00:00"/>
    <x v="3"/>
    <n v="37.981999999999999"/>
    <n v="0"/>
    <x v="2"/>
    <x v="0"/>
    <x v="6"/>
    <n v="4"/>
  </r>
  <r>
    <n v="3"/>
    <d v="2019-07-27T00:00:00"/>
    <x v="0"/>
    <n v="3545.6959999999995"/>
    <n v="0"/>
    <x v="2"/>
    <x v="0"/>
    <x v="6"/>
    <n v="4"/>
  </r>
  <r>
    <n v="3"/>
    <d v="2019-07-27T00:00:00"/>
    <x v="2"/>
    <n v="861.91699999999992"/>
    <n v="0"/>
    <x v="2"/>
    <x v="0"/>
    <x v="6"/>
    <n v="4"/>
  </r>
  <r>
    <n v="3"/>
    <d v="2019-07-27T00:00:00"/>
    <x v="1"/>
    <n v="3202.9339999999997"/>
    <n v="0"/>
    <x v="2"/>
    <x v="0"/>
    <x v="6"/>
    <n v="4"/>
  </r>
  <r>
    <n v="3"/>
    <d v="2019-07-28T00:00:00"/>
    <x v="3"/>
    <n v="0"/>
    <n v="0"/>
    <x v="2"/>
    <x v="0"/>
    <x v="6"/>
    <n v="4"/>
  </r>
  <r>
    <n v="3"/>
    <d v="2019-07-28T00:00:00"/>
    <x v="2"/>
    <n v="733.96399999999994"/>
    <n v="0"/>
    <x v="2"/>
    <x v="0"/>
    <x v="6"/>
    <n v="4"/>
  </r>
  <r>
    <n v="3"/>
    <d v="2019-07-28T00:00:00"/>
    <x v="0"/>
    <n v="3397.8209999999995"/>
    <n v="0"/>
    <x v="2"/>
    <x v="0"/>
    <x v="6"/>
    <n v="4"/>
  </r>
  <r>
    <n v="3"/>
    <d v="2019-07-28T00:00:00"/>
    <x v="1"/>
    <n v="2977.1839999999997"/>
    <n v="0"/>
    <x v="2"/>
    <x v="0"/>
    <x v="6"/>
    <n v="4"/>
  </r>
  <r>
    <n v="3"/>
    <d v="2019-07-29T00:00:00"/>
    <x v="3"/>
    <n v="0"/>
    <n v="0"/>
    <x v="2"/>
    <x v="0"/>
    <x v="7"/>
    <n v="1"/>
  </r>
  <r>
    <n v="3"/>
    <d v="2019-07-29T00:00:00"/>
    <x v="0"/>
    <n v="3782.8769999999995"/>
    <n v="0"/>
    <x v="2"/>
    <x v="0"/>
    <x v="7"/>
    <n v="1"/>
  </r>
  <r>
    <n v="3"/>
    <d v="2019-07-29T00:00:00"/>
    <x v="1"/>
    <n v="3300.8989999999994"/>
    <n v="0"/>
    <x v="2"/>
    <x v="0"/>
    <x v="7"/>
    <n v="1"/>
  </r>
  <r>
    <n v="3"/>
    <d v="2019-07-29T00:00:00"/>
    <x v="2"/>
    <n v="486.31099999999998"/>
    <n v="0"/>
    <x v="2"/>
    <x v="0"/>
    <x v="7"/>
    <n v="1"/>
  </r>
  <r>
    <n v="3"/>
    <d v="2019-07-30T00:00:00"/>
    <x v="2"/>
    <n v="558.72599999999989"/>
    <n v="0"/>
    <x v="2"/>
    <x v="0"/>
    <x v="7"/>
    <n v="1"/>
  </r>
  <r>
    <n v="3"/>
    <d v="2019-07-30T00:00:00"/>
    <x v="0"/>
    <n v="3372.6"/>
    <n v="0"/>
    <x v="2"/>
    <x v="0"/>
    <x v="7"/>
    <n v="1"/>
  </r>
  <r>
    <n v="3"/>
    <d v="2019-07-30T00:00:00"/>
    <x v="1"/>
    <n v="3207.1269999999995"/>
    <n v="0"/>
    <x v="2"/>
    <x v="0"/>
    <x v="7"/>
    <n v="1"/>
  </r>
  <r>
    <n v="3"/>
    <d v="2019-07-30T00:00:00"/>
    <x v="3"/>
    <n v="0"/>
    <n v="0"/>
    <x v="2"/>
    <x v="0"/>
    <x v="7"/>
    <n v="1"/>
  </r>
  <r>
    <n v="3"/>
    <d v="2019-07-31T00:00:00"/>
    <x v="3"/>
    <n v="43.372"/>
    <n v="0"/>
    <x v="2"/>
    <x v="0"/>
    <x v="7"/>
    <n v="1"/>
  </r>
  <r>
    <n v="3"/>
    <d v="2019-07-31T00:00:00"/>
    <x v="2"/>
    <n v="793.07899999999995"/>
    <n v="0"/>
    <x v="2"/>
    <x v="0"/>
    <x v="7"/>
    <n v="1"/>
  </r>
  <r>
    <n v="3"/>
    <d v="2019-07-31T00:00:00"/>
    <x v="1"/>
    <n v="3301.5920000000001"/>
    <n v="0"/>
    <x v="2"/>
    <x v="0"/>
    <x v="7"/>
    <n v="1"/>
  </r>
  <r>
    <n v="3"/>
    <d v="2019-07-31T00:00:00"/>
    <x v="0"/>
    <n v="3710.7420000000002"/>
    <n v="0"/>
    <x v="2"/>
    <x v="0"/>
    <x v="7"/>
    <n v="1"/>
  </r>
  <r>
    <n v="3"/>
    <d v="2019-08-01T00:00:00"/>
    <x v="1"/>
    <n v="3383.4290000000001"/>
    <n v="0"/>
    <x v="2"/>
    <x v="0"/>
    <x v="7"/>
    <n v="1"/>
  </r>
  <r>
    <n v="3"/>
    <d v="2019-08-01T00:00:00"/>
    <x v="3"/>
    <n v="0"/>
    <n v="0"/>
    <x v="2"/>
    <x v="0"/>
    <x v="7"/>
    <n v="1"/>
  </r>
  <r>
    <n v="3"/>
    <d v="2019-08-01T00:00:00"/>
    <x v="0"/>
    <n v="3508.3019999999997"/>
    <n v="0"/>
    <x v="2"/>
    <x v="0"/>
    <x v="7"/>
    <n v="1"/>
  </r>
  <r>
    <n v="3"/>
    <d v="2019-08-01T00:00:00"/>
    <x v="2"/>
    <n v="721.30100000000004"/>
    <n v="0"/>
    <x v="2"/>
    <x v="0"/>
    <x v="7"/>
    <n v="1"/>
  </r>
  <r>
    <n v="3"/>
    <d v="2019-08-02T00:00:00"/>
    <x v="1"/>
    <n v="3382.0569999999998"/>
    <n v="0"/>
    <x v="2"/>
    <x v="0"/>
    <x v="7"/>
    <n v="1"/>
  </r>
  <r>
    <n v="3"/>
    <d v="2019-08-02T00:00:00"/>
    <x v="2"/>
    <n v="1106.2729999999999"/>
    <n v="0"/>
    <x v="2"/>
    <x v="0"/>
    <x v="7"/>
    <n v="1"/>
  </r>
  <r>
    <n v="3"/>
    <d v="2019-08-02T00:00:00"/>
    <x v="0"/>
    <n v="3777.0879999999997"/>
    <n v="0"/>
    <x v="2"/>
    <x v="0"/>
    <x v="7"/>
    <n v="1"/>
  </r>
  <r>
    <n v="3"/>
    <d v="2019-08-02T00:00:00"/>
    <x v="3"/>
    <n v="0"/>
    <n v="0"/>
    <x v="2"/>
    <x v="0"/>
    <x v="7"/>
    <n v="1"/>
  </r>
  <r>
    <n v="3"/>
    <d v="2019-08-03T00:00:00"/>
    <x v="2"/>
    <n v="697.11599999999999"/>
    <n v="0"/>
    <x v="2"/>
    <x v="0"/>
    <x v="7"/>
    <n v="1"/>
  </r>
  <r>
    <n v="3"/>
    <d v="2019-08-03T00:00:00"/>
    <x v="0"/>
    <n v="3447.5070000000001"/>
    <n v="0"/>
    <x v="2"/>
    <x v="0"/>
    <x v="7"/>
    <n v="1"/>
  </r>
  <r>
    <n v="3"/>
    <d v="2019-08-03T00:00:00"/>
    <x v="1"/>
    <n v="3425.8839999999996"/>
    <n v="0"/>
    <x v="2"/>
    <x v="0"/>
    <x v="7"/>
    <n v="1"/>
  </r>
  <r>
    <n v="3"/>
    <d v="2019-08-03T00:00:00"/>
    <x v="3"/>
    <n v="0"/>
    <n v="0"/>
    <x v="2"/>
    <x v="0"/>
    <x v="7"/>
    <n v="1"/>
  </r>
  <r>
    <n v="3"/>
    <d v="2019-08-04T00:00:00"/>
    <x v="0"/>
    <n v="2558.9059999999999"/>
    <n v="0"/>
    <x v="2"/>
    <x v="0"/>
    <x v="7"/>
    <n v="1"/>
  </r>
  <r>
    <n v="3"/>
    <d v="2019-08-04T00:00:00"/>
    <x v="1"/>
    <n v="3318.5249999999996"/>
    <n v="0"/>
    <x v="2"/>
    <x v="0"/>
    <x v="7"/>
    <n v="1"/>
  </r>
  <r>
    <n v="3"/>
    <d v="2019-08-04T00:00:00"/>
    <x v="3"/>
    <n v="0"/>
    <n v="0"/>
    <x v="2"/>
    <x v="0"/>
    <x v="7"/>
    <n v="1"/>
  </r>
  <r>
    <n v="3"/>
    <d v="2019-08-04T00:00:00"/>
    <x v="2"/>
    <n v="401.75800000000004"/>
    <n v="0"/>
    <x v="2"/>
    <x v="0"/>
    <x v="7"/>
    <n v="1"/>
  </r>
  <r>
    <n v="3"/>
    <d v="2019-08-05T00:00:00"/>
    <x v="1"/>
    <n v="2994.2709999999997"/>
    <n v="0"/>
    <x v="2"/>
    <x v="0"/>
    <x v="7"/>
    <n v="2"/>
  </r>
  <r>
    <n v="3"/>
    <d v="2019-08-05T00:00:00"/>
    <x v="2"/>
    <n v="808.35299999999995"/>
    <n v="0"/>
    <x v="2"/>
    <x v="0"/>
    <x v="7"/>
    <n v="2"/>
  </r>
  <r>
    <n v="3"/>
    <d v="2019-08-05T00:00:00"/>
    <x v="3"/>
    <n v="0"/>
    <n v="0"/>
    <x v="2"/>
    <x v="0"/>
    <x v="7"/>
    <n v="2"/>
  </r>
  <r>
    <n v="3"/>
    <d v="2019-08-05T00:00:00"/>
    <x v="0"/>
    <n v="3539.3049999999994"/>
    <n v="0"/>
    <x v="2"/>
    <x v="0"/>
    <x v="7"/>
    <n v="2"/>
  </r>
  <r>
    <n v="3"/>
    <d v="2019-08-06T00:00:00"/>
    <x v="0"/>
    <n v="3240.3910000000001"/>
    <n v="0"/>
    <x v="2"/>
    <x v="0"/>
    <x v="7"/>
    <n v="2"/>
  </r>
  <r>
    <n v="3"/>
    <d v="2019-08-06T00:00:00"/>
    <x v="3"/>
    <n v="178.75899999999999"/>
    <n v="0"/>
    <x v="2"/>
    <x v="0"/>
    <x v="7"/>
    <n v="2"/>
  </r>
  <r>
    <n v="3"/>
    <d v="2019-08-06T00:00:00"/>
    <x v="1"/>
    <n v="3285.4290000000001"/>
    <n v="0"/>
    <x v="2"/>
    <x v="0"/>
    <x v="7"/>
    <n v="2"/>
  </r>
  <r>
    <n v="3"/>
    <d v="2019-08-06T00:00:00"/>
    <x v="2"/>
    <n v="969.02399999999989"/>
    <n v="0"/>
    <x v="2"/>
    <x v="0"/>
    <x v="7"/>
    <n v="2"/>
  </r>
  <r>
    <n v="3"/>
    <d v="2019-08-07T00:00:00"/>
    <x v="0"/>
    <n v="3563.0909999999999"/>
    <n v="0"/>
    <x v="2"/>
    <x v="0"/>
    <x v="7"/>
    <n v="2"/>
  </r>
  <r>
    <n v="3"/>
    <d v="2019-08-07T00:00:00"/>
    <x v="3"/>
    <n v="301.14"/>
    <n v="0"/>
    <x v="2"/>
    <x v="0"/>
    <x v="7"/>
    <n v="2"/>
  </r>
  <r>
    <n v="3"/>
    <d v="2019-08-07T00:00:00"/>
    <x v="1"/>
    <n v="3191.1739999999995"/>
    <n v="0"/>
    <x v="2"/>
    <x v="0"/>
    <x v="7"/>
    <n v="2"/>
  </r>
  <r>
    <n v="3"/>
    <d v="2019-08-07T00:00:00"/>
    <x v="2"/>
    <n v="1006.6559999999998"/>
    <n v="0"/>
    <x v="2"/>
    <x v="0"/>
    <x v="7"/>
    <n v="2"/>
  </r>
  <r>
    <n v="3"/>
    <d v="2019-08-08T00:00:00"/>
    <x v="2"/>
    <n v="953.95299999999986"/>
    <n v="0"/>
    <x v="2"/>
    <x v="0"/>
    <x v="7"/>
    <n v="2"/>
  </r>
  <r>
    <n v="3"/>
    <d v="2019-08-08T00:00:00"/>
    <x v="1"/>
    <n v="3298.6239999999998"/>
    <n v="0"/>
    <x v="2"/>
    <x v="0"/>
    <x v="7"/>
    <n v="2"/>
  </r>
  <r>
    <n v="3"/>
    <d v="2019-08-08T00:00:00"/>
    <x v="3"/>
    <n v="0"/>
    <n v="0"/>
    <x v="2"/>
    <x v="0"/>
    <x v="7"/>
    <n v="2"/>
  </r>
  <r>
    <n v="3"/>
    <d v="2019-08-08T00:00:00"/>
    <x v="0"/>
    <n v="3288.0749999999998"/>
    <n v="0"/>
    <x v="2"/>
    <x v="0"/>
    <x v="7"/>
    <n v="2"/>
  </r>
  <r>
    <n v="3"/>
    <d v="2019-08-09T00:00:00"/>
    <x v="2"/>
    <n v="933.23299999999995"/>
    <n v="0"/>
    <x v="2"/>
    <x v="0"/>
    <x v="7"/>
    <n v="2"/>
  </r>
  <r>
    <n v="3"/>
    <d v="2019-08-09T00:00:00"/>
    <x v="0"/>
    <n v="3390.6039999999998"/>
    <n v="0"/>
    <x v="2"/>
    <x v="0"/>
    <x v="7"/>
    <n v="2"/>
  </r>
  <r>
    <n v="3"/>
    <d v="2019-08-09T00:00:00"/>
    <x v="3"/>
    <n v="0"/>
    <n v="0"/>
    <x v="2"/>
    <x v="0"/>
    <x v="7"/>
    <n v="2"/>
  </r>
  <r>
    <n v="3"/>
    <d v="2019-08-09T00:00:00"/>
    <x v="1"/>
    <n v="3484.5929999999998"/>
    <n v="0"/>
    <x v="2"/>
    <x v="0"/>
    <x v="7"/>
    <n v="2"/>
  </r>
  <r>
    <n v="3"/>
    <d v="2019-08-10T00:00:00"/>
    <x v="2"/>
    <n v="782.11699999999996"/>
    <n v="0"/>
    <x v="2"/>
    <x v="0"/>
    <x v="7"/>
    <n v="2"/>
  </r>
  <r>
    <n v="3"/>
    <d v="2019-08-10T00:00:00"/>
    <x v="1"/>
    <n v="3311.1749999999997"/>
    <n v="0"/>
    <x v="2"/>
    <x v="0"/>
    <x v="7"/>
    <n v="2"/>
  </r>
  <r>
    <n v="3"/>
    <d v="2019-08-10T00:00:00"/>
    <x v="0"/>
    <n v="3496.1219999999998"/>
    <n v="0"/>
    <x v="2"/>
    <x v="0"/>
    <x v="7"/>
    <n v="2"/>
  </r>
  <r>
    <n v="3"/>
    <d v="2019-08-10T00:00:00"/>
    <x v="3"/>
    <n v="0"/>
    <n v="0"/>
    <x v="2"/>
    <x v="0"/>
    <x v="7"/>
    <n v="2"/>
  </r>
  <r>
    <n v="3"/>
    <d v="2019-08-11T00:00:00"/>
    <x v="2"/>
    <n v="534.37299999999993"/>
    <n v="0"/>
    <x v="2"/>
    <x v="0"/>
    <x v="7"/>
    <n v="2"/>
  </r>
  <r>
    <n v="3"/>
    <d v="2019-08-11T00:00:00"/>
    <x v="0"/>
    <n v="2692.2559999999999"/>
    <n v="0"/>
    <x v="2"/>
    <x v="0"/>
    <x v="7"/>
    <n v="2"/>
  </r>
  <r>
    <n v="3"/>
    <d v="2019-08-11T00:00:00"/>
    <x v="1"/>
    <n v="2668.1759999999999"/>
    <n v="0"/>
    <x v="2"/>
    <x v="0"/>
    <x v="7"/>
    <n v="2"/>
  </r>
  <r>
    <n v="3"/>
    <d v="2019-08-11T00:00:00"/>
    <x v="3"/>
    <n v="79.148999999999987"/>
    <n v="0"/>
    <x v="2"/>
    <x v="0"/>
    <x v="7"/>
    <n v="2"/>
  </r>
  <r>
    <n v="3"/>
    <d v="2019-08-12T00:00:00"/>
    <x v="1"/>
    <n v="3241.098"/>
    <n v="0"/>
    <x v="2"/>
    <x v="0"/>
    <x v="7"/>
    <n v="3"/>
  </r>
  <r>
    <n v="3"/>
    <d v="2019-08-12T00:00:00"/>
    <x v="2"/>
    <n v="711.774"/>
    <n v="0"/>
    <x v="2"/>
    <x v="0"/>
    <x v="7"/>
    <n v="3"/>
  </r>
  <r>
    <n v="3"/>
    <d v="2019-08-12T00:00:00"/>
    <x v="3"/>
    <n v="742.38499999999988"/>
    <n v="0"/>
    <x v="2"/>
    <x v="0"/>
    <x v="7"/>
    <n v="3"/>
  </r>
  <r>
    <n v="3"/>
    <d v="2019-08-12T00:00:00"/>
    <x v="0"/>
    <n v="3264.5339999999997"/>
    <n v="0"/>
    <x v="2"/>
    <x v="0"/>
    <x v="7"/>
    <n v="3"/>
  </r>
  <r>
    <n v="3"/>
    <d v="2019-08-13T00:00:00"/>
    <x v="3"/>
    <n v="398.92999999999995"/>
    <n v="0"/>
    <x v="2"/>
    <x v="0"/>
    <x v="7"/>
    <n v="3"/>
  </r>
  <r>
    <n v="3"/>
    <d v="2019-08-13T00:00:00"/>
    <x v="0"/>
    <n v="3723.9579999999996"/>
    <n v="0"/>
    <x v="2"/>
    <x v="0"/>
    <x v="7"/>
    <n v="3"/>
  </r>
  <r>
    <n v="3"/>
    <d v="2019-08-13T00:00:00"/>
    <x v="1"/>
    <n v="3322.9629999999997"/>
    <n v="0"/>
    <x v="2"/>
    <x v="0"/>
    <x v="7"/>
    <n v="3"/>
  </r>
  <r>
    <n v="3"/>
    <d v="2019-08-13T00:00:00"/>
    <x v="2"/>
    <n v="858.71100000000001"/>
    <n v="0"/>
    <x v="2"/>
    <x v="0"/>
    <x v="7"/>
    <n v="3"/>
  </r>
  <r>
    <n v="3"/>
    <d v="2019-08-14T00:00:00"/>
    <x v="3"/>
    <n v="136.73099999999999"/>
    <n v="0"/>
    <x v="2"/>
    <x v="0"/>
    <x v="7"/>
    <n v="3"/>
  </r>
  <r>
    <n v="3"/>
    <d v="2019-08-14T00:00:00"/>
    <x v="0"/>
    <n v="3031.6649999999995"/>
    <n v="0"/>
    <x v="2"/>
    <x v="0"/>
    <x v="7"/>
    <n v="3"/>
  </r>
  <r>
    <n v="3"/>
    <d v="2019-08-14T00:00:00"/>
    <x v="2"/>
    <n v="707.27299999999991"/>
    <n v="0"/>
    <x v="2"/>
    <x v="0"/>
    <x v="7"/>
    <n v="3"/>
  </r>
  <r>
    <n v="3"/>
    <d v="2019-08-14T00:00:00"/>
    <x v="1"/>
    <n v="3063.0179999999996"/>
    <n v="0"/>
    <x v="2"/>
    <x v="0"/>
    <x v="7"/>
    <n v="3"/>
  </r>
  <r>
    <n v="3"/>
    <d v="2019-08-15T00:00:00"/>
    <x v="1"/>
    <n v="3323.4390000000003"/>
    <n v="0"/>
    <x v="2"/>
    <x v="0"/>
    <x v="7"/>
    <n v="3"/>
  </r>
  <r>
    <n v="3"/>
    <d v="2019-08-15T00:00:00"/>
    <x v="2"/>
    <n v="761.97099999999989"/>
    <n v="0"/>
    <x v="2"/>
    <x v="0"/>
    <x v="7"/>
    <n v="3"/>
  </r>
  <r>
    <n v="3"/>
    <d v="2019-08-15T00:00:00"/>
    <x v="0"/>
    <n v="4000.2339999999995"/>
    <n v="0"/>
    <x v="2"/>
    <x v="0"/>
    <x v="7"/>
    <n v="3"/>
  </r>
  <r>
    <n v="3"/>
    <d v="2019-08-15T00:00:00"/>
    <x v="3"/>
    <n v="36.098999999999997"/>
    <n v="0"/>
    <x v="2"/>
    <x v="0"/>
    <x v="7"/>
    <n v="3"/>
  </r>
  <r>
    <n v="3"/>
    <d v="2019-08-16T00:00:00"/>
    <x v="0"/>
    <n v="4284.4690000000001"/>
    <n v="0"/>
    <x v="2"/>
    <x v="0"/>
    <x v="7"/>
    <n v="3"/>
  </r>
  <r>
    <n v="3"/>
    <d v="2019-08-16T00:00:00"/>
    <x v="2"/>
    <n v="866.2639999999999"/>
    <n v="0"/>
    <x v="2"/>
    <x v="0"/>
    <x v="7"/>
    <n v="3"/>
  </r>
  <r>
    <n v="3"/>
    <d v="2019-08-16T00:00:00"/>
    <x v="3"/>
    <n v="683.65499999999997"/>
    <n v="0"/>
    <x v="2"/>
    <x v="0"/>
    <x v="7"/>
    <n v="3"/>
  </r>
  <r>
    <n v="3"/>
    <d v="2019-08-16T00:00:00"/>
    <x v="1"/>
    <n v="3822.4409999999998"/>
    <n v="0"/>
    <x v="2"/>
    <x v="0"/>
    <x v="7"/>
    <n v="3"/>
  </r>
  <r>
    <n v="3"/>
    <d v="2019-08-17T00:00:00"/>
    <x v="0"/>
    <n v="3612.0209999999997"/>
    <n v="0"/>
    <x v="2"/>
    <x v="0"/>
    <x v="7"/>
    <n v="3"/>
  </r>
  <r>
    <n v="3"/>
    <d v="2019-08-17T00:00:00"/>
    <x v="3"/>
    <n v="83.950999999999993"/>
    <n v="0"/>
    <x v="2"/>
    <x v="0"/>
    <x v="7"/>
    <n v="3"/>
  </r>
  <r>
    <n v="3"/>
    <d v="2019-08-17T00:00:00"/>
    <x v="2"/>
    <n v="639.5619999999999"/>
    <n v="0"/>
    <x v="2"/>
    <x v="0"/>
    <x v="7"/>
    <n v="3"/>
  </r>
  <r>
    <n v="3"/>
    <d v="2019-08-17T00:00:00"/>
    <x v="1"/>
    <n v="3581.9839999999999"/>
    <n v="0"/>
    <x v="2"/>
    <x v="0"/>
    <x v="7"/>
    <n v="3"/>
  </r>
  <r>
    <n v="3"/>
    <d v="2019-08-18T00:00:00"/>
    <x v="1"/>
    <n v="3194.422"/>
    <n v="0"/>
    <x v="2"/>
    <x v="0"/>
    <x v="7"/>
    <n v="3"/>
  </r>
  <r>
    <n v="3"/>
    <d v="2019-08-18T00:00:00"/>
    <x v="3"/>
    <n v="0"/>
    <n v="0"/>
    <x v="2"/>
    <x v="0"/>
    <x v="7"/>
    <n v="3"/>
  </r>
  <r>
    <n v="3"/>
    <d v="2019-08-18T00:00:00"/>
    <x v="2"/>
    <n v="654.31099999999992"/>
    <n v="0"/>
    <x v="2"/>
    <x v="0"/>
    <x v="7"/>
    <n v="3"/>
  </r>
  <r>
    <n v="3"/>
    <d v="2019-08-18T00:00:00"/>
    <x v="0"/>
    <n v="3328.5489999999995"/>
    <n v="0"/>
    <x v="2"/>
    <x v="0"/>
    <x v="7"/>
    <n v="3"/>
  </r>
  <r>
    <n v="3"/>
    <d v="2019-08-19T00:00:00"/>
    <x v="1"/>
    <n v="3063.8299999999995"/>
    <n v="0"/>
    <x v="2"/>
    <x v="0"/>
    <x v="7"/>
    <n v="4"/>
  </r>
  <r>
    <n v="3"/>
    <d v="2019-08-19T00:00:00"/>
    <x v="2"/>
    <n v="882.798"/>
    <n v="0"/>
    <x v="2"/>
    <x v="0"/>
    <x v="7"/>
    <n v="4"/>
  </r>
  <r>
    <n v="3"/>
    <d v="2019-08-19T00:00:00"/>
    <x v="3"/>
    <n v="0"/>
    <n v="0"/>
    <x v="2"/>
    <x v="0"/>
    <x v="7"/>
    <n v="4"/>
  </r>
  <r>
    <n v="3"/>
    <d v="2019-08-19T00:00:00"/>
    <x v="0"/>
    <n v="3406.1649999999995"/>
    <n v="0"/>
    <x v="2"/>
    <x v="0"/>
    <x v="7"/>
    <n v="4"/>
  </r>
  <r>
    <n v="3"/>
    <d v="2019-08-20T00:00:00"/>
    <x v="0"/>
    <n v="2707.355"/>
    <n v="0"/>
    <x v="2"/>
    <x v="0"/>
    <x v="7"/>
    <n v="4"/>
  </r>
  <r>
    <n v="3"/>
    <d v="2019-08-20T00:00:00"/>
    <x v="3"/>
    <n v="507.64"/>
    <n v="0"/>
    <x v="2"/>
    <x v="0"/>
    <x v="7"/>
    <n v="4"/>
  </r>
  <r>
    <n v="3"/>
    <d v="2019-08-20T00:00:00"/>
    <x v="2"/>
    <n v="691.01899999999989"/>
    <n v="0"/>
    <x v="2"/>
    <x v="0"/>
    <x v="7"/>
    <n v="4"/>
  </r>
  <r>
    <n v="3"/>
    <d v="2019-08-20T00:00:00"/>
    <x v="1"/>
    <n v="3161.5920000000001"/>
    <n v="0"/>
    <x v="2"/>
    <x v="0"/>
    <x v="7"/>
    <n v="4"/>
  </r>
  <r>
    <n v="3"/>
    <d v="2019-08-21T00:00:00"/>
    <x v="2"/>
    <n v="668.71699999999987"/>
    <n v="6.7129999999999992"/>
    <x v="2"/>
    <x v="0"/>
    <x v="7"/>
    <n v="4"/>
  </r>
  <r>
    <n v="3"/>
    <d v="2019-08-21T00:00:00"/>
    <x v="0"/>
    <n v="3544.1"/>
    <n v="0"/>
    <x v="2"/>
    <x v="0"/>
    <x v="7"/>
    <n v="4"/>
  </r>
  <r>
    <n v="3"/>
    <d v="2019-08-21T00:00:00"/>
    <x v="3"/>
    <n v="0"/>
    <n v="0"/>
    <x v="2"/>
    <x v="0"/>
    <x v="7"/>
    <n v="4"/>
  </r>
  <r>
    <n v="3"/>
    <d v="2019-08-21T00:00:00"/>
    <x v="1"/>
    <n v="3252.3539999999998"/>
    <n v="0"/>
    <x v="2"/>
    <x v="0"/>
    <x v="7"/>
    <n v="4"/>
  </r>
  <r>
    <n v="3"/>
    <d v="2019-08-22T00:00:00"/>
    <x v="0"/>
    <n v="3426.3249999999998"/>
    <n v="0"/>
    <x v="2"/>
    <x v="0"/>
    <x v="7"/>
    <n v="4"/>
  </r>
  <r>
    <n v="3"/>
    <d v="2019-08-22T00:00:00"/>
    <x v="2"/>
    <n v="763.24499999999989"/>
    <n v="6.7129999999999992"/>
    <x v="2"/>
    <x v="0"/>
    <x v="7"/>
    <n v="4"/>
  </r>
  <r>
    <n v="3"/>
    <d v="2019-08-22T00:00:00"/>
    <x v="1"/>
    <n v="3552.99"/>
    <n v="0"/>
    <x v="2"/>
    <x v="0"/>
    <x v="7"/>
    <n v="4"/>
  </r>
  <r>
    <n v="3"/>
    <d v="2019-08-22T00:00:00"/>
    <x v="3"/>
    <n v="147.09099999999998"/>
    <n v="0"/>
    <x v="2"/>
    <x v="0"/>
    <x v="7"/>
    <n v="4"/>
  </r>
  <r>
    <n v="3"/>
    <d v="2019-08-23T00:00:00"/>
    <x v="3"/>
    <n v="0"/>
    <n v="0"/>
    <x v="2"/>
    <x v="0"/>
    <x v="7"/>
    <n v="4"/>
  </r>
  <r>
    <n v="3"/>
    <d v="2019-08-23T00:00:00"/>
    <x v="2"/>
    <n v="1167.2359999999999"/>
    <n v="0"/>
    <x v="2"/>
    <x v="0"/>
    <x v="7"/>
    <n v="4"/>
  </r>
  <r>
    <n v="3"/>
    <d v="2019-08-23T00:00:00"/>
    <x v="0"/>
    <n v="4131.3649999999998"/>
    <n v="0"/>
    <x v="2"/>
    <x v="0"/>
    <x v="7"/>
    <n v="4"/>
  </r>
  <r>
    <n v="3"/>
    <d v="2019-08-23T00:00:00"/>
    <x v="1"/>
    <n v="3738.0140000000001"/>
    <n v="0"/>
    <x v="2"/>
    <x v="0"/>
    <x v="7"/>
    <n v="4"/>
  </r>
  <r>
    <n v="3"/>
    <d v="2019-08-24T00:00:00"/>
    <x v="2"/>
    <n v="704.41"/>
    <n v="0"/>
    <x v="2"/>
    <x v="0"/>
    <x v="7"/>
    <n v="4"/>
  </r>
  <r>
    <n v="3"/>
    <d v="2019-08-24T00:00:00"/>
    <x v="1"/>
    <n v="3620.1059999999998"/>
    <n v="0"/>
    <x v="2"/>
    <x v="0"/>
    <x v="7"/>
    <n v="4"/>
  </r>
  <r>
    <n v="3"/>
    <d v="2019-08-24T00:00:00"/>
    <x v="3"/>
    <n v="262.36699999999996"/>
    <n v="0"/>
    <x v="2"/>
    <x v="0"/>
    <x v="7"/>
    <n v="4"/>
  </r>
  <r>
    <n v="3"/>
    <d v="2019-08-24T00:00:00"/>
    <x v="0"/>
    <n v="3370.36"/>
    <n v="0"/>
    <x v="2"/>
    <x v="0"/>
    <x v="7"/>
    <n v="4"/>
  </r>
  <r>
    <n v="3"/>
    <d v="2019-08-25T00:00:00"/>
    <x v="3"/>
    <n v="0"/>
    <n v="0"/>
    <x v="2"/>
    <x v="0"/>
    <x v="7"/>
    <n v="4"/>
  </r>
  <r>
    <n v="3"/>
    <d v="2019-08-25T00:00:00"/>
    <x v="1"/>
    <n v="3124.6950000000002"/>
    <n v="0"/>
    <x v="2"/>
    <x v="0"/>
    <x v="7"/>
    <n v="4"/>
  </r>
  <r>
    <n v="3"/>
    <d v="2019-08-25T00:00:00"/>
    <x v="0"/>
    <n v="3090.5839999999998"/>
    <n v="0"/>
    <x v="2"/>
    <x v="0"/>
    <x v="7"/>
    <n v="4"/>
  </r>
  <r>
    <n v="3"/>
    <d v="2019-08-25T00:00:00"/>
    <x v="2"/>
    <n v="607.14499999999998"/>
    <n v="0"/>
    <x v="2"/>
    <x v="0"/>
    <x v="7"/>
    <n v="4"/>
  </r>
  <r>
    <n v="3"/>
    <d v="2019-08-26T00:00:00"/>
    <x v="1"/>
    <n v="3325.0419999999999"/>
    <n v="0"/>
    <x v="2"/>
    <x v="0"/>
    <x v="8"/>
    <n v="1"/>
  </r>
  <r>
    <n v="3"/>
    <d v="2019-08-26T00:00:00"/>
    <x v="0"/>
    <n v="2977.3309999999997"/>
    <n v="0.69299999999999995"/>
    <x v="2"/>
    <x v="0"/>
    <x v="8"/>
    <n v="1"/>
  </r>
  <r>
    <n v="3"/>
    <d v="2019-08-26T00:00:00"/>
    <x v="2"/>
    <n v="673.95999999999992"/>
    <n v="0"/>
    <x v="2"/>
    <x v="0"/>
    <x v="8"/>
    <n v="1"/>
  </r>
  <r>
    <n v="3"/>
    <d v="2019-08-26T00:00:00"/>
    <x v="3"/>
    <n v="0"/>
    <n v="0"/>
    <x v="2"/>
    <x v="0"/>
    <x v="8"/>
    <n v="1"/>
  </r>
  <r>
    <n v="3"/>
    <d v="2019-08-27T00:00:00"/>
    <x v="0"/>
    <n v="3316.5160000000001"/>
    <n v="0"/>
    <x v="2"/>
    <x v="0"/>
    <x v="8"/>
    <n v="1"/>
  </r>
  <r>
    <n v="3"/>
    <d v="2019-08-27T00:00:00"/>
    <x v="2"/>
    <n v="580.39799999999991"/>
    <n v="0"/>
    <x v="2"/>
    <x v="0"/>
    <x v="8"/>
    <n v="1"/>
  </r>
  <r>
    <n v="3"/>
    <d v="2019-08-27T00:00:00"/>
    <x v="3"/>
    <n v="197.29500000000002"/>
    <n v="0"/>
    <x v="2"/>
    <x v="0"/>
    <x v="8"/>
    <n v="1"/>
  </r>
  <r>
    <n v="3"/>
    <d v="2019-08-27T00:00:00"/>
    <x v="1"/>
    <n v="3084.1929999999998"/>
    <n v="0"/>
    <x v="2"/>
    <x v="0"/>
    <x v="8"/>
    <n v="1"/>
  </r>
  <r>
    <n v="3"/>
    <d v="2019-08-28T00:00:00"/>
    <x v="2"/>
    <n v="756.11199999999997"/>
    <n v="0"/>
    <x v="2"/>
    <x v="0"/>
    <x v="8"/>
    <n v="1"/>
  </r>
  <r>
    <n v="3"/>
    <d v="2019-08-28T00:00:00"/>
    <x v="3"/>
    <n v="0"/>
    <n v="0"/>
    <x v="2"/>
    <x v="0"/>
    <x v="8"/>
    <n v="1"/>
  </r>
  <r>
    <n v="3"/>
    <d v="2019-08-28T00:00:00"/>
    <x v="0"/>
    <n v="3309.0399999999995"/>
    <n v="0"/>
    <x v="2"/>
    <x v="0"/>
    <x v="8"/>
    <n v="1"/>
  </r>
  <r>
    <n v="3"/>
    <d v="2019-08-28T00:00:00"/>
    <x v="1"/>
    <n v="2948.1899999999996"/>
    <n v="0"/>
    <x v="2"/>
    <x v="0"/>
    <x v="8"/>
    <n v="1"/>
  </r>
  <r>
    <n v="3"/>
    <d v="2019-08-29T00:00:00"/>
    <x v="2"/>
    <n v="999.45999999999992"/>
    <n v="0"/>
    <x v="2"/>
    <x v="0"/>
    <x v="8"/>
    <n v="1"/>
  </r>
  <r>
    <n v="3"/>
    <d v="2019-08-29T00:00:00"/>
    <x v="0"/>
    <n v="3565.4569999999999"/>
    <n v="0"/>
    <x v="2"/>
    <x v="0"/>
    <x v="8"/>
    <n v="1"/>
  </r>
  <r>
    <n v="3"/>
    <d v="2019-08-29T00:00:00"/>
    <x v="3"/>
    <n v="0"/>
    <n v="0"/>
    <x v="2"/>
    <x v="0"/>
    <x v="8"/>
    <n v="1"/>
  </r>
  <r>
    <n v="3"/>
    <d v="2019-08-29T00:00:00"/>
    <x v="1"/>
    <n v="3100.2579999999994"/>
    <n v="0"/>
    <x v="2"/>
    <x v="0"/>
    <x v="8"/>
    <n v="1"/>
  </r>
  <r>
    <n v="3"/>
    <d v="2019-08-30T00:00:00"/>
    <x v="2"/>
    <n v="978.34799999999996"/>
    <n v="0"/>
    <x v="2"/>
    <x v="0"/>
    <x v="8"/>
    <n v="1"/>
  </r>
  <r>
    <n v="3"/>
    <d v="2019-08-30T00:00:00"/>
    <x v="1"/>
    <n v="3476.788"/>
    <n v="0"/>
    <x v="2"/>
    <x v="0"/>
    <x v="8"/>
    <n v="1"/>
  </r>
  <r>
    <n v="3"/>
    <d v="2019-08-30T00:00:00"/>
    <x v="3"/>
    <n v="21.216999999999999"/>
    <n v="0"/>
    <x v="2"/>
    <x v="0"/>
    <x v="8"/>
    <n v="1"/>
  </r>
  <r>
    <n v="3"/>
    <d v="2019-08-30T00:00:00"/>
    <x v="0"/>
    <n v="3713.6399999999994"/>
    <n v="0"/>
    <x v="2"/>
    <x v="0"/>
    <x v="8"/>
    <n v="1"/>
  </r>
  <r>
    <n v="3"/>
    <d v="2019-08-31T00:00:00"/>
    <x v="0"/>
    <n v="3566.64"/>
    <n v="0"/>
    <x v="2"/>
    <x v="0"/>
    <x v="8"/>
    <n v="1"/>
  </r>
  <r>
    <n v="3"/>
    <d v="2019-08-31T00:00:00"/>
    <x v="3"/>
    <n v="176.946"/>
    <n v="0"/>
    <x v="2"/>
    <x v="0"/>
    <x v="8"/>
    <n v="1"/>
  </r>
  <r>
    <n v="3"/>
    <d v="2019-08-31T00:00:00"/>
    <x v="1"/>
    <n v="3097.2059999999997"/>
    <n v="0"/>
    <x v="2"/>
    <x v="0"/>
    <x v="8"/>
    <n v="1"/>
  </r>
  <r>
    <n v="3"/>
    <d v="2019-08-31T00:00:00"/>
    <x v="2"/>
    <n v="669.78800000000001"/>
    <n v="0"/>
    <x v="2"/>
    <x v="0"/>
    <x v="8"/>
    <n v="1"/>
  </r>
  <r>
    <n v="3"/>
    <d v="2019-09-01T00:00:00"/>
    <x v="0"/>
    <n v="2911.6849999999999"/>
    <n v="0"/>
    <x v="2"/>
    <x v="0"/>
    <x v="8"/>
    <n v="1"/>
  </r>
  <r>
    <n v="3"/>
    <d v="2019-09-01T00:00:00"/>
    <x v="3"/>
    <n v="0"/>
    <n v="0"/>
    <x v="2"/>
    <x v="0"/>
    <x v="8"/>
    <n v="1"/>
  </r>
  <r>
    <n v="3"/>
    <d v="2019-09-01T00:00:00"/>
    <x v="2"/>
    <n v="598.07299999999998"/>
    <n v="0"/>
    <x v="2"/>
    <x v="0"/>
    <x v="8"/>
    <n v="1"/>
  </r>
  <r>
    <n v="3"/>
    <d v="2019-09-01T00:00:00"/>
    <x v="1"/>
    <n v="2676.317"/>
    <n v="0"/>
    <x v="2"/>
    <x v="0"/>
    <x v="8"/>
    <n v="1"/>
  </r>
  <r>
    <n v="3"/>
    <d v="2019-09-02T00:00:00"/>
    <x v="2"/>
    <n v="740.56499999999994"/>
    <n v="0"/>
    <x v="2"/>
    <x v="0"/>
    <x v="8"/>
    <n v="2"/>
  </r>
  <r>
    <n v="3"/>
    <d v="2019-09-02T00:00:00"/>
    <x v="0"/>
    <n v="3505.8869999999997"/>
    <n v="0"/>
    <x v="2"/>
    <x v="0"/>
    <x v="8"/>
    <n v="2"/>
  </r>
  <r>
    <n v="3"/>
    <d v="2019-09-02T00:00:00"/>
    <x v="3"/>
    <n v="0"/>
    <n v="0"/>
    <x v="2"/>
    <x v="0"/>
    <x v="8"/>
    <n v="2"/>
  </r>
  <r>
    <n v="3"/>
    <d v="2019-09-02T00:00:00"/>
    <x v="1"/>
    <n v="3223.1570000000002"/>
    <n v="0"/>
    <x v="2"/>
    <x v="0"/>
    <x v="8"/>
    <n v="2"/>
  </r>
  <r>
    <n v="3"/>
    <d v="2019-09-03T00:00:00"/>
    <x v="1"/>
    <n v="3064.5089999999996"/>
    <n v="0"/>
    <x v="2"/>
    <x v="0"/>
    <x v="8"/>
    <n v="2"/>
  </r>
  <r>
    <n v="3"/>
    <d v="2019-09-03T00:00:00"/>
    <x v="3"/>
    <n v="0"/>
    <n v="0"/>
    <x v="2"/>
    <x v="0"/>
    <x v="8"/>
    <n v="2"/>
  </r>
  <r>
    <n v="3"/>
    <d v="2019-09-03T00:00:00"/>
    <x v="2"/>
    <n v="554.59599999999989"/>
    <n v="0"/>
    <x v="2"/>
    <x v="0"/>
    <x v="8"/>
    <n v="2"/>
  </r>
  <r>
    <n v="3"/>
    <d v="2019-09-03T00:00:00"/>
    <x v="0"/>
    <n v="2686.607"/>
    <n v="0"/>
    <x v="2"/>
    <x v="0"/>
    <x v="8"/>
    <n v="2"/>
  </r>
  <r>
    <n v="3"/>
    <d v="2019-09-04T00:00:00"/>
    <x v="2"/>
    <n v="541.35899999999992"/>
    <n v="0"/>
    <x v="2"/>
    <x v="0"/>
    <x v="8"/>
    <n v="2"/>
  </r>
  <r>
    <n v="3"/>
    <d v="2019-09-04T00:00:00"/>
    <x v="3"/>
    <n v="76.173999999999992"/>
    <n v="0"/>
    <x v="2"/>
    <x v="0"/>
    <x v="8"/>
    <n v="2"/>
  </r>
  <r>
    <n v="3"/>
    <d v="2019-09-04T00:00:00"/>
    <x v="1"/>
    <n v="3180.4989999999998"/>
    <n v="0"/>
    <x v="2"/>
    <x v="0"/>
    <x v="8"/>
    <n v="2"/>
  </r>
  <r>
    <n v="3"/>
    <d v="2019-09-04T00:00:00"/>
    <x v="0"/>
    <n v="2934.2179999999998"/>
    <n v="0"/>
    <x v="2"/>
    <x v="0"/>
    <x v="8"/>
    <n v="2"/>
  </r>
  <r>
    <n v="3"/>
    <d v="2019-09-05T00:00:00"/>
    <x v="1"/>
    <n v="3568.2989999999995"/>
    <n v="0"/>
    <x v="2"/>
    <x v="0"/>
    <x v="8"/>
    <n v="2"/>
  </r>
  <r>
    <n v="3"/>
    <d v="2019-09-05T00:00:00"/>
    <x v="0"/>
    <n v="3195.5559999999996"/>
    <n v="0"/>
    <x v="2"/>
    <x v="0"/>
    <x v="8"/>
    <n v="2"/>
  </r>
  <r>
    <n v="3"/>
    <d v="2019-09-05T00:00:00"/>
    <x v="2"/>
    <n v="732.32600000000002"/>
    <n v="0"/>
    <x v="2"/>
    <x v="0"/>
    <x v="8"/>
    <n v="2"/>
  </r>
  <r>
    <n v="3"/>
    <d v="2019-09-05T00:00:00"/>
    <x v="3"/>
    <n v="0"/>
    <n v="0"/>
    <x v="2"/>
    <x v="0"/>
    <x v="8"/>
    <n v="2"/>
  </r>
  <r>
    <n v="3"/>
    <d v="2019-09-06T00:00:00"/>
    <x v="2"/>
    <n v="1027.194"/>
    <n v="0"/>
    <x v="2"/>
    <x v="0"/>
    <x v="8"/>
    <n v="2"/>
  </r>
  <r>
    <n v="3"/>
    <d v="2019-09-06T00:00:00"/>
    <x v="0"/>
    <n v="3706.9409999999998"/>
    <n v="0"/>
    <x v="2"/>
    <x v="0"/>
    <x v="8"/>
    <n v="2"/>
  </r>
  <r>
    <n v="3"/>
    <d v="2019-09-06T00:00:00"/>
    <x v="3"/>
    <n v="321.71999999999997"/>
    <n v="0"/>
    <x v="2"/>
    <x v="0"/>
    <x v="8"/>
    <n v="2"/>
  </r>
  <r>
    <n v="3"/>
    <d v="2019-09-06T00:00:00"/>
    <x v="1"/>
    <n v="3483.4169999999999"/>
    <n v="0"/>
    <x v="2"/>
    <x v="0"/>
    <x v="8"/>
    <n v="2"/>
  </r>
  <r>
    <n v="3"/>
    <d v="2019-09-07T00:00:00"/>
    <x v="2"/>
    <n v="806.14100000000008"/>
    <n v="0"/>
    <x v="2"/>
    <x v="0"/>
    <x v="8"/>
    <n v="2"/>
  </r>
  <r>
    <n v="3"/>
    <d v="2019-09-07T00:00:00"/>
    <x v="0"/>
    <n v="3148.1869999999999"/>
    <n v="0"/>
    <x v="2"/>
    <x v="0"/>
    <x v="8"/>
    <n v="2"/>
  </r>
  <r>
    <n v="3"/>
    <d v="2019-09-07T00:00:00"/>
    <x v="3"/>
    <n v="0"/>
    <n v="0"/>
    <x v="2"/>
    <x v="0"/>
    <x v="8"/>
    <n v="2"/>
  </r>
  <r>
    <n v="3"/>
    <d v="2019-09-07T00:00:00"/>
    <x v="1"/>
    <n v="3412.5140000000001"/>
    <n v="0"/>
    <x v="2"/>
    <x v="0"/>
    <x v="8"/>
    <n v="2"/>
  </r>
  <r>
    <n v="3"/>
    <d v="2019-09-08T00:00:00"/>
    <x v="0"/>
    <n v="2509.3179999999998"/>
    <n v="0"/>
    <x v="2"/>
    <x v="0"/>
    <x v="8"/>
    <n v="2"/>
  </r>
  <r>
    <n v="3"/>
    <d v="2019-09-08T00:00:00"/>
    <x v="1"/>
    <n v="3339.1959999999995"/>
    <n v="0"/>
    <x v="2"/>
    <x v="0"/>
    <x v="8"/>
    <n v="2"/>
  </r>
  <r>
    <n v="3"/>
    <d v="2019-09-08T00:00:00"/>
    <x v="3"/>
    <n v="0"/>
    <n v="0"/>
    <x v="2"/>
    <x v="0"/>
    <x v="8"/>
    <n v="2"/>
  </r>
  <r>
    <n v="3"/>
    <d v="2019-09-08T00:00:00"/>
    <x v="2"/>
    <n v="563.91300000000001"/>
    <n v="0"/>
    <x v="2"/>
    <x v="0"/>
    <x v="8"/>
    <n v="2"/>
  </r>
  <r>
    <n v="3"/>
    <d v="2019-09-09T00:00:00"/>
    <x v="1"/>
    <n v="3265.8920000000003"/>
    <n v="0"/>
    <x v="2"/>
    <x v="0"/>
    <x v="8"/>
    <n v="3"/>
  </r>
  <r>
    <n v="3"/>
    <d v="2019-09-09T00:00:00"/>
    <x v="3"/>
    <n v="206.178"/>
    <n v="0"/>
    <x v="2"/>
    <x v="0"/>
    <x v="8"/>
    <n v="3"/>
  </r>
  <r>
    <n v="3"/>
    <d v="2019-09-09T00:00:00"/>
    <x v="0"/>
    <n v="2449.1949999999997"/>
    <n v="0"/>
    <x v="2"/>
    <x v="0"/>
    <x v="8"/>
    <n v="3"/>
  </r>
  <r>
    <n v="3"/>
    <d v="2019-09-09T00:00:00"/>
    <x v="2"/>
    <n v="646.75800000000004"/>
    <n v="0"/>
    <x v="2"/>
    <x v="0"/>
    <x v="8"/>
    <n v="3"/>
  </r>
  <r>
    <n v="3"/>
    <d v="2019-09-10T00:00:00"/>
    <x v="2"/>
    <n v="725.51499999999999"/>
    <n v="0"/>
    <x v="2"/>
    <x v="0"/>
    <x v="8"/>
    <n v="3"/>
  </r>
  <r>
    <n v="3"/>
    <d v="2019-09-10T00:00:00"/>
    <x v="0"/>
    <n v="2913.1410000000001"/>
    <n v="0"/>
    <x v="2"/>
    <x v="0"/>
    <x v="8"/>
    <n v="3"/>
  </r>
  <r>
    <n v="3"/>
    <d v="2019-09-10T00:00:00"/>
    <x v="3"/>
    <n v="305.63399999999996"/>
    <n v="0"/>
    <x v="2"/>
    <x v="0"/>
    <x v="8"/>
    <n v="3"/>
  </r>
  <r>
    <n v="3"/>
    <d v="2019-09-10T00:00:00"/>
    <x v="1"/>
    <n v="3197.3059999999996"/>
    <n v="0"/>
    <x v="2"/>
    <x v="0"/>
    <x v="8"/>
    <n v="3"/>
  </r>
  <r>
    <n v="3"/>
    <d v="2019-09-11T00:00:00"/>
    <x v="0"/>
    <n v="2943.4299999999994"/>
    <n v="0.69299999999999995"/>
    <x v="2"/>
    <x v="0"/>
    <x v="8"/>
    <n v="3"/>
  </r>
  <r>
    <n v="3"/>
    <d v="2019-09-11T00:00:00"/>
    <x v="1"/>
    <n v="3096.31"/>
    <n v="0"/>
    <x v="2"/>
    <x v="0"/>
    <x v="8"/>
    <n v="3"/>
  </r>
  <r>
    <n v="3"/>
    <d v="2019-09-11T00:00:00"/>
    <x v="3"/>
    <n v="0"/>
    <n v="0"/>
    <x v="2"/>
    <x v="0"/>
    <x v="8"/>
    <n v="3"/>
  </r>
  <r>
    <n v="3"/>
    <d v="2019-09-11T00:00:00"/>
    <x v="2"/>
    <n v="666.15499999999997"/>
    <n v="0"/>
    <x v="2"/>
    <x v="0"/>
    <x v="8"/>
    <n v="3"/>
  </r>
  <r>
    <n v="3"/>
    <d v="2019-09-12T00:00:00"/>
    <x v="3"/>
    <n v="181.90899999999999"/>
    <n v="0"/>
    <x v="2"/>
    <x v="0"/>
    <x v="8"/>
    <n v="3"/>
  </r>
  <r>
    <n v="3"/>
    <d v="2019-09-12T00:00:00"/>
    <x v="1"/>
    <n v="3530.3939999999998"/>
    <n v="0"/>
    <x v="2"/>
    <x v="0"/>
    <x v="8"/>
    <n v="3"/>
  </r>
  <r>
    <n v="3"/>
    <d v="2019-09-12T00:00:00"/>
    <x v="2"/>
    <n v="577.96899999999994"/>
    <n v="0"/>
    <x v="2"/>
    <x v="0"/>
    <x v="8"/>
    <n v="3"/>
  </r>
  <r>
    <n v="3"/>
    <d v="2019-09-12T00:00:00"/>
    <x v="0"/>
    <n v="3624.145"/>
    <n v="0"/>
    <x v="2"/>
    <x v="0"/>
    <x v="8"/>
    <n v="3"/>
  </r>
  <r>
    <n v="3"/>
    <d v="2019-09-13T00:00:00"/>
    <x v="3"/>
    <n v="520.21199999999999"/>
    <n v="0"/>
    <x v="2"/>
    <x v="0"/>
    <x v="8"/>
    <n v="3"/>
  </r>
  <r>
    <n v="3"/>
    <d v="2019-09-13T00:00:00"/>
    <x v="1"/>
    <n v="3425.9259999999999"/>
    <n v="8.4559999999999995"/>
    <x v="2"/>
    <x v="0"/>
    <x v="8"/>
    <n v="3"/>
  </r>
  <r>
    <n v="3"/>
    <d v="2019-09-13T00:00:00"/>
    <x v="2"/>
    <n v="999.55099999999993"/>
    <n v="13.425999999999998"/>
    <x v="2"/>
    <x v="0"/>
    <x v="8"/>
    <n v="3"/>
  </r>
  <r>
    <n v="3"/>
    <d v="2019-09-13T00:00:00"/>
    <x v="0"/>
    <n v="3506.0129999999999"/>
    <n v="0"/>
    <x v="2"/>
    <x v="0"/>
    <x v="8"/>
    <n v="3"/>
  </r>
  <r>
    <n v="3"/>
    <d v="2019-09-14T00:00:00"/>
    <x v="2"/>
    <n v="541.15599999999995"/>
    <n v="0"/>
    <x v="2"/>
    <x v="0"/>
    <x v="8"/>
    <n v="3"/>
  </r>
  <r>
    <n v="3"/>
    <d v="2019-09-14T00:00:00"/>
    <x v="3"/>
    <n v="14.259"/>
    <n v="0"/>
    <x v="2"/>
    <x v="0"/>
    <x v="8"/>
    <n v="3"/>
  </r>
  <r>
    <n v="3"/>
    <d v="2019-09-14T00:00:00"/>
    <x v="1"/>
    <n v="3804.7449999999999"/>
    <n v="0"/>
    <x v="2"/>
    <x v="0"/>
    <x v="8"/>
    <n v="3"/>
  </r>
  <r>
    <n v="3"/>
    <d v="2019-09-14T00:00:00"/>
    <x v="0"/>
    <n v="3338.3069999999998"/>
    <n v="0"/>
    <x v="2"/>
    <x v="0"/>
    <x v="8"/>
    <n v="3"/>
  </r>
  <r>
    <n v="3"/>
    <d v="2019-09-15T00:00:00"/>
    <x v="0"/>
    <n v="2591.3719999999998"/>
    <n v="0"/>
    <x v="2"/>
    <x v="0"/>
    <x v="8"/>
    <n v="3"/>
  </r>
  <r>
    <n v="3"/>
    <d v="2019-09-15T00:00:00"/>
    <x v="2"/>
    <n v="555.84900000000005"/>
    <n v="0"/>
    <x v="2"/>
    <x v="0"/>
    <x v="8"/>
    <n v="3"/>
  </r>
  <r>
    <n v="3"/>
    <d v="2019-09-15T00:00:00"/>
    <x v="1"/>
    <n v="2826.3269999999998"/>
    <n v="0"/>
    <x v="2"/>
    <x v="0"/>
    <x v="8"/>
    <n v="3"/>
  </r>
  <r>
    <n v="3"/>
    <d v="2019-09-15T00:00:00"/>
    <x v="3"/>
    <n v="32.605999999999995"/>
    <n v="0"/>
    <x v="2"/>
    <x v="0"/>
    <x v="8"/>
    <n v="3"/>
  </r>
  <r>
    <n v="3"/>
    <d v="2019-09-16T00:00:00"/>
    <x v="0"/>
    <n v="3135.3069999999998"/>
    <n v="0"/>
    <x v="2"/>
    <x v="0"/>
    <x v="8"/>
    <n v="4"/>
  </r>
  <r>
    <n v="3"/>
    <d v="2019-09-16T00:00:00"/>
    <x v="1"/>
    <n v="3122.623"/>
    <n v="13.425999999999998"/>
    <x v="2"/>
    <x v="0"/>
    <x v="8"/>
    <n v="4"/>
  </r>
  <r>
    <n v="3"/>
    <d v="2019-09-16T00:00:00"/>
    <x v="2"/>
    <n v="624.32299999999998"/>
    <n v="6.7129999999999992"/>
    <x v="2"/>
    <x v="0"/>
    <x v="8"/>
    <n v="4"/>
  </r>
  <r>
    <n v="3"/>
    <d v="2019-09-16T00:00:00"/>
    <x v="3"/>
    <n v="0"/>
    <n v="0"/>
    <x v="2"/>
    <x v="0"/>
    <x v="8"/>
    <n v="4"/>
  </r>
  <r>
    <n v="3"/>
    <d v="2019-09-17T00:00:00"/>
    <x v="2"/>
    <n v="477.09899999999999"/>
    <n v="0"/>
    <x v="2"/>
    <x v="0"/>
    <x v="8"/>
    <n v="4"/>
  </r>
  <r>
    <n v="3"/>
    <d v="2019-09-17T00:00:00"/>
    <x v="0"/>
    <n v="2943.1640000000002"/>
    <n v="0"/>
    <x v="2"/>
    <x v="0"/>
    <x v="8"/>
    <n v="4"/>
  </r>
  <r>
    <n v="3"/>
    <d v="2019-09-17T00:00:00"/>
    <x v="3"/>
    <n v="0"/>
    <n v="0"/>
    <x v="2"/>
    <x v="0"/>
    <x v="8"/>
    <n v="4"/>
  </r>
  <r>
    <n v="3"/>
    <d v="2019-09-17T00:00:00"/>
    <x v="1"/>
    <n v="2766.6239999999998"/>
    <n v="22.861999999999995"/>
    <x v="2"/>
    <x v="0"/>
    <x v="8"/>
    <n v="4"/>
  </r>
  <r>
    <n v="3"/>
    <d v="2019-09-18T00:00:00"/>
    <x v="2"/>
    <n v="1335.32"/>
    <n v="1326.885"/>
    <x v="2"/>
    <x v="0"/>
    <x v="8"/>
    <n v="4"/>
  </r>
  <r>
    <n v="3"/>
    <d v="2019-09-18T00:00:00"/>
    <x v="0"/>
    <n v="2803.7449999999999"/>
    <n v="3543.0709999999995"/>
    <x v="2"/>
    <x v="0"/>
    <x v="8"/>
    <n v="4"/>
  </r>
  <r>
    <n v="3"/>
    <d v="2019-09-18T00:00:00"/>
    <x v="3"/>
    <n v="600.92200000000003"/>
    <n v="132.321"/>
    <x v="2"/>
    <x v="0"/>
    <x v="8"/>
    <n v="4"/>
  </r>
  <r>
    <n v="3"/>
    <d v="2019-09-18T00:00:00"/>
    <x v="1"/>
    <n v="2721.663"/>
    <n v="1502.0669999999998"/>
    <x v="2"/>
    <x v="0"/>
    <x v="8"/>
    <n v="4"/>
  </r>
  <r>
    <n v="3"/>
    <d v="2019-09-19T00:00:00"/>
    <x v="0"/>
    <n v="3547.5790000000002"/>
    <n v="4127.4309999999996"/>
    <x v="2"/>
    <x v="0"/>
    <x v="8"/>
    <n v="4"/>
  </r>
  <r>
    <n v="3"/>
    <d v="2019-09-19T00:00:00"/>
    <x v="2"/>
    <n v="1182.7760000000001"/>
    <n v="1523.3889999999999"/>
    <x v="2"/>
    <x v="0"/>
    <x v="8"/>
    <n v="4"/>
  </r>
  <r>
    <n v="3"/>
    <d v="2019-09-19T00:00:00"/>
    <x v="1"/>
    <n v="3189.8229999999999"/>
    <n v="2373.3009999999999"/>
    <x v="2"/>
    <x v="0"/>
    <x v="8"/>
    <n v="4"/>
  </r>
  <r>
    <n v="3"/>
    <d v="2019-09-19T00:00:00"/>
    <x v="3"/>
    <n v="90.02"/>
    <n v="0"/>
    <x v="2"/>
    <x v="0"/>
    <x v="8"/>
    <n v="4"/>
  </r>
  <r>
    <n v="3"/>
    <d v="2019-09-20T00:00:00"/>
    <x v="0"/>
    <n v="3558.9329999999995"/>
    <n v="5191.0950000000003"/>
    <x v="2"/>
    <x v="0"/>
    <x v="8"/>
    <n v="4"/>
  </r>
  <r>
    <n v="3"/>
    <d v="2019-09-20T00:00:00"/>
    <x v="1"/>
    <n v="3660.5659999999998"/>
    <n v="3014.1579999999994"/>
    <x v="2"/>
    <x v="0"/>
    <x v="8"/>
    <n v="4"/>
  </r>
  <r>
    <n v="3"/>
    <d v="2019-09-20T00:00:00"/>
    <x v="3"/>
    <n v="205.261"/>
    <n v="0"/>
    <x v="2"/>
    <x v="0"/>
    <x v="8"/>
    <n v="4"/>
  </r>
  <r>
    <n v="3"/>
    <d v="2019-09-20T00:00:00"/>
    <x v="2"/>
    <n v="1486.4149999999997"/>
    <n v="2464.9380000000001"/>
    <x v="2"/>
    <x v="0"/>
    <x v="8"/>
    <n v="4"/>
  </r>
  <r>
    <n v="3"/>
    <d v="2019-09-21T00:00:00"/>
    <x v="1"/>
    <n v="3358.873"/>
    <n v="2868.5929999999998"/>
    <x v="2"/>
    <x v="0"/>
    <x v="8"/>
    <n v="4"/>
  </r>
  <r>
    <n v="3"/>
    <d v="2019-09-21T00:00:00"/>
    <x v="3"/>
    <n v="49.238"/>
    <n v="146.85999999999999"/>
    <x v="2"/>
    <x v="0"/>
    <x v="8"/>
    <n v="4"/>
  </r>
  <r>
    <n v="3"/>
    <d v="2019-09-21T00:00:00"/>
    <x v="0"/>
    <n v="3270.8339999999998"/>
    <n v="5184.8789999999999"/>
    <x v="2"/>
    <x v="0"/>
    <x v="8"/>
    <n v="4"/>
  </r>
  <r>
    <n v="3"/>
    <d v="2019-09-21T00:00:00"/>
    <x v="2"/>
    <n v="1370.222"/>
    <n v="1309.357"/>
    <x v="2"/>
    <x v="0"/>
    <x v="8"/>
    <n v="4"/>
  </r>
  <r>
    <n v="3"/>
    <d v="2019-09-22T00:00:00"/>
    <x v="2"/>
    <n v="964.89400000000001"/>
    <n v="1193.9129999999998"/>
    <x v="2"/>
    <x v="0"/>
    <x v="8"/>
    <n v="4"/>
  </r>
  <r>
    <n v="3"/>
    <d v="2019-09-22T00:00:00"/>
    <x v="0"/>
    <n v="2936.654"/>
    <n v="3973.8369999999995"/>
    <x v="2"/>
    <x v="0"/>
    <x v="8"/>
    <n v="4"/>
  </r>
  <r>
    <n v="3"/>
    <d v="2019-09-22T00:00:00"/>
    <x v="3"/>
    <n v="0"/>
    <n v="0"/>
    <x v="2"/>
    <x v="0"/>
    <x v="8"/>
    <n v="4"/>
  </r>
  <r>
    <n v="3"/>
    <d v="2019-09-22T00:00:00"/>
    <x v="1"/>
    <n v="2772.2379999999998"/>
    <n v="2183.8809999999999"/>
    <x v="2"/>
    <x v="0"/>
    <x v="8"/>
    <n v="4"/>
  </r>
  <r>
    <n v="3"/>
    <d v="2019-09-23T00:00:00"/>
    <x v="1"/>
    <n v="2563.8269999999998"/>
    <n v="2665.096"/>
    <x v="2"/>
    <x v="0"/>
    <x v="8"/>
    <n v="5"/>
  </r>
  <r>
    <n v="3"/>
    <d v="2019-09-23T00:00:00"/>
    <x v="2"/>
    <n v="1054.0459999999998"/>
    <n v="1388.6879999999999"/>
    <x v="2"/>
    <x v="0"/>
    <x v="8"/>
    <n v="5"/>
  </r>
  <r>
    <n v="3"/>
    <d v="2019-09-23T00:00:00"/>
    <x v="0"/>
    <n v="2942.1979999999999"/>
    <n v="4407.067"/>
    <x v="2"/>
    <x v="0"/>
    <x v="8"/>
    <n v="5"/>
  </r>
  <r>
    <n v="3"/>
    <d v="2019-09-23T00:00:00"/>
    <x v="3"/>
    <n v="160.85999999999999"/>
    <n v="33.585999999999999"/>
    <x v="2"/>
    <x v="0"/>
    <x v="8"/>
    <n v="5"/>
  </r>
  <r>
    <n v="3"/>
    <d v="2019-09-24T00:00:00"/>
    <x v="2"/>
    <n v="896.27300000000002"/>
    <n v="1655.6609999999998"/>
    <x v="2"/>
    <x v="0"/>
    <x v="8"/>
    <n v="5"/>
  </r>
  <r>
    <n v="3"/>
    <d v="2019-09-24T00:00:00"/>
    <x v="0"/>
    <n v="3491.8309999999997"/>
    <n v="3995.3129999999996"/>
    <x v="2"/>
    <x v="0"/>
    <x v="8"/>
    <n v="5"/>
  </r>
  <r>
    <n v="3"/>
    <d v="2019-09-24T00:00:00"/>
    <x v="1"/>
    <n v="2988.2579999999994"/>
    <n v="2290.3089999999997"/>
    <x v="2"/>
    <x v="0"/>
    <x v="8"/>
    <n v="5"/>
  </r>
  <r>
    <n v="3"/>
    <d v="2019-09-24T00:00:00"/>
    <x v="3"/>
    <n v="522.79499999999996"/>
    <n v="0"/>
    <x v="2"/>
    <x v="0"/>
    <x v="8"/>
    <n v="5"/>
  </r>
  <r>
    <n v="3"/>
    <d v="2019-09-25T00:00:00"/>
    <x v="1"/>
    <n v="2493.9740000000002"/>
    <n v="2735.5719999999997"/>
    <x v="2"/>
    <x v="0"/>
    <x v="8"/>
    <n v="5"/>
  </r>
  <r>
    <n v="3"/>
    <d v="2019-09-25T00:00:00"/>
    <x v="2"/>
    <n v="1106.4129999999998"/>
    <n v="1945.3979999999997"/>
    <x v="2"/>
    <x v="0"/>
    <x v="8"/>
    <n v="5"/>
  </r>
  <r>
    <n v="3"/>
    <d v="2019-09-25T00:00:00"/>
    <x v="0"/>
    <n v="3196.1579999999994"/>
    <n v="4747.2179999999998"/>
    <x v="2"/>
    <x v="0"/>
    <x v="8"/>
    <n v="5"/>
  </r>
  <r>
    <n v="3"/>
    <d v="2019-09-25T00:00:00"/>
    <x v="3"/>
    <n v="358.07799999999997"/>
    <n v="227.95499999999996"/>
    <x v="2"/>
    <x v="0"/>
    <x v="8"/>
    <n v="5"/>
  </r>
  <r>
    <n v="3"/>
    <d v="2019-09-26T00:00:00"/>
    <x v="2"/>
    <n v="1426.11"/>
    <n v="1668.31"/>
    <x v="2"/>
    <x v="0"/>
    <x v="8"/>
    <n v="5"/>
  </r>
  <r>
    <n v="3"/>
    <d v="2019-09-26T00:00:00"/>
    <x v="1"/>
    <n v="2823.2679999999996"/>
    <n v="2930.1019999999994"/>
    <x v="2"/>
    <x v="0"/>
    <x v="8"/>
    <n v="5"/>
  </r>
  <r>
    <n v="3"/>
    <d v="2019-09-26T00:00:00"/>
    <x v="0"/>
    <n v="3489.9969999999998"/>
    <n v="4827.0179999999991"/>
    <x v="2"/>
    <x v="0"/>
    <x v="8"/>
    <n v="5"/>
  </r>
  <r>
    <n v="3"/>
    <d v="2019-09-26T00:00:00"/>
    <x v="3"/>
    <n v="34.880999999999993"/>
    <n v="0"/>
    <x v="2"/>
    <x v="0"/>
    <x v="8"/>
    <n v="5"/>
  </r>
  <r>
    <n v="3"/>
    <d v="2019-09-27T00:00:00"/>
    <x v="0"/>
    <n v="3913.3359999999993"/>
    <n v="6078.1559999999999"/>
    <x v="2"/>
    <x v="0"/>
    <x v="8"/>
    <n v="5"/>
  </r>
  <r>
    <n v="3"/>
    <d v="2019-09-27T00:00:00"/>
    <x v="1"/>
    <n v="3406.0809999999997"/>
    <n v="3577.1329999999994"/>
    <x v="2"/>
    <x v="0"/>
    <x v="8"/>
    <n v="5"/>
  </r>
  <r>
    <n v="3"/>
    <d v="2019-09-27T00:00:00"/>
    <x v="3"/>
    <n v="189.66499999999999"/>
    <n v="295.19699999999995"/>
    <x v="2"/>
    <x v="0"/>
    <x v="8"/>
    <n v="5"/>
  </r>
  <r>
    <n v="3"/>
    <d v="2019-09-27T00:00:00"/>
    <x v="2"/>
    <n v="1868.8879999999999"/>
    <n v="2349.1929999999998"/>
    <x v="2"/>
    <x v="0"/>
    <x v="8"/>
    <n v="5"/>
  </r>
  <r>
    <n v="3"/>
    <d v="2019-09-28T00:00:00"/>
    <x v="1"/>
    <n v="2846.1649999999995"/>
    <n v="3219.4119999999998"/>
    <x v="2"/>
    <x v="0"/>
    <x v="8"/>
    <n v="5"/>
  </r>
  <r>
    <n v="3"/>
    <d v="2019-09-28T00:00:00"/>
    <x v="2"/>
    <n v="1135.4489999999998"/>
    <n v="1677.655"/>
    <x v="2"/>
    <x v="0"/>
    <x v="8"/>
    <n v="5"/>
  </r>
  <r>
    <n v="3"/>
    <d v="2019-09-28T00:00:00"/>
    <x v="0"/>
    <n v="3220.9869999999996"/>
    <n v="5046.6849999999995"/>
    <x v="2"/>
    <x v="0"/>
    <x v="8"/>
    <n v="5"/>
  </r>
  <r>
    <n v="3"/>
    <d v="2019-09-28T00:00:00"/>
    <x v="3"/>
    <n v="169.25299999999999"/>
    <n v="410.08100000000002"/>
    <x v="2"/>
    <x v="0"/>
    <x v="8"/>
    <n v="5"/>
  </r>
  <r>
    <n v="3"/>
    <d v="2019-09-29T00:00:00"/>
    <x v="3"/>
    <n v="39.136999999999993"/>
    <n v="0"/>
    <x v="2"/>
    <x v="0"/>
    <x v="8"/>
    <n v="5"/>
  </r>
  <r>
    <n v="3"/>
    <d v="2019-09-29T00:00:00"/>
    <x v="1"/>
    <n v="2512.2649999999999"/>
    <n v="2691.22"/>
    <x v="2"/>
    <x v="0"/>
    <x v="8"/>
    <n v="5"/>
  </r>
  <r>
    <n v="3"/>
    <d v="2019-09-29T00:00:00"/>
    <x v="2"/>
    <n v="1363.3409999999999"/>
    <n v="1281.5249999999999"/>
    <x v="2"/>
    <x v="0"/>
    <x v="8"/>
    <n v="5"/>
  </r>
  <r>
    <n v="3"/>
    <d v="2019-09-29T00:00:00"/>
    <x v="0"/>
    <n v="2365.1529999999998"/>
    <n v="3899.3919999999998"/>
    <x v="2"/>
    <x v="0"/>
    <x v="8"/>
    <n v="5"/>
  </r>
  <r>
    <n v="3"/>
    <d v="2019-09-30T00:00:00"/>
    <x v="2"/>
    <n v="1170.4069999999999"/>
    <n v="1531.7539999999997"/>
    <x v="2"/>
    <x v="0"/>
    <x v="9"/>
    <n v="1"/>
  </r>
  <r>
    <n v="3"/>
    <d v="2019-09-30T00:00:00"/>
    <x v="3"/>
    <n v="0"/>
    <n v="340.9"/>
    <x v="2"/>
    <x v="0"/>
    <x v="9"/>
    <n v="1"/>
  </r>
  <r>
    <n v="3"/>
    <d v="2019-09-30T00:00:00"/>
    <x v="0"/>
    <n v="2860.4659999999999"/>
    <n v="4397.7219999999998"/>
    <x v="2"/>
    <x v="0"/>
    <x v="9"/>
    <n v="1"/>
  </r>
  <r>
    <n v="3"/>
    <d v="2019-09-30T00:00:00"/>
    <x v="1"/>
    <n v="2726.6469999999999"/>
    <n v="2538.6410000000001"/>
    <x v="2"/>
    <x v="0"/>
    <x v="9"/>
    <n v="1"/>
  </r>
  <r>
    <n v="3"/>
    <d v="2019-10-01T00:00:00"/>
    <x v="2"/>
    <n v="1395.366"/>
    <n v="1300.2849999999999"/>
    <x v="2"/>
    <x v="0"/>
    <x v="9"/>
    <n v="1"/>
  </r>
  <r>
    <n v="3"/>
    <d v="2019-10-01T00:00:00"/>
    <x v="0"/>
    <n v="2990.4629999999997"/>
    <n v="4223.2329999999993"/>
    <x v="2"/>
    <x v="0"/>
    <x v="9"/>
    <n v="1"/>
  </r>
  <r>
    <n v="3"/>
    <d v="2019-10-01T00:00:00"/>
    <x v="1"/>
    <n v="2946.9789999999998"/>
    <n v="2631.4609999999998"/>
    <x v="2"/>
    <x v="0"/>
    <x v="9"/>
    <n v="1"/>
  </r>
  <r>
    <n v="3"/>
    <d v="2019-10-01T00:00:00"/>
    <x v="3"/>
    <n v="0"/>
    <n v="387.09299999999996"/>
    <x v="2"/>
    <x v="0"/>
    <x v="9"/>
    <n v="1"/>
  </r>
  <r>
    <n v="3"/>
    <d v="2019-10-02T00:00:00"/>
    <x v="0"/>
    <n v="3214.288"/>
    <n v="4751.8939999999993"/>
    <x v="2"/>
    <x v="0"/>
    <x v="9"/>
    <n v="1"/>
  </r>
  <r>
    <n v="3"/>
    <d v="2019-10-02T00:00:00"/>
    <x v="2"/>
    <n v="926.83499999999992"/>
    <n v="1684.1579999999999"/>
    <x v="2"/>
    <x v="0"/>
    <x v="9"/>
    <n v="1"/>
  </r>
  <r>
    <n v="3"/>
    <d v="2019-10-02T00:00:00"/>
    <x v="3"/>
    <n v="0"/>
    <n v="123.77399999999999"/>
    <x v="2"/>
    <x v="0"/>
    <x v="9"/>
    <n v="1"/>
  </r>
  <r>
    <n v="3"/>
    <d v="2019-10-02T00:00:00"/>
    <x v="1"/>
    <n v="3050.4459999999995"/>
    <n v="2757.4679999999998"/>
    <x v="2"/>
    <x v="0"/>
    <x v="9"/>
    <n v="1"/>
  </r>
  <r>
    <n v="3"/>
    <d v="2019-10-03T00:00:00"/>
    <x v="0"/>
    <n v="3218.7469999999998"/>
    <n v="4990.6429999999991"/>
    <x v="2"/>
    <x v="0"/>
    <x v="9"/>
    <n v="1"/>
  </r>
  <r>
    <n v="3"/>
    <d v="2019-10-03T00:00:00"/>
    <x v="2"/>
    <n v="1665.027"/>
    <n v="1872.5070000000001"/>
    <x v="2"/>
    <x v="0"/>
    <x v="9"/>
    <n v="1"/>
  </r>
  <r>
    <n v="3"/>
    <d v="2019-10-03T00:00:00"/>
    <x v="3"/>
    <n v="0"/>
    <n v="307.44"/>
    <x v="2"/>
    <x v="0"/>
    <x v="9"/>
    <n v="1"/>
  </r>
  <r>
    <n v="3"/>
    <d v="2019-10-03T00:00:00"/>
    <x v="1"/>
    <n v="3263.9390000000003"/>
    <n v="3421.0959999999995"/>
    <x v="2"/>
    <x v="0"/>
    <x v="9"/>
    <n v="1"/>
  </r>
  <r>
    <n v="3"/>
    <d v="2019-10-04T00:00:00"/>
    <x v="2"/>
    <n v="1919.6589999999999"/>
    <n v="1821.0429999999997"/>
    <x v="2"/>
    <x v="0"/>
    <x v="9"/>
    <n v="1"/>
  </r>
  <r>
    <n v="3"/>
    <d v="2019-10-04T00:00:00"/>
    <x v="0"/>
    <n v="4278.5609999999997"/>
    <n v="5229.4269999999997"/>
    <x v="2"/>
    <x v="0"/>
    <x v="9"/>
    <n v="1"/>
  </r>
  <r>
    <n v="3"/>
    <d v="2019-10-04T00:00:00"/>
    <x v="1"/>
    <n v="2935.3519999999994"/>
    <n v="3428.9850000000001"/>
    <x v="2"/>
    <x v="0"/>
    <x v="9"/>
    <n v="1"/>
  </r>
  <r>
    <n v="3"/>
    <d v="2019-10-04T00:00:00"/>
    <x v="3"/>
    <n v="0"/>
    <n v="444.14299999999997"/>
    <x v="2"/>
    <x v="0"/>
    <x v="9"/>
    <n v="1"/>
  </r>
  <r>
    <n v="3"/>
    <d v="2019-10-05T00:00:00"/>
    <x v="1"/>
    <n v="3478.069"/>
    <n v="3274.145"/>
    <x v="2"/>
    <x v="0"/>
    <x v="9"/>
    <n v="1"/>
  </r>
  <r>
    <n v="3"/>
    <d v="2019-10-05T00:00:00"/>
    <x v="2"/>
    <n v="1346.4079999999999"/>
    <n v="1889.3139999999999"/>
    <x v="2"/>
    <x v="0"/>
    <x v="9"/>
    <n v="1"/>
  </r>
  <r>
    <n v="3"/>
    <d v="2019-10-05T00:00:00"/>
    <x v="0"/>
    <n v="3421.0959999999995"/>
    <n v="5406.9329999999991"/>
    <x v="2"/>
    <x v="0"/>
    <x v="9"/>
    <n v="1"/>
  </r>
  <r>
    <n v="3"/>
    <d v="2019-10-05T00:00:00"/>
    <x v="3"/>
    <n v="0"/>
    <n v="0"/>
    <x v="2"/>
    <x v="0"/>
    <x v="9"/>
    <n v="1"/>
  </r>
  <r>
    <n v="3"/>
    <d v="2019-10-06T00:00:00"/>
    <x v="2"/>
    <n v="1194.0809999999999"/>
    <n v="1175.3559999999998"/>
    <x v="2"/>
    <x v="0"/>
    <x v="9"/>
    <n v="1"/>
  </r>
  <r>
    <n v="3"/>
    <d v="2019-10-06T00:00:00"/>
    <x v="0"/>
    <n v="2881.991"/>
    <n v="4233.8450000000003"/>
    <x v="2"/>
    <x v="0"/>
    <x v="9"/>
    <n v="1"/>
  </r>
  <r>
    <n v="3"/>
    <d v="2019-10-06T00:00:00"/>
    <x v="1"/>
    <n v="2652.4189999999999"/>
    <n v="2774.8419999999996"/>
    <x v="2"/>
    <x v="0"/>
    <x v="9"/>
    <n v="1"/>
  </r>
  <r>
    <n v="3"/>
    <d v="2019-10-06T00:00:00"/>
    <x v="3"/>
    <n v="0"/>
    <n v="183.57499999999999"/>
    <x v="2"/>
    <x v="0"/>
    <x v="9"/>
    <n v="1"/>
  </r>
  <r>
    <n v="3"/>
    <d v="2019-10-07T00:00:00"/>
    <x v="1"/>
    <n v="2625.6369999999997"/>
    <n v="3110.4009999999998"/>
    <x v="2"/>
    <x v="0"/>
    <x v="9"/>
    <n v="2"/>
  </r>
  <r>
    <n v="3"/>
    <d v="2019-10-07T00:00:00"/>
    <x v="2"/>
    <n v="631.36500000000001"/>
    <n v="869.6099999999999"/>
    <x v="2"/>
    <x v="0"/>
    <x v="9"/>
    <n v="2"/>
  </r>
  <r>
    <n v="3"/>
    <d v="2019-10-07T00:00:00"/>
    <x v="0"/>
    <n v="2644.3269999999998"/>
    <n v="4071.3329999999996"/>
    <x v="2"/>
    <x v="0"/>
    <x v="9"/>
    <n v="2"/>
  </r>
  <r>
    <n v="3"/>
    <d v="2019-10-07T00:00:00"/>
    <x v="3"/>
    <n v="0"/>
    <n v="155.946"/>
    <x v="2"/>
    <x v="0"/>
    <x v="9"/>
    <n v="2"/>
  </r>
  <r>
    <n v="3"/>
    <d v="2019-10-08T00:00:00"/>
    <x v="2"/>
    <n v="1153.9989999999998"/>
    <n v="640.58399999999995"/>
    <x v="2"/>
    <x v="0"/>
    <x v="9"/>
    <n v="2"/>
  </r>
  <r>
    <n v="3"/>
    <d v="2019-10-08T00:00:00"/>
    <x v="3"/>
    <n v="0"/>
    <n v="383.166"/>
    <x v="2"/>
    <x v="0"/>
    <x v="9"/>
    <n v="2"/>
  </r>
  <r>
    <n v="3"/>
    <d v="2019-10-08T00:00:00"/>
    <x v="0"/>
    <n v="2701.8879999999999"/>
    <n v="3600.31"/>
    <x v="2"/>
    <x v="0"/>
    <x v="9"/>
    <n v="2"/>
  </r>
  <r>
    <n v="3"/>
    <d v="2019-10-08T00:00:00"/>
    <x v="1"/>
    <n v="3015.3339999999998"/>
    <n v="2828.6929999999998"/>
    <x v="2"/>
    <x v="0"/>
    <x v="9"/>
    <n v="2"/>
  </r>
  <r>
    <n v="3"/>
    <d v="2019-10-09T00:00:00"/>
    <x v="2"/>
    <n v="668.92"/>
    <n v="897.77099999999996"/>
    <x v="2"/>
    <x v="0"/>
    <x v="9"/>
    <n v="2"/>
  </r>
  <r>
    <n v="3"/>
    <d v="2019-10-09T00:00:00"/>
    <x v="0"/>
    <n v="3005.9609999999993"/>
    <n v="3930.4929999999995"/>
    <x v="2"/>
    <x v="0"/>
    <x v="9"/>
    <n v="2"/>
  </r>
  <r>
    <n v="3"/>
    <d v="2019-10-09T00:00:00"/>
    <x v="3"/>
    <n v="0"/>
    <n v="0"/>
    <x v="2"/>
    <x v="0"/>
    <x v="9"/>
    <n v="2"/>
  </r>
  <r>
    <n v="3"/>
    <d v="2019-10-09T00:00:00"/>
    <x v="1"/>
    <n v="2916.7950000000001"/>
    <n v="2935.9189999999999"/>
    <x v="2"/>
    <x v="0"/>
    <x v="9"/>
    <n v="2"/>
  </r>
  <r>
    <n v="3"/>
    <d v="2019-10-10T00:00:00"/>
    <x v="3"/>
    <n v="101.61899999999999"/>
    <n v="249.66200000000001"/>
    <x v="2"/>
    <x v="0"/>
    <x v="9"/>
    <n v="2"/>
  </r>
  <r>
    <n v="3"/>
    <d v="2019-10-10T00:00:00"/>
    <x v="1"/>
    <n v="3345.9019999999996"/>
    <n v="3116.029"/>
    <x v="2"/>
    <x v="0"/>
    <x v="9"/>
    <n v="2"/>
  </r>
  <r>
    <n v="3"/>
    <d v="2019-10-10T00:00:00"/>
    <x v="2"/>
    <n v="1515.6609999999998"/>
    <n v="1178.079"/>
    <x v="2"/>
    <x v="0"/>
    <x v="9"/>
    <n v="2"/>
  </r>
  <r>
    <n v="3"/>
    <d v="2019-10-10T00:00:00"/>
    <x v="0"/>
    <n v="2889.7539999999999"/>
    <n v="3636.2549999999997"/>
    <x v="2"/>
    <x v="0"/>
    <x v="9"/>
    <n v="2"/>
  </r>
  <r>
    <n v="3"/>
    <d v="2019-10-11T00:00:00"/>
    <x v="0"/>
    <n v="3502.366"/>
    <n v="5323.6329999999998"/>
    <x v="2"/>
    <x v="0"/>
    <x v="9"/>
    <n v="2"/>
  </r>
  <r>
    <n v="3"/>
    <d v="2019-10-11T00:00:00"/>
    <x v="1"/>
    <n v="3361.82"/>
    <n v="3482.0659999999998"/>
    <x v="2"/>
    <x v="0"/>
    <x v="9"/>
    <n v="2"/>
  </r>
  <r>
    <n v="3"/>
    <d v="2019-10-11T00:00:00"/>
    <x v="2"/>
    <n v="1614.0529999999999"/>
    <n v="1446.655"/>
    <x v="2"/>
    <x v="0"/>
    <x v="9"/>
    <n v="2"/>
  </r>
  <r>
    <n v="3"/>
    <d v="2019-10-11T00:00:00"/>
    <x v="3"/>
    <n v="46.591999999999999"/>
    <n v="155.946"/>
    <x v="2"/>
    <x v="0"/>
    <x v="9"/>
    <n v="2"/>
  </r>
  <r>
    <n v="3"/>
    <d v="2019-10-12T00:00:00"/>
    <x v="2"/>
    <n v="1627.0940000000001"/>
    <n v="1256.549"/>
    <x v="2"/>
    <x v="0"/>
    <x v="9"/>
    <n v="2"/>
  </r>
  <r>
    <n v="3"/>
    <d v="2019-10-12T00:00:00"/>
    <x v="3"/>
    <n v="222.208"/>
    <n v="0"/>
    <x v="2"/>
    <x v="0"/>
    <x v="9"/>
    <n v="2"/>
  </r>
  <r>
    <n v="3"/>
    <d v="2019-10-12T00:00:00"/>
    <x v="0"/>
    <n v="3952.9839999999995"/>
    <n v="4548.8450000000003"/>
    <x v="2"/>
    <x v="0"/>
    <x v="9"/>
    <n v="2"/>
  </r>
  <r>
    <n v="3"/>
    <d v="2019-10-12T00:00:00"/>
    <x v="1"/>
    <n v="3112.3119999999999"/>
    <n v="3523.2890000000002"/>
    <x v="2"/>
    <x v="0"/>
    <x v="9"/>
    <n v="2"/>
  </r>
  <r>
    <n v="3"/>
    <d v="2019-10-13T00:00:00"/>
    <x v="2"/>
    <n v="1111.04"/>
    <n v="686.14699999999993"/>
    <x v="2"/>
    <x v="0"/>
    <x v="9"/>
    <n v="2"/>
  </r>
  <r>
    <n v="3"/>
    <d v="2019-10-13T00:00:00"/>
    <x v="0"/>
    <n v="2243.0029999999997"/>
    <n v="2865.9960000000001"/>
    <x v="2"/>
    <x v="0"/>
    <x v="9"/>
    <n v="2"/>
  </r>
  <r>
    <n v="3"/>
    <d v="2019-10-13T00:00:00"/>
    <x v="3"/>
    <n v="0"/>
    <n v="166.096"/>
    <x v="2"/>
    <x v="0"/>
    <x v="9"/>
    <n v="2"/>
  </r>
  <r>
    <n v="3"/>
    <d v="2019-10-13T00:00:00"/>
    <x v="1"/>
    <n v="2412.732"/>
    <n v="2442.8809999999999"/>
    <x v="2"/>
    <x v="0"/>
    <x v="9"/>
    <n v="2"/>
  </r>
  <r>
    <n v="3"/>
    <d v="2019-10-14T00:00:00"/>
    <x v="3"/>
    <n v="0"/>
    <n v="171.297"/>
    <x v="2"/>
    <x v="0"/>
    <x v="9"/>
    <n v="3"/>
  </r>
  <r>
    <n v="3"/>
    <d v="2019-10-14T00:00:00"/>
    <x v="1"/>
    <n v="2947.2309999999998"/>
    <n v="3014.3329999999996"/>
    <x v="2"/>
    <x v="0"/>
    <x v="9"/>
    <n v="3"/>
  </r>
  <r>
    <n v="3"/>
    <d v="2019-10-14T00:00:00"/>
    <x v="2"/>
    <n v="1292.55"/>
    <n v="1109.5139999999999"/>
    <x v="2"/>
    <x v="0"/>
    <x v="9"/>
    <n v="3"/>
  </r>
  <r>
    <n v="3"/>
    <d v="2019-10-14T00:00:00"/>
    <x v="0"/>
    <n v="2888.578"/>
    <n v="3687.201"/>
    <x v="2"/>
    <x v="0"/>
    <x v="9"/>
    <n v="3"/>
  </r>
  <r>
    <n v="3"/>
    <d v="2019-10-15T00:00:00"/>
    <x v="2"/>
    <n v="711.91399999999999"/>
    <n v="1020.9639999999999"/>
    <x v="2"/>
    <x v="0"/>
    <x v="9"/>
    <n v="3"/>
  </r>
  <r>
    <n v="3"/>
    <d v="2019-10-15T00:00:00"/>
    <x v="0"/>
    <n v="2927.442"/>
    <n v="3645.0119999999997"/>
    <x v="2"/>
    <x v="0"/>
    <x v="9"/>
    <n v="3"/>
  </r>
  <r>
    <n v="3"/>
    <d v="2019-10-15T00:00:00"/>
    <x v="3"/>
    <n v="0"/>
    <n v="0"/>
    <x v="2"/>
    <x v="0"/>
    <x v="9"/>
    <n v="3"/>
  </r>
  <r>
    <n v="3"/>
    <d v="2019-10-15T00:00:00"/>
    <x v="1"/>
    <n v="2804.5219999999999"/>
    <n v="3107.692"/>
    <x v="2"/>
    <x v="0"/>
    <x v="9"/>
    <n v="3"/>
  </r>
  <r>
    <n v="3"/>
    <d v="2019-10-16T00:00:00"/>
    <x v="0"/>
    <n v="2856.6019999999999"/>
    <n v="4088.21"/>
    <x v="2"/>
    <x v="0"/>
    <x v="9"/>
    <n v="3"/>
  </r>
  <r>
    <n v="3"/>
    <d v="2019-10-16T00:00:00"/>
    <x v="3"/>
    <n v="0"/>
    <n v="123.77399999999999"/>
    <x v="2"/>
    <x v="0"/>
    <x v="9"/>
    <n v="3"/>
  </r>
  <r>
    <n v="3"/>
    <d v="2019-10-16T00:00:00"/>
    <x v="1"/>
    <n v="3027.5209999999997"/>
    <n v="3245.0809999999997"/>
    <x v="2"/>
    <x v="0"/>
    <x v="9"/>
    <n v="3"/>
  </r>
  <r>
    <n v="3"/>
    <d v="2019-10-16T00:00:00"/>
    <x v="2"/>
    <n v="1013.9639999999999"/>
    <n v="1451.1210000000001"/>
    <x v="2"/>
    <x v="0"/>
    <x v="9"/>
    <n v="3"/>
  </r>
  <r>
    <n v="3"/>
    <d v="2019-10-17T00:00:00"/>
    <x v="2"/>
    <n v="1629.8589999999999"/>
    <n v="1265.9639999999999"/>
    <x v="2"/>
    <x v="0"/>
    <x v="9"/>
    <n v="3"/>
  </r>
  <r>
    <n v="3"/>
    <d v="2019-10-17T00:00:00"/>
    <x v="0"/>
    <n v="2851.5129999999999"/>
    <n v="4609.9759999999997"/>
    <x v="2"/>
    <x v="0"/>
    <x v="9"/>
    <n v="3"/>
  </r>
  <r>
    <n v="3"/>
    <d v="2019-10-17T00:00:00"/>
    <x v="3"/>
    <n v="107.072"/>
    <n v="257.005"/>
    <x v="2"/>
    <x v="0"/>
    <x v="9"/>
    <n v="3"/>
  </r>
  <r>
    <n v="3"/>
    <d v="2019-10-17T00:00:00"/>
    <x v="1"/>
    <n v="3218.3130000000001"/>
    <n v="3379.81"/>
    <x v="2"/>
    <x v="0"/>
    <x v="9"/>
    <n v="3"/>
  </r>
  <r>
    <n v="3"/>
    <d v="2019-10-18T00:00:00"/>
    <x v="2"/>
    <n v="1660.3719999999998"/>
    <n v="1190.2169999999999"/>
    <x v="2"/>
    <x v="0"/>
    <x v="9"/>
    <n v="3"/>
  </r>
  <r>
    <n v="3"/>
    <d v="2019-10-18T00:00:00"/>
    <x v="0"/>
    <n v="3414.2709999999997"/>
    <n v="3883.1309999999999"/>
    <x v="2"/>
    <x v="0"/>
    <x v="9"/>
    <n v="3"/>
  </r>
  <r>
    <n v="3"/>
    <d v="2019-10-18T00:00:00"/>
    <x v="3"/>
    <n v="0"/>
    <n v="0"/>
    <x v="2"/>
    <x v="0"/>
    <x v="9"/>
    <n v="3"/>
  </r>
  <r>
    <n v="3"/>
    <d v="2019-10-18T00:00:00"/>
    <x v="1"/>
    <n v="2955.4559999999997"/>
    <n v="3368.8339999999998"/>
    <x v="2"/>
    <x v="0"/>
    <x v="9"/>
    <n v="3"/>
  </r>
  <r>
    <n v="3"/>
    <d v="2019-10-19T00:00:00"/>
    <x v="0"/>
    <n v="2366.2729999999997"/>
    <n v="3768.9749999999999"/>
    <x v="2"/>
    <x v="0"/>
    <x v="9"/>
    <n v="3"/>
  </r>
  <r>
    <n v="3"/>
    <d v="2019-10-19T00:00:00"/>
    <x v="3"/>
    <n v="0"/>
    <n v="0"/>
    <x v="2"/>
    <x v="0"/>
    <x v="9"/>
    <n v="3"/>
  </r>
  <r>
    <n v="3"/>
    <d v="2019-10-19T00:00:00"/>
    <x v="1"/>
    <n v="3088.2599999999998"/>
    <n v="3261.489"/>
    <x v="2"/>
    <x v="0"/>
    <x v="9"/>
    <n v="3"/>
  </r>
  <r>
    <n v="3"/>
    <d v="2019-10-19T00:00:00"/>
    <x v="2"/>
    <n v="1254.5260000000001"/>
    <n v="985.404"/>
    <x v="2"/>
    <x v="0"/>
    <x v="9"/>
    <n v="3"/>
  </r>
  <r>
    <n v="3"/>
    <d v="2019-10-20T00:00:00"/>
    <x v="2"/>
    <n v="1489.0539999999999"/>
    <n v="3277.5889999999999"/>
    <x v="2"/>
    <x v="0"/>
    <x v="9"/>
    <n v="3"/>
  </r>
  <r>
    <n v="3"/>
    <d v="2019-10-20T00:00:00"/>
    <x v="0"/>
    <n v="2466.0509999999999"/>
    <n v="623.71399999999994"/>
    <x v="2"/>
    <x v="0"/>
    <x v="9"/>
    <n v="3"/>
  </r>
  <r>
    <n v="3"/>
    <d v="2019-10-20T00:00:00"/>
    <x v="3"/>
    <n v="0"/>
    <n v="0"/>
    <x v="2"/>
    <x v="0"/>
    <x v="9"/>
    <n v="3"/>
  </r>
  <r>
    <n v="3"/>
    <d v="2019-10-20T00:00:00"/>
    <x v="1"/>
    <n v="2527.8049999999998"/>
    <n v="2625.63"/>
    <x v="2"/>
    <x v="0"/>
    <x v="9"/>
    <n v="3"/>
  </r>
  <r>
    <n v="3"/>
    <d v="2019-10-21T00:00:00"/>
    <x v="2"/>
    <n v="1019.2839999999999"/>
    <n v="998.36799999999994"/>
    <x v="2"/>
    <x v="0"/>
    <x v="9"/>
    <n v="4"/>
  </r>
  <r>
    <n v="3"/>
    <d v="2019-10-21T00:00:00"/>
    <x v="3"/>
    <n v="0"/>
    <n v="0"/>
    <x v="2"/>
    <x v="0"/>
    <x v="9"/>
    <n v="4"/>
  </r>
  <r>
    <n v="3"/>
    <d v="2019-10-21T00:00:00"/>
    <x v="0"/>
    <n v="2852.6539999999995"/>
    <n v="3459.4489999999996"/>
    <x v="2"/>
    <x v="0"/>
    <x v="9"/>
    <n v="4"/>
  </r>
  <r>
    <n v="3"/>
    <d v="2019-10-21T00:00:00"/>
    <x v="1"/>
    <n v="2595.7469999999998"/>
    <n v="3268.5729999999999"/>
    <x v="2"/>
    <x v="0"/>
    <x v="9"/>
    <n v="4"/>
  </r>
  <r>
    <n v="3"/>
    <d v="2019-10-22T00:00:00"/>
    <x v="2"/>
    <n v="938.80499999999995"/>
    <n v="809.81600000000003"/>
    <x v="2"/>
    <x v="0"/>
    <x v="9"/>
    <n v="4"/>
  </r>
  <r>
    <n v="3"/>
    <d v="2019-10-22T00:00:00"/>
    <x v="0"/>
    <n v="2914.5619999999999"/>
    <n v="3681.7829999999994"/>
    <x v="2"/>
    <x v="0"/>
    <x v="9"/>
    <n v="4"/>
  </r>
  <r>
    <n v="3"/>
    <d v="2019-10-22T00:00:00"/>
    <x v="1"/>
    <n v="2967.9299999999994"/>
    <n v="3088.701"/>
    <x v="2"/>
    <x v="0"/>
    <x v="9"/>
    <n v="4"/>
  </r>
  <r>
    <n v="3"/>
    <d v="2019-10-22T00:00:00"/>
    <x v="3"/>
    <n v="0"/>
    <n v="267.49799999999999"/>
    <x v="2"/>
    <x v="0"/>
    <x v="9"/>
    <n v="4"/>
  </r>
  <r>
    <n v="3"/>
    <d v="2019-10-23T00:00:00"/>
    <x v="0"/>
    <n v="3270.6659999999997"/>
    <n v="3444.6299999999997"/>
    <x v="2"/>
    <x v="0"/>
    <x v="9"/>
    <n v="4"/>
  </r>
  <r>
    <n v="3"/>
    <d v="2019-10-23T00:00:00"/>
    <x v="1"/>
    <n v="2972.732"/>
    <n v="2899.6869999999999"/>
    <x v="2"/>
    <x v="0"/>
    <x v="9"/>
    <n v="4"/>
  </r>
  <r>
    <n v="3"/>
    <d v="2019-10-23T00:00:00"/>
    <x v="3"/>
    <n v="289.54799999999994"/>
    <n v="0"/>
    <x v="2"/>
    <x v="0"/>
    <x v="9"/>
    <n v="4"/>
  </r>
  <r>
    <n v="3"/>
    <d v="2019-10-23T00:00:00"/>
    <x v="2"/>
    <n v="1246.308"/>
    <n v="985.173"/>
    <x v="2"/>
    <x v="0"/>
    <x v="9"/>
    <n v="4"/>
  </r>
  <r>
    <n v="3"/>
    <d v="2019-10-24T00:00:00"/>
    <x v="2"/>
    <n v="1403.6120000000001"/>
    <n v="1178.7159999999999"/>
    <x v="2"/>
    <x v="0"/>
    <x v="9"/>
    <n v="4"/>
  </r>
  <r>
    <n v="3"/>
    <d v="2019-10-24T00:00:00"/>
    <x v="3"/>
    <n v="0"/>
    <n v="221.36099999999999"/>
    <x v="2"/>
    <x v="0"/>
    <x v="9"/>
    <n v="4"/>
  </r>
  <r>
    <n v="3"/>
    <d v="2019-10-24T00:00:00"/>
    <x v="1"/>
    <n v="3466.3299999999995"/>
    <n v="3387.4399999999996"/>
    <x v="2"/>
    <x v="0"/>
    <x v="9"/>
    <n v="4"/>
  </r>
  <r>
    <n v="3"/>
    <d v="2019-10-24T00:00:00"/>
    <x v="0"/>
    <n v="2820.538"/>
    <n v="3810.576"/>
    <x v="2"/>
    <x v="0"/>
    <x v="9"/>
    <n v="4"/>
  </r>
  <r>
    <n v="3"/>
    <d v="2019-10-25T00:00:00"/>
    <x v="3"/>
    <n v="366.21899999999994"/>
    <n v="0"/>
    <x v="2"/>
    <x v="0"/>
    <x v="9"/>
    <n v="4"/>
  </r>
  <r>
    <n v="3"/>
    <d v="2019-10-25T00:00:00"/>
    <x v="0"/>
    <n v="3514.8539999999998"/>
    <n v="4555.235999999999"/>
    <x v="2"/>
    <x v="0"/>
    <x v="9"/>
    <n v="4"/>
  </r>
  <r>
    <n v="3"/>
    <d v="2019-10-25T00:00:00"/>
    <x v="2"/>
    <n v="1646.6029999999998"/>
    <n v="1295.9169999999999"/>
    <x v="2"/>
    <x v="0"/>
    <x v="9"/>
    <n v="4"/>
  </r>
  <r>
    <n v="3"/>
    <d v="2019-10-25T00:00:00"/>
    <x v="1"/>
    <n v="3237.8079999999995"/>
    <n v="3388.0559999999996"/>
    <x v="2"/>
    <x v="0"/>
    <x v="9"/>
    <n v="4"/>
  </r>
  <r>
    <n v="3"/>
    <d v="2019-10-26T00:00:00"/>
    <x v="0"/>
    <n v="3684.7859999999996"/>
    <n v="3380.4959999999996"/>
    <x v="2"/>
    <x v="0"/>
    <x v="9"/>
    <n v="4"/>
  </r>
  <r>
    <n v="3"/>
    <d v="2019-10-26T00:00:00"/>
    <x v="1"/>
    <n v="3437.2869999999998"/>
    <n v="3553.9279999999999"/>
    <x v="2"/>
    <x v="0"/>
    <x v="9"/>
    <n v="4"/>
  </r>
  <r>
    <n v="3"/>
    <d v="2019-10-26T00:00:00"/>
    <x v="3"/>
    <n v="254.31"/>
    <n v="0"/>
    <x v="2"/>
    <x v="0"/>
    <x v="9"/>
    <n v="4"/>
  </r>
  <r>
    <n v="3"/>
    <d v="2019-10-26T00:00:00"/>
    <x v="2"/>
    <n v="1606.9549999999999"/>
    <n v="1713.8729999999998"/>
    <x v="2"/>
    <x v="0"/>
    <x v="9"/>
    <n v="4"/>
  </r>
  <r>
    <n v="3"/>
    <d v="2019-10-27T00:00:00"/>
    <x v="2"/>
    <n v="1629.0889999999999"/>
    <n v="799.32299999999998"/>
    <x v="2"/>
    <x v="0"/>
    <x v="9"/>
    <n v="4"/>
  </r>
  <r>
    <n v="3"/>
    <d v="2019-10-27T00:00:00"/>
    <x v="3"/>
    <n v="281.86899999999997"/>
    <n v="0"/>
    <x v="2"/>
    <x v="0"/>
    <x v="9"/>
    <n v="4"/>
  </r>
  <r>
    <n v="3"/>
    <d v="2019-10-27T00:00:00"/>
    <x v="0"/>
    <n v="1964.8789999999997"/>
    <n v="3014.585"/>
    <x v="2"/>
    <x v="0"/>
    <x v="9"/>
    <n v="4"/>
  </r>
  <r>
    <n v="3"/>
    <d v="2019-10-27T00:00:00"/>
    <x v="1"/>
    <n v="2378.8869999999997"/>
    <n v="2657.2559999999999"/>
    <x v="2"/>
    <x v="0"/>
    <x v="9"/>
    <n v="4"/>
  </r>
  <r>
    <n v="3"/>
    <d v="2019-10-28T00:00:00"/>
    <x v="2"/>
    <n v="1064"/>
    <n v="817.31299999999987"/>
    <x v="2"/>
    <x v="0"/>
    <x v="10"/>
    <n v="1"/>
  </r>
  <r>
    <n v="3"/>
    <d v="2019-10-28T00:00:00"/>
    <x v="3"/>
    <n v="0"/>
    <n v="10.493"/>
    <x v="2"/>
    <x v="0"/>
    <x v="10"/>
    <n v="1"/>
  </r>
  <r>
    <n v="3"/>
    <d v="2019-10-28T00:00:00"/>
    <x v="1"/>
    <n v="2524.0249999999996"/>
    <n v="2842.6579999999999"/>
    <x v="2"/>
    <x v="0"/>
    <x v="10"/>
    <n v="1"/>
  </r>
  <r>
    <n v="3"/>
    <d v="2019-10-28T00:00:00"/>
    <x v="0"/>
    <n v="2719.6959999999999"/>
    <n v="3291.5609999999997"/>
    <x v="2"/>
    <x v="0"/>
    <x v="10"/>
    <n v="1"/>
  </r>
  <r>
    <n v="3"/>
    <d v="2019-10-29T00:00:00"/>
    <x v="2"/>
    <n v="1058.4279999999999"/>
    <n v="835.779"/>
    <x v="2"/>
    <x v="0"/>
    <x v="10"/>
    <n v="1"/>
  </r>
  <r>
    <n v="3"/>
    <d v="2019-10-29T00:00:00"/>
    <x v="3"/>
    <n v="289.54799999999994"/>
    <n v="3.4929999999999999"/>
    <x v="2"/>
    <x v="0"/>
    <x v="10"/>
    <n v="1"/>
  </r>
  <r>
    <n v="3"/>
    <d v="2019-10-29T00:00:00"/>
    <x v="0"/>
    <n v="2845.64"/>
    <n v="3076.1779999999999"/>
    <x v="2"/>
    <x v="0"/>
    <x v="10"/>
    <n v="1"/>
  </r>
  <r>
    <n v="3"/>
    <d v="2019-10-29T00:00:00"/>
    <x v="1"/>
    <n v="2993.942"/>
    <n v="3179.2179999999998"/>
    <x v="2"/>
    <x v="0"/>
    <x v="10"/>
    <n v="1"/>
  </r>
  <r>
    <n v="3"/>
    <d v="2019-10-30T00:00:00"/>
    <x v="0"/>
    <n v="2358.8039999999996"/>
    <n v="2937.732"/>
    <x v="2"/>
    <x v="0"/>
    <x v="10"/>
    <n v="1"/>
  </r>
  <r>
    <n v="3"/>
    <d v="2019-10-30T00:00:00"/>
    <x v="1"/>
    <n v="2688.308"/>
    <n v="2929.4929999999995"/>
    <x v="2"/>
    <x v="0"/>
    <x v="10"/>
    <n v="1"/>
  </r>
  <r>
    <n v="3"/>
    <d v="2019-10-30T00:00:00"/>
    <x v="2"/>
    <n v="1341.5219999999999"/>
    <n v="737.61099999999999"/>
    <x v="2"/>
    <x v="0"/>
    <x v="10"/>
    <n v="1"/>
  </r>
  <r>
    <n v="3"/>
    <d v="2019-10-30T00:00:00"/>
    <x v="3"/>
    <n v="241.28999999999996"/>
    <n v="206.99699999999999"/>
    <x v="2"/>
    <x v="0"/>
    <x v="10"/>
    <n v="1"/>
  </r>
  <r>
    <n v="3"/>
    <d v="2019-10-31T00:00:00"/>
    <x v="3"/>
    <n v="242.27699999999999"/>
    <n v="0"/>
    <x v="2"/>
    <x v="0"/>
    <x v="10"/>
    <n v="1"/>
  </r>
  <r>
    <n v="3"/>
    <d v="2019-10-31T00:00:00"/>
    <x v="2"/>
    <n v="1588.1109999999999"/>
    <n v="1010.394"/>
    <x v="2"/>
    <x v="0"/>
    <x v="10"/>
    <n v="1"/>
  </r>
  <r>
    <n v="3"/>
    <d v="2019-10-31T00:00:00"/>
    <x v="0"/>
    <n v="2917.6489999999994"/>
    <n v="3075.1420000000003"/>
    <x v="2"/>
    <x v="0"/>
    <x v="10"/>
    <n v="1"/>
  </r>
  <r>
    <n v="3"/>
    <d v="2019-10-31T00:00:00"/>
    <x v="1"/>
    <n v="2730.9309999999996"/>
    <n v="3776.9829999999993"/>
    <x v="2"/>
    <x v="0"/>
    <x v="10"/>
    <n v="1"/>
  </r>
  <r>
    <n v="3"/>
    <d v="2019-11-01T00:00:00"/>
    <x v="2"/>
    <n v="1749.069"/>
    <n v="1633.4009999999998"/>
    <x v="2"/>
    <x v="0"/>
    <x v="10"/>
    <n v="1"/>
  </r>
  <r>
    <n v="3"/>
    <d v="2019-11-01T00:00:00"/>
    <x v="0"/>
    <n v="3688.3769999999995"/>
    <n v="4159.8059999999996"/>
    <x v="2"/>
    <x v="0"/>
    <x v="10"/>
    <n v="1"/>
  </r>
  <r>
    <n v="3"/>
    <d v="2019-11-01T00:00:00"/>
    <x v="3"/>
    <n v="0"/>
    <n v="159.005"/>
    <x v="2"/>
    <x v="0"/>
    <x v="10"/>
    <n v="1"/>
  </r>
  <r>
    <n v="3"/>
    <d v="2019-11-01T00:00:00"/>
    <x v="1"/>
    <n v="3115.1959999999995"/>
    <n v="3810.6739999999995"/>
    <x v="2"/>
    <x v="0"/>
    <x v="10"/>
    <n v="1"/>
  </r>
  <r>
    <n v="3"/>
    <d v="2019-11-02T00:00:00"/>
    <x v="2"/>
    <n v="1771.4619999999998"/>
    <n v="1103.221"/>
    <x v="2"/>
    <x v="0"/>
    <x v="10"/>
    <n v="1"/>
  </r>
  <r>
    <n v="3"/>
    <d v="2019-11-02T00:00:00"/>
    <x v="1"/>
    <n v="2987.9149999999995"/>
    <n v="3535.6790000000001"/>
    <x v="2"/>
    <x v="0"/>
    <x v="10"/>
    <n v="1"/>
  </r>
  <r>
    <n v="3"/>
    <d v="2019-11-02T00:00:00"/>
    <x v="0"/>
    <n v="2964.7589999999996"/>
    <n v="4246.5429999999997"/>
    <x v="2"/>
    <x v="0"/>
    <x v="10"/>
    <n v="1"/>
  </r>
  <r>
    <n v="3"/>
    <d v="2019-11-02T00:00:00"/>
    <x v="3"/>
    <n v="161.553"/>
    <n v="357.00699999999995"/>
    <x v="2"/>
    <x v="0"/>
    <x v="10"/>
    <n v="1"/>
  </r>
  <r>
    <n v="3"/>
    <d v="2019-11-03T00:00:00"/>
    <x v="0"/>
    <n v="2227.239"/>
    <n v="2109.625"/>
    <x v="2"/>
    <x v="0"/>
    <x v="10"/>
    <n v="1"/>
  </r>
  <r>
    <n v="3"/>
    <d v="2019-11-03T00:00:00"/>
    <x v="2"/>
    <n v="1255.9749999999999"/>
    <n v="770.53199999999993"/>
    <x v="2"/>
    <x v="0"/>
    <x v="10"/>
    <n v="1"/>
  </r>
  <r>
    <n v="3"/>
    <d v="2019-11-03T00:00:00"/>
    <x v="1"/>
    <n v="2654.9949999999999"/>
    <n v="2811.2069999999999"/>
    <x v="2"/>
    <x v="0"/>
    <x v="10"/>
    <n v="1"/>
  </r>
  <r>
    <n v="3"/>
    <d v="2019-11-03T00:00:00"/>
    <x v="3"/>
    <n v="0"/>
    <n v="15.714999999999998"/>
    <x v="2"/>
    <x v="0"/>
    <x v="10"/>
    <n v="1"/>
  </r>
  <r>
    <n v="3"/>
    <d v="2019-11-04T00:00:00"/>
    <x v="0"/>
    <n v="2335.0039999999999"/>
    <n v="3258.0659999999998"/>
    <x v="2"/>
    <x v="0"/>
    <x v="10"/>
    <n v="2"/>
  </r>
  <r>
    <n v="3"/>
    <d v="2019-11-04T00:00:00"/>
    <x v="3"/>
    <n v="18.809000000000001"/>
    <n v="81.794999999999987"/>
    <x v="2"/>
    <x v="0"/>
    <x v="10"/>
    <n v="2"/>
  </r>
  <r>
    <n v="3"/>
    <d v="2019-11-04T00:00:00"/>
    <x v="2"/>
    <n v="1098.9579999999999"/>
    <n v="1172.7239999999999"/>
    <x v="2"/>
    <x v="0"/>
    <x v="10"/>
    <n v="2"/>
  </r>
  <r>
    <n v="3"/>
    <d v="2019-11-04T00:00:00"/>
    <x v="1"/>
    <n v="2675.491"/>
    <n v="3302.614"/>
    <x v="2"/>
    <x v="0"/>
    <x v="10"/>
    <n v="2"/>
  </r>
  <r>
    <n v="3"/>
    <d v="2019-11-05T00:00:00"/>
    <x v="0"/>
    <n v="2866.6259999999997"/>
    <n v="3097.6819999999998"/>
    <x v="2"/>
    <x v="0"/>
    <x v="10"/>
    <n v="2"/>
  </r>
  <r>
    <n v="3"/>
    <d v="2019-11-05T00:00:00"/>
    <x v="2"/>
    <n v="1121.701"/>
    <n v="889.94499999999994"/>
    <x v="2"/>
    <x v="0"/>
    <x v="10"/>
    <n v="2"/>
  </r>
  <r>
    <n v="3"/>
    <d v="2019-11-05T00:00:00"/>
    <x v="1"/>
    <n v="2899.1410000000001"/>
    <n v="3196.2489999999998"/>
    <x v="2"/>
    <x v="0"/>
    <x v="10"/>
    <n v="2"/>
  </r>
  <r>
    <n v="3"/>
    <d v="2019-11-05T00:00:00"/>
    <x v="3"/>
    <n v="106.72199999999999"/>
    <n v="114.30299999999998"/>
    <x v="2"/>
    <x v="0"/>
    <x v="10"/>
    <n v="2"/>
  </r>
  <r>
    <n v="3"/>
    <d v="2019-11-06T00:00:00"/>
    <x v="2"/>
    <n v="1240.3999999999999"/>
    <n v="961.66699999999992"/>
    <x v="2"/>
    <x v="0"/>
    <x v="10"/>
    <n v="2"/>
  </r>
  <r>
    <n v="3"/>
    <d v="2019-11-06T00:00:00"/>
    <x v="0"/>
    <n v="2991.2190000000001"/>
    <n v="3351.5719999999997"/>
    <x v="2"/>
    <x v="0"/>
    <x v="10"/>
    <n v="2"/>
  </r>
  <r>
    <n v="3"/>
    <d v="2019-11-06T00:00:00"/>
    <x v="1"/>
    <n v="2725.4359999999997"/>
    <n v="2908.1709999999998"/>
    <x v="2"/>
    <x v="0"/>
    <x v="10"/>
    <n v="2"/>
  </r>
  <r>
    <n v="3"/>
    <d v="2019-11-06T00:00:00"/>
    <x v="3"/>
    <n v="0"/>
    <n v="198.261"/>
    <x v="2"/>
    <x v="0"/>
    <x v="10"/>
    <n v="2"/>
  </r>
  <r>
    <n v="3"/>
    <d v="2019-11-07T00:00:00"/>
    <x v="1"/>
    <n v="2906.6170000000002"/>
    <n v="3739.442"/>
    <x v="2"/>
    <x v="0"/>
    <x v="10"/>
    <n v="2"/>
  </r>
  <r>
    <n v="3"/>
    <d v="2019-11-07T00:00:00"/>
    <x v="2"/>
    <n v="1104.04"/>
    <n v="844.30500000000006"/>
    <x v="2"/>
    <x v="0"/>
    <x v="10"/>
    <n v="2"/>
  </r>
  <r>
    <n v="3"/>
    <d v="2019-11-07T00:00:00"/>
    <x v="0"/>
    <n v="3134.7890000000002"/>
    <n v="4184.3829999999998"/>
    <x v="2"/>
    <x v="0"/>
    <x v="10"/>
    <n v="2"/>
  </r>
  <r>
    <n v="3"/>
    <d v="2019-11-07T00:00:00"/>
    <x v="3"/>
    <n v="240.66"/>
    <n v="168.88900000000001"/>
    <x v="2"/>
    <x v="0"/>
    <x v="10"/>
    <n v="2"/>
  </r>
  <r>
    <n v="3"/>
    <d v="2019-11-08T00:00:00"/>
    <x v="2"/>
    <n v="1417.5"/>
    <n v="1002.0779999999999"/>
    <x v="2"/>
    <x v="0"/>
    <x v="10"/>
    <n v="2"/>
  </r>
  <r>
    <n v="3"/>
    <d v="2019-11-08T00:00:00"/>
    <x v="0"/>
    <n v="3714.1719999999996"/>
    <n v="4509.5540000000001"/>
    <x v="2"/>
    <x v="0"/>
    <x v="10"/>
    <n v="2"/>
  </r>
  <r>
    <n v="3"/>
    <d v="2019-11-08T00:00:00"/>
    <x v="3"/>
    <n v="0"/>
    <n v="0"/>
    <x v="2"/>
    <x v="0"/>
    <x v="10"/>
    <n v="2"/>
  </r>
  <r>
    <n v="3"/>
    <d v="2019-11-08T00:00:00"/>
    <x v="1"/>
    <n v="3051.0619999999999"/>
    <n v="3548.1039999999998"/>
    <x v="2"/>
    <x v="0"/>
    <x v="10"/>
    <n v="2"/>
  </r>
  <r>
    <n v="3"/>
    <d v="2019-11-09T00:00:00"/>
    <x v="0"/>
    <n v="3695.0899999999997"/>
    <n v="4482.5969999999998"/>
    <x v="2"/>
    <x v="0"/>
    <x v="10"/>
    <n v="2"/>
  </r>
  <r>
    <n v="3"/>
    <d v="2019-11-09T00:00:00"/>
    <x v="3"/>
    <n v="0"/>
    <n v="247.12799999999999"/>
    <x v="2"/>
    <x v="0"/>
    <x v="10"/>
    <n v="2"/>
  </r>
  <r>
    <n v="3"/>
    <d v="2019-11-09T00:00:00"/>
    <x v="2"/>
    <n v="1079.0359999999998"/>
    <n v="839.46799999999996"/>
    <x v="2"/>
    <x v="0"/>
    <x v="10"/>
    <n v="2"/>
  </r>
  <r>
    <n v="3"/>
    <d v="2019-11-09T00:00:00"/>
    <x v="1"/>
    <n v="3233.2859999999996"/>
    <n v="3883.3549999999996"/>
    <x v="2"/>
    <x v="0"/>
    <x v="10"/>
    <n v="2"/>
  </r>
  <r>
    <n v="3"/>
    <d v="2019-11-10T00:00:00"/>
    <x v="0"/>
    <n v="2621.7589999999996"/>
    <n v="2698.1289999999999"/>
    <x v="2"/>
    <x v="0"/>
    <x v="10"/>
    <n v="2"/>
  </r>
  <r>
    <n v="3"/>
    <d v="2019-11-10T00:00:00"/>
    <x v="3"/>
    <n v="0"/>
    <n v="0"/>
    <x v="2"/>
    <x v="0"/>
    <x v="10"/>
    <n v="2"/>
  </r>
  <r>
    <n v="3"/>
    <d v="2019-11-10T00:00:00"/>
    <x v="2"/>
    <n v="1151.6889999999999"/>
    <n v="872.6339999999999"/>
    <x v="2"/>
    <x v="0"/>
    <x v="10"/>
    <n v="2"/>
  </r>
  <r>
    <n v="3"/>
    <d v="2019-11-10T00:00:00"/>
    <x v="1"/>
    <n v="2678.4169999999999"/>
    <n v="2661.2039999999997"/>
    <x v="2"/>
    <x v="0"/>
    <x v="10"/>
    <n v="2"/>
  </r>
  <r>
    <n v="3"/>
    <d v="2019-11-11T00:00:00"/>
    <x v="2"/>
    <n v="1655.1289999999997"/>
    <n v="891.17699999999991"/>
    <x v="2"/>
    <x v="0"/>
    <x v="10"/>
    <n v="3"/>
  </r>
  <r>
    <n v="3"/>
    <d v="2019-11-11T00:00:00"/>
    <x v="0"/>
    <n v="2870.2449999999999"/>
    <n v="3117.4079999999994"/>
    <x v="2"/>
    <x v="0"/>
    <x v="10"/>
    <n v="3"/>
  </r>
  <r>
    <n v="3"/>
    <d v="2019-11-11T00:00:00"/>
    <x v="1"/>
    <n v="2563.0919999999996"/>
    <n v="3000.1369999999997"/>
    <x v="2"/>
    <x v="0"/>
    <x v="10"/>
    <n v="3"/>
  </r>
  <r>
    <n v="3"/>
    <d v="2019-11-11T00:00:00"/>
    <x v="3"/>
    <n v="0"/>
    <n v="0"/>
    <x v="2"/>
    <x v="0"/>
    <x v="10"/>
    <n v="3"/>
  </r>
  <r>
    <n v="3"/>
    <d v="2019-11-12T00:00:00"/>
    <x v="2"/>
    <n v="980.71399999999994"/>
    <n v="772.91899999999998"/>
    <x v="2"/>
    <x v="0"/>
    <x v="10"/>
    <n v="3"/>
  </r>
  <r>
    <n v="3"/>
    <d v="2019-11-12T00:00:00"/>
    <x v="0"/>
    <n v="2959.8379999999997"/>
    <n v="2840.2359999999999"/>
    <x v="2"/>
    <x v="0"/>
    <x v="10"/>
    <n v="3"/>
  </r>
  <r>
    <n v="3"/>
    <d v="2019-11-12T00:00:00"/>
    <x v="3"/>
    <n v="0"/>
    <n v="13.699"/>
    <x v="2"/>
    <x v="0"/>
    <x v="10"/>
    <n v="3"/>
  </r>
  <r>
    <n v="3"/>
    <d v="2019-11-12T00:00:00"/>
    <x v="1"/>
    <n v="2786.2589999999996"/>
    <n v="3363.3109999999997"/>
    <x v="2"/>
    <x v="0"/>
    <x v="10"/>
    <n v="3"/>
  </r>
  <r>
    <n v="3"/>
    <d v="2019-11-13T00:00:00"/>
    <x v="3"/>
    <n v="295.20400000000001"/>
    <n v="0"/>
    <x v="2"/>
    <x v="0"/>
    <x v="10"/>
    <n v="3"/>
  </r>
  <r>
    <n v="3"/>
    <d v="2019-11-13T00:00:00"/>
    <x v="2"/>
    <n v="1222.7249999999999"/>
    <n v="1093.8339999999998"/>
    <x v="2"/>
    <x v="0"/>
    <x v="10"/>
    <n v="3"/>
  </r>
  <r>
    <n v="3"/>
    <d v="2019-11-13T00:00:00"/>
    <x v="0"/>
    <n v="2847.2009999999996"/>
    <n v="2895.6410000000001"/>
    <x v="2"/>
    <x v="0"/>
    <x v="10"/>
    <n v="3"/>
  </r>
  <r>
    <n v="3"/>
    <d v="2019-11-13T00:00:00"/>
    <x v="1"/>
    <n v="2968.4479999999999"/>
    <n v="3072.9929999999995"/>
    <x v="2"/>
    <x v="0"/>
    <x v="10"/>
    <n v="3"/>
  </r>
  <r>
    <n v="3"/>
    <d v="2019-11-14T00:00:00"/>
    <x v="1"/>
    <n v="2997.6239999999998"/>
    <n v="3342.3179999999998"/>
    <x v="2"/>
    <x v="0"/>
    <x v="10"/>
    <n v="3"/>
  </r>
  <r>
    <n v="3"/>
    <d v="2019-11-14T00:00:00"/>
    <x v="3"/>
    <n v="0"/>
    <n v="160.85999999999999"/>
    <x v="2"/>
    <x v="0"/>
    <x v="10"/>
    <n v="3"/>
  </r>
  <r>
    <n v="3"/>
    <d v="2019-11-14T00:00:00"/>
    <x v="2"/>
    <n v="1533.672"/>
    <n v="1098.8879999999999"/>
    <x v="2"/>
    <x v="0"/>
    <x v="10"/>
    <n v="3"/>
  </r>
  <r>
    <n v="3"/>
    <d v="2019-11-14T00:00:00"/>
    <x v="0"/>
    <n v="2969.2670000000003"/>
    <n v="3876.1659999999997"/>
    <x v="2"/>
    <x v="0"/>
    <x v="10"/>
    <n v="3"/>
  </r>
  <r>
    <n v="3"/>
    <d v="2019-11-15T00:00:00"/>
    <x v="3"/>
    <n v="111.82499999999999"/>
    <n v="146.85999999999999"/>
    <x v="2"/>
    <x v="0"/>
    <x v="10"/>
    <n v="3"/>
  </r>
  <r>
    <n v="3"/>
    <d v="2019-11-15T00:00:00"/>
    <x v="2"/>
    <n v="1676.4369999999999"/>
    <n v="1167.5650000000001"/>
    <x v="2"/>
    <x v="0"/>
    <x v="10"/>
    <n v="3"/>
  </r>
  <r>
    <n v="3"/>
    <d v="2019-11-15T00:00:00"/>
    <x v="0"/>
    <n v="3785.6419999999998"/>
    <n v="4401.7679999999991"/>
    <x v="2"/>
    <x v="0"/>
    <x v="10"/>
    <n v="3"/>
  </r>
  <r>
    <n v="3"/>
    <d v="2019-11-15T00:00:00"/>
    <x v="1"/>
    <n v="3389.288"/>
    <n v="3364.4659999999999"/>
    <x v="2"/>
    <x v="0"/>
    <x v="10"/>
    <n v="3"/>
  </r>
  <r>
    <n v="3"/>
    <d v="2019-11-16T00:00:00"/>
    <x v="2"/>
    <n v="1825.6"/>
    <n v="1131.06"/>
    <x v="2"/>
    <x v="0"/>
    <x v="10"/>
    <n v="3"/>
  </r>
  <r>
    <n v="3"/>
    <d v="2019-11-16T00:00:00"/>
    <x v="3"/>
    <n v="195.958"/>
    <n v="273.57399999999996"/>
    <x v="2"/>
    <x v="0"/>
    <x v="10"/>
    <n v="3"/>
  </r>
  <r>
    <n v="3"/>
    <d v="2019-11-16T00:00:00"/>
    <x v="0"/>
    <n v="3152.2749999999996"/>
    <n v="3527.3839999999996"/>
    <x v="2"/>
    <x v="0"/>
    <x v="10"/>
    <n v="3"/>
  </r>
  <r>
    <n v="3"/>
    <d v="2019-11-16T00:00:00"/>
    <x v="1"/>
    <n v="3299.625"/>
    <n v="3466.9390000000003"/>
    <x v="2"/>
    <x v="0"/>
    <x v="10"/>
    <n v="3"/>
  </r>
  <r>
    <n v="3"/>
    <d v="2019-11-17T00:00:00"/>
    <x v="0"/>
    <n v="1998.8639999999998"/>
    <n v="2873.6609999999996"/>
    <x v="2"/>
    <x v="0"/>
    <x v="10"/>
    <n v="3"/>
  </r>
  <r>
    <n v="3"/>
    <d v="2019-11-17T00:00:00"/>
    <x v="1"/>
    <n v="2495.9690000000001"/>
    <n v="2663.5839999999998"/>
    <x v="2"/>
    <x v="0"/>
    <x v="10"/>
    <n v="3"/>
  </r>
  <r>
    <n v="3"/>
    <d v="2019-11-17T00:00:00"/>
    <x v="2"/>
    <n v="1229.3329999999999"/>
    <n v="777.7349999999999"/>
    <x v="2"/>
    <x v="0"/>
    <x v="10"/>
    <n v="3"/>
  </r>
  <r>
    <n v="3"/>
    <d v="2019-11-17T00:00:00"/>
    <x v="3"/>
    <n v="182.39899999999997"/>
    <n v="702.12799999999993"/>
    <x v="2"/>
    <x v="0"/>
    <x v="10"/>
    <n v="3"/>
  </r>
  <r>
    <n v="3"/>
    <d v="2019-11-18T00:00:00"/>
    <x v="0"/>
    <n v="2215.136"/>
    <n v="3024.4969999999998"/>
    <x v="2"/>
    <x v="0"/>
    <x v="10"/>
    <n v="4"/>
  </r>
  <r>
    <n v="3"/>
    <d v="2019-11-18T00:00:00"/>
    <x v="2"/>
    <n v="1485.2949999999998"/>
    <n v="988.16899999999998"/>
    <x v="2"/>
    <x v="0"/>
    <x v="10"/>
    <n v="4"/>
  </r>
  <r>
    <n v="3"/>
    <d v="2019-11-18T00:00:00"/>
    <x v="3"/>
    <n v="0"/>
    <n v="0"/>
    <x v="2"/>
    <x v="0"/>
    <x v="10"/>
    <n v="4"/>
  </r>
  <r>
    <n v="3"/>
    <d v="2019-11-18T00:00:00"/>
    <x v="1"/>
    <n v="2506.4619999999995"/>
    <n v="3038.2730000000001"/>
    <x v="2"/>
    <x v="0"/>
    <x v="10"/>
    <n v="4"/>
  </r>
  <r>
    <n v="3"/>
    <d v="2019-11-19T00:00:00"/>
    <x v="3"/>
    <n v="349.71999999999997"/>
    <n v="0"/>
    <x v="2"/>
    <x v="0"/>
    <x v="10"/>
    <n v="4"/>
  </r>
  <r>
    <n v="3"/>
    <d v="2019-11-19T00:00:00"/>
    <x v="2"/>
    <n v="1325.59"/>
    <n v="1166.6759999999999"/>
    <x v="2"/>
    <x v="0"/>
    <x v="10"/>
    <n v="4"/>
  </r>
  <r>
    <n v="3"/>
    <d v="2019-11-19T00:00:00"/>
    <x v="0"/>
    <n v="2759.6869999999999"/>
    <n v="3502.9049999999997"/>
    <x v="2"/>
    <x v="0"/>
    <x v="10"/>
    <n v="4"/>
  </r>
  <r>
    <n v="3"/>
    <d v="2019-11-19T00:00:00"/>
    <x v="1"/>
    <n v="2987.11"/>
    <n v="3078.8869999999997"/>
    <x v="2"/>
    <x v="0"/>
    <x v="10"/>
    <n v="4"/>
  </r>
  <r>
    <n v="3"/>
    <d v="2019-11-20T00:00:00"/>
    <x v="0"/>
    <n v="2842.4759999999997"/>
    <n v="3332.623"/>
    <x v="2"/>
    <x v="0"/>
    <x v="10"/>
    <n v="4"/>
  </r>
  <r>
    <n v="3"/>
    <d v="2019-11-20T00:00:00"/>
    <x v="1"/>
    <n v="2698.0239999999999"/>
    <n v="2916.067"/>
    <x v="2"/>
    <x v="0"/>
    <x v="10"/>
    <n v="4"/>
  </r>
  <r>
    <n v="3"/>
    <d v="2019-11-20T00:00:00"/>
    <x v="2"/>
    <n v="1395.8979999999999"/>
    <n v="1066.4989999999998"/>
    <x v="2"/>
    <x v="0"/>
    <x v="10"/>
    <n v="4"/>
  </r>
  <r>
    <n v="3"/>
    <d v="2019-11-20T00:00:00"/>
    <x v="3"/>
    <n v="0"/>
    <n v="20.978999999999999"/>
    <x v="2"/>
    <x v="0"/>
    <x v="10"/>
    <n v="4"/>
  </r>
  <r>
    <n v="3"/>
    <d v="2019-11-21T00:00:00"/>
    <x v="2"/>
    <n v="1256.9969999999998"/>
    <n v="0"/>
    <x v="2"/>
    <x v="0"/>
    <x v="10"/>
    <n v="4"/>
  </r>
  <r>
    <n v="3"/>
    <d v="2019-11-21T00:00:00"/>
    <x v="0"/>
    <n v="3271.3379999999997"/>
    <n v="0"/>
    <x v="2"/>
    <x v="0"/>
    <x v="10"/>
    <n v="4"/>
  </r>
  <r>
    <n v="3"/>
    <d v="2019-11-21T00:00:00"/>
    <x v="3"/>
    <n v="220.542"/>
    <n v="0"/>
    <x v="2"/>
    <x v="0"/>
    <x v="10"/>
    <n v="4"/>
  </r>
  <r>
    <n v="3"/>
    <d v="2019-11-21T00:00:00"/>
    <x v="1"/>
    <n v="3272.6959999999995"/>
    <n v="0"/>
    <x v="2"/>
    <x v="0"/>
    <x v="10"/>
    <n v="4"/>
  </r>
  <r>
    <n v="3"/>
    <d v="2019-11-22T00:00:00"/>
    <x v="1"/>
    <n v="3110.3519999999994"/>
    <n v="2619.0990000000002"/>
    <x v="2"/>
    <x v="0"/>
    <x v="10"/>
    <n v="4"/>
  </r>
  <r>
    <n v="3"/>
    <d v="2019-11-22T00:00:00"/>
    <x v="0"/>
    <n v="3661.1469999999999"/>
    <n v="3652.1309999999999"/>
    <x v="2"/>
    <x v="0"/>
    <x v="10"/>
    <n v="4"/>
  </r>
  <r>
    <n v="3"/>
    <d v="2019-11-22T00:00:00"/>
    <x v="2"/>
    <n v="1573.9499999999998"/>
    <n v="726.08899999999994"/>
    <x v="2"/>
    <x v="0"/>
    <x v="10"/>
    <n v="4"/>
  </r>
  <r>
    <n v="3"/>
    <d v="2019-11-22T00:00:00"/>
    <x v="3"/>
    <n v="244.44699999999997"/>
    <n v="0"/>
    <x v="2"/>
    <x v="0"/>
    <x v="10"/>
    <n v="4"/>
  </r>
  <r>
    <n v="3"/>
    <d v="2019-11-23T00:00:00"/>
    <x v="0"/>
    <n v="3408.7619999999997"/>
    <n v="2650.3960000000002"/>
    <x v="2"/>
    <x v="0"/>
    <x v="10"/>
    <n v="4"/>
  </r>
  <r>
    <n v="3"/>
    <d v="2019-11-23T00:00:00"/>
    <x v="2"/>
    <n v="1398.5160000000001"/>
    <n v="554.63099999999997"/>
    <x v="2"/>
    <x v="0"/>
    <x v="10"/>
    <n v="4"/>
  </r>
  <r>
    <n v="3"/>
    <d v="2019-11-23T00:00:00"/>
    <x v="3"/>
    <n v="0"/>
    <n v="0"/>
    <x v="2"/>
    <x v="0"/>
    <x v="10"/>
    <n v="4"/>
  </r>
  <r>
    <n v="3"/>
    <d v="2019-11-23T00:00:00"/>
    <x v="1"/>
    <n v="2957.9269999999997"/>
    <n v="2866.0309999999999"/>
    <x v="2"/>
    <x v="0"/>
    <x v="10"/>
    <n v="4"/>
  </r>
  <r>
    <n v="3"/>
    <d v="2019-11-24T00:00:00"/>
    <x v="0"/>
    <n v="2526.5029999999997"/>
    <n v="2515.2469999999998"/>
    <x v="2"/>
    <x v="0"/>
    <x v="10"/>
    <n v="4"/>
  </r>
  <r>
    <n v="3"/>
    <d v="2019-11-24T00:00:00"/>
    <x v="3"/>
    <n v="6.5029999999999992"/>
    <n v="163.64599999999999"/>
    <x v="2"/>
    <x v="0"/>
    <x v="10"/>
    <n v="4"/>
  </r>
  <r>
    <n v="3"/>
    <d v="2019-11-24T00:00:00"/>
    <x v="1"/>
    <n v="2568.0549999999998"/>
    <n v="2705.0309999999999"/>
    <x v="2"/>
    <x v="0"/>
    <x v="10"/>
    <n v="4"/>
  </r>
  <r>
    <n v="3"/>
    <d v="2019-11-24T00:00:00"/>
    <x v="2"/>
    <n v="1454.453"/>
    <n v="836.91999999999985"/>
    <x v="2"/>
    <x v="0"/>
    <x v="10"/>
    <n v="4"/>
  </r>
  <r>
    <n v="3"/>
    <d v="2019-11-25T00:00:00"/>
    <x v="3"/>
    <n v="44.470999999999997"/>
    <n v="206.29"/>
    <x v="2"/>
    <x v="0"/>
    <x v="11"/>
    <n v="1"/>
  </r>
  <r>
    <n v="3"/>
    <d v="2019-11-25T00:00:00"/>
    <x v="0"/>
    <n v="2574.2710000000002"/>
    <n v="2941.8969999999999"/>
    <x v="2"/>
    <x v="0"/>
    <x v="11"/>
    <n v="1"/>
  </r>
  <r>
    <n v="3"/>
    <d v="2019-11-25T00:00:00"/>
    <x v="2"/>
    <n v="1030.078"/>
    <n v="826.05599999999993"/>
    <x v="2"/>
    <x v="0"/>
    <x v="11"/>
    <n v="1"/>
  </r>
  <r>
    <n v="3"/>
    <d v="2019-11-25T00:00:00"/>
    <x v="1"/>
    <n v="2719.6539999999995"/>
    <n v="2773.078"/>
    <x v="2"/>
    <x v="0"/>
    <x v="11"/>
    <n v="1"/>
  </r>
  <r>
    <n v="3"/>
    <d v="2019-11-26T00:00:00"/>
    <x v="0"/>
    <n v="3435.1799999999994"/>
    <n v="3211.8799999999997"/>
    <x v="2"/>
    <x v="0"/>
    <x v="11"/>
    <n v="1"/>
  </r>
  <r>
    <n v="3"/>
    <d v="2019-11-26T00:00:00"/>
    <x v="2"/>
    <n v="1516.732"/>
    <n v="1081.3809999999999"/>
    <x v="2"/>
    <x v="0"/>
    <x v="11"/>
    <n v="1"/>
  </r>
  <r>
    <n v="3"/>
    <d v="2019-11-26T00:00:00"/>
    <x v="1"/>
    <n v="3195.2059999999997"/>
    <n v="3212.6289999999999"/>
    <x v="2"/>
    <x v="0"/>
    <x v="11"/>
    <n v="1"/>
  </r>
  <r>
    <n v="3"/>
    <d v="2019-11-26T00:00:00"/>
    <x v="3"/>
    <n v="36.098999999999997"/>
    <n v="142.68100000000001"/>
    <x v="2"/>
    <x v="0"/>
    <x v="11"/>
    <n v="1"/>
  </r>
  <r>
    <n v="3"/>
    <d v="2019-11-27T00:00:00"/>
    <x v="2"/>
    <n v="1833.7269999999999"/>
    <n v="801.87099999999998"/>
    <x v="2"/>
    <x v="0"/>
    <x v="11"/>
    <n v="1"/>
  </r>
  <r>
    <n v="3"/>
    <d v="2019-11-27T00:00:00"/>
    <x v="1"/>
    <n v="2763.0259999999998"/>
    <n v="3380.5450000000001"/>
    <x v="2"/>
    <x v="0"/>
    <x v="11"/>
    <n v="1"/>
  </r>
  <r>
    <n v="3"/>
    <d v="2019-11-27T00:00:00"/>
    <x v="0"/>
    <n v="2859.5139999999997"/>
    <n v="3191.944"/>
    <x v="2"/>
    <x v="0"/>
    <x v="11"/>
    <n v="1"/>
  </r>
  <r>
    <n v="3"/>
    <d v="2019-11-27T00:00:00"/>
    <x v="3"/>
    <n v="190.512"/>
    <n v="0"/>
    <x v="2"/>
    <x v="0"/>
    <x v="11"/>
    <n v="1"/>
  </r>
  <r>
    <n v="3"/>
    <d v="2019-11-28T00:00:00"/>
    <x v="1"/>
    <n v="0"/>
    <n v="3416.672"/>
    <x v="2"/>
    <x v="0"/>
    <x v="11"/>
    <n v="1"/>
  </r>
  <r>
    <n v="3"/>
    <d v="2019-11-28T00:00:00"/>
    <x v="2"/>
    <n v="0"/>
    <n v="1745.6039999999998"/>
    <x v="2"/>
    <x v="0"/>
    <x v="11"/>
    <n v="1"/>
  </r>
  <r>
    <n v="3"/>
    <d v="2019-11-28T00:00:00"/>
    <x v="3"/>
    <n v="0"/>
    <n v="173.43199999999999"/>
    <x v="2"/>
    <x v="0"/>
    <x v="11"/>
    <n v="1"/>
  </r>
  <r>
    <n v="3"/>
    <d v="2019-11-28T00:00:00"/>
    <x v="0"/>
    <n v="0"/>
    <n v="4803.2179999999998"/>
    <x v="2"/>
    <x v="0"/>
    <x v="11"/>
    <n v="1"/>
  </r>
  <r>
    <n v="3"/>
    <d v="2019-11-29T00:00:00"/>
    <x v="2"/>
    <n v="1674.2179999999998"/>
    <n v="1729.546"/>
    <x v="2"/>
    <x v="0"/>
    <x v="11"/>
    <n v="1"/>
  </r>
  <r>
    <n v="3"/>
    <d v="2019-11-29T00:00:00"/>
    <x v="0"/>
    <n v="2808.1549999999997"/>
    <n v="4196.192"/>
    <x v="2"/>
    <x v="0"/>
    <x v="11"/>
    <n v="1"/>
  </r>
  <r>
    <n v="3"/>
    <d v="2019-11-29T00:00:00"/>
    <x v="1"/>
    <n v="2266.2429999999995"/>
    <n v="3626.8399999999997"/>
    <x v="2"/>
    <x v="0"/>
    <x v="11"/>
    <n v="1"/>
  </r>
  <r>
    <n v="3"/>
    <d v="2019-11-29T00:00:00"/>
    <x v="3"/>
    <n v="0"/>
    <n v="406.42"/>
    <x v="2"/>
    <x v="0"/>
    <x v="11"/>
    <n v="1"/>
  </r>
  <r>
    <n v="3"/>
    <d v="2019-11-30T00:00:00"/>
    <x v="2"/>
    <n v="1471.8759999999997"/>
    <n v="878.34599999999989"/>
    <x v="2"/>
    <x v="0"/>
    <x v="11"/>
    <n v="1"/>
  </r>
  <r>
    <n v="3"/>
    <d v="2019-11-30T00:00:00"/>
    <x v="0"/>
    <n v="3349.3879999999999"/>
    <n v="3849.8809999999999"/>
    <x v="2"/>
    <x v="0"/>
    <x v="11"/>
    <n v="1"/>
  </r>
  <r>
    <n v="3"/>
    <d v="2019-11-30T00:00:00"/>
    <x v="3"/>
    <n v="56.531999999999996"/>
    <n v="17.268999999999998"/>
    <x v="2"/>
    <x v="0"/>
    <x v="11"/>
    <n v="1"/>
  </r>
  <r>
    <n v="3"/>
    <d v="2019-11-30T00:00:00"/>
    <x v="1"/>
    <n v="2872.3589999999999"/>
    <n v="3458.2589999999996"/>
    <x v="2"/>
    <x v="0"/>
    <x v="11"/>
    <n v="1"/>
  </r>
  <r>
    <n v="3"/>
    <d v="2019-12-01T00:00:00"/>
    <x v="2"/>
    <n v="1721.58"/>
    <n v="572.16599999999994"/>
    <x v="2"/>
    <x v="0"/>
    <x v="11"/>
    <n v="1"/>
  </r>
  <r>
    <n v="3"/>
    <d v="2019-12-01T00:00:00"/>
    <x v="0"/>
    <n v="2640.7080000000001"/>
    <n v="2190.7059999999997"/>
    <x v="2"/>
    <x v="0"/>
    <x v="11"/>
    <n v="1"/>
  </r>
  <r>
    <n v="3"/>
    <d v="2019-12-01T00:00:00"/>
    <x v="1"/>
    <n v="3067.8619999999996"/>
    <n v="2718.107"/>
    <x v="2"/>
    <x v="0"/>
    <x v="11"/>
    <n v="1"/>
  </r>
  <r>
    <n v="3"/>
    <d v="2019-12-01T00:00:00"/>
    <x v="3"/>
    <n v="0"/>
    <n v="483.65800000000002"/>
    <x v="2"/>
    <x v="0"/>
    <x v="11"/>
    <n v="1"/>
  </r>
  <r>
    <n v="3"/>
    <d v="2019-12-02T00:00:00"/>
    <x v="2"/>
    <n v="1066.0999999999999"/>
    <n v="637.46899999999994"/>
    <x v="2"/>
    <x v="0"/>
    <x v="11"/>
    <n v="2"/>
  </r>
  <r>
    <n v="3"/>
    <d v="2019-12-02T00:00:00"/>
    <x v="0"/>
    <n v="3030.9789999999998"/>
    <n v="2827.3629999999998"/>
    <x v="2"/>
    <x v="0"/>
    <x v="11"/>
    <n v="2"/>
  </r>
  <r>
    <n v="3"/>
    <d v="2019-12-02T00:00:00"/>
    <x v="3"/>
    <n v="0"/>
    <n v="188.73399999999998"/>
    <x v="2"/>
    <x v="0"/>
    <x v="11"/>
    <n v="2"/>
  </r>
  <r>
    <n v="3"/>
    <d v="2019-12-02T00:00:00"/>
    <x v="1"/>
    <n v="2737.8049999999998"/>
    <n v="3277.3369999999995"/>
    <x v="2"/>
    <x v="0"/>
    <x v="11"/>
    <n v="2"/>
  </r>
  <r>
    <n v="3"/>
    <d v="2019-12-03T00:00:00"/>
    <x v="3"/>
    <n v="0"/>
    <n v="0"/>
    <x v="2"/>
    <x v="0"/>
    <x v="11"/>
    <n v="2"/>
  </r>
  <r>
    <n v="3"/>
    <d v="2019-12-03T00:00:00"/>
    <x v="0"/>
    <n v="3034.444"/>
    <n v="3565.5969999999998"/>
    <x v="2"/>
    <x v="0"/>
    <x v="11"/>
    <n v="2"/>
  </r>
  <r>
    <n v="3"/>
    <d v="2019-12-03T00:00:00"/>
    <x v="2"/>
    <n v="1266.412"/>
    <n v="1310.0989999999999"/>
    <x v="2"/>
    <x v="0"/>
    <x v="11"/>
    <n v="2"/>
  </r>
  <r>
    <n v="3"/>
    <d v="2019-12-03T00:00:00"/>
    <x v="1"/>
    <n v="2722.37"/>
    <n v="3220.1890000000003"/>
    <x v="2"/>
    <x v="0"/>
    <x v="11"/>
    <n v="2"/>
  </r>
  <r>
    <n v="3"/>
    <d v="2019-12-04T00:00:00"/>
    <x v="0"/>
    <n v="3377.2200000000003"/>
    <n v="2676.3240000000001"/>
    <x v="2"/>
    <x v="0"/>
    <x v="11"/>
    <n v="2"/>
  </r>
  <r>
    <n v="3"/>
    <d v="2019-12-04T00:00:00"/>
    <x v="1"/>
    <n v="2822.7849999999999"/>
    <n v="3456.7609999999995"/>
    <x v="2"/>
    <x v="0"/>
    <x v="11"/>
    <n v="2"/>
  </r>
  <r>
    <n v="3"/>
    <d v="2019-12-04T00:00:00"/>
    <x v="2"/>
    <n v="1673.0070000000001"/>
    <n v="709.6389999999999"/>
    <x v="2"/>
    <x v="0"/>
    <x v="11"/>
    <n v="2"/>
  </r>
  <r>
    <n v="3"/>
    <d v="2019-12-04T00:00:00"/>
    <x v="3"/>
    <n v="114.41499999999998"/>
    <n v="0"/>
    <x v="2"/>
    <x v="0"/>
    <x v="11"/>
    <n v="2"/>
  </r>
  <r>
    <n v="3"/>
    <d v="2019-12-05T00:00:00"/>
    <x v="1"/>
    <n v="3620.5469999999996"/>
    <n v="3399.0529999999999"/>
    <x v="2"/>
    <x v="0"/>
    <x v="11"/>
    <n v="2"/>
  </r>
  <r>
    <n v="3"/>
    <d v="2019-12-05T00:00:00"/>
    <x v="2"/>
    <n v="1703.0789999999997"/>
    <n v="795.67600000000004"/>
    <x v="2"/>
    <x v="0"/>
    <x v="11"/>
    <n v="2"/>
  </r>
  <r>
    <n v="3"/>
    <d v="2019-12-05T00:00:00"/>
    <x v="0"/>
    <n v="2972.5359999999996"/>
    <n v="3354.3789999999999"/>
    <x v="2"/>
    <x v="0"/>
    <x v="11"/>
    <n v="2"/>
  </r>
  <r>
    <n v="3"/>
    <d v="2019-12-05T00:00:00"/>
    <x v="3"/>
    <n v="0"/>
    <n v="378.03499999999997"/>
    <x v="2"/>
    <x v="0"/>
    <x v="11"/>
    <n v="2"/>
  </r>
  <r>
    <n v="3"/>
    <d v="2019-12-06T00:00:00"/>
    <x v="2"/>
    <n v="2208.5909999999999"/>
    <n v="1220.1209999999999"/>
    <x v="2"/>
    <x v="0"/>
    <x v="11"/>
    <n v="2"/>
  </r>
  <r>
    <n v="3"/>
    <d v="2019-12-06T00:00:00"/>
    <x v="0"/>
    <n v="3443.7619999999997"/>
    <n v="4089.7919999999999"/>
    <x v="2"/>
    <x v="0"/>
    <x v="11"/>
    <n v="2"/>
  </r>
  <r>
    <n v="3"/>
    <d v="2019-12-06T00:00:00"/>
    <x v="1"/>
    <n v="3247.0409999999997"/>
    <n v="3748.1849999999999"/>
    <x v="2"/>
    <x v="0"/>
    <x v="11"/>
    <n v="2"/>
  </r>
  <r>
    <n v="3"/>
    <d v="2019-12-06T00:00:00"/>
    <x v="3"/>
    <n v="160.85999999999999"/>
    <n v="153.85999999999999"/>
    <x v="2"/>
    <x v="0"/>
    <x v="11"/>
    <n v="2"/>
  </r>
  <r>
    <n v="3"/>
    <d v="2019-12-07T00:00:00"/>
    <x v="0"/>
    <n v="3607.4290000000001"/>
    <n v="3913.8539999999998"/>
    <x v="2"/>
    <x v="0"/>
    <x v="11"/>
    <n v="2"/>
  </r>
  <r>
    <n v="3"/>
    <d v="2019-12-07T00:00:00"/>
    <x v="2"/>
    <n v="1556.0229999999999"/>
    <n v="1203.3139999999999"/>
    <x v="2"/>
    <x v="0"/>
    <x v="11"/>
    <n v="2"/>
  </r>
  <r>
    <n v="3"/>
    <d v="2019-12-07T00:00:00"/>
    <x v="1"/>
    <n v="2549.6239999999998"/>
    <n v="3691.2189999999996"/>
    <x v="2"/>
    <x v="0"/>
    <x v="11"/>
    <n v="2"/>
  </r>
  <r>
    <n v="3"/>
    <d v="2019-12-07T00:00:00"/>
    <x v="3"/>
    <n v="428.70099999999996"/>
    <n v="115.39499999999998"/>
    <x v="2"/>
    <x v="0"/>
    <x v="11"/>
    <n v="2"/>
  </r>
  <r>
    <n v="3"/>
    <d v="2019-12-08T00:00:00"/>
    <x v="0"/>
    <n v="1359.8129999999999"/>
    <n v="3316.7820000000002"/>
    <x v="2"/>
    <x v="0"/>
    <x v="11"/>
    <n v="2"/>
  </r>
  <r>
    <n v="3"/>
    <d v="2019-12-08T00:00:00"/>
    <x v="1"/>
    <n v="1791.0199999999998"/>
    <n v="3051.4049999999997"/>
    <x v="2"/>
    <x v="0"/>
    <x v="11"/>
    <n v="2"/>
  </r>
  <r>
    <n v="3"/>
    <d v="2019-12-08T00:00:00"/>
    <x v="2"/>
    <n v="561.7639999999999"/>
    <n v="1052.5409999999999"/>
    <x v="2"/>
    <x v="0"/>
    <x v="11"/>
    <n v="2"/>
  </r>
  <r>
    <n v="3"/>
    <d v="2019-12-08T00:00:00"/>
    <x v="3"/>
    <n v="865.50800000000004"/>
    <n v="88.444999999999993"/>
    <x v="2"/>
    <x v="0"/>
    <x v="11"/>
    <n v="2"/>
  </r>
  <r>
    <n v="3"/>
    <d v="2019-12-09T00:00:00"/>
    <x v="1"/>
    <n v="3428.2849999999999"/>
    <n v="2839.0740000000001"/>
    <x v="2"/>
    <x v="0"/>
    <x v="11"/>
    <n v="3"/>
  </r>
  <r>
    <n v="3"/>
    <d v="2019-12-09T00:00:00"/>
    <x v="0"/>
    <n v="2767.5059999999999"/>
    <n v="3009.9089999999997"/>
    <x v="2"/>
    <x v="0"/>
    <x v="11"/>
    <n v="3"/>
  </r>
  <r>
    <n v="3"/>
    <d v="2019-12-09T00:00:00"/>
    <x v="2"/>
    <n v="1431.08"/>
    <n v="932.4"/>
    <x v="2"/>
    <x v="0"/>
    <x v="11"/>
    <n v="3"/>
  </r>
  <r>
    <n v="3"/>
    <d v="2019-12-09T00:00:00"/>
    <x v="3"/>
    <n v="12.774999999999999"/>
    <n v="400.72199999999998"/>
    <x v="2"/>
    <x v="0"/>
    <x v="11"/>
    <n v="3"/>
  </r>
  <r>
    <n v="3"/>
    <d v="2019-12-10T00:00:00"/>
    <x v="0"/>
    <n v="2988.4259999999999"/>
    <n v="3303.7759999999998"/>
    <x v="2"/>
    <x v="0"/>
    <x v="11"/>
    <n v="3"/>
  </r>
  <r>
    <n v="3"/>
    <d v="2019-12-10T00:00:00"/>
    <x v="2"/>
    <n v="975.04399999999998"/>
    <n v="815.27599999999995"/>
    <x v="2"/>
    <x v="0"/>
    <x v="11"/>
    <n v="3"/>
  </r>
  <r>
    <n v="3"/>
    <d v="2019-12-10T00:00:00"/>
    <x v="1"/>
    <n v="2664.97"/>
    <n v="3480.7919999999999"/>
    <x v="2"/>
    <x v="0"/>
    <x v="11"/>
    <n v="3"/>
  </r>
  <r>
    <n v="3"/>
    <d v="2019-12-10T00:00:00"/>
    <x v="3"/>
    <n v="0"/>
    <n v="15.231999999999999"/>
    <x v="2"/>
    <x v="0"/>
    <x v="11"/>
    <n v="3"/>
  </r>
  <r>
    <n v="3"/>
    <d v="2019-12-11T00:00:00"/>
    <x v="1"/>
    <n v="3112.5709999999995"/>
    <n v="3094.203"/>
    <x v="2"/>
    <x v="0"/>
    <x v="11"/>
    <n v="3"/>
  </r>
  <r>
    <n v="3"/>
    <d v="2019-12-11T00:00:00"/>
    <x v="3"/>
    <n v="297.59099999999995"/>
    <n v="688.44999999999993"/>
    <x v="2"/>
    <x v="0"/>
    <x v="11"/>
    <n v="3"/>
  </r>
  <r>
    <n v="3"/>
    <d v="2019-12-11T00:00:00"/>
    <x v="2"/>
    <n v="1490.6499999999999"/>
    <n v="1027.6209999999999"/>
    <x v="2"/>
    <x v="0"/>
    <x v="11"/>
    <n v="3"/>
  </r>
  <r>
    <n v="3"/>
    <d v="2019-12-11T00:00:00"/>
    <x v="0"/>
    <n v="3175.1299999999997"/>
    <n v="3233.9299999999994"/>
    <x v="2"/>
    <x v="0"/>
    <x v="11"/>
    <n v="3"/>
  </r>
  <r>
    <n v="3"/>
    <d v="2019-12-12T00:00:00"/>
    <x v="3"/>
    <n v="0"/>
    <n v="210.511"/>
    <x v="2"/>
    <x v="0"/>
    <x v="11"/>
    <n v="3"/>
  </r>
  <r>
    <n v="3"/>
    <d v="2019-12-12T00:00:00"/>
    <x v="0"/>
    <n v="3342.3670000000002"/>
    <n v="3630.3469999999998"/>
    <x v="2"/>
    <x v="0"/>
    <x v="11"/>
    <n v="3"/>
  </r>
  <r>
    <n v="3"/>
    <d v="2019-12-12T00:00:00"/>
    <x v="2"/>
    <n v="1613.0519999999999"/>
    <n v="1087.8839999999998"/>
    <x v="2"/>
    <x v="0"/>
    <x v="11"/>
    <n v="3"/>
  </r>
  <r>
    <n v="3"/>
    <d v="2019-12-12T00:00:00"/>
    <x v="1"/>
    <n v="3306.9189999999999"/>
    <n v="3493.5809999999997"/>
    <x v="2"/>
    <x v="0"/>
    <x v="11"/>
    <n v="3"/>
  </r>
  <r>
    <n v="3"/>
    <d v="2019-12-13T00:00:00"/>
    <x v="0"/>
    <n v="3946.6"/>
    <n v="4091.4089999999997"/>
    <x v="2"/>
    <x v="0"/>
    <x v="11"/>
    <n v="3"/>
  </r>
  <r>
    <n v="3"/>
    <d v="2019-12-13T00:00:00"/>
    <x v="3"/>
    <n v="500.35999999999996"/>
    <n v="524.51"/>
    <x v="2"/>
    <x v="0"/>
    <x v="11"/>
    <n v="3"/>
  </r>
  <r>
    <n v="3"/>
    <d v="2019-12-13T00:00:00"/>
    <x v="2"/>
    <n v="1851.4929999999997"/>
    <n v="1336.6009999999999"/>
    <x v="2"/>
    <x v="0"/>
    <x v="11"/>
    <n v="3"/>
  </r>
  <r>
    <n v="3"/>
    <d v="2019-12-13T00:00:00"/>
    <x v="1"/>
    <n v="3386.0749999999998"/>
    <n v="3749.2769999999996"/>
    <x v="2"/>
    <x v="0"/>
    <x v="11"/>
    <n v="3"/>
  </r>
  <r>
    <n v="3"/>
    <d v="2019-12-14T00:00:00"/>
    <x v="3"/>
    <n v="0"/>
    <n v="176.946"/>
    <x v="2"/>
    <x v="0"/>
    <x v="11"/>
    <n v="3"/>
  </r>
  <r>
    <n v="3"/>
    <d v="2019-12-14T00:00:00"/>
    <x v="1"/>
    <n v="3018.3929999999996"/>
    <n v="3589.0609999999992"/>
    <x v="2"/>
    <x v="0"/>
    <x v="11"/>
    <n v="3"/>
  </r>
  <r>
    <n v="3"/>
    <d v="2019-12-14T00:00:00"/>
    <x v="2"/>
    <n v="1712.0529999999999"/>
    <n v="705.36899999999991"/>
    <x v="2"/>
    <x v="0"/>
    <x v="11"/>
    <n v="3"/>
  </r>
  <r>
    <n v="3"/>
    <d v="2019-12-14T00:00:00"/>
    <x v="0"/>
    <n v="3065.069"/>
    <n v="3505.3760000000002"/>
    <x v="2"/>
    <x v="0"/>
    <x v="11"/>
    <n v="3"/>
  </r>
  <r>
    <n v="3"/>
    <d v="2019-12-15T00:00:00"/>
    <x v="0"/>
    <n v="2508.1"/>
    <n v="1402.3309999999999"/>
    <x v="2"/>
    <x v="0"/>
    <x v="11"/>
    <n v="3"/>
  </r>
  <r>
    <n v="3"/>
    <d v="2019-12-15T00:00:00"/>
    <x v="2"/>
    <n v="1423.7370000000001"/>
    <n v="206.07999999999998"/>
    <x v="2"/>
    <x v="0"/>
    <x v="11"/>
    <n v="3"/>
  </r>
  <r>
    <n v="3"/>
    <d v="2019-12-15T00:00:00"/>
    <x v="1"/>
    <n v="2811.9139999999998"/>
    <n v="1487.2270000000001"/>
    <x v="2"/>
    <x v="0"/>
    <x v="11"/>
    <n v="3"/>
  </r>
  <r>
    <n v="3"/>
    <d v="2019-12-15T00:00:00"/>
    <x v="3"/>
    <n v="0"/>
    <n v="223.33500000000001"/>
    <x v="2"/>
    <x v="0"/>
    <x v="11"/>
    <n v="3"/>
  </r>
  <r>
    <n v="3"/>
    <d v="2019-12-16T00:00:00"/>
    <x v="0"/>
    <n v="2472.9249999999997"/>
    <n v="3097.9059999999999"/>
    <x v="2"/>
    <x v="0"/>
    <x v="11"/>
    <n v="4"/>
  </r>
  <r>
    <n v="3"/>
    <d v="2019-12-16T00:00:00"/>
    <x v="2"/>
    <n v="853.62199999999996"/>
    <n v="751.00199999999984"/>
    <x v="2"/>
    <x v="0"/>
    <x v="11"/>
    <n v="4"/>
  </r>
  <r>
    <n v="3"/>
    <d v="2019-12-16T00:00:00"/>
    <x v="3"/>
    <n v="217.161"/>
    <n v="293.71999999999997"/>
    <x v="2"/>
    <x v="0"/>
    <x v="11"/>
    <n v="4"/>
  </r>
  <r>
    <n v="3"/>
    <d v="2019-12-16T00:00:00"/>
    <x v="1"/>
    <n v="2964.7589999999996"/>
    <n v="2945.404"/>
    <x v="2"/>
    <x v="0"/>
    <x v="11"/>
    <n v="4"/>
  </r>
  <r>
    <n v="3"/>
    <d v="2019-12-17T00:00:00"/>
    <x v="0"/>
    <n v="2975.9519999999998"/>
    <n v="3231.8929999999996"/>
    <x v="2"/>
    <x v="0"/>
    <x v="11"/>
    <n v="4"/>
  </r>
  <r>
    <n v="3"/>
    <d v="2019-12-17T00:00:00"/>
    <x v="2"/>
    <n v="1398.579"/>
    <n v="835.74400000000003"/>
    <x v="2"/>
    <x v="0"/>
    <x v="11"/>
    <n v="4"/>
  </r>
  <r>
    <n v="3"/>
    <d v="2019-12-17T00:00:00"/>
    <x v="1"/>
    <n v="3251.1989999999996"/>
    <n v="3393.8450000000003"/>
    <x v="2"/>
    <x v="0"/>
    <x v="11"/>
    <n v="4"/>
  </r>
  <r>
    <n v="3"/>
    <d v="2019-12-17T00:00:00"/>
    <x v="3"/>
    <n v="160.85999999999999"/>
    <n v="400.036"/>
    <x v="2"/>
    <x v="0"/>
    <x v="11"/>
    <n v="4"/>
  </r>
  <r>
    <n v="3"/>
    <d v="2019-12-18T00:00:00"/>
    <x v="0"/>
    <n v="3098.8719999999998"/>
    <n v="3329.8369999999995"/>
    <x v="2"/>
    <x v="0"/>
    <x v="11"/>
    <n v="4"/>
  </r>
  <r>
    <n v="3"/>
    <d v="2019-12-18T00:00:00"/>
    <x v="2"/>
    <n v="1720.32"/>
    <n v="1020.593"/>
    <x v="2"/>
    <x v="0"/>
    <x v="11"/>
    <n v="4"/>
  </r>
  <r>
    <n v="3"/>
    <d v="2019-12-18T00:00:00"/>
    <x v="3"/>
    <n v="0"/>
    <n v="0"/>
    <x v="2"/>
    <x v="0"/>
    <x v="11"/>
    <n v="4"/>
  </r>
  <r>
    <n v="3"/>
    <d v="2019-12-18T00:00:00"/>
    <x v="1"/>
    <n v="3010.3359999999993"/>
    <n v="3126.1019999999994"/>
    <x v="2"/>
    <x v="0"/>
    <x v="11"/>
    <n v="4"/>
  </r>
  <r>
    <n v="3"/>
    <d v="2019-12-19T00:00:00"/>
    <x v="0"/>
    <n v="3976.4549999999995"/>
    <n v="3543.1549999999997"/>
    <x v="2"/>
    <x v="0"/>
    <x v="11"/>
    <n v="4"/>
  </r>
  <r>
    <n v="3"/>
    <d v="2019-12-19T00:00:00"/>
    <x v="2"/>
    <n v="1590.3579999999999"/>
    <n v="1434.6499999999999"/>
    <x v="2"/>
    <x v="0"/>
    <x v="11"/>
    <n v="4"/>
  </r>
  <r>
    <n v="3"/>
    <d v="2019-12-19T00:00:00"/>
    <x v="1"/>
    <n v="3203.5359999999996"/>
    <n v="2560.5160000000001"/>
    <x v="2"/>
    <x v="0"/>
    <x v="11"/>
    <n v="4"/>
  </r>
  <r>
    <n v="3"/>
    <d v="2019-12-19T00:00:00"/>
    <x v="3"/>
    <n v="0"/>
    <n v="335.71999999999997"/>
    <x v="2"/>
    <x v="0"/>
    <x v="11"/>
    <n v="4"/>
  </r>
  <r>
    <n v="3"/>
    <d v="2019-12-20T00:00:00"/>
    <x v="0"/>
    <n v="4010.1179999999995"/>
    <n v="4039.3289999999997"/>
    <x v="2"/>
    <x v="0"/>
    <x v="11"/>
    <n v="4"/>
  </r>
  <r>
    <n v="3"/>
    <d v="2019-12-20T00:00:00"/>
    <x v="2"/>
    <n v="1807.05"/>
    <n v="1665.3910000000001"/>
    <x v="2"/>
    <x v="0"/>
    <x v="11"/>
    <n v="4"/>
  </r>
  <r>
    <n v="3"/>
    <d v="2019-12-20T00:00:00"/>
    <x v="3"/>
    <n v="268.87700000000001"/>
    <n v="200.28399999999999"/>
    <x v="2"/>
    <x v="0"/>
    <x v="11"/>
    <n v="4"/>
  </r>
  <r>
    <n v="3"/>
    <d v="2019-12-20T00:00:00"/>
    <x v="1"/>
    <n v="3506.9859999999994"/>
    <n v="3433.2759999999998"/>
    <x v="2"/>
    <x v="0"/>
    <x v="11"/>
    <n v="4"/>
  </r>
  <r>
    <n v="3"/>
    <d v="2019-12-21T00:00:00"/>
    <x v="1"/>
    <n v="2911.5729999999999"/>
    <n v="2874.0390000000002"/>
    <x v="2"/>
    <x v="0"/>
    <x v="11"/>
    <n v="4"/>
  </r>
  <r>
    <n v="3"/>
    <d v="2019-12-21T00:00:00"/>
    <x v="0"/>
    <n v="3328.5070000000001"/>
    <n v="3745.4059999999995"/>
    <x v="2"/>
    <x v="0"/>
    <x v="11"/>
    <n v="4"/>
  </r>
  <r>
    <n v="3"/>
    <d v="2019-12-21T00:00:00"/>
    <x v="2"/>
    <n v="1527.9039999999998"/>
    <n v="801.16399999999999"/>
    <x v="2"/>
    <x v="0"/>
    <x v="11"/>
    <n v="4"/>
  </r>
  <r>
    <n v="3"/>
    <d v="2019-12-21T00:00:00"/>
    <x v="3"/>
    <n v="240.97499999999999"/>
    <n v="197.57499999999999"/>
    <x v="2"/>
    <x v="0"/>
    <x v="11"/>
    <n v="4"/>
  </r>
  <r>
    <n v="3"/>
    <d v="2019-12-22T00:00:00"/>
    <x v="1"/>
    <n v="2489.578"/>
    <n v="2144.7089999999998"/>
    <x v="2"/>
    <x v="0"/>
    <x v="11"/>
    <n v="4"/>
  </r>
  <r>
    <n v="3"/>
    <d v="2019-12-22T00:00:00"/>
    <x v="2"/>
    <n v="1245.377"/>
    <n v="416.35999999999996"/>
    <x v="2"/>
    <x v="0"/>
    <x v="11"/>
    <n v="4"/>
  </r>
  <r>
    <n v="3"/>
    <d v="2019-12-22T00:00:00"/>
    <x v="0"/>
    <n v="3177.5799999999995"/>
    <n v="2503.7949999999996"/>
    <x v="2"/>
    <x v="0"/>
    <x v="11"/>
    <n v="4"/>
  </r>
  <r>
    <n v="3"/>
    <d v="2019-12-22T00:00:00"/>
    <x v="3"/>
    <n v="65.267999999999986"/>
    <n v="0"/>
    <x v="2"/>
    <x v="0"/>
    <x v="11"/>
    <n v="4"/>
  </r>
  <r>
    <n v="3"/>
    <d v="2019-12-23T00:00:00"/>
    <x v="1"/>
    <n v="2650.83"/>
    <n v="1565.8089999999997"/>
    <x v="2"/>
    <x v="0"/>
    <x v="11"/>
    <n v="5"/>
  </r>
  <r>
    <n v="3"/>
    <d v="2019-12-23T00:00:00"/>
    <x v="0"/>
    <n v="3918.3689999999997"/>
    <n v="2050.1389999999997"/>
    <x v="2"/>
    <x v="0"/>
    <x v="11"/>
    <n v="5"/>
  </r>
  <r>
    <n v="3"/>
    <d v="2019-12-23T00:00:00"/>
    <x v="3"/>
    <n v="263.17900000000003"/>
    <n v="268.11399999999998"/>
    <x v="2"/>
    <x v="0"/>
    <x v="11"/>
    <n v="5"/>
  </r>
  <r>
    <n v="3"/>
    <d v="2019-12-23T00:00:00"/>
    <x v="2"/>
    <n v="1812.307"/>
    <n v="337.68700000000001"/>
    <x v="2"/>
    <x v="0"/>
    <x v="11"/>
    <n v="5"/>
  </r>
  <r>
    <n v="3"/>
    <d v="2019-12-24T00:00:00"/>
    <x v="3"/>
    <n v="476.81199999999995"/>
    <n v="0"/>
    <x v="2"/>
    <x v="0"/>
    <x v="11"/>
    <n v="5"/>
  </r>
  <r>
    <n v="3"/>
    <d v="2019-12-24T00:00:00"/>
    <x v="0"/>
    <n v="1756.1529999999998"/>
    <n v="0"/>
    <x v="2"/>
    <x v="0"/>
    <x v="11"/>
    <n v="5"/>
  </r>
  <r>
    <n v="3"/>
    <d v="2019-12-24T00:00:00"/>
    <x v="2"/>
    <n v="1099.9519999999998"/>
    <n v="0"/>
    <x v="2"/>
    <x v="0"/>
    <x v="11"/>
    <n v="5"/>
  </r>
  <r>
    <n v="3"/>
    <d v="2019-12-24T00:00:00"/>
    <x v="1"/>
    <n v="1729.98"/>
    <n v="0"/>
    <x v="2"/>
    <x v="0"/>
    <x v="11"/>
    <n v="5"/>
  </r>
  <r>
    <n v="3"/>
    <d v="2019-12-25T00:00:00"/>
    <x v="0"/>
    <n v="0"/>
    <n v="3738.91"/>
    <x v="2"/>
    <x v="0"/>
    <x v="11"/>
    <n v="5"/>
  </r>
  <r>
    <n v="3"/>
    <d v="2019-12-25T00:00:00"/>
    <x v="3"/>
    <n v="0"/>
    <n v="0"/>
    <x v="2"/>
    <x v="0"/>
    <x v="11"/>
    <n v="5"/>
  </r>
  <r>
    <n v="3"/>
    <d v="2019-12-25T00:00:00"/>
    <x v="1"/>
    <n v="0"/>
    <n v="2472.6239999999998"/>
    <x v="2"/>
    <x v="0"/>
    <x v="11"/>
    <n v="5"/>
  </r>
  <r>
    <n v="3"/>
    <d v="2019-12-25T00:00:00"/>
    <x v="2"/>
    <n v="0"/>
    <n v="1257.4449999999999"/>
    <x v="2"/>
    <x v="0"/>
    <x v="11"/>
    <n v="5"/>
  </r>
  <r>
    <n v="3"/>
    <d v="2019-12-26T00:00:00"/>
    <x v="0"/>
    <n v="3499.9719999999998"/>
    <n v="3594.0239999999994"/>
    <x v="2"/>
    <x v="0"/>
    <x v="11"/>
    <n v="5"/>
  </r>
  <r>
    <n v="3"/>
    <d v="2019-12-26T00:00:00"/>
    <x v="1"/>
    <n v="3067.029"/>
    <n v="3182.2629999999999"/>
    <x v="2"/>
    <x v="0"/>
    <x v="11"/>
    <n v="5"/>
  </r>
  <r>
    <n v="3"/>
    <d v="2019-12-26T00:00:00"/>
    <x v="2"/>
    <n v="1074.4929999999999"/>
    <n v="1063.6709999999998"/>
    <x v="2"/>
    <x v="0"/>
    <x v="11"/>
    <n v="5"/>
  </r>
  <r>
    <n v="3"/>
    <d v="2019-12-26T00:00:00"/>
    <x v="3"/>
    <n v="0"/>
    <n v="0"/>
    <x v="2"/>
    <x v="0"/>
    <x v="11"/>
    <n v="5"/>
  </r>
  <r>
    <n v="3"/>
    <d v="2019-12-27T00:00:00"/>
    <x v="2"/>
    <n v="1538.691"/>
    <n v="1405.7819999999999"/>
    <x v="2"/>
    <x v="0"/>
    <x v="11"/>
    <n v="5"/>
  </r>
  <r>
    <n v="3"/>
    <d v="2019-12-27T00:00:00"/>
    <x v="1"/>
    <n v="3206.7209999999995"/>
    <n v="3441.1929999999998"/>
    <x v="2"/>
    <x v="0"/>
    <x v="11"/>
    <n v="5"/>
  </r>
  <r>
    <n v="3"/>
    <d v="2019-12-27T00:00:00"/>
    <x v="0"/>
    <n v="3497.8579999999997"/>
    <n v="4030.6489999999994"/>
    <x v="2"/>
    <x v="0"/>
    <x v="11"/>
    <n v="5"/>
  </r>
  <r>
    <n v="3"/>
    <d v="2019-12-27T00:00:00"/>
    <x v="3"/>
    <n v="160.85999999999999"/>
    <n v="0"/>
    <x v="2"/>
    <x v="0"/>
    <x v="11"/>
    <n v="5"/>
  </r>
  <r>
    <n v="3"/>
    <d v="2019-12-28T00:00:00"/>
    <x v="1"/>
    <n v="3286.1640000000002"/>
    <n v="3450.9089999999997"/>
    <x v="2"/>
    <x v="0"/>
    <x v="11"/>
    <n v="5"/>
  </r>
  <r>
    <n v="3"/>
    <d v="2019-12-28T00:00:00"/>
    <x v="2"/>
    <n v="1721.1179999999997"/>
    <n v="976.14299999999992"/>
    <x v="2"/>
    <x v="0"/>
    <x v="11"/>
    <n v="5"/>
  </r>
  <r>
    <n v="3"/>
    <d v="2019-12-28T00:00:00"/>
    <x v="3"/>
    <n v="0"/>
    <n v="93.268000000000001"/>
    <x v="2"/>
    <x v="0"/>
    <x v="11"/>
    <n v="5"/>
  </r>
  <r>
    <n v="3"/>
    <d v="2019-12-28T00:00:00"/>
    <x v="0"/>
    <n v="3000.7109999999993"/>
    <n v="3821.3279999999995"/>
    <x v="2"/>
    <x v="0"/>
    <x v="11"/>
    <n v="5"/>
  </r>
  <r>
    <n v="3"/>
    <d v="2019-12-29T00:00:00"/>
    <x v="2"/>
    <n v="1086.029"/>
    <n v="689.96899999999994"/>
    <x v="2"/>
    <x v="0"/>
    <x v="11"/>
    <n v="5"/>
  </r>
  <r>
    <n v="3"/>
    <d v="2019-12-29T00:00:00"/>
    <x v="1"/>
    <n v="2943.8149999999996"/>
    <n v="2771.16"/>
    <x v="2"/>
    <x v="0"/>
    <x v="11"/>
    <n v="5"/>
  </r>
  <r>
    <n v="3"/>
    <d v="2019-12-29T00:00:00"/>
    <x v="3"/>
    <n v="0"/>
    <n v="0"/>
    <x v="2"/>
    <x v="0"/>
    <x v="11"/>
    <n v="5"/>
  </r>
  <r>
    <n v="3"/>
    <d v="2019-12-29T00:00:00"/>
    <x v="0"/>
    <n v="2757.8739999999998"/>
    <n v="1337.0279999999998"/>
    <x v="2"/>
    <x v="0"/>
    <x v="11"/>
    <n v="5"/>
  </r>
  <r>
    <n v="3"/>
    <d v="2019-12-30T00:00:00"/>
    <x v="2"/>
    <n v="1529.7869999999998"/>
    <n v="830.56399999999996"/>
    <x v="2"/>
    <x v="1"/>
    <x v="0"/>
    <n v="1"/>
  </r>
  <r>
    <n v="3"/>
    <d v="2019-12-30T00:00:00"/>
    <x v="0"/>
    <n v="3619.8469999999998"/>
    <n v="2689.68"/>
    <x v="2"/>
    <x v="1"/>
    <x v="0"/>
    <n v="1"/>
  </r>
  <r>
    <n v="3"/>
    <d v="2019-12-30T00:00:00"/>
    <x v="3"/>
    <n v="0"/>
    <n v="562.74399999999991"/>
    <x v="2"/>
    <x v="1"/>
    <x v="0"/>
    <n v="1"/>
  </r>
  <r>
    <n v="3"/>
    <d v="2019-12-30T00:00:00"/>
    <x v="1"/>
    <n v="2984.0859999999993"/>
    <n v="2512.4539999999997"/>
    <x v="2"/>
    <x v="1"/>
    <x v="0"/>
    <n v="1"/>
  </r>
  <r>
    <n v="3"/>
    <d v="2019-12-31T00:00:00"/>
    <x v="0"/>
    <n v="2415.2589999999996"/>
    <n v="3371.326"/>
    <x v="2"/>
    <x v="1"/>
    <x v="0"/>
    <n v="1"/>
  </r>
  <r>
    <n v="3"/>
    <d v="2019-12-31T00:00:00"/>
    <x v="3"/>
    <n v="197.09899999999999"/>
    <n v="0"/>
    <x v="2"/>
    <x v="1"/>
    <x v="0"/>
    <n v="1"/>
  </r>
  <r>
    <n v="3"/>
    <d v="2019-12-31T00:00:00"/>
    <x v="2"/>
    <n v="1421.9029999999998"/>
    <n v="1008.329"/>
    <x v="2"/>
    <x v="1"/>
    <x v="0"/>
    <n v="1"/>
  </r>
  <r>
    <n v="3"/>
    <d v="2019-12-31T00:00:00"/>
    <x v="1"/>
    <n v="2871.0569999999998"/>
    <n v="3022.1659999999997"/>
    <x v="2"/>
    <x v="1"/>
    <x v="0"/>
    <n v="1"/>
  </r>
  <r>
    <n v="3"/>
    <d v="2020-01-01T00:00:00"/>
    <x v="0"/>
    <n v="2985.3040000000001"/>
    <n v="2752.6379999999999"/>
    <x v="2"/>
    <x v="1"/>
    <x v="0"/>
    <n v="1"/>
  </r>
  <r>
    <n v="3"/>
    <d v="2020-01-01T00:00:00"/>
    <x v="2"/>
    <n v="1453.3050000000001"/>
    <n v="1110.2279999999998"/>
    <x v="2"/>
    <x v="1"/>
    <x v="0"/>
    <n v="1"/>
  </r>
  <r>
    <n v="3"/>
    <d v="2020-01-01T00:00:00"/>
    <x v="1"/>
    <n v="2876.3559999999998"/>
    <n v="2740.395"/>
    <x v="2"/>
    <x v="1"/>
    <x v="0"/>
    <n v="1"/>
  </r>
  <r>
    <n v="3"/>
    <d v="2020-01-01T00:00:00"/>
    <x v="3"/>
    <n v="0"/>
    <n v="0"/>
    <x v="2"/>
    <x v="1"/>
    <x v="0"/>
    <n v="1"/>
  </r>
  <r>
    <n v="3"/>
    <d v="2020-01-02T00:00:00"/>
    <x v="0"/>
    <n v="3279.0729999999999"/>
    <n v="3010.0419999999999"/>
    <x v="2"/>
    <x v="1"/>
    <x v="0"/>
    <n v="1"/>
  </r>
  <r>
    <n v="3"/>
    <d v="2020-01-02T00:00:00"/>
    <x v="1"/>
    <n v="3125.3459999999995"/>
    <n v="2796.8849999999998"/>
    <x v="2"/>
    <x v="1"/>
    <x v="0"/>
    <n v="1"/>
  </r>
  <r>
    <n v="3"/>
    <d v="2020-01-02T00:00:00"/>
    <x v="2"/>
    <n v="1477.175"/>
    <n v="1152.6199999999999"/>
    <x v="2"/>
    <x v="1"/>
    <x v="0"/>
    <n v="1"/>
  </r>
  <r>
    <n v="3"/>
    <d v="2020-01-02T00:00:00"/>
    <x v="3"/>
    <n v="0"/>
    <n v="260.74299999999999"/>
    <x v="2"/>
    <x v="1"/>
    <x v="0"/>
    <n v="1"/>
  </r>
  <r>
    <n v="3"/>
    <d v="2020-01-03T00:00:00"/>
    <x v="3"/>
    <n v="0"/>
    <n v="10.843"/>
    <x v="2"/>
    <x v="1"/>
    <x v="0"/>
    <n v="1"/>
  </r>
  <r>
    <n v="3"/>
    <d v="2020-01-03T00:00:00"/>
    <x v="2"/>
    <n v="2113.3419999999996"/>
    <n v="1149.33"/>
    <x v="2"/>
    <x v="1"/>
    <x v="0"/>
    <n v="1"/>
  </r>
  <r>
    <n v="3"/>
    <d v="2020-01-03T00:00:00"/>
    <x v="0"/>
    <n v="3443.0059999999999"/>
    <n v="3822.8679999999995"/>
    <x v="2"/>
    <x v="1"/>
    <x v="0"/>
    <n v="1"/>
  </r>
  <r>
    <n v="3"/>
    <d v="2020-01-03T00:00:00"/>
    <x v="1"/>
    <n v="3352.4119999999998"/>
    <n v="3420.7459999999996"/>
    <x v="2"/>
    <x v="1"/>
    <x v="0"/>
    <n v="1"/>
  </r>
  <r>
    <n v="3"/>
    <d v="2020-01-04T00:00:00"/>
    <x v="0"/>
    <n v="3457.9089999999997"/>
    <n v="3919.1039999999998"/>
    <x v="2"/>
    <x v="1"/>
    <x v="0"/>
    <n v="1"/>
  </r>
  <r>
    <n v="3"/>
    <d v="2020-01-04T00:00:00"/>
    <x v="3"/>
    <n v="160.85999999999999"/>
    <n v="153.85999999999999"/>
    <x v="2"/>
    <x v="1"/>
    <x v="0"/>
    <n v="1"/>
  </r>
  <r>
    <n v="3"/>
    <d v="2020-01-04T00:00:00"/>
    <x v="1"/>
    <n v="3034.4859999999994"/>
    <n v="3538.2549999999997"/>
    <x v="2"/>
    <x v="1"/>
    <x v="0"/>
    <n v="1"/>
  </r>
  <r>
    <n v="3"/>
    <d v="2020-01-04T00:00:00"/>
    <x v="2"/>
    <n v="1247.617"/>
    <n v="1000.5379999999999"/>
    <x v="2"/>
    <x v="1"/>
    <x v="0"/>
    <n v="1"/>
  </r>
  <r>
    <n v="3"/>
    <d v="2020-01-05T00:00:00"/>
    <x v="0"/>
    <n v="3057.1239999999998"/>
    <n v="2545.5009999999997"/>
    <x v="2"/>
    <x v="1"/>
    <x v="0"/>
    <n v="1"/>
  </r>
  <r>
    <n v="3"/>
    <d v="2020-01-05T00:00:00"/>
    <x v="1"/>
    <n v="2473.9189999999999"/>
    <n v="2494.1"/>
    <x v="2"/>
    <x v="1"/>
    <x v="0"/>
    <n v="1"/>
  </r>
  <r>
    <n v="3"/>
    <d v="2020-01-05T00:00:00"/>
    <x v="2"/>
    <n v="1603.5039999999997"/>
    <n v="614.649"/>
    <x v="2"/>
    <x v="1"/>
    <x v="0"/>
    <n v="1"/>
  </r>
  <r>
    <n v="3"/>
    <d v="2020-01-05T00:00:00"/>
    <x v="3"/>
    <n v="281.93199999999996"/>
    <n v="169.24599999999998"/>
    <x v="2"/>
    <x v="1"/>
    <x v="0"/>
    <n v="1"/>
  </r>
  <r>
    <n v="3"/>
    <d v="2020-01-06T00:00:00"/>
    <x v="2"/>
    <n v="1135.1339999999998"/>
    <n v="678.07599999999991"/>
    <x v="2"/>
    <x v="1"/>
    <x v="0"/>
    <n v="2"/>
  </r>
  <r>
    <n v="3"/>
    <d v="2020-01-06T00:00:00"/>
    <x v="0"/>
    <n v="2740.8989999999999"/>
    <n v="2577.9740000000002"/>
    <x v="2"/>
    <x v="1"/>
    <x v="0"/>
    <n v="2"/>
  </r>
  <r>
    <n v="3"/>
    <d v="2020-01-06T00:00:00"/>
    <x v="3"/>
    <n v="15.084999999999999"/>
    <n v="18.535999999999998"/>
    <x v="2"/>
    <x v="1"/>
    <x v="0"/>
    <n v="2"/>
  </r>
  <r>
    <n v="3"/>
    <d v="2020-01-06T00:00:00"/>
    <x v="1"/>
    <n v="3154.2980000000002"/>
    <n v="2907.7019999999998"/>
    <x v="2"/>
    <x v="1"/>
    <x v="0"/>
    <n v="2"/>
  </r>
  <r>
    <n v="3"/>
    <d v="2020-01-07T00:00:00"/>
    <x v="2"/>
    <n v="1078.2379999999998"/>
    <n v="840.63"/>
    <x v="2"/>
    <x v="1"/>
    <x v="0"/>
    <n v="2"/>
  </r>
  <r>
    <n v="3"/>
    <d v="2020-01-07T00:00:00"/>
    <x v="1"/>
    <n v="2906.0079999999994"/>
    <n v="2890.8739999999998"/>
    <x v="2"/>
    <x v="1"/>
    <x v="0"/>
    <n v="2"/>
  </r>
  <r>
    <n v="3"/>
    <d v="2020-01-07T00:00:00"/>
    <x v="0"/>
    <n v="2921.1489999999994"/>
    <n v="3072.5729999999999"/>
    <x v="2"/>
    <x v="1"/>
    <x v="0"/>
    <n v="2"/>
  </r>
  <r>
    <n v="3"/>
    <d v="2020-01-07T00:00:00"/>
    <x v="3"/>
    <n v="378.238"/>
    <n v="153.85999999999999"/>
    <x v="2"/>
    <x v="1"/>
    <x v="0"/>
    <n v="2"/>
  </r>
  <r>
    <n v="3"/>
    <d v="2020-01-08T00:00:00"/>
    <x v="2"/>
    <n v="1092.5739999999998"/>
    <n v="979.54499999999985"/>
    <x v="2"/>
    <x v="1"/>
    <x v="0"/>
    <n v="2"/>
  </r>
  <r>
    <n v="3"/>
    <d v="2020-01-08T00:00:00"/>
    <x v="0"/>
    <n v="2749.614"/>
    <n v="3021.4799999999996"/>
    <x v="2"/>
    <x v="1"/>
    <x v="0"/>
    <n v="2"/>
  </r>
  <r>
    <n v="3"/>
    <d v="2020-01-08T00:00:00"/>
    <x v="3"/>
    <n v="0"/>
    <n v="23.484999999999996"/>
    <x v="2"/>
    <x v="1"/>
    <x v="0"/>
    <n v="2"/>
  </r>
  <r>
    <n v="3"/>
    <d v="2020-01-08T00:00:00"/>
    <x v="1"/>
    <n v="3079.6779999999999"/>
    <n v="2924.6489999999994"/>
    <x v="2"/>
    <x v="1"/>
    <x v="0"/>
    <n v="2"/>
  </r>
  <r>
    <n v="3"/>
    <d v="2020-01-09T00:00:00"/>
    <x v="2"/>
    <n v="1797.4669999999999"/>
    <n v="876.72899999999993"/>
    <x v="2"/>
    <x v="1"/>
    <x v="0"/>
    <n v="2"/>
  </r>
  <r>
    <n v="3"/>
    <d v="2020-01-09T00:00:00"/>
    <x v="3"/>
    <n v="0"/>
    <n v="0"/>
    <x v="2"/>
    <x v="1"/>
    <x v="0"/>
    <n v="2"/>
  </r>
  <r>
    <n v="3"/>
    <d v="2020-01-09T00:00:00"/>
    <x v="0"/>
    <n v="3245.8369999999995"/>
    <n v="3301.7599999999998"/>
    <x v="2"/>
    <x v="1"/>
    <x v="0"/>
    <n v="2"/>
  </r>
  <r>
    <n v="3"/>
    <d v="2020-01-09T00:00:00"/>
    <x v="1"/>
    <n v="3058.1459999999997"/>
    <n v="3120.6839999999997"/>
    <x v="2"/>
    <x v="1"/>
    <x v="0"/>
    <n v="2"/>
  </r>
  <r>
    <n v="3"/>
    <d v="2020-01-10T00:00:00"/>
    <x v="2"/>
    <n v="1729.2869999999998"/>
    <n v="944.72699999999986"/>
    <x v="2"/>
    <x v="1"/>
    <x v="0"/>
    <n v="2"/>
  </r>
  <r>
    <n v="3"/>
    <d v="2020-01-10T00:00:00"/>
    <x v="0"/>
    <n v="3695.5799999999995"/>
    <n v="3916.9409999999998"/>
    <x v="2"/>
    <x v="1"/>
    <x v="0"/>
    <n v="2"/>
  </r>
  <r>
    <n v="3"/>
    <d v="2020-01-10T00:00:00"/>
    <x v="1"/>
    <n v="3029.817"/>
    <n v="3776.4159999999997"/>
    <x v="2"/>
    <x v="1"/>
    <x v="0"/>
    <n v="2"/>
  </r>
  <r>
    <n v="3"/>
    <d v="2020-01-10T00:00:00"/>
    <x v="3"/>
    <n v="36.511999999999993"/>
    <n v="27.257999999999996"/>
    <x v="2"/>
    <x v="1"/>
    <x v="0"/>
    <n v="2"/>
  </r>
  <r>
    <n v="3"/>
    <d v="2020-01-11T00:00:00"/>
    <x v="0"/>
    <n v="2918.7269999999994"/>
    <n v="4455.485999999999"/>
    <x v="2"/>
    <x v="1"/>
    <x v="0"/>
    <n v="2"/>
  </r>
  <r>
    <n v="3"/>
    <d v="2020-01-11T00:00:00"/>
    <x v="2"/>
    <n v="841.904"/>
    <n v="1154.1599999999999"/>
    <x v="2"/>
    <x v="1"/>
    <x v="0"/>
    <n v="2"/>
  </r>
  <r>
    <n v="3"/>
    <d v="2020-01-11T00:00:00"/>
    <x v="3"/>
    <n v="713.0619999999999"/>
    <n v="200.65499999999997"/>
    <x v="2"/>
    <x v="1"/>
    <x v="0"/>
    <n v="2"/>
  </r>
  <r>
    <n v="3"/>
    <d v="2020-01-11T00:00:00"/>
    <x v="1"/>
    <n v="2933.6369999999997"/>
    <n v="3449.0609999999997"/>
    <x v="2"/>
    <x v="1"/>
    <x v="0"/>
    <n v="2"/>
  </r>
  <r>
    <n v="3"/>
    <d v="2020-01-12T00:00:00"/>
    <x v="2"/>
    <n v="1715.105"/>
    <n v="694.08499999999992"/>
    <x v="2"/>
    <x v="1"/>
    <x v="0"/>
    <n v="2"/>
  </r>
  <r>
    <n v="3"/>
    <d v="2020-01-12T00:00:00"/>
    <x v="3"/>
    <n v="146.93699999999998"/>
    <n v="213.91299999999998"/>
    <x v="2"/>
    <x v="1"/>
    <x v="0"/>
    <n v="2"/>
  </r>
  <r>
    <n v="3"/>
    <d v="2020-01-12T00:00:00"/>
    <x v="1"/>
    <n v="2790.116"/>
    <n v="2435.125"/>
    <x v="2"/>
    <x v="1"/>
    <x v="0"/>
    <n v="2"/>
  </r>
  <r>
    <n v="3"/>
    <d v="2020-01-12T00:00:00"/>
    <x v="0"/>
    <n v="2548.3849999999998"/>
    <n v="2611.7489999999998"/>
    <x v="2"/>
    <x v="1"/>
    <x v="0"/>
    <n v="2"/>
  </r>
  <r>
    <n v="3"/>
    <d v="2020-01-13T00:00:00"/>
    <x v="0"/>
    <n v="2697.0719999999997"/>
    <n v="3107.9859999999994"/>
    <x v="2"/>
    <x v="1"/>
    <x v="0"/>
    <n v="3"/>
  </r>
  <r>
    <n v="3"/>
    <d v="2020-01-13T00:00:00"/>
    <x v="1"/>
    <n v="2957.7799999999997"/>
    <n v="2942.7299999999996"/>
    <x v="2"/>
    <x v="1"/>
    <x v="0"/>
    <n v="3"/>
  </r>
  <r>
    <n v="3"/>
    <d v="2020-01-13T00:00:00"/>
    <x v="3"/>
    <n v="0"/>
    <n v="0"/>
    <x v="2"/>
    <x v="1"/>
    <x v="0"/>
    <n v="3"/>
  </r>
  <r>
    <n v="3"/>
    <d v="2020-01-13T00:00:00"/>
    <x v="2"/>
    <n v="1246.9870000000001"/>
    <n v="705.90800000000002"/>
    <x v="2"/>
    <x v="1"/>
    <x v="0"/>
    <n v="3"/>
  </r>
  <r>
    <n v="3"/>
    <d v="2020-01-14T00:00:00"/>
    <x v="3"/>
    <n v="0"/>
    <n v="0"/>
    <x v="2"/>
    <x v="1"/>
    <x v="0"/>
    <n v="3"/>
  </r>
  <r>
    <n v="3"/>
    <d v="2020-01-14T00:00:00"/>
    <x v="2"/>
    <n v="1712.242"/>
    <n v="719.68399999999986"/>
    <x v="2"/>
    <x v="1"/>
    <x v="0"/>
    <n v="3"/>
  </r>
  <r>
    <n v="3"/>
    <d v="2020-01-14T00:00:00"/>
    <x v="0"/>
    <n v="2654.9110000000001"/>
    <n v="2910.5790000000002"/>
    <x v="2"/>
    <x v="1"/>
    <x v="0"/>
    <n v="3"/>
  </r>
  <r>
    <n v="3"/>
    <d v="2020-01-14T00:00:00"/>
    <x v="1"/>
    <n v="2993.6829999999995"/>
    <n v="3221.1129999999998"/>
    <x v="2"/>
    <x v="1"/>
    <x v="0"/>
    <n v="3"/>
  </r>
  <r>
    <n v="3"/>
    <d v="2020-01-15T00:00:00"/>
    <x v="0"/>
    <n v="3038.154"/>
    <n v="3260.2359999999994"/>
    <x v="2"/>
    <x v="1"/>
    <x v="0"/>
    <n v="3"/>
  </r>
  <r>
    <n v="3"/>
    <d v="2020-01-15T00:00:00"/>
    <x v="2"/>
    <n v="1867.2919999999999"/>
    <n v="893.26299999999992"/>
    <x v="2"/>
    <x v="1"/>
    <x v="0"/>
    <n v="3"/>
  </r>
  <r>
    <n v="3"/>
    <d v="2020-01-15T00:00:00"/>
    <x v="1"/>
    <n v="2950.8779999999997"/>
    <n v="3218.0189999999998"/>
    <x v="2"/>
    <x v="1"/>
    <x v="0"/>
    <n v="3"/>
  </r>
  <r>
    <n v="3"/>
    <d v="2020-01-15T00:00:00"/>
    <x v="3"/>
    <n v="415.65299999999996"/>
    <n v="0"/>
    <x v="2"/>
    <x v="1"/>
    <x v="0"/>
    <n v="3"/>
  </r>
  <r>
    <n v="3"/>
    <d v="2020-01-16T00:00:00"/>
    <x v="0"/>
    <n v="3936.4709999999995"/>
    <n v="3192.2730000000001"/>
    <x v="2"/>
    <x v="1"/>
    <x v="0"/>
    <n v="3"/>
  </r>
  <r>
    <n v="3"/>
    <d v="2020-01-16T00:00:00"/>
    <x v="2"/>
    <n v="1754.046"/>
    <n v="957.68399999999986"/>
    <x v="2"/>
    <x v="1"/>
    <x v="0"/>
    <n v="3"/>
  </r>
  <r>
    <n v="3"/>
    <d v="2020-01-16T00:00:00"/>
    <x v="3"/>
    <n v="29.896999999999998"/>
    <n v="163.29599999999999"/>
    <x v="2"/>
    <x v="1"/>
    <x v="0"/>
    <n v="3"/>
  </r>
  <r>
    <n v="3"/>
    <d v="2020-01-16T00:00:00"/>
    <x v="1"/>
    <n v="3399.116"/>
    <n v="3401.9719999999998"/>
    <x v="2"/>
    <x v="1"/>
    <x v="0"/>
    <n v="3"/>
  </r>
  <r>
    <n v="3"/>
    <d v="2020-01-17T00:00:00"/>
    <x v="2"/>
    <n v="1963.7309999999998"/>
    <n v="1442.9939999999999"/>
    <x v="2"/>
    <x v="1"/>
    <x v="0"/>
    <n v="3"/>
  </r>
  <r>
    <n v="3"/>
    <d v="2020-01-17T00:00:00"/>
    <x v="1"/>
    <n v="3712.9609999999993"/>
    <n v="3545.6119999999996"/>
    <x v="2"/>
    <x v="1"/>
    <x v="0"/>
    <n v="3"/>
  </r>
  <r>
    <n v="3"/>
    <d v="2020-01-17T00:00:00"/>
    <x v="0"/>
    <n v="3707.4379999999996"/>
    <n v="4275.3549999999996"/>
    <x v="2"/>
    <x v="1"/>
    <x v="0"/>
    <n v="3"/>
  </r>
  <r>
    <n v="3"/>
    <d v="2020-01-17T00:00:00"/>
    <x v="3"/>
    <n v="72.197999999999993"/>
    <n v="0"/>
    <x v="2"/>
    <x v="1"/>
    <x v="0"/>
    <n v="3"/>
  </r>
  <r>
    <n v="3"/>
    <d v="2020-01-18T00:00:00"/>
    <x v="2"/>
    <n v="1689.3520000000001"/>
    <n v="920.37399999999991"/>
    <x v="2"/>
    <x v="1"/>
    <x v="0"/>
    <n v="3"/>
  </r>
  <r>
    <n v="3"/>
    <d v="2020-01-18T00:00:00"/>
    <x v="0"/>
    <n v="2974.2999999999997"/>
    <n v="3599.9109999999996"/>
    <x v="2"/>
    <x v="1"/>
    <x v="0"/>
    <n v="3"/>
  </r>
  <r>
    <n v="3"/>
    <d v="2020-01-18T00:00:00"/>
    <x v="3"/>
    <n v="192.19899999999998"/>
    <n v="273.79799999999994"/>
    <x v="2"/>
    <x v="1"/>
    <x v="0"/>
    <n v="3"/>
  </r>
  <r>
    <n v="3"/>
    <d v="2020-01-18T00:00:00"/>
    <x v="1"/>
    <n v="2922.1570000000002"/>
    <n v="3209.913"/>
    <x v="2"/>
    <x v="1"/>
    <x v="0"/>
    <n v="3"/>
  </r>
  <r>
    <n v="3"/>
    <d v="2020-01-19T00:00:00"/>
    <x v="0"/>
    <n v="2832.4869999999996"/>
    <n v="2307.5360000000001"/>
    <x v="2"/>
    <x v="1"/>
    <x v="0"/>
    <n v="3"/>
  </r>
  <r>
    <n v="3"/>
    <d v="2020-01-19T00:00:00"/>
    <x v="2"/>
    <n v="1521.828"/>
    <n v="795.77399999999989"/>
    <x v="2"/>
    <x v="1"/>
    <x v="0"/>
    <n v="3"/>
  </r>
  <r>
    <n v="3"/>
    <d v="2020-01-19T00:00:00"/>
    <x v="1"/>
    <n v="2663.8710000000001"/>
    <n v="2524.473"/>
    <x v="2"/>
    <x v="1"/>
    <x v="0"/>
    <n v="3"/>
  </r>
  <r>
    <n v="3"/>
    <d v="2020-01-19T00:00:00"/>
    <x v="3"/>
    <n v="0"/>
    <n v="21.686"/>
    <x v="2"/>
    <x v="1"/>
    <x v="0"/>
    <n v="3"/>
  </r>
  <r>
    <n v="3"/>
    <d v="2020-01-20T00:00:00"/>
    <x v="0"/>
    <n v="3276.3359999999993"/>
    <n v="2983.0429999999997"/>
    <x v="2"/>
    <x v="1"/>
    <x v="0"/>
    <n v="4"/>
  </r>
  <r>
    <n v="3"/>
    <d v="2020-01-20T00:00:00"/>
    <x v="2"/>
    <n v="1713.5929999999998"/>
    <n v="798.4129999999999"/>
    <x v="2"/>
    <x v="1"/>
    <x v="0"/>
    <n v="4"/>
  </r>
  <r>
    <n v="3"/>
    <d v="2020-01-20T00:00:00"/>
    <x v="3"/>
    <n v="0"/>
    <n v="0"/>
    <x v="2"/>
    <x v="1"/>
    <x v="0"/>
    <n v="4"/>
  </r>
  <r>
    <n v="3"/>
    <d v="2020-01-20T00:00:00"/>
    <x v="1"/>
    <n v="2846.6339999999996"/>
    <n v="2675.2460000000001"/>
    <x v="2"/>
    <x v="1"/>
    <x v="0"/>
    <n v="4"/>
  </r>
  <r>
    <n v="3"/>
    <d v="2020-01-21T00:00:00"/>
    <x v="0"/>
    <n v="2898.7209999999995"/>
    <n v="2754.2550000000001"/>
    <x v="2"/>
    <x v="1"/>
    <x v="0"/>
    <n v="4"/>
  </r>
  <r>
    <n v="3"/>
    <d v="2020-01-21T00:00:00"/>
    <x v="3"/>
    <n v="0"/>
    <n v="162.84799999999998"/>
    <x v="2"/>
    <x v="1"/>
    <x v="0"/>
    <n v="4"/>
  </r>
  <r>
    <n v="3"/>
    <d v="2020-01-21T00:00:00"/>
    <x v="1"/>
    <n v="3191.3140000000003"/>
    <n v="2948.6170000000002"/>
    <x v="2"/>
    <x v="1"/>
    <x v="0"/>
    <n v="4"/>
  </r>
  <r>
    <n v="3"/>
    <d v="2020-01-21T00:00:00"/>
    <x v="2"/>
    <n v="1033.2349999999999"/>
    <n v="737.56899999999996"/>
    <x v="2"/>
    <x v="1"/>
    <x v="0"/>
    <n v="4"/>
  </r>
  <r>
    <n v="3"/>
    <d v="2020-01-22T00:00:00"/>
    <x v="2"/>
    <n v="1371.076"/>
    <n v="866.25699999999995"/>
    <x v="2"/>
    <x v="1"/>
    <x v="0"/>
    <n v="4"/>
  </r>
  <r>
    <n v="3"/>
    <d v="2020-01-22T00:00:00"/>
    <x v="3"/>
    <n v="252.96599999999998"/>
    <n v="98.259"/>
    <x v="2"/>
    <x v="1"/>
    <x v="0"/>
    <n v="4"/>
  </r>
  <r>
    <n v="3"/>
    <d v="2020-01-22T00:00:00"/>
    <x v="1"/>
    <n v="3188.8429999999998"/>
    <n v="3282.7339999999999"/>
    <x v="2"/>
    <x v="1"/>
    <x v="0"/>
    <n v="4"/>
  </r>
  <r>
    <n v="3"/>
    <d v="2020-01-22T00:00:00"/>
    <x v="0"/>
    <n v="2839.473"/>
    <n v="3011.3159999999998"/>
    <x v="2"/>
    <x v="1"/>
    <x v="0"/>
    <n v="4"/>
  </r>
  <r>
    <n v="3"/>
    <d v="2020-01-23T00:00:00"/>
    <x v="3"/>
    <n v="0"/>
    <n v="0"/>
    <x v="2"/>
    <x v="1"/>
    <x v="0"/>
    <n v="4"/>
  </r>
  <r>
    <n v="3"/>
    <d v="2020-01-23T00:00:00"/>
    <x v="0"/>
    <n v="3470.3619999999996"/>
    <n v="3552.1499999999996"/>
    <x v="2"/>
    <x v="1"/>
    <x v="0"/>
    <n v="4"/>
  </r>
  <r>
    <n v="3"/>
    <d v="2020-01-23T00:00:00"/>
    <x v="2"/>
    <n v="1693.7759999999998"/>
    <n v="944.02699999999982"/>
    <x v="2"/>
    <x v="1"/>
    <x v="0"/>
    <n v="4"/>
  </r>
  <r>
    <n v="3"/>
    <d v="2020-01-23T00:00:00"/>
    <x v="1"/>
    <n v="3505.7679999999996"/>
    <n v="3313.8209999999995"/>
    <x v="2"/>
    <x v="1"/>
    <x v="0"/>
    <n v="4"/>
  </r>
  <r>
    <n v="3"/>
    <d v="2020-01-24T00:00:00"/>
    <x v="2"/>
    <n v="1945.713"/>
    <n v="1487.836"/>
    <x v="2"/>
    <x v="1"/>
    <x v="0"/>
    <n v="4"/>
  </r>
  <r>
    <n v="3"/>
    <d v="2020-01-24T00:00:00"/>
    <x v="1"/>
    <n v="3351.3969999999999"/>
    <n v="3343.6969999999997"/>
    <x v="2"/>
    <x v="1"/>
    <x v="0"/>
    <n v="4"/>
  </r>
  <r>
    <n v="3"/>
    <d v="2020-01-24T00:00:00"/>
    <x v="0"/>
    <n v="3328.64"/>
    <n v="4225.1229999999996"/>
    <x v="2"/>
    <x v="1"/>
    <x v="0"/>
    <n v="4"/>
  </r>
  <r>
    <n v="3"/>
    <d v="2020-01-24T00:00:00"/>
    <x v="3"/>
    <n v="194.43199999999999"/>
    <n v="167.85999999999999"/>
    <x v="2"/>
    <x v="1"/>
    <x v="0"/>
    <n v="4"/>
  </r>
  <r>
    <n v="3"/>
    <d v="2020-01-25T00:00:00"/>
    <x v="0"/>
    <n v="3392.3890000000001"/>
    <n v="3958.3809999999999"/>
    <x v="2"/>
    <x v="1"/>
    <x v="0"/>
    <n v="4"/>
  </r>
  <r>
    <n v="3"/>
    <d v="2020-01-25T00:00:00"/>
    <x v="2"/>
    <n v="1608.8029999999999"/>
    <n v="1046.269"/>
    <x v="2"/>
    <x v="1"/>
    <x v="0"/>
    <n v="4"/>
  </r>
  <r>
    <n v="3"/>
    <d v="2020-01-25T00:00:00"/>
    <x v="3"/>
    <n v="29.434999999999995"/>
    <n v="0"/>
    <x v="2"/>
    <x v="1"/>
    <x v="0"/>
    <n v="4"/>
  </r>
  <r>
    <n v="3"/>
    <d v="2020-01-25T00:00:00"/>
    <x v="1"/>
    <n v="3192.3149999999996"/>
    <n v="3306.625"/>
    <x v="2"/>
    <x v="1"/>
    <x v="0"/>
    <n v="4"/>
  </r>
  <r>
    <n v="3"/>
    <d v="2020-01-26T00:00:00"/>
    <x v="2"/>
    <n v="1247.9669999999999"/>
    <n v="682.70299999999997"/>
    <x v="2"/>
    <x v="1"/>
    <x v="0"/>
    <n v="4"/>
  </r>
  <r>
    <n v="3"/>
    <d v="2020-01-26T00:00:00"/>
    <x v="0"/>
    <n v="2204.3419999999996"/>
    <n v="2816.9189999999999"/>
    <x v="2"/>
    <x v="1"/>
    <x v="0"/>
    <n v="4"/>
  </r>
  <r>
    <n v="3"/>
    <d v="2020-01-26T00:00:00"/>
    <x v="3"/>
    <n v="0"/>
    <n v="177.64599999999999"/>
    <x v="2"/>
    <x v="1"/>
    <x v="0"/>
    <n v="4"/>
  </r>
  <r>
    <n v="3"/>
    <d v="2020-01-26T00:00:00"/>
    <x v="1"/>
    <n v="2871.078"/>
    <n v="2899.232"/>
    <x v="2"/>
    <x v="1"/>
    <x v="0"/>
    <n v="4"/>
  </r>
  <r>
    <n v="3"/>
    <d v="2020-01-27T00:00:00"/>
    <x v="1"/>
    <n v="2568.2509999999997"/>
    <n v="2856.1539999999995"/>
    <x v="2"/>
    <x v="1"/>
    <x v="1"/>
    <n v="1"/>
  </r>
  <r>
    <n v="3"/>
    <d v="2020-01-27T00:00:00"/>
    <x v="0"/>
    <n v="2723.3359999999998"/>
    <n v="2832.991"/>
    <x v="2"/>
    <x v="1"/>
    <x v="1"/>
    <n v="1"/>
  </r>
  <r>
    <n v="3"/>
    <d v="2020-01-27T00:00:00"/>
    <x v="2"/>
    <n v="1468.8449999999998"/>
    <n v="771.14100000000008"/>
    <x v="2"/>
    <x v="1"/>
    <x v="1"/>
    <n v="1"/>
  </r>
  <r>
    <n v="3"/>
    <d v="2020-01-27T00:00:00"/>
    <x v="3"/>
    <n v="312.07399999999996"/>
    <n v="133.56700000000001"/>
    <x v="2"/>
    <x v="1"/>
    <x v="1"/>
    <n v="1"/>
  </r>
  <r>
    <n v="3"/>
    <d v="2020-01-28T00:00:00"/>
    <x v="0"/>
    <n v="2858.2049999999999"/>
    <n v="3164.3989999999994"/>
    <x v="2"/>
    <x v="1"/>
    <x v="1"/>
    <n v="1"/>
  </r>
  <r>
    <n v="3"/>
    <d v="2020-01-28T00:00:00"/>
    <x v="2"/>
    <n v="1145.7949999999998"/>
    <n v="582.51899999999989"/>
    <x v="2"/>
    <x v="1"/>
    <x v="1"/>
    <n v="1"/>
  </r>
  <r>
    <n v="3"/>
    <d v="2020-01-28T00:00:00"/>
    <x v="3"/>
    <n v="0"/>
    <n v="0"/>
    <x v="2"/>
    <x v="1"/>
    <x v="1"/>
    <n v="1"/>
  </r>
  <r>
    <n v="3"/>
    <d v="2020-01-28T00:00:00"/>
    <x v="1"/>
    <n v="2985.7869999999998"/>
    <n v="3208.3379999999997"/>
    <x v="2"/>
    <x v="1"/>
    <x v="1"/>
    <n v="1"/>
  </r>
  <r>
    <n v="3"/>
    <d v="2020-01-29T00:00:00"/>
    <x v="0"/>
    <n v="3041.5209999999997"/>
    <n v="3267.0889999999999"/>
    <x v="2"/>
    <x v="1"/>
    <x v="1"/>
    <n v="1"/>
  </r>
  <r>
    <n v="3"/>
    <d v="2020-01-29T00:00:00"/>
    <x v="1"/>
    <n v="2747.5630000000001"/>
    <n v="3541.4049999999997"/>
    <x v="2"/>
    <x v="1"/>
    <x v="1"/>
    <n v="1"/>
  </r>
  <r>
    <n v="3"/>
    <d v="2020-01-29T00:00:00"/>
    <x v="2"/>
    <n v="1106.2589999999998"/>
    <n v="764.25299999999993"/>
    <x v="2"/>
    <x v="1"/>
    <x v="1"/>
    <n v="1"/>
  </r>
  <r>
    <n v="3"/>
    <d v="2020-01-29T00:00:00"/>
    <x v="3"/>
    <n v="321.71999999999997"/>
    <n v="153.85999999999999"/>
    <x v="2"/>
    <x v="1"/>
    <x v="1"/>
    <n v="1"/>
  </r>
  <r>
    <n v="3"/>
    <d v="2020-01-30T00:00:00"/>
    <x v="3"/>
    <n v="110.78199999999998"/>
    <n v="35.678999999999995"/>
    <x v="2"/>
    <x v="1"/>
    <x v="1"/>
    <n v="1"/>
  </r>
  <r>
    <n v="3"/>
    <d v="2020-01-30T00:00:00"/>
    <x v="2"/>
    <n v="1551.1579999999999"/>
    <n v="870.83499999999992"/>
    <x v="2"/>
    <x v="1"/>
    <x v="1"/>
    <n v="1"/>
  </r>
  <r>
    <n v="3"/>
    <d v="2020-01-30T00:00:00"/>
    <x v="0"/>
    <n v="3285.7859999999996"/>
    <n v="3353.098"/>
    <x v="2"/>
    <x v="1"/>
    <x v="1"/>
    <n v="1"/>
  </r>
  <r>
    <n v="3"/>
    <d v="2020-01-30T00:00:00"/>
    <x v="1"/>
    <n v="2640.3719999999998"/>
    <n v="3163.2159999999999"/>
    <x v="2"/>
    <x v="1"/>
    <x v="1"/>
    <n v="1"/>
  </r>
  <r>
    <n v="3"/>
    <d v="2020-01-31T00:00:00"/>
    <x v="0"/>
    <n v="3657.7799999999993"/>
    <n v="4015.2559999999999"/>
    <x v="2"/>
    <x v="1"/>
    <x v="1"/>
    <n v="1"/>
  </r>
  <r>
    <n v="3"/>
    <d v="2020-01-31T00:00:00"/>
    <x v="2"/>
    <n v="1440.2570000000001"/>
    <n v="1103.5359999999998"/>
    <x v="2"/>
    <x v="1"/>
    <x v="1"/>
    <n v="1"/>
  </r>
  <r>
    <n v="3"/>
    <d v="2020-01-31T00:00:00"/>
    <x v="3"/>
    <n v="0"/>
    <n v="134.32999999999998"/>
    <x v="2"/>
    <x v="1"/>
    <x v="1"/>
    <n v="1"/>
  </r>
  <r>
    <n v="3"/>
    <d v="2020-01-31T00:00:00"/>
    <x v="1"/>
    <n v="3156.6010000000001"/>
    <n v="3559.1570000000002"/>
    <x v="2"/>
    <x v="1"/>
    <x v="1"/>
    <n v="1"/>
  </r>
  <r>
    <n v="3"/>
    <d v="2020-02-01T00:00:00"/>
    <x v="0"/>
    <n v="3280.9769999999994"/>
    <n v="3712.9539999999997"/>
    <x v="2"/>
    <x v="1"/>
    <x v="1"/>
    <n v="1"/>
  </r>
  <r>
    <n v="3"/>
    <d v="2020-02-01T00:00:00"/>
    <x v="1"/>
    <n v="3090.3389999999999"/>
    <n v="3333.2459999999996"/>
    <x v="2"/>
    <x v="1"/>
    <x v="1"/>
    <n v="1"/>
  </r>
  <r>
    <n v="3"/>
    <d v="2020-02-01T00:00:00"/>
    <x v="2"/>
    <n v="2041.5359999999998"/>
    <n v="910.03499999999985"/>
    <x v="2"/>
    <x v="1"/>
    <x v="1"/>
    <n v="1"/>
  </r>
  <r>
    <n v="3"/>
    <d v="2020-02-01T00:00:00"/>
    <x v="3"/>
    <n v="156.66"/>
    <n v="75.509"/>
    <x v="2"/>
    <x v="1"/>
    <x v="1"/>
    <n v="1"/>
  </r>
  <r>
    <n v="3"/>
    <d v="2020-02-02T00:00:00"/>
    <x v="3"/>
    <n v="21.896000000000001"/>
    <n v="248.80799999999999"/>
    <x v="2"/>
    <x v="1"/>
    <x v="1"/>
    <n v="1"/>
  </r>
  <r>
    <n v="3"/>
    <d v="2020-02-02T00:00:00"/>
    <x v="0"/>
    <n v="2162.8529999999996"/>
    <n v="1649.3889999999999"/>
    <x v="2"/>
    <x v="1"/>
    <x v="1"/>
    <n v="1"/>
  </r>
  <r>
    <n v="3"/>
    <d v="2020-02-02T00:00:00"/>
    <x v="2"/>
    <n v="1269.9889999999998"/>
    <n v="425.17299999999994"/>
    <x v="2"/>
    <x v="1"/>
    <x v="1"/>
    <n v="1"/>
  </r>
  <r>
    <n v="3"/>
    <d v="2020-02-02T00:00:00"/>
    <x v="1"/>
    <n v="2718.3589999999999"/>
    <n v="1759.569"/>
    <x v="2"/>
    <x v="1"/>
    <x v="1"/>
    <n v="1"/>
  </r>
  <r>
    <n v="3"/>
    <d v="2020-02-03T00:00:00"/>
    <x v="0"/>
    <n v="1964.5709999999999"/>
    <n v="2811.7109999999998"/>
    <x v="2"/>
    <x v="1"/>
    <x v="1"/>
    <n v="2"/>
  </r>
  <r>
    <n v="3"/>
    <d v="2020-02-03T00:00:00"/>
    <x v="2"/>
    <n v="1587.6839999999997"/>
    <n v="502.24299999999999"/>
    <x v="2"/>
    <x v="1"/>
    <x v="1"/>
    <n v="2"/>
  </r>
  <r>
    <n v="3"/>
    <d v="2020-02-03T00:00:00"/>
    <x v="3"/>
    <n v="0"/>
    <n v="0"/>
    <x v="2"/>
    <x v="1"/>
    <x v="1"/>
    <n v="2"/>
  </r>
  <r>
    <n v="3"/>
    <d v="2020-02-03T00:00:00"/>
    <x v="1"/>
    <n v="2598.9809999999998"/>
    <n v="3087.5879999999997"/>
    <x v="2"/>
    <x v="1"/>
    <x v="1"/>
    <n v="2"/>
  </r>
  <r>
    <n v="3"/>
    <d v="2020-02-04T00:00:00"/>
    <x v="2"/>
    <n v="1857.8419999999999"/>
    <n v="817.22899999999993"/>
    <x v="2"/>
    <x v="1"/>
    <x v="1"/>
    <n v="2"/>
  </r>
  <r>
    <n v="3"/>
    <d v="2020-02-04T00:00:00"/>
    <x v="0"/>
    <n v="2585.0089999999996"/>
    <n v="3106.663"/>
    <x v="2"/>
    <x v="1"/>
    <x v="1"/>
    <n v="2"/>
  </r>
  <r>
    <n v="3"/>
    <d v="2020-02-04T00:00:00"/>
    <x v="1"/>
    <n v="3416.7209999999995"/>
    <n v="3408.8179999999998"/>
    <x v="2"/>
    <x v="1"/>
    <x v="1"/>
    <n v="2"/>
  </r>
  <r>
    <n v="3"/>
    <d v="2020-02-04T00:00:00"/>
    <x v="3"/>
    <n v="139.53799999999998"/>
    <n v="348.55099999999999"/>
    <x v="2"/>
    <x v="1"/>
    <x v="1"/>
    <n v="2"/>
  </r>
  <r>
    <n v="3"/>
    <d v="2020-02-05T00:00:00"/>
    <x v="0"/>
    <n v="2696.2249999999999"/>
    <n v="3112.6269999999995"/>
    <x v="2"/>
    <x v="1"/>
    <x v="1"/>
    <n v="2"/>
  </r>
  <r>
    <n v="3"/>
    <d v="2020-02-05T00:00:00"/>
    <x v="1"/>
    <n v="2630.8519999999999"/>
    <n v="2927.1759999999999"/>
    <x v="2"/>
    <x v="1"/>
    <x v="1"/>
    <n v="2"/>
  </r>
  <r>
    <n v="3"/>
    <d v="2020-02-05T00:00:00"/>
    <x v="3"/>
    <n v="0"/>
    <n v="0"/>
    <x v="2"/>
    <x v="1"/>
    <x v="1"/>
    <n v="2"/>
  </r>
  <r>
    <n v="3"/>
    <d v="2020-02-05T00:00:00"/>
    <x v="2"/>
    <n v="1417.2339999999999"/>
    <n v="903.00699999999995"/>
    <x v="2"/>
    <x v="1"/>
    <x v="1"/>
    <n v="2"/>
  </r>
  <r>
    <n v="3"/>
    <d v="2020-02-06T00:00:00"/>
    <x v="1"/>
    <n v="3314.8709999999996"/>
    <n v="3354.8689999999997"/>
    <x v="2"/>
    <x v="1"/>
    <x v="1"/>
    <n v="2"/>
  </r>
  <r>
    <n v="3"/>
    <d v="2020-02-06T00:00:00"/>
    <x v="3"/>
    <n v="0"/>
    <n v="395.48599999999999"/>
    <x v="2"/>
    <x v="1"/>
    <x v="1"/>
    <n v="2"/>
  </r>
  <r>
    <n v="3"/>
    <d v="2020-02-06T00:00:00"/>
    <x v="0"/>
    <n v="3043.6769999999997"/>
    <n v="2832.0039999999999"/>
    <x v="2"/>
    <x v="1"/>
    <x v="1"/>
    <n v="2"/>
  </r>
  <r>
    <n v="3"/>
    <d v="2020-02-06T00:00:00"/>
    <x v="2"/>
    <n v="1610.742"/>
    <n v="663.96399999999994"/>
    <x v="2"/>
    <x v="1"/>
    <x v="1"/>
    <n v="2"/>
  </r>
  <r>
    <n v="3"/>
    <d v="2020-02-07T00:00:00"/>
    <x v="0"/>
    <n v="3728.3119999999994"/>
    <n v="4191.5369999999994"/>
    <x v="2"/>
    <x v="1"/>
    <x v="1"/>
    <n v="2"/>
  </r>
  <r>
    <n v="3"/>
    <d v="2020-02-07T00:00:00"/>
    <x v="2"/>
    <n v="1675.7509999999997"/>
    <n v="1036.133"/>
    <x v="2"/>
    <x v="1"/>
    <x v="1"/>
    <n v="2"/>
  </r>
  <r>
    <n v="3"/>
    <d v="2020-02-07T00:00:00"/>
    <x v="1"/>
    <n v="3149.1320000000001"/>
    <n v="3804.5489999999995"/>
    <x v="2"/>
    <x v="1"/>
    <x v="1"/>
    <n v="2"/>
  </r>
  <r>
    <n v="3"/>
    <d v="2020-02-07T00:00:00"/>
    <x v="3"/>
    <n v="0"/>
    <n v="0"/>
    <x v="2"/>
    <x v="1"/>
    <x v="1"/>
    <n v="2"/>
  </r>
  <r>
    <n v="3"/>
    <d v="2020-02-08T00:00:00"/>
    <x v="3"/>
    <n v="33.558"/>
    <n v="0"/>
    <x v="2"/>
    <x v="1"/>
    <x v="1"/>
    <n v="2"/>
  </r>
  <r>
    <n v="3"/>
    <d v="2020-02-08T00:00:00"/>
    <x v="0"/>
    <n v="3007.3049999999994"/>
    <n v="3763.0390000000002"/>
    <x v="2"/>
    <x v="1"/>
    <x v="1"/>
    <n v="2"/>
  </r>
  <r>
    <n v="3"/>
    <d v="2020-02-08T00:00:00"/>
    <x v="2"/>
    <n v="1618.624"/>
    <n v="788.5569999999999"/>
    <x v="2"/>
    <x v="1"/>
    <x v="1"/>
    <n v="2"/>
  </r>
  <r>
    <n v="3"/>
    <d v="2020-02-08T00:00:00"/>
    <x v="1"/>
    <n v="3117.3799999999997"/>
    <n v="3385.7809999999999"/>
    <x v="2"/>
    <x v="1"/>
    <x v="1"/>
    <n v="2"/>
  </r>
  <r>
    <n v="3"/>
    <d v="2020-02-09T00:00:00"/>
    <x v="2"/>
    <n v="1373.05"/>
    <n v="396.83699999999993"/>
    <x v="2"/>
    <x v="1"/>
    <x v="1"/>
    <n v="2"/>
  </r>
  <r>
    <n v="3"/>
    <d v="2020-02-09T00:00:00"/>
    <x v="1"/>
    <n v="2823.7579999999998"/>
    <n v="2391.5990000000002"/>
    <x v="2"/>
    <x v="1"/>
    <x v="1"/>
    <n v="2"/>
  </r>
  <r>
    <n v="3"/>
    <d v="2020-02-09T00:00:00"/>
    <x v="3"/>
    <n v="0"/>
    <n v="0"/>
    <x v="2"/>
    <x v="1"/>
    <x v="1"/>
    <n v="2"/>
  </r>
  <r>
    <n v="3"/>
    <d v="2020-02-09T00:00:00"/>
    <x v="0"/>
    <n v="2629.2629999999999"/>
    <n v="2000.7539999999997"/>
    <x v="2"/>
    <x v="1"/>
    <x v="1"/>
    <n v="2"/>
  </r>
  <r>
    <n v="3"/>
    <d v="2020-02-10T00:00:00"/>
    <x v="3"/>
    <n v="20.363"/>
    <n v="0"/>
    <x v="2"/>
    <x v="1"/>
    <x v="1"/>
    <n v="3"/>
  </r>
  <r>
    <n v="3"/>
    <d v="2020-02-10T00:00:00"/>
    <x v="0"/>
    <n v="2599.163"/>
    <n v="2791.2080000000001"/>
    <x v="2"/>
    <x v="1"/>
    <x v="1"/>
    <n v="3"/>
  </r>
  <r>
    <n v="3"/>
    <d v="2020-02-10T00:00:00"/>
    <x v="2"/>
    <n v="832.62900000000002"/>
    <n v="640.96899999999994"/>
    <x v="2"/>
    <x v="1"/>
    <x v="1"/>
    <n v="3"/>
  </r>
  <r>
    <n v="3"/>
    <d v="2020-02-10T00:00:00"/>
    <x v="1"/>
    <n v="3011.9319999999998"/>
    <n v="3242.4629999999997"/>
    <x v="2"/>
    <x v="1"/>
    <x v="1"/>
    <n v="3"/>
  </r>
  <r>
    <n v="3"/>
    <d v="2020-02-11T00:00:00"/>
    <x v="3"/>
    <n v="0"/>
    <n v="236.404"/>
    <x v="2"/>
    <x v="1"/>
    <x v="1"/>
    <n v="3"/>
  </r>
  <r>
    <n v="3"/>
    <d v="2020-02-11T00:00:00"/>
    <x v="0"/>
    <n v="2833.4389999999999"/>
    <n v="3011.1899999999996"/>
    <x v="2"/>
    <x v="1"/>
    <x v="1"/>
    <n v="3"/>
  </r>
  <r>
    <n v="3"/>
    <d v="2020-02-11T00:00:00"/>
    <x v="1"/>
    <n v="3046.953"/>
    <n v="2921.7089999999998"/>
    <x v="2"/>
    <x v="1"/>
    <x v="1"/>
    <n v="3"/>
  </r>
  <r>
    <n v="3"/>
    <d v="2020-02-11T00:00:00"/>
    <x v="2"/>
    <n v="1192.4849999999999"/>
    <n v="854.22399999999993"/>
    <x v="2"/>
    <x v="1"/>
    <x v="1"/>
    <n v="3"/>
  </r>
  <r>
    <n v="3"/>
    <d v="2020-02-12T00:00:00"/>
    <x v="3"/>
    <n v="18.794999999999998"/>
    <n v="188.125"/>
    <x v="2"/>
    <x v="1"/>
    <x v="1"/>
    <n v="3"/>
  </r>
  <r>
    <n v="3"/>
    <d v="2020-02-12T00:00:00"/>
    <x v="2"/>
    <n v="1553.4679999999998"/>
    <n v="905.26799999999992"/>
    <x v="2"/>
    <x v="1"/>
    <x v="1"/>
    <n v="3"/>
  </r>
  <r>
    <n v="3"/>
    <d v="2020-02-12T00:00:00"/>
    <x v="0"/>
    <n v="2806.433"/>
    <n v="2873.444"/>
    <x v="2"/>
    <x v="1"/>
    <x v="1"/>
    <n v="3"/>
  </r>
  <r>
    <n v="3"/>
    <d v="2020-02-12T00:00:00"/>
    <x v="1"/>
    <n v="2732.2749999999996"/>
    <n v="3468.4579999999996"/>
    <x v="2"/>
    <x v="1"/>
    <x v="1"/>
    <n v="3"/>
  </r>
  <r>
    <n v="3"/>
    <d v="2020-02-13T00:00:00"/>
    <x v="2"/>
    <n v="1549.366"/>
    <n v="1320.375"/>
    <x v="2"/>
    <x v="1"/>
    <x v="1"/>
    <n v="3"/>
  </r>
  <r>
    <n v="3"/>
    <d v="2020-02-13T00:00:00"/>
    <x v="1"/>
    <n v="3050.9989999999998"/>
    <n v="3435.11"/>
    <x v="2"/>
    <x v="1"/>
    <x v="1"/>
    <n v="3"/>
  </r>
  <r>
    <n v="3"/>
    <d v="2020-02-13T00:00:00"/>
    <x v="3"/>
    <n v="0"/>
    <n v="0"/>
    <x v="2"/>
    <x v="1"/>
    <x v="1"/>
    <n v="3"/>
  </r>
  <r>
    <n v="3"/>
    <d v="2020-02-13T00:00:00"/>
    <x v="0"/>
    <n v="3313.569"/>
    <n v="3711.2599999999998"/>
    <x v="2"/>
    <x v="1"/>
    <x v="1"/>
    <n v="3"/>
  </r>
  <r>
    <n v="3"/>
    <d v="2020-02-14T00:00:00"/>
    <x v="0"/>
    <n v="3720.8849999999998"/>
    <n v="3753.6099999999997"/>
    <x v="2"/>
    <x v="1"/>
    <x v="1"/>
    <n v="3"/>
  </r>
  <r>
    <n v="3"/>
    <d v="2020-02-14T00:00:00"/>
    <x v="3"/>
    <n v="0"/>
    <n v="0"/>
    <x v="2"/>
    <x v="1"/>
    <x v="1"/>
    <n v="3"/>
  </r>
  <r>
    <n v="3"/>
    <d v="2020-02-14T00:00:00"/>
    <x v="1"/>
    <n v="3243.45"/>
    <n v="3302.0749999999998"/>
    <x v="2"/>
    <x v="1"/>
    <x v="1"/>
    <n v="3"/>
  </r>
  <r>
    <n v="3"/>
    <d v="2020-02-14T00:00:00"/>
    <x v="2"/>
    <n v="1535.569"/>
    <n v="734.41899999999998"/>
    <x v="2"/>
    <x v="1"/>
    <x v="1"/>
    <n v="3"/>
  </r>
  <r>
    <n v="3"/>
    <d v="2020-02-15T00:00:00"/>
    <x v="3"/>
    <n v="0"/>
    <n v="409.822"/>
    <x v="2"/>
    <x v="1"/>
    <x v="1"/>
    <n v="3"/>
  </r>
  <r>
    <n v="3"/>
    <d v="2020-02-15T00:00:00"/>
    <x v="0"/>
    <n v="3608.99"/>
    <n v="3395.8049999999994"/>
    <x v="2"/>
    <x v="1"/>
    <x v="1"/>
    <n v="3"/>
  </r>
  <r>
    <n v="3"/>
    <d v="2020-02-15T00:00:00"/>
    <x v="2"/>
    <n v="1713.691"/>
    <n v="766.64"/>
    <x v="2"/>
    <x v="1"/>
    <x v="1"/>
    <n v="3"/>
  </r>
  <r>
    <n v="3"/>
    <d v="2020-02-15T00:00:00"/>
    <x v="1"/>
    <n v="2825.4449999999997"/>
    <n v="3440.5"/>
    <x v="2"/>
    <x v="1"/>
    <x v="1"/>
    <n v="3"/>
  </r>
  <r>
    <n v="3"/>
    <d v="2020-02-16T00:00:00"/>
    <x v="2"/>
    <n v="594.87400000000002"/>
    <n v="455.30099999999993"/>
    <x v="2"/>
    <x v="1"/>
    <x v="1"/>
    <n v="3"/>
  </r>
  <r>
    <n v="3"/>
    <d v="2020-02-16T00:00:00"/>
    <x v="0"/>
    <n v="2307.7179999999998"/>
    <n v="2368.3029999999999"/>
    <x v="2"/>
    <x v="1"/>
    <x v="1"/>
    <n v="3"/>
  </r>
  <r>
    <n v="3"/>
    <d v="2020-02-16T00:00:00"/>
    <x v="3"/>
    <n v="0"/>
    <n v="0"/>
    <x v="2"/>
    <x v="1"/>
    <x v="1"/>
    <n v="3"/>
  </r>
  <r>
    <n v="3"/>
    <d v="2020-02-16T00:00:00"/>
    <x v="1"/>
    <n v="1745.5059999999999"/>
    <n v="2434.3339999999998"/>
    <x v="2"/>
    <x v="1"/>
    <x v="1"/>
    <n v="3"/>
  </r>
  <r>
    <n v="3"/>
    <d v="2020-02-17T00:00:00"/>
    <x v="1"/>
    <n v="3073.9589999999998"/>
    <n v="3449.8239999999996"/>
    <x v="2"/>
    <x v="1"/>
    <x v="1"/>
    <n v="4"/>
  </r>
  <r>
    <n v="3"/>
    <d v="2020-02-17T00:00:00"/>
    <x v="2"/>
    <n v="1463.21"/>
    <n v="928.75299999999993"/>
    <x v="2"/>
    <x v="1"/>
    <x v="1"/>
    <n v="4"/>
  </r>
  <r>
    <n v="3"/>
    <d v="2020-02-17T00:00:00"/>
    <x v="0"/>
    <n v="3459.1899999999996"/>
    <n v="3559.5279999999998"/>
    <x v="2"/>
    <x v="1"/>
    <x v="1"/>
    <n v="4"/>
  </r>
  <r>
    <n v="3"/>
    <d v="2020-02-17T00:00:00"/>
    <x v="3"/>
    <n v="14.678999999999998"/>
    <n v="15.519"/>
    <x v="2"/>
    <x v="1"/>
    <x v="1"/>
    <n v="4"/>
  </r>
  <r>
    <n v="3"/>
    <d v="2020-02-18T00:00:00"/>
    <x v="2"/>
    <n v="1262.0509999999999"/>
    <n v="525.74900000000002"/>
    <x v="2"/>
    <x v="1"/>
    <x v="1"/>
    <n v="4"/>
  </r>
  <r>
    <n v="3"/>
    <d v="2020-02-18T00:00:00"/>
    <x v="3"/>
    <n v="33.781999999999996"/>
    <n v="0"/>
    <x v="2"/>
    <x v="1"/>
    <x v="1"/>
    <n v="4"/>
  </r>
  <r>
    <n v="3"/>
    <d v="2020-02-18T00:00:00"/>
    <x v="1"/>
    <n v="2804.6410000000001"/>
    <n v="3592.5609999999992"/>
    <x v="2"/>
    <x v="1"/>
    <x v="1"/>
    <n v="4"/>
  </r>
  <r>
    <n v="3"/>
    <d v="2020-02-18T00:00:00"/>
    <x v="0"/>
    <n v="2681.7"/>
    <n v="3104.2059999999997"/>
    <x v="2"/>
    <x v="1"/>
    <x v="1"/>
    <n v="4"/>
  </r>
  <r>
    <n v="3"/>
    <d v="2020-02-19T00:00:00"/>
    <x v="0"/>
    <n v="3207.3859999999995"/>
    <n v="2843.1129999999998"/>
    <x v="2"/>
    <x v="1"/>
    <x v="1"/>
    <n v="4"/>
  </r>
  <r>
    <n v="3"/>
    <d v="2020-02-19T00:00:00"/>
    <x v="1"/>
    <n v="3017.3920000000003"/>
    <n v="2861.5229999999997"/>
    <x v="2"/>
    <x v="1"/>
    <x v="1"/>
    <n v="4"/>
  </r>
  <r>
    <n v="3"/>
    <d v="2020-02-19T00:00:00"/>
    <x v="3"/>
    <n v="160.85999999999999"/>
    <n v="481.48099999999999"/>
    <x v="2"/>
    <x v="1"/>
    <x v="1"/>
    <n v="4"/>
  </r>
  <r>
    <n v="3"/>
    <d v="2020-02-19T00:00:00"/>
    <x v="2"/>
    <n v="1081.6609999999998"/>
    <n v="703.15"/>
    <x v="2"/>
    <x v="1"/>
    <x v="1"/>
    <n v="4"/>
  </r>
  <r>
    <n v="3"/>
    <d v="2020-02-20T00:00:00"/>
    <x v="3"/>
    <n v="396.97699999999998"/>
    <n v="0"/>
    <x v="2"/>
    <x v="1"/>
    <x v="1"/>
    <n v="4"/>
  </r>
  <r>
    <n v="3"/>
    <d v="2020-02-20T00:00:00"/>
    <x v="1"/>
    <n v="3422.8040000000001"/>
    <n v="3325.1260000000002"/>
    <x v="2"/>
    <x v="1"/>
    <x v="1"/>
    <n v="4"/>
  </r>
  <r>
    <n v="3"/>
    <d v="2020-02-20T00:00:00"/>
    <x v="0"/>
    <n v="3374.875"/>
    <n v="3098.0529999999999"/>
    <x v="2"/>
    <x v="1"/>
    <x v="1"/>
    <n v="4"/>
  </r>
  <r>
    <n v="3"/>
    <d v="2020-02-20T00:00:00"/>
    <x v="2"/>
    <n v="1579.9279999999999"/>
    <n v="836.13599999999997"/>
    <x v="2"/>
    <x v="1"/>
    <x v="1"/>
    <n v="4"/>
  </r>
  <r>
    <n v="3"/>
    <d v="2020-02-21T00:00:00"/>
    <x v="2"/>
    <n v="2067.1419999999998"/>
    <n v="725.21399999999994"/>
    <x v="2"/>
    <x v="1"/>
    <x v="1"/>
    <n v="4"/>
  </r>
  <r>
    <n v="3"/>
    <d v="2020-02-21T00:00:00"/>
    <x v="0"/>
    <n v="3393.2709999999997"/>
    <n v="3990.413"/>
    <x v="2"/>
    <x v="1"/>
    <x v="1"/>
    <n v="4"/>
  </r>
  <r>
    <n v="3"/>
    <d v="2020-02-21T00:00:00"/>
    <x v="1"/>
    <n v="3519.145"/>
    <n v="3901.3449999999998"/>
    <x v="2"/>
    <x v="1"/>
    <x v="1"/>
    <n v="4"/>
  </r>
  <r>
    <n v="3"/>
    <d v="2020-02-21T00:00:00"/>
    <x v="3"/>
    <n v="0"/>
    <n v="0"/>
    <x v="2"/>
    <x v="1"/>
    <x v="1"/>
    <n v="4"/>
  </r>
  <r>
    <n v="3"/>
    <d v="2020-02-22T00:00:00"/>
    <x v="2"/>
    <n v="1425.1369999999999"/>
    <n v="983.64"/>
    <x v="2"/>
    <x v="1"/>
    <x v="1"/>
    <n v="4"/>
  </r>
  <r>
    <n v="3"/>
    <d v="2020-02-22T00:00:00"/>
    <x v="0"/>
    <n v="3235.2670000000003"/>
    <n v="4293.5200000000004"/>
    <x v="2"/>
    <x v="1"/>
    <x v="1"/>
    <n v="4"/>
  </r>
  <r>
    <n v="3"/>
    <d v="2020-02-22T00:00:00"/>
    <x v="1"/>
    <n v="2772.0559999999996"/>
    <n v="3896.8999999999996"/>
    <x v="2"/>
    <x v="1"/>
    <x v="1"/>
    <n v="4"/>
  </r>
  <r>
    <n v="3"/>
    <d v="2020-02-22T00:00:00"/>
    <x v="3"/>
    <n v="0"/>
    <n v="0"/>
    <x v="2"/>
    <x v="1"/>
    <x v="1"/>
    <n v="4"/>
  </r>
  <r>
    <n v="3"/>
    <d v="2020-02-23T00:00:00"/>
    <x v="2"/>
    <n v="995.94599999999991"/>
    <n v="622.13199999999995"/>
    <x v="2"/>
    <x v="1"/>
    <x v="1"/>
    <n v="4"/>
  </r>
  <r>
    <n v="3"/>
    <d v="2020-02-23T00:00:00"/>
    <x v="0"/>
    <n v="2625.0699999999997"/>
    <n v="2588.6770000000001"/>
    <x v="2"/>
    <x v="1"/>
    <x v="1"/>
    <n v="4"/>
  </r>
  <r>
    <n v="3"/>
    <d v="2020-02-23T00:00:00"/>
    <x v="3"/>
    <n v="256.73899999999998"/>
    <n v="0"/>
    <x v="2"/>
    <x v="1"/>
    <x v="1"/>
    <n v="4"/>
  </r>
  <r>
    <n v="3"/>
    <d v="2020-02-23T00:00:00"/>
    <x v="1"/>
    <n v="2741.6689999999999"/>
    <n v="2606.3029999999999"/>
    <x v="2"/>
    <x v="1"/>
    <x v="1"/>
    <n v="4"/>
  </r>
  <r>
    <n v="3"/>
    <d v="2020-02-24T00:00:00"/>
    <x v="2"/>
    <n v="1048.7539999999999"/>
    <n v="548.39399999999989"/>
    <x v="2"/>
    <x v="1"/>
    <x v="2"/>
    <n v="1"/>
  </r>
  <r>
    <n v="3"/>
    <d v="2020-02-24T00:00:00"/>
    <x v="1"/>
    <n v="2855.1460000000002"/>
    <n v="3254.5309999999999"/>
    <x v="2"/>
    <x v="1"/>
    <x v="2"/>
    <n v="1"/>
  </r>
  <r>
    <n v="3"/>
    <d v="2020-02-24T00:00:00"/>
    <x v="0"/>
    <n v="2868.145"/>
    <n v="2687.377"/>
    <x v="2"/>
    <x v="1"/>
    <x v="2"/>
    <n v="1"/>
  </r>
  <r>
    <n v="3"/>
    <d v="2020-02-24T00:00:00"/>
    <x v="3"/>
    <n v="0"/>
    <n v="0"/>
    <x v="2"/>
    <x v="1"/>
    <x v="2"/>
    <n v="1"/>
  </r>
  <r>
    <n v="3"/>
    <d v="2020-02-25T00:00:00"/>
    <x v="2"/>
    <n v="1414.0349999999999"/>
    <n v="1009.015"/>
    <x v="2"/>
    <x v="1"/>
    <x v="2"/>
    <n v="1"/>
  </r>
  <r>
    <n v="3"/>
    <d v="2020-02-25T00:00:00"/>
    <x v="0"/>
    <n v="2984.87"/>
    <n v="2824.8219999999997"/>
    <x v="2"/>
    <x v="1"/>
    <x v="2"/>
    <n v="1"/>
  </r>
  <r>
    <n v="3"/>
    <d v="2020-02-25T00:00:00"/>
    <x v="1"/>
    <n v="2659.8039999999996"/>
    <n v="3580.192"/>
    <x v="2"/>
    <x v="1"/>
    <x v="2"/>
    <n v="1"/>
  </r>
  <r>
    <n v="3"/>
    <d v="2020-02-25T00:00:00"/>
    <x v="3"/>
    <n v="0"/>
    <n v="0"/>
    <x v="2"/>
    <x v="1"/>
    <x v="2"/>
    <n v="1"/>
  </r>
  <r>
    <n v="3"/>
    <d v="2020-02-26T00:00:00"/>
    <x v="0"/>
    <n v="2925.8389999999999"/>
    <n v="3235.701"/>
    <x v="2"/>
    <x v="1"/>
    <x v="2"/>
    <n v="1"/>
  </r>
  <r>
    <n v="3"/>
    <d v="2020-02-26T00:00:00"/>
    <x v="2"/>
    <n v="1602.2089999999998"/>
    <n v="935.33999999999992"/>
    <x v="2"/>
    <x v="1"/>
    <x v="2"/>
    <n v="1"/>
  </r>
  <r>
    <n v="3"/>
    <d v="2020-02-26T00:00:00"/>
    <x v="1"/>
    <n v="2957.9059999999999"/>
    <n v="3553.3469999999998"/>
    <x v="2"/>
    <x v="1"/>
    <x v="2"/>
    <n v="1"/>
  </r>
  <r>
    <n v="3"/>
    <d v="2020-02-26T00:00:00"/>
    <x v="3"/>
    <n v="587.33499999999992"/>
    <n v="0"/>
    <x v="2"/>
    <x v="1"/>
    <x v="2"/>
    <n v="1"/>
  </r>
  <r>
    <n v="3"/>
    <d v="2020-02-27T00:00:00"/>
    <x v="0"/>
    <n v="3670.2890000000002"/>
    <n v="3620.8619999999996"/>
    <x v="2"/>
    <x v="1"/>
    <x v="2"/>
    <n v="1"/>
  </r>
  <r>
    <n v="3"/>
    <d v="2020-02-27T00:00:00"/>
    <x v="1"/>
    <n v="3426.1289999999999"/>
    <n v="3676.0359999999996"/>
    <x v="2"/>
    <x v="1"/>
    <x v="2"/>
    <n v="1"/>
  </r>
  <r>
    <n v="3"/>
    <d v="2020-02-27T00:00:00"/>
    <x v="3"/>
    <n v="0"/>
    <n v="216.11099999999999"/>
    <x v="2"/>
    <x v="1"/>
    <x v="2"/>
    <n v="1"/>
  </r>
  <r>
    <n v="3"/>
    <d v="2020-02-27T00:00:00"/>
    <x v="2"/>
    <n v="1278.0669999999998"/>
    <n v="1111.5089999999998"/>
    <x v="2"/>
    <x v="1"/>
    <x v="2"/>
    <n v="1"/>
  </r>
  <r>
    <n v="3"/>
    <d v="2020-02-28T00:00:00"/>
    <x v="3"/>
    <n v="0"/>
    <n v="295.07099999999997"/>
    <x v="2"/>
    <x v="1"/>
    <x v="2"/>
    <n v="1"/>
  </r>
  <r>
    <n v="3"/>
    <d v="2020-02-28T00:00:00"/>
    <x v="2"/>
    <n v="2302.86"/>
    <n v="1361.6469999999999"/>
    <x v="2"/>
    <x v="1"/>
    <x v="2"/>
    <n v="1"/>
  </r>
  <r>
    <n v="3"/>
    <d v="2020-02-28T00:00:00"/>
    <x v="0"/>
    <n v="3724.6089999999995"/>
    <n v="4563.1809999999996"/>
    <x v="2"/>
    <x v="1"/>
    <x v="2"/>
    <n v="1"/>
  </r>
  <r>
    <n v="3"/>
    <d v="2020-02-28T00:00:00"/>
    <x v="1"/>
    <n v="3438.9739999999997"/>
    <n v="3887.0439999999999"/>
    <x v="2"/>
    <x v="1"/>
    <x v="2"/>
    <n v="1"/>
  </r>
  <r>
    <n v="3"/>
    <d v="2020-02-29T00:00:00"/>
    <x v="0"/>
    <n v="4126.1849999999995"/>
    <n v="3290.7350000000001"/>
    <x v="2"/>
    <x v="1"/>
    <x v="2"/>
    <n v="1"/>
  </r>
  <r>
    <n v="3"/>
    <d v="2020-02-29T00:00:00"/>
    <x v="2"/>
    <n v="1839.432"/>
    <n v="872.17200000000003"/>
    <x v="2"/>
    <x v="1"/>
    <x v="2"/>
    <n v="1"/>
  </r>
  <r>
    <n v="3"/>
    <d v="2020-02-29T00:00:00"/>
    <x v="1"/>
    <n v="3455.8229999999999"/>
    <n v="3647.0489999999995"/>
    <x v="2"/>
    <x v="1"/>
    <x v="2"/>
    <n v="1"/>
  </r>
  <r>
    <n v="3"/>
    <d v="2020-02-29T00:00:00"/>
    <x v="3"/>
    <n v="0"/>
    <n v="393.33"/>
    <x v="2"/>
    <x v="1"/>
    <x v="2"/>
    <n v="1"/>
  </r>
  <r>
    <n v="3"/>
    <d v="2020-03-01T00:00:00"/>
    <x v="0"/>
    <n v="2435.8739999999998"/>
    <n v="2668.6869999999999"/>
    <x v="2"/>
    <x v="1"/>
    <x v="2"/>
    <n v="1"/>
  </r>
  <r>
    <n v="3"/>
    <d v="2020-03-01T00:00:00"/>
    <x v="3"/>
    <n v="0"/>
    <n v="35.994"/>
    <x v="2"/>
    <x v="1"/>
    <x v="2"/>
    <n v="1"/>
  </r>
  <r>
    <n v="3"/>
    <d v="2020-03-01T00:00:00"/>
    <x v="2"/>
    <n v="1056.587"/>
    <n v="616.09799999999996"/>
    <x v="2"/>
    <x v="1"/>
    <x v="2"/>
    <n v="1"/>
  </r>
  <r>
    <n v="3"/>
    <d v="2020-03-01T00:00:00"/>
    <x v="1"/>
    <n v="2729.0479999999998"/>
    <n v="2658.6419999999998"/>
    <x v="2"/>
    <x v="1"/>
    <x v="2"/>
    <n v="1"/>
  </r>
  <r>
    <n v="3"/>
    <d v="2020-03-02T00:00:00"/>
    <x v="0"/>
    <n v="2763.2849999999999"/>
    <n v="2892.4209999999998"/>
    <x v="2"/>
    <x v="1"/>
    <x v="2"/>
    <n v="2"/>
  </r>
  <r>
    <n v="3"/>
    <d v="2020-03-02T00:00:00"/>
    <x v="2"/>
    <n v="1193.318"/>
    <n v="654.99"/>
    <x v="2"/>
    <x v="1"/>
    <x v="2"/>
    <n v="2"/>
  </r>
  <r>
    <n v="3"/>
    <d v="2020-03-02T00:00:00"/>
    <x v="3"/>
    <n v="56.259"/>
    <n v="203.79799999999997"/>
    <x v="2"/>
    <x v="1"/>
    <x v="2"/>
    <n v="2"/>
  </r>
  <r>
    <n v="3"/>
    <d v="2020-03-02T00:00:00"/>
    <x v="1"/>
    <n v="2620.9609999999998"/>
    <n v="2990.3649999999998"/>
    <x v="2"/>
    <x v="1"/>
    <x v="2"/>
    <n v="2"/>
  </r>
  <r>
    <n v="3"/>
    <d v="2020-03-03T00:00:00"/>
    <x v="0"/>
    <n v="2804.8229999999999"/>
    <n v="2720.5219999999999"/>
    <x v="2"/>
    <x v="1"/>
    <x v="2"/>
    <n v="2"/>
  </r>
  <r>
    <n v="3"/>
    <d v="2020-03-03T00:00:00"/>
    <x v="3"/>
    <n v="160.85999999999999"/>
    <n v="0"/>
    <x v="2"/>
    <x v="1"/>
    <x v="2"/>
    <n v="2"/>
  </r>
  <r>
    <n v="3"/>
    <d v="2020-03-03T00:00:00"/>
    <x v="2"/>
    <n v="1378.8319999999999"/>
    <n v="856.13499999999988"/>
    <x v="2"/>
    <x v="1"/>
    <x v="2"/>
    <n v="2"/>
  </r>
  <r>
    <n v="3"/>
    <d v="2020-03-03T00:00:00"/>
    <x v="1"/>
    <n v="3341.3869999999997"/>
    <n v="2970.2749999999996"/>
    <x v="2"/>
    <x v="1"/>
    <x v="2"/>
    <n v="2"/>
  </r>
  <r>
    <n v="3"/>
    <d v="2020-03-04T00:00:00"/>
    <x v="2"/>
    <n v="1099.4199999999998"/>
    <n v="733.69100000000003"/>
    <x v="2"/>
    <x v="1"/>
    <x v="2"/>
    <n v="2"/>
  </r>
  <r>
    <n v="3"/>
    <d v="2020-03-04T00:00:00"/>
    <x v="0"/>
    <n v="3105.9839999999999"/>
    <n v="2674.7279999999996"/>
    <x v="2"/>
    <x v="1"/>
    <x v="2"/>
    <n v="2"/>
  </r>
  <r>
    <n v="3"/>
    <d v="2020-03-04T00:00:00"/>
    <x v="3"/>
    <n v="0"/>
    <n v="0"/>
    <x v="2"/>
    <x v="1"/>
    <x v="2"/>
    <n v="2"/>
  </r>
  <r>
    <n v="3"/>
    <d v="2020-03-04T00:00:00"/>
    <x v="1"/>
    <n v="3104.6609999999996"/>
    <n v="3367.9799999999996"/>
    <x v="2"/>
    <x v="1"/>
    <x v="2"/>
    <n v="2"/>
  </r>
  <r>
    <n v="3"/>
    <d v="2020-03-05T00:00:00"/>
    <x v="2"/>
    <n v="1513.5679999999998"/>
    <n v="813.97399999999993"/>
    <x v="2"/>
    <x v="1"/>
    <x v="2"/>
    <n v="2"/>
  </r>
  <r>
    <n v="3"/>
    <d v="2020-03-05T00:00:00"/>
    <x v="0"/>
    <n v="3117.2049999999995"/>
    <n v="3740.6669999999999"/>
    <x v="2"/>
    <x v="1"/>
    <x v="2"/>
    <n v="2"/>
  </r>
  <r>
    <n v="3"/>
    <d v="2020-03-05T00:00:00"/>
    <x v="3"/>
    <n v="28.818999999999999"/>
    <n v="0"/>
    <x v="2"/>
    <x v="1"/>
    <x v="2"/>
    <n v="2"/>
  </r>
  <r>
    <n v="3"/>
    <d v="2020-03-05T00:00:00"/>
    <x v="1"/>
    <n v="3305.5049999999997"/>
    <n v="3520.5099999999998"/>
    <x v="2"/>
    <x v="1"/>
    <x v="2"/>
    <n v="2"/>
  </r>
  <r>
    <n v="3"/>
    <d v="2020-03-06T00:00:00"/>
    <x v="2"/>
    <n v="1694.2589999999998"/>
    <n v="1018.521"/>
    <x v="2"/>
    <x v="1"/>
    <x v="2"/>
    <n v="2"/>
  </r>
  <r>
    <n v="3"/>
    <d v="2020-03-06T00:00:00"/>
    <x v="3"/>
    <n v="0"/>
    <n v="295.04300000000001"/>
    <x v="2"/>
    <x v="1"/>
    <x v="2"/>
    <n v="2"/>
  </r>
  <r>
    <n v="3"/>
    <d v="2020-03-06T00:00:00"/>
    <x v="0"/>
    <n v="3797.5070000000001"/>
    <n v="3927.2659999999996"/>
    <x v="2"/>
    <x v="1"/>
    <x v="2"/>
    <n v="2"/>
  </r>
  <r>
    <n v="3"/>
    <d v="2020-03-06T00:00:00"/>
    <x v="1"/>
    <n v="3389.7849999999999"/>
    <n v="3793.8040000000001"/>
    <x v="2"/>
    <x v="1"/>
    <x v="2"/>
    <n v="2"/>
  </r>
  <r>
    <n v="3"/>
    <d v="2020-03-07T00:00:00"/>
    <x v="0"/>
    <n v="3246.4319999999998"/>
    <n v="3671.8079999999995"/>
    <x v="2"/>
    <x v="1"/>
    <x v="2"/>
    <n v="2"/>
  </r>
  <r>
    <n v="3"/>
    <d v="2020-03-07T00:00:00"/>
    <x v="1"/>
    <n v="2966.4879999999998"/>
    <n v="3457.9019999999996"/>
    <x v="2"/>
    <x v="1"/>
    <x v="2"/>
    <n v="2"/>
  </r>
  <r>
    <n v="3"/>
    <d v="2020-03-07T00:00:00"/>
    <x v="2"/>
    <n v="1493.1979999999999"/>
    <n v="1031.0999999999999"/>
    <x v="2"/>
    <x v="1"/>
    <x v="2"/>
    <n v="2"/>
  </r>
  <r>
    <n v="3"/>
    <d v="2020-03-07T00:00:00"/>
    <x v="3"/>
    <n v="167.85999999999999"/>
    <n v="9.0860000000000003"/>
    <x v="2"/>
    <x v="1"/>
    <x v="2"/>
    <n v="2"/>
  </r>
  <r>
    <n v="3"/>
    <d v="2020-03-08T00:00:00"/>
    <x v="2"/>
    <n v="1202.2919999999999"/>
    <n v="487.78800000000001"/>
    <x v="2"/>
    <x v="1"/>
    <x v="2"/>
    <n v="2"/>
  </r>
  <r>
    <n v="3"/>
    <d v="2020-03-08T00:00:00"/>
    <x v="0"/>
    <n v="2180.395"/>
    <n v="2258.8789999999999"/>
    <x v="2"/>
    <x v="1"/>
    <x v="2"/>
    <n v="2"/>
  </r>
  <r>
    <n v="3"/>
    <d v="2020-03-08T00:00:00"/>
    <x v="1"/>
    <n v="2316.3979999999997"/>
    <n v="2592.8209999999999"/>
    <x v="2"/>
    <x v="1"/>
    <x v="2"/>
    <n v="2"/>
  </r>
  <r>
    <n v="3"/>
    <d v="2020-03-08T00:00:00"/>
    <x v="3"/>
    <n v="151.06"/>
    <n v="111.405"/>
    <x v="2"/>
    <x v="1"/>
    <x v="2"/>
    <n v="2"/>
  </r>
  <r>
    <n v="3"/>
    <d v="2020-03-09T00:00:00"/>
    <x v="3"/>
    <n v="0"/>
    <n v="0"/>
    <x v="2"/>
    <x v="1"/>
    <x v="2"/>
    <n v="3"/>
  </r>
  <r>
    <n v="3"/>
    <d v="2020-03-09T00:00:00"/>
    <x v="1"/>
    <n v="2757.902"/>
    <n v="3064.5509999999999"/>
    <x v="2"/>
    <x v="1"/>
    <x v="2"/>
    <n v="3"/>
  </r>
  <r>
    <n v="3"/>
    <d v="2020-03-09T00:00:00"/>
    <x v="0"/>
    <n v="2592.6389999999997"/>
    <n v="2742.7889999999998"/>
    <x v="2"/>
    <x v="1"/>
    <x v="2"/>
    <n v="3"/>
  </r>
  <r>
    <n v="3"/>
    <d v="2020-03-09T00:00:00"/>
    <x v="2"/>
    <n v="1415.078"/>
    <n v="307.83199999999999"/>
    <x v="2"/>
    <x v="1"/>
    <x v="2"/>
    <n v="3"/>
  </r>
  <r>
    <n v="3"/>
    <d v="2020-03-10T00:00:00"/>
    <x v="1"/>
    <n v="3359.0269999999996"/>
    <n v="2888.578"/>
    <x v="2"/>
    <x v="1"/>
    <x v="2"/>
    <n v="3"/>
  </r>
  <r>
    <n v="3"/>
    <d v="2020-03-10T00:00:00"/>
    <x v="0"/>
    <n v="2655.527"/>
    <n v="2900.4989999999998"/>
    <x v="2"/>
    <x v="1"/>
    <x v="2"/>
    <n v="3"/>
  </r>
  <r>
    <n v="3"/>
    <d v="2020-03-10T00:00:00"/>
    <x v="3"/>
    <n v="0"/>
    <n v="0"/>
    <x v="2"/>
    <x v="1"/>
    <x v="2"/>
    <n v="3"/>
  </r>
  <r>
    <n v="3"/>
    <d v="2020-03-10T00:00:00"/>
    <x v="2"/>
    <n v="1247.183"/>
    <n v="1082.3329999999999"/>
    <x v="2"/>
    <x v="1"/>
    <x v="2"/>
    <n v="3"/>
  </r>
  <r>
    <n v="3"/>
    <d v="2020-03-11T00:00:00"/>
    <x v="0"/>
    <n v="2528.085"/>
    <n v="2487.471"/>
    <x v="2"/>
    <x v="1"/>
    <x v="2"/>
    <n v="3"/>
  </r>
  <r>
    <n v="3"/>
    <d v="2020-03-11T00:00:00"/>
    <x v="3"/>
    <n v="0"/>
    <n v="26.410999999999998"/>
    <x v="2"/>
    <x v="1"/>
    <x v="2"/>
    <n v="3"/>
  </r>
  <r>
    <n v="3"/>
    <d v="2020-03-11T00:00:00"/>
    <x v="2"/>
    <n v="926.4849999999999"/>
    <n v="1011.472"/>
    <x v="2"/>
    <x v="1"/>
    <x v="2"/>
    <n v="3"/>
  </r>
  <r>
    <n v="3"/>
    <d v="2020-03-11T00:00:00"/>
    <x v="1"/>
    <n v="3215.576"/>
    <n v="3194.4569999999999"/>
    <x v="2"/>
    <x v="1"/>
    <x v="2"/>
    <n v="3"/>
  </r>
  <r>
    <n v="3"/>
    <d v="2020-03-12T00:00:00"/>
    <x v="2"/>
    <n v="1666.742"/>
    <n v="650.41899999999998"/>
    <x v="2"/>
    <x v="1"/>
    <x v="2"/>
    <n v="3"/>
  </r>
  <r>
    <n v="3"/>
    <d v="2020-03-12T00:00:00"/>
    <x v="0"/>
    <n v="3043.5439999999999"/>
    <n v="3557.7989999999995"/>
    <x v="2"/>
    <x v="1"/>
    <x v="2"/>
    <n v="3"/>
  </r>
  <r>
    <n v="3"/>
    <d v="2020-03-12T00:00:00"/>
    <x v="3"/>
    <n v="281.50499999999994"/>
    <n v="134.98099999999999"/>
    <x v="2"/>
    <x v="1"/>
    <x v="2"/>
    <n v="3"/>
  </r>
  <r>
    <n v="3"/>
    <d v="2020-03-12T00:00:00"/>
    <x v="1"/>
    <n v="3083.4159999999997"/>
    <n v="3403.6029999999996"/>
    <x v="2"/>
    <x v="1"/>
    <x v="2"/>
    <n v="3"/>
  </r>
  <r>
    <n v="3"/>
    <d v="2020-03-13T00:00:00"/>
    <x v="3"/>
    <n v="0"/>
    <n v="0"/>
    <x v="2"/>
    <x v="1"/>
    <x v="2"/>
    <n v="3"/>
  </r>
  <r>
    <n v="3"/>
    <d v="2020-03-13T00:00:00"/>
    <x v="1"/>
    <n v="3524.9059999999999"/>
    <n v="3853.6679999999997"/>
    <x v="2"/>
    <x v="1"/>
    <x v="2"/>
    <n v="3"/>
  </r>
  <r>
    <n v="3"/>
    <d v="2020-03-13T00:00:00"/>
    <x v="2"/>
    <n v="2004.3519999999999"/>
    <n v="1073.8699999999999"/>
    <x v="2"/>
    <x v="1"/>
    <x v="2"/>
    <n v="3"/>
  </r>
  <r>
    <n v="3"/>
    <d v="2020-03-13T00:00:00"/>
    <x v="0"/>
    <n v="2709.9589999999998"/>
    <n v="4247.9079999999994"/>
    <x v="2"/>
    <x v="1"/>
    <x v="2"/>
    <n v="3"/>
  </r>
  <r>
    <n v="3"/>
    <d v="2020-03-14T00:00:00"/>
    <x v="0"/>
    <n v="2330.9929999999995"/>
    <n v="3423.1679999999997"/>
    <x v="2"/>
    <x v="1"/>
    <x v="2"/>
    <n v="3"/>
  </r>
  <r>
    <n v="3"/>
    <d v="2020-03-14T00:00:00"/>
    <x v="3"/>
    <n v="139.88800000000001"/>
    <n v="153.85999999999999"/>
    <x v="2"/>
    <x v="1"/>
    <x v="2"/>
    <n v="3"/>
  </r>
  <r>
    <n v="3"/>
    <d v="2020-03-14T00:00:00"/>
    <x v="2"/>
    <n v="1433.663"/>
    <n v="740.76099999999997"/>
    <x v="2"/>
    <x v="1"/>
    <x v="2"/>
    <n v="3"/>
  </r>
  <r>
    <n v="3"/>
    <d v="2020-03-14T00:00:00"/>
    <x v="1"/>
    <n v="3173.7579999999994"/>
    <n v="3431.491"/>
    <x v="2"/>
    <x v="1"/>
    <x v="2"/>
    <n v="3"/>
  </r>
  <r>
    <n v="3"/>
    <d v="2020-03-15T00:00:00"/>
    <x v="2"/>
    <n v="1018.9129999999999"/>
    <n v="460.80999999999995"/>
    <x v="2"/>
    <x v="1"/>
    <x v="2"/>
    <n v="3"/>
  </r>
  <r>
    <n v="3"/>
    <d v="2020-03-15T00:00:00"/>
    <x v="3"/>
    <n v="0"/>
    <n v="22.378999999999998"/>
    <x v="2"/>
    <x v="1"/>
    <x v="2"/>
    <n v="3"/>
  </r>
  <r>
    <n v="3"/>
    <d v="2020-03-15T00:00:00"/>
    <x v="1"/>
    <n v="2547.5029999999997"/>
    <n v="2932.0969999999998"/>
    <x v="2"/>
    <x v="1"/>
    <x v="2"/>
    <n v="3"/>
  </r>
  <r>
    <n v="3"/>
    <d v="2020-03-15T00:00:00"/>
    <x v="0"/>
    <n v="1857.569"/>
    <n v="2833.0399999999995"/>
    <x v="2"/>
    <x v="1"/>
    <x v="2"/>
    <n v="3"/>
  </r>
  <r>
    <n v="3"/>
    <d v="2020-03-16T00:00:00"/>
    <x v="2"/>
    <n v="924.92399999999986"/>
    <n v="624.77799999999991"/>
    <x v="2"/>
    <x v="1"/>
    <x v="2"/>
    <n v="4"/>
  </r>
  <r>
    <n v="3"/>
    <d v="2020-03-16T00:00:00"/>
    <x v="0"/>
    <n v="2313.3109999999997"/>
    <n v="3617.2289999999998"/>
    <x v="2"/>
    <x v="1"/>
    <x v="2"/>
    <n v="4"/>
  </r>
  <r>
    <n v="3"/>
    <d v="2020-03-16T00:00:00"/>
    <x v="3"/>
    <n v="0"/>
    <n v="0"/>
    <x v="2"/>
    <x v="1"/>
    <x v="2"/>
    <n v="4"/>
  </r>
  <r>
    <n v="3"/>
    <d v="2020-03-16T00:00:00"/>
    <x v="1"/>
    <n v="3112.2909999999997"/>
    <n v="3350.6899999999996"/>
    <x v="2"/>
    <x v="1"/>
    <x v="2"/>
    <n v="4"/>
  </r>
  <r>
    <n v="3"/>
    <d v="2020-03-17T00:00:00"/>
    <x v="0"/>
    <n v="6.9929999999999994"/>
    <n v="2938.2149999999997"/>
    <x v="2"/>
    <x v="1"/>
    <x v="2"/>
    <n v="4"/>
  </r>
  <r>
    <n v="3"/>
    <d v="2020-03-17T00:00:00"/>
    <x v="2"/>
    <n v="1596.441"/>
    <n v="1084.972"/>
    <x v="2"/>
    <x v="1"/>
    <x v="2"/>
    <n v="4"/>
  </r>
  <r>
    <n v="3"/>
    <d v="2020-03-17T00:00:00"/>
    <x v="1"/>
    <n v="3898.538"/>
    <n v="3313.1559999999999"/>
    <x v="2"/>
    <x v="1"/>
    <x v="2"/>
    <n v="4"/>
  </r>
  <r>
    <n v="3"/>
    <d v="2020-03-17T00:00:00"/>
    <x v="3"/>
    <n v="0"/>
    <n v="0"/>
    <x v="2"/>
    <x v="1"/>
    <x v="2"/>
    <n v="4"/>
  </r>
  <r>
    <n v="3"/>
    <d v="2020-03-18T00:00:00"/>
    <x v="0"/>
    <n v="-16.422000000000001"/>
    <n v="3145.6739999999995"/>
    <x v="2"/>
    <x v="1"/>
    <x v="2"/>
    <n v="4"/>
  </r>
  <r>
    <n v="3"/>
    <d v="2020-03-18T00:00:00"/>
    <x v="2"/>
    <n v="2127.6849999999999"/>
    <n v="1030.925"/>
    <x v="2"/>
    <x v="1"/>
    <x v="2"/>
    <n v="4"/>
  </r>
  <r>
    <n v="3"/>
    <d v="2020-03-18T00:00:00"/>
    <x v="3"/>
    <n v="0"/>
    <n v="338.83499999999998"/>
    <x v="2"/>
    <x v="1"/>
    <x v="2"/>
    <n v="4"/>
  </r>
  <r>
    <n v="3"/>
    <d v="2020-03-18T00:00:00"/>
    <x v="1"/>
    <n v="3919.8179999999998"/>
    <n v="3259.0249999999996"/>
    <x v="2"/>
    <x v="1"/>
    <x v="2"/>
    <n v="4"/>
  </r>
  <r>
    <n v="3"/>
    <d v="2020-03-19T00:00:00"/>
    <x v="0"/>
    <n v="0"/>
    <n v="3786.3769999999995"/>
    <x v="2"/>
    <x v="1"/>
    <x v="2"/>
    <n v="4"/>
  </r>
  <r>
    <n v="3"/>
    <d v="2020-03-19T00:00:00"/>
    <x v="3"/>
    <n v="66.912999999999997"/>
    <n v="193.03899999999999"/>
    <x v="2"/>
    <x v="1"/>
    <x v="2"/>
    <n v="4"/>
  </r>
  <r>
    <n v="3"/>
    <d v="2020-03-19T00:00:00"/>
    <x v="2"/>
    <n v="2382.982"/>
    <n v="1126.3209999999999"/>
    <x v="2"/>
    <x v="1"/>
    <x v="2"/>
    <n v="4"/>
  </r>
  <r>
    <n v="3"/>
    <d v="2020-03-19T00:00:00"/>
    <x v="1"/>
    <n v="4425.3789999999999"/>
    <n v="4001.3049999999994"/>
    <x v="2"/>
    <x v="1"/>
    <x v="2"/>
    <n v="4"/>
  </r>
  <r>
    <n v="3"/>
    <d v="2020-03-20T00:00:00"/>
    <x v="0"/>
    <n v="-13.985999999999999"/>
    <n v="4049.7939999999999"/>
    <x v="2"/>
    <x v="1"/>
    <x v="2"/>
    <n v="4"/>
  </r>
  <r>
    <n v="3"/>
    <d v="2020-03-20T00:00:00"/>
    <x v="2"/>
    <n v="2474.8919999999998"/>
    <n v="1026.8019999999999"/>
    <x v="2"/>
    <x v="1"/>
    <x v="2"/>
    <n v="4"/>
  </r>
  <r>
    <n v="3"/>
    <d v="2020-03-20T00:00:00"/>
    <x v="1"/>
    <n v="5592.9089999999997"/>
    <n v="3733.3309999999997"/>
    <x v="2"/>
    <x v="1"/>
    <x v="2"/>
    <n v="4"/>
  </r>
  <r>
    <n v="3"/>
    <d v="2020-03-20T00:00:00"/>
    <x v="3"/>
    <n v="57.007999999999996"/>
    <n v="0"/>
    <x v="2"/>
    <x v="1"/>
    <x v="2"/>
    <n v="4"/>
  </r>
  <r>
    <n v="3"/>
    <d v="2020-03-21T00:00:00"/>
    <x v="3"/>
    <n v="0"/>
    <n v="170.29599999999999"/>
    <x v="2"/>
    <x v="1"/>
    <x v="2"/>
    <n v="4"/>
  </r>
  <r>
    <n v="3"/>
    <d v="2020-03-21T00:00:00"/>
    <x v="1"/>
    <n v="5755.896999999999"/>
    <n v="3200.3229999999999"/>
    <x v="2"/>
    <x v="1"/>
    <x v="2"/>
    <n v="4"/>
  </r>
  <r>
    <n v="3"/>
    <d v="2020-03-21T00:00:00"/>
    <x v="0"/>
    <n v="610.63099999999997"/>
    <n v="3604.2649999999994"/>
    <x v="2"/>
    <x v="1"/>
    <x v="2"/>
    <n v="4"/>
  </r>
  <r>
    <n v="3"/>
    <d v="2020-03-21T00:00:00"/>
    <x v="2"/>
    <n v="2857.3509999999997"/>
    <n v="1132.761"/>
    <x v="2"/>
    <x v="1"/>
    <x v="2"/>
    <n v="4"/>
  </r>
  <r>
    <n v="3"/>
    <d v="2020-03-22T00:00:00"/>
    <x v="3"/>
    <n v="0"/>
    <n v="0"/>
    <x v="2"/>
    <x v="1"/>
    <x v="2"/>
    <n v="4"/>
  </r>
  <r>
    <n v="3"/>
    <d v="2020-03-22T00:00:00"/>
    <x v="2"/>
    <n v="1620.213"/>
    <n v="521.745"/>
    <x v="2"/>
    <x v="1"/>
    <x v="2"/>
    <n v="4"/>
  </r>
  <r>
    <n v="3"/>
    <d v="2020-03-22T00:00:00"/>
    <x v="0"/>
    <n v="-29.861999999999995"/>
    <n v="2242.5969999999998"/>
    <x v="2"/>
    <x v="1"/>
    <x v="2"/>
    <n v="4"/>
  </r>
  <r>
    <n v="3"/>
    <d v="2020-03-22T00:00:00"/>
    <x v="1"/>
    <n v="4021.8849999999998"/>
    <n v="2885.0499999999997"/>
    <x v="2"/>
    <x v="1"/>
    <x v="2"/>
    <n v="4"/>
  </r>
  <r>
    <n v="3"/>
    <d v="2020-03-23T00:00:00"/>
    <x v="0"/>
    <n v="5.4669999999999996"/>
    <n v="2768.99"/>
    <x v="2"/>
    <x v="1"/>
    <x v="2"/>
    <n v="5"/>
  </r>
  <r>
    <n v="3"/>
    <d v="2020-03-23T00:00:00"/>
    <x v="1"/>
    <n v="4253.2280000000001"/>
    <n v="3021.4939999999997"/>
    <x v="2"/>
    <x v="1"/>
    <x v="2"/>
    <n v="5"/>
  </r>
  <r>
    <n v="3"/>
    <d v="2020-03-23T00:00:00"/>
    <x v="2"/>
    <n v="2232.4259999999999"/>
    <n v="727.14599999999996"/>
    <x v="2"/>
    <x v="1"/>
    <x v="2"/>
    <n v="5"/>
  </r>
  <r>
    <n v="3"/>
    <d v="2020-03-23T00:00:00"/>
    <x v="3"/>
    <n v="200.851"/>
    <n v="0"/>
    <x v="2"/>
    <x v="1"/>
    <x v="2"/>
    <n v="5"/>
  </r>
  <r>
    <n v="3"/>
    <d v="2020-03-24T00:00:00"/>
    <x v="1"/>
    <n v="4506.4249999999993"/>
    <n v="3560.8859999999995"/>
    <x v="2"/>
    <x v="1"/>
    <x v="2"/>
    <n v="5"/>
  </r>
  <r>
    <n v="3"/>
    <d v="2020-03-24T00:00:00"/>
    <x v="0"/>
    <n v="18.872"/>
    <n v="3507.8679999999995"/>
    <x v="2"/>
    <x v="1"/>
    <x v="2"/>
    <n v="5"/>
  </r>
  <r>
    <n v="3"/>
    <d v="2020-03-24T00:00:00"/>
    <x v="3"/>
    <n v="0"/>
    <n v="0"/>
    <x v="2"/>
    <x v="1"/>
    <x v="2"/>
    <n v="5"/>
  </r>
  <r>
    <n v="3"/>
    <d v="2020-03-24T00:00:00"/>
    <x v="2"/>
    <n v="2765.9519999999998"/>
    <n v="941.02399999999989"/>
    <x v="2"/>
    <x v="1"/>
    <x v="2"/>
    <n v="5"/>
  </r>
  <r>
    <n v="3"/>
    <d v="2020-03-25T00:00:00"/>
    <x v="0"/>
    <n v="2.7930000000000001"/>
    <n v="3610.2709999999997"/>
    <x v="2"/>
    <x v="1"/>
    <x v="2"/>
    <n v="5"/>
  </r>
  <r>
    <n v="3"/>
    <d v="2020-03-25T00:00:00"/>
    <x v="2"/>
    <n v="2100.21"/>
    <n v="728.60899999999992"/>
    <x v="2"/>
    <x v="1"/>
    <x v="2"/>
    <n v="5"/>
  </r>
  <r>
    <n v="3"/>
    <d v="2020-03-25T00:00:00"/>
    <x v="3"/>
    <n v="0"/>
    <n v="123.851"/>
    <x v="2"/>
    <x v="1"/>
    <x v="2"/>
    <n v="5"/>
  </r>
  <r>
    <n v="3"/>
    <d v="2020-03-25T00:00:00"/>
    <x v="1"/>
    <n v="4345.7469999999994"/>
    <n v="3626.1679999999997"/>
    <x v="2"/>
    <x v="1"/>
    <x v="2"/>
    <n v="5"/>
  </r>
  <r>
    <n v="3"/>
    <d v="2020-03-26T00:00:00"/>
    <x v="0"/>
    <n v="0"/>
    <n v="3606.4349999999999"/>
    <x v="2"/>
    <x v="1"/>
    <x v="2"/>
    <n v="5"/>
  </r>
  <r>
    <n v="3"/>
    <d v="2020-03-26T00:00:00"/>
    <x v="2"/>
    <n v="2904.6779999999999"/>
    <n v="925.82699999999988"/>
    <x v="2"/>
    <x v="1"/>
    <x v="2"/>
    <n v="5"/>
  </r>
  <r>
    <n v="3"/>
    <d v="2020-03-26T00:00:00"/>
    <x v="1"/>
    <n v="4520.3689999999997"/>
    <n v="3540.0959999999995"/>
    <x v="2"/>
    <x v="1"/>
    <x v="2"/>
    <n v="5"/>
  </r>
  <r>
    <n v="3"/>
    <d v="2020-03-26T00:00:00"/>
    <x v="3"/>
    <n v="0"/>
    <n v="211.68700000000001"/>
    <x v="2"/>
    <x v="1"/>
    <x v="2"/>
    <n v="5"/>
  </r>
  <r>
    <n v="3"/>
    <d v="2020-03-27T00:00:00"/>
    <x v="1"/>
    <n v="4901.6379999999999"/>
    <n v="3485.3069999999998"/>
    <x v="2"/>
    <x v="1"/>
    <x v="2"/>
    <n v="5"/>
  </r>
  <r>
    <n v="3"/>
    <d v="2020-03-27T00:00:00"/>
    <x v="0"/>
    <n v="352.94699999999995"/>
    <n v="3857.5529999999999"/>
    <x v="2"/>
    <x v="1"/>
    <x v="2"/>
    <n v="5"/>
  </r>
  <r>
    <n v="3"/>
    <d v="2020-03-27T00:00:00"/>
    <x v="3"/>
    <n v="18.878999999999998"/>
    <n v="307.71999999999997"/>
    <x v="2"/>
    <x v="1"/>
    <x v="2"/>
    <n v="5"/>
  </r>
  <r>
    <n v="3"/>
    <d v="2020-03-27T00:00:00"/>
    <x v="2"/>
    <n v="4037.3129999999996"/>
    <n v="1206.4359999999999"/>
    <x v="2"/>
    <x v="1"/>
    <x v="2"/>
    <n v="5"/>
  </r>
  <r>
    <n v="3"/>
    <d v="2020-03-28T00:00:00"/>
    <x v="1"/>
    <n v="4585.3850000000002"/>
    <n v="3389.7989999999995"/>
    <x v="2"/>
    <x v="1"/>
    <x v="2"/>
    <n v="5"/>
  </r>
  <r>
    <n v="3"/>
    <d v="2020-03-28T00:00:00"/>
    <x v="3"/>
    <n v="145.52299999999997"/>
    <n v="98.343000000000004"/>
    <x v="2"/>
    <x v="1"/>
    <x v="2"/>
    <n v="5"/>
  </r>
  <r>
    <n v="3"/>
    <d v="2020-03-28T00:00:00"/>
    <x v="0"/>
    <n v="622.40499999999997"/>
    <n v="3885.9309999999996"/>
    <x v="2"/>
    <x v="1"/>
    <x v="2"/>
    <n v="5"/>
  </r>
  <r>
    <n v="3"/>
    <d v="2020-03-28T00:00:00"/>
    <x v="2"/>
    <n v="4103.5329999999994"/>
    <n v="1117.886"/>
    <x v="2"/>
    <x v="1"/>
    <x v="2"/>
    <n v="5"/>
  </r>
  <r>
    <n v="3"/>
    <d v="2020-03-29T00:00:00"/>
    <x v="0"/>
    <n v="2.2329999999999997"/>
    <n v="2911.5099999999998"/>
    <x v="2"/>
    <x v="1"/>
    <x v="2"/>
    <n v="5"/>
  </r>
  <r>
    <n v="3"/>
    <d v="2020-03-29T00:00:00"/>
    <x v="2"/>
    <n v="1974.4829999999999"/>
    <n v="548.8069999999999"/>
    <x v="2"/>
    <x v="1"/>
    <x v="2"/>
    <n v="5"/>
  </r>
  <r>
    <n v="3"/>
    <d v="2020-03-29T00:00:00"/>
    <x v="3"/>
    <n v="161.13299999999998"/>
    <n v="101.626"/>
    <x v="2"/>
    <x v="1"/>
    <x v="2"/>
    <n v="5"/>
  </r>
  <r>
    <n v="3"/>
    <d v="2020-03-29T00:00:00"/>
    <x v="1"/>
    <n v="3427.6339999999996"/>
    <n v="2907.3450000000003"/>
    <x v="2"/>
    <x v="1"/>
    <x v="2"/>
    <n v="5"/>
  </r>
  <r>
    <n v="3"/>
    <d v="2020-03-30T00:00:00"/>
    <x v="3"/>
    <n v="0"/>
    <n v="174.15299999999999"/>
    <x v="2"/>
    <x v="1"/>
    <x v="3"/>
    <n v="1"/>
  </r>
  <r>
    <n v="3"/>
    <d v="2020-03-30T00:00:00"/>
    <x v="0"/>
    <n v="75.977999999999994"/>
    <n v="3146.8429999999998"/>
    <x v="2"/>
    <x v="1"/>
    <x v="3"/>
    <n v="1"/>
  </r>
  <r>
    <n v="3"/>
    <d v="2020-03-30T00:00:00"/>
    <x v="2"/>
    <n v="2172.5830000000001"/>
    <n v="446.47399999999999"/>
    <x v="2"/>
    <x v="1"/>
    <x v="3"/>
    <n v="1"/>
  </r>
  <r>
    <n v="3"/>
    <d v="2020-03-30T00:00:00"/>
    <x v="1"/>
    <n v="4015.123"/>
    <n v="2980.1029999999996"/>
    <x v="2"/>
    <x v="1"/>
    <x v="3"/>
    <n v="1"/>
  </r>
  <r>
    <n v="3"/>
    <d v="2020-03-31T00:00:00"/>
    <x v="1"/>
    <n v="3982.6640000000002"/>
    <n v="3258.1499999999996"/>
    <x v="2"/>
    <x v="1"/>
    <x v="3"/>
    <n v="1"/>
  </r>
  <r>
    <n v="3"/>
    <d v="2020-03-31T00:00:00"/>
    <x v="2"/>
    <n v="3183.74"/>
    <n v="958.91600000000005"/>
    <x v="2"/>
    <x v="1"/>
    <x v="3"/>
    <n v="1"/>
  </r>
  <r>
    <n v="3"/>
    <d v="2020-03-31T00:00:00"/>
    <x v="3"/>
    <n v="120.64499999999998"/>
    <n v="576.97499999999991"/>
    <x v="2"/>
    <x v="1"/>
    <x v="3"/>
    <n v="1"/>
  </r>
  <r>
    <n v="3"/>
    <d v="2020-03-31T00:00:00"/>
    <x v="0"/>
    <n v="43.05"/>
    <n v="2883.3839999999996"/>
    <x v="2"/>
    <x v="1"/>
    <x v="3"/>
    <n v="1"/>
  </r>
  <r>
    <n v="3"/>
    <d v="2020-04-01T00:00:00"/>
    <x v="3"/>
    <n v="0"/>
    <n v="169.792"/>
    <x v="2"/>
    <x v="1"/>
    <x v="3"/>
    <n v="1"/>
  </r>
  <r>
    <n v="3"/>
    <d v="2020-04-01T00:00:00"/>
    <x v="0"/>
    <n v="154.58099999999999"/>
    <n v="3686.5009999999997"/>
    <x v="2"/>
    <x v="1"/>
    <x v="3"/>
    <n v="1"/>
  </r>
  <r>
    <n v="3"/>
    <d v="2020-04-01T00:00:00"/>
    <x v="2"/>
    <n v="3034.2059999999997"/>
    <n v="913.34599999999989"/>
    <x v="2"/>
    <x v="1"/>
    <x v="3"/>
    <n v="1"/>
  </r>
  <r>
    <n v="3"/>
    <d v="2020-04-01T00:00:00"/>
    <x v="1"/>
    <n v="4020.3379999999997"/>
    <n v="3382.0920000000001"/>
    <x v="2"/>
    <x v="1"/>
    <x v="3"/>
    <n v="1"/>
  </r>
  <r>
    <n v="3"/>
    <d v="2020-04-02T00:00:00"/>
    <x v="2"/>
    <n v="4432.2039999999997"/>
    <n v="1548.1619999999998"/>
    <x v="2"/>
    <x v="1"/>
    <x v="3"/>
    <n v="1"/>
  </r>
  <r>
    <n v="3"/>
    <d v="2020-04-02T00:00:00"/>
    <x v="0"/>
    <n v="461.32799999999992"/>
    <n v="4559.2820000000002"/>
    <x v="2"/>
    <x v="1"/>
    <x v="3"/>
    <n v="1"/>
  </r>
  <r>
    <n v="3"/>
    <d v="2020-04-02T00:00:00"/>
    <x v="1"/>
    <n v="5110.0279999999993"/>
    <n v="4321.9259999999995"/>
    <x v="2"/>
    <x v="1"/>
    <x v="3"/>
    <n v="1"/>
  </r>
  <r>
    <n v="3"/>
    <d v="2020-04-02T00:00:00"/>
    <x v="3"/>
    <n v="0"/>
    <n v="0"/>
    <x v="2"/>
    <x v="1"/>
    <x v="3"/>
    <n v="1"/>
  </r>
  <r>
    <n v="3"/>
    <d v="2020-04-03T00:00:00"/>
    <x v="2"/>
    <n v="3534.4399999999996"/>
    <n v="1050.0349999999999"/>
    <x v="2"/>
    <x v="1"/>
    <x v="3"/>
    <n v="1"/>
  </r>
  <r>
    <n v="3"/>
    <d v="2020-04-03T00:00:00"/>
    <x v="0"/>
    <n v="1016.372"/>
    <n v="4346.8319999999994"/>
    <x v="2"/>
    <x v="1"/>
    <x v="3"/>
    <n v="1"/>
  </r>
  <r>
    <n v="3"/>
    <d v="2020-04-03T00:00:00"/>
    <x v="3"/>
    <n v="57.869"/>
    <n v="0"/>
    <x v="2"/>
    <x v="1"/>
    <x v="3"/>
    <n v="1"/>
  </r>
  <r>
    <n v="3"/>
    <d v="2020-04-03T00:00:00"/>
    <x v="1"/>
    <n v="5407.6679999999997"/>
    <n v="4041.4079999999994"/>
    <x v="2"/>
    <x v="1"/>
    <x v="3"/>
    <n v="1"/>
  </r>
  <r>
    <n v="3"/>
    <d v="2020-04-04T00:00:00"/>
    <x v="2"/>
    <n v="4061.0499999999997"/>
    <n v="884.11399999999992"/>
    <x v="2"/>
    <x v="1"/>
    <x v="3"/>
    <n v="1"/>
  </r>
  <r>
    <n v="3"/>
    <d v="2020-04-04T00:00:00"/>
    <x v="3"/>
    <n v="172.893"/>
    <n v="26.565000000000001"/>
    <x v="2"/>
    <x v="1"/>
    <x v="3"/>
    <n v="1"/>
  </r>
  <r>
    <n v="3"/>
    <d v="2020-04-04T00:00:00"/>
    <x v="0"/>
    <n v="481.76799999999997"/>
    <n v="4188.1909999999998"/>
    <x v="2"/>
    <x v="1"/>
    <x v="3"/>
    <n v="1"/>
  </r>
  <r>
    <n v="3"/>
    <d v="2020-04-04T00:00:00"/>
    <x v="1"/>
    <n v="4492.9359999999997"/>
    <n v="3553.5359999999996"/>
    <x v="2"/>
    <x v="1"/>
    <x v="3"/>
    <n v="1"/>
  </r>
  <r>
    <n v="3"/>
    <d v="2020-04-05T00:00:00"/>
    <x v="3"/>
    <n v="0"/>
    <n v="0"/>
    <x v="2"/>
    <x v="1"/>
    <x v="3"/>
    <n v="1"/>
  </r>
  <r>
    <n v="3"/>
    <d v="2020-04-05T00:00:00"/>
    <x v="0"/>
    <n v="62.278999999999996"/>
    <n v="3232.1869999999999"/>
    <x v="2"/>
    <x v="1"/>
    <x v="3"/>
    <n v="1"/>
  </r>
  <r>
    <n v="3"/>
    <d v="2020-04-05T00:00:00"/>
    <x v="2"/>
    <n v="1929.0669999999998"/>
    <n v="589.65199999999993"/>
    <x v="2"/>
    <x v="1"/>
    <x v="3"/>
    <n v="1"/>
  </r>
  <r>
    <n v="3"/>
    <d v="2020-04-05T00:00:00"/>
    <x v="1"/>
    <n v="3188.9409999999998"/>
    <n v="2759.7570000000001"/>
    <x v="2"/>
    <x v="1"/>
    <x v="3"/>
    <n v="1"/>
  </r>
  <r>
    <n v="3"/>
    <d v="2020-04-06T00:00:00"/>
    <x v="1"/>
    <n v="4192.9790000000003"/>
    <n v="3038.7980000000002"/>
    <x v="2"/>
    <x v="1"/>
    <x v="3"/>
    <n v="2"/>
  </r>
  <r>
    <n v="3"/>
    <d v="2020-04-06T00:00:00"/>
    <x v="3"/>
    <n v="0"/>
    <n v="0"/>
    <x v="2"/>
    <x v="1"/>
    <x v="3"/>
    <n v="2"/>
  </r>
  <r>
    <n v="3"/>
    <d v="2020-04-06T00:00:00"/>
    <x v="0"/>
    <n v="-29.442"/>
    <n v="2745.3369999999995"/>
    <x v="2"/>
    <x v="1"/>
    <x v="3"/>
    <n v="2"/>
  </r>
  <r>
    <n v="3"/>
    <d v="2020-04-06T00:00:00"/>
    <x v="2"/>
    <n v="2375.5759999999996"/>
    <n v="608.17399999999998"/>
    <x v="2"/>
    <x v="1"/>
    <x v="3"/>
    <n v="2"/>
  </r>
  <r>
    <n v="3"/>
    <d v="2020-04-07T00:00:00"/>
    <x v="1"/>
    <n v="4276.5029999999997"/>
    <n v="3478.7129999999997"/>
    <x v="2"/>
    <x v="1"/>
    <x v="3"/>
    <n v="2"/>
  </r>
  <r>
    <n v="3"/>
    <d v="2020-04-07T00:00:00"/>
    <x v="0"/>
    <n v="64.434999999999988"/>
    <n v="2844.6880000000001"/>
    <x v="2"/>
    <x v="1"/>
    <x v="3"/>
    <n v="2"/>
  </r>
  <r>
    <n v="3"/>
    <d v="2020-04-07T00:00:00"/>
    <x v="2"/>
    <n v="2519.7550000000001"/>
    <n v="508.94199999999995"/>
    <x v="2"/>
    <x v="1"/>
    <x v="3"/>
    <n v="2"/>
  </r>
  <r>
    <n v="3"/>
    <d v="2020-04-07T00:00:00"/>
    <x v="3"/>
    <n v="25.521999999999998"/>
    <n v="0"/>
    <x v="2"/>
    <x v="1"/>
    <x v="3"/>
    <n v="2"/>
  </r>
  <r>
    <n v="3"/>
    <d v="2020-04-08T00:00:00"/>
    <x v="1"/>
    <n v="4199.7690000000002"/>
    <n v="3621.9609999999993"/>
    <x v="2"/>
    <x v="1"/>
    <x v="3"/>
    <n v="2"/>
  </r>
  <r>
    <n v="3"/>
    <d v="2020-04-08T00:00:00"/>
    <x v="3"/>
    <n v="0"/>
    <n v="13.985999999999999"/>
    <x v="2"/>
    <x v="1"/>
    <x v="3"/>
    <n v="2"/>
  </r>
  <r>
    <n v="3"/>
    <d v="2020-04-08T00:00:00"/>
    <x v="0"/>
    <n v="459.38899999999995"/>
    <n v="3208.1"/>
    <x v="2"/>
    <x v="1"/>
    <x v="3"/>
    <n v="2"/>
  </r>
  <r>
    <n v="3"/>
    <d v="2020-04-08T00:00:00"/>
    <x v="2"/>
    <n v="3362.4569999999999"/>
    <n v="978.02599999999995"/>
    <x v="2"/>
    <x v="1"/>
    <x v="3"/>
    <n v="2"/>
  </r>
  <r>
    <n v="3"/>
    <d v="2020-04-09T00:00:00"/>
    <x v="1"/>
    <n v="4517.0019999999995"/>
    <n v="3944.4719999999998"/>
    <x v="2"/>
    <x v="1"/>
    <x v="3"/>
    <n v="2"/>
  </r>
  <r>
    <n v="3"/>
    <d v="2020-04-09T00:00:00"/>
    <x v="3"/>
    <n v="0"/>
    <n v="743.75699999999995"/>
    <x v="2"/>
    <x v="1"/>
    <x v="3"/>
    <n v="2"/>
  </r>
  <r>
    <n v="3"/>
    <d v="2020-04-09T00:00:00"/>
    <x v="0"/>
    <n v="661.75900000000001"/>
    <n v="3692.9059999999995"/>
    <x v="2"/>
    <x v="1"/>
    <x v="3"/>
    <n v="2"/>
  </r>
  <r>
    <n v="3"/>
    <d v="2020-04-09T00:00:00"/>
    <x v="2"/>
    <n v="3420.172"/>
    <n v="1069.348"/>
    <x v="2"/>
    <x v="1"/>
    <x v="3"/>
    <n v="2"/>
  </r>
  <r>
    <n v="3"/>
    <d v="2020-04-10T00:00:00"/>
    <x v="1"/>
    <n v="4274.5709999999999"/>
    <n v="4007.7309999999998"/>
    <x v="2"/>
    <x v="1"/>
    <x v="3"/>
    <n v="2"/>
  </r>
  <r>
    <n v="3"/>
    <d v="2020-04-10T00:00:00"/>
    <x v="0"/>
    <n v="915.92199999999991"/>
    <n v="4169.5149999999994"/>
    <x v="2"/>
    <x v="1"/>
    <x v="3"/>
    <n v="2"/>
  </r>
  <r>
    <n v="3"/>
    <d v="2020-04-10T00:00:00"/>
    <x v="2"/>
    <n v="5253.451"/>
    <n v="1064.5249999999999"/>
    <x v="2"/>
    <x v="1"/>
    <x v="3"/>
    <n v="2"/>
  </r>
  <r>
    <n v="3"/>
    <d v="2020-04-10T00:00:00"/>
    <x v="3"/>
    <n v="46.346999999999994"/>
    <n v="21.686"/>
    <x v="2"/>
    <x v="1"/>
    <x v="3"/>
    <n v="2"/>
  </r>
  <r>
    <n v="3"/>
    <d v="2020-04-11T00:00:00"/>
    <x v="3"/>
    <n v="0"/>
    <n v="0"/>
    <x v="2"/>
    <x v="1"/>
    <x v="3"/>
    <n v="2"/>
  </r>
  <r>
    <n v="3"/>
    <d v="2020-04-11T00:00:00"/>
    <x v="0"/>
    <n v="137.30500000000001"/>
    <n v="4022.1859999999992"/>
    <x v="2"/>
    <x v="1"/>
    <x v="3"/>
    <n v="2"/>
  </r>
  <r>
    <n v="3"/>
    <d v="2020-04-11T00:00:00"/>
    <x v="2"/>
    <n v="3348.0859999999993"/>
    <n v="864.36699999999996"/>
    <x v="2"/>
    <x v="1"/>
    <x v="3"/>
    <n v="2"/>
  </r>
  <r>
    <n v="3"/>
    <d v="2020-04-11T00:00:00"/>
    <x v="1"/>
    <n v="4115.8459999999995"/>
    <n v="3704.5609999999992"/>
    <x v="2"/>
    <x v="1"/>
    <x v="3"/>
    <n v="2"/>
  </r>
  <r>
    <n v="3"/>
    <d v="2020-04-12T00:00:00"/>
    <x v="2"/>
    <n v="1722.0139999999999"/>
    <n v="607.45299999999997"/>
    <x v="2"/>
    <x v="1"/>
    <x v="3"/>
    <n v="2"/>
  </r>
  <r>
    <n v="3"/>
    <d v="2020-04-12T00:00:00"/>
    <x v="0"/>
    <n v="6.2930000000000001"/>
    <n v="3071.4179999999997"/>
    <x v="2"/>
    <x v="1"/>
    <x v="3"/>
    <n v="2"/>
  </r>
  <r>
    <n v="3"/>
    <d v="2020-04-12T00:00:00"/>
    <x v="3"/>
    <n v="0"/>
    <n v="10.836"/>
    <x v="2"/>
    <x v="1"/>
    <x v="3"/>
    <n v="2"/>
  </r>
  <r>
    <n v="3"/>
    <d v="2020-04-12T00:00:00"/>
    <x v="1"/>
    <n v="2374.645"/>
    <n v="2963.9399999999996"/>
    <x v="2"/>
    <x v="1"/>
    <x v="3"/>
    <n v="2"/>
  </r>
  <r>
    <n v="3"/>
    <d v="2020-04-13T00:00:00"/>
    <x v="2"/>
    <n v="3353.567"/>
    <n v="1010.898"/>
    <x v="2"/>
    <x v="1"/>
    <x v="3"/>
    <n v="3"/>
  </r>
  <r>
    <n v="3"/>
    <d v="2020-04-13T00:00:00"/>
    <x v="0"/>
    <n v="15.315999999999999"/>
    <n v="2862.37"/>
    <x v="2"/>
    <x v="1"/>
    <x v="3"/>
    <n v="3"/>
  </r>
  <r>
    <n v="3"/>
    <d v="2020-04-13T00:00:00"/>
    <x v="3"/>
    <n v="8.9459999999999997"/>
    <n v="273.44799999999998"/>
    <x v="2"/>
    <x v="1"/>
    <x v="3"/>
    <n v="3"/>
  </r>
  <r>
    <n v="3"/>
    <d v="2020-04-13T00:00:00"/>
    <x v="1"/>
    <n v="3553.2559999999999"/>
    <n v="2920.8059999999996"/>
    <x v="2"/>
    <x v="1"/>
    <x v="3"/>
    <n v="3"/>
  </r>
  <r>
    <n v="3"/>
    <d v="2020-04-14T00:00:00"/>
    <x v="1"/>
    <n v="4294.7380000000003"/>
    <n v="3596.1170000000002"/>
    <x v="2"/>
    <x v="1"/>
    <x v="3"/>
    <n v="3"/>
  </r>
  <r>
    <n v="3"/>
    <d v="2020-04-14T00:00:00"/>
    <x v="0"/>
    <n v="76.271999999999991"/>
    <n v="3029.0399999999995"/>
    <x v="2"/>
    <x v="1"/>
    <x v="3"/>
    <n v="3"/>
  </r>
  <r>
    <n v="3"/>
    <d v="2020-04-14T00:00:00"/>
    <x v="2"/>
    <n v="4128.348"/>
    <n v="608.18100000000004"/>
    <x v="2"/>
    <x v="1"/>
    <x v="3"/>
    <n v="3"/>
  </r>
  <r>
    <n v="3"/>
    <d v="2020-04-14T00:00:00"/>
    <x v="3"/>
    <n v="0"/>
    <n v="305.39599999999996"/>
    <x v="2"/>
    <x v="1"/>
    <x v="3"/>
    <n v="3"/>
  </r>
  <r>
    <n v="3"/>
    <d v="2020-04-15T00:00:00"/>
    <x v="1"/>
    <n v="4416.579999999999"/>
    <n v="3677.6529999999998"/>
    <x v="2"/>
    <x v="1"/>
    <x v="3"/>
    <n v="3"/>
  </r>
  <r>
    <n v="3"/>
    <d v="2020-04-15T00:00:00"/>
    <x v="0"/>
    <n v="49"/>
    <n v="4143.51"/>
    <x v="2"/>
    <x v="1"/>
    <x v="3"/>
    <n v="3"/>
  </r>
  <r>
    <n v="3"/>
    <d v="2020-04-15T00:00:00"/>
    <x v="3"/>
    <n v="0"/>
    <n v="0"/>
    <x v="2"/>
    <x v="1"/>
    <x v="3"/>
    <n v="3"/>
  </r>
  <r>
    <n v="3"/>
    <d v="2020-04-15T00:00:00"/>
    <x v="2"/>
    <n v="4323.0950000000003"/>
    <n v="876.89699999999993"/>
    <x v="2"/>
    <x v="1"/>
    <x v="3"/>
    <n v="3"/>
  </r>
  <r>
    <n v="3"/>
    <d v="2020-04-16T00:00:00"/>
    <x v="1"/>
    <n v="4887.2529999999997"/>
    <n v="3748.0099999999998"/>
    <x v="2"/>
    <x v="1"/>
    <x v="3"/>
    <n v="3"/>
  </r>
  <r>
    <n v="3"/>
    <d v="2020-04-16T00:00:00"/>
    <x v="2"/>
    <n v="4530.1829999999991"/>
    <n v="949.851"/>
    <x v="2"/>
    <x v="1"/>
    <x v="3"/>
    <n v="3"/>
  </r>
  <r>
    <n v="3"/>
    <d v="2020-04-16T00:00:00"/>
    <x v="3"/>
    <n v="0"/>
    <n v="336.399"/>
    <x v="2"/>
    <x v="1"/>
    <x v="3"/>
    <n v="3"/>
  </r>
  <r>
    <n v="3"/>
    <d v="2020-04-16T00:00:00"/>
    <x v="0"/>
    <n v="147.73499999999999"/>
    <n v="4204.1509999999998"/>
    <x v="2"/>
    <x v="1"/>
    <x v="3"/>
    <n v="3"/>
  </r>
  <r>
    <n v="3"/>
    <d v="2020-04-17T00:00:00"/>
    <x v="2"/>
    <n v="4835.6279999999997"/>
    <n v="1128.491"/>
    <x v="2"/>
    <x v="1"/>
    <x v="3"/>
    <n v="3"/>
  </r>
  <r>
    <n v="3"/>
    <d v="2020-04-17T00:00:00"/>
    <x v="0"/>
    <n v="560.63"/>
    <n v="4100.6350000000002"/>
    <x v="2"/>
    <x v="1"/>
    <x v="3"/>
    <n v="3"/>
  </r>
  <r>
    <n v="3"/>
    <d v="2020-04-17T00:00:00"/>
    <x v="3"/>
    <n v="771.68000000000006"/>
    <n v="161.553"/>
    <x v="2"/>
    <x v="1"/>
    <x v="3"/>
    <n v="3"/>
  </r>
  <r>
    <n v="3"/>
    <d v="2020-04-17T00:00:00"/>
    <x v="1"/>
    <n v="5327.1539999999995"/>
    <n v="3795.8969999999999"/>
    <x v="2"/>
    <x v="1"/>
    <x v="3"/>
    <n v="3"/>
  </r>
  <r>
    <n v="3"/>
    <d v="2020-04-18T00:00:00"/>
    <x v="1"/>
    <n v="4949.5179999999991"/>
    <n v="3258.57"/>
    <x v="2"/>
    <x v="1"/>
    <x v="3"/>
    <n v="3"/>
  </r>
  <r>
    <n v="3"/>
    <d v="2020-04-18T00:00:00"/>
    <x v="2"/>
    <n v="4583.1729999999998"/>
    <n v="971.92199999999991"/>
    <x v="2"/>
    <x v="1"/>
    <x v="3"/>
    <n v="3"/>
  </r>
  <r>
    <n v="3"/>
    <d v="2020-04-18T00:00:00"/>
    <x v="0"/>
    <n v="464.91199999999992"/>
    <n v="3960.9079999999994"/>
    <x v="2"/>
    <x v="1"/>
    <x v="3"/>
    <n v="3"/>
  </r>
  <r>
    <n v="3"/>
    <d v="2020-04-18T00:00:00"/>
    <x v="3"/>
    <n v="29.294999999999998"/>
    <n v="189.54599999999996"/>
    <x v="2"/>
    <x v="1"/>
    <x v="3"/>
    <n v="3"/>
  </r>
  <r>
    <n v="3"/>
    <d v="2020-04-19T00:00:00"/>
    <x v="3"/>
    <n v="0"/>
    <n v="32.171999999999997"/>
    <x v="2"/>
    <x v="1"/>
    <x v="3"/>
    <n v="3"/>
  </r>
  <r>
    <n v="3"/>
    <d v="2020-04-19T00:00:00"/>
    <x v="2"/>
    <n v="2765.3219999999997"/>
    <n v="412.97899999999998"/>
    <x v="2"/>
    <x v="1"/>
    <x v="3"/>
    <n v="3"/>
  </r>
  <r>
    <n v="3"/>
    <d v="2020-04-19T00:00:00"/>
    <x v="1"/>
    <n v="3702.3980000000001"/>
    <n v="2411.5419999999999"/>
    <x v="2"/>
    <x v="1"/>
    <x v="3"/>
    <n v="3"/>
  </r>
  <r>
    <n v="3"/>
    <d v="2020-04-19T00:00:00"/>
    <x v="0"/>
    <n v="34.677999999999997"/>
    <n v="2349.2979999999998"/>
    <x v="2"/>
    <x v="1"/>
    <x v="3"/>
    <n v="3"/>
  </r>
  <r>
    <n v="3"/>
    <d v="2020-04-20T00:00:00"/>
    <x v="2"/>
    <n v="3288.4879999999998"/>
    <n v="887.80299999999988"/>
    <x v="2"/>
    <x v="1"/>
    <x v="3"/>
    <n v="4"/>
  </r>
  <r>
    <n v="3"/>
    <d v="2020-04-20T00:00:00"/>
    <x v="0"/>
    <n v="276.15699999999998"/>
    <n v="3619.9029999999998"/>
    <x v="2"/>
    <x v="1"/>
    <x v="3"/>
    <n v="4"/>
  </r>
  <r>
    <n v="3"/>
    <d v="2020-04-20T00:00:00"/>
    <x v="1"/>
    <n v="3983.4269999999997"/>
    <n v="3415.8809999999999"/>
    <x v="2"/>
    <x v="1"/>
    <x v="3"/>
    <n v="4"/>
  </r>
  <r>
    <n v="3"/>
    <d v="2020-04-20T00:00:00"/>
    <x v="3"/>
    <n v="49.230999999999995"/>
    <n v="346.185"/>
    <x v="2"/>
    <x v="1"/>
    <x v="3"/>
    <n v="4"/>
  </r>
  <r>
    <n v="3"/>
    <d v="2020-04-21T00:00:00"/>
    <x v="2"/>
    <n v="3650.2969999999996"/>
    <n v="509.69799999999998"/>
    <x v="2"/>
    <x v="1"/>
    <x v="3"/>
    <n v="4"/>
  </r>
  <r>
    <n v="3"/>
    <d v="2020-04-21T00:00:00"/>
    <x v="0"/>
    <n v="172.58500000000001"/>
    <n v="3079.4329999999995"/>
    <x v="2"/>
    <x v="1"/>
    <x v="3"/>
    <n v="4"/>
  </r>
  <r>
    <n v="3"/>
    <d v="2020-04-21T00:00:00"/>
    <x v="3"/>
    <n v="0"/>
    <n v="10.485999999999999"/>
    <x v="2"/>
    <x v="1"/>
    <x v="3"/>
    <n v="4"/>
  </r>
  <r>
    <n v="3"/>
    <d v="2020-04-21T00:00:00"/>
    <x v="1"/>
    <n v="4429.4319999999998"/>
    <n v="3672.4239999999995"/>
    <x v="2"/>
    <x v="1"/>
    <x v="3"/>
    <n v="4"/>
  </r>
  <r>
    <n v="3"/>
    <d v="2020-04-22T00:00:00"/>
    <x v="1"/>
    <n v="4935.826"/>
    <n v="3577.5739999999996"/>
    <x v="2"/>
    <x v="1"/>
    <x v="3"/>
    <n v="4"/>
  </r>
  <r>
    <n v="3"/>
    <d v="2020-04-22T00:00:00"/>
    <x v="0"/>
    <n v="314.97899999999998"/>
    <n v="3522.3369999999995"/>
    <x v="2"/>
    <x v="1"/>
    <x v="3"/>
    <n v="4"/>
  </r>
  <r>
    <n v="3"/>
    <d v="2020-04-22T00:00:00"/>
    <x v="3"/>
    <n v="0"/>
    <n v="521.19899999999996"/>
    <x v="2"/>
    <x v="1"/>
    <x v="3"/>
    <n v="4"/>
  </r>
  <r>
    <n v="3"/>
    <d v="2020-04-22T00:00:00"/>
    <x v="2"/>
    <n v="3996.8670000000002"/>
    <n v="1010.0019999999998"/>
    <x v="2"/>
    <x v="1"/>
    <x v="3"/>
    <n v="4"/>
  </r>
  <r>
    <n v="3"/>
    <d v="2020-04-23T00:00:00"/>
    <x v="3"/>
    <n v="0"/>
    <n v="13.992999999999999"/>
    <x v="2"/>
    <x v="1"/>
    <x v="3"/>
    <n v="4"/>
  </r>
  <r>
    <n v="3"/>
    <d v="2020-04-23T00:00:00"/>
    <x v="2"/>
    <n v="782.53700000000003"/>
    <n v="1255.7019999999998"/>
    <x v="2"/>
    <x v="1"/>
    <x v="3"/>
    <n v="4"/>
  </r>
  <r>
    <n v="3"/>
    <d v="2020-04-23T00:00:00"/>
    <x v="1"/>
    <n v="769.09"/>
    <n v="3568.2779999999998"/>
    <x v="2"/>
    <x v="1"/>
    <x v="3"/>
    <n v="4"/>
  </r>
  <r>
    <n v="3"/>
    <d v="2020-04-23T00:00:00"/>
    <x v="0"/>
    <n v="0"/>
    <n v="4322.857"/>
    <x v="2"/>
    <x v="1"/>
    <x v="3"/>
    <n v="4"/>
  </r>
  <r>
    <n v="3"/>
    <d v="2020-04-24T00:00:00"/>
    <x v="2"/>
    <n v="5793.3049999999994"/>
    <n v="1165.7449999999999"/>
    <x v="2"/>
    <x v="1"/>
    <x v="3"/>
    <n v="4"/>
  </r>
  <r>
    <n v="3"/>
    <d v="2020-04-24T00:00:00"/>
    <x v="1"/>
    <n v="5035.5829999999996"/>
    <n v="3755.2619999999997"/>
    <x v="2"/>
    <x v="1"/>
    <x v="3"/>
    <n v="4"/>
  </r>
  <r>
    <n v="3"/>
    <d v="2020-04-24T00:00:00"/>
    <x v="0"/>
    <n v="422.42899999999997"/>
    <n v="4167.8559999999998"/>
    <x v="2"/>
    <x v="1"/>
    <x v="3"/>
    <n v="4"/>
  </r>
  <r>
    <n v="3"/>
    <d v="2020-04-24T00:00:00"/>
    <x v="3"/>
    <n v="36.546999999999997"/>
    <n v="17.268999999999998"/>
    <x v="2"/>
    <x v="1"/>
    <x v="3"/>
    <n v="4"/>
  </r>
  <r>
    <n v="3"/>
    <d v="2020-04-25T00:00:00"/>
    <x v="3"/>
    <n v="0"/>
    <n v="353.90599999999995"/>
    <x v="2"/>
    <x v="1"/>
    <x v="3"/>
    <n v="4"/>
  </r>
  <r>
    <n v="3"/>
    <d v="2020-04-25T00:00:00"/>
    <x v="0"/>
    <n v="611.18399999999997"/>
    <n v="4425.2809999999999"/>
    <x v="2"/>
    <x v="1"/>
    <x v="3"/>
    <n v="4"/>
  </r>
  <r>
    <n v="3"/>
    <d v="2020-04-25T00:00:00"/>
    <x v="2"/>
    <n v="4381.6849999999995"/>
    <n v="1038.338"/>
    <x v="2"/>
    <x v="1"/>
    <x v="3"/>
    <n v="4"/>
  </r>
  <r>
    <n v="3"/>
    <d v="2020-04-25T00:00:00"/>
    <x v="1"/>
    <n v="5421.241"/>
    <n v="3505.7679999999996"/>
    <x v="2"/>
    <x v="1"/>
    <x v="3"/>
    <n v="4"/>
  </r>
  <r>
    <n v="3"/>
    <d v="2020-04-26T00:00:00"/>
    <x v="0"/>
    <n v="117.41799999999999"/>
    <n v="2448.5089999999996"/>
    <x v="2"/>
    <x v="1"/>
    <x v="3"/>
    <n v="4"/>
  </r>
  <r>
    <n v="3"/>
    <d v="2020-04-26T00:00:00"/>
    <x v="3"/>
    <n v="0"/>
    <n v="0"/>
    <x v="2"/>
    <x v="1"/>
    <x v="3"/>
    <n v="4"/>
  </r>
  <r>
    <n v="3"/>
    <d v="2020-04-26T00:00:00"/>
    <x v="2"/>
    <n v="3627.6869999999994"/>
    <n v="756.86799999999994"/>
    <x v="2"/>
    <x v="1"/>
    <x v="3"/>
    <n v="4"/>
  </r>
  <r>
    <n v="3"/>
    <d v="2020-04-26T00:00:00"/>
    <x v="1"/>
    <n v="4244.1839999999993"/>
    <n v="2647.9249999999997"/>
    <x v="2"/>
    <x v="1"/>
    <x v="3"/>
    <n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D827F7-B735-4077-9F93-6E195E77EEC4}" name="PivotTable1" cacheId="9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T68" firstHeaderRow="1" firstDataRow="3" firstDataCol="1"/>
  <pivotFields count="10">
    <pivotField numFmtId="3" showAll="0"/>
    <pivotField numFmtId="14" showAll="0"/>
    <pivotField axis="axisRow" showAll="0">
      <items count="5">
        <item x="3"/>
        <item x="0"/>
        <item x="1"/>
        <item x="2"/>
        <item t="default"/>
      </items>
    </pivotField>
    <pivotField dataField="1" numFmtId="43" showAll="0"/>
    <pivotField dataField="1" numFmtId="43" showAll="0"/>
    <pivotField axis="axisRow" showAll="0">
      <items count="4">
        <item x="0"/>
        <item x="1"/>
        <item x="2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dragToRow="0" dragToCol="0" dragToPage="0" showAll="0" defaultSubtotal="0"/>
  </pivotFields>
  <rowFields count="3">
    <field x="5"/>
    <field x="2"/>
    <field x="-2"/>
  </rowFields>
  <rowItems count="63">
    <i>
      <x/>
    </i>
    <i r="1">
      <x/>
    </i>
    <i r="2">
      <x/>
    </i>
    <i r="2" i="1">
      <x v="1"/>
    </i>
    <i r="2" i="2">
      <x v="2"/>
    </i>
    <i r="1">
      <x v="1"/>
    </i>
    <i r="2">
      <x/>
    </i>
    <i r="2" i="1">
      <x v="1"/>
    </i>
    <i r="2" i="2">
      <x v="2"/>
    </i>
    <i r="1">
      <x v="2"/>
    </i>
    <i r="2">
      <x/>
    </i>
    <i r="2" i="1">
      <x v="1"/>
    </i>
    <i r="2" i="2">
      <x v="2"/>
    </i>
    <i r="1">
      <x v="3"/>
    </i>
    <i r="2">
      <x/>
    </i>
    <i r="2" i="1">
      <x v="1"/>
    </i>
    <i r="2" i="2">
      <x v="2"/>
    </i>
    <i t="default">
      <x/>
    </i>
    <i t="default" i="1">
      <x/>
    </i>
    <i t="default" i="2">
      <x/>
    </i>
    <i>
      <x v="1"/>
    </i>
    <i r="1">
      <x/>
    </i>
    <i r="2">
      <x/>
    </i>
    <i r="2" i="1">
      <x v="1"/>
    </i>
    <i r="2" i="2">
      <x v="2"/>
    </i>
    <i r="1">
      <x v="1"/>
    </i>
    <i r="2">
      <x/>
    </i>
    <i r="2" i="1">
      <x v="1"/>
    </i>
    <i r="2" i="2">
      <x v="2"/>
    </i>
    <i r="1">
      <x v="2"/>
    </i>
    <i r="2">
      <x/>
    </i>
    <i r="2" i="1">
      <x v="1"/>
    </i>
    <i r="2" i="2">
      <x v="2"/>
    </i>
    <i r="1">
      <x v="3"/>
    </i>
    <i r="2">
      <x/>
    </i>
    <i r="2" i="1">
      <x v="1"/>
    </i>
    <i r="2" i="2">
      <x v="2"/>
    </i>
    <i t="default">
      <x v="1"/>
    </i>
    <i t="default" i="1">
      <x v="1"/>
    </i>
    <i t="default" i="2">
      <x v="1"/>
    </i>
    <i>
      <x v="2"/>
    </i>
    <i r="1">
      <x/>
    </i>
    <i r="2">
      <x/>
    </i>
    <i r="2" i="1">
      <x v="1"/>
    </i>
    <i r="2" i="2">
      <x v="2"/>
    </i>
    <i r="1">
      <x v="1"/>
    </i>
    <i r="2">
      <x/>
    </i>
    <i r="2" i="1">
      <x v="1"/>
    </i>
    <i r="2" i="2">
      <x v="2"/>
    </i>
    <i r="1">
      <x v="2"/>
    </i>
    <i r="2">
      <x/>
    </i>
    <i r="2" i="1">
      <x v="1"/>
    </i>
    <i r="2" i="2">
      <x v="2"/>
    </i>
    <i r="1">
      <x v="3"/>
    </i>
    <i r="2">
      <x/>
    </i>
    <i r="2" i="1">
      <x v="1"/>
    </i>
    <i r="2" i="2">
      <x v="2"/>
    </i>
    <i t="default">
      <x v="2"/>
    </i>
    <i t="default" i="1">
      <x v="2"/>
    </i>
    <i t="default" i="2">
      <x v="2"/>
    </i>
    <i t="grand">
      <x/>
    </i>
    <i t="grand" i="1">
      <x/>
    </i>
    <i t="grand" i="2">
      <x/>
    </i>
  </rowItems>
  <colFields count="2">
    <field x="6"/>
    <field x="7"/>
  </colFields>
  <colItems count="19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/>
    </i>
    <i>
      <x v="1"/>
      <x/>
    </i>
    <i r="1">
      <x v="1"/>
    </i>
    <i r="1">
      <x v="2"/>
    </i>
    <i r="1">
      <x v="3"/>
    </i>
    <i t="default">
      <x v="1"/>
    </i>
    <i t="grand">
      <x/>
    </i>
  </colItems>
  <dataFields count="3">
    <dataField name="Sum of Net Sales" fld="3" baseField="0" baseItem="0" numFmtId="3"/>
    <dataField name="Sum of Net Sales - Prior Year" fld="4" baseField="0" baseItem="0"/>
    <dataField name="Sum of Net Sales Growth %" fld="9" baseField="0" baseItem="0" numFmtId="43"/>
  </dataFields>
  <formats count="9">
    <format dxfId="8">
      <pivotArea type="topRight" dataOnly="0" labelOnly="1" outline="0" fieldPosition="0"/>
    </format>
    <format dxfId="7">
      <pivotArea outline="0" collapsedLevelsAreSubtotals="1" fieldPosition="0"/>
    </format>
    <format dxfId="6">
      <pivotArea field="5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5">
      <pivotArea collapsedLevelsAreSubtotals="1" fieldPosition="0">
        <references count="2">
          <reference field="4294967294" count="1">
            <x v="2"/>
          </reference>
          <reference field="5" count="1" selected="0">
            <x v="0"/>
          </reference>
        </references>
      </pivotArea>
    </format>
    <format dxfId="4">
      <pivotArea collapsedLevelsAreSubtotals="1" fieldPosition="0">
        <references count="1">
          <reference field="5" count="1">
            <x v="1"/>
          </reference>
        </references>
      </pivotArea>
    </format>
    <format dxfId="3">
      <pivotArea collapsedLevelsAreSubtotals="1" fieldPosition="0">
        <references count="3">
          <reference field="5" count="1">
            <x v="2"/>
          </reference>
          <reference field="6" count="1" selected="0">
            <x v="0"/>
          </reference>
          <reference field="7" count="8" selected="0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">
      <pivotArea collapsedLevelsAreSubtotals="1" fieldPosition="0">
        <references count="2">
          <reference field="4294967294" count="1">
            <x v="2"/>
          </reference>
          <reference field="5" count="1" selected="0">
            <x v="1"/>
          </reference>
        </references>
      </pivotArea>
    </format>
    <format dxfId="1">
      <pivotArea collapsedLevelsAreSubtotals="1" fieldPosition="0">
        <references count="2">
          <reference field="4294967294" count="1">
            <x v="2"/>
          </reference>
          <reference field="5" count="1" selected="0">
            <x v="2"/>
          </reference>
        </references>
      </pivotArea>
    </format>
    <format dxfId="0">
      <pivotArea collapsedLevelsAreSubtotals="1" fieldPosition="0">
        <references count="2">
          <reference field="4294967294" count="2" selected="0">
            <x v="0"/>
            <x v="1"/>
          </reference>
          <reference field="5" count="1" defaultSubtotal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2D15F-B1F5-4590-9E43-F1C9FD5DEEA7}">
  <sheetPr>
    <tabColor rgb="FF00B050"/>
  </sheetPr>
  <dimension ref="A1:S31"/>
  <sheetViews>
    <sheetView tabSelected="1" topLeftCell="A25" workbookViewId="0">
      <selection activeCell="C9" sqref="C9"/>
    </sheetView>
  </sheetViews>
  <sheetFormatPr defaultRowHeight="11.25" x14ac:dyDescent="0.2"/>
  <cols>
    <col min="1" max="1" width="7.28515625" style="20" bestFit="1" customWidth="1"/>
    <col min="2" max="2" width="10" style="20" bestFit="1" customWidth="1"/>
    <col min="3" max="3" width="15.140625" style="2" bestFit="1" customWidth="1"/>
    <col min="4" max="19" width="9.5703125" style="1" bestFit="1" customWidth="1"/>
    <col min="20" max="16384" width="9.140625" style="1"/>
  </cols>
  <sheetData>
    <row r="1" spans="1:19" s="20" customFormat="1" x14ac:dyDescent="0.2">
      <c r="C1" s="21" t="s">
        <v>31</v>
      </c>
      <c r="D1" s="21">
        <v>2019</v>
      </c>
      <c r="E1" s="21">
        <v>2019</v>
      </c>
      <c r="F1" s="21">
        <v>2019</v>
      </c>
      <c r="G1" s="21">
        <v>2019</v>
      </c>
      <c r="H1" s="21">
        <v>2019</v>
      </c>
      <c r="I1" s="21">
        <v>2019</v>
      </c>
      <c r="J1" s="21">
        <v>2019</v>
      </c>
      <c r="K1" s="21">
        <v>2019</v>
      </c>
      <c r="L1" s="21">
        <v>2019</v>
      </c>
      <c r="M1" s="21">
        <v>2019</v>
      </c>
      <c r="N1" s="21">
        <v>2019</v>
      </c>
      <c r="O1" s="21">
        <v>2019</v>
      </c>
      <c r="P1" s="21">
        <v>2020</v>
      </c>
      <c r="Q1" s="21">
        <v>2020</v>
      </c>
      <c r="R1" s="21">
        <v>2020</v>
      </c>
      <c r="S1" s="21">
        <v>2020</v>
      </c>
    </row>
    <row r="2" spans="1:19" s="20" customFormat="1" x14ac:dyDescent="0.2">
      <c r="C2" s="21" t="s">
        <v>32</v>
      </c>
      <c r="D2" s="21">
        <v>1</v>
      </c>
      <c r="E2" s="21">
        <v>2</v>
      </c>
      <c r="F2" s="21">
        <v>3</v>
      </c>
      <c r="G2" s="21">
        <v>4</v>
      </c>
      <c r="H2" s="21">
        <v>5</v>
      </c>
      <c r="I2" s="21">
        <v>6</v>
      </c>
      <c r="J2" s="21">
        <v>7</v>
      </c>
      <c r="K2" s="21">
        <v>8</v>
      </c>
      <c r="L2" s="21">
        <v>9</v>
      </c>
      <c r="M2" s="21">
        <v>10</v>
      </c>
      <c r="N2" s="21">
        <v>11</v>
      </c>
      <c r="O2" s="21">
        <v>12</v>
      </c>
      <c r="P2" s="21">
        <v>1</v>
      </c>
      <c r="Q2" s="21">
        <v>2</v>
      </c>
      <c r="R2" s="21">
        <v>3</v>
      </c>
      <c r="S2" s="21">
        <v>4</v>
      </c>
    </row>
    <row r="3" spans="1:19" s="20" customFormat="1" x14ac:dyDescent="0.2">
      <c r="C3" s="21"/>
    </row>
    <row r="7" spans="1:19" ht="12" thickBot="1" x14ac:dyDescent="0.25"/>
    <row r="8" spans="1:19" ht="12" thickBot="1" x14ac:dyDescent="0.25">
      <c r="B8" s="22" t="s">
        <v>8</v>
      </c>
      <c r="C8" s="3" t="s">
        <v>0</v>
      </c>
    </row>
    <row r="9" spans="1:19" ht="12" thickBot="1" x14ac:dyDescent="0.25">
      <c r="B9" s="22" t="s">
        <v>9</v>
      </c>
      <c r="C9" s="3" t="s">
        <v>6</v>
      </c>
    </row>
    <row r="11" spans="1:19" ht="12" thickBot="1" x14ac:dyDescent="0.25">
      <c r="C11" s="26" t="s">
        <v>13</v>
      </c>
    </row>
    <row r="12" spans="1:19" ht="12" thickBot="1" x14ac:dyDescent="0.25">
      <c r="D12" s="23" t="str">
        <f>"P"&amp;D$2&amp;" YR"&amp;RIGHT(D$1,2)</f>
        <v>P1 YR19</v>
      </c>
      <c r="E12" s="24" t="str">
        <f t="shared" ref="E12:S12" si="0">"P"&amp;E$2&amp;" YR"&amp;RIGHT(E$1,2)</f>
        <v>P2 YR19</v>
      </c>
      <c r="F12" s="24" t="str">
        <f t="shared" si="0"/>
        <v>P3 YR19</v>
      </c>
      <c r="G12" s="24" t="str">
        <f t="shared" si="0"/>
        <v>P4 YR19</v>
      </c>
      <c r="H12" s="24" t="str">
        <f t="shared" si="0"/>
        <v>P5 YR19</v>
      </c>
      <c r="I12" s="24" t="str">
        <f t="shared" si="0"/>
        <v>P6 YR19</v>
      </c>
      <c r="J12" s="24" t="str">
        <f t="shared" si="0"/>
        <v>P7 YR19</v>
      </c>
      <c r="K12" s="24" t="str">
        <f t="shared" si="0"/>
        <v>P8 YR19</v>
      </c>
      <c r="L12" s="24" t="str">
        <f t="shared" si="0"/>
        <v>P9 YR19</v>
      </c>
      <c r="M12" s="24" t="str">
        <f t="shared" si="0"/>
        <v>P10 YR19</v>
      </c>
      <c r="N12" s="24" t="str">
        <f t="shared" si="0"/>
        <v>P11 YR19</v>
      </c>
      <c r="O12" s="24" t="str">
        <f t="shared" si="0"/>
        <v>P12 YR19</v>
      </c>
      <c r="P12" s="24" t="str">
        <f t="shared" si="0"/>
        <v>P1 YR20</v>
      </c>
      <c r="Q12" s="24" t="str">
        <f t="shared" si="0"/>
        <v>P2 YR20</v>
      </c>
      <c r="R12" s="24" t="str">
        <f t="shared" si="0"/>
        <v>P3 YR20</v>
      </c>
      <c r="S12" s="25" t="str">
        <f t="shared" si="0"/>
        <v>P4 YR20</v>
      </c>
    </row>
    <row r="13" spans="1:19" x14ac:dyDescent="0.2">
      <c r="A13" s="20" t="str">
        <f>C$11</f>
        <v>Net Sales</v>
      </c>
      <c r="C13" s="1" t="s">
        <v>3</v>
      </c>
      <c r="D13" s="29">
        <f>GETPIVOTDATA("Sum of "&amp;$A13,SalesPivot!$A$3,"Sales Segment",$C13,"Store Name",$C$8,"Fiscal Year",D$1,"Fiscal Period",D$2)</f>
        <v>2732.1350000000002</v>
      </c>
      <c r="E13" s="29">
        <f>GETPIVOTDATA("Sum of "&amp;$A13,SalesPivot!$A$3,"Sales Segment",$C13,"Store Name",$C$8,"Fiscal Year",E$1,"Fiscal Period",E$2)</f>
        <v>5647.4459999999981</v>
      </c>
      <c r="F13" s="29">
        <f>GETPIVOTDATA("Sum of "&amp;$A13,SalesPivot!$A$3,"Sales Segment",$C13,"Store Name",$C$8,"Fiscal Year",F$1,"Fiscal Period",F$2)</f>
        <v>5916.5959999999986</v>
      </c>
      <c r="G13" s="29">
        <f>GETPIVOTDATA("Sum of "&amp;$A13,SalesPivot!$A$3,"Sales Segment",$C13,"Store Name",$C$8,"Fiscal Year",G$1,"Fiscal Period",G$2)</f>
        <v>7512.4209999999994</v>
      </c>
      <c r="H13" s="29">
        <f>GETPIVOTDATA("Sum of "&amp;$A13,SalesPivot!$A$3,"Sales Segment",$C13,"Store Name",$C$8,"Fiscal Year",H$1,"Fiscal Period",H$2)</f>
        <v>5191.4730000000009</v>
      </c>
      <c r="I13" s="29">
        <f>GETPIVOTDATA("Sum of "&amp;$A13,SalesPivot!$A$3,"Sales Segment",$C13,"Store Name",$C$8,"Fiscal Year",I$1,"Fiscal Period",I$2)</f>
        <v>6289.7239999999993</v>
      </c>
      <c r="J13" s="29">
        <f>GETPIVOTDATA("Sum of "&amp;$A13,SalesPivot!$A$3,"Sales Segment",$C13,"Store Name",$C$8,"Fiscal Year",J$1,"Fiscal Period",J$2)</f>
        <v>3007.7460000000001</v>
      </c>
      <c r="K13" s="29">
        <f>GETPIVOTDATA("Sum of "&amp;$A13,SalesPivot!$A$3,"Sales Segment",$C13,"Store Name",$C$8,"Fiscal Year",K$1,"Fiscal Period",K$2)</f>
        <v>3203.3820000000005</v>
      </c>
      <c r="L13" s="29">
        <f>GETPIVOTDATA("Sum of "&amp;$A13,SalesPivot!$A$3,"Sales Segment",$C13,"Store Name",$C$8,"Fiscal Year",L$1,"Fiscal Period",L$2)</f>
        <v>6028.9389999999985</v>
      </c>
      <c r="M13" s="29">
        <f>GETPIVOTDATA("Sum of "&amp;$A13,SalesPivot!$A$3,"Sales Segment",$C13,"Store Name",$C$8,"Fiscal Year",M$1,"Fiscal Period",M$2)</f>
        <v>2682.0009999999997</v>
      </c>
      <c r="N13" s="29">
        <f>GETPIVOTDATA("Sum of "&amp;$A13,SalesPivot!$A$3,"Sales Segment",$C13,"Store Name",$C$8,"Fiscal Year",N$1,"Fiscal Period",N$2)</f>
        <v>2635.9270000000001</v>
      </c>
      <c r="O13" s="29">
        <f>GETPIVOTDATA("Sum of "&amp;$A13,SalesPivot!$A$3,"Sales Segment",$C13,"Store Name",$C$8,"Fiscal Year",O$1,"Fiscal Period",O$2)</f>
        <v>9859.4929999999986</v>
      </c>
      <c r="P13" s="29">
        <f>GETPIVOTDATA("Sum of "&amp;$A13,SalesPivot!$A$3,"Sales Segment",$C13,"Store Name",$C$8,"Fiscal Year",P$1,"Fiscal Period",P$2)</f>
        <v>2382.7439999999997</v>
      </c>
      <c r="Q13" s="29">
        <f>GETPIVOTDATA("Sum of "&amp;$A13,SalesPivot!$A$3,"Sales Segment",$C13,"Store Name",$C$8,"Fiscal Year",Q$1,"Fiscal Period",Q$2)</f>
        <v>6444.9209999999994</v>
      </c>
      <c r="R13" s="29">
        <f>GETPIVOTDATA("Sum of "&amp;$A13,SalesPivot!$A$3,"Sales Segment",$C13,"Store Name",$C$8,"Fiscal Year",R$1,"Fiscal Period",R$2)</f>
        <v>2865.4989999999998</v>
      </c>
      <c r="S13" s="29">
        <f>GETPIVOTDATA("Sum of "&amp;$A13,SalesPivot!$A$3,"Sales Segment",$C13,"Store Name",$C$8,"Fiscal Year",S$1,"Fiscal Period",S$2)</f>
        <v>388.63299999999998</v>
      </c>
    </row>
    <row r="14" spans="1:19" x14ac:dyDescent="0.2">
      <c r="A14" s="20" t="str">
        <f t="shared" ref="A14:A16" si="1">C$11</f>
        <v>Net Sales</v>
      </c>
      <c r="C14" s="1" t="s">
        <v>4</v>
      </c>
      <c r="D14" s="29">
        <f>GETPIVOTDATA("Sum of "&amp;$A14,SalesPivot!$A$3,"Sales Segment",$C14,"Store Name",$C$8,"Fiscal Year",D$1,"Fiscal Period",D$2)</f>
        <v>122756.71099999998</v>
      </c>
      <c r="E14" s="29">
        <f>GETPIVOTDATA("Sum of "&amp;$A14,SalesPivot!$A$3,"Sales Segment",$C14,"Store Name",$C$8,"Fiscal Year",E$1,"Fiscal Period",E$2)</f>
        <v>118424.72599999998</v>
      </c>
      <c r="F14" s="29">
        <f>GETPIVOTDATA("Sum of "&amp;$A14,SalesPivot!$A$3,"Sales Segment",$C14,"Store Name",$C$8,"Fiscal Year",F$1,"Fiscal Period",F$2)</f>
        <v>158679.54199999999</v>
      </c>
      <c r="G14" s="29">
        <f>GETPIVOTDATA("Sum of "&amp;$A14,SalesPivot!$A$3,"Sales Segment",$C14,"Store Name",$C$8,"Fiscal Year",G$1,"Fiscal Period",G$2)</f>
        <v>131192.45299999998</v>
      </c>
      <c r="H14" s="29">
        <f>GETPIVOTDATA("Sum of "&amp;$A14,SalesPivot!$A$3,"Sales Segment",$C14,"Store Name",$C$8,"Fiscal Year",H$1,"Fiscal Period",H$2)</f>
        <v>104220.69699999997</v>
      </c>
      <c r="I14" s="29">
        <f>GETPIVOTDATA("Sum of "&amp;$A14,SalesPivot!$A$3,"Sales Segment",$C14,"Store Name",$C$8,"Fiscal Year",I$1,"Fiscal Period",I$2)</f>
        <v>139949.69100000002</v>
      </c>
      <c r="J14" s="29">
        <f>GETPIVOTDATA("Sum of "&amp;$A14,SalesPivot!$A$3,"Sales Segment",$C14,"Store Name",$C$8,"Fiscal Year",J$1,"Fiscal Period",J$2)</f>
        <v>123737.845</v>
      </c>
      <c r="K14" s="29">
        <f>GETPIVOTDATA("Sum of "&amp;$A14,SalesPivot!$A$3,"Sales Segment",$C14,"Store Name",$C$8,"Fiscal Year",K$1,"Fiscal Period",K$2)</f>
        <v>123480.17499999997</v>
      </c>
      <c r="L14" s="29">
        <f>GETPIVOTDATA("Sum of "&amp;$A14,SalesPivot!$A$3,"Sales Segment",$C14,"Store Name",$C$8,"Fiscal Year",L$1,"Fiscal Period",L$2)</f>
        <v>161324.38699999999</v>
      </c>
      <c r="M14" s="29">
        <f>GETPIVOTDATA("Sum of "&amp;$A14,SalesPivot!$A$3,"Sales Segment",$C14,"Store Name",$C$8,"Fiscal Year",M$1,"Fiscal Period",M$2)</f>
        <v>112641.23499999996</v>
      </c>
      <c r="N14" s="29">
        <f>GETPIVOTDATA("Sum of "&amp;$A14,SalesPivot!$A$3,"Sales Segment",$C14,"Store Name",$C$8,"Fiscal Year",N$1,"Fiscal Period",N$2)</f>
        <v>105390.88</v>
      </c>
      <c r="O14" s="29">
        <f>GETPIVOTDATA("Sum of "&amp;$A14,SalesPivot!$A$3,"Sales Segment",$C14,"Store Name",$C$8,"Fiscal Year",O$1,"Fiscal Period",O$2)</f>
        <v>116347.38500000002</v>
      </c>
      <c r="P14" s="29">
        <f>GETPIVOTDATA("Sum of "&amp;$A14,SalesPivot!$A$3,"Sales Segment",$C14,"Store Name",$C$8,"Fiscal Year",P$1,"Fiscal Period",P$2)</f>
        <v>107052.764</v>
      </c>
      <c r="Q14" s="29">
        <f>GETPIVOTDATA("Sum of "&amp;$A14,SalesPivot!$A$3,"Sales Segment",$C14,"Store Name",$C$8,"Fiscal Year",Q$1,"Fiscal Period",Q$2)</f>
        <v>105515.71799999998</v>
      </c>
      <c r="R14" s="29">
        <f>GETPIVOTDATA("Sum of "&amp;$A14,SalesPivot!$A$3,"Sales Segment",$C14,"Store Name",$C$8,"Fiscal Year",R$1,"Fiscal Period",R$2)</f>
        <v>84691.999000000011</v>
      </c>
      <c r="S14" s="29">
        <f>GETPIVOTDATA("Sum of "&amp;$A14,SalesPivot!$A$3,"Sales Segment",$C14,"Store Name",$C$8,"Fiscal Year",S$1,"Fiscal Period",S$2)</f>
        <v>7723.8</v>
      </c>
    </row>
    <row r="15" spans="1:19" x14ac:dyDescent="0.2">
      <c r="A15" s="20" t="str">
        <f t="shared" si="1"/>
        <v>Net Sales</v>
      </c>
      <c r="C15" s="1" t="s">
        <v>5</v>
      </c>
      <c r="D15" s="29">
        <f>GETPIVOTDATA("Sum of "&amp;$A15,SalesPivot!$A$3,"Sales Segment",$C15,"Store Name",$C$8,"Fiscal Year",D$1,"Fiscal Period",D$2)</f>
        <v>78853.487999999998</v>
      </c>
      <c r="E15" s="29">
        <f>GETPIVOTDATA("Sum of "&amp;$A15,SalesPivot!$A$3,"Sales Segment",$C15,"Store Name",$C$8,"Fiscal Year",E$1,"Fiscal Period",E$2)</f>
        <v>81018.966</v>
      </c>
      <c r="F15" s="29">
        <f>GETPIVOTDATA("Sum of "&amp;$A15,SalesPivot!$A$3,"Sales Segment",$C15,"Store Name",$C$8,"Fiscal Year",F$1,"Fiscal Period",F$2)</f>
        <v>108457.73400000001</v>
      </c>
      <c r="G15" s="29">
        <f>GETPIVOTDATA("Sum of "&amp;$A15,SalesPivot!$A$3,"Sales Segment",$C15,"Store Name",$C$8,"Fiscal Year",G$1,"Fiscal Period",G$2)</f>
        <v>93530.647000000012</v>
      </c>
      <c r="H15" s="29">
        <f>GETPIVOTDATA("Sum of "&amp;$A15,SalesPivot!$A$3,"Sales Segment",$C15,"Store Name",$C$8,"Fiscal Year",H$1,"Fiscal Period",H$2)</f>
        <v>85460.816000000006</v>
      </c>
      <c r="I15" s="29">
        <f>GETPIVOTDATA("Sum of "&amp;$A15,SalesPivot!$A$3,"Sales Segment",$C15,"Store Name",$C$8,"Fiscal Year",I$1,"Fiscal Period",I$2)</f>
        <v>109854.20599999999</v>
      </c>
      <c r="J15" s="29">
        <f>GETPIVOTDATA("Sum of "&amp;$A15,SalesPivot!$A$3,"Sales Segment",$C15,"Store Name",$C$8,"Fiscal Year",J$1,"Fiscal Period",J$2)</f>
        <v>88162.395999999993</v>
      </c>
      <c r="K15" s="29">
        <f>GETPIVOTDATA("Sum of "&amp;$A15,SalesPivot!$A$3,"Sales Segment",$C15,"Store Name",$C$8,"Fiscal Year",K$1,"Fiscal Period",K$2)</f>
        <v>91505.54</v>
      </c>
      <c r="L15" s="29">
        <f>GETPIVOTDATA("Sum of "&amp;$A15,SalesPivot!$A$3,"Sales Segment",$C15,"Store Name",$C$8,"Fiscal Year",L$1,"Fiscal Period",L$2)</f>
        <v>120421.79799999995</v>
      </c>
      <c r="M15" s="29">
        <f>GETPIVOTDATA("Sum of "&amp;$A15,SalesPivot!$A$3,"Sales Segment",$C15,"Store Name",$C$8,"Fiscal Year",M$1,"Fiscal Period",M$2)</f>
        <v>89228.216</v>
      </c>
      <c r="N15" s="29">
        <f>GETPIVOTDATA("Sum of "&amp;$A15,SalesPivot!$A$3,"Sales Segment",$C15,"Store Name",$C$8,"Fiscal Year",N$1,"Fiscal Period",N$2)</f>
        <v>88431.112000000008</v>
      </c>
      <c r="O15" s="29">
        <f>GETPIVOTDATA("Sum of "&amp;$A15,SalesPivot!$A$3,"Sales Segment",$C15,"Store Name",$C$8,"Fiscal Year",O$1,"Fiscal Period",O$2)</f>
        <v>99101.722999999998</v>
      </c>
      <c r="P15" s="29">
        <f>GETPIVOTDATA("Sum of "&amp;$A15,SalesPivot!$A$3,"Sales Segment",$C15,"Store Name",$C$8,"Fiscal Year",P$1,"Fiscal Period",P$2)</f>
        <v>88445.405999999988</v>
      </c>
      <c r="Q15" s="29">
        <f>GETPIVOTDATA("Sum of "&amp;$A15,SalesPivot!$A$3,"Sales Segment",$C15,"Store Name",$C$8,"Fiscal Year",Q$1,"Fiscal Period",Q$2)</f>
        <v>90572.152999999991</v>
      </c>
      <c r="R15" s="29">
        <f>GETPIVOTDATA("Sum of "&amp;$A15,SalesPivot!$A$3,"Sales Segment",$C15,"Store Name",$C$8,"Fiscal Year",R$1,"Fiscal Period",R$2)</f>
        <v>142119.383</v>
      </c>
      <c r="S15" s="29">
        <f>GETPIVOTDATA("Sum of "&amp;$A15,SalesPivot!$A$3,"Sales Segment",$C15,"Store Name",$C$8,"Fiscal Year",S$1,"Fiscal Period",S$2)</f>
        <v>137318.37699999998</v>
      </c>
    </row>
    <row r="16" spans="1:19" x14ac:dyDescent="0.2">
      <c r="A16" s="20" t="str">
        <f t="shared" si="1"/>
        <v>Net Sales</v>
      </c>
      <c r="C16" s="1" t="s">
        <v>6</v>
      </c>
      <c r="D16" s="29">
        <f>GETPIVOTDATA("Sum of "&amp;$A16,SalesPivot!$A$3,"Sales Segment",$C16,"Store Name",$C$8,"Fiscal Year",D$1,"Fiscal Period",D$2)</f>
        <v>23213.001000000004</v>
      </c>
      <c r="E16" s="29">
        <f>GETPIVOTDATA("Sum of "&amp;$A16,SalesPivot!$A$3,"Sales Segment",$C16,"Store Name",$C$8,"Fiscal Year",E$1,"Fiscal Period",E$2)</f>
        <v>24480.399999999998</v>
      </c>
      <c r="F16" s="29">
        <f>GETPIVOTDATA("Sum of "&amp;$A16,SalesPivot!$A$3,"Sales Segment",$C16,"Store Name",$C$8,"Fiscal Year",F$1,"Fiscal Period",F$2)</f>
        <v>30613.141999999996</v>
      </c>
      <c r="G16" s="29">
        <f>GETPIVOTDATA("Sum of "&amp;$A16,SalesPivot!$A$3,"Sales Segment",$C16,"Store Name",$C$8,"Fiscal Year",G$1,"Fiscal Period",G$2)</f>
        <v>27210.735999999994</v>
      </c>
      <c r="H16" s="29">
        <f>GETPIVOTDATA("Sum of "&amp;$A16,SalesPivot!$A$3,"Sales Segment",$C16,"Store Name",$C$8,"Fiscal Year",H$1,"Fiscal Period",H$2)</f>
        <v>21905.219000000001</v>
      </c>
      <c r="I16" s="29">
        <f>GETPIVOTDATA("Sum of "&amp;$A16,SalesPivot!$A$3,"Sales Segment",$C16,"Store Name",$C$8,"Fiscal Year",I$1,"Fiscal Period",I$2)</f>
        <v>26866.335999999996</v>
      </c>
      <c r="J16" s="29">
        <f>GETPIVOTDATA("Sum of "&amp;$A16,SalesPivot!$A$3,"Sales Segment",$C16,"Store Name",$C$8,"Fiscal Year",J$1,"Fiscal Period",J$2)</f>
        <v>22324.154999999992</v>
      </c>
      <c r="K16" s="29">
        <f>GETPIVOTDATA("Sum of "&amp;$A16,SalesPivot!$A$3,"Sales Segment",$C16,"Store Name",$C$8,"Fiscal Year",K$1,"Fiscal Period",K$2)</f>
        <v>20249.606999999996</v>
      </c>
      <c r="L16" s="29">
        <f>GETPIVOTDATA("Sum of "&amp;$A16,SalesPivot!$A$3,"Sales Segment",$C16,"Store Name",$C$8,"Fiscal Year",L$1,"Fiscal Period",L$2)</f>
        <v>32594.191000000003</v>
      </c>
      <c r="M16" s="29">
        <f>GETPIVOTDATA("Sum of "&amp;$A16,SalesPivot!$A$3,"Sales Segment",$C16,"Store Name",$C$8,"Fiscal Year",M$1,"Fiscal Period",M$2)</f>
        <v>21770.566999999999</v>
      </c>
      <c r="N16" s="29">
        <f>GETPIVOTDATA("Sum of "&amp;$A16,SalesPivot!$A$3,"Sales Segment",$C16,"Store Name",$C$8,"Fiscal Year",N$1,"Fiscal Period",N$2)</f>
        <v>25395.894999999997</v>
      </c>
      <c r="O16" s="29">
        <f>GETPIVOTDATA("Sum of "&amp;$A16,SalesPivot!$A$3,"Sales Segment",$C16,"Store Name",$C$8,"Fiscal Year",O$1,"Fiscal Period",O$2)</f>
        <v>31083.535000000003</v>
      </c>
      <c r="P16" s="29">
        <f>GETPIVOTDATA("Sum of "&amp;$A16,SalesPivot!$A$3,"Sales Segment",$C16,"Store Name",$C$8,"Fiscal Year",P$1,"Fiscal Period",P$2)</f>
        <v>27198.997000000003</v>
      </c>
      <c r="Q16" s="29">
        <f>GETPIVOTDATA("Sum of "&amp;$A16,SalesPivot!$A$3,"Sales Segment",$C16,"Store Name",$C$8,"Fiscal Year",Q$1,"Fiscal Period",Q$2)</f>
        <v>25567.107999999997</v>
      </c>
      <c r="R16" s="29">
        <f>GETPIVOTDATA("Sum of "&amp;$A16,SalesPivot!$A$3,"Sales Segment",$C16,"Store Name",$C$8,"Fiscal Year",R$1,"Fiscal Period",R$2)</f>
        <v>48425.943999999996</v>
      </c>
      <c r="S16" s="29">
        <f>GETPIVOTDATA("Sum of "&amp;$A16,SalesPivot!$A$3,"Sales Segment",$C16,"Store Name",$C$8,"Fiscal Year",S$1,"Fiscal Period",S$2)</f>
        <v>74230.967999999993</v>
      </c>
    </row>
    <row r="17" spans="1:19" x14ac:dyDescent="0.2">
      <c r="C17" s="28" t="s">
        <v>7</v>
      </c>
      <c r="D17" s="30">
        <f>SUM(D13:D16)</f>
        <v>227555.33499999996</v>
      </c>
      <c r="E17" s="31">
        <f t="shared" ref="E17:S17" si="2">SUM(E13:E16)</f>
        <v>229571.53799999997</v>
      </c>
      <c r="F17" s="31">
        <f t="shared" si="2"/>
        <v>303667.01399999997</v>
      </c>
      <c r="G17" s="31">
        <f t="shared" si="2"/>
        <v>259446.25700000001</v>
      </c>
      <c r="H17" s="31">
        <f t="shared" si="2"/>
        <v>216778.20499999999</v>
      </c>
      <c r="I17" s="31">
        <f t="shared" si="2"/>
        <v>282959.95699999999</v>
      </c>
      <c r="J17" s="31">
        <f t="shared" si="2"/>
        <v>237232.14199999999</v>
      </c>
      <c r="K17" s="31">
        <f t="shared" si="2"/>
        <v>238438.70399999994</v>
      </c>
      <c r="L17" s="31">
        <f t="shared" si="2"/>
        <v>320369.31499999994</v>
      </c>
      <c r="M17" s="31">
        <f t="shared" si="2"/>
        <v>226322.01899999997</v>
      </c>
      <c r="N17" s="31">
        <f t="shared" si="2"/>
        <v>221853.81399999998</v>
      </c>
      <c r="O17" s="31">
        <f t="shared" si="2"/>
        <v>256392.13600000003</v>
      </c>
      <c r="P17" s="31">
        <f t="shared" si="2"/>
        <v>225079.91099999999</v>
      </c>
      <c r="Q17" s="31">
        <f t="shared" si="2"/>
        <v>228099.89999999997</v>
      </c>
      <c r="R17" s="31">
        <f t="shared" si="2"/>
        <v>278102.82500000001</v>
      </c>
      <c r="S17" s="32">
        <f t="shared" si="2"/>
        <v>219661.77799999996</v>
      </c>
    </row>
    <row r="19" spans="1:19" ht="12" thickBot="1" x14ac:dyDescent="0.25">
      <c r="C19" s="26" t="s">
        <v>14</v>
      </c>
    </row>
    <row r="20" spans="1:19" ht="12" thickBot="1" x14ac:dyDescent="0.25">
      <c r="D20" s="23" t="str">
        <f>"P"&amp;D$2&amp;" YR"&amp;RIGHT(D$1,2)</f>
        <v>P1 YR19</v>
      </c>
      <c r="E20" s="24" t="str">
        <f t="shared" ref="E20:S20" si="3">"P"&amp;E$2&amp;" YR"&amp;RIGHT(E$1,2)</f>
        <v>P2 YR19</v>
      </c>
      <c r="F20" s="24" t="str">
        <f t="shared" si="3"/>
        <v>P3 YR19</v>
      </c>
      <c r="G20" s="24" t="str">
        <f t="shared" si="3"/>
        <v>P4 YR19</v>
      </c>
      <c r="H20" s="24" t="str">
        <f t="shared" si="3"/>
        <v>P5 YR19</v>
      </c>
      <c r="I20" s="24" t="str">
        <f t="shared" si="3"/>
        <v>P6 YR19</v>
      </c>
      <c r="J20" s="24" t="str">
        <f t="shared" si="3"/>
        <v>P7 YR19</v>
      </c>
      <c r="K20" s="24" t="str">
        <f t="shared" si="3"/>
        <v>P8 YR19</v>
      </c>
      <c r="L20" s="24" t="str">
        <f t="shared" si="3"/>
        <v>P9 YR19</v>
      </c>
      <c r="M20" s="24" t="str">
        <f t="shared" si="3"/>
        <v>P10 YR19</v>
      </c>
      <c r="N20" s="24" t="str">
        <f t="shared" si="3"/>
        <v>P11 YR19</v>
      </c>
      <c r="O20" s="24" t="str">
        <f t="shared" si="3"/>
        <v>P12 YR19</v>
      </c>
      <c r="P20" s="24" t="str">
        <f t="shared" si="3"/>
        <v>P1 YR20</v>
      </c>
      <c r="Q20" s="24" t="str">
        <f t="shared" si="3"/>
        <v>P2 YR20</v>
      </c>
      <c r="R20" s="24" t="str">
        <f t="shared" si="3"/>
        <v>P3 YR20</v>
      </c>
      <c r="S20" s="25" t="str">
        <f t="shared" si="3"/>
        <v>P4 YR20</v>
      </c>
    </row>
    <row r="21" spans="1:19" x14ac:dyDescent="0.2">
      <c r="A21" s="20" t="str">
        <f>C$19</f>
        <v>Net Sales - Prior Year</v>
      </c>
      <c r="C21" s="1" t="s">
        <v>3</v>
      </c>
      <c r="D21" s="29">
        <f>GETPIVOTDATA("Sum of "&amp;$A21,SalesPivot!$A$3,"Sales Segment",$C21,"Store Name",$C$8,"Fiscal Year",D$1,"Fiscal Period",D$2)</f>
        <v>16806.712999999996</v>
      </c>
      <c r="E21" s="29">
        <f>GETPIVOTDATA("Sum of "&amp;$A21,SalesPivot!$A$3,"Sales Segment",$C21,"Store Name",$C$8,"Fiscal Year",E$1,"Fiscal Period",E$2)</f>
        <v>20386.113999999998</v>
      </c>
      <c r="F21" s="29">
        <f>GETPIVOTDATA("Sum of "&amp;$A21,SalesPivot!$A$3,"Sales Segment",$C21,"Store Name",$C$8,"Fiscal Year",F$1,"Fiscal Period",F$2)</f>
        <v>29919.540000000005</v>
      </c>
      <c r="G21" s="29">
        <f>GETPIVOTDATA("Sum of "&amp;$A21,SalesPivot!$A$3,"Sales Segment",$C21,"Store Name",$C$8,"Fiscal Year",G$1,"Fiscal Period",G$2)</f>
        <v>34883.673999999999</v>
      </c>
      <c r="H21" s="29">
        <f>GETPIVOTDATA("Sum of "&amp;$A21,SalesPivot!$A$3,"Sales Segment",$C21,"Store Name",$C$8,"Fiscal Year",H$1,"Fiscal Period",H$2)</f>
        <v>17507.013999999999</v>
      </c>
      <c r="I21" s="29">
        <f>GETPIVOTDATA("Sum of "&amp;$A21,SalesPivot!$A$3,"Sales Segment",$C21,"Store Name",$C$8,"Fiscal Year",I$1,"Fiscal Period",I$2)</f>
        <v>23393.369999999995</v>
      </c>
      <c r="J21" s="29">
        <f>GETPIVOTDATA("Sum of "&amp;$A21,SalesPivot!$A$3,"Sales Segment",$C21,"Store Name",$C$8,"Fiscal Year",J$1,"Fiscal Period",J$2)</f>
        <v>27173.040999999994</v>
      </c>
      <c r="K21" s="29">
        <f>GETPIVOTDATA("Sum of "&amp;$A21,SalesPivot!$A$3,"Sales Segment",$C21,"Store Name",$C$8,"Fiscal Year",K$1,"Fiscal Period",K$2)</f>
        <v>20564.305999999997</v>
      </c>
      <c r="L21" s="29">
        <f>GETPIVOTDATA("Sum of "&amp;$A21,SalesPivot!$A$3,"Sales Segment",$C21,"Store Name",$C$8,"Fiscal Year",L$1,"Fiscal Period",L$2)</f>
        <v>46067</v>
      </c>
      <c r="M21" s="29">
        <f>GETPIVOTDATA("Sum of "&amp;$A21,SalesPivot!$A$3,"Sales Segment",$C21,"Store Name",$C$8,"Fiscal Year",M$1,"Fiscal Period",M$2)</f>
        <v>15999.494000000001</v>
      </c>
      <c r="N21" s="29">
        <f>GETPIVOTDATA("Sum of "&amp;$A21,SalesPivot!$A$3,"Sales Segment",$C21,"Store Name",$C$8,"Fiscal Year",N$1,"Fiscal Period",N$2)</f>
        <v>3509.5619999999999</v>
      </c>
      <c r="O21" s="29">
        <f>GETPIVOTDATA("Sum of "&amp;$A21,SalesPivot!$A$3,"Sales Segment",$C21,"Store Name",$C$8,"Fiscal Year",O$1,"Fiscal Period",O$2)</f>
        <v>13289.962</v>
      </c>
      <c r="P21" s="29">
        <f>GETPIVOTDATA("Sum of "&amp;$A21,SalesPivot!$A$3,"Sales Segment",$C21,"Store Name",$C$8,"Fiscal Year",P$1,"Fiscal Period",P$2)</f>
        <v>2750.3069999999998</v>
      </c>
      <c r="Q21" s="29">
        <f>GETPIVOTDATA("Sum of "&amp;$A21,SalesPivot!$A$3,"Sales Segment",$C21,"Store Name",$C$8,"Fiscal Year",Q$1,"Fiscal Period",Q$2)</f>
        <v>5647.4459999999981</v>
      </c>
      <c r="R21" s="29">
        <f>GETPIVOTDATA("Sum of "&amp;$A21,SalesPivot!$A$3,"Sales Segment",$C21,"Store Name",$C$8,"Fiscal Year",R$1,"Fiscal Period",R$2)</f>
        <v>5916.5959999999986</v>
      </c>
      <c r="S21" s="29">
        <f>GETPIVOTDATA("Sum of "&amp;$A21,SalesPivot!$A$3,"Sales Segment",$C21,"Store Name",$C$8,"Fiscal Year",S$1,"Fiscal Period",S$2)</f>
        <v>7512.4209999999994</v>
      </c>
    </row>
    <row r="22" spans="1:19" x14ac:dyDescent="0.2">
      <c r="A22" s="20" t="str">
        <f t="shared" ref="A22:A24" si="4">C$19</f>
        <v>Net Sales - Prior Year</v>
      </c>
      <c r="C22" s="1" t="s">
        <v>4</v>
      </c>
      <c r="D22" s="29">
        <f>GETPIVOTDATA("Sum of "&amp;$A22,SalesPivot!$A$3,"Sales Segment",$C22,"Store Name",$C$8,"Fiscal Year",D$1,"Fiscal Period",D$2)</f>
        <v>140379.11299999995</v>
      </c>
      <c r="E22" s="29">
        <f>GETPIVOTDATA("Sum of "&amp;$A22,SalesPivot!$A$3,"Sales Segment",$C22,"Store Name",$C$8,"Fiscal Year",E$1,"Fiscal Period",E$2)</f>
        <v>137267.58499999999</v>
      </c>
      <c r="F22" s="29">
        <f>GETPIVOTDATA("Sum of "&amp;$A22,SalesPivot!$A$3,"Sales Segment",$C22,"Store Name",$C$8,"Fiscal Year",F$1,"Fiscal Period",F$2)</f>
        <v>180764.20599999998</v>
      </c>
      <c r="G22" s="29">
        <f>GETPIVOTDATA("Sum of "&amp;$A22,SalesPivot!$A$3,"Sales Segment",$C22,"Store Name",$C$8,"Fiscal Year",G$1,"Fiscal Period",G$2)</f>
        <v>146684.79699999999</v>
      </c>
      <c r="H22" s="29">
        <f>GETPIVOTDATA("Sum of "&amp;$A22,SalesPivot!$A$3,"Sales Segment",$C22,"Store Name",$C$8,"Fiscal Year",H$1,"Fiscal Period",H$2)</f>
        <v>127215.795</v>
      </c>
      <c r="I22" s="29">
        <f>GETPIVOTDATA("Sum of "&amp;$A22,SalesPivot!$A$3,"Sales Segment",$C22,"Store Name",$C$8,"Fiscal Year",I$1,"Fiscal Period",I$2)</f>
        <v>167334.57299999997</v>
      </c>
      <c r="J22" s="29">
        <f>GETPIVOTDATA("Sum of "&amp;$A22,SalesPivot!$A$3,"Sales Segment",$C22,"Store Name",$C$8,"Fiscal Year",J$1,"Fiscal Period",J$2)</f>
        <v>140380.08600000001</v>
      </c>
      <c r="K22" s="29">
        <f>GETPIVOTDATA("Sum of "&amp;$A22,SalesPivot!$A$3,"Sales Segment",$C22,"Store Name",$C$8,"Fiscal Year",K$1,"Fiscal Period",K$2)</f>
        <v>133977.26999999999</v>
      </c>
      <c r="L22" s="29">
        <f>GETPIVOTDATA("Sum of "&amp;$A22,SalesPivot!$A$3,"Sales Segment",$C22,"Store Name",$C$8,"Fiscal Year",L$1,"Fiscal Period",L$2)</f>
        <v>180755.554</v>
      </c>
      <c r="M22" s="29">
        <f>GETPIVOTDATA("Sum of "&amp;$A22,SalesPivot!$A$3,"Sales Segment",$C22,"Store Name",$C$8,"Fiscal Year",M$1,"Fiscal Period",M$2)</f>
        <v>138208.66499999998</v>
      </c>
      <c r="N22" s="29">
        <f>GETPIVOTDATA("Sum of "&amp;$A22,SalesPivot!$A$3,"Sales Segment",$C22,"Store Name",$C$8,"Fiscal Year",N$1,"Fiscal Period",N$2)</f>
        <v>114192.673</v>
      </c>
      <c r="O22" s="29">
        <f>GETPIVOTDATA("Sum of "&amp;$A22,SalesPivot!$A$3,"Sales Segment",$C22,"Store Name",$C$8,"Fiscal Year",O$1,"Fiscal Period",O$2)</f>
        <v>135859.61899999998</v>
      </c>
      <c r="P22" s="29">
        <f>GETPIVOTDATA("Sum of "&amp;$A22,SalesPivot!$A$3,"Sales Segment",$C22,"Store Name",$C$8,"Fiscal Year",P$1,"Fiscal Period",P$2)</f>
        <v>126360.122</v>
      </c>
      <c r="Q22" s="29">
        <f>GETPIVOTDATA("Sum of "&amp;$A22,SalesPivot!$A$3,"Sales Segment",$C22,"Store Name",$C$8,"Fiscal Year",Q$1,"Fiscal Period",Q$2)</f>
        <v>118424.72599999998</v>
      </c>
      <c r="R22" s="29">
        <f>GETPIVOTDATA("Sum of "&amp;$A22,SalesPivot!$A$3,"Sales Segment",$C22,"Store Name",$C$8,"Fiscal Year",R$1,"Fiscal Period",R$2)</f>
        <v>158679.54199999999</v>
      </c>
      <c r="S22" s="29">
        <f>GETPIVOTDATA("Sum of "&amp;$A22,SalesPivot!$A$3,"Sales Segment",$C22,"Store Name",$C$8,"Fiscal Year",S$1,"Fiscal Period",S$2)</f>
        <v>131192.45299999998</v>
      </c>
    </row>
    <row r="23" spans="1:19" x14ac:dyDescent="0.2">
      <c r="A23" s="20" t="str">
        <f t="shared" si="4"/>
        <v>Net Sales - Prior Year</v>
      </c>
      <c r="C23" s="1" t="s">
        <v>5</v>
      </c>
      <c r="D23" s="29">
        <f>GETPIVOTDATA("Sum of "&amp;$A23,SalesPivot!$A$3,"Sales Segment",$C23,"Store Name",$C$8,"Fiscal Year",D$1,"Fiscal Period",D$2)</f>
        <v>0</v>
      </c>
      <c r="E23" s="29">
        <f>GETPIVOTDATA("Sum of "&amp;$A23,SalesPivot!$A$3,"Sales Segment",$C23,"Store Name",$C$8,"Fiscal Year",E$1,"Fiscal Period",E$2)</f>
        <v>0</v>
      </c>
      <c r="F23" s="29">
        <f>GETPIVOTDATA("Sum of "&amp;$A23,SalesPivot!$A$3,"Sales Segment",$C23,"Store Name",$C$8,"Fiscal Year",F$1,"Fiscal Period",F$2)</f>
        <v>0</v>
      </c>
      <c r="G23" s="29">
        <f>GETPIVOTDATA("Sum of "&amp;$A23,SalesPivot!$A$3,"Sales Segment",$C23,"Store Name",$C$8,"Fiscal Year",G$1,"Fiscal Period",G$2)</f>
        <v>0</v>
      </c>
      <c r="H23" s="29">
        <f>GETPIVOTDATA("Sum of "&amp;$A23,SalesPivot!$A$3,"Sales Segment",$C23,"Store Name",$C$8,"Fiscal Year",H$1,"Fiscal Period",H$2)</f>
        <v>0</v>
      </c>
      <c r="I23" s="29">
        <f>GETPIVOTDATA("Sum of "&amp;$A23,SalesPivot!$A$3,"Sales Segment",$C23,"Store Name",$C$8,"Fiscal Year",I$1,"Fiscal Period",I$2)</f>
        <v>0</v>
      </c>
      <c r="J23" s="29">
        <f>GETPIVOTDATA("Sum of "&amp;$A23,SalesPivot!$A$3,"Sales Segment",$C23,"Store Name",$C$8,"Fiscal Year",J$1,"Fiscal Period",J$2)</f>
        <v>0</v>
      </c>
      <c r="K23" s="29">
        <f>GETPIVOTDATA("Sum of "&amp;$A23,SalesPivot!$A$3,"Sales Segment",$C23,"Store Name",$C$8,"Fiscal Year",K$1,"Fiscal Period",K$2)</f>
        <v>0</v>
      </c>
      <c r="L23" s="29">
        <f>GETPIVOTDATA("Sum of "&amp;$A23,SalesPivot!$A$3,"Sales Segment",$C23,"Store Name",$C$8,"Fiscal Year",L$1,"Fiscal Period",L$2)</f>
        <v>0</v>
      </c>
      <c r="M23" s="29">
        <f>GETPIVOTDATA("Sum of "&amp;$A23,SalesPivot!$A$3,"Sales Segment",$C23,"Store Name",$C$8,"Fiscal Year",M$1,"Fiscal Period",M$2)</f>
        <v>32180.112999999998</v>
      </c>
      <c r="N23" s="29">
        <f>GETPIVOTDATA("Sum of "&amp;$A23,SalesPivot!$A$3,"Sales Segment",$C23,"Store Name",$C$8,"Fiscal Year",N$1,"Fiscal Period",N$2)</f>
        <v>79323.972000000009</v>
      </c>
      <c r="O23" s="29">
        <f>GETPIVOTDATA("Sum of "&amp;$A23,SalesPivot!$A$3,"Sales Segment",$C23,"Store Name",$C$8,"Fiscal Year",O$1,"Fiscal Period",O$2)</f>
        <v>93149.30799999999</v>
      </c>
      <c r="P23" s="29">
        <f>GETPIVOTDATA("Sum of "&amp;$A23,SalesPivot!$A$3,"Sales Segment",$C23,"Store Name",$C$8,"Fiscal Year",P$1,"Fiscal Period",P$2)</f>
        <v>81302.752999999997</v>
      </c>
      <c r="Q23" s="29">
        <f>GETPIVOTDATA("Sum of "&amp;$A23,SalesPivot!$A$3,"Sales Segment",$C23,"Store Name",$C$8,"Fiscal Year",Q$1,"Fiscal Period",Q$2)</f>
        <v>81018.966</v>
      </c>
      <c r="R23" s="29">
        <f>GETPIVOTDATA("Sum of "&amp;$A23,SalesPivot!$A$3,"Sales Segment",$C23,"Store Name",$C$8,"Fiscal Year",R$1,"Fiscal Period",R$2)</f>
        <v>108457.73400000001</v>
      </c>
      <c r="S23" s="29">
        <f>GETPIVOTDATA("Sum of "&amp;$A23,SalesPivot!$A$3,"Sales Segment",$C23,"Store Name",$C$8,"Fiscal Year",S$1,"Fiscal Period",S$2)</f>
        <v>93530.647000000012</v>
      </c>
    </row>
    <row r="24" spans="1:19" x14ac:dyDescent="0.2">
      <c r="A24" s="20" t="str">
        <f t="shared" si="4"/>
        <v>Net Sales - Prior Year</v>
      </c>
      <c r="C24" s="1" t="s">
        <v>6</v>
      </c>
      <c r="D24" s="29">
        <f>GETPIVOTDATA("Sum of "&amp;$A24,SalesPivot!$A$3,"Sales Segment",$C24,"Store Name",$C$8,"Fiscal Year",D$1,"Fiscal Period",D$2)</f>
        <v>36694.245000000003</v>
      </c>
      <c r="E24" s="29">
        <f>GETPIVOTDATA("Sum of "&amp;$A24,SalesPivot!$A$3,"Sales Segment",$C24,"Store Name",$C$8,"Fiscal Year",E$1,"Fiscal Period",E$2)</f>
        <v>39174.338000000003</v>
      </c>
      <c r="F24" s="29">
        <f>GETPIVOTDATA("Sum of "&amp;$A24,SalesPivot!$A$3,"Sales Segment",$C24,"Store Name",$C$8,"Fiscal Year",F$1,"Fiscal Period",F$2)</f>
        <v>48359.472000000009</v>
      </c>
      <c r="G24" s="29">
        <f>GETPIVOTDATA("Sum of "&amp;$A24,SalesPivot!$A$3,"Sales Segment",$C24,"Store Name",$C$8,"Fiscal Year",G$1,"Fiscal Period",G$2)</f>
        <v>46310.859000000004</v>
      </c>
      <c r="H24" s="29">
        <f>GETPIVOTDATA("Sum of "&amp;$A24,SalesPivot!$A$3,"Sales Segment",$C24,"Store Name",$C$8,"Fiscal Year",H$1,"Fiscal Period",H$2)</f>
        <v>34326.30599999999</v>
      </c>
      <c r="I24" s="29">
        <f>GETPIVOTDATA("Sum of "&amp;$A24,SalesPivot!$A$3,"Sales Segment",$C24,"Store Name",$C$8,"Fiscal Year",I$1,"Fiscal Period",I$2)</f>
        <v>41312.07499999999</v>
      </c>
      <c r="J24" s="29">
        <f>GETPIVOTDATA("Sum of "&amp;$A24,SalesPivot!$A$3,"Sales Segment",$C24,"Store Name",$C$8,"Fiscal Year",J$1,"Fiscal Period",J$2)</f>
        <v>34040.825000000004</v>
      </c>
      <c r="K24" s="29">
        <f>GETPIVOTDATA("Sum of "&amp;$A24,SalesPivot!$A$3,"Sales Segment",$C24,"Store Name",$C$8,"Fiscal Year",K$1,"Fiscal Period",K$2)</f>
        <v>32005.567999999996</v>
      </c>
      <c r="L24" s="29">
        <f>GETPIVOTDATA("Sum of "&amp;$A24,SalesPivot!$A$3,"Sales Segment",$C24,"Store Name",$C$8,"Fiscal Year",L$1,"Fiscal Period",L$2)</f>
        <v>37183.811000000009</v>
      </c>
      <c r="M24" s="29">
        <f>GETPIVOTDATA("Sum of "&amp;$A24,SalesPivot!$A$3,"Sales Segment",$C24,"Store Name",$C$8,"Fiscal Year",M$1,"Fiscal Period",M$2)</f>
        <v>30464.027999999998</v>
      </c>
      <c r="N24" s="29">
        <f>GETPIVOTDATA("Sum of "&amp;$A24,SalesPivot!$A$3,"Sales Segment",$C24,"Store Name",$C$8,"Fiscal Year",N$1,"Fiscal Period",N$2)</f>
        <v>24757.368999999995</v>
      </c>
      <c r="O24" s="29">
        <f>GETPIVOTDATA("Sum of "&amp;$A24,SalesPivot!$A$3,"Sales Segment",$C24,"Store Name",$C$8,"Fiscal Year",O$1,"Fiscal Period",O$2)</f>
        <v>31779.271999999997</v>
      </c>
      <c r="P24" s="29">
        <f>GETPIVOTDATA("Sum of "&amp;$A24,SalesPivot!$A$3,"Sales Segment",$C24,"Store Name",$C$8,"Fiscal Year",P$1,"Fiscal Period",P$2)</f>
        <v>24176.327000000001</v>
      </c>
      <c r="Q24" s="29">
        <f>GETPIVOTDATA("Sum of "&amp;$A24,SalesPivot!$A$3,"Sales Segment",$C24,"Store Name",$C$8,"Fiscal Year",Q$1,"Fiscal Period",Q$2)</f>
        <v>24480.399999999998</v>
      </c>
      <c r="R24" s="29">
        <f>GETPIVOTDATA("Sum of "&amp;$A24,SalesPivot!$A$3,"Sales Segment",$C24,"Store Name",$C$8,"Fiscal Year",R$1,"Fiscal Period",R$2)</f>
        <v>30613.141999999996</v>
      </c>
      <c r="S24" s="29">
        <f>GETPIVOTDATA("Sum of "&amp;$A24,SalesPivot!$A$3,"Sales Segment",$C24,"Store Name",$C$8,"Fiscal Year",S$1,"Fiscal Period",S$2)</f>
        <v>27210.735999999994</v>
      </c>
    </row>
    <row r="25" spans="1:19" x14ac:dyDescent="0.2">
      <c r="C25" s="28" t="s">
        <v>7</v>
      </c>
      <c r="D25" s="30">
        <f>SUM(D21:D24)</f>
        <v>193880.07099999994</v>
      </c>
      <c r="E25" s="31">
        <f t="shared" ref="E25" si="5">SUM(E21:E24)</f>
        <v>196828.03700000001</v>
      </c>
      <c r="F25" s="31">
        <f t="shared" ref="F25" si="6">SUM(F21:F24)</f>
        <v>259043.21799999999</v>
      </c>
      <c r="G25" s="31">
        <f t="shared" ref="G25" si="7">SUM(G21:G24)</f>
        <v>227879.33</v>
      </c>
      <c r="H25" s="31">
        <f t="shared" ref="H25" si="8">SUM(H21:H24)</f>
        <v>179049.11499999999</v>
      </c>
      <c r="I25" s="31">
        <f t="shared" ref="I25" si="9">SUM(I21:I24)</f>
        <v>232040.01799999995</v>
      </c>
      <c r="J25" s="31">
        <f t="shared" ref="J25" si="10">SUM(J21:J24)</f>
        <v>201593.95200000002</v>
      </c>
      <c r="K25" s="31">
        <f t="shared" ref="K25" si="11">SUM(K21:K24)</f>
        <v>186547.144</v>
      </c>
      <c r="L25" s="31">
        <f t="shared" ref="L25" si="12">SUM(L21:L24)</f>
        <v>264006.36499999999</v>
      </c>
      <c r="M25" s="31">
        <f t="shared" ref="M25" si="13">SUM(M21:M24)</f>
        <v>216852.3</v>
      </c>
      <c r="N25" s="31">
        <f t="shared" ref="N25" si="14">SUM(N21:N24)</f>
        <v>221783.576</v>
      </c>
      <c r="O25" s="31">
        <f t="shared" ref="O25" si="15">SUM(O21:O24)</f>
        <v>274078.16099999996</v>
      </c>
      <c r="P25" s="31">
        <f t="shared" ref="P25" si="16">SUM(P21:P24)</f>
        <v>234589.50899999999</v>
      </c>
      <c r="Q25" s="31">
        <f t="shared" ref="Q25" si="17">SUM(Q21:Q24)</f>
        <v>229571.53799999997</v>
      </c>
      <c r="R25" s="31">
        <f t="shared" ref="R25" si="18">SUM(R21:R24)</f>
        <v>303667.01399999997</v>
      </c>
      <c r="S25" s="32">
        <f t="shared" ref="S25" si="19">SUM(S21:S24)</f>
        <v>259446.25700000001</v>
      </c>
    </row>
    <row r="27" spans="1:19" ht="12" thickBot="1" x14ac:dyDescent="0.25">
      <c r="C27" s="26" t="s">
        <v>42</v>
      </c>
    </row>
    <row r="28" spans="1:19" ht="12" thickBot="1" x14ac:dyDescent="0.25">
      <c r="D28" s="23" t="str">
        <f>"P"&amp;D$2&amp;" YR"&amp;RIGHT(D$1,2)</f>
        <v>P1 YR19</v>
      </c>
      <c r="E28" s="24" t="str">
        <f t="shared" ref="E28:S28" si="20">"P"&amp;E$2&amp;" YR"&amp;RIGHT(E$1,2)</f>
        <v>P2 YR19</v>
      </c>
      <c r="F28" s="24" t="str">
        <f t="shared" si="20"/>
        <v>P3 YR19</v>
      </c>
      <c r="G28" s="24" t="str">
        <f t="shared" si="20"/>
        <v>P4 YR19</v>
      </c>
      <c r="H28" s="24" t="str">
        <f t="shared" si="20"/>
        <v>P5 YR19</v>
      </c>
      <c r="I28" s="24" t="str">
        <f t="shared" si="20"/>
        <v>P6 YR19</v>
      </c>
      <c r="J28" s="24" t="str">
        <f t="shared" si="20"/>
        <v>P7 YR19</v>
      </c>
      <c r="K28" s="24" t="str">
        <f t="shared" si="20"/>
        <v>P8 YR19</v>
      </c>
      <c r="L28" s="24" t="str">
        <f t="shared" si="20"/>
        <v>P9 YR19</v>
      </c>
      <c r="M28" s="24" t="str">
        <f t="shared" si="20"/>
        <v>P10 YR19</v>
      </c>
      <c r="N28" s="24" t="str">
        <f t="shared" si="20"/>
        <v>P11 YR19</v>
      </c>
      <c r="O28" s="24" t="str">
        <f t="shared" si="20"/>
        <v>P12 YR19</v>
      </c>
      <c r="P28" s="24" t="str">
        <f t="shared" si="20"/>
        <v>P1 YR20</v>
      </c>
      <c r="Q28" s="24" t="str">
        <f t="shared" si="20"/>
        <v>P2 YR20</v>
      </c>
      <c r="R28" s="24" t="str">
        <f t="shared" si="20"/>
        <v>P3 YR20</v>
      </c>
      <c r="S28" s="25" t="str">
        <f t="shared" si="20"/>
        <v>P4 YR20</v>
      </c>
    </row>
    <row r="29" spans="1:19" x14ac:dyDescent="0.2">
      <c r="A29" s="20" t="str">
        <f>C$11</f>
        <v>Net Sales</v>
      </c>
      <c r="C29" s="1" t="str">
        <f>C9</f>
        <v>ToGo</v>
      </c>
      <c r="D29" s="33">
        <f>INDEX(NetSalesTable,MATCH($C29,NetSalesRow,0),MATCH(D$28,NetSalesColumn,0))</f>
        <v>23213.001000000004</v>
      </c>
      <c r="E29" s="33">
        <f>INDEX(NetSalesTable,MATCH($C29,NetSalesRow,0),MATCH(E$28,NetSalesColumn,0))</f>
        <v>24480.399999999998</v>
      </c>
      <c r="F29" s="33">
        <f>INDEX(NetSalesTable,MATCH($C29,NetSalesRow,0),MATCH(F$28,NetSalesColumn,0))</f>
        <v>30613.141999999996</v>
      </c>
      <c r="G29" s="33">
        <f>INDEX(NetSalesTable,MATCH($C29,NetSalesRow,0),MATCH(G$28,NetSalesColumn,0))</f>
        <v>27210.735999999994</v>
      </c>
      <c r="H29" s="33">
        <f>INDEX(NetSalesTable,MATCH($C29,NetSalesRow,0),MATCH(H$28,NetSalesColumn,0))</f>
        <v>21905.219000000001</v>
      </c>
      <c r="I29" s="33">
        <f>INDEX(NetSalesTable,MATCH($C29,NetSalesRow,0),MATCH(I$28,NetSalesColumn,0))</f>
        <v>26866.335999999996</v>
      </c>
      <c r="J29" s="33">
        <f>INDEX(NetSalesTable,MATCH($C29,NetSalesRow,0),MATCH(J$28,NetSalesColumn,0))</f>
        <v>22324.154999999992</v>
      </c>
      <c r="K29" s="33">
        <f>INDEX(NetSalesTable,MATCH($C29,NetSalesRow,0),MATCH(K$28,NetSalesColumn,0))</f>
        <v>20249.606999999996</v>
      </c>
      <c r="L29" s="33">
        <f>INDEX(NetSalesTable,MATCH($C29,NetSalesRow,0),MATCH(L$28,NetSalesColumn,0))</f>
        <v>32594.191000000003</v>
      </c>
      <c r="M29" s="33">
        <f>INDEX(NetSalesTable,MATCH($C29,NetSalesRow,0),MATCH(M$28,NetSalesColumn,0))</f>
        <v>21770.566999999999</v>
      </c>
      <c r="N29" s="33">
        <f>INDEX(NetSalesTable,MATCH($C29,NetSalesRow,0),MATCH(N$28,NetSalesColumn,0))</f>
        <v>25395.894999999997</v>
      </c>
      <c r="O29" s="33">
        <f>INDEX(NetSalesTable,MATCH($C29,NetSalesRow,0),MATCH(O$28,NetSalesColumn,0))</f>
        <v>31083.535000000003</v>
      </c>
      <c r="P29" s="33">
        <f>INDEX(NetSalesTable,MATCH($C29,NetSalesRow,0),MATCH(P$28,NetSalesColumn,0))</f>
        <v>27198.997000000003</v>
      </c>
      <c r="Q29" s="33">
        <f>INDEX(NetSalesTable,MATCH($C29,NetSalesRow,0),MATCH(Q$28,NetSalesColumn,0))</f>
        <v>25567.107999999997</v>
      </c>
      <c r="R29" s="33">
        <f>INDEX(NetSalesTable,MATCH($C29,NetSalesRow,0),MATCH(R$28,NetSalesColumn,0))</f>
        <v>48425.943999999996</v>
      </c>
      <c r="S29" s="33">
        <f>INDEX(NetSalesTable,MATCH($C29,NetSalesRow,0),MATCH(S$28,NetSalesColumn,0))</f>
        <v>74230.967999999993</v>
      </c>
    </row>
    <row r="30" spans="1:19" x14ac:dyDescent="0.2">
      <c r="A30" s="20" t="s">
        <v>42</v>
      </c>
      <c r="C30" s="1" t="str">
        <f>C9</f>
        <v>ToGo</v>
      </c>
      <c r="D30" s="33">
        <f>INDEX(NetSalesPriorYear,MATCH($C30,NetSalesPriorYearRow,0),MATCH(D$28,NetSalesPriorYearColumn,0))</f>
        <v>36694.245000000003</v>
      </c>
      <c r="E30" s="33">
        <f>INDEX(NetSalesPriorYear,MATCH($C30,NetSalesPriorYearRow,0),MATCH(E$28,NetSalesPriorYearColumn,0))</f>
        <v>39174.338000000003</v>
      </c>
      <c r="F30" s="33">
        <f>INDEX(NetSalesPriorYear,MATCH($C30,NetSalesPriorYearRow,0),MATCH(F$28,NetSalesPriorYearColumn,0))</f>
        <v>48359.472000000009</v>
      </c>
      <c r="G30" s="33">
        <f>INDEX(NetSalesPriorYear,MATCH($C30,NetSalesPriorYearRow,0),MATCH(G$28,NetSalesPriorYearColumn,0))</f>
        <v>46310.859000000004</v>
      </c>
      <c r="H30" s="33">
        <f>INDEX(NetSalesPriorYear,MATCH($C30,NetSalesPriorYearRow,0),MATCH(H$28,NetSalesPriorYearColumn,0))</f>
        <v>34326.30599999999</v>
      </c>
      <c r="I30" s="33">
        <f>INDEX(NetSalesPriorYear,MATCH($C30,NetSalesPriorYearRow,0),MATCH(I$28,NetSalesPriorYearColumn,0))</f>
        <v>41312.07499999999</v>
      </c>
      <c r="J30" s="33">
        <f>INDEX(NetSalesPriorYear,MATCH($C30,NetSalesPriorYearRow,0),MATCH(J$28,NetSalesPriorYearColumn,0))</f>
        <v>34040.825000000004</v>
      </c>
      <c r="K30" s="33">
        <f>INDEX(NetSalesPriorYear,MATCH($C30,NetSalesPriorYearRow,0),MATCH(K$28,NetSalesPriorYearColumn,0))</f>
        <v>32005.567999999996</v>
      </c>
      <c r="L30" s="33">
        <f>INDEX(NetSalesPriorYear,MATCH($C30,NetSalesPriorYearRow,0),MATCH(L$28,NetSalesPriorYearColumn,0))</f>
        <v>37183.811000000009</v>
      </c>
      <c r="M30" s="33">
        <f>INDEX(NetSalesPriorYear,MATCH($C30,NetSalesPriorYearRow,0),MATCH(M$28,NetSalesPriorYearColumn,0))</f>
        <v>30464.027999999998</v>
      </c>
      <c r="N30" s="33">
        <f>INDEX(NetSalesPriorYear,MATCH($C30,NetSalesPriorYearRow,0),MATCH(N$28,NetSalesPriorYearColumn,0))</f>
        <v>24757.368999999995</v>
      </c>
      <c r="O30" s="33">
        <f>INDEX(NetSalesPriorYear,MATCH($C30,NetSalesPriorYearRow,0),MATCH(O$28,NetSalesPriorYearColumn,0))</f>
        <v>31779.271999999997</v>
      </c>
      <c r="P30" s="33">
        <f>INDEX(NetSalesPriorYear,MATCH($C30,NetSalesPriorYearRow,0),MATCH(P$28,NetSalesPriorYearColumn,0))</f>
        <v>24176.327000000001</v>
      </c>
      <c r="Q30" s="33">
        <f>INDEX(NetSalesPriorYear,MATCH($C30,NetSalesPriorYearRow,0),MATCH(Q$28,NetSalesPriorYearColumn,0))</f>
        <v>24480.399999999998</v>
      </c>
      <c r="R30" s="33">
        <f>INDEX(NetSalesPriorYear,MATCH($C30,NetSalesPriorYearRow,0),MATCH(R$28,NetSalesPriorYearColumn,0))</f>
        <v>30613.141999999996</v>
      </c>
      <c r="S30" s="33">
        <f>INDEX(NetSalesPriorYear,MATCH($C30,NetSalesPriorYearRow,0),MATCH(S$28,NetSalesPriorYearColumn,0))</f>
        <v>27210.735999999994</v>
      </c>
    </row>
    <row r="31" spans="1:19" x14ac:dyDescent="0.2">
      <c r="C31" s="34" t="str">
        <f>C30&amp;" Growth %"</f>
        <v>ToGo Growth %</v>
      </c>
      <c r="D31" s="35">
        <f>IFERROR(D29/D30-1,"")</f>
        <v>-0.36739396055157958</v>
      </c>
      <c r="E31" s="36">
        <f t="shared" ref="E31:S31" si="21">IFERROR(E29/E30-1,"")</f>
        <v>-0.37509090772637954</v>
      </c>
      <c r="F31" s="36">
        <f t="shared" si="21"/>
        <v>-0.36696699252630405</v>
      </c>
      <c r="G31" s="36">
        <f t="shared" si="21"/>
        <v>-0.41243292420898536</v>
      </c>
      <c r="H31" s="36">
        <f t="shared" si="21"/>
        <v>-0.3618532970020133</v>
      </c>
      <c r="I31" s="36">
        <f t="shared" si="21"/>
        <v>-0.34967352765505</v>
      </c>
      <c r="J31" s="36">
        <f t="shared" si="21"/>
        <v>-0.34419465450675801</v>
      </c>
      <c r="K31" s="36">
        <f t="shared" si="21"/>
        <v>-0.36730986933273613</v>
      </c>
      <c r="L31" s="36">
        <f t="shared" si="21"/>
        <v>-0.12343059725642447</v>
      </c>
      <c r="M31" s="36">
        <f t="shared" si="21"/>
        <v>-0.28536807411022602</v>
      </c>
      <c r="N31" s="36">
        <f t="shared" si="21"/>
        <v>2.579135125384302E-2</v>
      </c>
      <c r="O31" s="36">
        <f t="shared" si="21"/>
        <v>-2.1892792257796057E-2</v>
      </c>
      <c r="P31" s="36">
        <f t="shared" si="21"/>
        <v>0.12502602235649785</v>
      </c>
      <c r="Q31" s="36">
        <f t="shared" si="21"/>
        <v>4.4390941324488065E-2</v>
      </c>
      <c r="R31" s="36">
        <f t="shared" si="21"/>
        <v>0.58186781350310279</v>
      </c>
      <c r="S31" s="37">
        <f t="shared" si="21"/>
        <v>1.7280029470720679</v>
      </c>
    </row>
  </sheetData>
  <dataValidations count="2">
    <dataValidation type="list" allowBlank="1" showInputMessage="1" showErrorMessage="1" sqref="C8" xr:uid="{3D904641-6058-4E65-8B09-56B76F22B73F}">
      <formula1>StoreList</formula1>
    </dataValidation>
    <dataValidation type="list" allowBlank="1" showInputMessage="1" showErrorMessage="1" sqref="C9" xr:uid="{A70A0343-7F57-4A6E-B9A0-A2B233D2EC97}">
      <formula1>SegmentList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7010-1A48-4AF4-A168-EC23F9C5F83E}">
  <sheetPr>
    <tabColor rgb="FFFF0000"/>
  </sheetPr>
  <dimension ref="A1:D5"/>
  <sheetViews>
    <sheetView workbookViewId="0">
      <selection activeCell="D1" sqref="D1:D5"/>
    </sheetView>
  </sheetViews>
  <sheetFormatPr defaultRowHeight="15" x14ac:dyDescent="0.25"/>
  <cols>
    <col min="3" max="3" width="1.7109375" customWidth="1"/>
    <col min="4" max="4" width="9.7109375" bestFit="1" customWidth="1"/>
  </cols>
  <sheetData>
    <row r="1" spans="1:4" x14ac:dyDescent="0.25">
      <c r="A1">
        <v>1</v>
      </c>
      <c r="B1" t="s">
        <v>0</v>
      </c>
      <c r="D1" t="s">
        <v>3</v>
      </c>
    </row>
    <row r="2" spans="1:4" x14ac:dyDescent="0.25">
      <c r="A2">
        <v>2</v>
      </c>
      <c r="B2" t="s">
        <v>1</v>
      </c>
      <c r="D2" t="s">
        <v>4</v>
      </c>
    </row>
    <row r="3" spans="1:4" x14ac:dyDescent="0.25">
      <c r="A3">
        <v>3</v>
      </c>
      <c r="B3" t="s">
        <v>2</v>
      </c>
      <c r="D3" t="s">
        <v>5</v>
      </c>
    </row>
    <row r="4" spans="1:4" x14ac:dyDescent="0.25">
      <c r="D4" t="s">
        <v>6</v>
      </c>
    </row>
    <row r="5" spans="1:4" x14ac:dyDescent="0.25">
      <c r="D5" t="s">
        <v>7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A127C-A0DA-4233-BF57-C9C9A9014FBB}">
  <sheetPr>
    <tabColor theme="5"/>
  </sheetPr>
  <dimension ref="A3:T68"/>
  <sheetViews>
    <sheetView workbookViewId="0">
      <selection activeCell="A9" sqref="A9"/>
    </sheetView>
  </sheetViews>
  <sheetFormatPr defaultRowHeight="15" x14ac:dyDescent="0.25"/>
  <cols>
    <col min="1" max="1" width="34.140625" bestFit="1" customWidth="1"/>
    <col min="2" max="2" width="16.28515625" bestFit="1" customWidth="1"/>
    <col min="3" max="10" width="13.28515625" bestFit="1" customWidth="1"/>
    <col min="11" max="12" width="12.140625" bestFit="1" customWidth="1"/>
    <col min="13" max="13" width="13.28515625" bestFit="1" customWidth="1"/>
    <col min="14" max="14" width="14.28515625" bestFit="1" customWidth="1"/>
    <col min="15" max="16" width="12.140625" bestFit="1" customWidth="1"/>
    <col min="17" max="19" width="13.28515625" bestFit="1" customWidth="1"/>
    <col min="20" max="20" width="14.28515625" bestFit="1" customWidth="1"/>
    <col min="21" max="21" width="26.7109375" bestFit="1" customWidth="1"/>
    <col min="22" max="22" width="16" bestFit="1" customWidth="1"/>
    <col min="23" max="23" width="26.7109375" bestFit="1" customWidth="1"/>
    <col min="24" max="24" width="16" bestFit="1" customWidth="1"/>
    <col min="25" max="25" width="26.7109375" bestFit="1" customWidth="1"/>
    <col min="26" max="26" width="20.5703125" bestFit="1" customWidth="1"/>
    <col min="27" max="27" width="31.28515625" bestFit="1" customWidth="1"/>
    <col min="28" max="28" width="16" bestFit="1" customWidth="1"/>
    <col min="29" max="29" width="26.7109375" bestFit="1" customWidth="1"/>
    <col min="30" max="30" width="16" bestFit="1" customWidth="1"/>
    <col min="31" max="31" width="26.7109375" bestFit="1" customWidth="1"/>
    <col min="32" max="32" width="16" bestFit="1" customWidth="1"/>
    <col min="33" max="33" width="26.7109375" bestFit="1" customWidth="1"/>
    <col min="34" max="34" width="16" bestFit="1" customWidth="1"/>
    <col min="35" max="35" width="26.7109375" bestFit="1" customWidth="1"/>
    <col min="36" max="36" width="20.5703125" bestFit="1" customWidth="1"/>
    <col min="37" max="37" width="31.28515625" bestFit="1" customWidth="1"/>
    <col min="38" max="38" width="21" bestFit="1" customWidth="1"/>
    <col min="39" max="39" width="31.7109375" bestFit="1" customWidth="1"/>
  </cols>
  <sheetData>
    <row r="3" spans="1:20" x14ac:dyDescent="0.25">
      <c r="B3" s="16" t="s">
        <v>20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</row>
    <row r="4" spans="1:20" x14ac:dyDescent="0.25">
      <c r="B4">
        <v>2019</v>
      </c>
      <c r="N4" t="s">
        <v>22</v>
      </c>
      <c r="O4">
        <v>2020</v>
      </c>
      <c r="S4" t="s">
        <v>23</v>
      </c>
      <c r="T4" t="s">
        <v>21</v>
      </c>
    </row>
    <row r="5" spans="1:20" x14ac:dyDescent="0.25">
      <c r="A5" s="16" t="s">
        <v>24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7</v>
      </c>
      <c r="I5">
        <v>8</v>
      </c>
      <c r="J5">
        <v>9</v>
      </c>
      <c r="K5">
        <v>10</v>
      </c>
      <c r="L5">
        <v>11</v>
      </c>
      <c r="M5">
        <v>12</v>
      </c>
      <c r="O5">
        <v>1</v>
      </c>
      <c r="P5">
        <v>2</v>
      </c>
      <c r="Q5">
        <v>3</v>
      </c>
      <c r="R5">
        <v>4</v>
      </c>
    </row>
    <row r="6" spans="1:20" x14ac:dyDescent="0.25">
      <c r="A6" s="17" t="s">
        <v>0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</row>
    <row r="7" spans="1:20" x14ac:dyDescent="0.25">
      <c r="A7" s="18" t="s">
        <v>3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</row>
    <row r="8" spans="1:20" x14ac:dyDescent="0.25">
      <c r="A8" s="27" t="s">
        <v>25</v>
      </c>
      <c r="B8" s="7">
        <v>2732.1350000000002</v>
      </c>
      <c r="C8" s="7">
        <v>5647.4459999999981</v>
      </c>
      <c r="D8" s="7">
        <v>5916.5959999999986</v>
      </c>
      <c r="E8" s="7">
        <v>7512.4209999999994</v>
      </c>
      <c r="F8" s="7">
        <v>5191.4730000000009</v>
      </c>
      <c r="G8" s="7">
        <v>6289.7239999999993</v>
      </c>
      <c r="H8" s="7">
        <v>3007.7460000000001</v>
      </c>
      <c r="I8" s="7">
        <v>3203.3820000000005</v>
      </c>
      <c r="J8" s="7">
        <v>6028.9389999999985</v>
      </c>
      <c r="K8" s="7">
        <v>2682.0009999999997</v>
      </c>
      <c r="L8" s="7">
        <v>2635.9270000000001</v>
      </c>
      <c r="M8" s="7">
        <v>9859.4929999999986</v>
      </c>
      <c r="N8" s="7">
        <v>60707.282999999996</v>
      </c>
      <c r="O8" s="7">
        <v>2382.7439999999997</v>
      </c>
      <c r="P8" s="7">
        <v>6444.9209999999994</v>
      </c>
      <c r="Q8" s="7">
        <v>2865.4989999999998</v>
      </c>
      <c r="R8" s="7">
        <v>388.63299999999998</v>
      </c>
      <c r="S8" s="7">
        <v>12081.796999999999</v>
      </c>
      <c r="T8" s="7">
        <v>72789.079999999987</v>
      </c>
    </row>
    <row r="9" spans="1:20" x14ac:dyDescent="0.25">
      <c r="A9" s="27" t="s">
        <v>28</v>
      </c>
      <c r="B9" s="7">
        <v>16806.712999999996</v>
      </c>
      <c r="C9" s="7">
        <v>20386.113999999998</v>
      </c>
      <c r="D9" s="7">
        <v>29919.540000000005</v>
      </c>
      <c r="E9" s="7">
        <v>34883.673999999999</v>
      </c>
      <c r="F9" s="7">
        <v>17507.013999999999</v>
      </c>
      <c r="G9" s="7">
        <v>23393.369999999995</v>
      </c>
      <c r="H9" s="7">
        <v>27173.040999999994</v>
      </c>
      <c r="I9" s="7">
        <v>20564.305999999997</v>
      </c>
      <c r="J9" s="7">
        <v>46067</v>
      </c>
      <c r="K9" s="7">
        <v>15999.494000000001</v>
      </c>
      <c r="L9" s="7">
        <v>3509.5619999999999</v>
      </c>
      <c r="M9" s="7">
        <v>13289.962</v>
      </c>
      <c r="N9" s="7">
        <v>269499.79000000004</v>
      </c>
      <c r="O9" s="7">
        <v>2750.3069999999998</v>
      </c>
      <c r="P9" s="7">
        <v>5647.4459999999981</v>
      </c>
      <c r="Q9" s="7">
        <v>5916.5959999999986</v>
      </c>
      <c r="R9" s="7">
        <v>7512.4209999999994</v>
      </c>
      <c r="S9" s="7">
        <v>21826.769999999993</v>
      </c>
      <c r="T9" s="7">
        <v>291326.56</v>
      </c>
    </row>
    <row r="10" spans="1:20" x14ac:dyDescent="0.25">
      <c r="A10" s="27" t="s">
        <v>29</v>
      </c>
      <c r="B10" s="19">
        <v>-0.83743787378293422</v>
      </c>
      <c r="C10" s="19">
        <v>-0.72297584522484282</v>
      </c>
      <c r="D10" s="19">
        <v>-0.802249767208988</v>
      </c>
      <c r="E10" s="19">
        <v>-0.78464364160724587</v>
      </c>
      <c r="F10" s="19">
        <v>-0.70346325192862691</v>
      </c>
      <c r="G10" s="19">
        <v>-0.73113219685748576</v>
      </c>
      <c r="H10" s="19">
        <v>-0.88931139506984147</v>
      </c>
      <c r="I10" s="19">
        <v>-0.84422610711978308</v>
      </c>
      <c r="J10" s="19">
        <v>-0.86912672846072025</v>
      </c>
      <c r="K10" s="19">
        <v>-0.83236963618974447</v>
      </c>
      <c r="L10" s="19">
        <v>-0.24892992344913689</v>
      </c>
      <c r="M10" s="19">
        <v>-0.25812481630872991</v>
      </c>
      <c r="N10" s="19">
        <v>-0.77474088940848496</v>
      </c>
      <c r="O10" s="19">
        <v>-0.13364435315766571</v>
      </c>
      <c r="P10" s="19">
        <v>0.14120984954969051</v>
      </c>
      <c r="Q10" s="19">
        <v>-0.51568452535883802</v>
      </c>
      <c r="R10" s="19">
        <v>-0.94826794185256658</v>
      </c>
      <c r="S10" s="19">
        <v>-0.44646885453046919</v>
      </c>
      <c r="T10" s="19">
        <v>-0.75014609035303814</v>
      </c>
    </row>
    <row r="11" spans="1:20" x14ac:dyDescent="0.25">
      <c r="A11" s="18" t="s">
        <v>4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</row>
    <row r="12" spans="1:20" x14ac:dyDescent="0.25">
      <c r="A12" s="27" t="s">
        <v>25</v>
      </c>
      <c r="B12" s="7">
        <v>122756.71099999998</v>
      </c>
      <c r="C12" s="7">
        <v>118424.72599999998</v>
      </c>
      <c r="D12" s="7">
        <v>158679.54199999999</v>
      </c>
      <c r="E12" s="7">
        <v>131192.45299999998</v>
      </c>
      <c r="F12" s="7">
        <v>104220.69699999997</v>
      </c>
      <c r="G12" s="7">
        <v>139949.69100000002</v>
      </c>
      <c r="H12" s="7">
        <v>123737.845</v>
      </c>
      <c r="I12" s="7">
        <v>123480.17499999997</v>
      </c>
      <c r="J12" s="7">
        <v>161324.38699999999</v>
      </c>
      <c r="K12" s="7">
        <v>112641.23499999996</v>
      </c>
      <c r="L12" s="7">
        <v>105390.88</v>
      </c>
      <c r="M12" s="7">
        <v>116347.38500000002</v>
      </c>
      <c r="N12" s="7">
        <v>1518145.7269999997</v>
      </c>
      <c r="O12" s="7">
        <v>107052.764</v>
      </c>
      <c r="P12" s="7">
        <v>105515.71799999998</v>
      </c>
      <c r="Q12" s="7">
        <v>84691.999000000011</v>
      </c>
      <c r="R12" s="7">
        <v>7723.8</v>
      </c>
      <c r="S12" s="7">
        <v>304984.28099999996</v>
      </c>
      <c r="T12" s="7">
        <v>1823130.0079999997</v>
      </c>
    </row>
    <row r="13" spans="1:20" x14ac:dyDescent="0.25">
      <c r="A13" s="27" t="s">
        <v>28</v>
      </c>
      <c r="B13" s="7">
        <v>140379.11299999995</v>
      </c>
      <c r="C13" s="7">
        <v>137267.58499999999</v>
      </c>
      <c r="D13" s="7">
        <v>180764.20599999998</v>
      </c>
      <c r="E13" s="7">
        <v>146684.79699999999</v>
      </c>
      <c r="F13" s="7">
        <v>127215.795</v>
      </c>
      <c r="G13" s="7">
        <v>167334.57299999997</v>
      </c>
      <c r="H13" s="7">
        <v>140380.08600000001</v>
      </c>
      <c r="I13" s="7">
        <v>133977.26999999999</v>
      </c>
      <c r="J13" s="7">
        <v>180755.554</v>
      </c>
      <c r="K13" s="7">
        <v>138208.66499999998</v>
      </c>
      <c r="L13" s="7">
        <v>114192.673</v>
      </c>
      <c r="M13" s="7">
        <v>135859.61899999998</v>
      </c>
      <c r="N13" s="7">
        <v>1743019.936</v>
      </c>
      <c r="O13" s="7">
        <v>126360.122</v>
      </c>
      <c r="P13" s="7">
        <v>118424.72599999998</v>
      </c>
      <c r="Q13" s="7">
        <v>158679.54199999999</v>
      </c>
      <c r="R13" s="7">
        <v>131192.45299999998</v>
      </c>
      <c r="S13" s="7">
        <v>534656.84299999999</v>
      </c>
      <c r="T13" s="7">
        <v>2277676.7790000001</v>
      </c>
    </row>
    <row r="14" spans="1:20" x14ac:dyDescent="0.25">
      <c r="A14" s="27" t="s">
        <v>29</v>
      </c>
      <c r="B14" s="19">
        <v>-0.12553435923191777</v>
      </c>
      <c r="C14" s="19">
        <v>-0.13727100247301657</v>
      </c>
      <c r="D14" s="19">
        <v>-0.12217387772001716</v>
      </c>
      <c r="E14" s="19">
        <v>-0.10561656229445518</v>
      </c>
      <c r="F14" s="19">
        <v>-0.18075662695815428</v>
      </c>
      <c r="G14" s="19">
        <v>-0.16365346090194977</v>
      </c>
      <c r="H14" s="19">
        <v>-0.11855129508896303</v>
      </c>
      <c r="I14" s="19">
        <v>-7.8349820085153371E-2</v>
      </c>
      <c r="J14" s="19">
        <v>-0.10749969541738129</v>
      </c>
      <c r="K14" s="19">
        <v>-0.18499151265226407</v>
      </c>
      <c r="L14" s="19">
        <v>-7.7078439174464289E-2</v>
      </c>
      <c r="M14" s="19">
        <v>-0.14362055586215031</v>
      </c>
      <c r="N14" s="19">
        <v>-0.12901413481021673</v>
      </c>
      <c r="O14" s="19">
        <v>-0.15279629122232097</v>
      </c>
      <c r="P14" s="19">
        <v>-0.10900601957060896</v>
      </c>
      <c r="Q14" s="19">
        <v>-0.46627020766167815</v>
      </c>
      <c r="R14" s="19">
        <v>-0.94112618658026004</v>
      </c>
      <c r="S14" s="19">
        <v>-0.42957004105902763</v>
      </c>
      <c r="T14" s="19">
        <v>-0.19956596791559036</v>
      </c>
    </row>
    <row r="15" spans="1:20" x14ac:dyDescent="0.25">
      <c r="A15" s="18" t="s">
        <v>5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x14ac:dyDescent="0.25">
      <c r="A16" s="27" t="s">
        <v>25</v>
      </c>
      <c r="B16" s="7">
        <v>78853.487999999998</v>
      </c>
      <c r="C16" s="7">
        <v>81018.966</v>
      </c>
      <c r="D16" s="7">
        <v>108457.73400000001</v>
      </c>
      <c r="E16" s="7">
        <v>93530.647000000012</v>
      </c>
      <c r="F16" s="7">
        <v>85460.816000000006</v>
      </c>
      <c r="G16" s="7">
        <v>109854.20599999999</v>
      </c>
      <c r="H16" s="7">
        <v>88162.395999999993</v>
      </c>
      <c r="I16" s="7">
        <v>91505.54</v>
      </c>
      <c r="J16" s="7">
        <v>120421.79799999995</v>
      </c>
      <c r="K16" s="7">
        <v>89228.216</v>
      </c>
      <c r="L16" s="7">
        <v>88431.112000000008</v>
      </c>
      <c r="M16" s="7">
        <v>99101.722999999998</v>
      </c>
      <c r="N16" s="7">
        <v>1134026.642</v>
      </c>
      <c r="O16" s="7">
        <v>88445.405999999988</v>
      </c>
      <c r="P16" s="7">
        <v>90572.152999999991</v>
      </c>
      <c r="Q16" s="7">
        <v>142119.383</v>
      </c>
      <c r="R16" s="7">
        <v>137318.37699999998</v>
      </c>
      <c r="S16" s="7">
        <v>458455.31899999996</v>
      </c>
      <c r="T16" s="7">
        <v>1592481.9609999997</v>
      </c>
    </row>
    <row r="17" spans="1:20" x14ac:dyDescent="0.25">
      <c r="A17" s="27" t="s">
        <v>28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32180.112999999998</v>
      </c>
      <c r="L17" s="7">
        <v>79323.972000000009</v>
      </c>
      <c r="M17" s="7">
        <v>93149.30799999999</v>
      </c>
      <c r="N17" s="7">
        <v>204653.39299999998</v>
      </c>
      <c r="O17" s="7">
        <v>81302.752999999997</v>
      </c>
      <c r="P17" s="7">
        <v>81018.966</v>
      </c>
      <c r="Q17" s="7">
        <v>108457.73400000001</v>
      </c>
      <c r="R17" s="7">
        <v>93530.647000000012</v>
      </c>
      <c r="S17" s="7">
        <v>364310.1</v>
      </c>
      <c r="T17" s="7">
        <v>568963.49300000002</v>
      </c>
    </row>
    <row r="18" spans="1:20" x14ac:dyDescent="0.25">
      <c r="A18" s="27" t="s">
        <v>29</v>
      </c>
      <c r="B18" s="19" t="e">
        <v>#DIV/0!</v>
      </c>
      <c r="C18" s="19" t="e">
        <v>#DIV/0!</v>
      </c>
      <c r="D18" s="19" t="e">
        <v>#DIV/0!</v>
      </c>
      <c r="E18" s="19" t="e">
        <v>#DIV/0!</v>
      </c>
      <c r="F18" s="19" t="e">
        <v>#DIV/0!</v>
      </c>
      <c r="G18" s="19" t="e">
        <v>#DIV/0!</v>
      </c>
      <c r="H18" s="19" t="e">
        <v>#DIV/0!</v>
      </c>
      <c r="I18" s="19" t="e">
        <v>#DIV/0!</v>
      </c>
      <c r="J18" s="19" t="e">
        <v>#DIV/0!</v>
      </c>
      <c r="K18" s="19">
        <v>1.772775098707702</v>
      </c>
      <c r="L18" s="19">
        <v>0.11480942986566531</v>
      </c>
      <c r="M18" s="19">
        <v>6.3901870317705514E-2</v>
      </c>
      <c r="N18" s="19">
        <v>4.5412061602125506</v>
      </c>
      <c r="O18" s="19">
        <v>8.7852535571581333E-2</v>
      </c>
      <c r="P18" s="19">
        <v>0.11791297114307767</v>
      </c>
      <c r="Q18" s="19">
        <v>0.31036651567881723</v>
      </c>
      <c r="R18" s="19">
        <v>0.46816451510273377</v>
      </c>
      <c r="S18" s="19">
        <v>0.25842055710231421</v>
      </c>
      <c r="T18" s="19">
        <v>1.7989176469007635</v>
      </c>
    </row>
    <row r="19" spans="1:20" x14ac:dyDescent="0.25">
      <c r="A19" s="18" t="s">
        <v>6</v>
      </c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x14ac:dyDescent="0.25">
      <c r="A20" s="27" t="s">
        <v>25</v>
      </c>
      <c r="B20" s="7">
        <v>23213.001000000004</v>
      </c>
      <c r="C20" s="7">
        <v>24480.399999999998</v>
      </c>
      <c r="D20" s="7">
        <v>30613.141999999996</v>
      </c>
      <c r="E20" s="7">
        <v>27210.735999999994</v>
      </c>
      <c r="F20" s="7">
        <v>21905.219000000001</v>
      </c>
      <c r="G20" s="7">
        <v>26866.335999999996</v>
      </c>
      <c r="H20" s="7">
        <v>22324.154999999992</v>
      </c>
      <c r="I20" s="7">
        <v>20249.606999999996</v>
      </c>
      <c r="J20" s="7">
        <v>32594.191000000003</v>
      </c>
      <c r="K20" s="7">
        <v>21770.566999999999</v>
      </c>
      <c r="L20" s="7">
        <v>25395.894999999997</v>
      </c>
      <c r="M20" s="7">
        <v>31083.535000000003</v>
      </c>
      <c r="N20" s="7">
        <v>307706.78399999999</v>
      </c>
      <c r="O20" s="7">
        <v>27198.997000000003</v>
      </c>
      <c r="P20" s="7">
        <v>25567.107999999997</v>
      </c>
      <c r="Q20" s="7">
        <v>48425.943999999996</v>
      </c>
      <c r="R20" s="7">
        <v>74230.967999999993</v>
      </c>
      <c r="S20" s="7">
        <v>175423.01699999999</v>
      </c>
      <c r="T20" s="7">
        <v>483129.80099999998</v>
      </c>
    </row>
    <row r="21" spans="1:20" x14ac:dyDescent="0.25">
      <c r="A21" s="27" t="s">
        <v>28</v>
      </c>
      <c r="B21" s="7">
        <v>36694.245000000003</v>
      </c>
      <c r="C21" s="7">
        <v>39174.338000000003</v>
      </c>
      <c r="D21" s="7">
        <v>48359.472000000009</v>
      </c>
      <c r="E21" s="7">
        <v>46310.859000000004</v>
      </c>
      <c r="F21" s="7">
        <v>34326.30599999999</v>
      </c>
      <c r="G21" s="7">
        <v>41312.07499999999</v>
      </c>
      <c r="H21" s="7">
        <v>34040.825000000004</v>
      </c>
      <c r="I21" s="7">
        <v>32005.567999999996</v>
      </c>
      <c r="J21" s="7">
        <v>37183.811000000009</v>
      </c>
      <c r="K21" s="7">
        <v>30464.027999999998</v>
      </c>
      <c r="L21" s="7">
        <v>24757.368999999995</v>
      </c>
      <c r="M21" s="7">
        <v>31779.271999999997</v>
      </c>
      <c r="N21" s="7">
        <v>436408.16799999995</v>
      </c>
      <c r="O21" s="7">
        <v>24176.327000000001</v>
      </c>
      <c r="P21" s="7">
        <v>24480.399999999998</v>
      </c>
      <c r="Q21" s="7">
        <v>30613.141999999996</v>
      </c>
      <c r="R21" s="7">
        <v>27210.735999999994</v>
      </c>
      <c r="S21" s="7">
        <v>106480.60499999998</v>
      </c>
      <c r="T21" s="7">
        <v>542888.77299999993</v>
      </c>
    </row>
    <row r="22" spans="1:20" x14ac:dyDescent="0.25">
      <c r="A22" s="27" t="s">
        <v>29</v>
      </c>
      <c r="B22" s="19">
        <v>-0.36739396055157963</v>
      </c>
      <c r="C22" s="19">
        <v>-0.37509090772637954</v>
      </c>
      <c r="D22" s="19">
        <v>-0.36696699252630405</v>
      </c>
      <c r="E22" s="19">
        <v>-0.41243292420898536</v>
      </c>
      <c r="F22" s="19">
        <v>-0.36185329700201335</v>
      </c>
      <c r="G22" s="19">
        <v>-0.34967352765504994</v>
      </c>
      <c r="H22" s="19">
        <v>-0.34419465450675801</v>
      </c>
      <c r="I22" s="19">
        <v>-0.36730986933273613</v>
      </c>
      <c r="J22" s="19">
        <v>-0.12343059725642444</v>
      </c>
      <c r="K22" s="19">
        <v>-0.28536807411022602</v>
      </c>
      <c r="L22" s="19">
        <v>2.5791351253842919E-2</v>
      </c>
      <c r="M22" s="19">
        <v>-2.1892792257796018E-2</v>
      </c>
      <c r="N22" s="19">
        <v>-0.29491057555091427</v>
      </c>
      <c r="O22" s="19">
        <v>0.12502602235649782</v>
      </c>
      <c r="P22" s="19">
        <v>4.4390941324488113E-2</v>
      </c>
      <c r="Q22" s="19">
        <v>0.58186781350310279</v>
      </c>
      <c r="R22" s="19">
        <v>1.7280029470720679</v>
      </c>
      <c r="S22" s="19">
        <v>0.64746450304259584</v>
      </c>
      <c r="T22" s="19">
        <v>-0.11007590315373889</v>
      </c>
    </row>
    <row r="23" spans="1:20" x14ac:dyDescent="0.25">
      <c r="A23" s="17" t="s">
        <v>33</v>
      </c>
      <c r="B23" s="7">
        <v>227555.33499999996</v>
      </c>
      <c r="C23" s="7">
        <v>229571.53799999997</v>
      </c>
      <c r="D23" s="7">
        <v>303667.01399999997</v>
      </c>
      <c r="E23" s="7">
        <v>259446.25700000001</v>
      </c>
      <c r="F23" s="7">
        <v>216778.20499999999</v>
      </c>
      <c r="G23" s="7">
        <v>282959.95699999999</v>
      </c>
      <c r="H23" s="7">
        <v>237232.14199999999</v>
      </c>
      <c r="I23" s="7">
        <v>238438.70399999994</v>
      </c>
      <c r="J23" s="7">
        <v>320369.31499999994</v>
      </c>
      <c r="K23" s="7">
        <v>226322.01899999997</v>
      </c>
      <c r="L23" s="7">
        <v>221853.81399999998</v>
      </c>
      <c r="M23" s="7">
        <v>256392.13600000003</v>
      </c>
      <c r="N23" s="7">
        <v>3020586.4359999998</v>
      </c>
      <c r="O23" s="7">
        <v>225079.91099999999</v>
      </c>
      <c r="P23" s="7">
        <v>228099.89999999997</v>
      </c>
      <c r="Q23" s="7">
        <v>278102.82500000001</v>
      </c>
      <c r="R23" s="7">
        <v>219661.77799999996</v>
      </c>
      <c r="S23" s="7">
        <v>950944.41399999987</v>
      </c>
      <c r="T23" s="7">
        <v>3971530.8499999996</v>
      </c>
    </row>
    <row r="24" spans="1:20" x14ac:dyDescent="0.25">
      <c r="A24" s="17" t="s">
        <v>34</v>
      </c>
      <c r="B24" s="7">
        <v>193880.07099999994</v>
      </c>
      <c r="C24" s="7">
        <v>196828.03700000001</v>
      </c>
      <c r="D24" s="7">
        <v>259043.21799999999</v>
      </c>
      <c r="E24" s="7">
        <v>227879.33</v>
      </c>
      <c r="F24" s="7">
        <v>179049.11499999999</v>
      </c>
      <c r="G24" s="7">
        <v>232040.01799999995</v>
      </c>
      <c r="H24" s="7">
        <v>201593.95200000002</v>
      </c>
      <c r="I24" s="7">
        <v>186547.144</v>
      </c>
      <c r="J24" s="7">
        <v>264006.36499999999</v>
      </c>
      <c r="K24" s="7">
        <v>216852.3</v>
      </c>
      <c r="L24" s="7">
        <v>221783.576</v>
      </c>
      <c r="M24" s="7">
        <v>274078.16099999996</v>
      </c>
      <c r="N24" s="7">
        <v>2653581.287</v>
      </c>
      <c r="O24" s="7">
        <v>234589.50899999999</v>
      </c>
      <c r="P24" s="7">
        <v>229571.53799999997</v>
      </c>
      <c r="Q24" s="7">
        <v>303667.01399999997</v>
      </c>
      <c r="R24" s="7">
        <v>259446.25700000001</v>
      </c>
      <c r="S24" s="7">
        <v>1027274.318</v>
      </c>
      <c r="T24" s="7">
        <v>3680855.6050000004</v>
      </c>
    </row>
    <row r="25" spans="1:20" x14ac:dyDescent="0.25">
      <c r="A25" s="17" t="s">
        <v>35</v>
      </c>
      <c r="B25" s="19">
        <v>0.17369120934559579</v>
      </c>
      <c r="C25" s="19">
        <v>0.16635587845648256</v>
      </c>
      <c r="D25" s="19">
        <v>0.17226390385561086</v>
      </c>
      <c r="E25" s="19">
        <v>0.13852474904152137</v>
      </c>
      <c r="F25" s="19">
        <v>0.21071922081268055</v>
      </c>
      <c r="G25" s="19">
        <v>0.2194446433804367</v>
      </c>
      <c r="H25" s="19">
        <v>0.17678203957229749</v>
      </c>
      <c r="I25" s="19">
        <v>0.27816861136185433</v>
      </c>
      <c r="J25" s="19">
        <v>0.21349087549461132</v>
      </c>
      <c r="K25" s="19">
        <v>4.3668981145230899E-2</v>
      </c>
      <c r="L25" s="19">
        <v>3.1669612902309526E-4</v>
      </c>
      <c r="M25" s="19">
        <v>-6.4529128973541197E-2</v>
      </c>
      <c r="N25" s="19">
        <v>0.13830559885162497</v>
      </c>
      <c r="O25" s="19">
        <v>-4.0537183612928983E-2</v>
      </c>
      <c r="P25" s="19">
        <v>-6.4103678218162402E-3</v>
      </c>
      <c r="Q25" s="19">
        <v>-8.4184938835668063E-2</v>
      </c>
      <c r="R25" s="19">
        <v>-0.15334381563269189</v>
      </c>
      <c r="S25" s="19">
        <v>-7.4303331313301982E-2</v>
      </c>
      <c r="T25" s="19">
        <v>7.8969477804332708E-2</v>
      </c>
    </row>
    <row r="26" spans="1:20" x14ac:dyDescent="0.25">
      <c r="A26" s="17" t="s">
        <v>1</v>
      </c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</row>
    <row r="27" spans="1:20" x14ac:dyDescent="0.25">
      <c r="A27" s="18" t="s">
        <v>3</v>
      </c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x14ac:dyDescent="0.25">
      <c r="A28" s="27" t="s">
        <v>25</v>
      </c>
      <c r="B28" s="7">
        <v>1457.365</v>
      </c>
      <c r="C28" s="7">
        <v>2032.9189999999999</v>
      </c>
      <c r="D28" s="7">
        <v>2225.2789999999995</v>
      </c>
      <c r="E28" s="7">
        <v>1762.6070000000002</v>
      </c>
      <c r="F28" s="7">
        <v>3146.1009999999997</v>
      </c>
      <c r="G28" s="7">
        <v>5989.2910000000002</v>
      </c>
      <c r="H28" s="7">
        <v>2183.0339999999997</v>
      </c>
      <c r="I28" s="7">
        <v>2249.9469999999997</v>
      </c>
      <c r="J28" s="7">
        <v>3071.8520000000003</v>
      </c>
      <c r="K28" s="7">
        <v>4411.3719999999994</v>
      </c>
      <c r="L28" s="7">
        <v>2115.3090000000002</v>
      </c>
      <c r="M28" s="7">
        <v>5944.0289999999995</v>
      </c>
      <c r="N28" s="7">
        <v>36589.104999999996</v>
      </c>
      <c r="O28" s="7">
        <v>3182.683</v>
      </c>
      <c r="P28" s="7">
        <v>3755.0520000000001</v>
      </c>
      <c r="Q28" s="7">
        <v>2326.2399999999998</v>
      </c>
      <c r="R28" s="7">
        <v>551.55799999999999</v>
      </c>
      <c r="S28" s="7">
        <v>9815.5329999999994</v>
      </c>
      <c r="T28" s="7">
        <v>46404.637999999992</v>
      </c>
    </row>
    <row r="29" spans="1:20" x14ac:dyDescent="0.25">
      <c r="A29" s="27" t="s">
        <v>28</v>
      </c>
      <c r="B29" s="7">
        <v>812.952</v>
      </c>
      <c r="C29" s="7">
        <v>2061.6259999999997</v>
      </c>
      <c r="D29" s="7">
        <v>2449.65</v>
      </c>
      <c r="E29" s="7">
        <v>2382.114</v>
      </c>
      <c r="F29" s="7">
        <v>2839.4309999999996</v>
      </c>
      <c r="G29" s="7">
        <v>2915.5630000000001</v>
      </c>
      <c r="H29" s="7">
        <v>3417.645</v>
      </c>
      <c r="I29" s="7">
        <v>3590.0059999999989</v>
      </c>
      <c r="J29" s="7">
        <v>4866.6519999999991</v>
      </c>
      <c r="K29" s="7">
        <v>1612.0859999999998</v>
      </c>
      <c r="L29" s="7">
        <v>611.06499999999994</v>
      </c>
      <c r="M29" s="7">
        <v>3623.5010000000002</v>
      </c>
      <c r="N29" s="7">
        <v>31182.29099999999</v>
      </c>
      <c r="O29" s="7">
        <v>1490.944</v>
      </c>
      <c r="P29" s="7">
        <v>2032.9189999999999</v>
      </c>
      <c r="Q29" s="7">
        <v>2225.2789999999995</v>
      </c>
      <c r="R29" s="7">
        <v>1762.6070000000002</v>
      </c>
      <c r="S29" s="7">
        <v>7511.7489999999998</v>
      </c>
      <c r="T29" s="7">
        <v>38694.039999999994</v>
      </c>
    </row>
    <row r="30" spans="1:20" x14ac:dyDescent="0.25">
      <c r="A30" s="27" t="s">
        <v>29</v>
      </c>
      <c r="B30" s="19">
        <v>0.79268271681476887</v>
      </c>
      <c r="C30" s="19">
        <v>-1.392444604404479E-2</v>
      </c>
      <c r="D30" s="19">
        <v>-9.1593084726389704E-2</v>
      </c>
      <c r="E30" s="19">
        <v>-0.26006605897114909</v>
      </c>
      <c r="F30" s="19">
        <v>0.10800403320242687</v>
      </c>
      <c r="G30" s="19">
        <v>1.0542485276428601</v>
      </c>
      <c r="H30" s="19">
        <v>-0.36124612123260325</v>
      </c>
      <c r="I30" s="19">
        <v>-0.3732748636074702</v>
      </c>
      <c r="J30" s="19">
        <v>-0.36879563198683596</v>
      </c>
      <c r="K30" s="19">
        <v>1.7364371379690662</v>
      </c>
      <c r="L30" s="19">
        <v>2.4616759264562695</v>
      </c>
      <c r="M30" s="19">
        <v>0.64041047594577705</v>
      </c>
      <c r="N30" s="19">
        <v>0.17339373813168399</v>
      </c>
      <c r="O30" s="19">
        <v>1.1346764197716346</v>
      </c>
      <c r="P30" s="19">
        <v>0.84712327446396063</v>
      </c>
      <c r="Q30" s="19">
        <v>4.537004123977275E-2</v>
      </c>
      <c r="R30" s="19">
        <v>-0.68707828801315329</v>
      </c>
      <c r="S30" s="19">
        <v>0.30669075870346563</v>
      </c>
      <c r="T30" s="19">
        <v>0.19927094715361754</v>
      </c>
    </row>
    <row r="31" spans="1:20" x14ac:dyDescent="0.25">
      <c r="A31" s="18" t="s">
        <v>4</v>
      </c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x14ac:dyDescent="0.25">
      <c r="A32" s="27" t="s">
        <v>25</v>
      </c>
      <c r="B32" s="7">
        <v>47269.844999999994</v>
      </c>
      <c r="C32" s="7">
        <v>48754.509999999987</v>
      </c>
      <c r="D32" s="7">
        <v>63137.192999999985</v>
      </c>
      <c r="E32" s="7">
        <v>54183.954999999987</v>
      </c>
      <c r="F32" s="7">
        <v>53427.926999999996</v>
      </c>
      <c r="G32" s="7">
        <v>64890.727999999996</v>
      </c>
      <c r="H32" s="7">
        <v>52249.337000000007</v>
      </c>
      <c r="I32" s="7">
        <v>50716.049999999988</v>
      </c>
      <c r="J32" s="7">
        <v>61271.35</v>
      </c>
      <c r="K32" s="7">
        <v>47843.914999999994</v>
      </c>
      <c r="L32" s="7">
        <v>46455.618999999999</v>
      </c>
      <c r="M32" s="7">
        <v>55343.127000000008</v>
      </c>
      <c r="N32" s="7">
        <v>645543.55599999987</v>
      </c>
      <c r="O32" s="7">
        <v>48139.286999999989</v>
      </c>
      <c r="P32" s="7">
        <v>48637.483999999997</v>
      </c>
      <c r="Q32" s="7">
        <v>36723.476999999992</v>
      </c>
      <c r="R32" s="7">
        <v>-180.06099999999992</v>
      </c>
      <c r="S32" s="7">
        <v>133320.18699999998</v>
      </c>
      <c r="T32" s="7">
        <v>778863.74299999978</v>
      </c>
    </row>
    <row r="33" spans="1:20" x14ac:dyDescent="0.25">
      <c r="A33" s="27" t="s">
        <v>28</v>
      </c>
      <c r="B33" s="7">
        <v>56271.977999999988</v>
      </c>
      <c r="C33" s="7">
        <v>58162.824999999997</v>
      </c>
      <c r="D33" s="7">
        <v>75533.667999999991</v>
      </c>
      <c r="E33" s="7">
        <v>62202.160999999986</v>
      </c>
      <c r="F33" s="7">
        <v>63970.536</v>
      </c>
      <c r="G33" s="7">
        <v>68459.012999999992</v>
      </c>
      <c r="H33" s="7">
        <v>57190.651000000005</v>
      </c>
      <c r="I33" s="7">
        <v>56089.824000000001</v>
      </c>
      <c r="J33" s="7">
        <v>62817.530999999974</v>
      </c>
      <c r="K33" s="7">
        <v>49993.251000000004</v>
      </c>
      <c r="L33" s="7">
        <v>47106.093999999997</v>
      </c>
      <c r="M33" s="7">
        <v>59113.810000000019</v>
      </c>
      <c r="N33" s="7">
        <v>716911.34200000006</v>
      </c>
      <c r="O33" s="7">
        <v>49124.712</v>
      </c>
      <c r="P33" s="7">
        <v>48754.509999999987</v>
      </c>
      <c r="Q33" s="7">
        <v>63137.192999999985</v>
      </c>
      <c r="R33" s="7">
        <v>54183.954999999987</v>
      </c>
      <c r="S33" s="7">
        <v>215200.36999999997</v>
      </c>
      <c r="T33" s="7">
        <v>932111.71199999994</v>
      </c>
    </row>
    <row r="34" spans="1:20" x14ac:dyDescent="0.25">
      <c r="A34" s="27" t="s">
        <v>29</v>
      </c>
      <c r="B34" s="19">
        <v>-0.15997541440608318</v>
      </c>
      <c r="C34" s="19">
        <v>-0.16175821927494083</v>
      </c>
      <c r="D34" s="19">
        <v>-0.16411853585609013</v>
      </c>
      <c r="E34" s="19">
        <v>-0.12890558577217279</v>
      </c>
      <c r="F34" s="19">
        <v>-0.16480413732972324</v>
      </c>
      <c r="G34" s="19">
        <v>-5.2122939604752942E-2</v>
      </c>
      <c r="H34" s="19">
        <v>-8.6400730077368731E-2</v>
      </c>
      <c r="I34" s="19">
        <v>-9.5806576251692505E-2</v>
      </c>
      <c r="J34" s="19">
        <v>-2.4613845456612674E-2</v>
      </c>
      <c r="K34" s="19">
        <v>-4.2992523130772391E-2</v>
      </c>
      <c r="L34" s="19">
        <v>-1.380872292234628E-2</v>
      </c>
      <c r="M34" s="19">
        <v>-6.3786837627282197E-2</v>
      </c>
      <c r="N34" s="19">
        <v>-9.9548970449960486E-2</v>
      </c>
      <c r="O34" s="19">
        <v>-2.0059659586401445E-2</v>
      </c>
      <c r="P34" s="19">
        <v>-2.4003112737670993E-3</v>
      </c>
      <c r="Q34" s="19">
        <v>-0.41835429712562611</v>
      </c>
      <c r="R34" s="19">
        <v>-1.0033231424321094</v>
      </c>
      <c r="S34" s="19">
        <v>-0.38048346757024665</v>
      </c>
      <c r="T34" s="19">
        <v>-0.16440944473402389</v>
      </c>
    </row>
    <row r="35" spans="1:20" x14ac:dyDescent="0.25">
      <c r="A35" s="18" t="s">
        <v>5</v>
      </c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x14ac:dyDescent="0.25">
      <c r="A36" s="27" t="s">
        <v>25</v>
      </c>
      <c r="B36" s="7">
        <v>23279.767000000003</v>
      </c>
      <c r="C36" s="7">
        <v>26103.377999999997</v>
      </c>
      <c r="D36" s="7">
        <v>35231.875</v>
      </c>
      <c r="E36" s="7">
        <v>30085.958000000006</v>
      </c>
      <c r="F36" s="7">
        <v>29016.119999999995</v>
      </c>
      <c r="G36" s="7">
        <v>36040.010999999991</v>
      </c>
      <c r="H36" s="7">
        <v>28562.443000000007</v>
      </c>
      <c r="I36" s="7">
        <v>30442.734000000004</v>
      </c>
      <c r="J36" s="7">
        <v>35998.613000000005</v>
      </c>
      <c r="K36" s="7">
        <v>30113.320999999993</v>
      </c>
      <c r="L36" s="7">
        <v>29594.649000000001</v>
      </c>
      <c r="M36" s="7">
        <v>34937.174999999996</v>
      </c>
      <c r="N36" s="7">
        <v>369406.04399999994</v>
      </c>
      <c r="O36" s="7">
        <v>29901.256000000012</v>
      </c>
      <c r="P36" s="7">
        <v>30777.207999999995</v>
      </c>
      <c r="Q36" s="7">
        <v>54387.794999999984</v>
      </c>
      <c r="R36" s="7">
        <v>68308.099999999991</v>
      </c>
      <c r="S36" s="7">
        <v>183374.359</v>
      </c>
      <c r="T36" s="7">
        <v>552780.40299999993</v>
      </c>
    </row>
    <row r="37" spans="1:20" x14ac:dyDescent="0.25">
      <c r="A37" s="27" t="s">
        <v>28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19797.154999999999</v>
      </c>
      <c r="H37" s="7">
        <v>18193.405999999999</v>
      </c>
      <c r="I37" s="7">
        <v>20362.488999999994</v>
      </c>
      <c r="J37" s="7">
        <v>25314.029999999995</v>
      </c>
      <c r="K37" s="7">
        <v>21466.773999999998</v>
      </c>
      <c r="L37" s="7">
        <v>24662.365000000002</v>
      </c>
      <c r="M37" s="7">
        <v>29749.04099999999</v>
      </c>
      <c r="N37" s="7">
        <v>159545.25999999998</v>
      </c>
      <c r="O37" s="7">
        <v>24115.126000000004</v>
      </c>
      <c r="P37" s="7">
        <v>26103.377999999997</v>
      </c>
      <c r="Q37" s="7">
        <v>35231.875</v>
      </c>
      <c r="R37" s="7">
        <v>30085.958000000006</v>
      </c>
      <c r="S37" s="7">
        <v>115536.337</v>
      </c>
      <c r="T37" s="7">
        <v>275081.59700000001</v>
      </c>
    </row>
    <row r="38" spans="1:20" x14ac:dyDescent="0.25">
      <c r="A38" s="27" t="s">
        <v>29</v>
      </c>
      <c r="B38" s="19" t="e">
        <v>#DIV/0!</v>
      </c>
      <c r="C38" s="19" t="e">
        <v>#DIV/0!</v>
      </c>
      <c r="D38" s="19" t="e">
        <v>#DIV/0!</v>
      </c>
      <c r="E38" s="19" t="e">
        <v>#DIV/0!</v>
      </c>
      <c r="F38" s="19" t="e">
        <v>#DIV/0!</v>
      </c>
      <c r="G38" s="19">
        <v>0.82046415255121219</v>
      </c>
      <c r="H38" s="19">
        <v>0.56993379909182529</v>
      </c>
      <c r="I38" s="19">
        <v>0.4950399236556991</v>
      </c>
      <c r="J38" s="19">
        <v>0.42208147023607112</v>
      </c>
      <c r="K38" s="19">
        <v>0.40278744258452603</v>
      </c>
      <c r="L38" s="19">
        <v>0.19999233650138579</v>
      </c>
      <c r="M38" s="19">
        <v>0.17439668055182039</v>
      </c>
      <c r="N38" s="19">
        <v>1.3153683412468673</v>
      </c>
      <c r="O38" s="19">
        <v>0.2399377884237473</v>
      </c>
      <c r="P38" s="19">
        <v>0.17905077266245001</v>
      </c>
      <c r="Q38" s="19">
        <v>0.5437099217682847</v>
      </c>
      <c r="R38" s="19">
        <v>1.2704312756136926</v>
      </c>
      <c r="S38" s="19">
        <v>0.58715745852320045</v>
      </c>
      <c r="T38" s="19">
        <v>1.0095143005876903</v>
      </c>
    </row>
    <row r="39" spans="1:20" x14ac:dyDescent="0.25">
      <c r="A39" s="18" t="s">
        <v>6</v>
      </c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x14ac:dyDescent="0.25">
      <c r="A40" s="27" t="s">
        <v>25</v>
      </c>
      <c r="B40" s="7">
        <v>9094.148000000001</v>
      </c>
      <c r="C40" s="7">
        <v>8396.2549999999992</v>
      </c>
      <c r="D40" s="7">
        <v>11417.566999999995</v>
      </c>
      <c r="E40" s="7">
        <v>8981.1329999999962</v>
      </c>
      <c r="F40" s="7">
        <v>9928.4570000000003</v>
      </c>
      <c r="G40" s="7">
        <v>11702.285</v>
      </c>
      <c r="H40" s="7">
        <v>8714.7829999999994</v>
      </c>
      <c r="I40" s="7">
        <v>8411.2419999999984</v>
      </c>
      <c r="J40" s="7">
        <v>13634.572000000002</v>
      </c>
      <c r="K40" s="7">
        <v>11683.083999999999</v>
      </c>
      <c r="L40" s="7">
        <v>11196.276000000003</v>
      </c>
      <c r="M40" s="7">
        <v>15486.967999999999</v>
      </c>
      <c r="N40" s="7">
        <v>128646.76999999997</v>
      </c>
      <c r="O40" s="7">
        <v>12812.701999999999</v>
      </c>
      <c r="P40" s="7">
        <v>12507.424999999999</v>
      </c>
      <c r="Q40" s="7">
        <v>24770.052999999996</v>
      </c>
      <c r="R40" s="7">
        <v>49938.126000000004</v>
      </c>
      <c r="S40" s="7">
        <v>100028.306</v>
      </c>
      <c r="T40" s="7">
        <v>228675.07599999994</v>
      </c>
    </row>
    <row r="41" spans="1:20" x14ac:dyDescent="0.25">
      <c r="A41" s="27" t="s">
        <v>28</v>
      </c>
      <c r="B41" s="7">
        <v>11162.402999999998</v>
      </c>
      <c r="C41" s="7">
        <v>10661.91</v>
      </c>
      <c r="D41" s="7">
        <v>14387.505999999998</v>
      </c>
      <c r="E41" s="7">
        <v>12119.624999999998</v>
      </c>
      <c r="F41" s="7">
        <v>11622.792999999998</v>
      </c>
      <c r="G41" s="7">
        <v>13561.617999999999</v>
      </c>
      <c r="H41" s="7">
        <v>9422.3359999999993</v>
      </c>
      <c r="I41" s="7">
        <v>9930.8999999999978</v>
      </c>
      <c r="J41" s="7">
        <v>12459.376999999995</v>
      </c>
      <c r="K41" s="7">
        <v>8804.9639999999999</v>
      </c>
      <c r="L41" s="7">
        <v>7666.4280000000008</v>
      </c>
      <c r="M41" s="7">
        <v>9582.3629999999976</v>
      </c>
      <c r="N41" s="7">
        <v>131382.22299999997</v>
      </c>
      <c r="O41" s="7">
        <v>9501.9330000000009</v>
      </c>
      <c r="P41" s="7">
        <v>8396.2549999999992</v>
      </c>
      <c r="Q41" s="7">
        <v>11417.566999999995</v>
      </c>
      <c r="R41" s="7">
        <v>8981.1329999999962</v>
      </c>
      <c r="S41" s="7">
        <v>38296.887999999992</v>
      </c>
      <c r="T41" s="7">
        <v>169679.11099999995</v>
      </c>
    </row>
    <row r="42" spans="1:20" x14ac:dyDescent="0.25">
      <c r="A42" s="27" t="s">
        <v>29</v>
      </c>
      <c r="B42" s="19">
        <v>-0.18528761235371968</v>
      </c>
      <c r="C42" s="19">
        <v>-0.21249991793215292</v>
      </c>
      <c r="D42" s="19">
        <v>-0.20642486613037747</v>
      </c>
      <c r="E42" s="19">
        <v>-0.25895949750920533</v>
      </c>
      <c r="F42" s="19">
        <v>-0.14577700902012089</v>
      </c>
      <c r="G42" s="19">
        <v>-0.13710259351059725</v>
      </c>
      <c r="H42" s="19">
        <v>-7.5093161610878659E-2</v>
      </c>
      <c r="I42" s="19">
        <v>-0.1530231902445901</v>
      </c>
      <c r="J42" s="19">
        <v>9.4322131836929529E-2</v>
      </c>
      <c r="K42" s="19">
        <v>0.32687470386023143</v>
      </c>
      <c r="L42" s="19">
        <v>0.46042928988572024</v>
      </c>
      <c r="M42" s="19">
        <v>0.6161950867442616</v>
      </c>
      <c r="N42" s="19">
        <v>-2.0820571745083772E-2</v>
      </c>
      <c r="O42" s="19">
        <v>0.34843110343968936</v>
      </c>
      <c r="P42" s="19">
        <v>0.48964329930427319</v>
      </c>
      <c r="Q42" s="19">
        <v>1.1694685916885801</v>
      </c>
      <c r="R42" s="19">
        <v>4.5603369864359014</v>
      </c>
      <c r="S42" s="19">
        <v>1.6119173443022314</v>
      </c>
      <c r="T42" s="19">
        <v>0.34769138435667429</v>
      </c>
    </row>
    <row r="43" spans="1:20" x14ac:dyDescent="0.25">
      <c r="A43" s="17" t="s">
        <v>36</v>
      </c>
      <c r="B43" s="7">
        <v>81101.125</v>
      </c>
      <c r="C43" s="7">
        <v>85287.061999999991</v>
      </c>
      <c r="D43" s="7">
        <v>112011.91399999998</v>
      </c>
      <c r="E43" s="7">
        <v>95013.652999999991</v>
      </c>
      <c r="F43" s="7">
        <v>95518.604999999981</v>
      </c>
      <c r="G43" s="7">
        <v>118622.315</v>
      </c>
      <c r="H43" s="7">
        <v>91709.597000000009</v>
      </c>
      <c r="I43" s="7">
        <v>91819.972999999998</v>
      </c>
      <c r="J43" s="7">
        <v>113976.387</v>
      </c>
      <c r="K43" s="7">
        <v>94051.691999999995</v>
      </c>
      <c r="L43" s="7">
        <v>89361.853000000003</v>
      </c>
      <c r="M43" s="7">
        <v>111711.299</v>
      </c>
      <c r="N43" s="7">
        <v>1180185.4749999999</v>
      </c>
      <c r="O43" s="7">
        <v>94035.928</v>
      </c>
      <c r="P43" s="7">
        <v>95677.168999999994</v>
      </c>
      <c r="Q43" s="7">
        <v>118207.56499999997</v>
      </c>
      <c r="R43" s="7">
        <v>118617.723</v>
      </c>
      <c r="S43" s="7">
        <v>426538.38499999995</v>
      </c>
      <c r="T43" s="7">
        <v>1606723.8599999996</v>
      </c>
    </row>
    <row r="44" spans="1:20" x14ac:dyDescent="0.25">
      <c r="A44" s="17" t="s">
        <v>37</v>
      </c>
      <c r="B44" s="7">
        <v>68247.332999999984</v>
      </c>
      <c r="C44" s="7">
        <v>70886.36099999999</v>
      </c>
      <c r="D44" s="7">
        <v>92370.823999999979</v>
      </c>
      <c r="E44" s="7">
        <v>76703.89999999998</v>
      </c>
      <c r="F44" s="7">
        <v>78432.760000000009</v>
      </c>
      <c r="G44" s="7">
        <v>104733.34899999999</v>
      </c>
      <c r="H44" s="7">
        <v>88224.038</v>
      </c>
      <c r="I44" s="7">
        <v>89973.218999999983</v>
      </c>
      <c r="J44" s="7">
        <v>105457.58999999997</v>
      </c>
      <c r="K44" s="7">
        <v>81877.075000000012</v>
      </c>
      <c r="L44" s="7">
        <v>80045.952000000005</v>
      </c>
      <c r="M44" s="7">
        <v>102068.71500000001</v>
      </c>
      <c r="N44" s="7">
        <v>1039021.116</v>
      </c>
      <c r="O44" s="7">
        <v>84232.715000000011</v>
      </c>
      <c r="P44" s="7">
        <v>85287.061999999991</v>
      </c>
      <c r="Q44" s="7">
        <v>112011.91399999998</v>
      </c>
      <c r="R44" s="7">
        <v>95013.652999999991</v>
      </c>
      <c r="S44" s="7">
        <v>376545.34399999998</v>
      </c>
      <c r="T44" s="7">
        <v>1415566.46</v>
      </c>
    </row>
    <row r="45" spans="1:20" x14ac:dyDescent="0.25">
      <c r="A45" s="17" t="s">
        <v>38</v>
      </c>
      <c r="B45" s="19">
        <v>0.18834130851677344</v>
      </c>
      <c r="C45" s="19">
        <v>0.20315192932530374</v>
      </c>
      <c r="D45" s="19">
        <v>0.212633049587173</v>
      </c>
      <c r="E45" s="19">
        <v>0.23870693667466691</v>
      </c>
      <c r="F45" s="19">
        <v>0.21784067014854522</v>
      </c>
      <c r="G45" s="19">
        <v>0.13261264088862446</v>
      </c>
      <c r="H45" s="19">
        <v>3.9508042014580524E-2</v>
      </c>
      <c r="I45" s="19">
        <v>2.0525596622256965E-2</v>
      </c>
      <c r="J45" s="19">
        <v>8.0779363533719561E-2</v>
      </c>
      <c r="K45" s="19">
        <v>0.14869384378960737</v>
      </c>
      <c r="L45" s="19">
        <v>0.11638191272932889</v>
      </c>
      <c r="M45" s="19">
        <v>9.4471494032231026E-2</v>
      </c>
      <c r="N45" s="19">
        <v>0.13586283938429677</v>
      </c>
      <c r="O45" s="19">
        <v>0.11638248868031881</v>
      </c>
      <c r="P45" s="19">
        <v>0.12182512512859207</v>
      </c>
      <c r="Q45" s="19">
        <v>5.5312428640403227E-2</v>
      </c>
      <c r="R45" s="19">
        <v>0.24842819168314745</v>
      </c>
      <c r="S45" s="19">
        <v>0.13276765148369443</v>
      </c>
      <c r="T45" s="19">
        <v>0.13503950920114277</v>
      </c>
    </row>
    <row r="46" spans="1:20" x14ac:dyDescent="0.25">
      <c r="A46" s="17" t="s">
        <v>2</v>
      </c>
      <c r="B46" s="19"/>
      <c r="C46" s="19"/>
      <c r="D46" s="19"/>
      <c r="E46" s="19"/>
      <c r="F46" s="19"/>
      <c r="G46" s="19"/>
      <c r="H46" s="19"/>
      <c r="I46" s="19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x14ac:dyDescent="0.25">
      <c r="A47" s="18" t="s">
        <v>3</v>
      </c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x14ac:dyDescent="0.25">
      <c r="A48" s="27" t="s">
        <v>25</v>
      </c>
      <c r="B48" s="7">
        <v>2297.7919999999999</v>
      </c>
      <c r="C48" s="7">
        <v>2857.1409999999996</v>
      </c>
      <c r="D48" s="7">
        <v>3442.8659999999995</v>
      </c>
      <c r="E48" s="7">
        <v>4299.3019999999997</v>
      </c>
      <c r="F48" s="7">
        <v>7226.009</v>
      </c>
      <c r="G48" s="7">
        <v>5242.0969999999988</v>
      </c>
      <c r="H48" s="7">
        <v>2552.4799999999996</v>
      </c>
      <c r="I48" s="7">
        <v>3601.2689999999993</v>
      </c>
      <c r="J48" s="7">
        <v>4474.2599999999993</v>
      </c>
      <c r="K48" s="7">
        <v>1669.4369999999997</v>
      </c>
      <c r="L48" s="7">
        <v>2907.4570000000003</v>
      </c>
      <c r="M48" s="7">
        <v>4561.8159999999998</v>
      </c>
      <c r="N48" s="7">
        <v>45131.925999999999</v>
      </c>
      <c r="O48" s="7">
        <v>3116.5049999999992</v>
      </c>
      <c r="P48" s="7">
        <v>1998.4229999999998</v>
      </c>
      <c r="Q48" s="7">
        <v>2223.8929999999996</v>
      </c>
      <c r="R48" s="7">
        <v>1318.9750000000001</v>
      </c>
      <c r="S48" s="7">
        <v>8657.7959999999985</v>
      </c>
      <c r="T48" s="7">
        <v>53789.721999999994</v>
      </c>
    </row>
    <row r="49" spans="1:20" x14ac:dyDescent="0.25">
      <c r="A49" s="27" t="s">
        <v>28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1246</v>
      </c>
      <c r="K49" s="7">
        <v>3938.6759999999995</v>
      </c>
      <c r="L49" s="7">
        <v>3044.8319999999994</v>
      </c>
      <c r="M49" s="7">
        <v>6382.6419999999989</v>
      </c>
      <c r="N49" s="7">
        <v>14612.149999999998</v>
      </c>
      <c r="O49" s="7">
        <v>2860.5360000000001</v>
      </c>
      <c r="P49" s="7">
        <v>2857.1409999999996</v>
      </c>
      <c r="Q49" s="7">
        <v>3442.8659999999995</v>
      </c>
      <c r="R49" s="7">
        <v>4299.3019999999997</v>
      </c>
      <c r="S49" s="7">
        <v>13459.844999999999</v>
      </c>
      <c r="T49" s="7">
        <v>28071.994999999995</v>
      </c>
    </row>
    <row r="50" spans="1:20" x14ac:dyDescent="0.25">
      <c r="A50" s="27" t="s">
        <v>29</v>
      </c>
      <c r="B50" s="19" t="e">
        <v>#DIV/0!</v>
      </c>
      <c r="C50" s="19" t="e">
        <v>#DIV/0!</v>
      </c>
      <c r="D50" s="19" t="e">
        <v>#DIV/0!</v>
      </c>
      <c r="E50" s="19" t="e">
        <v>#DIV/0!</v>
      </c>
      <c r="F50" s="19" t="e">
        <v>#DIV/0!</v>
      </c>
      <c r="G50" s="19" t="e">
        <v>#DIV/0!</v>
      </c>
      <c r="H50" s="19" t="e">
        <v>#DIV/0!</v>
      </c>
      <c r="I50" s="19" t="e">
        <v>#DIV/0!</v>
      </c>
      <c r="J50" s="19">
        <v>2.590898876404494</v>
      </c>
      <c r="K50" s="19">
        <v>-0.57614259207916563</v>
      </c>
      <c r="L50" s="19">
        <v>-4.5117431766350038E-2</v>
      </c>
      <c r="M50" s="19">
        <v>-0.2852777893543143</v>
      </c>
      <c r="N50" s="19">
        <v>2.0886574528731212</v>
      </c>
      <c r="O50" s="19">
        <v>8.9482880131555462E-2</v>
      </c>
      <c r="P50" s="19">
        <v>-0.30055149535847198</v>
      </c>
      <c r="Q50" s="19">
        <v>-0.35405763686417074</v>
      </c>
      <c r="R50" s="19">
        <v>-0.69321182833864647</v>
      </c>
      <c r="S50" s="19">
        <v>-0.35676852148000238</v>
      </c>
      <c r="T50" s="19">
        <v>0.91613463880995827</v>
      </c>
    </row>
    <row r="51" spans="1:20" x14ac:dyDescent="0.25">
      <c r="A51" s="18" t="s">
        <v>4</v>
      </c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</row>
    <row r="52" spans="1:20" x14ac:dyDescent="0.25">
      <c r="A52" s="27" t="s">
        <v>25</v>
      </c>
      <c r="B52" s="7">
        <v>88334.504999999976</v>
      </c>
      <c r="C52" s="7">
        <v>89195.841000000015</v>
      </c>
      <c r="D52" s="7">
        <v>114503.03899999996</v>
      </c>
      <c r="E52" s="7">
        <v>100033.45800000001</v>
      </c>
      <c r="F52" s="7">
        <v>94561.145000000004</v>
      </c>
      <c r="G52" s="7">
        <v>117188.148</v>
      </c>
      <c r="H52" s="7">
        <v>95756.863999999987</v>
      </c>
      <c r="I52" s="7">
        <v>96289.549999999988</v>
      </c>
      <c r="J52" s="7">
        <v>111228.50199999999</v>
      </c>
      <c r="K52" s="7">
        <v>84599.563999999998</v>
      </c>
      <c r="L52" s="7">
        <v>82349.203999999998</v>
      </c>
      <c r="M52" s="7">
        <v>101757.943</v>
      </c>
      <c r="N52" s="7">
        <v>1175797.763</v>
      </c>
      <c r="O52" s="7">
        <v>86328.809000000008</v>
      </c>
      <c r="P52" s="7">
        <v>83831.775999999983</v>
      </c>
      <c r="Q52" s="7">
        <v>65345.140000000014</v>
      </c>
      <c r="R52" s="7">
        <v>7774.3119999999999</v>
      </c>
      <c r="S52" s="7">
        <v>243280.03700000001</v>
      </c>
      <c r="T52" s="7">
        <v>1419077.8000000003</v>
      </c>
    </row>
    <row r="53" spans="1:20" x14ac:dyDescent="0.25">
      <c r="A53" s="27" t="s">
        <v>28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55022.547999999995</v>
      </c>
      <c r="K53" s="7">
        <v>110863.53599999999</v>
      </c>
      <c r="L53" s="7">
        <v>90688.633000000002</v>
      </c>
      <c r="M53" s="7">
        <v>112370.28600000001</v>
      </c>
      <c r="N53" s="7">
        <v>368945.00299999997</v>
      </c>
      <c r="O53" s="7">
        <v>91024.184999999998</v>
      </c>
      <c r="P53" s="7">
        <v>89195.841000000015</v>
      </c>
      <c r="Q53" s="7">
        <v>114503.03899999996</v>
      </c>
      <c r="R53" s="7">
        <v>100033.45800000001</v>
      </c>
      <c r="S53" s="7">
        <v>394756.52299999993</v>
      </c>
      <c r="T53" s="7">
        <v>763701.52599999995</v>
      </c>
    </row>
    <row r="54" spans="1:20" x14ac:dyDescent="0.25">
      <c r="A54" s="27" t="s">
        <v>29</v>
      </c>
      <c r="B54" s="19" t="e">
        <v>#DIV/0!</v>
      </c>
      <c r="C54" s="19" t="e">
        <v>#DIV/0!</v>
      </c>
      <c r="D54" s="19" t="e">
        <v>#DIV/0!</v>
      </c>
      <c r="E54" s="19" t="e">
        <v>#DIV/0!</v>
      </c>
      <c r="F54" s="19" t="e">
        <v>#DIV/0!</v>
      </c>
      <c r="G54" s="19" t="e">
        <v>#DIV/0!</v>
      </c>
      <c r="H54" s="19" t="e">
        <v>#DIV/0!</v>
      </c>
      <c r="I54" s="19" t="e">
        <v>#DIV/0!</v>
      </c>
      <c r="J54" s="19">
        <v>1.0215076553706675</v>
      </c>
      <c r="K54" s="19">
        <v>-0.23690361094021029</v>
      </c>
      <c r="L54" s="19">
        <v>-9.1956717442195912E-2</v>
      </c>
      <c r="M54" s="19">
        <v>-9.4440829313187008E-2</v>
      </c>
      <c r="N54" s="19">
        <v>2.1869187912541004</v>
      </c>
      <c r="O54" s="19">
        <v>-5.1583829066967082E-2</v>
      </c>
      <c r="P54" s="19">
        <v>-6.0138061818375929E-2</v>
      </c>
      <c r="Q54" s="19">
        <v>-0.4293152341572346</v>
      </c>
      <c r="R54" s="19">
        <v>-0.92228288259314195</v>
      </c>
      <c r="S54" s="19">
        <v>-0.38372129952112305</v>
      </c>
      <c r="T54" s="19">
        <v>0.85815760698113552</v>
      </c>
    </row>
    <row r="55" spans="1:20" x14ac:dyDescent="0.25">
      <c r="A55" s="18" t="s">
        <v>5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</row>
    <row r="56" spans="1:20" x14ac:dyDescent="0.25">
      <c r="A56" s="27" t="s">
        <v>25</v>
      </c>
      <c r="B56" s="7">
        <v>83350.861999999994</v>
      </c>
      <c r="C56" s="7">
        <v>89659.695999999996</v>
      </c>
      <c r="D56" s="7">
        <v>116992.91800000001</v>
      </c>
      <c r="E56" s="7">
        <v>96608.854999999996</v>
      </c>
      <c r="F56" s="7">
        <v>94655.428</v>
      </c>
      <c r="G56" s="7">
        <v>108915.88399999998</v>
      </c>
      <c r="H56" s="7">
        <v>89386.940999999977</v>
      </c>
      <c r="I56" s="7">
        <v>92615.901000000027</v>
      </c>
      <c r="J56" s="7">
        <v>109352.73300000002</v>
      </c>
      <c r="K56" s="7">
        <v>83470.212000000014</v>
      </c>
      <c r="L56" s="7">
        <v>80465.69299999997</v>
      </c>
      <c r="M56" s="7">
        <v>96327.174999999974</v>
      </c>
      <c r="N56" s="7">
        <v>1141802.2980000002</v>
      </c>
      <c r="O56" s="7">
        <v>85417.156999999977</v>
      </c>
      <c r="P56" s="7">
        <v>81967.193000000014</v>
      </c>
      <c r="Q56" s="7">
        <v>125497.24600000001</v>
      </c>
      <c r="R56" s="7">
        <v>118118.69299999997</v>
      </c>
      <c r="S56" s="7">
        <v>411000.28899999999</v>
      </c>
      <c r="T56" s="7">
        <v>1552802.5870000001</v>
      </c>
    </row>
    <row r="57" spans="1:20" x14ac:dyDescent="0.25">
      <c r="A57" s="27" t="s">
        <v>28</v>
      </c>
      <c r="B57" s="7">
        <v>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32095.587999999996</v>
      </c>
      <c r="K57" s="7">
        <v>86512.425999999992</v>
      </c>
      <c r="L57" s="7">
        <v>85622.187000000005</v>
      </c>
      <c r="M57" s="7">
        <v>105525.34299999999</v>
      </c>
      <c r="N57" s="7">
        <v>309755.54399999999</v>
      </c>
      <c r="O57" s="7">
        <v>85863.315999999992</v>
      </c>
      <c r="P57" s="7">
        <v>89659.695999999996</v>
      </c>
      <c r="Q57" s="7">
        <v>116992.91800000001</v>
      </c>
      <c r="R57" s="7">
        <v>96608.854999999996</v>
      </c>
      <c r="S57" s="7">
        <v>389124.78499999997</v>
      </c>
      <c r="T57" s="7">
        <v>698880.32899999991</v>
      </c>
    </row>
    <row r="58" spans="1:20" x14ac:dyDescent="0.25">
      <c r="A58" s="27" t="s">
        <v>29</v>
      </c>
      <c r="B58" s="19" t="e">
        <v>#DIV/0!</v>
      </c>
      <c r="C58" s="19" t="e">
        <v>#DIV/0!</v>
      </c>
      <c r="D58" s="19" t="e">
        <v>#DIV/0!</v>
      </c>
      <c r="E58" s="19" t="e">
        <v>#DIV/0!</v>
      </c>
      <c r="F58" s="19" t="e">
        <v>#DIV/0!</v>
      </c>
      <c r="G58" s="19" t="e">
        <v>#DIV/0!</v>
      </c>
      <c r="H58" s="19" t="e">
        <v>#DIV/0!</v>
      </c>
      <c r="I58" s="19" t="e">
        <v>#DIV/0!</v>
      </c>
      <c r="J58" s="19">
        <v>2.407095486145947</v>
      </c>
      <c r="K58" s="19">
        <v>-3.5165052474658128E-2</v>
      </c>
      <c r="L58" s="19">
        <v>-6.0223806243118211E-2</v>
      </c>
      <c r="M58" s="19">
        <v>-8.7165487820305115E-2</v>
      </c>
      <c r="N58" s="19">
        <v>2.6861399904435621</v>
      </c>
      <c r="O58" s="19">
        <v>-5.1961538499167006E-3</v>
      </c>
      <c r="P58" s="19">
        <v>-8.5796666096213212E-2</v>
      </c>
      <c r="Q58" s="19">
        <v>7.2690964080407053E-2</v>
      </c>
      <c r="R58" s="19">
        <v>0.22264872096869356</v>
      </c>
      <c r="S58" s="19">
        <v>5.6217195211556673E-2</v>
      </c>
      <c r="T58" s="19">
        <v>1.2218433150377013</v>
      </c>
    </row>
    <row r="59" spans="1:20" x14ac:dyDescent="0.25">
      <c r="A59" s="18" t="s">
        <v>6</v>
      </c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</row>
    <row r="60" spans="1:20" x14ac:dyDescent="0.25">
      <c r="A60" s="27" t="s">
        <v>25</v>
      </c>
      <c r="B60" s="7">
        <v>25202.400999999998</v>
      </c>
      <c r="C60" s="7">
        <v>21537.431999999997</v>
      </c>
      <c r="D60" s="7">
        <v>30121.910000000003</v>
      </c>
      <c r="E60" s="7">
        <v>24674.908999999996</v>
      </c>
      <c r="F60" s="7">
        <v>21874.236999999997</v>
      </c>
      <c r="G60" s="7">
        <v>26644.884000000002</v>
      </c>
      <c r="H60" s="7">
        <v>22301.852999999996</v>
      </c>
      <c r="I60" s="7">
        <v>21436.708999999995</v>
      </c>
      <c r="J60" s="7">
        <v>31226.755000000005</v>
      </c>
      <c r="K60" s="7">
        <v>36482.810000000005</v>
      </c>
      <c r="L60" s="7">
        <v>38056.19999999999</v>
      </c>
      <c r="M60" s="7">
        <v>48256.096000000012</v>
      </c>
      <c r="N60" s="7">
        <v>347816.196</v>
      </c>
      <c r="O60" s="7">
        <v>42605.982999999993</v>
      </c>
      <c r="P60" s="7">
        <v>40011.922999999995</v>
      </c>
      <c r="Q60" s="7">
        <v>63932.329999999994</v>
      </c>
      <c r="R60" s="7">
        <v>98388.982999999993</v>
      </c>
      <c r="S60" s="7">
        <v>244939.21899999998</v>
      </c>
      <c r="T60" s="7">
        <v>592755.41500000004</v>
      </c>
    </row>
    <row r="61" spans="1:20" x14ac:dyDescent="0.25">
      <c r="A61" s="27" t="s">
        <v>28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13.425999999999998</v>
      </c>
      <c r="J61" s="7">
        <v>19805.050999999999</v>
      </c>
      <c r="K61" s="7">
        <v>36331.770999999993</v>
      </c>
      <c r="L61" s="7">
        <v>25763.234</v>
      </c>
      <c r="M61" s="7">
        <v>33330.660999999993</v>
      </c>
      <c r="N61" s="7">
        <v>115244.14299999998</v>
      </c>
      <c r="O61" s="7">
        <v>26032.965</v>
      </c>
      <c r="P61" s="7">
        <v>21537.431999999997</v>
      </c>
      <c r="Q61" s="7">
        <v>30121.910000000003</v>
      </c>
      <c r="R61" s="7">
        <v>24674.908999999996</v>
      </c>
      <c r="S61" s="7">
        <v>102367.216</v>
      </c>
      <c r="T61" s="7">
        <v>217611.35899999997</v>
      </c>
    </row>
    <row r="62" spans="1:20" x14ac:dyDescent="0.25">
      <c r="A62" s="27" t="s">
        <v>29</v>
      </c>
      <c r="B62" s="19" t="e">
        <v>#DIV/0!</v>
      </c>
      <c r="C62" s="19" t="e">
        <v>#DIV/0!</v>
      </c>
      <c r="D62" s="19" t="e">
        <v>#DIV/0!</v>
      </c>
      <c r="E62" s="19" t="e">
        <v>#DIV/0!</v>
      </c>
      <c r="F62" s="19" t="e">
        <v>#DIV/0!</v>
      </c>
      <c r="G62" s="19" t="e">
        <v>#DIV/0!</v>
      </c>
      <c r="H62" s="19" t="e">
        <v>#DIV/0!</v>
      </c>
      <c r="I62" s="19">
        <v>1595.6564129301355</v>
      </c>
      <c r="J62" s="19">
        <v>0.57670661893271602</v>
      </c>
      <c r="K62" s="19">
        <v>4.1572154575126993E-3</v>
      </c>
      <c r="L62" s="19">
        <v>0.47715150978328225</v>
      </c>
      <c r="M62" s="19">
        <v>0.44779895004182552</v>
      </c>
      <c r="N62" s="19">
        <v>2.0180813267013487</v>
      </c>
      <c r="O62" s="19">
        <v>0.6366166128214743</v>
      </c>
      <c r="P62" s="19">
        <v>0.85778522713385708</v>
      </c>
      <c r="Q62" s="19">
        <v>1.1224527262713415</v>
      </c>
      <c r="R62" s="19">
        <v>2.9874101663353656</v>
      </c>
      <c r="S62" s="19">
        <v>1.392750614610835</v>
      </c>
      <c r="T62" s="19">
        <v>1.7239176195760997</v>
      </c>
    </row>
    <row r="63" spans="1:20" x14ac:dyDescent="0.25">
      <c r="A63" s="17" t="s">
        <v>39</v>
      </c>
      <c r="B63" s="19">
        <v>199185.56</v>
      </c>
      <c r="C63" s="19">
        <v>203250.11000000002</v>
      </c>
      <c r="D63" s="19">
        <v>265060.73300000001</v>
      </c>
      <c r="E63" s="19">
        <v>225616.52399999998</v>
      </c>
      <c r="F63" s="19">
        <v>218316.81899999999</v>
      </c>
      <c r="G63" s="19">
        <v>257991.01299999995</v>
      </c>
      <c r="H63" s="19">
        <v>209998.13799999998</v>
      </c>
      <c r="I63" s="19">
        <v>213943.42900000003</v>
      </c>
      <c r="J63" s="7">
        <v>256282.25</v>
      </c>
      <c r="K63" s="7">
        <v>206222.02300000002</v>
      </c>
      <c r="L63" s="7">
        <v>203778.55399999995</v>
      </c>
      <c r="M63" s="7">
        <v>250903.03</v>
      </c>
      <c r="N63" s="7">
        <v>2710548.1830000002</v>
      </c>
      <c r="O63" s="7">
        <v>217468.45399999997</v>
      </c>
      <c r="P63" s="7">
        <v>207809.315</v>
      </c>
      <c r="Q63" s="7">
        <v>256998.60900000003</v>
      </c>
      <c r="R63" s="7">
        <v>225600.96299999996</v>
      </c>
      <c r="S63" s="7">
        <v>907877.34100000001</v>
      </c>
      <c r="T63" s="7">
        <v>3618425.5240000002</v>
      </c>
    </row>
    <row r="64" spans="1:20" x14ac:dyDescent="0.25">
      <c r="A64" s="17" t="s">
        <v>40</v>
      </c>
      <c r="B64" s="19">
        <v>0</v>
      </c>
      <c r="C64" s="19">
        <v>0</v>
      </c>
      <c r="D64" s="19">
        <v>0</v>
      </c>
      <c r="E64" s="19">
        <v>0</v>
      </c>
      <c r="F64" s="19">
        <v>0</v>
      </c>
      <c r="G64" s="19">
        <v>0</v>
      </c>
      <c r="H64" s="19">
        <v>0</v>
      </c>
      <c r="I64" s="19">
        <v>13.425999999999998</v>
      </c>
      <c r="J64" s="7">
        <v>108169.18700000001</v>
      </c>
      <c r="K64" s="7">
        <v>237646.40899999999</v>
      </c>
      <c r="L64" s="7">
        <v>205118.886</v>
      </c>
      <c r="M64" s="7">
        <v>257608.932</v>
      </c>
      <c r="N64" s="7">
        <v>808556.83999999985</v>
      </c>
      <c r="O64" s="7">
        <v>205781.00199999998</v>
      </c>
      <c r="P64" s="7">
        <v>203250.11000000002</v>
      </c>
      <c r="Q64" s="7">
        <v>265060.73300000001</v>
      </c>
      <c r="R64" s="7">
        <v>225616.52399999998</v>
      </c>
      <c r="S64" s="7">
        <v>899708.36899999995</v>
      </c>
      <c r="T64" s="7">
        <v>1708265.2089999998</v>
      </c>
    </row>
    <row r="65" spans="1:20" x14ac:dyDescent="0.25">
      <c r="A65" s="17" t="s">
        <v>41</v>
      </c>
      <c r="B65" s="19" t="e">
        <v>#DIV/0!</v>
      </c>
      <c r="C65" s="19" t="e">
        <v>#DIV/0!</v>
      </c>
      <c r="D65" s="19" t="e">
        <v>#DIV/0!</v>
      </c>
      <c r="E65" s="19" t="e">
        <v>#DIV/0!</v>
      </c>
      <c r="F65" s="19" t="e">
        <v>#DIV/0!</v>
      </c>
      <c r="G65" s="19" t="e">
        <v>#DIV/0!</v>
      </c>
      <c r="H65" s="19" t="e">
        <v>#DIV/0!</v>
      </c>
      <c r="I65" s="19">
        <v>15934.008863399371</v>
      </c>
      <c r="J65" s="19">
        <v>1.3692722216725177</v>
      </c>
      <c r="K65" s="19">
        <v>-0.13223168880283825</v>
      </c>
      <c r="L65" s="19">
        <v>-6.5344153633900386E-3</v>
      </c>
      <c r="M65" s="19">
        <v>-2.6031325652948259E-2</v>
      </c>
      <c r="N65" s="19">
        <v>2.3523285549102528</v>
      </c>
      <c r="O65" s="19">
        <v>5.6795583102467143E-2</v>
      </c>
      <c r="P65" s="19">
        <v>2.2431500775079181E-2</v>
      </c>
      <c r="Q65" s="19">
        <v>-3.0416138628877876E-2</v>
      </c>
      <c r="R65" s="19">
        <v>-6.8971012069962421E-5</v>
      </c>
      <c r="S65" s="19">
        <v>9.0795776514555806E-3</v>
      </c>
      <c r="T65" s="19">
        <v>1.1181872141025389</v>
      </c>
    </row>
    <row r="66" spans="1:20" x14ac:dyDescent="0.25">
      <c r="A66" s="17" t="s">
        <v>26</v>
      </c>
      <c r="B66" s="7">
        <v>507842.01999999984</v>
      </c>
      <c r="C66" s="7">
        <v>518108.70999999996</v>
      </c>
      <c r="D66" s="7">
        <v>680739.66099999996</v>
      </c>
      <c r="E66" s="7">
        <v>580076.43400000001</v>
      </c>
      <c r="F66" s="7">
        <v>530613.62900000007</v>
      </c>
      <c r="G66" s="7">
        <v>659573.28499999992</v>
      </c>
      <c r="H66" s="7">
        <v>538939.87699999998</v>
      </c>
      <c r="I66" s="7">
        <v>544202.10599999991</v>
      </c>
      <c r="J66" s="7">
        <v>690627.95199999993</v>
      </c>
      <c r="K66" s="7">
        <v>526595.73399999994</v>
      </c>
      <c r="L66" s="7">
        <v>514994.22099999996</v>
      </c>
      <c r="M66" s="7">
        <v>619006.46499999997</v>
      </c>
      <c r="N66" s="7">
        <v>6911320.0940000005</v>
      </c>
      <c r="O66" s="7">
        <v>536584.29299999995</v>
      </c>
      <c r="P66" s="7">
        <v>531586.38399999996</v>
      </c>
      <c r="Q66" s="7">
        <v>653308.99899999995</v>
      </c>
      <c r="R66" s="7">
        <v>563880.4639999998</v>
      </c>
      <c r="S66" s="7">
        <v>2285360.14</v>
      </c>
      <c r="T66" s="7">
        <v>9196680.2339999974</v>
      </c>
    </row>
    <row r="67" spans="1:20" x14ac:dyDescent="0.25">
      <c r="A67" s="17" t="s">
        <v>27</v>
      </c>
      <c r="B67" s="7">
        <v>262127.40399999992</v>
      </c>
      <c r="C67" s="7">
        <v>267714.39799999999</v>
      </c>
      <c r="D67" s="7">
        <v>351414.04199999996</v>
      </c>
      <c r="E67" s="7">
        <v>304583.23</v>
      </c>
      <c r="F67" s="7">
        <v>257481.875</v>
      </c>
      <c r="G67" s="7">
        <v>336773.36699999997</v>
      </c>
      <c r="H67" s="7">
        <v>289817.99000000005</v>
      </c>
      <c r="I67" s="7">
        <v>276533.78899999999</v>
      </c>
      <c r="J67" s="7">
        <v>477633.14199999988</v>
      </c>
      <c r="K67" s="7">
        <v>536375.78399999987</v>
      </c>
      <c r="L67" s="7">
        <v>506948.41400000005</v>
      </c>
      <c r="M67" s="7">
        <v>633755.80799999984</v>
      </c>
      <c r="N67" s="7">
        <v>4501159.2429999998</v>
      </c>
      <c r="O67" s="7">
        <v>524603.22600000002</v>
      </c>
      <c r="P67" s="7">
        <v>518108.70999999996</v>
      </c>
      <c r="Q67" s="7">
        <v>680739.66099999996</v>
      </c>
      <c r="R67" s="7">
        <v>580076.43400000001</v>
      </c>
      <c r="S67" s="7">
        <v>2303528.031</v>
      </c>
      <c r="T67" s="7">
        <v>6804687.2740000002</v>
      </c>
    </row>
    <row r="68" spans="1:20" x14ac:dyDescent="0.25">
      <c r="A68" s="17" t="s">
        <v>30</v>
      </c>
      <c r="B68" s="19">
        <v>0.93738621849701664</v>
      </c>
      <c r="C68" s="19">
        <v>0.93530386811694788</v>
      </c>
      <c r="D68" s="19">
        <v>0.93714416511563248</v>
      </c>
      <c r="E68" s="19">
        <v>0.90449235829563002</v>
      </c>
      <c r="F68" s="19">
        <v>1.0607805073658092</v>
      </c>
      <c r="G68" s="19">
        <v>0.95850785611559386</v>
      </c>
      <c r="H68" s="19">
        <v>0.85958048014893762</v>
      </c>
      <c r="I68" s="19">
        <v>0.96794072785080054</v>
      </c>
      <c r="J68" s="19">
        <v>0.4459380877719738</v>
      </c>
      <c r="K68" s="19">
        <v>-1.8233578568863613E-2</v>
      </c>
      <c r="L68" s="19">
        <v>1.5871056655480824E-2</v>
      </c>
      <c r="M68" s="19">
        <v>-2.3272911764779559E-2</v>
      </c>
      <c r="N68" s="19">
        <v>0.53545336231953455</v>
      </c>
      <c r="O68" s="19">
        <v>2.2838340304068734E-2</v>
      </c>
      <c r="P68" s="19">
        <v>2.6013216415527483E-2</v>
      </c>
      <c r="Q68" s="19">
        <v>-4.0295378059367046E-2</v>
      </c>
      <c r="R68" s="19">
        <v>-2.7920406778669984E-2</v>
      </c>
      <c r="S68" s="19">
        <v>-7.8869849880286932E-3</v>
      </c>
      <c r="T68" s="19">
        <v>0.35152136515362808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E35D-21F0-4568-9E30-8CCA900FEEE0}">
  <sheetPr>
    <tabColor theme="1"/>
  </sheetPr>
  <dimension ref="A1:I5785"/>
  <sheetViews>
    <sheetView workbookViewId="0">
      <selection activeCell="M12" sqref="M12"/>
    </sheetView>
  </sheetViews>
  <sheetFormatPr defaultRowHeight="15" x14ac:dyDescent="0.25"/>
  <cols>
    <col min="1" max="1" width="13.140625" bestFit="1" customWidth="1"/>
    <col min="2" max="2" width="13.42578125" bestFit="1" customWidth="1"/>
    <col min="3" max="3" width="14" bestFit="1" customWidth="1"/>
    <col min="4" max="4" width="9.5703125" bestFit="1" customWidth="1"/>
    <col min="5" max="5" width="19.85546875" bestFit="1" customWidth="1"/>
    <col min="6" max="6" width="11" bestFit="1" customWidth="1"/>
    <col min="7" max="7" width="9.85546875" bestFit="1" customWidth="1"/>
    <col min="8" max="8" width="11.7109375" bestFit="1" customWidth="1"/>
    <col min="9" max="9" width="11.140625" bestFit="1" customWidth="1"/>
  </cols>
  <sheetData>
    <row r="1" spans="1:9" x14ac:dyDescent="0.25">
      <c r="A1" s="4" t="s">
        <v>10</v>
      </c>
      <c r="B1" s="5" t="s">
        <v>11</v>
      </c>
      <c r="C1" s="6" t="s">
        <v>12</v>
      </c>
      <c r="D1" s="6" t="s">
        <v>13</v>
      </c>
      <c r="E1" s="6" t="s">
        <v>14</v>
      </c>
      <c r="F1" s="11" t="s">
        <v>19</v>
      </c>
      <c r="G1" s="11" t="s">
        <v>16</v>
      </c>
      <c r="H1" s="11" t="s">
        <v>17</v>
      </c>
      <c r="I1" s="11" t="s">
        <v>18</v>
      </c>
    </row>
    <row r="2" spans="1:9" x14ac:dyDescent="0.25">
      <c r="A2" s="7">
        <v>1</v>
      </c>
      <c r="B2" s="8">
        <v>43466</v>
      </c>
      <c r="C2" s="9" t="s">
        <v>4</v>
      </c>
      <c r="D2" s="10">
        <v>4381.2649999999994</v>
      </c>
      <c r="E2" s="10">
        <v>4820.6409999999996</v>
      </c>
      <c r="F2" t="str">
        <f>VLOOKUP(A2,StoreLookup,2,FALSE)</f>
        <v>Store#1</v>
      </c>
      <c r="G2">
        <f>INDEX(CalLookUpTable,MATCH($B2,CalLookUpRow,0),MATCH(G$1,CalLookUpColumn,0))</f>
        <v>2019</v>
      </c>
      <c r="H2">
        <f>INDEX(CalLookUpTable,MATCH($B2,CalLookUpRow,0),MATCH(H$1,CalLookUpColumn,0))</f>
        <v>1</v>
      </c>
      <c r="I2">
        <f>INDEX(CalLookUpTable,MATCH($B2,CalLookUpRow,0),MATCH(I$1,CalLookUpColumn,0))</f>
        <v>1</v>
      </c>
    </row>
    <row r="3" spans="1:9" x14ac:dyDescent="0.25">
      <c r="A3" s="7">
        <v>1</v>
      </c>
      <c r="B3" s="8">
        <v>43466</v>
      </c>
      <c r="C3" s="9" t="s">
        <v>5</v>
      </c>
      <c r="D3" s="10">
        <v>2567.4459999999999</v>
      </c>
      <c r="E3" s="10">
        <v>0</v>
      </c>
      <c r="F3" t="str">
        <f>VLOOKUP(A3,StoreLookup,2,FALSE)</f>
        <v>Store#1</v>
      </c>
      <c r="G3">
        <f>INDEX(CalLookUpTable,MATCH($B3,CalLookUpRow,0),MATCH(G$1,CalLookUpColumn,0))</f>
        <v>2019</v>
      </c>
      <c r="H3">
        <f>INDEX(CalLookUpTable,MATCH($B3,CalLookUpRow,0),MATCH(H$1,CalLookUpColumn,0))</f>
        <v>1</v>
      </c>
      <c r="I3">
        <f>INDEX(CalLookUpTable,MATCH($B3,CalLookUpRow,0),MATCH(I$1,CalLookUpColumn,0))</f>
        <v>1</v>
      </c>
    </row>
    <row r="4" spans="1:9" x14ac:dyDescent="0.25">
      <c r="A4" s="7">
        <v>1</v>
      </c>
      <c r="B4" s="8">
        <v>43466</v>
      </c>
      <c r="C4" s="9" t="s">
        <v>6</v>
      </c>
      <c r="D4" s="10">
        <v>937.3839999999999</v>
      </c>
      <c r="E4" s="10">
        <v>1107.162</v>
      </c>
      <c r="F4" t="str">
        <f>VLOOKUP(A4,StoreLookup,2,FALSE)</f>
        <v>Store#1</v>
      </c>
      <c r="G4">
        <f>INDEX(CalLookUpTable,MATCH($B4,CalLookUpRow,0),MATCH(G$1,CalLookUpColumn,0))</f>
        <v>2019</v>
      </c>
      <c r="H4">
        <f>INDEX(CalLookUpTable,MATCH($B4,CalLookUpRow,0),MATCH(H$1,CalLookUpColumn,0))</f>
        <v>1</v>
      </c>
      <c r="I4">
        <f>INDEX(CalLookUpTable,MATCH($B4,CalLookUpRow,0),MATCH(I$1,CalLookUpColumn,0))</f>
        <v>1</v>
      </c>
    </row>
    <row r="5" spans="1:9" x14ac:dyDescent="0.25">
      <c r="A5" s="7">
        <v>1</v>
      </c>
      <c r="B5" s="8">
        <v>43466</v>
      </c>
      <c r="C5" s="9" t="s">
        <v>3</v>
      </c>
      <c r="D5" s="10">
        <v>11.186</v>
      </c>
      <c r="E5" s="10">
        <v>0</v>
      </c>
      <c r="F5" t="str">
        <f>VLOOKUP(A5,StoreLookup,2,FALSE)</f>
        <v>Store#1</v>
      </c>
      <c r="G5">
        <f>INDEX(CalLookUpTable,MATCH($B5,CalLookUpRow,0),MATCH(G$1,CalLookUpColumn,0))</f>
        <v>2019</v>
      </c>
      <c r="H5">
        <f>INDEX(CalLookUpTable,MATCH($B5,CalLookUpRow,0),MATCH(H$1,CalLookUpColumn,0))</f>
        <v>1</v>
      </c>
      <c r="I5">
        <f>INDEX(CalLookUpTable,MATCH($B5,CalLookUpRow,0),MATCH(I$1,CalLookUpColumn,0))</f>
        <v>1</v>
      </c>
    </row>
    <row r="6" spans="1:9" x14ac:dyDescent="0.25">
      <c r="A6" s="7">
        <v>1</v>
      </c>
      <c r="B6" s="8">
        <v>43467</v>
      </c>
      <c r="C6" s="9" t="s">
        <v>6</v>
      </c>
      <c r="D6" s="10">
        <v>768.08199999999999</v>
      </c>
      <c r="E6" s="10">
        <v>1131.7669999999998</v>
      </c>
      <c r="F6" t="str">
        <f>VLOOKUP(A6,StoreLookup,2,FALSE)</f>
        <v>Store#1</v>
      </c>
      <c r="G6">
        <f>INDEX(CalLookUpTable,MATCH($B6,CalLookUpRow,0),MATCH(G$1,CalLookUpColumn,0))</f>
        <v>2019</v>
      </c>
      <c r="H6">
        <f>INDEX(CalLookUpTable,MATCH($B6,CalLookUpRow,0),MATCH(H$1,CalLookUpColumn,0))</f>
        <v>1</v>
      </c>
      <c r="I6">
        <f>INDEX(CalLookUpTable,MATCH($B6,CalLookUpRow,0),MATCH(I$1,CalLookUpColumn,0))</f>
        <v>1</v>
      </c>
    </row>
    <row r="7" spans="1:9" x14ac:dyDescent="0.25">
      <c r="A7" s="7">
        <v>1</v>
      </c>
      <c r="B7" s="8">
        <v>43467</v>
      </c>
      <c r="C7" s="9" t="s">
        <v>5</v>
      </c>
      <c r="D7" s="10">
        <v>2551.3249999999998</v>
      </c>
      <c r="E7" s="10">
        <v>0</v>
      </c>
      <c r="F7" t="str">
        <f>VLOOKUP(A7,StoreLookup,2,FALSE)</f>
        <v>Store#1</v>
      </c>
      <c r="G7">
        <f>INDEX(CalLookUpTable,MATCH($B7,CalLookUpRow,0),MATCH(G$1,CalLookUpColumn,0))</f>
        <v>2019</v>
      </c>
      <c r="H7">
        <f>INDEX(CalLookUpTable,MATCH($B7,CalLookUpRow,0),MATCH(H$1,CalLookUpColumn,0))</f>
        <v>1</v>
      </c>
      <c r="I7">
        <f>INDEX(CalLookUpTable,MATCH($B7,CalLookUpRow,0),MATCH(I$1,CalLookUpColumn,0))</f>
        <v>1</v>
      </c>
    </row>
    <row r="8" spans="1:9" x14ac:dyDescent="0.25">
      <c r="A8" s="7">
        <v>1</v>
      </c>
      <c r="B8" s="8">
        <v>43467</v>
      </c>
      <c r="C8" s="9" t="s">
        <v>3</v>
      </c>
      <c r="D8" s="10">
        <v>0</v>
      </c>
      <c r="E8" s="10">
        <v>532.30099999999993</v>
      </c>
      <c r="F8" t="str">
        <f>VLOOKUP(A8,StoreLookup,2,FALSE)</f>
        <v>Store#1</v>
      </c>
      <c r="G8">
        <f>INDEX(CalLookUpTable,MATCH($B8,CalLookUpRow,0),MATCH(G$1,CalLookUpColumn,0))</f>
        <v>2019</v>
      </c>
      <c r="H8">
        <f>INDEX(CalLookUpTable,MATCH($B8,CalLookUpRow,0),MATCH(H$1,CalLookUpColumn,0))</f>
        <v>1</v>
      </c>
      <c r="I8">
        <f>INDEX(CalLookUpTable,MATCH($B8,CalLookUpRow,0),MATCH(I$1,CalLookUpColumn,0))</f>
        <v>1</v>
      </c>
    </row>
    <row r="9" spans="1:9" x14ac:dyDescent="0.25">
      <c r="A9" s="7">
        <v>1</v>
      </c>
      <c r="B9" s="8">
        <v>43467</v>
      </c>
      <c r="C9" s="9" t="s">
        <v>4</v>
      </c>
      <c r="D9" s="10">
        <v>4489.317</v>
      </c>
      <c r="E9" s="10">
        <v>5074.9439999999995</v>
      </c>
      <c r="F9" t="str">
        <f>VLOOKUP(A9,StoreLookup,2,FALSE)</f>
        <v>Store#1</v>
      </c>
      <c r="G9">
        <f>INDEX(CalLookUpTable,MATCH($B9,CalLookUpRow,0),MATCH(G$1,CalLookUpColumn,0))</f>
        <v>2019</v>
      </c>
      <c r="H9">
        <f>INDEX(CalLookUpTable,MATCH($B9,CalLookUpRow,0),MATCH(H$1,CalLookUpColumn,0))</f>
        <v>1</v>
      </c>
      <c r="I9">
        <f>INDEX(CalLookUpTable,MATCH($B9,CalLookUpRow,0),MATCH(I$1,CalLookUpColumn,0))</f>
        <v>1</v>
      </c>
    </row>
    <row r="10" spans="1:9" x14ac:dyDescent="0.25">
      <c r="A10" s="7">
        <v>1</v>
      </c>
      <c r="B10" s="8">
        <v>43468</v>
      </c>
      <c r="C10" s="9" t="s">
        <v>5</v>
      </c>
      <c r="D10" s="10">
        <v>3296.9649999999997</v>
      </c>
      <c r="E10" s="10">
        <v>0</v>
      </c>
      <c r="F10" t="str">
        <f>VLOOKUP(A10,StoreLookup,2,FALSE)</f>
        <v>Store#1</v>
      </c>
      <c r="G10">
        <f>INDEX(CalLookUpTable,MATCH($B10,CalLookUpRow,0),MATCH(G$1,CalLookUpColumn,0))</f>
        <v>2019</v>
      </c>
      <c r="H10">
        <f>INDEX(CalLookUpTable,MATCH($B10,CalLookUpRow,0),MATCH(H$1,CalLookUpColumn,0))</f>
        <v>1</v>
      </c>
      <c r="I10">
        <f>INDEX(CalLookUpTable,MATCH($B10,CalLookUpRow,0),MATCH(I$1,CalLookUpColumn,0))</f>
        <v>1</v>
      </c>
    </row>
    <row r="11" spans="1:9" x14ac:dyDescent="0.25">
      <c r="A11" s="7">
        <v>1</v>
      </c>
      <c r="B11" s="8">
        <v>43468</v>
      </c>
      <c r="C11" s="9" t="s">
        <v>6</v>
      </c>
      <c r="D11" s="10">
        <v>752.77300000000002</v>
      </c>
      <c r="E11" s="10">
        <v>1356.1379999999999</v>
      </c>
      <c r="F11" t="str">
        <f>VLOOKUP(A11,StoreLookup,2,FALSE)</f>
        <v>Store#1</v>
      </c>
      <c r="G11">
        <f>INDEX(CalLookUpTable,MATCH($B11,CalLookUpRow,0),MATCH(G$1,CalLookUpColumn,0))</f>
        <v>2019</v>
      </c>
      <c r="H11">
        <f>INDEX(CalLookUpTable,MATCH($B11,CalLookUpRow,0),MATCH(H$1,CalLookUpColumn,0))</f>
        <v>1</v>
      </c>
      <c r="I11">
        <f>INDEX(CalLookUpTable,MATCH($B11,CalLookUpRow,0),MATCH(I$1,CalLookUpColumn,0))</f>
        <v>1</v>
      </c>
    </row>
    <row r="12" spans="1:9" x14ac:dyDescent="0.25">
      <c r="A12" s="7">
        <v>1</v>
      </c>
      <c r="B12" s="8">
        <v>43468</v>
      </c>
      <c r="C12" s="9" t="s">
        <v>4</v>
      </c>
      <c r="D12" s="10">
        <v>4832.2820000000002</v>
      </c>
      <c r="E12" s="10">
        <v>6200.1659999999993</v>
      </c>
      <c r="F12" t="str">
        <f>VLOOKUP(A12,StoreLookup,2,FALSE)</f>
        <v>Store#1</v>
      </c>
      <c r="G12">
        <f>INDEX(CalLookUpTable,MATCH($B12,CalLookUpRow,0),MATCH(G$1,CalLookUpColumn,0))</f>
        <v>2019</v>
      </c>
      <c r="H12">
        <f>INDEX(CalLookUpTable,MATCH($B12,CalLookUpRow,0),MATCH(H$1,CalLookUpColumn,0))</f>
        <v>1</v>
      </c>
      <c r="I12">
        <f>INDEX(CalLookUpTable,MATCH($B12,CalLookUpRow,0),MATCH(I$1,CalLookUpColumn,0))</f>
        <v>1</v>
      </c>
    </row>
    <row r="13" spans="1:9" x14ac:dyDescent="0.25">
      <c r="A13" s="7">
        <v>1</v>
      </c>
      <c r="B13" s="8">
        <v>43468</v>
      </c>
      <c r="C13" s="9" t="s">
        <v>3</v>
      </c>
      <c r="D13" s="10">
        <v>0</v>
      </c>
      <c r="E13" s="10">
        <v>742.71399999999994</v>
      </c>
      <c r="F13" t="str">
        <f>VLOOKUP(A13,StoreLookup,2,FALSE)</f>
        <v>Store#1</v>
      </c>
      <c r="G13">
        <f>INDEX(CalLookUpTable,MATCH($B13,CalLookUpRow,0),MATCH(G$1,CalLookUpColumn,0))</f>
        <v>2019</v>
      </c>
      <c r="H13">
        <f>INDEX(CalLookUpTable,MATCH($B13,CalLookUpRow,0),MATCH(H$1,CalLookUpColumn,0))</f>
        <v>1</v>
      </c>
      <c r="I13">
        <f>INDEX(CalLookUpTable,MATCH($B13,CalLookUpRow,0),MATCH(I$1,CalLookUpColumn,0))</f>
        <v>1</v>
      </c>
    </row>
    <row r="14" spans="1:9" x14ac:dyDescent="0.25">
      <c r="A14" s="7">
        <v>1</v>
      </c>
      <c r="B14" s="8">
        <v>43469</v>
      </c>
      <c r="C14" s="9" t="s">
        <v>6</v>
      </c>
      <c r="D14" s="10">
        <v>991.49400000000003</v>
      </c>
      <c r="E14" s="10">
        <v>1910.2859999999998</v>
      </c>
      <c r="F14" t="str">
        <f>VLOOKUP(A14,StoreLookup,2,FALSE)</f>
        <v>Store#1</v>
      </c>
      <c r="G14">
        <f>INDEX(CalLookUpTable,MATCH($B14,CalLookUpRow,0),MATCH(G$1,CalLookUpColumn,0))</f>
        <v>2019</v>
      </c>
      <c r="H14">
        <f>INDEX(CalLookUpTable,MATCH($B14,CalLookUpRow,0),MATCH(H$1,CalLookUpColumn,0))</f>
        <v>1</v>
      </c>
      <c r="I14">
        <f>INDEX(CalLookUpTable,MATCH($B14,CalLookUpRow,0),MATCH(I$1,CalLookUpColumn,0))</f>
        <v>1</v>
      </c>
    </row>
    <row r="15" spans="1:9" x14ac:dyDescent="0.25">
      <c r="A15" s="7">
        <v>1</v>
      </c>
      <c r="B15" s="8">
        <v>43469</v>
      </c>
      <c r="C15" s="9" t="s">
        <v>5</v>
      </c>
      <c r="D15" s="10">
        <v>3297.8890000000001</v>
      </c>
      <c r="E15" s="10">
        <v>0</v>
      </c>
      <c r="F15" t="str">
        <f>VLOOKUP(A15,StoreLookup,2,FALSE)</f>
        <v>Store#1</v>
      </c>
      <c r="G15">
        <f>INDEX(CalLookUpTable,MATCH($B15,CalLookUpRow,0),MATCH(G$1,CalLookUpColumn,0))</f>
        <v>2019</v>
      </c>
      <c r="H15">
        <f>INDEX(CalLookUpTable,MATCH($B15,CalLookUpRow,0),MATCH(H$1,CalLookUpColumn,0))</f>
        <v>1</v>
      </c>
      <c r="I15">
        <f>INDEX(CalLookUpTable,MATCH($B15,CalLookUpRow,0),MATCH(I$1,CalLookUpColumn,0))</f>
        <v>1</v>
      </c>
    </row>
    <row r="16" spans="1:9" x14ac:dyDescent="0.25">
      <c r="A16" s="7">
        <v>1</v>
      </c>
      <c r="B16" s="8">
        <v>43469</v>
      </c>
      <c r="C16" s="9" t="s">
        <v>3</v>
      </c>
      <c r="D16" s="10">
        <v>254.86299999999997</v>
      </c>
      <c r="E16" s="10">
        <v>553.17499999999995</v>
      </c>
      <c r="F16" t="str">
        <f>VLOOKUP(A16,StoreLookup,2,FALSE)</f>
        <v>Store#1</v>
      </c>
      <c r="G16">
        <f>INDEX(CalLookUpTable,MATCH($B16,CalLookUpRow,0),MATCH(G$1,CalLookUpColumn,0))</f>
        <v>2019</v>
      </c>
      <c r="H16">
        <f>INDEX(CalLookUpTable,MATCH($B16,CalLookUpRow,0),MATCH(H$1,CalLookUpColumn,0))</f>
        <v>1</v>
      </c>
      <c r="I16">
        <f>INDEX(CalLookUpTable,MATCH($B16,CalLookUpRow,0),MATCH(I$1,CalLookUpColumn,0))</f>
        <v>1</v>
      </c>
    </row>
    <row r="17" spans="1:9" x14ac:dyDescent="0.25">
      <c r="A17" s="7">
        <v>1</v>
      </c>
      <c r="B17" s="8">
        <v>43469</v>
      </c>
      <c r="C17" s="9" t="s">
        <v>4</v>
      </c>
      <c r="D17" s="10">
        <v>5844.1739999999991</v>
      </c>
      <c r="E17" s="10">
        <v>6832.4690000000001</v>
      </c>
      <c r="F17" t="str">
        <f>VLOOKUP(A17,StoreLookup,2,FALSE)</f>
        <v>Store#1</v>
      </c>
      <c r="G17">
        <f>INDEX(CalLookUpTable,MATCH($B17,CalLookUpRow,0),MATCH(G$1,CalLookUpColumn,0))</f>
        <v>2019</v>
      </c>
      <c r="H17">
        <f>INDEX(CalLookUpTable,MATCH($B17,CalLookUpRow,0),MATCH(H$1,CalLookUpColumn,0))</f>
        <v>1</v>
      </c>
      <c r="I17">
        <f>INDEX(CalLookUpTable,MATCH($B17,CalLookUpRow,0),MATCH(I$1,CalLookUpColumn,0))</f>
        <v>1</v>
      </c>
    </row>
    <row r="18" spans="1:9" x14ac:dyDescent="0.25">
      <c r="A18" s="7">
        <v>1</v>
      </c>
      <c r="B18" s="8">
        <v>43470</v>
      </c>
      <c r="C18" s="9" t="s">
        <v>4</v>
      </c>
      <c r="D18" s="10">
        <v>6107.0169999999989</v>
      </c>
      <c r="E18" s="10">
        <v>7045.3879999999999</v>
      </c>
      <c r="F18" t="str">
        <f>VLOOKUP(A18,StoreLookup,2,FALSE)</f>
        <v>Store#1</v>
      </c>
      <c r="G18">
        <f>INDEX(CalLookUpTable,MATCH($B18,CalLookUpRow,0),MATCH(G$1,CalLookUpColumn,0))</f>
        <v>2019</v>
      </c>
      <c r="H18">
        <f>INDEX(CalLookUpTable,MATCH($B18,CalLookUpRow,0),MATCH(H$1,CalLookUpColumn,0))</f>
        <v>1</v>
      </c>
      <c r="I18">
        <f>INDEX(CalLookUpTable,MATCH($B18,CalLookUpRow,0),MATCH(I$1,CalLookUpColumn,0))</f>
        <v>1</v>
      </c>
    </row>
    <row r="19" spans="1:9" x14ac:dyDescent="0.25">
      <c r="A19" s="7">
        <v>1</v>
      </c>
      <c r="B19" s="8">
        <v>43470</v>
      </c>
      <c r="C19" s="9" t="s">
        <v>3</v>
      </c>
      <c r="D19" s="10">
        <v>18.402999999999999</v>
      </c>
      <c r="E19" s="10">
        <v>284.51499999999999</v>
      </c>
      <c r="F19" t="str">
        <f>VLOOKUP(A19,StoreLookup,2,FALSE)</f>
        <v>Store#1</v>
      </c>
      <c r="G19">
        <f>INDEX(CalLookUpTable,MATCH($B19,CalLookUpRow,0),MATCH(G$1,CalLookUpColumn,0))</f>
        <v>2019</v>
      </c>
      <c r="H19">
        <f>INDEX(CalLookUpTable,MATCH($B19,CalLookUpRow,0),MATCH(H$1,CalLookUpColumn,0))</f>
        <v>1</v>
      </c>
      <c r="I19">
        <f>INDEX(CalLookUpTable,MATCH($B19,CalLookUpRow,0),MATCH(I$1,CalLookUpColumn,0))</f>
        <v>1</v>
      </c>
    </row>
    <row r="20" spans="1:9" x14ac:dyDescent="0.25">
      <c r="A20" s="7">
        <v>1</v>
      </c>
      <c r="B20" s="8">
        <v>43470</v>
      </c>
      <c r="C20" s="9" t="s">
        <v>5</v>
      </c>
      <c r="D20" s="10">
        <v>3523.4920000000002</v>
      </c>
      <c r="E20" s="10">
        <v>0</v>
      </c>
      <c r="F20" t="str">
        <f>VLOOKUP(A20,StoreLookup,2,FALSE)</f>
        <v>Store#1</v>
      </c>
      <c r="G20">
        <f>INDEX(CalLookUpTable,MATCH($B20,CalLookUpRow,0),MATCH(G$1,CalLookUpColumn,0))</f>
        <v>2019</v>
      </c>
      <c r="H20">
        <f>INDEX(CalLookUpTable,MATCH($B20,CalLookUpRow,0),MATCH(H$1,CalLookUpColumn,0))</f>
        <v>1</v>
      </c>
      <c r="I20">
        <f>INDEX(CalLookUpTable,MATCH($B20,CalLookUpRow,0),MATCH(I$1,CalLookUpColumn,0))</f>
        <v>1</v>
      </c>
    </row>
    <row r="21" spans="1:9" x14ac:dyDescent="0.25">
      <c r="A21" s="7">
        <v>1</v>
      </c>
      <c r="B21" s="8">
        <v>43470</v>
      </c>
      <c r="C21" s="9" t="s">
        <v>6</v>
      </c>
      <c r="D21" s="10">
        <v>1457.5049999999999</v>
      </c>
      <c r="E21" s="10">
        <v>1863.2739999999999</v>
      </c>
      <c r="F21" t="str">
        <f>VLOOKUP(A21,StoreLookup,2,FALSE)</f>
        <v>Store#1</v>
      </c>
      <c r="G21">
        <f>INDEX(CalLookUpTable,MATCH($B21,CalLookUpRow,0),MATCH(G$1,CalLookUpColumn,0))</f>
        <v>2019</v>
      </c>
      <c r="H21">
        <f>INDEX(CalLookUpTable,MATCH($B21,CalLookUpRow,0),MATCH(H$1,CalLookUpColumn,0))</f>
        <v>1</v>
      </c>
      <c r="I21">
        <f>INDEX(CalLookUpTable,MATCH($B21,CalLookUpRow,0),MATCH(I$1,CalLookUpColumn,0))</f>
        <v>1</v>
      </c>
    </row>
    <row r="22" spans="1:9" x14ac:dyDescent="0.25">
      <c r="A22" s="7">
        <v>1</v>
      </c>
      <c r="B22" s="8">
        <v>43471</v>
      </c>
      <c r="C22" s="9" t="s">
        <v>3</v>
      </c>
      <c r="D22" s="10">
        <v>41.495999999999995</v>
      </c>
      <c r="E22" s="10">
        <v>15.372</v>
      </c>
      <c r="F22" t="str">
        <f>VLOOKUP(A22,StoreLookup,2,FALSE)</f>
        <v>Store#1</v>
      </c>
      <c r="G22">
        <f>INDEX(CalLookUpTable,MATCH($B22,CalLookUpRow,0),MATCH(G$1,CalLookUpColumn,0))</f>
        <v>2019</v>
      </c>
      <c r="H22">
        <f>INDEX(CalLookUpTable,MATCH($B22,CalLookUpRow,0),MATCH(H$1,CalLookUpColumn,0))</f>
        <v>1</v>
      </c>
      <c r="I22">
        <f>INDEX(CalLookUpTable,MATCH($B22,CalLookUpRow,0),MATCH(I$1,CalLookUpColumn,0))</f>
        <v>1</v>
      </c>
    </row>
    <row r="23" spans="1:9" x14ac:dyDescent="0.25">
      <c r="A23" s="7">
        <v>1</v>
      </c>
      <c r="B23" s="8">
        <v>43471</v>
      </c>
      <c r="C23" s="9" t="s">
        <v>6</v>
      </c>
      <c r="D23" s="10">
        <v>383.52299999999997</v>
      </c>
      <c r="E23" s="10">
        <v>360.95499999999998</v>
      </c>
      <c r="F23" t="str">
        <f>VLOOKUP(A23,StoreLookup,2,FALSE)</f>
        <v>Store#1</v>
      </c>
      <c r="G23">
        <f>INDEX(CalLookUpTable,MATCH($B23,CalLookUpRow,0),MATCH(G$1,CalLookUpColumn,0))</f>
        <v>2019</v>
      </c>
      <c r="H23">
        <f>INDEX(CalLookUpTable,MATCH($B23,CalLookUpRow,0),MATCH(H$1,CalLookUpColumn,0))</f>
        <v>1</v>
      </c>
      <c r="I23">
        <f>INDEX(CalLookUpTable,MATCH($B23,CalLookUpRow,0),MATCH(I$1,CalLookUpColumn,0))</f>
        <v>1</v>
      </c>
    </row>
    <row r="24" spans="1:9" x14ac:dyDescent="0.25">
      <c r="A24" s="7">
        <v>1</v>
      </c>
      <c r="B24" s="8">
        <v>43471</v>
      </c>
      <c r="C24" s="9" t="s">
        <v>4</v>
      </c>
      <c r="D24" s="10">
        <v>2105.5229999999997</v>
      </c>
      <c r="E24" s="10">
        <v>2898.3219999999997</v>
      </c>
      <c r="F24" t="str">
        <f>VLOOKUP(A24,StoreLookup,2,FALSE)</f>
        <v>Store#1</v>
      </c>
      <c r="G24">
        <f>INDEX(CalLookUpTable,MATCH($B24,CalLookUpRow,0),MATCH(G$1,CalLookUpColumn,0))</f>
        <v>2019</v>
      </c>
      <c r="H24">
        <f>INDEX(CalLookUpTable,MATCH($B24,CalLookUpRow,0),MATCH(H$1,CalLookUpColumn,0))</f>
        <v>1</v>
      </c>
      <c r="I24">
        <f>INDEX(CalLookUpTable,MATCH($B24,CalLookUpRow,0),MATCH(I$1,CalLookUpColumn,0))</f>
        <v>1</v>
      </c>
    </row>
    <row r="25" spans="1:9" x14ac:dyDescent="0.25">
      <c r="A25" s="7">
        <v>1</v>
      </c>
      <c r="B25" s="8">
        <v>43471</v>
      </c>
      <c r="C25" s="9" t="s">
        <v>5</v>
      </c>
      <c r="D25" s="10">
        <v>1735.1809999999998</v>
      </c>
      <c r="E25" s="10">
        <v>0</v>
      </c>
      <c r="F25" t="str">
        <f>VLOOKUP(A25,StoreLookup,2,FALSE)</f>
        <v>Store#1</v>
      </c>
      <c r="G25">
        <f>INDEX(CalLookUpTable,MATCH($B25,CalLookUpRow,0),MATCH(G$1,CalLookUpColumn,0))</f>
        <v>2019</v>
      </c>
      <c r="H25">
        <f>INDEX(CalLookUpTable,MATCH($B25,CalLookUpRow,0),MATCH(H$1,CalLookUpColumn,0))</f>
        <v>1</v>
      </c>
      <c r="I25">
        <f>INDEX(CalLookUpTable,MATCH($B25,CalLookUpRow,0),MATCH(I$1,CalLookUpColumn,0))</f>
        <v>1</v>
      </c>
    </row>
    <row r="26" spans="1:9" x14ac:dyDescent="0.25">
      <c r="A26" s="7">
        <v>1</v>
      </c>
      <c r="B26" s="8">
        <v>43472</v>
      </c>
      <c r="C26" s="9" t="s">
        <v>3</v>
      </c>
      <c r="D26" s="10">
        <v>0</v>
      </c>
      <c r="E26" s="10">
        <v>4568.5919999999996</v>
      </c>
      <c r="F26" t="str">
        <f>VLOOKUP(A26,StoreLookup,2,FALSE)</f>
        <v>Store#1</v>
      </c>
      <c r="G26">
        <f>INDEX(CalLookUpTable,MATCH($B26,CalLookUpRow,0),MATCH(G$1,CalLookUpColumn,0))</f>
        <v>2019</v>
      </c>
      <c r="H26">
        <f>INDEX(CalLookUpTable,MATCH($B26,CalLookUpRow,0),MATCH(H$1,CalLookUpColumn,0))</f>
        <v>1</v>
      </c>
      <c r="I26">
        <f>INDEX(CalLookUpTable,MATCH($B26,CalLookUpRow,0),MATCH(I$1,CalLookUpColumn,0))</f>
        <v>2</v>
      </c>
    </row>
    <row r="27" spans="1:9" x14ac:dyDescent="0.25">
      <c r="A27" s="7">
        <v>1</v>
      </c>
      <c r="B27" s="8">
        <v>43472</v>
      </c>
      <c r="C27" s="9" t="s">
        <v>6</v>
      </c>
      <c r="D27" s="10">
        <v>1151.9759999999999</v>
      </c>
      <c r="E27" s="10">
        <v>1060.8009999999999</v>
      </c>
      <c r="F27" t="str">
        <f>VLOOKUP(A27,StoreLookup,2,FALSE)</f>
        <v>Store#1</v>
      </c>
      <c r="G27">
        <f>INDEX(CalLookUpTable,MATCH($B27,CalLookUpRow,0),MATCH(G$1,CalLookUpColumn,0))</f>
        <v>2019</v>
      </c>
      <c r="H27">
        <f>INDEX(CalLookUpTable,MATCH($B27,CalLookUpRow,0),MATCH(H$1,CalLookUpColumn,0))</f>
        <v>1</v>
      </c>
      <c r="I27">
        <f>INDEX(CalLookUpTable,MATCH($B27,CalLookUpRow,0),MATCH(I$1,CalLookUpColumn,0))</f>
        <v>2</v>
      </c>
    </row>
    <row r="28" spans="1:9" x14ac:dyDescent="0.25">
      <c r="A28" s="7">
        <v>1</v>
      </c>
      <c r="B28" s="8">
        <v>43472</v>
      </c>
      <c r="C28" s="9" t="s">
        <v>4</v>
      </c>
      <c r="D28" s="10">
        <v>4181.3310000000001</v>
      </c>
      <c r="E28" s="10">
        <v>4100.1589999999997</v>
      </c>
      <c r="F28" t="str">
        <f>VLOOKUP(A28,StoreLookup,2,FALSE)</f>
        <v>Store#1</v>
      </c>
      <c r="G28">
        <f>INDEX(CalLookUpTable,MATCH($B28,CalLookUpRow,0),MATCH(G$1,CalLookUpColumn,0))</f>
        <v>2019</v>
      </c>
      <c r="H28">
        <f>INDEX(CalLookUpTable,MATCH($B28,CalLookUpRow,0),MATCH(H$1,CalLookUpColumn,0))</f>
        <v>1</v>
      </c>
      <c r="I28">
        <f>INDEX(CalLookUpTable,MATCH($B28,CalLookUpRow,0),MATCH(I$1,CalLookUpColumn,0))</f>
        <v>2</v>
      </c>
    </row>
    <row r="29" spans="1:9" x14ac:dyDescent="0.25">
      <c r="A29" s="7">
        <v>1</v>
      </c>
      <c r="B29" s="8">
        <v>43472</v>
      </c>
      <c r="C29" s="9" t="s">
        <v>5</v>
      </c>
      <c r="D29" s="10">
        <v>2980.3760000000002</v>
      </c>
      <c r="E29" s="10">
        <v>0</v>
      </c>
      <c r="F29" t="str">
        <f>VLOOKUP(A29,StoreLookup,2,FALSE)</f>
        <v>Store#1</v>
      </c>
      <c r="G29">
        <f>INDEX(CalLookUpTable,MATCH($B29,CalLookUpRow,0),MATCH(G$1,CalLookUpColumn,0))</f>
        <v>2019</v>
      </c>
      <c r="H29">
        <f>INDEX(CalLookUpTable,MATCH($B29,CalLookUpRow,0),MATCH(H$1,CalLookUpColumn,0))</f>
        <v>1</v>
      </c>
      <c r="I29">
        <f>INDEX(CalLookUpTable,MATCH($B29,CalLookUpRow,0),MATCH(I$1,CalLookUpColumn,0))</f>
        <v>2</v>
      </c>
    </row>
    <row r="30" spans="1:9" x14ac:dyDescent="0.25">
      <c r="A30" s="7">
        <v>1</v>
      </c>
      <c r="B30" s="8">
        <v>43473</v>
      </c>
      <c r="C30" s="9" t="s">
        <v>6</v>
      </c>
      <c r="D30" s="10">
        <v>671.08299999999997</v>
      </c>
      <c r="E30" s="10">
        <v>1050.8679999999999</v>
      </c>
      <c r="F30" t="str">
        <f>VLOOKUP(A30,StoreLookup,2,FALSE)</f>
        <v>Store#1</v>
      </c>
      <c r="G30">
        <f>INDEX(CalLookUpTable,MATCH($B30,CalLookUpRow,0),MATCH(G$1,CalLookUpColumn,0))</f>
        <v>2019</v>
      </c>
      <c r="H30">
        <f>INDEX(CalLookUpTable,MATCH($B30,CalLookUpRow,0),MATCH(H$1,CalLookUpColumn,0))</f>
        <v>1</v>
      </c>
      <c r="I30">
        <f>INDEX(CalLookUpTable,MATCH($B30,CalLookUpRow,0),MATCH(I$1,CalLookUpColumn,0))</f>
        <v>2</v>
      </c>
    </row>
    <row r="31" spans="1:9" x14ac:dyDescent="0.25">
      <c r="A31" s="7">
        <v>1</v>
      </c>
      <c r="B31" s="8">
        <v>43473</v>
      </c>
      <c r="C31" s="9" t="s">
        <v>4</v>
      </c>
      <c r="D31" s="10">
        <v>4098.9829999999993</v>
      </c>
      <c r="E31" s="10">
        <v>4101.6499999999996</v>
      </c>
      <c r="F31" t="str">
        <f>VLOOKUP(A31,StoreLookup,2,FALSE)</f>
        <v>Store#1</v>
      </c>
      <c r="G31">
        <f>INDEX(CalLookUpTable,MATCH($B31,CalLookUpRow,0),MATCH(G$1,CalLookUpColumn,0))</f>
        <v>2019</v>
      </c>
      <c r="H31">
        <f>INDEX(CalLookUpTable,MATCH($B31,CalLookUpRow,0),MATCH(H$1,CalLookUpColumn,0))</f>
        <v>1</v>
      </c>
      <c r="I31">
        <f>INDEX(CalLookUpTable,MATCH($B31,CalLookUpRow,0),MATCH(I$1,CalLookUpColumn,0))</f>
        <v>2</v>
      </c>
    </row>
    <row r="32" spans="1:9" x14ac:dyDescent="0.25">
      <c r="A32" s="7">
        <v>1</v>
      </c>
      <c r="B32" s="8">
        <v>43473</v>
      </c>
      <c r="C32" s="9" t="s">
        <v>5</v>
      </c>
      <c r="D32" s="10">
        <v>2824.5699999999997</v>
      </c>
      <c r="E32" s="10">
        <v>0</v>
      </c>
      <c r="F32" t="str">
        <f>VLOOKUP(A32,StoreLookup,2,FALSE)</f>
        <v>Store#1</v>
      </c>
      <c r="G32">
        <f>INDEX(CalLookUpTable,MATCH($B32,CalLookUpRow,0),MATCH(G$1,CalLookUpColumn,0))</f>
        <v>2019</v>
      </c>
      <c r="H32">
        <f>INDEX(CalLookUpTable,MATCH($B32,CalLookUpRow,0),MATCH(H$1,CalLookUpColumn,0))</f>
        <v>1</v>
      </c>
      <c r="I32">
        <f>INDEX(CalLookUpTable,MATCH($B32,CalLookUpRow,0),MATCH(I$1,CalLookUpColumn,0))</f>
        <v>2</v>
      </c>
    </row>
    <row r="33" spans="1:9" x14ac:dyDescent="0.25">
      <c r="A33" s="7">
        <v>1</v>
      </c>
      <c r="B33" s="8">
        <v>43473</v>
      </c>
      <c r="C33" s="9" t="s">
        <v>3</v>
      </c>
      <c r="D33" s="10">
        <v>0</v>
      </c>
      <c r="E33" s="10">
        <v>445.80899999999997</v>
      </c>
      <c r="F33" t="str">
        <f>VLOOKUP(A33,StoreLookup,2,FALSE)</f>
        <v>Store#1</v>
      </c>
      <c r="G33">
        <f>INDEX(CalLookUpTable,MATCH($B33,CalLookUpRow,0),MATCH(G$1,CalLookUpColumn,0))</f>
        <v>2019</v>
      </c>
      <c r="H33">
        <f>INDEX(CalLookUpTable,MATCH($B33,CalLookUpRow,0),MATCH(H$1,CalLookUpColumn,0))</f>
        <v>1</v>
      </c>
      <c r="I33">
        <f>INDEX(CalLookUpTable,MATCH($B33,CalLookUpRow,0),MATCH(I$1,CalLookUpColumn,0))</f>
        <v>2</v>
      </c>
    </row>
    <row r="34" spans="1:9" x14ac:dyDescent="0.25">
      <c r="A34" s="7">
        <v>1</v>
      </c>
      <c r="B34" s="8">
        <v>43474</v>
      </c>
      <c r="C34" s="9" t="s">
        <v>6</v>
      </c>
      <c r="D34" s="10">
        <v>1226.19</v>
      </c>
      <c r="E34" s="10">
        <v>1261.19</v>
      </c>
      <c r="F34" t="str">
        <f>VLOOKUP(A34,StoreLookup,2,FALSE)</f>
        <v>Store#1</v>
      </c>
      <c r="G34">
        <f>INDEX(CalLookUpTable,MATCH($B34,CalLookUpRow,0),MATCH(G$1,CalLookUpColumn,0))</f>
        <v>2019</v>
      </c>
      <c r="H34">
        <f>INDEX(CalLookUpTable,MATCH($B34,CalLookUpRow,0),MATCH(H$1,CalLookUpColumn,0))</f>
        <v>1</v>
      </c>
      <c r="I34">
        <f>INDEX(CalLookUpTable,MATCH($B34,CalLookUpRow,0),MATCH(I$1,CalLookUpColumn,0))</f>
        <v>2</v>
      </c>
    </row>
    <row r="35" spans="1:9" x14ac:dyDescent="0.25">
      <c r="A35" s="7">
        <v>1</v>
      </c>
      <c r="B35" s="8">
        <v>43474</v>
      </c>
      <c r="C35" s="9" t="s">
        <v>5</v>
      </c>
      <c r="D35" s="10">
        <v>2985.2200000000003</v>
      </c>
      <c r="E35" s="10">
        <v>0</v>
      </c>
      <c r="F35" t="str">
        <f>VLOOKUP(A35,StoreLookup,2,FALSE)</f>
        <v>Store#1</v>
      </c>
      <c r="G35">
        <f>INDEX(CalLookUpTable,MATCH($B35,CalLookUpRow,0),MATCH(G$1,CalLookUpColumn,0))</f>
        <v>2019</v>
      </c>
      <c r="H35">
        <f>INDEX(CalLookUpTable,MATCH($B35,CalLookUpRow,0),MATCH(H$1,CalLookUpColumn,0))</f>
        <v>1</v>
      </c>
      <c r="I35">
        <f>INDEX(CalLookUpTable,MATCH($B35,CalLookUpRow,0),MATCH(I$1,CalLookUpColumn,0))</f>
        <v>2</v>
      </c>
    </row>
    <row r="36" spans="1:9" x14ac:dyDescent="0.25">
      <c r="A36" s="7">
        <v>1</v>
      </c>
      <c r="B36" s="8">
        <v>43474</v>
      </c>
      <c r="C36" s="9" t="s">
        <v>4</v>
      </c>
      <c r="D36" s="10">
        <v>3912.1809999999996</v>
      </c>
      <c r="E36" s="10">
        <v>4624.8230000000003</v>
      </c>
      <c r="F36" t="str">
        <f>VLOOKUP(A36,StoreLookup,2,FALSE)</f>
        <v>Store#1</v>
      </c>
      <c r="G36">
        <f>INDEX(CalLookUpTable,MATCH($B36,CalLookUpRow,0),MATCH(G$1,CalLookUpColumn,0))</f>
        <v>2019</v>
      </c>
      <c r="H36">
        <f>INDEX(CalLookUpTable,MATCH($B36,CalLookUpRow,0),MATCH(H$1,CalLookUpColumn,0))</f>
        <v>1</v>
      </c>
      <c r="I36">
        <f>INDEX(CalLookUpTable,MATCH($B36,CalLookUpRow,0),MATCH(I$1,CalLookUpColumn,0))</f>
        <v>2</v>
      </c>
    </row>
    <row r="37" spans="1:9" x14ac:dyDescent="0.25">
      <c r="A37" s="7">
        <v>1</v>
      </c>
      <c r="B37" s="8">
        <v>43474</v>
      </c>
      <c r="C37" s="9" t="s">
        <v>3</v>
      </c>
      <c r="D37" s="10">
        <v>18.507999999999999</v>
      </c>
      <c r="E37" s="10">
        <v>1016.1199999999999</v>
      </c>
      <c r="F37" t="str">
        <f>VLOOKUP(A37,StoreLookup,2,FALSE)</f>
        <v>Store#1</v>
      </c>
      <c r="G37">
        <f>INDEX(CalLookUpTable,MATCH($B37,CalLookUpRow,0),MATCH(G$1,CalLookUpColumn,0))</f>
        <v>2019</v>
      </c>
      <c r="H37">
        <f>INDEX(CalLookUpTable,MATCH($B37,CalLookUpRow,0),MATCH(H$1,CalLookUpColumn,0))</f>
        <v>1</v>
      </c>
      <c r="I37">
        <f>INDEX(CalLookUpTable,MATCH($B37,CalLookUpRow,0),MATCH(I$1,CalLookUpColumn,0))</f>
        <v>2</v>
      </c>
    </row>
    <row r="38" spans="1:9" x14ac:dyDescent="0.25">
      <c r="A38" s="7">
        <v>1</v>
      </c>
      <c r="B38" s="8">
        <v>43475</v>
      </c>
      <c r="C38" s="9" t="s">
        <v>4</v>
      </c>
      <c r="D38" s="10">
        <v>4760.91</v>
      </c>
      <c r="E38" s="10">
        <v>5367.5859999999993</v>
      </c>
      <c r="F38" t="str">
        <f>VLOOKUP(A38,StoreLookup,2,FALSE)</f>
        <v>Store#1</v>
      </c>
      <c r="G38">
        <f>INDEX(CalLookUpTable,MATCH($B38,CalLookUpRow,0),MATCH(G$1,CalLookUpColumn,0))</f>
        <v>2019</v>
      </c>
      <c r="H38">
        <f>INDEX(CalLookUpTable,MATCH($B38,CalLookUpRow,0),MATCH(H$1,CalLookUpColumn,0))</f>
        <v>1</v>
      </c>
      <c r="I38">
        <f>INDEX(CalLookUpTable,MATCH($B38,CalLookUpRow,0),MATCH(I$1,CalLookUpColumn,0))</f>
        <v>2</v>
      </c>
    </row>
    <row r="39" spans="1:9" x14ac:dyDescent="0.25">
      <c r="A39" s="7">
        <v>1</v>
      </c>
      <c r="B39" s="8">
        <v>43475</v>
      </c>
      <c r="C39" s="9" t="s">
        <v>6</v>
      </c>
      <c r="D39" s="10">
        <v>1006.5999999999999</v>
      </c>
      <c r="E39" s="10">
        <v>1455.9929999999997</v>
      </c>
      <c r="F39" t="str">
        <f>VLOOKUP(A39,StoreLookup,2,FALSE)</f>
        <v>Store#1</v>
      </c>
      <c r="G39">
        <f>INDEX(CalLookUpTable,MATCH($B39,CalLookUpRow,0),MATCH(G$1,CalLookUpColumn,0))</f>
        <v>2019</v>
      </c>
      <c r="H39">
        <f>INDEX(CalLookUpTable,MATCH($B39,CalLookUpRow,0),MATCH(H$1,CalLookUpColumn,0))</f>
        <v>1</v>
      </c>
      <c r="I39">
        <f>INDEX(CalLookUpTable,MATCH($B39,CalLookUpRow,0),MATCH(I$1,CalLookUpColumn,0))</f>
        <v>2</v>
      </c>
    </row>
    <row r="40" spans="1:9" x14ac:dyDescent="0.25">
      <c r="A40" s="7">
        <v>1</v>
      </c>
      <c r="B40" s="8">
        <v>43475</v>
      </c>
      <c r="C40" s="9" t="s">
        <v>3</v>
      </c>
      <c r="D40" s="10">
        <v>0</v>
      </c>
      <c r="E40" s="10">
        <v>507.024</v>
      </c>
      <c r="F40" t="str">
        <f>VLOOKUP(A40,StoreLookup,2,FALSE)</f>
        <v>Store#1</v>
      </c>
      <c r="G40">
        <f>INDEX(CalLookUpTable,MATCH($B40,CalLookUpRow,0),MATCH(G$1,CalLookUpColumn,0))</f>
        <v>2019</v>
      </c>
      <c r="H40">
        <f>INDEX(CalLookUpTable,MATCH($B40,CalLookUpRow,0),MATCH(H$1,CalLookUpColumn,0))</f>
        <v>1</v>
      </c>
      <c r="I40">
        <f>INDEX(CalLookUpTable,MATCH($B40,CalLookUpRow,0),MATCH(I$1,CalLookUpColumn,0))</f>
        <v>2</v>
      </c>
    </row>
    <row r="41" spans="1:9" x14ac:dyDescent="0.25">
      <c r="A41" s="7">
        <v>1</v>
      </c>
      <c r="B41" s="8">
        <v>43475</v>
      </c>
      <c r="C41" s="9" t="s">
        <v>5</v>
      </c>
      <c r="D41" s="10">
        <v>3402.357</v>
      </c>
      <c r="E41" s="10">
        <v>0</v>
      </c>
      <c r="F41" t="str">
        <f>VLOOKUP(A41,StoreLookup,2,FALSE)</f>
        <v>Store#1</v>
      </c>
      <c r="G41">
        <f>INDEX(CalLookUpTable,MATCH($B41,CalLookUpRow,0),MATCH(G$1,CalLookUpColumn,0))</f>
        <v>2019</v>
      </c>
      <c r="H41">
        <f>INDEX(CalLookUpTable,MATCH($B41,CalLookUpRow,0),MATCH(H$1,CalLookUpColumn,0))</f>
        <v>1</v>
      </c>
      <c r="I41">
        <f>INDEX(CalLookUpTable,MATCH($B41,CalLookUpRow,0),MATCH(I$1,CalLookUpColumn,0))</f>
        <v>2</v>
      </c>
    </row>
    <row r="42" spans="1:9" x14ac:dyDescent="0.25">
      <c r="A42" s="7">
        <v>1</v>
      </c>
      <c r="B42" s="8">
        <v>43476</v>
      </c>
      <c r="C42" s="9" t="s">
        <v>4</v>
      </c>
      <c r="D42" s="10">
        <v>6356.1119999999992</v>
      </c>
      <c r="E42" s="10">
        <v>6318.2280000000001</v>
      </c>
      <c r="F42" t="str">
        <f>VLOOKUP(A42,StoreLookup,2,FALSE)</f>
        <v>Store#1</v>
      </c>
      <c r="G42">
        <f>INDEX(CalLookUpTable,MATCH($B42,CalLookUpRow,0),MATCH(G$1,CalLookUpColumn,0))</f>
        <v>2019</v>
      </c>
      <c r="H42">
        <f>INDEX(CalLookUpTable,MATCH($B42,CalLookUpRow,0),MATCH(H$1,CalLookUpColumn,0))</f>
        <v>1</v>
      </c>
      <c r="I42">
        <f>INDEX(CalLookUpTable,MATCH($B42,CalLookUpRow,0),MATCH(I$1,CalLookUpColumn,0))</f>
        <v>2</v>
      </c>
    </row>
    <row r="43" spans="1:9" x14ac:dyDescent="0.25">
      <c r="A43" s="7">
        <v>1</v>
      </c>
      <c r="B43" s="8">
        <v>43476</v>
      </c>
      <c r="C43" s="9" t="s">
        <v>6</v>
      </c>
      <c r="D43" s="10">
        <v>1299.991</v>
      </c>
      <c r="E43" s="10">
        <v>1751.211</v>
      </c>
      <c r="F43" t="str">
        <f>VLOOKUP(A43,StoreLookup,2,FALSE)</f>
        <v>Store#1</v>
      </c>
      <c r="G43">
        <f>INDEX(CalLookUpTable,MATCH($B43,CalLookUpRow,0),MATCH(G$1,CalLookUpColumn,0))</f>
        <v>2019</v>
      </c>
      <c r="H43">
        <f>INDEX(CalLookUpTable,MATCH($B43,CalLookUpRow,0),MATCH(H$1,CalLookUpColumn,0))</f>
        <v>1</v>
      </c>
      <c r="I43">
        <f>INDEX(CalLookUpTable,MATCH($B43,CalLookUpRow,0),MATCH(I$1,CalLookUpColumn,0))</f>
        <v>2</v>
      </c>
    </row>
    <row r="44" spans="1:9" x14ac:dyDescent="0.25">
      <c r="A44" s="7">
        <v>1</v>
      </c>
      <c r="B44" s="8">
        <v>43476</v>
      </c>
      <c r="C44" s="9" t="s">
        <v>5</v>
      </c>
      <c r="D44" s="10">
        <v>3693.6549999999993</v>
      </c>
      <c r="E44" s="10">
        <v>0</v>
      </c>
      <c r="F44" t="str">
        <f>VLOOKUP(A44,StoreLookup,2,FALSE)</f>
        <v>Store#1</v>
      </c>
      <c r="G44">
        <f>INDEX(CalLookUpTable,MATCH($B44,CalLookUpRow,0),MATCH(G$1,CalLookUpColumn,0))</f>
        <v>2019</v>
      </c>
      <c r="H44">
        <f>INDEX(CalLookUpTable,MATCH($B44,CalLookUpRow,0),MATCH(H$1,CalLookUpColumn,0))</f>
        <v>1</v>
      </c>
      <c r="I44">
        <f>INDEX(CalLookUpTable,MATCH($B44,CalLookUpRow,0),MATCH(I$1,CalLookUpColumn,0))</f>
        <v>2</v>
      </c>
    </row>
    <row r="45" spans="1:9" x14ac:dyDescent="0.25">
      <c r="A45" s="7">
        <v>1</v>
      </c>
      <c r="B45" s="8">
        <v>43476</v>
      </c>
      <c r="C45" s="9" t="s">
        <v>3</v>
      </c>
      <c r="D45" s="10">
        <v>0</v>
      </c>
      <c r="E45" s="10">
        <v>1040.837</v>
      </c>
      <c r="F45" t="str">
        <f>VLOOKUP(A45,StoreLookup,2,FALSE)</f>
        <v>Store#1</v>
      </c>
      <c r="G45">
        <f>INDEX(CalLookUpTable,MATCH($B45,CalLookUpRow,0),MATCH(G$1,CalLookUpColumn,0))</f>
        <v>2019</v>
      </c>
      <c r="H45">
        <f>INDEX(CalLookUpTable,MATCH($B45,CalLookUpRow,0),MATCH(H$1,CalLookUpColumn,0))</f>
        <v>1</v>
      </c>
      <c r="I45">
        <f>INDEX(CalLookUpTable,MATCH($B45,CalLookUpRow,0),MATCH(I$1,CalLookUpColumn,0))</f>
        <v>2</v>
      </c>
    </row>
    <row r="46" spans="1:9" x14ac:dyDescent="0.25">
      <c r="A46" s="7">
        <v>1</v>
      </c>
      <c r="B46" s="8">
        <v>43477</v>
      </c>
      <c r="C46" s="9" t="s">
        <v>4</v>
      </c>
      <c r="D46" s="10">
        <v>6734.5879999999997</v>
      </c>
      <c r="E46" s="10">
        <v>6746.7190000000001</v>
      </c>
      <c r="F46" t="str">
        <f>VLOOKUP(A46,StoreLookup,2,FALSE)</f>
        <v>Store#1</v>
      </c>
      <c r="G46">
        <f>INDEX(CalLookUpTable,MATCH($B46,CalLookUpRow,0),MATCH(G$1,CalLookUpColumn,0))</f>
        <v>2019</v>
      </c>
      <c r="H46">
        <f>INDEX(CalLookUpTable,MATCH($B46,CalLookUpRow,0),MATCH(H$1,CalLookUpColumn,0))</f>
        <v>1</v>
      </c>
      <c r="I46">
        <f>INDEX(CalLookUpTable,MATCH($B46,CalLookUpRow,0),MATCH(I$1,CalLookUpColumn,0))</f>
        <v>2</v>
      </c>
    </row>
    <row r="47" spans="1:9" x14ac:dyDescent="0.25">
      <c r="A47" s="7">
        <v>1</v>
      </c>
      <c r="B47" s="8">
        <v>43477</v>
      </c>
      <c r="C47" s="9" t="s">
        <v>5</v>
      </c>
      <c r="D47" s="10">
        <v>4097.5059999999994</v>
      </c>
      <c r="E47" s="10">
        <v>0</v>
      </c>
      <c r="F47" t="str">
        <f>VLOOKUP(A47,StoreLookup,2,FALSE)</f>
        <v>Store#1</v>
      </c>
      <c r="G47">
        <f>INDEX(CalLookUpTable,MATCH($B47,CalLookUpRow,0),MATCH(G$1,CalLookUpColumn,0))</f>
        <v>2019</v>
      </c>
      <c r="H47">
        <f>INDEX(CalLookUpTable,MATCH($B47,CalLookUpRow,0),MATCH(H$1,CalLookUpColumn,0))</f>
        <v>1</v>
      </c>
      <c r="I47">
        <f>INDEX(CalLookUpTable,MATCH($B47,CalLookUpRow,0),MATCH(I$1,CalLookUpColumn,0))</f>
        <v>2</v>
      </c>
    </row>
    <row r="48" spans="1:9" x14ac:dyDescent="0.25">
      <c r="A48" s="7">
        <v>1</v>
      </c>
      <c r="B48" s="8">
        <v>43477</v>
      </c>
      <c r="C48" s="9" t="s">
        <v>3</v>
      </c>
      <c r="D48" s="10">
        <v>648.33299999999997</v>
      </c>
      <c r="E48" s="10">
        <v>0</v>
      </c>
      <c r="F48" t="str">
        <f>VLOOKUP(A48,StoreLookup,2,FALSE)</f>
        <v>Store#1</v>
      </c>
      <c r="G48">
        <f>INDEX(CalLookUpTable,MATCH($B48,CalLookUpRow,0),MATCH(G$1,CalLookUpColumn,0))</f>
        <v>2019</v>
      </c>
      <c r="H48">
        <f>INDEX(CalLookUpTable,MATCH($B48,CalLookUpRow,0),MATCH(H$1,CalLookUpColumn,0))</f>
        <v>1</v>
      </c>
      <c r="I48">
        <f>INDEX(CalLookUpTable,MATCH($B48,CalLookUpRow,0),MATCH(I$1,CalLookUpColumn,0))</f>
        <v>2</v>
      </c>
    </row>
    <row r="49" spans="1:9" x14ac:dyDescent="0.25">
      <c r="A49" s="7">
        <v>1</v>
      </c>
      <c r="B49" s="8">
        <v>43477</v>
      </c>
      <c r="C49" s="9" t="s">
        <v>6</v>
      </c>
      <c r="D49" s="10">
        <v>1192.4359999999999</v>
      </c>
      <c r="E49" s="10">
        <v>1747.8440000000001</v>
      </c>
      <c r="F49" t="str">
        <f>VLOOKUP(A49,StoreLookup,2,FALSE)</f>
        <v>Store#1</v>
      </c>
      <c r="G49">
        <f>INDEX(CalLookUpTable,MATCH($B49,CalLookUpRow,0),MATCH(G$1,CalLookUpColumn,0))</f>
        <v>2019</v>
      </c>
      <c r="H49">
        <f>INDEX(CalLookUpTable,MATCH($B49,CalLookUpRow,0),MATCH(H$1,CalLookUpColumn,0))</f>
        <v>1</v>
      </c>
      <c r="I49">
        <f>INDEX(CalLookUpTable,MATCH($B49,CalLookUpRow,0),MATCH(I$1,CalLookUpColumn,0))</f>
        <v>2</v>
      </c>
    </row>
    <row r="50" spans="1:9" x14ac:dyDescent="0.25">
      <c r="A50" s="7">
        <v>1</v>
      </c>
      <c r="B50" s="8">
        <v>43478</v>
      </c>
      <c r="C50" s="9" t="s">
        <v>4</v>
      </c>
      <c r="D50" s="10">
        <v>1821.421</v>
      </c>
      <c r="E50" s="10">
        <v>1989.1689999999999</v>
      </c>
      <c r="F50" t="str">
        <f>VLOOKUP(A50,StoreLookup,2,FALSE)</f>
        <v>Store#1</v>
      </c>
      <c r="G50">
        <f>INDEX(CalLookUpTable,MATCH($B50,CalLookUpRow,0),MATCH(G$1,CalLookUpColumn,0))</f>
        <v>2019</v>
      </c>
      <c r="H50">
        <f>INDEX(CalLookUpTable,MATCH($B50,CalLookUpRow,0),MATCH(H$1,CalLookUpColumn,0))</f>
        <v>1</v>
      </c>
      <c r="I50">
        <f>INDEX(CalLookUpTable,MATCH($B50,CalLookUpRow,0),MATCH(I$1,CalLookUpColumn,0))</f>
        <v>2</v>
      </c>
    </row>
    <row r="51" spans="1:9" x14ac:dyDescent="0.25">
      <c r="A51" s="7">
        <v>1</v>
      </c>
      <c r="B51" s="8">
        <v>43478</v>
      </c>
      <c r="C51" s="9" t="s">
        <v>5</v>
      </c>
      <c r="D51" s="10">
        <v>1646.7919999999999</v>
      </c>
      <c r="E51" s="10">
        <v>0</v>
      </c>
      <c r="F51" t="str">
        <f>VLOOKUP(A51,StoreLookup,2,FALSE)</f>
        <v>Store#1</v>
      </c>
      <c r="G51">
        <f>INDEX(CalLookUpTable,MATCH($B51,CalLookUpRow,0),MATCH(G$1,CalLookUpColumn,0))</f>
        <v>2019</v>
      </c>
      <c r="H51">
        <f>INDEX(CalLookUpTable,MATCH($B51,CalLookUpRow,0),MATCH(H$1,CalLookUpColumn,0))</f>
        <v>1</v>
      </c>
      <c r="I51">
        <f>INDEX(CalLookUpTable,MATCH($B51,CalLookUpRow,0),MATCH(I$1,CalLookUpColumn,0))</f>
        <v>2</v>
      </c>
    </row>
    <row r="52" spans="1:9" x14ac:dyDescent="0.25">
      <c r="A52" s="7">
        <v>1</v>
      </c>
      <c r="B52" s="8">
        <v>43478</v>
      </c>
      <c r="C52" s="9" t="s">
        <v>3</v>
      </c>
      <c r="D52" s="10">
        <v>0</v>
      </c>
      <c r="E52" s="10">
        <v>0</v>
      </c>
      <c r="F52" t="str">
        <f>VLOOKUP(A52,StoreLookup,2,FALSE)</f>
        <v>Store#1</v>
      </c>
      <c r="G52">
        <f>INDEX(CalLookUpTable,MATCH($B52,CalLookUpRow,0),MATCH(G$1,CalLookUpColumn,0))</f>
        <v>2019</v>
      </c>
      <c r="H52">
        <f>INDEX(CalLookUpTable,MATCH($B52,CalLookUpRow,0),MATCH(H$1,CalLookUpColumn,0))</f>
        <v>1</v>
      </c>
      <c r="I52">
        <f>INDEX(CalLookUpTable,MATCH($B52,CalLookUpRow,0),MATCH(I$1,CalLookUpColumn,0))</f>
        <v>2</v>
      </c>
    </row>
    <row r="53" spans="1:9" x14ac:dyDescent="0.25">
      <c r="A53" s="7">
        <v>1</v>
      </c>
      <c r="B53" s="8">
        <v>43478</v>
      </c>
      <c r="C53" s="9" t="s">
        <v>6</v>
      </c>
      <c r="D53" s="10">
        <v>241.39500000000001</v>
      </c>
      <c r="E53" s="10">
        <v>347.63399999999996</v>
      </c>
      <c r="F53" t="str">
        <f>VLOOKUP(A53,StoreLookup,2,FALSE)</f>
        <v>Store#1</v>
      </c>
      <c r="G53">
        <f>INDEX(CalLookUpTable,MATCH($B53,CalLookUpRow,0),MATCH(G$1,CalLookUpColumn,0))</f>
        <v>2019</v>
      </c>
      <c r="H53">
        <f>INDEX(CalLookUpTable,MATCH($B53,CalLookUpRow,0),MATCH(H$1,CalLookUpColumn,0))</f>
        <v>1</v>
      </c>
      <c r="I53">
        <f>INDEX(CalLookUpTable,MATCH($B53,CalLookUpRow,0),MATCH(I$1,CalLookUpColumn,0))</f>
        <v>2</v>
      </c>
    </row>
    <row r="54" spans="1:9" x14ac:dyDescent="0.25">
      <c r="A54" s="7">
        <v>1</v>
      </c>
      <c r="B54" s="8">
        <v>43479</v>
      </c>
      <c r="C54" s="9" t="s">
        <v>6</v>
      </c>
      <c r="D54" s="10">
        <v>567.02799999999991</v>
      </c>
      <c r="E54" s="10">
        <v>1498.5179999999998</v>
      </c>
      <c r="F54" t="str">
        <f>VLOOKUP(A54,StoreLookup,2,FALSE)</f>
        <v>Store#1</v>
      </c>
      <c r="G54">
        <f>INDEX(CalLookUpTable,MATCH($B54,CalLookUpRow,0),MATCH(G$1,CalLookUpColumn,0))</f>
        <v>2019</v>
      </c>
      <c r="H54">
        <f>INDEX(CalLookUpTable,MATCH($B54,CalLookUpRow,0),MATCH(H$1,CalLookUpColumn,0))</f>
        <v>1</v>
      </c>
      <c r="I54">
        <f>INDEX(CalLookUpTable,MATCH($B54,CalLookUpRow,0),MATCH(I$1,CalLookUpColumn,0))</f>
        <v>3</v>
      </c>
    </row>
    <row r="55" spans="1:9" x14ac:dyDescent="0.25">
      <c r="A55" s="7">
        <v>1</v>
      </c>
      <c r="B55" s="8">
        <v>43479</v>
      </c>
      <c r="C55" s="9" t="s">
        <v>4</v>
      </c>
      <c r="D55" s="10">
        <v>3610.194</v>
      </c>
      <c r="E55" s="10">
        <v>5617.0869999999995</v>
      </c>
      <c r="F55" t="str">
        <f>VLOOKUP(A55,StoreLookup,2,FALSE)</f>
        <v>Store#1</v>
      </c>
      <c r="G55">
        <f>INDEX(CalLookUpTable,MATCH($B55,CalLookUpRow,0),MATCH(G$1,CalLookUpColumn,0))</f>
        <v>2019</v>
      </c>
      <c r="H55">
        <f>INDEX(CalLookUpTable,MATCH($B55,CalLookUpRow,0),MATCH(H$1,CalLookUpColumn,0))</f>
        <v>1</v>
      </c>
      <c r="I55">
        <f>INDEX(CalLookUpTable,MATCH($B55,CalLookUpRow,0),MATCH(I$1,CalLookUpColumn,0))</f>
        <v>3</v>
      </c>
    </row>
    <row r="56" spans="1:9" x14ac:dyDescent="0.25">
      <c r="A56" s="7">
        <v>1</v>
      </c>
      <c r="B56" s="8">
        <v>43479</v>
      </c>
      <c r="C56" s="9" t="s">
        <v>3</v>
      </c>
      <c r="D56" s="10">
        <v>168.53899999999999</v>
      </c>
      <c r="E56" s="10">
        <v>0</v>
      </c>
      <c r="F56" t="str">
        <f>VLOOKUP(A56,StoreLookup,2,FALSE)</f>
        <v>Store#1</v>
      </c>
      <c r="G56">
        <f>INDEX(CalLookUpTable,MATCH($B56,CalLookUpRow,0),MATCH(G$1,CalLookUpColumn,0))</f>
        <v>2019</v>
      </c>
      <c r="H56">
        <f>INDEX(CalLookUpTable,MATCH($B56,CalLookUpRow,0),MATCH(H$1,CalLookUpColumn,0))</f>
        <v>1</v>
      </c>
      <c r="I56">
        <f>INDEX(CalLookUpTable,MATCH($B56,CalLookUpRow,0),MATCH(I$1,CalLookUpColumn,0))</f>
        <v>3</v>
      </c>
    </row>
    <row r="57" spans="1:9" x14ac:dyDescent="0.25">
      <c r="A57" s="7">
        <v>1</v>
      </c>
      <c r="B57" s="8">
        <v>43479</v>
      </c>
      <c r="C57" s="9" t="s">
        <v>5</v>
      </c>
      <c r="D57" s="10">
        <v>2546.2919999999999</v>
      </c>
      <c r="E57" s="10">
        <v>0</v>
      </c>
      <c r="F57" t="str">
        <f>VLOOKUP(A57,StoreLookup,2,FALSE)</f>
        <v>Store#1</v>
      </c>
      <c r="G57">
        <f>INDEX(CalLookUpTable,MATCH($B57,CalLookUpRow,0),MATCH(G$1,CalLookUpColumn,0))</f>
        <v>2019</v>
      </c>
      <c r="H57">
        <f>INDEX(CalLookUpTable,MATCH($B57,CalLookUpRow,0),MATCH(H$1,CalLookUpColumn,0))</f>
        <v>1</v>
      </c>
      <c r="I57">
        <f>INDEX(CalLookUpTable,MATCH($B57,CalLookUpRow,0),MATCH(I$1,CalLookUpColumn,0))</f>
        <v>3</v>
      </c>
    </row>
    <row r="58" spans="1:9" x14ac:dyDescent="0.25">
      <c r="A58" s="7">
        <v>1</v>
      </c>
      <c r="B58" s="8">
        <v>43480</v>
      </c>
      <c r="C58" s="9" t="s">
        <v>3</v>
      </c>
      <c r="D58" s="10">
        <v>230.08299999999997</v>
      </c>
      <c r="E58" s="10">
        <v>683.12299999999993</v>
      </c>
      <c r="F58" t="str">
        <f>VLOOKUP(A58,StoreLookup,2,FALSE)</f>
        <v>Store#1</v>
      </c>
      <c r="G58">
        <f>INDEX(CalLookUpTable,MATCH($B58,CalLookUpRow,0),MATCH(G$1,CalLookUpColumn,0))</f>
        <v>2019</v>
      </c>
      <c r="H58">
        <f>INDEX(CalLookUpTable,MATCH($B58,CalLookUpRow,0),MATCH(H$1,CalLookUpColumn,0))</f>
        <v>1</v>
      </c>
      <c r="I58">
        <f>INDEX(CalLookUpTable,MATCH($B58,CalLookUpRow,0),MATCH(I$1,CalLookUpColumn,0))</f>
        <v>3</v>
      </c>
    </row>
    <row r="59" spans="1:9" x14ac:dyDescent="0.25">
      <c r="A59" s="7">
        <v>1</v>
      </c>
      <c r="B59" s="8">
        <v>43480</v>
      </c>
      <c r="C59" s="9" t="s">
        <v>5</v>
      </c>
      <c r="D59" s="10">
        <v>3061.4920000000002</v>
      </c>
      <c r="E59" s="10">
        <v>0</v>
      </c>
      <c r="F59" t="str">
        <f>VLOOKUP(A59,StoreLookup,2,FALSE)</f>
        <v>Store#1</v>
      </c>
      <c r="G59">
        <f>INDEX(CalLookUpTable,MATCH($B59,CalLookUpRow,0),MATCH(G$1,CalLookUpColumn,0))</f>
        <v>2019</v>
      </c>
      <c r="H59">
        <f>INDEX(CalLookUpTable,MATCH($B59,CalLookUpRow,0),MATCH(H$1,CalLookUpColumn,0))</f>
        <v>1</v>
      </c>
      <c r="I59">
        <f>INDEX(CalLookUpTable,MATCH($B59,CalLookUpRow,0),MATCH(I$1,CalLookUpColumn,0))</f>
        <v>3</v>
      </c>
    </row>
    <row r="60" spans="1:9" x14ac:dyDescent="0.25">
      <c r="A60" s="7">
        <v>1</v>
      </c>
      <c r="B60" s="8">
        <v>43480</v>
      </c>
      <c r="C60" s="9" t="s">
        <v>6</v>
      </c>
      <c r="D60" s="10">
        <v>592.35399999999993</v>
      </c>
      <c r="E60" s="10">
        <v>1081.087</v>
      </c>
      <c r="F60" t="str">
        <f>VLOOKUP(A60,StoreLookup,2,FALSE)</f>
        <v>Store#1</v>
      </c>
      <c r="G60">
        <f>INDEX(CalLookUpTable,MATCH($B60,CalLookUpRow,0),MATCH(G$1,CalLookUpColumn,0))</f>
        <v>2019</v>
      </c>
      <c r="H60">
        <f>INDEX(CalLookUpTable,MATCH($B60,CalLookUpRow,0),MATCH(H$1,CalLookUpColumn,0))</f>
        <v>1</v>
      </c>
      <c r="I60">
        <f>INDEX(CalLookUpTable,MATCH($B60,CalLookUpRow,0),MATCH(I$1,CalLookUpColumn,0))</f>
        <v>3</v>
      </c>
    </row>
    <row r="61" spans="1:9" x14ac:dyDescent="0.25">
      <c r="A61" s="7">
        <v>1</v>
      </c>
      <c r="B61" s="8">
        <v>43480</v>
      </c>
      <c r="C61" s="9" t="s">
        <v>4</v>
      </c>
      <c r="D61" s="10">
        <v>3437.0489999999995</v>
      </c>
      <c r="E61" s="10">
        <v>4324.509</v>
      </c>
      <c r="F61" t="str">
        <f>VLOOKUP(A61,StoreLookup,2,FALSE)</f>
        <v>Store#1</v>
      </c>
      <c r="G61">
        <f>INDEX(CalLookUpTable,MATCH($B61,CalLookUpRow,0),MATCH(G$1,CalLookUpColumn,0))</f>
        <v>2019</v>
      </c>
      <c r="H61">
        <f>INDEX(CalLookUpTable,MATCH($B61,CalLookUpRow,0),MATCH(H$1,CalLookUpColumn,0))</f>
        <v>1</v>
      </c>
      <c r="I61">
        <f>INDEX(CalLookUpTable,MATCH($B61,CalLookUpRow,0),MATCH(I$1,CalLookUpColumn,0))</f>
        <v>3</v>
      </c>
    </row>
    <row r="62" spans="1:9" x14ac:dyDescent="0.25">
      <c r="A62" s="7">
        <v>1</v>
      </c>
      <c r="B62" s="8">
        <v>43481</v>
      </c>
      <c r="C62" s="9" t="s">
        <v>5</v>
      </c>
      <c r="D62" s="10">
        <v>3109.3440000000001</v>
      </c>
      <c r="E62" s="10">
        <v>0</v>
      </c>
      <c r="F62" t="str">
        <f>VLOOKUP(A62,StoreLookup,2,FALSE)</f>
        <v>Store#1</v>
      </c>
      <c r="G62">
        <f>INDEX(CalLookUpTable,MATCH($B62,CalLookUpRow,0),MATCH(G$1,CalLookUpColumn,0))</f>
        <v>2019</v>
      </c>
      <c r="H62">
        <f>INDEX(CalLookUpTable,MATCH($B62,CalLookUpRow,0),MATCH(H$1,CalLookUpColumn,0))</f>
        <v>1</v>
      </c>
      <c r="I62">
        <f>INDEX(CalLookUpTable,MATCH($B62,CalLookUpRow,0),MATCH(I$1,CalLookUpColumn,0))</f>
        <v>3</v>
      </c>
    </row>
    <row r="63" spans="1:9" x14ac:dyDescent="0.25">
      <c r="A63" s="7">
        <v>1</v>
      </c>
      <c r="B63" s="8">
        <v>43481</v>
      </c>
      <c r="C63" s="9" t="s">
        <v>6</v>
      </c>
      <c r="D63" s="10">
        <v>955.26199999999994</v>
      </c>
      <c r="E63" s="10">
        <v>1096.144</v>
      </c>
      <c r="F63" t="str">
        <f>VLOOKUP(A63,StoreLookup,2,FALSE)</f>
        <v>Store#1</v>
      </c>
      <c r="G63">
        <f>INDEX(CalLookUpTable,MATCH($B63,CalLookUpRow,0),MATCH(G$1,CalLookUpColumn,0))</f>
        <v>2019</v>
      </c>
      <c r="H63">
        <f>INDEX(CalLookUpTable,MATCH($B63,CalLookUpRow,0),MATCH(H$1,CalLookUpColumn,0))</f>
        <v>1</v>
      </c>
      <c r="I63">
        <f>INDEX(CalLookUpTable,MATCH($B63,CalLookUpRow,0),MATCH(I$1,CalLookUpColumn,0))</f>
        <v>3</v>
      </c>
    </row>
    <row r="64" spans="1:9" x14ac:dyDescent="0.25">
      <c r="A64" s="7">
        <v>1</v>
      </c>
      <c r="B64" s="8">
        <v>43481</v>
      </c>
      <c r="C64" s="9" t="s">
        <v>4</v>
      </c>
      <c r="D64" s="10">
        <v>4823.8890000000001</v>
      </c>
      <c r="E64" s="10">
        <v>4008.123</v>
      </c>
      <c r="F64" t="str">
        <f>VLOOKUP(A64,StoreLookup,2,FALSE)</f>
        <v>Store#1</v>
      </c>
      <c r="G64">
        <f>INDEX(CalLookUpTable,MATCH($B64,CalLookUpRow,0),MATCH(G$1,CalLookUpColumn,0))</f>
        <v>2019</v>
      </c>
      <c r="H64">
        <f>INDEX(CalLookUpTable,MATCH($B64,CalLookUpRow,0),MATCH(H$1,CalLookUpColumn,0))</f>
        <v>1</v>
      </c>
      <c r="I64">
        <f>INDEX(CalLookUpTable,MATCH($B64,CalLookUpRow,0),MATCH(I$1,CalLookUpColumn,0))</f>
        <v>3</v>
      </c>
    </row>
    <row r="65" spans="1:9" x14ac:dyDescent="0.25">
      <c r="A65" s="7">
        <v>1</v>
      </c>
      <c r="B65" s="8">
        <v>43481</v>
      </c>
      <c r="C65" s="9" t="s">
        <v>3</v>
      </c>
      <c r="D65" s="10">
        <v>154.88199999999998</v>
      </c>
      <c r="E65" s="10">
        <v>308.40599999999995</v>
      </c>
      <c r="F65" t="str">
        <f>VLOOKUP(A65,StoreLookup,2,FALSE)</f>
        <v>Store#1</v>
      </c>
      <c r="G65">
        <f>INDEX(CalLookUpTable,MATCH($B65,CalLookUpRow,0),MATCH(G$1,CalLookUpColumn,0))</f>
        <v>2019</v>
      </c>
      <c r="H65">
        <f>INDEX(CalLookUpTable,MATCH($B65,CalLookUpRow,0),MATCH(H$1,CalLookUpColumn,0))</f>
        <v>1</v>
      </c>
      <c r="I65">
        <f>INDEX(CalLookUpTable,MATCH($B65,CalLookUpRow,0),MATCH(I$1,CalLookUpColumn,0))</f>
        <v>3</v>
      </c>
    </row>
    <row r="66" spans="1:9" x14ac:dyDescent="0.25">
      <c r="A66" s="7">
        <v>1</v>
      </c>
      <c r="B66" s="8">
        <v>43482</v>
      </c>
      <c r="C66" s="9" t="s">
        <v>6</v>
      </c>
      <c r="D66" s="10">
        <v>774.89299999999992</v>
      </c>
      <c r="E66" s="10">
        <v>1826.0409999999999</v>
      </c>
      <c r="F66" t="str">
        <f>VLOOKUP(A66,StoreLookup,2,FALSE)</f>
        <v>Store#1</v>
      </c>
      <c r="G66">
        <f>INDEX(CalLookUpTable,MATCH($B66,CalLookUpRow,0),MATCH(G$1,CalLookUpColumn,0))</f>
        <v>2019</v>
      </c>
      <c r="H66">
        <f>INDEX(CalLookUpTable,MATCH($B66,CalLookUpRow,0),MATCH(H$1,CalLookUpColumn,0))</f>
        <v>1</v>
      </c>
      <c r="I66">
        <f>INDEX(CalLookUpTable,MATCH($B66,CalLookUpRow,0),MATCH(I$1,CalLookUpColumn,0))</f>
        <v>3</v>
      </c>
    </row>
    <row r="67" spans="1:9" x14ac:dyDescent="0.25">
      <c r="A67" s="7">
        <v>1</v>
      </c>
      <c r="B67" s="8">
        <v>43482</v>
      </c>
      <c r="C67" s="9" t="s">
        <v>4</v>
      </c>
      <c r="D67" s="10">
        <v>4240.4459999999999</v>
      </c>
      <c r="E67" s="10">
        <v>6019.1039999999994</v>
      </c>
      <c r="F67" t="str">
        <f>VLOOKUP(A67,StoreLookup,2,FALSE)</f>
        <v>Store#1</v>
      </c>
      <c r="G67">
        <f>INDEX(CalLookUpTable,MATCH($B67,CalLookUpRow,0),MATCH(G$1,CalLookUpColumn,0))</f>
        <v>2019</v>
      </c>
      <c r="H67">
        <f>INDEX(CalLookUpTable,MATCH($B67,CalLookUpRow,0),MATCH(H$1,CalLookUpColumn,0))</f>
        <v>1</v>
      </c>
      <c r="I67">
        <f>INDEX(CalLookUpTable,MATCH($B67,CalLookUpRow,0),MATCH(I$1,CalLookUpColumn,0))</f>
        <v>3</v>
      </c>
    </row>
    <row r="68" spans="1:9" x14ac:dyDescent="0.25">
      <c r="A68" s="7">
        <v>1</v>
      </c>
      <c r="B68" s="8">
        <v>43482</v>
      </c>
      <c r="C68" s="9" t="s">
        <v>3</v>
      </c>
      <c r="D68" s="10">
        <v>47.746999999999993</v>
      </c>
      <c r="E68" s="10">
        <v>151.40299999999999</v>
      </c>
      <c r="F68" t="str">
        <f>VLOOKUP(A68,StoreLookup,2,FALSE)</f>
        <v>Store#1</v>
      </c>
      <c r="G68">
        <f>INDEX(CalLookUpTable,MATCH($B68,CalLookUpRow,0),MATCH(G$1,CalLookUpColumn,0))</f>
        <v>2019</v>
      </c>
      <c r="H68">
        <f>INDEX(CalLookUpTable,MATCH($B68,CalLookUpRow,0),MATCH(H$1,CalLookUpColumn,0))</f>
        <v>1</v>
      </c>
      <c r="I68">
        <f>INDEX(CalLookUpTable,MATCH($B68,CalLookUpRow,0),MATCH(I$1,CalLookUpColumn,0))</f>
        <v>3</v>
      </c>
    </row>
    <row r="69" spans="1:9" x14ac:dyDescent="0.25">
      <c r="A69" s="7">
        <v>1</v>
      </c>
      <c r="B69" s="8">
        <v>43482</v>
      </c>
      <c r="C69" s="9" t="s">
        <v>5</v>
      </c>
      <c r="D69" s="10">
        <v>3295.6349999999998</v>
      </c>
      <c r="E69" s="10">
        <v>0</v>
      </c>
      <c r="F69" t="str">
        <f>VLOOKUP(A69,StoreLookup,2,FALSE)</f>
        <v>Store#1</v>
      </c>
      <c r="G69">
        <f>INDEX(CalLookUpTable,MATCH($B69,CalLookUpRow,0),MATCH(G$1,CalLookUpColumn,0))</f>
        <v>2019</v>
      </c>
      <c r="H69">
        <f>INDEX(CalLookUpTable,MATCH($B69,CalLookUpRow,0),MATCH(H$1,CalLookUpColumn,0))</f>
        <v>1</v>
      </c>
      <c r="I69">
        <f>INDEX(CalLookUpTable,MATCH($B69,CalLookUpRow,0),MATCH(I$1,CalLookUpColumn,0))</f>
        <v>3</v>
      </c>
    </row>
    <row r="70" spans="1:9" x14ac:dyDescent="0.25">
      <c r="A70" s="7">
        <v>1</v>
      </c>
      <c r="B70" s="8">
        <v>43483</v>
      </c>
      <c r="C70" s="9" t="s">
        <v>4</v>
      </c>
      <c r="D70" s="10">
        <v>6541.7520000000004</v>
      </c>
      <c r="E70" s="10">
        <v>6931.2249999999995</v>
      </c>
      <c r="F70" t="str">
        <f>VLOOKUP(A70,StoreLookup,2,FALSE)</f>
        <v>Store#1</v>
      </c>
      <c r="G70">
        <f>INDEX(CalLookUpTable,MATCH($B70,CalLookUpRow,0),MATCH(G$1,CalLookUpColumn,0))</f>
        <v>2019</v>
      </c>
      <c r="H70">
        <f>INDEX(CalLookUpTable,MATCH($B70,CalLookUpRow,0),MATCH(H$1,CalLookUpColumn,0))</f>
        <v>1</v>
      </c>
      <c r="I70">
        <f>INDEX(CalLookUpTable,MATCH($B70,CalLookUpRow,0),MATCH(I$1,CalLookUpColumn,0))</f>
        <v>3</v>
      </c>
    </row>
    <row r="71" spans="1:9" x14ac:dyDescent="0.25">
      <c r="A71" s="7">
        <v>1</v>
      </c>
      <c r="B71" s="8">
        <v>43483</v>
      </c>
      <c r="C71" s="9" t="s">
        <v>5</v>
      </c>
      <c r="D71" s="10">
        <v>3856.4119999999998</v>
      </c>
      <c r="E71" s="10">
        <v>0</v>
      </c>
      <c r="F71" t="str">
        <f>VLOOKUP(A71,StoreLookup,2,FALSE)</f>
        <v>Store#1</v>
      </c>
      <c r="G71">
        <f>INDEX(CalLookUpTable,MATCH($B71,CalLookUpRow,0),MATCH(G$1,CalLookUpColumn,0))</f>
        <v>2019</v>
      </c>
      <c r="H71">
        <f>INDEX(CalLookUpTable,MATCH($B71,CalLookUpRow,0),MATCH(H$1,CalLookUpColumn,0))</f>
        <v>1</v>
      </c>
      <c r="I71">
        <f>INDEX(CalLookUpTable,MATCH($B71,CalLookUpRow,0),MATCH(I$1,CalLookUpColumn,0))</f>
        <v>3</v>
      </c>
    </row>
    <row r="72" spans="1:9" x14ac:dyDescent="0.25">
      <c r="A72" s="7">
        <v>1</v>
      </c>
      <c r="B72" s="8">
        <v>43483</v>
      </c>
      <c r="C72" s="9" t="s">
        <v>3</v>
      </c>
      <c r="D72" s="10">
        <v>0</v>
      </c>
      <c r="E72" s="10">
        <v>1367.751</v>
      </c>
      <c r="F72" t="str">
        <f>VLOOKUP(A72,StoreLookup,2,FALSE)</f>
        <v>Store#1</v>
      </c>
      <c r="G72">
        <f>INDEX(CalLookUpTable,MATCH($B72,CalLookUpRow,0),MATCH(G$1,CalLookUpColumn,0))</f>
        <v>2019</v>
      </c>
      <c r="H72">
        <f>INDEX(CalLookUpTable,MATCH($B72,CalLookUpRow,0),MATCH(H$1,CalLookUpColumn,0))</f>
        <v>1</v>
      </c>
      <c r="I72">
        <f>INDEX(CalLookUpTable,MATCH($B72,CalLookUpRow,0),MATCH(I$1,CalLookUpColumn,0))</f>
        <v>3</v>
      </c>
    </row>
    <row r="73" spans="1:9" x14ac:dyDescent="0.25">
      <c r="A73" s="7">
        <v>1</v>
      </c>
      <c r="B73" s="8">
        <v>43483</v>
      </c>
      <c r="C73" s="9" t="s">
        <v>6</v>
      </c>
      <c r="D73" s="10">
        <v>1322.8809999999999</v>
      </c>
      <c r="E73" s="10">
        <v>2566.4169999999999</v>
      </c>
      <c r="F73" t="str">
        <f>VLOOKUP(A73,StoreLookup,2,FALSE)</f>
        <v>Store#1</v>
      </c>
      <c r="G73">
        <f>INDEX(CalLookUpTable,MATCH($B73,CalLookUpRow,0),MATCH(G$1,CalLookUpColumn,0))</f>
        <v>2019</v>
      </c>
      <c r="H73">
        <f>INDEX(CalLookUpTable,MATCH($B73,CalLookUpRow,0),MATCH(H$1,CalLookUpColumn,0))</f>
        <v>1</v>
      </c>
      <c r="I73">
        <f>INDEX(CalLookUpTable,MATCH($B73,CalLookUpRow,0),MATCH(I$1,CalLookUpColumn,0))</f>
        <v>3</v>
      </c>
    </row>
    <row r="74" spans="1:9" x14ac:dyDescent="0.25">
      <c r="A74" s="7">
        <v>1</v>
      </c>
      <c r="B74" s="8">
        <v>43484</v>
      </c>
      <c r="C74" s="9" t="s">
        <v>4</v>
      </c>
      <c r="D74" s="10">
        <v>5850.8939999999993</v>
      </c>
      <c r="E74" s="10">
        <v>7064.2179999999998</v>
      </c>
      <c r="F74" t="str">
        <f>VLOOKUP(A74,StoreLookup,2,FALSE)</f>
        <v>Store#1</v>
      </c>
      <c r="G74">
        <f>INDEX(CalLookUpTable,MATCH($B74,CalLookUpRow,0),MATCH(G$1,CalLookUpColumn,0))</f>
        <v>2019</v>
      </c>
      <c r="H74">
        <f>INDEX(CalLookUpTable,MATCH($B74,CalLookUpRow,0),MATCH(H$1,CalLookUpColumn,0))</f>
        <v>1</v>
      </c>
      <c r="I74">
        <f>INDEX(CalLookUpTable,MATCH($B74,CalLookUpRow,0),MATCH(I$1,CalLookUpColumn,0))</f>
        <v>3</v>
      </c>
    </row>
    <row r="75" spans="1:9" x14ac:dyDescent="0.25">
      <c r="A75" s="7">
        <v>1</v>
      </c>
      <c r="B75" s="8">
        <v>43484</v>
      </c>
      <c r="C75" s="9" t="s">
        <v>6</v>
      </c>
      <c r="D75" s="10">
        <v>661.69599999999991</v>
      </c>
      <c r="E75" s="10">
        <v>1530.6479999999999</v>
      </c>
      <c r="F75" t="str">
        <f>VLOOKUP(A75,StoreLookup,2,FALSE)</f>
        <v>Store#1</v>
      </c>
      <c r="G75">
        <f>INDEX(CalLookUpTable,MATCH($B75,CalLookUpRow,0),MATCH(G$1,CalLookUpColumn,0))</f>
        <v>2019</v>
      </c>
      <c r="H75">
        <f>INDEX(CalLookUpTable,MATCH($B75,CalLookUpRow,0),MATCH(H$1,CalLookUpColumn,0))</f>
        <v>1</v>
      </c>
      <c r="I75">
        <f>INDEX(CalLookUpTable,MATCH($B75,CalLookUpRow,0),MATCH(I$1,CalLookUpColumn,0))</f>
        <v>3</v>
      </c>
    </row>
    <row r="76" spans="1:9" x14ac:dyDescent="0.25">
      <c r="A76" s="7">
        <v>1</v>
      </c>
      <c r="B76" s="8">
        <v>43484</v>
      </c>
      <c r="C76" s="9" t="s">
        <v>5</v>
      </c>
      <c r="D76" s="10">
        <v>3188.1219999999998</v>
      </c>
      <c r="E76" s="10">
        <v>0</v>
      </c>
      <c r="F76" t="str">
        <f>VLOOKUP(A76,StoreLookup,2,FALSE)</f>
        <v>Store#1</v>
      </c>
      <c r="G76">
        <f>INDEX(CalLookUpTable,MATCH($B76,CalLookUpRow,0),MATCH(G$1,CalLookUpColumn,0))</f>
        <v>2019</v>
      </c>
      <c r="H76">
        <f>INDEX(CalLookUpTable,MATCH($B76,CalLookUpRow,0),MATCH(H$1,CalLookUpColumn,0))</f>
        <v>1</v>
      </c>
      <c r="I76">
        <f>INDEX(CalLookUpTable,MATCH($B76,CalLookUpRow,0),MATCH(I$1,CalLookUpColumn,0))</f>
        <v>3</v>
      </c>
    </row>
    <row r="77" spans="1:9" x14ac:dyDescent="0.25">
      <c r="A77" s="7">
        <v>1</v>
      </c>
      <c r="B77" s="8">
        <v>43484</v>
      </c>
      <c r="C77" s="9" t="s">
        <v>3</v>
      </c>
      <c r="D77" s="10">
        <v>0</v>
      </c>
      <c r="E77" s="10">
        <v>0</v>
      </c>
      <c r="F77" t="str">
        <f>VLOOKUP(A77,StoreLookup,2,FALSE)</f>
        <v>Store#1</v>
      </c>
      <c r="G77">
        <f>INDEX(CalLookUpTable,MATCH($B77,CalLookUpRow,0),MATCH(G$1,CalLookUpColumn,0))</f>
        <v>2019</v>
      </c>
      <c r="H77">
        <f>INDEX(CalLookUpTable,MATCH($B77,CalLookUpRow,0),MATCH(H$1,CalLookUpColumn,0))</f>
        <v>1</v>
      </c>
      <c r="I77">
        <f>INDEX(CalLookUpTable,MATCH($B77,CalLookUpRow,0),MATCH(I$1,CalLookUpColumn,0))</f>
        <v>3</v>
      </c>
    </row>
    <row r="78" spans="1:9" x14ac:dyDescent="0.25">
      <c r="A78" s="7">
        <v>1</v>
      </c>
      <c r="B78" s="8">
        <v>43485</v>
      </c>
      <c r="C78" s="9" t="s">
        <v>6</v>
      </c>
      <c r="D78" s="10">
        <v>167.69199999999998</v>
      </c>
      <c r="E78" s="10">
        <v>316.65199999999999</v>
      </c>
      <c r="F78" t="str">
        <f>VLOOKUP(A78,StoreLookup,2,FALSE)</f>
        <v>Store#1</v>
      </c>
      <c r="G78">
        <f>INDEX(CalLookUpTable,MATCH($B78,CalLookUpRow,0),MATCH(G$1,CalLookUpColumn,0))</f>
        <v>2019</v>
      </c>
      <c r="H78">
        <f>INDEX(CalLookUpTable,MATCH($B78,CalLookUpRow,0),MATCH(H$1,CalLookUpColumn,0))</f>
        <v>1</v>
      </c>
      <c r="I78">
        <f>INDEX(CalLookUpTable,MATCH($B78,CalLookUpRow,0),MATCH(I$1,CalLookUpColumn,0))</f>
        <v>3</v>
      </c>
    </row>
    <row r="79" spans="1:9" x14ac:dyDescent="0.25">
      <c r="A79" s="7">
        <v>1</v>
      </c>
      <c r="B79" s="8">
        <v>43485</v>
      </c>
      <c r="C79" s="9" t="s">
        <v>5</v>
      </c>
      <c r="D79" s="10">
        <v>1532.58</v>
      </c>
      <c r="E79" s="10">
        <v>0</v>
      </c>
      <c r="F79" t="str">
        <f>VLOOKUP(A79,StoreLookup,2,FALSE)</f>
        <v>Store#1</v>
      </c>
      <c r="G79">
        <f>INDEX(CalLookUpTable,MATCH($B79,CalLookUpRow,0),MATCH(G$1,CalLookUpColumn,0))</f>
        <v>2019</v>
      </c>
      <c r="H79">
        <f>INDEX(CalLookUpTable,MATCH($B79,CalLookUpRow,0),MATCH(H$1,CalLookUpColumn,0))</f>
        <v>1</v>
      </c>
      <c r="I79">
        <f>INDEX(CalLookUpTable,MATCH($B79,CalLookUpRow,0),MATCH(I$1,CalLookUpColumn,0))</f>
        <v>3</v>
      </c>
    </row>
    <row r="80" spans="1:9" x14ac:dyDescent="0.25">
      <c r="A80" s="7">
        <v>1</v>
      </c>
      <c r="B80" s="8">
        <v>43485</v>
      </c>
      <c r="C80" s="9" t="s">
        <v>3</v>
      </c>
      <c r="D80" s="10">
        <v>0</v>
      </c>
      <c r="E80" s="10">
        <v>0</v>
      </c>
      <c r="F80" t="str">
        <f>VLOOKUP(A80,StoreLookup,2,FALSE)</f>
        <v>Store#1</v>
      </c>
      <c r="G80">
        <f>INDEX(CalLookUpTable,MATCH($B80,CalLookUpRow,0),MATCH(G$1,CalLookUpColumn,0))</f>
        <v>2019</v>
      </c>
      <c r="H80">
        <f>INDEX(CalLookUpTable,MATCH($B80,CalLookUpRow,0),MATCH(H$1,CalLookUpColumn,0))</f>
        <v>1</v>
      </c>
      <c r="I80">
        <f>INDEX(CalLookUpTable,MATCH($B80,CalLookUpRow,0),MATCH(I$1,CalLookUpColumn,0))</f>
        <v>3</v>
      </c>
    </row>
    <row r="81" spans="1:9" x14ac:dyDescent="0.25">
      <c r="A81" s="7">
        <v>1</v>
      </c>
      <c r="B81" s="8">
        <v>43485</v>
      </c>
      <c r="C81" s="9" t="s">
        <v>4</v>
      </c>
      <c r="D81" s="10">
        <v>2374.855</v>
      </c>
      <c r="E81" s="10">
        <v>2560.8589999999999</v>
      </c>
      <c r="F81" t="str">
        <f>VLOOKUP(A81,StoreLookup,2,FALSE)</f>
        <v>Store#1</v>
      </c>
      <c r="G81">
        <f>INDEX(CalLookUpTable,MATCH($B81,CalLookUpRow,0),MATCH(G$1,CalLookUpColumn,0))</f>
        <v>2019</v>
      </c>
      <c r="H81">
        <f>INDEX(CalLookUpTable,MATCH($B81,CalLookUpRow,0),MATCH(H$1,CalLookUpColumn,0))</f>
        <v>1</v>
      </c>
      <c r="I81">
        <f>INDEX(CalLookUpTable,MATCH($B81,CalLookUpRow,0),MATCH(I$1,CalLookUpColumn,0))</f>
        <v>3</v>
      </c>
    </row>
    <row r="82" spans="1:9" x14ac:dyDescent="0.25">
      <c r="A82" s="7">
        <v>1</v>
      </c>
      <c r="B82" s="8">
        <v>43486</v>
      </c>
      <c r="C82" s="9" t="s">
        <v>6</v>
      </c>
      <c r="D82" s="10">
        <v>1218.9870000000001</v>
      </c>
      <c r="E82" s="10">
        <v>1483.7619999999997</v>
      </c>
      <c r="F82" t="str">
        <f>VLOOKUP(A82,StoreLookup,2,FALSE)</f>
        <v>Store#1</v>
      </c>
      <c r="G82">
        <f>INDEX(CalLookUpTable,MATCH($B82,CalLookUpRow,0),MATCH(G$1,CalLookUpColumn,0))</f>
        <v>2019</v>
      </c>
      <c r="H82">
        <f>INDEX(CalLookUpTable,MATCH($B82,CalLookUpRow,0),MATCH(H$1,CalLookUpColumn,0))</f>
        <v>1</v>
      </c>
      <c r="I82">
        <f>INDEX(CalLookUpTable,MATCH($B82,CalLookUpRow,0),MATCH(I$1,CalLookUpColumn,0))</f>
        <v>4</v>
      </c>
    </row>
    <row r="83" spans="1:9" x14ac:dyDescent="0.25">
      <c r="A83" s="7">
        <v>1</v>
      </c>
      <c r="B83" s="8">
        <v>43486</v>
      </c>
      <c r="C83" s="9" t="s">
        <v>4</v>
      </c>
      <c r="D83" s="10">
        <v>4970.1539999999995</v>
      </c>
      <c r="E83" s="10">
        <v>4355.2669999999998</v>
      </c>
      <c r="F83" t="str">
        <f>VLOOKUP(A83,StoreLookup,2,FALSE)</f>
        <v>Store#1</v>
      </c>
      <c r="G83">
        <f>INDEX(CalLookUpTable,MATCH($B83,CalLookUpRow,0),MATCH(G$1,CalLookUpColumn,0))</f>
        <v>2019</v>
      </c>
      <c r="H83">
        <f>INDEX(CalLookUpTable,MATCH($B83,CalLookUpRow,0),MATCH(H$1,CalLookUpColumn,0))</f>
        <v>1</v>
      </c>
      <c r="I83">
        <f>INDEX(CalLookUpTable,MATCH($B83,CalLookUpRow,0),MATCH(I$1,CalLookUpColumn,0))</f>
        <v>4</v>
      </c>
    </row>
    <row r="84" spans="1:9" x14ac:dyDescent="0.25">
      <c r="A84" s="7">
        <v>1</v>
      </c>
      <c r="B84" s="8">
        <v>43486</v>
      </c>
      <c r="C84" s="9" t="s">
        <v>3</v>
      </c>
      <c r="D84" s="10">
        <v>169.93899999999999</v>
      </c>
      <c r="E84" s="10">
        <v>490.41999999999996</v>
      </c>
      <c r="F84" t="str">
        <f>VLOOKUP(A84,StoreLookup,2,FALSE)</f>
        <v>Store#1</v>
      </c>
      <c r="G84">
        <f>INDEX(CalLookUpTable,MATCH($B84,CalLookUpRow,0),MATCH(G$1,CalLookUpColumn,0))</f>
        <v>2019</v>
      </c>
      <c r="H84">
        <f>INDEX(CalLookUpTable,MATCH($B84,CalLookUpRow,0),MATCH(H$1,CalLookUpColumn,0))</f>
        <v>1</v>
      </c>
      <c r="I84">
        <f>INDEX(CalLookUpTable,MATCH($B84,CalLookUpRow,0),MATCH(I$1,CalLookUpColumn,0))</f>
        <v>4</v>
      </c>
    </row>
    <row r="85" spans="1:9" x14ac:dyDescent="0.25">
      <c r="A85" s="7">
        <v>1</v>
      </c>
      <c r="B85" s="8">
        <v>43486</v>
      </c>
      <c r="C85" s="9" t="s">
        <v>5</v>
      </c>
      <c r="D85" s="10">
        <v>2949.8140000000003</v>
      </c>
      <c r="E85" s="10">
        <v>0</v>
      </c>
      <c r="F85" t="str">
        <f>VLOOKUP(A85,StoreLookup,2,FALSE)</f>
        <v>Store#1</v>
      </c>
      <c r="G85">
        <f>INDEX(CalLookUpTable,MATCH($B85,CalLookUpRow,0),MATCH(G$1,CalLookUpColumn,0))</f>
        <v>2019</v>
      </c>
      <c r="H85">
        <f>INDEX(CalLookUpTable,MATCH($B85,CalLookUpRow,0),MATCH(H$1,CalLookUpColumn,0))</f>
        <v>1</v>
      </c>
      <c r="I85">
        <f>INDEX(CalLookUpTable,MATCH($B85,CalLookUpRow,0),MATCH(I$1,CalLookUpColumn,0))</f>
        <v>4</v>
      </c>
    </row>
    <row r="86" spans="1:9" x14ac:dyDescent="0.25">
      <c r="A86" s="7">
        <v>1</v>
      </c>
      <c r="B86" s="8">
        <v>43487</v>
      </c>
      <c r="C86" s="9" t="s">
        <v>6</v>
      </c>
      <c r="D86" s="10">
        <v>672.96600000000001</v>
      </c>
      <c r="E86" s="10">
        <v>989.46399999999994</v>
      </c>
      <c r="F86" t="str">
        <f>VLOOKUP(A86,StoreLookup,2,FALSE)</f>
        <v>Store#1</v>
      </c>
      <c r="G86">
        <f>INDEX(CalLookUpTable,MATCH($B86,CalLookUpRow,0),MATCH(G$1,CalLookUpColumn,0))</f>
        <v>2019</v>
      </c>
      <c r="H86">
        <f>INDEX(CalLookUpTable,MATCH($B86,CalLookUpRow,0),MATCH(H$1,CalLookUpColumn,0))</f>
        <v>1</v>
      </c>
      <c r="I86">
        <f>INDEX(CalLookUpTable,MATCH($B86,CalLookUpRow,0),MATCH(I$1,CalLookUpColumn,0))</f>
        <v>4</v>
      </c>
    </row>
    <row r="87" spans="1:9" x14ac:dyDescent="0.25">
      <c r="A87" s="7">
        <v>1</v>
      </c>
      <c r="B87" s="8">
        <v>43487</v>
      </c>
      <c r="C87" s="9" t="s">
        <v>4</v>
      </c>
      <c r="D87" s="10">
        <v>3944.3459999999995</v>
      </c>
      <c r="E87" s="10">
        <v>4936.3859999999995</v>
      </c>
      <c r="F87" t="str">
        <f>VLOOKUP(A87,StoreLookup,2,FALSE)</f>
        <v>Store#1</v>
      </c>
      <c r="G87">
        <f>INDEX(CalLookUpTable,MATCH($B87,CalLookUpRow,0),MATCH(G$1,CalLookUpColumn,0))</f>
        <v>2019</v>
      </c>
      <c r="H87">
        <f>INDEX(CalLookUpTable,MATCH($B87,CalLookUpRow,0),MATCH(H$1,CalLookUpColumn,0))</f>
        <v>1</v>
      </c>
      <c r="I87">
        <f>INDEX(CalLookUpTable,MATCH($B87,CalLookUpRow,0),MATCH(I$1,CalLookUpColumn,0))</f>
        <v>4</v>
      </c>
    </row>
    <row r="88" spans="1:9" x14ac:dyDescent="0.25">
      <c r="A88" s="7">
        <v>1</v>
      </c>
      <c r="B88" s="8">
        <v>43487</v>
      </c>
      <c r="C88" s="9" t="s">
        <v>5</v>
      </c>
      <c r="D88" s="10">
        <v>3002.8319999999999</v>
      </c>
      <c r="E88" s="10">
        <v>0</v>
      </c>
      <c r="F88" t="str">
        <f>VLOOKUP(A88,StoreLookup,2,FALSE)</f>
        <v>Store#1</v>
      </c>
      <c r="G88">
        <f>INDEX(CalLookUpTable,MATCH($B88,CalLookUpRow,0),MATCH(G$1,CalLookUpColumn,0))</f>
        <v>2019</v>
      </c>
      <c r="H88">
        <f>INDEX(CalLookUpTable,MATCH($B88,CalLookUpRow,0),MATCH(H$1,CalLookUpColumn,0))</f>
        <v>1</v>
      </c>
      <c r="I88">
        <f>INDEX(CalLookUpTable,MATCH($B88,CalLookUpRow,0),MATCH(I$1,CalLookUpColumn,0))</f>
        <v>4</v>
      </c>
    </row>
    <row r="89" spans="1:9" x14ac:dyDescent="0.25">
      <c r="A89" s="7">
        <v>1</v>
      </c>
      <c r="B89" s="8">
        <v>43487</v>
      </c>
      <c r="C89" s="9" t="s">
        <v>3</v>
      </c>
      <c r="D89" s="10">
        <v>0</v>
      </c>
      <c r="E89" s="10">
        <v>353.892</v>
      </c>
      <c r="F89" t="str">
        <f>VLOOKUP(A89,StoreLookup,2,FALSE)</f>
        <v>Store#1</v>
      </c>
      <c r="G89">
        <f>INDEX(CalLookUpTable,MATCH($B89,CalLookUpRow,0),MATCH(G$1,CalLookUpColumn,0))</f>
        <v>2019</v>
      </c>
      <c r="H89">
        <f>INDEX(CalLookUpTable,MATCH($B89,CalLookUpRow,0),MATCH(H$1,CalLookUpColumn,0))</f>
        <v>1</v>
      </c>
      <c r="I89">
        <f>INDEX(CalLookUpTable,MATCH($B89,CalLookUpRow,0),MATCH(I$1,CalLookUpColumn,0))</f>
        <v>4</v>
      </c>
    </row>
    <row r="90" spans="1:9" x14ac:dyDescent="0.25">
      <c r="A90" s="7">
        <v>1</v>
      </c>
      <c r="B90" s="8">
        <v>43488</v>
      </c>
      <c r="C90" s="9" t="s">
        <v>4</v>
      </c>
      <c r="D90" s="10">
        <v>3789.3449999999998</v>
      </c>
      <c r="E90" s="10">
        <v>4973.3319999999994</v>
      </c>
      <c r="F90" t="str">
        <f>VLOOKUP(A90,StoreLookup,2,FALSE)</f>
        <v>Store#1</v>
      </c>
      <c r="G90">
        <f>INDEX(CalLookUpTable,MATCH($B90,CalLookUpRow,0),MATCH(G$1,CalLookUpColumn,0))</f>
        <v>2019</v>
      </c>
      <c r="H90">
        <f>INDEX(CalLookUpTable,MATCH($B90,CalLookUpRow,0),MATCH(H$1,CalLookUpColumn,0))</f>
        <v>1</v>
      </c>
      <c r="I90">
        <f>INDEX(CalLookUpTable,MATCH($B90,CalLookUpRow,0),MATCH(I$1,CalLookUpColumn,0))</f>
        <v>4</v>
      </c>
    </row>
    <row r="91" spans="1:9" x14ac:dyDescent="0.25">
      <c r="A91" s="7">
        <v>1</v>
      </c>
      <c r="B91" s="8">
        <v>43488</v>
      </c>
      <c r="C91" s="9" t="s">
        <v>6</v>
      </c>
      <c r="D91" s="10">
        <v>503.84599999999995</v>
      </c>
      <c r="E91" s="10">
        <v>1001.329</v>
      </c>
      <c r="F91" t="str">
        <f>VLOOKUP(A91,StoreLookup,2,FALSE)</f>
        <v>Store#1</v>
      </c>
      <c r="G91">
        <f>INDEX(CalLookUpTable,MATCH($B91,CalLookUpRow,0),MATCH(G$1,CalLookUpColumn,0))</f>
        <v>2019</v>
      </c>
      <c r="H91">
        <f>INDEX(CalLookUpTable,MATCH($B91,CalLookUpRow,0),MATCH(H$1,CalLookUpColumn,0))</f>
        <v>1</v>
      </c>
      <c r="I91">
        <f>INDEX(CalLookUpTable,MATCH($B91,CalLookUpRow,0),MATCH(I$1,CalLookUpColumn,0))</f>
        <v>4</v>
      </c>
    </row>
    <row r="92" spans="1:9" x14ac:dyDescent="0.25">
      <c r="A92" s="7">
        <v>1</v>
      </c>
      <c r="B92" s="8">
        <v>43488</v>
      </c>
      <c r="C92" s="9" t="s">
        <v>5</v>
      </c>
      <c r="D92" s="10">
        <v>2951.9209999999998</v>
      </c>
      <c r="E92" s="10">
        <v>0</v>
      </c>
      <c r="F92" t="str">
        <f>VLOOKUP(A92,StoreLookup,2,FALSE)</f>
        <v>Store#1</v>
      </c>
      <c r="G92">
        <f>INDEX(CalLookUpTable,MATCH($B92,CalLookUpRow,0),MATCH(G$1,CalLookUpColumn,0))</f>
        <v>2019</v>
      </c>
      <c r="H92">
        <f>INDEX(CalLookUpTable,MATCH($B92,CalLookUpRow,0),MATCH(H$1,CalLookUpColumn,0))</f>
        <v>1</v>
      </c>
      <c r="I92">
        <f>INDEX(CalLookUpTable,MATCH($B92,CalLookUpRow,0),MATCH(I$1,CalLookUpColumn,0))</f>
        <v>4</v>
      </c>
    </row>
    <row r="93" spans="1:9" x14ac:dyDescent="0.25">
      <c r="A93" s="7">
        <v>1</v>
      </c>
      <c r="B93" s="8">
        <v>43488</v>
      </c>
      <c r="C93" s="9" t="s">
        <v>3</v>
      </c>
      <c r="D93" s="10">
        <v>19.200999999999997</v>
      </c>
      <c r="E93" s="10">
        <v>400.65899999999999</v>
      </c>
      <c r="F93" t="str">
        <f>VLOOKUP(A93,StoreLookup,2,FALSE)</f>
        <v>Store#1</v>
      </c>
      <c r="G93">
        <f>INDEX(CalLookUpTable,MATCH($B93,CalLookUpRow,0),MATCH(G$1,CalLookUpColumn,0))</f>
        <v>2019</v>
      </c>
      <c r="H93">
        <f>INDEX(CalLookUpTable,MATCH($B93,CalLookUpRow,0),MATCH(H$1,CalLookUpColumn,0))</f>
        <v>1</v>
      </c>
      <c r="I93">
        <f>INDEX(CalLookUpTable,MATCH($B93,CalLookUpRow,0),MATCH(I$1,CalLookUpColumn,0))</f>
        <v>4</v>
      </c>
    </row>
    <row r="94" spans="1:9" x14ac:dyDescent="0.25">
      <c r="A94" s="7">
        <v>1</v>
      </c>
      <c r="B94" s="8">
        <v>43489</v>
      </c>
      <c r="C94" s="9" t="s">
        <v>5</v>
      </c>
      <c r="D94" s="10">
        <v>2878.7219999999998</v>
      </c>
      <c r="E94" s="10">
        <v>0</v>
      </c>
      <c r="F94" t="str">
        <f>VLOOKUP(A94,StoreLookup,2,FALSE)</f>
        <v>Store#1</v>
      </c>
      <c r="G94">
        <f>INDEX(CalLookUpTable,MATCH($B94,CalLookUpRow,0),MATCH(G$1,CalLookUpColumn,0))</f>
        <v>2019</v>
      </c>
      <c r="H94">
        <f>INDEX(CalLookUpTable,MATCH($B94,CalLookUpRow,0),MATCH(H$1,CalLookUpColumn,0))</f>
        <v>1</v>
      </c>
      <c r="I94">
        <f>INDEX(CalLookUpTable,MATCH($B94,CalLookUpRow,0),MATCH(I$1,CalLookUpColumn,0))</f>
        <v>4</v>
      </c>
    </row>
    <row r="95" spans="1:9" x14ac:dyDescent="0.25">
      <c r="A95" s="7">
        <v>1</v>
      </c>
      <c r="B95" s="8">
        <v>43489</v>
      </c>
      <c r="C95" s="9" t="s">
        <v>3</v>
      </c>
      <c r="D95" s="10">
        <v>9.0509999999999984</v>
      </c>
      <c r="E95" s="10">
        <v>712.08899999999994</v>
      </c>
      <c r="F95" t="str">
        <f>VLOOKUP(A95,StoreLookup,2,FALSE)</f>
        <v>Store#1</v>
      </c>
      <c r="G95">
        <f>INDEX(CalLookUpTable,MATCH($B95,CalLookUpRow,0),MATCH(G$1,CalLookUpColumn,0))</f>
        <v>2019</v>
      </c>
      <c r="H95">
        <f>INDEX(CalLookUpTable,MATCH($B95,CalLookUpRow,0),MATCH(H$1,CalLookUpColumn,0))</f>
        <v>1</v>
      </c>
      <c r="I95">
        <f>INDEX(CalLookUpTable,MATCH($B95,CalLookUpRow,0),MATCH(I$1,CalLookUpColumn,0))</f>
        <v>4</v>
      </c>
    </row>
    <row r="96" spans="1:9" x14ac:dyDescent="0.25">
      <c r="A96" s="7">
        <v>1</v>
      </c>
      <c r="B96" s="8">
        <v>43489</v>
      </c>
      <c r="C96" s="9" t="s">
        <v>4</v>
      </c>
      <c r="D96" s="10">
        <v>4590.8450000000003</v>
      </c>
      <c r="E96" s="10">
        <v>6273.7709999999997</v>
      </c>
      <c r="F96" t="str">
        <f>VLOOKUP(A96,StoreLookup,2,FALSE)</f>
        <v>Store#1</v>
      </c>
      <c r="G96">
        <f>INDEX(CalLookUpTable,MATCH($B96,CalLookUpRow,0),MATCH(G$1,CalLookUpColumn,0))</f>
        <v>2019</v>
      </c>
      <c r="H96">
        <f>INDEX(CalLookUpTable,MATCH($B96,CalLookUpRow,0),MATCH(H$1,CalLookUpColumn,0))</f>
        <v>1</v>
      </c>
      <c r="I96">
        <f>INDEX(CalLookUpTable,MATCH($B96,CalLookUpRow,0),MATCH(I$1,CalLookUpColumn,0))</f>
        <v>4</v>
      </c>
    </row>
    <row r="97" spans="1:9" x14ac:dyDescent="0.25">
      <c r="A97" s="7">
        <v>1</v>
      </c>
      <c r="B97" s="8">
        <v>43489</v>
      </c>
      <c r="C97" s="9" t="s">
        <v>6</v>
      </c>
      <c r="D97" s="10">
        <v>1028.356</v>
      </c>
      <c r="E97" s="10">
        <v>1754.1579999999999</v>
      </c>
      <c r="F97" t="str">
        <f>VLOOKUP(A97,StoreLookup,2,FALSE)</f>
        <v>Store#1</v>
      </c>
      <c r="G97">
        <f>INDEX(CalLookUpTable,MATCH($B97,CalLookUpRow,0),MATCH(G$1,CalLookUpColumn,0))</f>
        <v>2019</v>
      </c>
      <c r="H97">
        <f>INDEX(CalLookUpTable,MATCH($B97,CalLookUpRow,0),MATCH(H$1,CalLookUpColumn,0))</f>
        <v>1</v>
      </c>
      <c r="I97">
        <f>INDEX(CalLookUpTable,MATCH($B97,CalLookUpRow,0),MATCH(I$1,CalLookUpColumn,0))</f>
        <v>4</v>
      </c>
    </row>
    <row r="98" spans="1:9" x14ac:dyDescent="0.25">
      <c r="A98" s="7">
        <v>1</v>
      </c>
      <c r="B98" s="8">
        <v>43490</v>
      </c>
      <c r="C98" s="9" t="s">
        <v>4</v>
      </c>
      <c r="D98" s="10">
        <v>6429.5770000000002</v>
      </c>
      <c r="E98" s="10">
        <v>7269.4719999999988</v>
      </c>
      <c r="F98" t="str">
        <f>VLOOKUP(A98,StoreLookup,2,FALSE)</f>
        <v>Store#1</v>
      </c>
      <c r="G98">
        <f>INDEX(CalLookUpTable,MATCH($B98,CalLookUpRow,0),MATCH(G$1,CalLookUpColumn,0))</f>
        <v>2019</v>
      </c>
      <c r="H98">
        <f>INDEX(CalLookUpTable,MATCH($B98,CalLookUpRow,0),MATCH(H$1,CalLookUpColumn,0))</f>
        <v>1</v>
      </c>
      <c r="I98">
        <f>INDEX(CalLookUpTable,MATCH($B98,CalLookUpRow,0),MATCH(I$1,CalLookUpColumn,0))</f>
        <v>4</v>
      </c>
    </row>
    <row r="99" spans="1:9" x14ac:dyDescent="0.25">
      <c r="A99" s="7">
        <v>1</v>
      </c>
      <c r="B99" s="8">
        <v>43490</v>
      </c>
      <c r="C99" s="9" t="s">
        <v>6</v>
      </c>
      <c r="D99" s="10">
        <v>1315.174</v>
      </c>
      <c r="E99" s="10">
        <v>2858.6880000000001</v>
      </c>
      <c r="F99" t="str">
        <f>VLOOKUP(A99,StoreLookup,2,FALSE)</f>
        <v>Store#1</v>
      </c>
      <c r="G99">
        <f>INDEX(CalLookUpTable,MATCH($B99,CalLookUpRow,0),MATCH(G$1,CalLookUpColumn,0))</f>
        <v>2019</v>
      </c>
      <c r="H99">
        <f>INDEX(CalLookUpTable,MATCH($B99,CalLookUpRow,0),MATCH(H$1,CalLookUpColumn,0))</f>
        <v>1</v>
      </c>
      <c r="I99">
        <f>INDEX(CalLookUpTable,MATCH($B99,CalLookUpRow,0),MATCH(I$1,CalLookUpColumn,0))</f>
        <v>4</v>
      </c>
    </row>
    <row r="100" spans="1:9" x14ac:dyDescent="0.25">
      <c r="A100" s="7">
        <v>1</v>
      </c>
      <c r="B100" s="8">
        <v>43490</v>
      </c>
      <c r="C100" s="9" t="s">
        <v>5</v>
      </c>
      <c r="D100" s="10">
        <v>3484.4179999999997</v>
      </c>
      <c r="E100" s="10">
        <v>0</v>
      </c>
      <c r="F100" t="str">
        <f>VLOOKUP(A100,StoreLookup,2,FALSE)</f>
        <v>Store#1</v>
      </c>
      <c r="G100">
        <f>INDEX(CalLookUpTable,MATCH($B100,CalLookUpRow,0),MATCH(G$1,CalLookUpColumn,0))</f>
        <v>2019</v>
      </c>
      <c r="H100">
        <f>INDEX(CalLookUpTable,MATCH($B100,CalLookUpRow,0),MATCH(H$1,CalLookUpColumn,0))</f>
        <v>1</v>
      </c>
      <c r="I100">
        <f>INDEX(CalLookUpTable,MATCH($B100,CalLookUpRow,0),MATCH(I$1,CalLookUpColumn,0))</f>
        <v>4</v>
      </c>
    </row>
    <row r="101" spans="1:9" x14ac:dyDescent="0.25">
      <c r="A101" s="7">
        <v>1</v>
      </c>
      <c r="B101" s="8">
        <v>43490</v>
      </c>
      <c r="C101" s="9" t="s">
        <v>3</v>
      </c>
      <c r="D101" s="10">
        <v>16.744</v>
      </c>
      <c r="E101" s="10">
        <v>1595.4189999999999</v>
      </c>
      <c r="F101" t="str">
        <f>VLOOKUP(A101,StoreLookup,2,FALSE)</f>
        <v>Store#1</v>
      </c>
      <c r="G101">
        <f>INDEX(CalLookUpTable,MATCH($B101,CalLookUpRow,0),MATCH(G$1,CalLookUpColumn,0))</f>
        <v>2019</v>
      </c>
      <c r="H101">
        <f>INDEX(CalLookUpTable,MATCH($B101,CalLookUpRow,0),MATCH(H$1,CalLookUpColumn,0))</f>
        <v>1</v>
      </c>
      <c r="I101">
        <f>INDEX(CalLookUpTable,MATCH($B101,CalLookUpRow,0),MATCH(I$1,CalLookUpColumn,0))</f>
        <v>4</v>
      </c>
    </row>
    <row r="102" spans="1:9" x14ac:dyDescent="0.25">
      <c r="A102" s="7">
        <v>1</v>
      </c>
      <c r="B102" s="8">
        <v>43491</v>
      </c>
      <c r="C102" s="9" t="s">
        <v>4</v>
      </c>
      <c r="D102" s="10">
        <v>6076.2939999999999</v>
      </c>
      <c r="E102" s="10">
        <v>7367.4789999999994</v>
      </c>
      <c r="F102" t="str">
        <f>VLOOKUP(A102,StoreLookup,2,FALSE)</f>
        <v>Store#1</v>
      </c>
      <c r="G102">
        <f>INDEX(CalLookUpTable,MATCH($B102,CalLookUpRow,0),MATCH(G$1,CalLookUpColumn,0))</f>
        <v>2019</v>
      </c>
      <c r="H102">
        <f>INDEX(CalLookUpTable,MATCH($B102,CalLookUpRow,0),MATCH(H$1,CalLookUpColumn,0))</f>
        <v>1</v>
      </c>
      <c r="I102">
        <f>INDEX(CalLookUpTable,MATCH($B102,CalLookUpRow,0),MATCH(I$1,CalLookUpColumn,0))</f>
        <v>4</v>
      </c>
    </row>
    <row r="103" spans="1:9" x14ac:dyDescent="0.25">
      <c r="A103" s="7">
        <v>1</v>
      </c>
      <c r="B103" s="8">
        <v>43491</v>
      </c>
      <c r="C103" s="9" t="s">
        <v>3</v>
      </c>
      <c r="D103" s="10">
        <v>923.15999999999985</v>
      </c>
      <c r="E103" s="10">
        <v>1037.0919999999999</v>
      </c>
      <c r="F103" t="str">
        <f>VLOOKUP(A103,StoreLookup,2,FALSE)</f>
        <v>Store#1</v>
      </c>
      <c r="G103">
        <f>INDEX(CalLookUpTable,MATCH($B103,CalLookUpRow,0),MATCH(G$1,CalLookUpColumn,0))</f>
        <v>2019</v>
      </c>
      <c r="H103">
        <f>INDEX(CalLookUpTable,MATCH($B103,CalLookUpRow,0),MATCH(H$1,CalLookUpColumn,0))</f>
        <v>1</v>
      </c>
      <c r="I103">
        <f>INDEX(CalLookUpTable,MATCH($B103,CalLookUpRow,0),MATCH(I$1,CalLookUpColumn,0))</f>
        <v>4</v>
      </c>
    </row>
    <row r="104" spans="1:9" x14ac:dyDescent="0.25">
      <c r="A104" s="7">
        <v>1</v>
      </c>
      <c r="B104" s="8">
        <v>43491</v>
      </c>
      <c r="C104" s="9" t="s">
        <v>5</v>
      </c>
      <c r="D104" s="10">
        <v>3142.9230000000002</v>
      </c>
      <c r="E104" s="10">
        <v>0</v>
      </c>
      <c r="F104" t="str">
        <f>VLOOKUP(A104,StoreLookup,2,FALSE)</f>
        <v>Store#1</v>
      </c>
      <c r="G104">
        <f>INDEX(CalLookUpTable,MATCH($B104,CalLookUpRow,0),MATCH(G$1,CalLookUpColumn,0))</f>
        <v>2019</v>
      </c>
      <c r="H104">
        <f>INDEX(CalLookUpTable,MATCH($B104,CalLookUpRow,0),MATCH(H$1,CalLookUpColumn,0))</f>
        <v>1</v>
      </c>
      <c r="I104">
        <f>INDEX(CalLookUpTable,MATCH($B104,CalLookUpRow,0),MATCH(I$1,CalLookUpColumn,0))</f>
        <v>4</v>
      </c>
    </row>
    <row r="105" spans="1:9" x14ac:dyDescent="0.25">
      <c r="A105" s="7">
        <v>1</v>
      </c>
      <c r="B105" s="8">
        <v>43491</v>
      </c>
      <c r="C105" s="9" t="s">
        <v>6</v>
      </c>
      <c r="D105" s="10">
        <v>1151.8219999999999</v>
      </c>
      <c r="E105" s="10">
        <v>1838.8929999999998</v>
      </c>
      <c r="F105" t="str">
        <f>VLOOKUP(A105,StoreLookup,2,FALSE)</f>
        <v>Store#1</v>
      </c>
      <c r="G105">
        <f>INDEX(CalLookUpTable,MATCH($B105,CalLookUpRow,0),MATCH(G$1,CalLookUpColumn,0))</f>
        <v>2019</v>
      </c>
      <c r="H105">
        <f>INDEX(CalLookUpTable,MATCH($B105,CalLookUpRow,0),MATCH(H$1,CalLookUpColumn,0))</f>
        <v>1</v>
      </c>
      <c r="I105">
        <f>INDEX(CalLookUpTable,MATCH($B105,CalLookUpRow,0),MATCH(I$1,CalLookUpColumn,0))</f>
        <v>4</v>
      </c>
    </row>
    <row r="106" spans="1:9" x14ac:dyDescent="0.25">
      <c r="A106" s="7">
        <v>1</v>
      </c>
      <c r="B106" s="8">
        <v>43492</v>
      </c>
      <c r="C106" s="9" t="s">
        <v>5</v>
      </c>
      <c r="D106" s="10">
        <v>1250.2069999999999</v>
      </c>
      <c r="E106" s="10">
        <v>0</v>
      </c>
      <c r="F106" t="str">
        <f>VLOOKUP(A106,StoreLookup,2,FALSE)</f>
        <v>Store#1</v>
      </c>
      <c r="G106">
        <f>INDEX(CalLookUpTable,MATCH($B106,CalLookUpRow,0),MATCH(G$1,CalLookUpColumn,0))</f>
        <v>2019</v>
      </c>
      <c r="H106">
        <f>INDEX(CalLookUpTable,MATCH($B106,CalLookUpRow,0),MATCH(H$1,CalLookUpColumn,0))</f>
        <v>1</v>
      </c>
      <c r="I106">
        <f>INDEX(CalLookUpTable,MATCH($B106,CalLookUpRow,0),MATCH(I$1,CalLookUpColumn,0))</f>
        <v>4</v>
      </c>
    </row>
    <row r="107" spans="1:9" x14ac:dyDescent="0.25">
      <c r="A107" s="7">
        <v>1</v>
      </c>
      <c r="B107" s="8">
        <v>43492</v>
      </c>
      <c r="C107" s="9" t="s">
        <v>6</v>
      </c>
      <c r="D107" s="10">
        <v>199.61199999999999</v>
      </c>
      <c r="E107" s="10">
        <v>447.32099999999997</v>
      </c>
      <c r="F107" t="str">
        <f>VLOOKUP(A107,StoreLookup,2,FALSE)</f>
        <v>Store#1</v>
      </c>
      <c r="G107">
        <f>INDEX(CalLookUpTable,MATCH($B107,CalLookUpRow,0),MATCH(G$1,CalLookUpColumn,0))</f>
        <v>2019</v>
      </c>
      <c r="H107">
        <f>INDEX(CalLookUpTable,MATCH($B107,CalLookUpRow,0),MATCH(H$1,CalLookUpColumn,0))</f>
        <v>1</v>
      </c>
      <c r="I107">
        <f>INDEX(CalLookUpTable,MATCH($B107,CalLookUpRow,0),MATCH(I$1,CalLookUpColumn,0))</f>
        <v>4</v>
      </c>
    </row>
    <row r="108" spans="1:9" x14ac:dyDescent="0.25">
      <c r="A108" s="7">
        <v>1</v>
      </c>
      <c r="B108" s="8">
        <v>43492</v>
      </c>
      <c r="C108" s="9" t="s">
        <v>3</v>
      </c>
      <c r="D108" s="10">
        <v>0</v>
      </c>
      <c r="E108" s="10">
        <v>0</v>
      </c>
      <c r="F108" t="str">
        <f>VLOOKUP(A108,StoreLookup,2,FALSE)</f>
        <v>Store#1</v>
      </c>
      <c r="G108">
        <f>INDEX(CalLookUpTable,MATCH($B108,CalLookUpRow,0),MATCH(G$1,CalLookUpColumn,0))</f>
        <v>2019</v>
      </c>
      <c r="H108">
        <f>INDEX(CalLookUpTable,MATCH($B108,CalLookUpRow,0),MATCH(H$1,CalLookUpColumn,0))</f>
        <v>1</v>
      </c>
      <c r="I108">
        <f>INDEX(CalLookUpTable,MATCH($B108,CalLookUpRow,0),MATCH(I$1,CalLookUpColumn,0))</f>
        <v>4</v>
      </c>
    </row>
    <row r="109" spans="1:9" x14ac:dyDescent="0.25">
      <c r="A109" s="7">
        <v>1</v>
      </c>
      <c r="B109" s="8">
        <v>43492</v>
      </c>
      <c r="C109" s="9" t="s">
        <v>4</v>
      </c>
      <c r="D109" s="10">
        <v>2451.9669999999996</v>
      </c>
      <c r="E109" s="10">
        <v>2558.0169999999998</v>
      </c>
      <c r="F109" t="str">
        <f>VLOOKUP(A109,StoreLookup,2,FALSE)</f>
        <v>Store#1</v>
      </c>
      <c r="G109">
        <f>INDEX(CalLookUpTable,MATCH($B109,CalLookUpRow,0),MATCH(G$1,CalLookUpColumn,0))</f>
        <v>2019</v>
      </c>
      <c r="H109">
        <f>INDEX(CalLookUpTable,MATCH($B109,CalLookUpRow,0),MATCH(H$1,CalLookUpColumn,0))</f>
        <v>1</v>
      </c>
      <c r="I109">
        <f>INDEX(CalLookUpTable,MATCH($B109,CalLookUpRow,0),MATCH(I$1,CalLookUpColumn,0))</f>
        <v>4</v>
      </c>
    </row>
    <row r="110" spans="1:9" x14ac:dyDescent="0.25">
      <c r="A110" s="7">
        <v>1</v>
      </c>
      <c r="B110" s="8">
        <v>43493</v>
      </c>
      <c r="C110" s="9" t="s">
        <v>5</v>
      </c>
      <c r="D110" s="10">
        <v>2813.5099999999998</v>
      </c>
      <c r="E110" s="10">
        <v>0</v>
      </c>
      <c r="F110" t="str">
        <f>VLOOKUP(A110,StoreLookup,2,FALSE)</f>
        <v>Store#1</v>
      </c>
      <c r="G110">
        <f>INDEX(CalLookUpTable,MATCH($B110,CalLookUpRow,0),MATCH(G$1,CalLookUpColumn,0))</f>
        <v>2019</v>
      </c>
      <c r="H110">
        <f>INDEX(CalLookUpTable,MATCH($B110,CalLookUpRow,0),MATCH(H$1,CalLookUpColumn,0))</f>
        <v>2</v>
      </c>
      <c r="I110">
        <f>INDEX(CalLookUpTable,MATCH($B110,CalLookUpRow,0),MATCH(I$1,CalLookUpColumn,0))</f>
        <v>1</v>
      </c>
    </row>
    <row r="111" spans="1:9" x14ac:dyDescent="0.25">
      <c r="A111" s="7">
        <v>1</v>
      </c>
      <c r="B111" s="8">
        <v>43493</v>
      </c>
      <c r="C111" s="9" t="s">
        <v>6</v>
      </c>
      <c r="D111" s="10">
        <v>839.32799999999997</v>
      </c>
      <c r="E111" s="10">
        <v>1281.819</v>
      </c>
      <c r="F111" t="str">
        <f>VLOOKUP(A111,StoreLookup,2,FALSE)</f>
        <v>Store#1</v>
      </c>
      <c r="G111">
        <f>INDEX(CalLookUpTable,MATCH($B111,CalLookUpRow,0),MATCH(G$1,CalLookUpColumn,0))</f>
        <v>2019</v>
      </c>
      <c r="H111">
        <f>INDEX(CalLookUpTable,MATCH($B111,CalLookUpRow,0),MATCH(H$1,CalLookUpColumn,0))</f>
        <v>2</v>
      </c>
      <c r="I111">
        <f>INDEX(CalLookUpTable,MATCH($B111,CalLookUpRow,0),MATCH(I$1,CalLookUpColumn,0))</f>
        <v>1</v>
      </c>
    </row>
    <row r="112" spans="1:9" x14ac:dyDescent="0.25">
      <c r="A112" s="7">
        <v>1</v>
      </c>
      <c r="B112" s="8">
        <v>43493</v>
      </c>
      <c r="C112" s="9" t="s">
        <v>4</v>
      </c>
      <c r="D112" s="10">
        <v>3416.4479999999999</v>
      </c>
      <c r="E112" s="10">
        <v>4603.3399999999992</v>
      </c>
      <c r="F112" t="str">
        <f>VLOOKUP(A112,StoreLookup,2,FALSE)</f>
        <v>Store#1</v>
      </c>
      <c r="G112">
        <f>INDEX(CalLookUpTable,MATCH($B112,CalLookUpRow,0),MATCH(G$1,CalLookUpColumn,0))</f>
        <v>2019</v>
      </c>
      <c r="H112">
        <f>INDEX(CalLookUpTable,MATCH($B112,CalLookUpRow,0),MATCH(H$1,CalLookUpColumn,0))</f>
        <v>2</v>
      </c>
      <c r="I112">
        <f>INDEX(CalLookUpTable,MATCH($B112,CalLookUpRow,0),MATCH(I$1,CalLookUpColumn,0))</f>
        <v>1</v>
      </c>
    </row>
    <row r="113" spans="1:9" x14ac:dyDescent="0.25">
      <c r="A113" s="7">
        <v>1</v>
      </c>
      <c r="B113" s="8">
        <v>43493</v>
      </c>
      <c r="C113" s="9" t="s">
        <v>3</v>
      </c>
      <c r="D113" s="10">
        <v>615.43999999999994</v>
      </c>
      <c r="E113" s="10">
        <v>161.54599999999999</v>
      </c>
      <c r="F113" t="str">
        <f>VLOOKUP(A113,StoreLookup,2,FALSE)</f>
        <v>Store#1</v>
      </c>
      <c r="G113">
        <f>INDEX(CalLookUpTable,MATCH($B113,CalLookUpRow,0),MATCH(G$1,CalLookUpColumn,0))</f>
        <v>2019</v>
      </c>
      <c r="H113">
        <f>INDEX(CalLookUpTable,MATCH($B113,CalLookUpRow,0),MATCH(H$1,CalLookUpColumn,0))</f>
        <v>2</v>
      </c>
      <c r="I113">
        <f>INDEX(CalLookUpTable,MATCH($B113,CalLookUpRow,0),MATCH(I$1,CalLookUpColumn,0))</f>
        <v>1</v>
      </c>
    </row>
    <row r="114" spans="1:9" x14ac:dyDescent="0.25">
      <c r="A114" s="7">
        <v>1</v>
      </c>
      <c r="B114" s="8">
        <v>43494</v>
      </c>
      <c r="C114" s="9" t="s">
        <v>6</v>
      </c>
      <c r="D114" s="10">
        <v>1023.9879999999998</v>
      </c>
      <c r="E114" s="10">
        <v>1521.0719999999999</v>
      </c>
      <c r="F114" t="str">
        <f>VLOOKUP(A114,StoreLookup,2,FALSE)</f>
        <v>Store#1</v>
      </c>
      <c r="G114">
        <f>INDEX(CalLookUpTable,MATCH($B114,CalLookUpRow,0),MATCH(G$1,CalLookUpColumn,0))</f>
        <v>2019</v>
      </c>
      <c r="H114">
        <f>INDEX(CalLookUpTable,MATCH($B114,CalLookUpRow,0),MATCH(H$1,CalLookUpColumn,0))</f>
        <v>2</v>
      </c>
      <c r="I114">
        <f>INDEX(CalLookUpTable,MATCH($B114,CalLookUpRow,0),MATCH(I$1,CalLookUpColumn,0))</f>
        <v>1</v>
      </c>
    </row>
    <row r="115" spans="1:9" x14ac:dyDescent="0.25">
      <c r="A115" s="7">
        <v>1</v>
      </c>
      <c r="B115" s="8">
        <v>43494</v>
      </c>
      <c r="C115" s="9" t="s">
        <v>4</v>
      </c>
      <c r="D115" s="10">
        <v>3428.1799999999994</v>
      </c>
      <c r="E115" s="10">
        <v>4378.1570000000002</v>
      </c>
      <c r="F115" t="str">
        <f>VLOOKUP(A115,StoreLookup,2,FALSE)</f>
        <v>Store#1</v>
      </c>
      <c r="G115">
        <f>INDEX(CalLookUpTable,MATCH($B115,CalLookUpRow,0),MATCH(G$1,CalLookUpColumn,0))</f>
        <v>2019</v>
      </c>
      <c r="H115">
        <f>INDEX(CalLookUpTable,MATCH($B115,CalLookUpRow,0),MATCH(H$1,CalLookUpColumn,0))</f>
        <v>2</v>
      </c>
      <c r="I115">
        <f>INDEX(CalLookUpTable,MATCH($B115,CalLookUpRow,0),MATCH(I$1,CalLookUpColumn,0))</f>
        <v>1</v>
      </c>
    </row>
    <row r="116" spans="1:9" x14ac:dyDescent="0.25">
      <c r="A116" s="7">
        <v>1</v>
      </c>
      <c r="B116" s="8">
        <v>43494</v>
      </c>
      <c r="C116" s="9" t="s">
        <v>3</v>
      </c>
      <c r="D116" s="10">
        <v>17.773</v>
      </c>
      <c r="E116" s="10">
        <v>1164.6529999999998</v>
      </c>
      <c r="F116" t="str">
        <f>VLOOKUP(A116,StoreLookup,2,FALSE)</f>
        <v>Store#1</v>
      </c>
      <c r="G116">
        <f>INDEX(CalLookUpTable,MATCH($B116,CalLookUpRow,0),MATCH(G$1,CalLookUpColumn,0))</f>
        <v>2019</v>
      </c>
      <c r="H116">
        <f>INDEX(CalLookUpTable,MATCH($B116,CalLookUpRow,0),MATCH(H$1,CalLookUpColumn,0))</f>
        <v>2</v>
      </c>
      <c r="I116">
        <f>INDEX(CalLookUpTable,MATCH($B116,CalLookUpRow,0),MATCH(I$1,CalLookUpColumn,0))</f>
        <v>1</v>
      </c>
    </row>
    <row r="117" spans="1:9" x14ac:dyDescent="0.25">
      <c r="A117" s="7">
        <v>1</v>
      </c>
      <c r="B117" s="8">
        <v>43494</v>
      </c>
      <c r="C117" s="9" t="s">
        <v>5</v>
      </c>
      <c r="D117" s="10">
        <v>2796.3249999999998</v>
      </c>
      <c r="E117" s="10">
        <v>0</v>
      </c>
      <c r="F117" t="str">
        <f>VLOOKUP(A117,StoreLookup,2,FALSE)</f>
        <v>Store#1</v>
      </c>
      <c r="G117">
        <f>INDEX(CalLookUpTable,MATCH($B117,CalLookUpRow,0),MATCH(G$1,CalLookUpColumn,0))</f>
        <v>2019</v>
      </c>
      <c r="H117">
        <f>INDEX(CalLookUpTable,MATCH($B117,CalLookUpRow,0),MATCH(H$1,CalLookUpColumn,0))</f>
        <v>2</v>
      </c>
      <c r="I117">
        <f>INDEX(CalLookUpTable,MATCH($B117,CalLookUpRow,0),MATCH(I$1,CalLookUpColumn,0))</f>
        <v>1</v>
      </c>
    </row>
    <row r="118" spans="1:9" x14ac:dyDescent="0.25">
      <c r="A118" s="7">
        <v>1</v>
      </c>
      <c r="B118" s="8">
        <v>43495</v>
      </c>
      <c r="C118" s="9" t="s">
        <v>6</v>
      </c>
      <c r="D118" s="10">
        <v>1005.872</v>
      </c>
      <c r="E118" s="10">
        <v>1179.087</v>
      </c>
      <c r="F118" t="str">
        <f>VLOOKUP(A118,StoreLookup,2,FALSE)</f>
        <v>Store#1</v>
      </c>
      <c r="G118">
        <f>INDEX(CalLookUpTable,MATCH($B118,CalLookUpRow,0),MATCH(G$1,CalLookUpColumn,0))</f>
        <v>2019</v>
      </c>
      <c r="H118">
        <f>INDEX(CalLookUpTable,MATCH($B118,CalLookUpRow,0),MATCH(H$1,CalLookUpColumn,0))</f>
        <v>2</v>
      </c>
      <c r="I118">
        <f>INDEX(CalLookUpTable,MATCH($B118,CalLookUpRow,0),MATCH(I$1,CalLookUpColumn,0))</f>
        <v>1</v>
      </c>
    </row>
    <row r="119" spans="1:9" x14ac:dyDescent="0.25">
      <c r="A119" s="7">
        <v>1</v>
      </c>
      <c r="B119" s="8">
        <v>43495</v>
      </c>
      <c r="C119" s="9" t="s">
        <v>4</v>
      </c>
      <c r="D119" s="10">
        <v>4319.4129999999996</v>
      </c>
      <c r="E119" s="10">
        <v>4740.7849999999999</v>
      </c>
      <c r="F119" t="str">
        <f>VLOOKUP(A119,StoreLookup,2,FALSE)</f>
        <v>Store#1</v>
      </c>
      <c r="G119">
        <f>INDEX(CalLookUpTable,MATCH($B119,CalLookUpRow,0),MATCH(G$1,CalLookUpColumn,0))</f>
        <v>2019</v>
      </c>
      <c r="H119">
        <f>INDEX(CalLookUpTable,MATCH($B119,CalLookUpRow,0),MATCH(H$1,CalLookUpColumn,0))</f>
        <v>2</v>
      </c>
      <c r="I119">
        <f>INDEX(CalLookUpTable,MATCH($B119,CalLookUpRow,0),MATCH(I$1,CalLookUpColumn,0))</f>
        <v>1</v>
      </c>
    </row>
    <row r="120" spans="1:9" x14ac:dyDescent="0.25">
      <c r="A120" s="7">
        <v>1</v>
      </c>
      <c r="B120" s="8">
        <v>43495</v>
      </c>
      <c r="C120" s="9" t="s">
        <v>3</v>
      </c>
      <c r="D120" s="10">
        <v>0</v>
      </c>
      <c r="E120" s="10">
        <v>2734.8020000000001</v>
      </c>
      <c r="F120" t="str">
        <f>VLOOKUP(A120,StoreLookup,2,FALSE)</f>
        <v>Store#1</v>
      </c>
      <c r="G120">
        <f>INDEX(CalLookUpTable,MATCH($B120,CalLookUpRow,0),MATCH(G$1,CalLookUpColumn,0))</f>
        <v>2019</v>
      </c>
      <c r="H120">
        <f>INDEX(CalLookUpTable,MATCH($B120,CalLookUpRow,0),MATCH(H$1,CalLookUpColumn,0))</f>
        <v>2</v>
      </c>
      <c r="I120">
        <f>INDEX(CalLookUpTable,MATCH($B120,CalLookUpRow,0),MATCH(I$1,CalLookUpColumn,0))</f>
        <v>1</v>
      </c>
    </row>
    <row r="121" spans="1:9" x14ac:dyDescent="0.25">
      <c r="A121" s="7">
        <v>1</v>
      </c>
      <c r="B121" s="8">
        <v>43495</v>
      </c>
      <c r="C121" s="9" t="s">
        <v>5</v>
      </c>
      <c r="D121" s="10">
        <v>2948.8689999999997</v>
      </c>
      <c r="E121" s="10">
        <v>0</v>
      </c>
      <c r="F121" t="str">
        <f>VLOOKUP(A121,StoreLookup,2,FALSE)</f>
        <v>Store#1</v>
      </c>
      <c r="G121">
        <f>INDEX(CalLookUpTable,MATCH($B121,CalLookUpRow,0),MATCH(G$1,CalLookUpColumn,0))</f>
        <v>2019</v>
      </c>
      <c r="H121">
        <f>INDEX(CalLookUpTable,MATCH($B121,CalLookUpRow,0),MATCH(H$1,CalLookUpColumn,0))</f>
        <v>2</v>
      </c>
      <c r="I121">
        <f>INDEX(CalLookUpTable,MATCH($B121,CalLookUpRow,0),MATCH(I$1,CalLookUpColumn,0))</f>
        <v>1</v>
      </c>
    </row>
    <row r="122" spans="1:9" x14ac:dyDescent="0.25">
      <c r="A122" s="7">
        <v>1</v>
      </c>
      <c r="B122" s="8">
        <v>43496</v>
      </c>
      <c r="C122" s="9" t="s">
        <v>4</v>
      </c>
      <c r="D122" s="10">
        <v>4515.3359999999993</v>
      </c>
      <c r="E122" s="10">
        <v>5178.7539999999999</v>
      </c>
      <c r="F122" t="str">
        <f>VLOOKUP(A122,StoreLookup,2,FALSE)</f>
        <v>Store#1</v>
      </c>
      <c r="G122">
        <f>INDEX(CalLookUpTable,MATCH($B122,CalLookUpRow,0),MATCH(G$1,CalLookUpColumn,0))</f>
        <v>2019</v>
      </c>
      <c r="H122">
        <f>INDEX(CalLookUpTable,MATCH($B122,CalLookUpRow,0),MATCH(H$1,CalLookUpColumn,0))</f>
        <v>2</v>
      </c>
      <c r="I122">
        <f>INDEX(CalLookUpTable,MATCH($B122,CalLookUpRow,0),MATCH(I$1,CalLookUpColumn,0))</f>
        <v>1</v>
      </c>
    </row>
    <row r="123" spans="1:9" x14ac:dyDescent="0.25">
      <c r="A123" s="7">
        <v>1</v>
      </c>
      <c r="B123" s="8">
        <v>43496</v>
      </c>
      <c r="C123" s="9" t="s">
        <v>3</v>
      </c>
      <c r="D123" s="10">
        <v>352.49199999999996</v>
      </c>
      <c r="E123" s="10">
        <v>1107.001</v>
      </c>
      <c r="F123" t="str">
        <f>VLOOKUP(A123,StoreLookup,2,FALSE)</f>
        <v>Store#1</v>
      </c>
      <c r="G123">
        <f>INDEX(CalLookUpTable,MATCH($B123,CalLookUpRow,0),MATCH(G$1,CalLookUpColumn,0))</f>
        <v>2019</v>
      </c>
      <c r="H123">
        <f>INDEX(CalLookUpTable,MATCH($B123,CalLookUpRow,0),MATCH(H$1,CalLookUpColumn,0))</f>
        <v>2</v>
      </c>
      <c r="I123">
        <f>INDEX(CalLookUpTable,MATCH($B123,CalLookUpRow,0),MATCH(I$1,CalLookUpColumn,0))</f>
        <v>1</v>
      </c>
    </row>
    <row r="124" spans="1:9" x14ac:dyDescent="0.25">
      <c r="A124" s="7">
        <v>1</v>
      </c>
      <c r="B124" s="8">
        <v>43496</v>
      </c>
      <c r="C124" s="9" t="s">
        <v>6</v>
      </c>
      <c r="D124" s="10">
        <v>1196.6079999999999</v>
      </c>
      <c r="E124" s="10">
        <v>1308.9649999999999</v>
      </c>
      <c r="F124" t="str">
        <f>VLOOKUP(A124,StoreLookup,2,FALSE)</f>
        <v>Store#1</v>
      </c>
      <c r="G124">
        <f>INDEX(CalLookUpTable,MATCH($B124,CalLookUpRow,0),MATCH(G$1,CalLookUpColumn,0))</f>
        <v>2019</v>
      </c>
      <c r="H124">
        <f>INDEX(CalLookUpTable,MATCH($B124,CalLookUpRow,0),MATCH(H$1,CalLookUpColumn,0))</f>
        <v>2</v>
      </c>
      <c r="I124">
        <f>INDEX(CalLookUpTable,MATCH($B124,CalLookUpRow,0),MATCH(I$1,CalLookUpColumn,0))</f>
        <v>1</v>
      </c>
    </row>
    <row r="125" spans="1:9" x14ac:dyDescent="0.25">
      <c r="A125" s="7">
        <v>1</v>
      </c>
      <c r="B125" s="8">
        <v>43496</v>
      </c>
      <c r="C125" s="9" t="s">
        <v>5</v>
      </c>
      <c r="D125" s="10">
        <v>2987.0679999999998</v>
      </c>
      <c r="E125" s="10">
        <v>0</v>
      </c>
      <c r="F125" t="str">
        <f>VLOOKUP(A125,StoreLookup,2,FALSE)</f>
        <v>Store#1</v>
      </c>
      <c r="G125">
        <f>INDEX(CalLookUpTable,MATCH($B125,CalLookUpRow,0),MATCH(G$1,CalLookUpColumn,0))</f>
        <v>2019</v>
      </c>
      <c r="H125">
        <f>INDEX(CalLookUpTable,MATCH($B125,CalLookUpRow,0),MATCH(H$1,CalLookUpColumn,0))</f>
        <v>2</v>
      </c>
      <c r="I125">
        <f>INDEX(CalLookUpTable,MATCH($B125,CalLookUpRow,0),MATCH(I$1,CalLookUpColumn,0))</f>
        <v>1</v>
      </c>
    </row>
    <row r="126" spans="1:9" x14ac:dyDescent="0.25">
      <c r="A126" s="7">
        <v>1</v>
      </c>
      <c r="B126" s="8">
        <v>43497</v>
      </c>
      <c r="C126" s="9" t="s">
        <v>4</v>
      </c>
      <c r="D126" s="10">
        <v>5835.2</v>
      </c>
      <c r="E126" s="10">
        <v>6813.8629999999994</v>
      </c>
      <c r="F126" t="str">
        <f>VLOOKUP(A126,StoreLookup,2,FALSE)</f>
        <v>Store#1</v>
      </c>
      <c r="G126">
        <f>INDEX(CalLookUpTable,MATCH($B126,CalLookUpRow,0),MATCH(G$1,CalLookUpColumn,0))</f>
        <v>2019</v>
      </c>
      <c r="H126">
        <f>INDEX(CalLookUpTable,MATCH($B126,CalLookUpRow,0),MATCH(H$1,CalLookUpColumn,0))</f>
        <v>2</v>
      </c>
      <c r="I126">
        <f>INDEX(CalLookUpTable,MATCH($B126,CalLookUpRow,0),MATCH(I$1,CalLookUpColumn,0))</f>
        <v>1</v>
      </c>
    </row>
    <row r="127" spans="1:9" x14ac:dyDescent="0.25">
      <c r="A127" s="7">
        <v>1</v>
      </c>
      <c r="B127" s="8">
        <v>43497</v>
      </c>
      <c r="C127" s="9" t="s">
        <v>5</v>
      </c>
      <c r="D127" s="10">
        <v>3625.5450000000001</v>
      </c>
      <c r="E127" s="10">
        <v>0</v>
      </c>
      <c r="F127" t="str">
        <f>VLOOKUP(A127,StoreLookup,2,FALSE)</f>
        <v>Store#1</v>
      </c>
      <c r="G127">
        <f>INDEX(CalLookUpTable,MATCH($B127,CalLookUpRow,0),MATCH(G$1,CalLookUpColumn,0))</f>
        <v>2019</v>
      </c>
      <c r="H127">
        <f>INDEX(CalLookUpTable,MATCH($B127,CalLookUpRow,0),MATCH(H$1,CalLookUpColumn,0))</f>
        <v>2</v>
      </c>
      <c r="I127">
        <f>INDEX(CalLookUpTable,MATCH($B127,CalLookUpRow,0),MATCH(I$1,CalLookUpColumn,0))</f>
        <v>1</v>
      </c>
    </row>
    <row r="128" spans="1:9" x14ac:dyDescent="0.25">
      <c r="A128" s="7">
        <v>1</v>
      </c>
      <c r="B128" s="8">
        <v>43497</v>
      </c>
      <c r="C128" s="9" t="s">
        <v>3</v>
      </c>
      <c r="D128" s="10">
        <v>256.68299999999999</v>
      </c>
      <c r="E128" s="10">
        <v>823.02499999999998</v>
      </c>
      <c r="F128" t="str">
        <f>VLOOKUP(A128,StoreLookup,2,FALSE)</f>
        <v>Store#1</v>
      </c>
      <c r="G128">
        <f>INDEX(CalLookUpTable,MATCH($B128,CalLookUpRow,0),MATCH(G$1,CalLookUpColumn,0))</f>
        <v>2019</v>
      </c>
      <c r="H128">
        <f>INDEX(CalLookUpTable,MATCH($B128,CalLookUpRow,0),MATCH(H$1,CalLookUpColumn,0))</f>
        <v>2</v>
      </c>
      <c r="I128">
        <f>INDEX(CalLookUpTable,MATCH($B128,CalLookUpRow,0),MATCH(I$1,CalLookUpColumn,0))</f>
        <v>1</v>
      </c>
    </row>
    <row r="129" spans="1:9" x14ac:dyDescent="0.25">
      <c r="A129" s="7">
        <v>1</v>
      </c>
      <c r="B129" s="8">
        <v>43497</v>
      </c>
      <c r="C129" s="9" t="s">
        <v>6</v>
      </c>
      <c r="D129" s="10">
        <v>1130.4019999999998</v>
      </c>
      <c r="E129" s="10">
        <v>1897.9449999999997</v>
      </c>
      <c r="F129" t="str">
        <f>VLOOKUP(A129,StoreLookup,2,FALSE)</f>
        <v>Store#1</v>
      </c>
      <c r="G129">
        <f>INDEX(CalLookUpTable,MATCH($B129,CalLookUpRow,0),MATCH(G$1,CalLookUpColumn,0))</f>
        <v>2019</v>
      </c>
      <c r="H129">
        <f>INDEX(CalLookUpTable,MATCH($B129,CalLookUpRow,0),MATCH(H$1,CalLookUpColumn,0))</f>
        <v>2</v>
      </c>
      <c r="I129">
        <f>INDEX(CalLookUpTable,MATCH($B129,CalLookUpRow,0),MATCH(I$1,CalLookUpColumn,0))</f>
        <v>1</v>
      </c>
    </row>
    <row r="130" spans="1:9" x14ac:dyDescent="0.25">
      <c r="A130" s="7">
        <v>1</v>
      </c>
      <c r="B130" s="8">
        <v>43498</v>
      </c>
      <c r="C130" s="9" t="s">
        <v>6</v>
      </c>
      <c r="D130" s="10">
        <v>1284.6609999999998</v>
      </c>
      <c r="E130" s="10">
        <v>2175.0189999999998</v>
      </c>
      <c r="F130" t="str">
        <f>VLOOKUP(A130,StoreLookup,2,FALSE)</f>
        <v>Store#1</v>
      </c>
      <c r="G130">
        <f>INDEX(CalLookUpTable,MATCH($B130,CalLookUpRow,0),MATCH(G$1,CalLookUpColumn,0))</f>
        <v>2019</v>
      </c>
      <c r="H130">
        <f>INDEX(CalLookUpTable,MATCH($B130,CalLookUpRow,0),MATCH(H$1,CalLookUpColumn,0))</f>
        <v>2</v>
      </c>
      <c r="I130">
        <f>INDEX(CalLookUpTable,MATCH($B130,CalLookUpRow,0),MATCH(I$1,CalLookUpColumn,0))</f>
        <v>1</v>
      </c>
    </row>
    <row r="131" spans="1:9" x14ac:dyDescent="0.25">
      <c r="A131" s="7">
        <v>1</v>
      </c>
      <c r="B131" s="8">
        <v>43498</v>
      </c>
      <c r="C131" s="9" t="s">
        <v>3</v>
      </c>
      <c r="D131" s="10">
        <v>346.21999999999997</v>
      </c>
      <c r="E131" s="10">
        <v>620.89299999999992</v>
      </c>
      <c r="F131" t="str">
        <f>VLOOKUP(A131,StoreLookup,2,FALSE)</f>
        <v>Store#1</v>
      </c>
      <c r="G131">
        <f>INDEX(CalLookUpTable,MATCH($B131,CalLookUpRow,0),MATCH(G$1,CalLookUpColumn,0))</f>
        <v>2019</v>
      </c>
      <c r="H131">
        <f>INDEX(CalLookUpTable,MATCH($B131,CalLookUpRow,0),MATCH(H$1,CalLookUpColumn,0))</f>
        <v>2</v>
      </c>
      <c r="I131">
        <f>INDEX(CalLookUpTable,MATCH($B131,CalLookUpRow,0),MATCH(I$1,CalLookUpColumn,0))</f>
        <v>1</v>
      </c>
    </row>
    <row r="132" spans="1:9" x14ac:dyDescent="0.25">
      <c r="A132" s="7">
        <v>1</v>
      </c>
      <c r="B132" s="8">
        <v>43498</v>
      </c>
      <c r="C132" s="9" t="s">
        <v>4</v>
      </c>
      <c r="D132" s="10">
        <v>6323.2749999999996</v>
      </c>
      <c r="E132" s="10">
        <v>6568.933</v>
      </c>
      <c r="F132" t="str">
        <f>VLOOKUP(A132,StoreLookup,2,FALSE)</f>
        <v>Store#1</v>
      </c>
      <c r="G132">
        <f>INDEX(CalLookUpTable,MATCH($B132,CalLookUpRow,0),MATCH(G$1,CalLookUpColumn,0))</f>
        <v>2019</v>
      </c>
      <c r="H132">
        <f>INDEX(CalLookUpTable,MATCH($B132,CalLookUpRow,0),MATCH(H$1,CalLookUpColumn,0))</f>
        <v>2</v>
      </c>
      <c r="I132">
        <f>INDEX(CalLookUpTable,MATCH($B132,CalLookUpRow,0),MATCH(I$1,CalLookUpColumn,0))</f>
        <v>1</v>
      </c>
    </row>
    <row r="133" spans="1:9" x14ac:dyDescent="0.25">
      <c r="A133" s="7">
        <v>1</v>
      </c>
      <c r="B133" s="8">
        <v>43498</v>
      </c>
      <c r="C133" s="9" t="s">
        <v>5</v>
      </c>
      <c r="D133" s="10">
        <v>3449.0189999999998</v>
      </c>
      <c r="E133" s="10">
        <v>0</v>
      </c>
      <c r="F133" t="str">
        <f>VLOOKUP(A133,StoreLookup,2,FALSE)</f>
        <v>Store#1</v>
      </c>
      <c r="G133">
        <f>INDEX(CalLookUpTable,MATCH($B133,CalLookUpRow,0),MATCH(G$1,CalLookUpColumn,0))</f>
        <v>2019</v>
      </c>
      <c r="H133">
        <f>INDEX(CalLookUpTable,MATCH($B133,CalLookUpRow,0),MATCH(H$1,CalLookUpColumn,0))</f>
        <v>2</v>
      </c>
      <c r="I133">
        <f>INDEX(CalLookUpTable,MATCH($B133,CalLookUpRow,0),MATCH(I$1,CalLookUpColumn,0))</f>
        <v>1</v>
      </c>
    </row>
    <row r="134" spans="1:9" x14ac:dyDescent="0.25">
      <c r="A134" s="7">
        <v>1</v>
      </c>
      <c r="B134" s="8">
        <v>43499</v>
      </c>
      <c r="C134" s="9" t="s">
        <v>5</v>
      </c>
      <c r="D134" s="10">
        <v>1534.4979999999998</v>
      </c>
      <c r="E134" s="10">
        <v>0</v>
      </c>
      <c r="F134" t="str">
        <f>VLOOKUP(A134,StoreLookup,2,FALSE)</f>
        <v>Store#1</v>
      </c>
      <c r="G134">
        <f>INDEX(CalLookUpTable,MATCH($B134,CalLookUpRow,0),MATCH(G$1,CalLookUpColumn,0))</f>
        <v>2019</v>
      </c>
      <c r="H134">
        <f>INDEX(CalLookUpTable,MATCH($B134,CalLookUpRow,0),MATCH(H$1,CalLookUpColumn,0))</f>
        <v>2</v>
      </c>
      <c r="I134">
        <f>INDEX(CalLookUpTable,MATCH($B134,CalLookUpRow,0),MATCH(I$1,CalLookUpColumn,0))</f>
        <v>1</v>
      </c>
    </row>
    <row r="135" spans="1:9" x14ac:dyDescent="0.25">
      <c r="A135" s="7">
        <v>1</v>
      </c>
      <c r="B135" s="8">
        <v>43499</v>
      </c>
      <c r="C135" s="9" t="s">
        <v>3</v>
      </c>
      <c r="D135" s="10">
        <v>190.93199999999999</v>
      </c>
      <c r="E135" s="10">
        <v>37.688000000000002</v>
      </c>
      <c r="F135" t="str">
        <f>VLOOKUP(A135,StoreLookup,2,FALSE)</f>
        <v>Store#1</v>
      </c>
      <c r="G135">
        <f>INDEX(CalLookUpTable,MATCH($B135,CalLookUpRow,0),MATCH(G$1,CalLookUpColumn,0))</f>
        <v>2019</v>
      </c>
      <c r="H135">
        <f>INDEX(CalLookUpTable,MATCH($B135,CalLookUpRow,0),MATCH(H$1,CalLookUpColumn,0))</f>
        <v>2</v>
      </c>
      <c r="I135">
        <f>INDEX(CalLookUpTable,MATCH($B135,CalLookUpRow,0),MATCH(I$1,CalLookUpColumn,0))</f>
        <v>1</v>
      </c>
    </row>
    <row r="136" spans="1:9" x14ac:dyDescent="0.25">
      <c r="A136" s="7">
        <v>1</v>
      </c>
      <c r="B136" s="8">
        <v>43499</v>
      </c>
      <c r="C136" s="9" t="s">
        <v>4</v>
      </c>
      <c r="D136" s="10">
        <v>1550.2829999999999</v>
      </c>
      <c r="E136" s="10">
        <v>2263.0089999999996</v>
      </c>
      <c r="F136" t="str">
        <f>VLOOKUP(A136,StoreLookup,2,FALSE)</f>
        <v>Store#1</v>
      </c>
      <c r="G136">
        <f>INDEX(CalLookUpTable,MATCH($B136,CalLookUpRow,0),MATCH(G$1,CalLookUpColumn,0))</f>
        <v>2019</v>
      </c>
      <c r="H136">
        <f>INDEX(CalLookUpTable,MATCH($B136,CalLookUpRow,0),MATCH(H$1,CalLookUpColumn,0))</f>
        <v>2</v>
      </c>
      <c r="I136">
        <f>INDEX(CalLookUpTable,MATCH($B136,CalLookUpRow,0),MATCH(I$1,CalLookUpColumn,0))</f>
        <v>1</v>
      </c>
    </row>
    <row r="137" spans="1:9" x14ac:dyDescent="0.25">
      <c r="A137" s="7">
        <v>1</v>
      </c>
      <c r="B137" s="8">
        <v>43499</v>
      </c>
      <c r="C137" s="9" t="s">
        <v>6</v>
      </c>
      <c r="D137" s="10">
        <v>296.29599999999994</v>
      </c>
      <c r="E137" s="10">
        <v>486.35299999999995</v>
      </c>
      <c r="F137" t="str">
        <f>VLOOKUP(A137,StoreLookup,2,FALSE)</f>
        <v>Store#1</v>
      </c>
      <c r="G137">
        <f>INDEX(CalLookUpTable,MATCH($B137,CalLookUpRow,0),MATCH(G$1,CalLookUpColumn,0))</f>
        <v>2019</v>
      </c>
      <c r="H137">
        <f>INDEX(CalLookUpTable,MATCH($B137,CalLookUpRow,0),MATCH(H$1,CalLookUpColumn,0))</f>
        <v>2</v>
      </c>
      <c r="I137">
        <f>INDEX(CalLookUpTable,MATCH($B137,CalLookUpRow,0),MATCH(I$1,CalLookUpColumn,0))</f>
        <v>1</v>
      </c>
    </row>
    <row r="138" spans="1:9" x14ac:dyDescent="0.25">
      <c r="A138" s="7">
        <v>1</v>
      </c>
      <c r="B138" s="8">
        <v>43500</v>
      </c>
      <c r="C138" s="9" t="s">
        <v>5</v>
      </c>
      <c r="D138" s="10">
        <v>2554.9789999999998</v>
      </c>
      <c r="E138" s="10">
        <v>0</v>
      </c>
      <c r="F138" t="str">
        <f>VLOOKUP(A138,StoreLookup,2,FALSE)</f>
        <v>Store#1</v>
      </c>
      <c r="G138">
        <f>INDEX(CalLookUpTable,MATCH($B138,CalLookUpRow,0),MATCH(G$1,CalLookUpColumn,0))</f>
        <v>2019</v>
      </c>
      <c r="H138">
        <f>INDEX(CalLookUpTable,MATCH($B138,CalLookUpRow,0),MATCH(H$1,CalLookUpColumn,0))</f>
        <v>2</v>
      </c>
      <c r="I138">
        <f>INDEX(CalLookUpTable,MATCH($B138,CalLookUpRow,0),MATCH(I$1,CalLookUpColumn,0))</f>
        <v>2</v>
      </c>
    </row>
    <row r="139" spans="1:9" x14ac:dyDescent="0.25">
      <c r="A139" s="7">
        <v>1</v>
      </c>
      <c r="B139" s="8">
        <v>43500</v>
      </c>
      <c r="C139" s="9" t="s">
        <v>3</v>
      </c>
      <c r="D139" s="10">
        <v>1195.0119999999999</v>
      </c>
      <c r="E139" s="10">
        <v>10.493</v>
      </c>
      <c r="F139" t="str">
        <f>VLOOKUP(A139,StoreLookup,2,FALSE)</f>
        <v>Store#1</v>
      </c>
      <c r="G139">
        <f>INDEX(CalLookUpTable,MATCH($B139,CalLookUpRow,0),MATCH(G$1,CalLookUpColumn,0))</f>
        <v>2019</v>
      </c>
      <c r="H139">
        <f>INDEX(CalLookUpTable,MATCH($B139,CalLookUpRow,0),MATCH(H$1,CalLookUpColumn,0))</f>
        <v>2</v>
      </c>
      <c r="I139">
        <f>INDEX(CalLookUpTable,MATCH($B139,CalLookUpRow,0),MATCH(I$1,CalLookUpColumn,0))</f>
        <v>2</v>
      </c>
    </row>
    <row r="140" spans="1:9" x14ac:dyDescent="0.25">
      <c r="A140" s="7">
        <v>1</v>
      </c>
      <c r="B140" s="8">
        <v>43500</v>
      </c>
      <c r="C140" s="9" t="s">
        <v>4</v>
      </c>
      <c r="D140" s="10">
        <v>3705.6179999999995</v>
      </c>
      <c r="E140" s="10">
        <v>4253.3819999999996</v>
      </c>
      <c r="F140" t="str">
        <f>VLOOKUP(A140,StoreLookup,2,FALSE)</f>
        <v>Store#1</v>
      </c>
      <c r="G140">
        <f>INDEX(CalLookUpTable,MATCH($B140,CalLookUpRow,0),MATCH(G$1,CalLookUpColumn,0))</f>
        <v>2019</v>
      </c>
      <c r="H140">
        <f>INDEX(CalLookUpTable,MATCH($B140,CalLookUpRow,0),MATCH(H$1,CalLookUpColumn,0))</f>
        <v>2</v>
      </c>
      <c r="I140">
        <f>INDEX(CalLookUpTable,MATCH($B140,CalLookUpRow,0),MATCH(I$1,CalLookUpColumn,0))</f>
        <v>2</v>
      </c>
    </row>
    <row r="141" spans="1:9" x14ac:dyDescent="0.25">
      <c r="A141" s="7">
        <v>1</v>
      </c>
      <c r="B141" s="8">
        <v>43500</v>
      </c>
      <c r="C141" s="9" t="s">
        <v>6</v>
      </c>
      <c r="D141" s="10">
        <v>817.46699999999987</v>
      </c>
      <c r="E141" s="10">
        <v>1169.616</v>
      </c>
      <c r="F141" t="str">
        <f>VLOOKUP(A141,StoreLookup,2,FALSE)</f>
        <v>Store#1</v>
      </c>
      <c r="G141">
        <f>INDEX(CalLookUpTable,MATCH($B141,CalLookUpRow,0),MATCH(G$1,CalLookUpColumn,0))</f>
        <v>2019</v>
      </c>
      <c r="H141">
        <f>INDEX(CalLookUpTable,MATCH($B141,CalLookUpRow,0),MATCH(H$1,CalLookUpColumn,0))</f>
        <v>2</v>
      </c>
      <c r="I141">
        <f>INDEX(CalLookUpTable,MATCH($B141,CalLookUpRow,0),MATCH(I$1,CalLookUpColumn,0))</f>
        <v>2</v>
      </c>
    </row>
    <row r="142" spans="1:9" x14ac:dyDescent="0.25">
      <c r="A142" s="7">
        <v>1</v>
      </c>
      <c r="B142" s="8">
        <v>43501</v>
      </c>
      <c r="C142" s="9" t="s">
        <v>6</v>
      </c>
      <c r="D142" s="10">
        <v>493.20600000000002</v>
      </c>
      <c r="E142" s="10">
        <v>1009.218</v>
      </c>
      <c r="F142" t="str">
        <f>VLOOKUP(A142,StoreLookup,2,FALSE)</f>
        <v>Store#1</v>
      </c>
      <c r="G142">
        <f>INDEX(CalLookUpTable,MATCH($B142,CalLookUpRow,0),MATCH(G$1,CalLookUpColumn,0))</f>
        <v>2019</v>
      </c>
      <c r="H142">
        <f>INDEX(CalLookUpTable,MATCH($B142,CalLookUpRow,0),MATCH(H$1,CalLookUpColumn,0))</f>
        <v>2</v>
      </c>
      <c r="I142">
        <f>INDEX(CalLookUpTable,MATCH($B142,CalLookUpRow,0),MATCH(I$1,CalLookUpColumn,0))</f>
        <v>2</v>
      </c>
    </row>
    <row r="143" spans="1:9" x14ac:dyDescent="0.25">
      <c r="A143" s="7">
        <v>1</v>
      </c>
      <c r="B143" s="8">
        <v>43501</v>
      </c>
      <c r="C143" s="9" t="s">
        <v>3</v>
      </c>
      <c r="D143" s="10">
        <v>192.32499999999999</v>
      </c>
      <c r="E143" s="10">
        <v>475.47499999999997</v>
      </c>
      <c r="F143" t="str">
        <f>VLOOKUP(A143,StoreLookup,2,FALSE)</f>
        <v>Store#1</v>
      </c>
      <c r="G143">
        <f>INDEX(CalLookUpTable,MATCH($B143,CalLookUpRow,0),MATCH(G$1,CalLookUpColumn,0))</f>
        <v>2019</v>
      </c>
      <c r="H143">
        <f>INDEX(CalLookUpTable,MATCH($B143,CalLookUpRow,0),MATCH(H$1,CalLookUpColumn,0))</f>
        <v>2</v>
      </c>
      <c r="I143">
        <f>INDEX(CalLookUpTable,MATCH($B143,CalLookUpRow,0),MATCH(I$1,CalLookUpColumn,0))</f>
        <v>2</v>
      </c>
    </row>
    <row r="144" spans="1:9" x14ac:dyDescent="0.25">
      <c r="A144" s="7">
        <v>1</v>
      </c>
      <c r="B144" s="8">
        <v>43501</v>
      </c>
      <c r="C144" s="9" t="s">
        <v>4</v>
      </c>
      <c r="D144" s="10">
        <v>3779.8879999999999</v>
      </c>
      <c r="E144" s="10">
        <v>3912.3909999999996</v>
      </c>
      <c r="F144" t="str">
        <f>VLOOKUP(A144,StoreLookup,2,FALSE)</f>
        <v>Store#1</v>
      </c>
      <c r="G144">
        <f>INDEX(CalLookUpTable,MATCH($B144,CalLookUpRow,0),MATCH(G$1,CalLookUpColumn,0))</f>
        <v>2019</v>
      </c>
      <c r="H144">
        <f>INDEX(CalLookUpTable,MATCH($B144,CalLookUpRow,0),MATCH(H$1,CalLookUpColumn,0))</f>
        <v>2</v>
      </c>
      <c r="I144">
        <f>INDEX(CalLookUpTable,MATCH($B144,CalLookUpRow,0),MATCH(I$1,CalLookUpColumn,0))</f>
        <v>2</v>
      </c>
    </row>
    <row r="145" spans="1:9" x14ac:dyDescent="0.25">
      <c r="A145" s="7">
        <v>1</v>
      </c>
      <c r="B145" s="8">
        <v>43501</v>
      </c>
      <c r="C145" s="9" t="s">
        <v>5</v>
      </c>
      <c r="D145" s="10">
        <v>3011.8059999999996</v>
      </c>
      <c r="E145" s="10">
        <v>0</v>
      </c>
      <c r="F145" t="str">
        <f>VLOOKUP(A145,StoreLookup,2,FALSE)</f>
        <v>Store#1</v>
      </c>
      <c r="G145">
        <f>INDEX(CalLookUpTable,MATCH($B145,CalLookUpRow,0),MATCH(G$1,CalLookUpColumn,0))</f>
        <v>2019</v>
      </c>
      <c r="H145">
        <f>INDEX(CalLookUpTable,MATCH($B145,CalLookUpRow,0),MATCH(H$1,CalLookUpColumn,0))</f>
        <v>2</v>
      </c>
      <c r="I145">
        <f>INDEX(CalLookUpTable,MATCH($B145,CalLookUpRow,0),MATCH(I$1,CalLookUpColumn,0))</f>
        <v>2</v>
      </c>
    </row>
    <row r="146" spans="1:9" x14ac:dyDescent="0.25">
      <c r="A146" s="7">
        <v>1</v>
      </c>
      <c r="B146" s="8">
        <v>43502</v>
      </c>
      <c r="C146" s="9" t="s">
        <v>5</v>
      </c>
      <c r="D146" s="10">
        <v>2926.8049999999994</v>
      </c>
      <c r="E146" s="10">
        <v>0</v>
      </c>
      <c r="F146" t="str">
        <f>VLOOKUP(A146,StoreLookup,2,FALSE)</f>
        <v>Store#1</v>
      </c>
      <c r="G146">
        <f>INDEX(CalLookUpTable,MATCH($B146,CalLookUpRow,0),MATCH(G$1,CalLookUpColumn,0))</f>
        <v>2019</v>
      </c>
      <c r="H146">
        <f>INDEX(CalLookUpTable,MATCH($B146,CalLookUpRow,0),MATCH(H$1,CalLookUpColumn,0))</f>
        <v>2</v>
      </c>
      <c r="I146">
        <f>INDEX(CalLookUpTable,MATCH($B146,CalLookUpRow,0),MATCH(I$1,CalLookUpColumn,0))</f>
        <v>2</v>
      </c>
    </row>
    <row r="147" spans="1:9" x14ac:dyDescent="0.25">
      <c r="A147" s="7">
        <v>1</v>
      </c>
      <c r="B147" s="8">
        <v>43502</v>
      </c>
      <c r="C147" s="9" t="s">
        <v>3</v>
      </c>
      <c r="D147" s="10">
        <v>85.322999999999993</v>
      </c>
      <c r="E147" s="10">
        <v>677.36199999999997</v>
      </c>
      <c r="F147" t="str">
        <f>VLOOKUP(A147,StoreLookup,2,FALSE)</f>
        <v>Store#1</v>
      </c>
      <c r="G147">
        <f>INDEX(CalLookUpTable,MATCH($B147,CalLookUpRow,0),MATCH(G$1,CalLookUpColumn,0))</f>
        <v>2019</v>
      </c>
      <c r="H147">
        <f>INDEX(CalLookUpTable,MATCH($B147,CalLookUpRow,0),MATCH(H$1,CalLookUpColumn,0))</f>
        <v>2</v>
      </c>
      <c r="I147">
        <f>INDEX(CalLookUpTable,MATCH($B147,CalLookUpRow,0),MATCH(I$1,CalLookUpColumn,0))</f>
        <v>2</v>
      </c>
    </row>
    <row r="148" spans="1:9" x14ac:dyDescent="0.25">
      <c r="A148" s="7">
        <v>1</v>
      </c>
      <c r="B148" s="8">
        <v>43502</v>
      </c>
      <c r="C148" s="9" t="s">
        <v>4</v>
      </c>
      <c r="D148" s="10">
        <v>3292.9119999999998</v>
      </c>
      <c r="E148" s="10">
        <v>4604.1099999999997</v>
      </c>
      <c r="F148" t="str">
        <f>VLOOKUP(A148,StoreLookup,2,FALSE)</f>
        <v>Store#1</v>
      </c>
      <c r="G148">
        <f>INDEX(CalLookUpTable,MATCH($B148,CalLookUpRow,0),MATCH(G$1,CalLookUpColumn,0))</f>
        <v>2019</v>
      </c>
      <c r="H148">
        <f>INDEX(CalLookUpTable,MATCH($B148,CalLookUpRow,0),MATCH(H$1,CalLookUpColumn,0))</f>
        <v>2</v>
      </c>
      <c r="I148">
        <f>INDEX(CalLookUpTable,MATCH($B148,CalLookUpRow,0),MATCH(I$1,CalLookUpColumn,0))</f>
        <v>2</v>
      </c>
    </row>
    <row r="149" spans="1:9" x14ac:dyDescent="0.25">
      <c r="A149" s="7">
        <v>1</v>
      </c>
      <c r="B149" s="8">
        <v>43502</v>
      </c>
      <c r="C149" s="9" t="s">
        <v>6</v>
      </c>
      <c r="D149" s="10">
        <v>735.5809999999999</v>
      </c>
      <c r="E149" s="10">
        <v>1286.6980000000001</v>
      </c>
      <c r="F149" t="str">
        <f>VLOOKUP(A149,StoreLookup,2,FALSE)</f>
        <v>Store#1</v>
      </c>
      <c r="G149">
        <f>INDEX(CalLookUpTable,MATCH($B149,CalLookUpRow,0),MATCH(G$1,CalLookUpColumn,0))</f>
        <v>2019</v>
      </c>
      <c r="H149">
        <f>INDEX(CalLookUpTable,MATCH($B149,CalLookUpRow,0),MATCH(H$1,CalLookUpColumn,0))</f>
        <v>2</v>
      </c>
      <c r="I149">
        <f>INDEX(CalLookUpTable,MATCH($B149,CalLookUpRow,0),MATCH(I$1,CalLookUpColumn,0))</f>
        <v>2</v>
      </c>
    </row>
    <row r="150" spans="1:9" x14ac:dyDescent="0.25">
      <c r="A150" s="7">
        <v>1</v>
      </c>
      <c r="B150" s="8">
        <v>43503</v>
      </c>
      <c r="C150" s="9" t="s">
        <v>4</v>
      </c>
      <c r="D150" s="10">
        <v>3945.5639999999999</v>
      </c>
      <c r="E150" s="10">
        <v>5095.3489999999993</v>
      </c>
      <c r="F150" t="str">
        <f>VLOOKUP(A150,StoreLookup,2,FALSE)</f>
        <v>Store#1</v>
      </c>
      <c r="G150">
        <f>INDEX(CalLookUpTable,MATCH($B150,CalLookUpRow,0),MATCH(G$1,CalLookUpColumn,0))</f>
        <v>2019</v>
      </c>
      <c r="H150">
        <f>INDEX(CalLookUpTable,MATCH($B150,CalLookUpRow,0),MATCH(H$1,CalLookUpColumn,0))</f>
        <v>2</v>
      </c>
      <c r="I150">
        <f>INDEX(CalLookUpTable,MATCH($B150,CalLookUpRow,0),MATCH(I$1,CalLookUpColumn,0))</f>
        <v>2</v>
      </c>
    </row>
    <row r="151" spans="1:9" x14ac:dyDescent="0.25">
      <c r="A151" s="7">
        <v>1</v>
      </c>
      <c r="B151" s="8">
        <v>43503</v>
      </c>
      <c r="C151" s="9" t="s">
        <v>5</v>
      </c>
      <c r="D151" s="10">
        <v>3154.4939999999997</v>
      </c>
      <c r="E151" s="10">
        <v>0</v>
      </c>
      <c r="F151" t="str">
        <f>VLOOKUP(A151,StoreLookup,2,FALSE)</f>
        <v>Store#1</v>
      </c>
      <c r="G151">
        <f>INDEX(CalLookUpTable,MATCH($B151,CalLookUpRow,0),MATCH(G$1,CalLookUpColumn,0))</f>
        <v>2019</v>
      </c>
      <c r="H151">
        <f>INDEX(CalLookUpTable,MATCH($B151,CalLookUpRow,0),MATCH(H$1,CalLookUpColumn,0))</f>
        <v>2</v>
      </c>
      <c r="I151">
        <f>INDEX(CalLookUpTable,MATCH($B151,CalLookUpRow,0),MATCH(I$1,CalLookUpColumn,0))</f>
        <v>2</v>
      </c>
    </row>
    <row r="152" spans="1:9" x14ac:dyDescent="0.25">
      <c r="A152" s="7">
        <v>1</v>
      </c>
      <c r="B152" s="8">
        <v>43503</v>
      </c>
      <c r="C152" s="9" t="s">
        <v>6</v>
      </c>
      <c r="D152" s="10">
        <v>764.31600000000003</v>
      </c>
      <c r="E152" s="10">
        <v>1681.519</v>
      </c>
      <c r="F152" t="str">
        <f>VLOOKUP(A152,StoreLookup,2,FALSE)</f>
        <v>Store#1</v>
      </c>
      <c r="G152">
        <f>INDEX(CalLookUpTable,MATCH($B152,CalLookUpRow,0),MATCH(G$1,CalLookUpColumn,0))</f>
        <v>2019</v>
      </c>
      <c r="H152">
        <f>INDEX(CalLookUpTable,MATCH($B152,CalLookUpRow,0),MATCH(H$1,CalLookUpColumn,0))</f>
        <v>2</v>
      </c>
      <c r="I152">
        <f>INDEX(CalLookUpTable,MATCH($B152,CalLookUpRow,0),MATCH(I$1,CalLookUpColumn,0))</f>
        <v>2</v>
      </c>
    </row>
    <row r="153" spans="1:9" x14ac:dyDescent="0.25">
      <c r="A153" s="7">
        <v>1</v>
      </c>
      <c r="B153" s="8">
        <v>43503</v>
      </c>
      <c r="C153" s="9" t="s">
        <v>3</v>
      </c>
      <c r="D153" s="10">
        <v>648.35399999999993</v>
      </c>
      <c r="E153" s="10">
        <v>1497.5729999999999</v>
      </c>
      <c r="F153" t="str">
        <f>VLOOKUP(A153,StoreLookup,2,FALSE)</f>
        <v>Store#1</v>
      </c>
      <c r="G153">
        <f>INDEX(CalLookUpTable,MATCH($B153,CalLookUpRow,0),MATCH(G$1,CalLookUpColumn,0))</f>
        <v>2019</v>
      </c>
      <c r="H153">
        <f>INDEX(CalLookUpTable,MATCH($B153,CalLookUpRow,0),MATCH(H$1,CalLookUpColumn,0))</f>
        <v>2</v>
      </c>
      <c r="I153">
        <f>INDEX(CalLookUpTable,MATCH($B153,CalLookUpRow,0),MATCH(I$1,CalLookUpColumn,0))</f>
        <v>2</v>
      </c>
    </row>
    <row r="154" spans="1:9" x14ac:dyDescent="0.25">
      <c r="A154" s="7">
        <v>1</v>
      </c>
      <c r="B154" s="8">
        <v>43504</v>
      </c>
      <c r="C154" s="9" t="s">
        <v>6</v>
      </c>
      <c r="D154" s="10">
        <v>1366.3440000000001</v>
      </c>
      <c r="E154" s="10">
        <v>2180.0449999999996</v>
      </c>
      <c r="F154" t="str">
        <f>VLOOKUP(A154,StoreLookup,2,FALSE)</f>
        <v>Store#1</v>
      </c>
      <c r="G154">
        <f>INDEX(CalLookUpTable,MATCH($B154,CalLookUpRow,0),MATCH(G$1,CalLookUpColumn,0))</f>
        <v>2019</v>
      </c>
      <c r="H154">
        <f>INDEX(CalLookUpTable,MATCH($B154,CalLookUpRow,0),MATCH(H$1,CalLookUpColumn,0))</f>
        <v>2</v>
      </c>
      <c r="I154">
        <f>INDEX(CalLookUpTable,MATCH($B154,CalLookUpRow,0),MATCH(I$1,CalLookUpColumn,0))</f>
        <v>2</v>
      </c>
    </row>
    <row r="155" spans="1:9" x14ac:dyDescent="0.25">
      <c r="A155" s="7">
        <v>1</v>
      </c>
      <c r="B155" s="8">
        <v>43504</v>
      </c>
      <c r="C155" s="9" t="s">
        <v>4</v>
      </c>
      <c r="D155" s="10">
        <v>6358.8209999999999</v>
      </c>
      <c r="E155" s="10">
        <v>6914.753999999999</v>
      </c>
      <c r="F155" t="str">
        <f>VLOOKUP(A155,StoreLookup,2,FALSE)</f>
        <v>Store#1</v>
      </c>
      <c r="G155">
        <f>INDEX(CalLookUpTable,MATCH($B155,CalLookUpRow,0),MATCH(G$1,CalLookUpColumn,0))</f>
        <v>2019</v>
      </c>
      <c r="H155">
        <f>INDEX(CalLookUpTable,MATCH($B155,CalLookUpRow,0),MATCH(H$1,CalLookUpColumn,0))</f>
        <v>2</v>
      </c>
      <c r="I155">
        <f>INDEX(CalLookUpTable,MATCH($B155,CalLookUpRow,0),MATCH(I$1,CalLookUpColumn,0))</f>
        <v>2</v>
      </c>
    </row>
    <row r="156" spans="1:9" x14ac:dyDescent="0.25">
      <c r="A156" s="7">
        <v>1</v>
      </c>
      <c r="B156" s="8">
        <v>43504</v>
      </c>
      <c r="C156" s="9" t="s">
        <v>3</v>
      </c>
      <c r="D156" s="10">
        <v>0</v>
      </c>
      <c r="E156" s="10">
        <v>1174.0329999999999</v>
      </c>
      <c r="F156" t="str">
        <f>VLOOKUP(A156,StoreLookup,2,FALSE)</f>
        <v>Store#1</v>
      </c>
      <c r="G156">
        <f>INDEX(CalLookUpTable,MATCH($B156,CalLookUpRow,0),MATCH(G$1,CalLookUpColumn,0))</f>
        <v>2019</v>
      </c>
      <c r="H156">
        <f>INDEX(CalLookUpTable,MATCH($B156,CalLookUpRow,0),MATCH(H$1,CalLookUpColumn,0))</f>
        <v>2</v>
      </c>
      <c r="I156">
        <f>INDEX(CalLookUpTable,MATCH($B156,CalLookUpRow,0),MATCH(I$1,CalLookUpColumn,0))</f>
        <v>2</v>
      </c>
    </row>
    <row r="157" spans="1:9" x14ac:dyDescent="0.25">
      <c r="A157" s="7">
        <v>1</v>
      </c>
      <c r="B157" s="8">
        <v>43504</v>
      </c>
      <c r="C157" s="9" t="s">
        <v>5</v>
      </c>
      <c r="D157" s="10">
        <v>3496.8359999999993</v>
      </c>
      <c r="E157" s="10">
        <v>0</v>
      </c>
      <c r="F157" t="str">
        <f>VLOOKUP(A157,StoreLookup,2,FALSE)</f>
        <v>Store#1</v>
      </c>
      <c r="G157">
        <f>INDEX(CalLookUpTable,MATCH($B157,CalLookUpRow,0),MATCH(G$1,CalLookUpColumn,0))</f>
        <v>2019</v>
      </c>
      <c r="H157">
        <f>INDEX(CalLookUpTable,MATCH($B157,CalLookUpRow,0),MATCH(H$1,CalLookUpColumn,0))</f>
        <v>2</v>
      </c>
      <c r="I157">
        <f>INDEX(CalLookUpTable,MATCH($B157,CalLookUpRow,0),MATCH(I$1,CalLookUpColumn,0))</f>
        <v>2</v>
      </c>
    </row>
    <row r="158" spans="1:9" x14ac:dyDescent="0.25">
      <c r="A158" s="7">
        <v>1</v>
      </c>
      <c r="B158" s="8">
        <v>43505</v>
      </c>
      <c r="C158" s="9" t="s">
        <v>6</v>
      </c>
      <c r="D158" s="10">
        <v>914.85799999999995</v>
      </c>
      <c r="E158" s="10">
        <v>2021.7889999999998</v>
      </c>
      <c r="F158" t="str">
        <f>VLOOKUP(A158,StoreLookup,2,FALSE)</f>
        <v>Store#1</v>
      </c>
      <c r="G158">
        <f>INDEX(CalLookUpTable,MATCH($B158,CalLookUpRow,0),MATCH(G$1,CalLookUpColumn,0))</f>
        <v>2019</v>
      </c>
      <c r="H158">
        <f>INDEX(CalLookUpTable,MATCH($B158,CalLookUpRow,0),MATCH(H$1,CalLookUpColumn,0))</f>
        <v>2</v>
      </c>
      <c r="I158">
        <f>INDEX(CalLookUpTable,MATCH($B158,CalLookUpRow,0),MATCH(I$1,CalLookUpColumn,0))</f>
        <v>2</v>
      </c>
    </row>
    <row r="159" spans="1:9" x14ac:dyDescent="0.25">
      <c r="A159" s="7">
        <v>1</v>
      </c>
      <c r="B159" s="8">
        <v>43505</v>
      </c>
      <c r="C159" s="9" t="s">
        <v>4</v>
      </c>
      <c r="D159" s="10">
        <v>6172.8659999999991</v>
      </c>
      <c r="E159" s="10">
        <v>6240.1639999999998</v>
      </c>
      <c r="F159" t="str">
        <f>VLOOKUP(A159,StoreLookup,2,FALSE)</f>
        <v>Store#1</v>
      </c>
      <c r="G159">
        <f>INDEX(CalLookUpTable,MATCH($B159,CalLookUpRow,0),MATCH(G$1,CalLookUpColumn,0))</f>
        <v>2019</v>
      </c>
      <c r="H159">
        <f>INDEX(CalLookUpTable,MATCH($B159,CalLookUpRow,0),MATCH(H$1,CalLookUpColumn,0))</f>
        <v>2</v>
      </c>
      <c r="I159">
        <f>INDEX(CalLookUpTable,MATCH($B159,CalLookUpRow,0),MATCH(I$1,CalLookUpColumn,0))</f>
        <v>2</v>
      </c>
    </row>
    <row r="160" spans="1:9" x14ac:dyDescent="0.25">
      <c r="A160" s="7">
        <v>1</v>
      </c>
      <c r="B160" s="8">
        <v>43505</v>
      </c>
      <c r="C160" s="9" t="s">
        <v>3</v>
      </c>
      <c r="D160" s="10">
        <v>309.60300000000001</v>
      </c>
      <c r="E160" s="10">
        <v>14.328999999999999</v>
      </c>
      <c r="F160" t="str">
        <f>VLOOKUP(A160,StoreLookup,2,FALSE)</f>
        <v>Store#1</v>
      </c>
      <c r="G160">
        <f>INDEX(CalLookUpTable,MATCH($B160,CalLookUpRow,0),MATCH(G$1,CalLookUpColumn,0))</f>
        <v>2019</v>
      </c>
      <c r="H160">
        <f>INDEX(CalLookUpTable,MATCH($B160,CalLookUpRow,0),MATCH(H$1,CalLookUpColumn,0))</f>
        <v>2</v>
      </c>
      <c r="I160">
        <f>INDEX(CalLookUpTable,MATCH($B160,CalLookUpRow,0),MATCH(I$1,CalLookUpColumn,0))</f>
        <v>2</v>
      </c>
    </row>
    <row r="161" spans="1:9" x14ac:dyDescent="0.25">
      <c r="A161" s="7">
        <v>1</v>
      </c>
      <c r="B161" s="8">
        <v>43505</v>
      </c>
      <c r="C161" s="9" t="s">
        <v>5</v>
      </c>
      <c r="D161" s="10">
        <v>3202.1989999999996</v>
      </c>
      <c r="E161" s="10">
        <v>0</v>
      </c>
      <c r="F161" t="str">
        <f>VLOOKUP(A161,StoreLookup,2,FALSE)</f>
        <v>Store#1</v>
      </c>
      <c r="G161">
        <f>INDEX(CalLookUpTable,MATCH($B161,CalLookUpRow,0),MATCH(G$1,CalLookUpColumn,0))</f>
        <v>2019</v>
      </c>
      <c r="H161">
        <f>INDEX(CalLookUpTable,MATCH($B161,CalLookUpRow,0),MATCH(H$1,CalLookUpColumn,0))</f>
        <v>2</v>
      </c>
      <c r="I161">
        <f>INDEX(CalLookUpTable,MATCH($B161,CalLookUpRow,0),MATCH(I$1,CalLookUpColumn,0))</f>
        <v>2</v>
      </c>
    </row>
    <row r="162" spans="1:9" x14ac:dyDescent="0.25">
      <c r="A162" s="7">
        <v>1</v>
      </c>
      <c r="B162" s="8">
        <v>43506</v>
      </c>
      <c r="C162" s="9" t="s">
        <v>6</v>
      </c>
      <c r="D162" s="10">
        <v>219.17000000000002</v>
      </c>
      <c r="E162" s="10">
        <v>458.93399999999997</v>
      </c>
      <c r="F162" t="str">
        <f>VLOOKUP(A162,StoreLookup,2,FALSE)</f>
        <v>Store#1</v>
      </c>
      <c r="G162">
        <f>INDEX(CalLookUpTable,MATCH($B162,CalLookUpRow,0),MATCH(G$1,CalLookUpColumn,0))</f>
        <v>2019</v>
      </c>
      <c r="H162">
        <f>INDEX(CalLookUpTable,MATCH($B162,CalLookUpRow,0),MATCH(H$1,CalLookUpColumn,0))</f>
        <v>2</v>
      </c>
      <c r="I162">
        <f>INDEX(CalLookUpTable,MATCH($B162,CalLookUpRow,0),MATCH(I$1,CalLookUpColumn,0))</f>
        <v>2</v>
      </c>
    </row>
    <row r="163" spans="1:9" x14ac:dyDescent="0.25">
      <c r="A163" s="7">
        <v>1</v>
      </c>
      <c r="B163" s="8">
        <v>43506</v>
      </c>
      <c r="C163" s="9" t="s">
        <v>4</v>
      </c>
      <c r="D163" s="10">
        <v>1786.386</v>
      </c>
      <c r="E163" s="10">
        <v>2443.7559999999999</v>
      </c>
      <c r="F163" t="str">
        <f>VLOOKUP(A163,StoreLookup,2,FALSE)</f>
        <v>Store#1</v>
      </c>
      <c r="G163">
        <f>INDEX(CalLookUpTable,MATCH($B163,CalLookUpRow,0),MATCH(G$1,CalLookUpColumn,0))</f>
        <v>2019</v>
      </c>
      <c r="H163">
        <f>INDEX(CalLookUpTable,MATCH($B163,CalLookUpRow,0),MATCH(H$1,CalLookUpColumn,0))</f>
        <v>2</v>
      </c>
      <c r="I163">
        <f>INDEX(CalLookUpTable,MATCH($B163,CalLookUpRow,0),MATCH(I$1,CalLookUpColumn,0))</f>
        <v>2</v>
      </c>
    </row>
    <row r="164" spans="1:9" x14ac:dyDescent="0.25">
      <c r="A164" s="7">
        <v>1</v>
      </c>
      <c r="B164" s="8">
        <v>43506</v>
      </c>
      <c r="C164" s="9" t="s">
        <v>3</v>
      </c>
      <c r="D164" s="10">
        <v>0</v>
      </c>
      <c r="E164" s="10">
        <v>3.4929999999999999</v>
      </c>
      <c r="F164" t="str">
        <f>VLOOKUP(A164,StoreLookup,2,FALSE)</f>
        <v>Store#1</v>
      </c>
      <c r="G164">
        <f>INDEX(CalLookUpTable,MATCH($B164,CalLookUpRow,0),MATCH(G$1,CalLookUpColumn,0))</f>
        <v>2019</v>
      </c>
      <c r="H164">
        <f>INDEX(CalLookUpTable,MATCH($B164,CalLookUpRow,0),MATCH(H$1,CalLookUpColumn,0))</f>
        <v>2</v>
      </c>
      <c r="I164">
        <f>INDEX(CalLookUpTable,MATCH($B164,CalLookUpRow,0),MATCH(I$1,CalLookUpColumn,0))</f>
        <v>2</v>
      </c>
    </row>
    <row r="165" spans="1:9" x14ac:dyDescent="0.25">
      <c r="A165" s="7">
        <v>1</v>
      </c>
      <c r="B165" s="8">
        <v>43506</v>
      </c>
      <c r="C165" s="9" t="s">
        <v>5</v>
      </c>
      <c r="D165" s="10">
        <v>1755.1589999999999</v>
      </c>
      <c r="E165" s="10">
        <v>0</v>
      </c>
      <c r="F165" t="str">
        <f>VLOOKUP(A165,StoreLookup,2,FALSE)</f>
        <v>Store#1</v>
      </c>
      <c r="G165">
        <f>INDEX(CalLookUpTable,MATCH($B165,CalLookUpRow,0),MATCH(G$1,CalLookUpColumn,0))</f>
        <v>2019</v>
      </c>
      <c r="H165">
        <f>INDEX(CalLookUpTable,MATCH($B165,CalLookUpRow,0),MATCH(H$1,CalLookUpColumn,0))</f>
        <v>2</v>
      </c>
      <c r="I165">
        <f>INDEX(CalLookUpTable,MATCH($B165,CalLookUpRow,0),MATCH(I$1,CalLookUpColumn,0))</f>
        <v>2</v>
      </c>
    </row>
    <row r="166" spans="1:9" x14ac:dyDescent="0.25">
      <c r="A166" s="7">
        <v>1</v>
      </c>
      <c r="B166" s="8">
        <v>43507</v>
      </c>
      <c r="C166" s="9" t="s">
        <v>5</v>
      </c>
      <c r="D166" s="10">
        <v>2483.46</v>
      </c>
      <c r="E166" s="10">
        <v>0</v>
      </c>
      <c r="F166" t="str">
        <f>VLOOKUP(A166,StoreLookup,2,FALSE)</f>
        <v>Store#1</v>
      </c>
      <c r="G166">
        <f>INDEX(CalLookUpTable,MATCH($B166,CalLookUpRow,0),MATCH(G$1,CalLookUpColumn,0))</f>
        <v>2019</v>
      </c>
      <c r="H166">
        <f>INDEX(CalLookUpTable,MATCH($B166,CalLookUpRow,0),MATCH(H$1,CalLookUpColumn,0))</f>
        <v>2</v>
      </c>
      <c r="I166">
        <f>INDEX(CalLookUpTable,MATCH($B166,CalLookUpRow,0),MATCH(I$1,CalLookUpColumn,0))</f>
        <v>3</v>
      </c>
    </row>
    <row r="167" spans="1:9" x14ac:dyDescent="0.25">
      <c r="A167" s="7">
        <v>1</v>
      </c>
      <c r="B167" s="8">
        <v>43507</v>
      </c>
      <c r="C167" s="9" t="s">
        <v>6</v>
      </c>
      <c r="D167" s="10">
        <v>833.71399999999994</v>
      </c>
      <c r="E167" s="10">
        <v>1018.3739999999999</v>
      </c>
      <c r="F167" t="str">
        <f>VLOOKUP(A167,StoreLookup,2,FALSE)</f>
        <v>Store#1</v>
      </c>
      <c r="G167">
        <f>INDEX(CalLookUpTable,MATCH($B167,CalLookUpRow,0),MATCH(G$1,CalLookUpColumn,0))</f>
        <v>2019</v>
      </c>
      <c r="H167">
        <f>INDEX(CalLookUpTable,MATCH($B167,CalLookUpRow,0),MATCH(H$1,CalLookUpColumn,0))</f>
        <v>2</v>
      </c>
      <c r="I167">
        <f>INDEX(CalLookUpTable,MATCH($B167,CalLookUpRow,0),MATCH(I$1,CalLookUpColumn,0))</f>
        <v>3</v>
      </c>
    </row>
    <row r="168" spans="1:9" x14ac:dyDescent="0.25">
      <c r="A168" s="7">
        <v>1</v>
      </c>
      <c r="B168" s="8">
        <v>43507</v>
      </c>
      <c r="C168" s="9" t="s">
        <v>4</v>
      </c>
      <c r="D168" s="10">
        <v>3054.3799999999997</v>
      </c>
      <c r="E168" s="10">
        <v>3646.9159999999997</v>
      </c>
      <c r="F168" t="str">
        <f>VLOOKUP(A168,StoreLookup,2,FALSE)</f>
        <v>Store#1</v>
      </c>
      <c r="G168">
        <f>INDEX(CalLookUpTable,MATCH($B168,CalLookUpRow,0),MATCH(G$1,CalLookUpColumn,0))</f>
        <v>2019</v>
      </c>
      <c r="H168">
        <f>INDEX(CalLookUpTable,MATCH($B168,CalLookUpRow,0),MATCH(H$1,CalLookUpColumn,0))</f>
        <v>2</v>
      </c>
      <c r="I168">
        <f>INDEX(CalLookUpTable,MATCH($B168,CalLookUpRow,0),MATCH(I$1,CalLookUpColumn,0))</f>
        <v>3</v>
      </c>
    </row>
    <row r="169" spans="1:9" x14ac:dyDescent="0.25">
      <c r="A169" s="7">
        <v>1</v>
      </c>
      <c r="B169" s="8">
        <v>43507</v>
      </c>
      <c r="C169" s="9" t="s">
        <v>3</v>
      </c>
      <c r="D169" s="10">
        <v>26.186999999999998</v>
      </c>
      <c r="E169" s="10">
        <v>946.27399999999989</v>
      </c>
      <c r="F169" t="str">
        <f>VLOOKUP(A169,StoreLookup,2,FALSE)</f>
        <v>Store#1</v>
      </c>
      <c r="G169">
        <f>INDEX(CalLookUpTable,MATCH($B169,CalLookUpRow,0),MATCH(G$1,CalLookUpColumn,0))</f>
        <v>2019</v>
      </c>
      <c r="H169">
        <f>INDEX(CalLookUpTable,MATCH($B169,CalLookUpRow,0),MATCH(H$1,CalLookUpColumn,0))</f>
        <v>2</v>
      </c>
      <c r="I169">
        <f>INDEX(CalLookUpTable,MATCH($B169,CalLookUpRow,0),MATCH(I$1,CalLookUpColumn,0))</f>
        <v>3</v>
      </c>
    </row>
    <row r="170" spans="1:9" x14ac:dyDescent="0.25">
      <c r="A170" s="7">
        <v>1</v>
      </c>
      <c r="B170" s="8">
        <v>43508</v>
      </c>
      <c r="C170" s="9" t="s">
        <v>6</v>
      </c>
      <c r="D170" s="10">
        <v>643.18799999999999</v>
      </c>
      <c r="E170" s="10">
        <v>1011.066</v>
      </c>
      <c r="F170" t="str">
        <f>VLOOKUP(A170,StoreLookup,2,FALSE)</f>
        <v>Store#1</v>
      </c>
      <c r="G170">
        <f>INDEX(CalLookUpTable,MATCH($B170,CalLookUpRow,0),MATCH(G$1,CalLookUpColumn,0))</f>
        <v>2019</v>
      </c>
      <c r="H170">
        <f>INDEX(CalLookUpTable,MATCH($B170,CalLookUpRow,0),MATCH(H$1,CalLookUpColumn,0))</f>
        <v>2</v>
      </c>
      <c r="I170">
        <f>INDEX(CalLookUpTable,MATCH($B170,CalLookUpRow,0),MATCH(I$1,CalLookUpColumn,0))</f>
        <v>3</v>
      </c>
    </row>
    <row r="171" spans="1:9" x14ac:dyDescent="0.25">
      <c r="A171" s="7">
        <v>1</v>
      </c>
      <c r="B171" s="8">
        <v>43508</v>
      </c>
      <c r="C171" s="9" t="s">
        <v>5</v>
      </c>
      <c r="D171" s="10">
        <v>2662.9469999999997</v>
      </c>
      <c r="E171" s="10">
        <v>0</v>
      </c>
      <c r="F171" t="str">
        <f>VLOOKUP(A171,StoreLookup,2,FALSE)</f>
        <v>Store#1</v>
      </c>
      <c r="G171">
        <f>INDEX(CalLookUpTable,MATCH($B171,CalLookUpRow,0),MATCH(G$1,CalLookUpColumn,0))</f>
        <v>2019</v>
      </c>
      <c r="H171">
        <f>INDEX(CalLookUpTable,MATCH($B171,CalLookUpRow,0),MATCH(H$1,CalLookUpColumn,0))</f>
        <v>2</v>
      </c>
      <c r="I171">
        <f>INDEX(CalLookUpTable,MATCH($B171,CalLookUpRow,0),MATCH(I$1,CalLookUpColumn,0))</f>
        <v>3</v>
      </c>
    </row>
    <row r="172" spans="1:9" x14ac:dyDescent="0.25">
      <c r="A172" s="7">
        <v>1</v>
      </c>
      <c r="B172" s="8">
        <v>43508</v>
      </c>
      <c r="C172" s="9" t="s">
        <v>3</v>
      </c>
      <c r="D172" s="10">
        <v>115.39499999999998</v>
      </c>
      <c r="E172" s="10">
        <v>423.12200000000001</v>
      </c>
      <c r="F172" t="str">
        <f>VLOOKUP(A172,StoreLookup,2,FALSE)</f>
        <v>Store#1</v>
      </c>
      <c r="G172">
        <f>INDEX(CalLookUpTable,MATCH($B172,CalLookUpRow,0),MATCH(G$1,CalLookUpColumn,0))</f>
        <v>2019</v>
      </c>
      <c r="H172">
        <f>INDEX(CalLookUpTable,MATCH($B172,CalLookUpRow,0),MATCH(H$1,CalLookUpColumn,0))</f>
        <v>2</v>
      </c>
      <c r="I172">
        <f>INDEX(CalLookUpTable,MATCH($B172,CalLookUpRow,0),MATCH(I$1,CalLookUpColumn,0))</f>
        <v>3</v>
      </c>
    </row>
    <row r="173" spans="1:9" x14ac:dyDescent="0.25">
      <c r="A173" s="7">
        <v>1</v>
      </c>
      <c r="B173" s="8">
        <v>43508</v>
      </c>
      <c r="C173" s="9" t="s">
        <v>4</v>
      </c>
      <c r="D173" s="10">
        <v>3696.9659999999999</v>
      </c>
      <c r="E173" s="10">
        <v>4316.7739999999994</v>
      </c>
      <c r="F173" t="str">
        <f>VLOOKUP(A173,StoreLookup,2,FALSE)</f>
        <v>Store#1</v>
      </c>
      <c r="G173">
        <f>INDEX(CalLookUpTable,MATCH($B173,CalLookUpRow,0),MATCH(G$1,CalLookUpColumn,0))</f>
        <v>2019</v>
      </c>
      <c r="H173">
        <f>INDEX(CalLookUpTable,MATCH($B173,CalLookUpRow,0),MATCH(H$1,CalLookUpColumn,0))</f>
        <v>2</v>
      </c>
      <c r="I173">
        <f>INDEX(CalLookUpTable,MATCH($B173,CalLookUpRow,0),MATCH(I$1,CalLookUpColumn,0))</f>
        <v>3</v>
      </c>
    </row>
    <row r="174" spans="1:9" x14ac:dyDescent="0.25">
      <c r="A174" s="7">
        <v>1</v>
      </c>
      <c r="B174" s="8">
        <v>43509</v>
      </c>
      <c r="C174" s="9" t="s">
        <v>3</v>
      </c>
      <c r="D174" s="10">
        <v>69.257999999999996</v>
      </c>
      <c r="E174" s="10">
        <v>650.048</v>
      </c>
      <c r="F174" t="str">
        <f>VLOOKUP(A174,StoreLookup,2,FALSE)</f>
        <v>Store#1</v>
      </c>
      <c r="G174">
        <f>INDEX(CalLookUpTable,MATCH($B174,CalLookUpRow,0),MATCH(G$1,CalLookUpColumn,0))</f>
        <v>2019</v>
      </c>
      <c r="H174">
        <f>INDEX(CalLookUpTable,MATCH($B174,CalLookUpRow,0),MATCH(H$1,CalLookUpColumn,0))</f>
        <v>2</v>
      </c>
      <c r="I174">
        <f>INDEX(CalLookUpTable,MATCH($B174,CalLookUpRow,0),MATCH(I$1,CalLookUpColumn,0))</f>
        <v>3</v>
      </c>
    </row>
    <row r="175" spans="1:9" x14ac:dyDescent="0.25">
      <c r="A175" s="7">
        <v>1</v>
      </c>
      <c r="B175" s="8">
        <v>43509</v>
      </c>
      <c r="C175" s="9" t="s">
        <v>5</v>
      </c>
      <c r="D175" s="10">
        <v>2401.5879999999997</v>
      </c>
      <c r="E175" s="10">
        <v>0</v>
      </c>
      <c r="F175" t="str">
        <f>VLOOKUP(A175,StoreLookup,2,FALSE)</f>
        <v>Store#1</v>
      </c>
      <c r="G175">
        <f>INDEX(CalLookUpTable,MATCH($B175,CalLookUpRow,0),MATCH(G$1,CalLookUpColumn,0))</f>
        <v>2019</v>
      </c>
      <c r="H175">
        <f>INDEX(CalLookUpTable,MATCH($B175,CalLookUpRow,0),MATCH(H$1,CalLookUpColumn,0))</f>
        <v>2</v>
      </c>
      <c r="I175">
        <f>INDEX(CalLookUpTable,MATCH($B175,CalLookUpRow,0),MATCH(I$1,CalLookUpColumn,0))</f>
        <v>3</v>
      </c>
    </row>
    <row r="176" spans="1:9" x14ac:dyDescent="0.25">
      <c r="A176" s="7">
        <v>1</v>
      </c>
      <c r="B176" s="8">
        <v>43509</v>
      </c>
      <c r="C176" s="9" t="s">
        <v>6</v>
      </c>
      <c r="D176" s="10">
        <v>728.67899999999997</v>
      </c>
      <c r="E176" s="10">
        <v>2369.7799999999997</v>
      </c>
      <c r="F176" t="str">
        <f>VLOOKUP(A176,StoreLookup,2,FALSE)</f>
        <v>Store#1</v>
      </c>
      <c r="G176">
        <f>INDEX(CalLookUpTable,MATCH($B176,CalLookUpRow,0),MATCH(G$1,CalLookUpColumn,0))</f>
        <v>2019</v>
      </c>
      <c r="H176">
        <f>INDEX(CalLookUpTable,MATCH($B176,CalLookUpRow,0),MATCH(H$1,CalLookUpColumn,0))</f>
        <v>2</v>
      </c>
      <c r="I176">
        <f>INDEX(CalLookUpTable,MATCH($B176,CalLookUpRow,0),MATCH(I$1,CalLookUpColumn,0))</f>
        <v>3</v>
      </c>
    </row>
    <row r="177" spans="1:9" x14ac:dyDescent="0.25">
      <c r="A177" s="7">
        <v>1</v>
      </c>
      <c r="B177" s="8">
        <v>43509</v>
      </c>
      <c r="C177" s="9" t="s">
        <v>4</v>
      </c>
      <c r="D177" s="10">
        <v>4159.5329999999994</v>
      </c>
      <c r="E177" s="10">
        <v>5396.5869999999995</v>
      </c>
      <c r="F177" t="str">
        <f>VLOOKUP(A177,StoreLookup,2,FALSE)</f>
        <v>Store#1</v>
      </c>
      <c r="G177">
        <f>INDEX(CalLookUpTable,MATCH($B177,CalLookUpRow,0),MATCH(G$1,CalLookUpColumn,0))</f>
        <v>2019</v>
      </c>
      <c r="H177">
        <f>INDEX(CalLookUpTable,MATCH($B177,CalLookUpRow,0),MATCH(H$1,CalLookUpColumn,0))</f>
        <v>2</v>
      </c>
      <c r="I177">
        <f>INDEX(CalLookUpTable,MATCH($B177,CalLookUpRow,0),MATCH(I$1,CalLookUpColumn,0))</f>
        <v>3</v>
      </c>
    </row>
    <row r="178" spans="1:9" x14ac:dyDescent="0.25">
      <c r="A178" s="7">
        <v>1</v>
      </c>
      <c r="B178" s="8">
        <v>43510</v>
      </c>
      <c r="C178" s="9" t="s">
        <v>5</v>
      </c>
      <c r="D178" s="10">
        <v>3811.0799999999995</v>
      </c>
      <c r="E178" s="10">
        <v>0</v>
      </c>
      <c r="F178" t="str">
        <f>VLOOKUP(A178,StoreLookup,2,FALSE)</f>
        <v>Store#1</v>
      </c>
      <c r="G178">
        <f>INDEX(CalLookUpTable,MATCH($B178,CalLookUpRow,0),MATCH(G$1,CalLookUpColumn,0))</f>
        <v>2019</v>
      </c>
      <c r="H178">
        <f>INDEX(CalLookUpTable,MATCH($B178,CalLookUpRow,0),MATCH(H$1,CalLookUpColumn,0))</f>
        <v>2</v>
      </c>
      <c r="I178">
        <f>INDEX(CalLookUpTable,MATCH($B178,CalLookUpRow,0),MATCH(I$1,CalLookUpColumn,0))</f>
        <v>3</v>
      </c>
    </row>
    <row r="179" spans="1:9" x14ac:dyDescent="0.25">
      <c r="A179" s="7">
        <v>1</v>
      </c>
      <c r="B179" s="8">
        <v>43510</v>
      </c>
      <c r="C179" s="9" t="s">
        <v>6</v>
      </c>
      <c r="D179" s="10">
        <v>1618.4979999999998</v>
      </c>
      <c r="E179" s="10">
        <v>975.947</v>
      </c>
      <c r="F179" t="str">
        <f>VLOOKUP(A179,StoreLookup,2,FALSE)</f>
        <v>Store#1</v>
      </c>
      <c r="G179">
        <f>INDEX(CalLookUpTable,MATCH($B179,CalLookUpRow,0),MATCH(G$1,CalLookUpColumn,0))</f>
        <v>2019</v>
      </c>
      <c r="H179">
        <f>INDEX(CalLookUpTable,MATCH($B179,CalLookUpRow,0),MATCH(H$1,CalLookUpColumn,0))</f>
        <v>2</v>
      </c>
      <c r="I179">
        <f>INDEX(CalLookUpTable,MATCH($B179,CalLookUpRow,0),MATCH(I$1,CalLookUpColumn,0))</f>
        <v>3</v>
      </c>
    </row>
    <row r="180" spans="1:9" x14ac:dyDescent="0.25">
      <c r="A180" s="7">
        <v>1</v>
      </c>
      <c r="B180" s="8">
        <v>43510</v>
      </c>
      <c r="C180" s="9" t="s">
        <v>4</v>
      </c>
      <c r="D180" s="10">
        <v>5438.741</v>
      </c>
      <c r="E180" s="10">
        <v>5330.8919999999998</v>
      </c>
      <c r="F180" t="str">
        <f>VLOOKUP(A180,StoreLookup,2,FALSE)</f>
        <v>Store#1</v>
      </c>
      <c r="G180">
        <f>INDEX(CalLookUpTable,MATCH($B180,CalLookUpRow,0),MATCH(G$1,CalLookUpColumn,0))</f>
        <v>2019</v>
      </c>
      <c r="H180">
        <f>INDEX(CalLookUpTable,MATCH($B180,CalLookUpRow,0),MATCH(H$1,CalLookUpColumn,0))</f>
        <v>2</v>
      </c>
      <c r="I180">
        <f>INDEX(CalLookUpTable,MATCH($B180,CalLookUpRow,0),MATCH(I$1,CalLookUpColumn,0))</f>
        <v>3</v>
      </c>
    </row>
    <row r="181" spans="1:9" x14ac:dyDescent="0.25">
      <c r="A181" s="7">
        <v>1</v>
      </c>
      <c r="B181" s="8">
        <v>43510</v>
      </c>
      <c r="C181" s="9" t="s">
        <v>3</v>
      </c>
      <c r="D181" s="10">
        <v>69.698999999999984</v>
      </c>
      <c r="E181" s="10">
        <v>1876.4619999999998</v>
      </c>
      <c r="F181" t="str">
        <f>VLOOKUP(A181,StoreLookup,2,FALSE)</f>
        <v>Store#1</v>
      </c>
      <c r="G181">
        <f>INDEX(CalLookUpTable,MATCH($B181,CalLookUpRow,0),MATCH(G$1,CalLookUpColumn,0))</f>
        <v>2019</v>
      </c>
      <c r="H181">
        <f>INDEX(CalLookUpTable,MATCH($B181,CalLookUpRow,0),MATCH(H$1,CalLookUpColumn,0))</f>
        <v>2</v>
      </c>
      <c r="I181">
        <f>INDEX(CalLookUpTable,MATCH($B181,CalLookUpRow,0),MATCH(I$1,CalLookUpColumn,0))</f>
        <v>3</v>
      </c>
    </row>
    <row r="182" spans="1:9" x14ac:dyDescent="0.25">
      <c r="A182" s="7">
        <v>1</v>
      </c>
      <c r="B182" s="8">
        <v>43511</v>
      </c>
      <c r="C182" s="9" t="s">
        <v>5</v>
      </c>
      <c r="D182" s="10">
        <v>3560.6759999999999</v>
      </c>
      <c r="E182" s="10">
        <v>0</v>
      </c>
      <c r="F182" t="str">
        <f>VLOOKUP(A182,StoreLookup,2,FALSE)</f>
        <v>Store#1</v>
      </c>
      <c r="G182">
        <f>INDEX(CalLookUpTable,MATCH($B182,CalLookUpRow,0),MATCH(G$1,CalLookUpColumn,0))</f>
        <v>2019</v>
      </c>
      <c r="H182">
        <f>INDEX(CalLookUpTable,MATCH($B182,CalLookUpRow,0),MATCH(H$1,CalLookUpColumn,0))</f>
        <v>2</v>
      </c>
      <c r="I182">
        <f>INDEX(CalLookUpTable,MATCH($B182,CalLookUpRow,0),MATCH(I$1,CalLookUpColumn,0))</f>
        <v>3</v>
      </c>
    </row>
    <row r="183" spans="1:9" x14ac:dyDescent="0.25">
      <c r="A183" s="7">
        <v>1</v>
      </c>
      <c r="B183" s="8">
        <v>43511</v>
      </c>
      <c r="C183" s="9" t="s">
        <v>6</v>
      </c>
      <c r="D183" s="10">
        <v>1253.4690000000001</v>
      </c>
      <c r="E183" s="10">
        <v>1474.1999999999998</v>
      </c>
      <c r="F183" t="str">
        <f>VLOOKUP(A183,StoreLookup,2,FALSE)</f>
        <v>Store#1</v>
      </c>
      <c r="G183">
        <f>INDEX(CalLookUpTable,MATCH($B183,CalLookUpRow,0),MATCH(G$1,CalLookUpColumn,0))</f>
        <v>2019</v>
      </c>
      <c r="H183">
        <f>INDEX(CalLookUpTable,MATCH($B183,CalLookUpRow,0),MATCH(H$1,CalLookUpColumn,0))</f>
        <v>2</v>
      </c>
      <c r="I183">
        <f>INDEX(CalLookUpTable,MATCH($B183,CalLookUpRow,0),MATCH(I$1,CalLookUpColumn,0))</f>
        <v>3</v>
      </c>
    </row>
    <row r="184" spans="1:9" x14ac:dyDescent="0.25">
      <c r="A184" s="7">
        <v>1</v>
      </c>
      <c r="B184" s="8">
        <v>43511</v>
      </c>
      <c r="C184" s="9" t="s">
        <v>3</v>
      </c>
      <c r="D184" s="10">
        <v>18.521999999999998</v>
      </c>
      <c r="E184" s="10">
        <v>0</v>
      </c>
      <c r="F184" t="str">
        <f>VLOOKUP(A184,StoreLookup,2,FALSE)</f>
        <v>Store#1</v>
      </c>
      <c r="G184">
        <f>INDEX(CalLookUpTable,MATCH($B184,CalLookUpRow,0),MATCH(G$1,CalLookUpColumn,0))</f>
        <v>2019</v>
      </c>
      <c r="H184">
        <f>INDEX(CalLookUpTable,MATCH($B184,CalLookUpRow,0),MATCH(H$1,CalLookUpColumn,0))</f>
        <v>2</v>
      </c>
      <c r="I184">
        <f>INDEX(CalLookUpTable,MATCH($B184,CalLookUpRow,0),MATCH(I$1,CalLookUpColumn,0))</f>
        <v>3</v>
      </c>
    </row>
    <row r="185" spans="1:9" x14ac:dyDescent="0.25">
      <c r="A185" s="7">
        <v>1</v>
      </c>
      <c r="B185" s="8">
        <v>43511</v>
      </c>
      <c r="C185" s="9" t="s">
        <v>4</v>
      </c>
      <c r="D185" s="10">
        <v>5137.6289999999999</v>
      </c>
      <c r="E185" s="10">
        <v>5940.5849999999991</v>
      </c>
      <c r="F185" t="str">
        <f>VLOOKUP(A185,StoreLookup,2,FALSE)</f>
        <v>Store#1</v>
      </c>
      <c r="G185">
        <f>INDEX(CalLookUpTable,MATCH($B185,CalLookUpRow,0),MATCH(G$1,CalLookUpColumn,0))</f>
        <v>2019</v>
      </c>
      <c r="H185">
        <f>INDEX(CalLookUpTable,MATCH($B185,CalLookUpRow,0),MATCH(H$1,CalLookUpColumn,0))</f>
        <v>2</v>
      </c>
      <c r="I185">
        <f>INDEX(CalLookUpTable,MATCH($B185,CalLookUpRow,0),MATCH(I$1,CalLookUpColumn,0))</f>
        <v>3</v>
      </c>
    </row>
    <row r="186" spans="1:9" x14ac:dyDescent="0.25">
      <c r="A186" s="7">
        <v>1</v>
      </c>
      <c r="B186" s="8">
        <v>43512</v>
      </c>
      <c r="C186" s="9" t="s">
        <v>4</v>
      </c>
      <c r="D186" s="10">
        <v>5543.110999999999</v>
      </c>
      <c r="E186" s="10">
        <v>5689.8379999999997</v>
      </c>
      <c r="F186" t="str">
        <f>VLOOKUP(A186,StoreLookup,2,FALSE)</f>
        <v>Store#1</v>
      </c>
      <c r="G186">
        <f>INDEX(CalLookUpTable,MATCH($B186,CalLookUpRow,0),MATCH(G$1,CalLookUpColumn,0))</f>
        <v>2019</v>
      </c>
      <c r="H186">
        <f>INDEX(CalLookUpTable,MATCH($B186,CalLookUpRow,0),MATCH(H$1,CalLookUpColumn,0))</f>
        <v>2</v>
      </c>
      <c r="I186">
        <f>INDEX(CalLookUpTable,MATCH($B186,CalLookUpRow,0),MATCH(I$1,CalLookUpColumn,0))</f>
        <v>3</v>
      </c>
    </row>
    <row r="187" spans="1:9" x14ac:dyDescent="0.25">
      <c r="A187" s="7">
        <v>1</v>
      </c>
      <c r="B187" s="8">
        <v>43512</v>
      </c>
      <c r="C187" s="9" t="s">
        <v>3</v>
      </c>
      <c r="D187" s="10">
        <v>23.414999999999999</v>
      </c>
      <c r="E187" s="10">
        <v>284.291</v>
      </c>
      <c r="F187" t="str">
        <f>VLOOKUP(A187,StoreLookup,2,FALSE)</f>
        <v>Store#1</v>
      </c>
      <c r="G187">
        <f>INDEX(CalLookUpTable,MATCH($B187,CalLookUpRow,0),MATCH(G$1,CalLookUpColumn,0))</f>
        <v>2019</v>
      </c>
      <c r="H187">
        <f>INDEX(CalLookUpTable,MATCH($B187,CalLookUpRow,0),MATCH(H$1,CalLookUpColumn,0))</f>
        <v>2</v>
      </c>
      <c r="I187">
        <f>INDEX(CalLookUpTable,MATCH($B187,CalLookUpRow,0),MATCH(I$1,CalLookUpColumn,0))</f>
        <v>3</v>
      </c>
    </row>
    <row r="188" spans="1:9" x14ac:dyDescent="0.25">
      <c r="A188" s="7">
        <v>1</v>
      </c>
      <c r="B188" s="8">
        <v>43512</v>
      </c>
      <c r="C188" s="9" t="s">
        <v>6</v>
      </c>
      <c r="D188" s="10">
        <v>996.29599999999994</v>
      </c>
      <c r="E188" s="10">
        <v>1401.8969999999999</v>
      </c>
      <c r="F188" t="str">
        <f>VLOOKUP(A188,StoreLookup,2,FALSE)</f>
        <v>Store#1</v>
      </c>
      <c r="G188">
        <f>INDEX(CalLookUpTable,MATCH($B188,CalLookUpRow,0),MATCH(G$1,CalLookUpColumn,0))</f>
        <v>2019</v>
      </c>
      <c r="H188">
        <f>INDEX(CalLookUpTable,MATCH($B188,CalLookUpRow,0),MATCH(H$1,CalLookUpColumn,0))</f>
        <v>2</v>
      </c>
      <c r="I188">
        <f>INDEX(CalLookUpTable,MATCH($B188,CalLookUpRow,0),MATCH(I$1,CalLookUpColumn,0))</f>
        <v>3</v>
      </c>
    </row>
    <row r="189" spans="1:9" x14ac:dyDescent="0.25">
      <c r="A189" s="7">
        <v>1</v>
      </c>
      <c r="B189" s="8">
        <v>43512</v>
      </c>
      <c r="C189" s="9" t="s">
        <v>5</v>
      </c>
      <c r="D189" s="10">
        <v>3309.0049999999997</v>
      </c>
      <c r="E189" s="10">
        <v>0</v>
      </c>
      <c r="F189" t="str">
        <f>VLOOKUP(A189,StoreLookup,2,FALSE)</f>
        <v>Store#1</v>
      </c>
      <c r="G189">
        <f>INDEX(CalLookUpTable,MATCH($B189,CalLookUpRow,0),MATCH(G$1,CalLookUpColumn,0))</f>
        <v>2019</v>
      </c>
      <c r="H189">
        <f>INDEX(CalLookUpTable,MATCH($B189,CalLookUpRow,0),MATCH(H$1,CalLookUpColumn,0))</f>
        <v>2</v>
      </c>
      <c r="I189">
        <f>INDEX(CalLookUpTable,MATCH($B189,CalLookUpRow,0),MATCH(I$1,CalLookUpColumn,0))</f>
        <v>3</v>
      </c>
    </row>
    <row r="190" spans="1:9" x14ac:dyDescent="0.25">
      <c r="A190" s="7">
        <v>1</v>
      </c>
      <c r="B190" s="8">
        <v>43513</v>
      </c>
      <c r="C190" s="9" t="s">
        <v>4</v>
      </c>
      <c r="D190" s="10">
        <v>2060.5549999999998</v>
      </c>
      <c r="E190" s="10">
        <v>2906.3789999999999</v>
      </c>
      <c r="F190" t="str">
        <f>VLOOKUP(A190,StoreLookup,2,FALSE)</f>
        <v>Store#1</v>
      </c>
      <c r="G190">
        <f>INDEX(CalLookUpTable,MATCH($B190,CalLookUpRow,0),MATCH(G$1,CalLookUpColumn,0))</f>
        <v>2019</v>
      </c>
      <c r="H190">
        <f>INDEX(CalLookUpTable,MATCH($B190,CalLookUpRow,0),MATCH(H$1,CalLookUpColumn,0))</f>
        <v>2</v>
      </c>
      <c r="I190">
        <f>INDEX(CalLookUpTable,MATCH($B190,CalLookUpRow,0),MATCH(I$1,CalLookUpColumn,0))</f>
        <v>3</v>
      </c>
    </row>
    <row r="191" spans="1:9" x14ac:dyDescent="0.25">
      <c r="A191" s="7">
        <v>1</v>
      </c>
      <c r="B191" s="8">
        <v>43513</v>
      </c>
      <c r="C191" s="9" t="s">
        <v>3</v>
      </c>
      <c r="D191" s="10">
        <v>0</v>
      </c>
      <c r="E191" s="10">
        <v>155.946</v>
      </c>
      <c r="F191" t="str">
        <f>VLOOKUP(A191,StoreLookup,2,FALSE)</f>
        <v>Store#1</v>
      </c>
      <c r="G191">
        <f>INDEX(CalLookUpTable,MATCH($B191,CalLookUpRow,0),MATCH(G$1,CalLookUpColumn,0))</f>
        <v>2019</v>
      </c>
      <c r="H191">
        <f>INDEX(CalLookUpTable,MATCH($B191,CalLookUpRow,0),MATCH(H$1,CalLookUpColumn,0))</f>
        <v>2</v>
      </c>
      <c r="I191">
        <f>INDEX(CalLookUpTable,MATCH($B191,CalLookUpRow,0),MATCH(I$1,CalLookUpColumn,0))</f>
        <v>3</v>
      </c>
    </row>
    <row r="192" spans="1:9" x14ac:dyDescent="0.25">
      <c r="A192" s="7">
        <v>1</v>
      </c>
      <c r="B192" s="8">
        <v>43513</v>
      </c>
      <c r="C192" s="9" t="s">
        <v>6</v>
      </c>
      <c r="D192" s="10">
        <v>98.839999999999989</v>
      </c>
      <c r="E192" s="10">
        <v>388.10099999999994</v>
      </c>
      <c r="F192" t="str">
        <f>VLOOKUP(A192,StoreLookup,2,FALSE)</f>
        <v>Store#1</v>
      </c>
      <c r="G192">
        <f>INDEX(CalLookUpTable,MATCH($B192,CalLookUpRow,0),MATCH(G$1,CalLookUpColumn,0))</f>
        <v>2019</v>
      </c>
      <c r="H192">
        <f>INDEX(CalLookUpTable,MATCH($B192,CalLookUpRow,0),MATCH(H$1,CalLookUpColumn,0))</f>
        <v>2</v>
      </c>
      <c r="I192">
        <f>INDEX(CalLookUpTable,MATCH($B192,CalLookUpRow,0),MATCH(I$1,CalLookUpColumn,0))</f>
        <v>3</v>
      </c>
    </row>
    <row r="193" spans="1:9" x14ac:dyDescent="0.25">
      <c r="A193" s="7">
        <v>1</v>
      </c>
      <c r="B193" s="8">
        <v>43513</v>
      </c>
      <c r="C193" s="9" t="s">
        <v>5</v>
      </c>
      <c r="D193" s="10">
        <v>1317.4839999999999</v>
      </c>
      <c r="E193" s="10">
        <v>0</v>
      </c>
      <c r="F193" t="str">
        <f>VLOOKUP(A193,StoreLookup,2,FALSE)</f>
        <v>Store#1</v>
      </c>
      <c r="G193">
        <f>INDEX(CalLookUpTable,MATCH($B193,CalLookUpRow,0),MATCH(G$1,CalLookUpColumn,0))</f>
        <v>2019</v>
      </c>
      <c r="H193">
        <f>INDEX(CalLookUpTable,MATCH($B193,CalLookUpRow,0),MATCH(H$1,CalLookUpColumn,0))</f>
        <v>2</v>
      </c>
      <c r="I193">
        <f>INDEX(CalLookUpTable,MATCH($B193,CalLookUpRow,0),MATCH(I$1,CalLookUpColumn,0))</f>
        <v>3</v>
      </c>
    </row>
    <row r="194" spans="1:9" x14ac:dyDescent="0.25">
      <c r="A194" s="7">
        <v>1</v>
      </c>
      <c r="B194" s="8">
        <v>43514</v>
      </c>
      <c r="C194" s="9" t="s">
        <v>6</v>
      </c>
      <c r="D194" s="10">
        <v>806.06399999999996</v>
      </c>
      <c r="E194" s="10">
        <v>1479.7439999999999</v>
      </c>
      <c r="F194" t="str">
        <f>VLOOKUP(A194,StoreLookup,2,FALSE)</f>
        <v>Store#1</v>
      </c>
      <c r="G194">
        <f>INDEX(CalLookUpTable,MATCH($B194,CalLookUpRow,0),MATCH(G$1,CalLookUpColumn,0))</f>
        <v>2019</v>
      </c>
      <c r="H194">
        <f>INDEX(CalLookUpTable,MATCH($B194,CalLookUpRow,0),MATCH(H$1,CalLookUpColumn,0))</f>
        <v>2</v>
      </c>
      <c r="I194">
        <f>INDEX(CalLookUpTable,MATCH($B194,CalLookUpRow,0),MATCH(I$1,CalLookUpColumn,0))</f>
        <v>4</v>
      </c>
    </row>
    <row r="195" spans="1:9" x14ac:dyDescent="0.25">
      <c r="A195" s="7">
        <v>1</v>
      </c>
      <c r="B195" s="8">
        <v>43514</v>
      </c>
      <c r="C195" s="9" t="s">
        <v>5</v>
      </c>
      <c r="D195" s="10">
        <v>3265.7170000000001</v>
      </c>
      <c r="E195" s="10">
        <v>0</v>
      </c>
      <c r="F195" t="str">
        <f>VLOOKUP(A195,StoreLookup,2,FALSE)</f>
        <v>Store#1</v>
      </c>
      <c r="G195">
        <f>INDEX(CalLookUpTable,MATCH($B195,CalLookUpRow,0),MATCH(G$1,CalLookUpColumn,0))</f>
        <v>2019</v>
      </c>
      <c r="H195">
        <f>INDEX(CalLookUpTable,MATCH($B195,CalLookUpRow,0),MATCH(H$1,CalLookUpColumn,0))</f>
        <v>2</v>
      </c>
      <c r="I195">
        <f>INDEX(CalLookUpTable,MATCH($B195,CalLookUpRow,0),MATCH(I$1,CalLookUpColumn,0))</f>
        <v>4</v>
      </c>
    </row>
    <row r="196" spans="1:9" x14ac:dyDescent="0.25">
      <c r="A196" s="7">
        <v>1</v>
      </c>
      <c r="B196" s="8">
        <v>43514</v>
      </c>
      <c r="C196" s="9" t="s">
        <v>4</v>
      </c>
      <c r="D196" s="10">
        <v>5271.4059999999999</v>
      </c>
      <c r="E196" s="10">
        <v>5537.0420000000004</v>
      </c>
      <c r="F196" t="str">
        <f>VLOOKUP(A196,StoreLookup,2,FALSE)</f>
        <v>Store#1</v>
      </c>
      <c r="G196">
        <f>INDEX(CalLookUpTable,MATCH($B196,CalLookUpRow,0),MATCH(G$1,CalLookUpColumn,0))</f>
        <v>2019</v>
      </c>
      <c r="H196">
        <f>INDEX(CalLookUpTable,MATCH($B196,CalLookUpRow,0),MATCH(H$1,CalLookUpColumn,0))</f>
        <v>2</v>
      </c>
      <c r="I196">
        <f>INDEX(CalLookUpTable,MATCH($B196,CalLookUpRow,0),MATCH(I$1,CalLookUpColumn,0))</f>
        <v>4</v>
      </c>
    </row>
    <row r="197" spans="1:9" x14ac:dyDescent="0.25">
      <c r="A197" s="7">
        <v>1</v>
      </c>
      <c r="B197" s="8">
        <v>43514</v>
      </c>
      <c r="C197" s="9" t="s">
        <v>3</v>
      </c>
      <c r="D197" s="10">
        <v>11.186</v>
      </c>
      <c r="E197" s="10">
        <v>0</v>
      </c>
      <c r="F197" t="str">
        <f>VLOOKUP(A197,StoreLookup,2,FALSE)</f>
        <v>Store#1</v>
      </c>
      <c r="G197">
        <f>INDEX(CalLookUpTable,MATCH($B197,CalLookUpRow,0),MATCH(G$1,CalLookUpColumn,0))</f>
        <v>2019</v>
      </c>
      <c r="H197">
        <f>INDEX(CalLookUpTable,MATCH($B197,CalLookUpRow,0),MATCH(H$1,CalLookUpColumn,0))</f>
        <v>2</v>
      </c>
      <c r="I197">
        <f>INDEX(CalLookUpTable,MATCH($B197,CalLookUpRow,0),MATCH(I$1,CalLookUpColumn,0))</f>
        <v>4</v>
      </c>
    </row>
    <row r="198" spans="1:9" x14ac:dyDescent="0.25">
      <c r="A198" s="7">
        <v>1</v>
      </c>
      <c r="B198" s="8">
        <v>43515</v>
      </c>
      <c r="C198" s="9" t="s">
        <v>6</v>
      </c>
      <c r="D198" s="10">
        <v>1005.8089999999999</v>
      </c>
      <c r="E198" s="10">
        <v>1142.953</v>
      </c>
      <c r="F198" t="str">
        <f>VLOOKUP(A198,StoreLookup,2,FALSE)</f>
        <v>Store#1</v>
      </c>
      <c r="G198">
        <f>INDEX(CalLookUpTable,MATCH($B198,CalLookUpRow,0),MATCH(G$1,CalLookUpColumn,0))</f>
        <v>2019</v>
      </c>
      <c r="H198">
        <f>INDEX(CalLookUpTable,MATCH($B198,CalLookUpRow,0),MATCH(H$1,CalLookUpColumn,0))</f>
        <v>2</v>
      </c>
      <c r="I198">
        <f>INDEX(CalLookUpTable,MATCH($B198,CalLookUpRow,0),MATCH(I$1,CalLookUpColumn,0))</f>
        <v>4</v>
      </c>
    </row>
    <row r="199" spans="1:9" x14ac:dyDescent="0.25">
      <c r="A199" s="7">
        <v>1</v>
      </c>
      <c r="B199" s="8">
        <v>43515</v>
      </c>
      <c r="C199" s="9" t="s">
        <v>4</v>
      </c>
      <c r="D199" s="10">
        <v>3366.2929999999997</v>
      </c>
      <c r="E199" s="10">
        <v>4438.6719999999996</v>
      </c>
      <c r="F199" t="str">
        <f>VLOOKUP(A199,StoreLookup,2,FALSE)</f>
        <v>Store#1</v>
      </c>
      <c r="G199">
        <f>INDEX(CalLookUpTable,MATCH($B199,CalLookUpRow,0),MATCH(G$1,CalLookUpColumn,0))</f>
        <v>2019</v>
      </c>
      <c r="H199">
        <f>INDEX(CalLookUpTable,MATCH($B199,CalLookUpRow,0),MATCH(H$1,CalLookUpColumn,0))</f>
        <v>2</v>
      </c>
      <c r="I199">
        <f>INDEX(CalLookUpTable,MATCH($B199,CalLookUpRow,0),MATCH(I$1,CalLookUpColumn,0))</f>
        <v>4</v>
      </c>
    </row>
    <row r="200" spans="1:9" x14ac:dyDescent="0.25">
      <c r="A200" s="7">
        <v>1</v>
      </c>
      <c r="B200" s="8">
        <v>43515</v>
      </c>
      <c r="C200" s="9" t="s">
        <v>3</v>
      </c>
      <c r="D200" s="10">
        <v>125.181</v>
      </c>
      <c r="E200" s="10">
        <v>1017.5899999999999</v>
      </c>
      <c r="F200" t="str">
        <f>VLOOKUP(A200,StoreLookup,2,FALSE)</f>
        <v>Store#1</v>
      </c>
      <c r="G200">
        <f>INDEX(CalLookUpTable,MATCH($B200,CalLookUpRow,0),MATCH(G$1,CalLookUpColumn,0))</f>
        <v>2019</v>
      </c>
      <c r="H200">
        <f>INDEX(CalLookUpTable,MATCH($B200,CalLookUpRow,0),MATCH(H$1,CalLookUpColumn,0))</f>
        <v>2</v>
      </c>
      <c r="I200">
        <f>INDEX(CalLookUpTable,MATCH($B200,CalLookUpRow,0),MATCH(I$1,CalLookUpColumn,0))</f>
        <v>4</v>
      </c>
    </row>
    <row r="201" spans="1:9" x14ac:dyDescent="0.25">
      <c r="A201" s="7">
        <v>1</v>
      </c>
      <c r="B201" s="8">
        <v>43515</v>
      </c>
      <c r="C201" s="9" t="s">
        <v>5</v>
      </c>
      <c r="D201" s="10">
        <v>2967.9159999999997</v>
      </c>
      <c r="E201" s="10">
        <v>0</v>
      </c>
      <c r="F201" t="str">
        <f>VLOOKUP(A201,StoreLookup,2,FALSE)</f>
        <v>Store#1</v>
      </c>
      <c r="G201">
        <f>INDEX(CalLookUpTable,MATCH($B201,CalLookUpRow,0),MATCH(G$1,CalLookUpColumn,0))</f>
        <v>2019</v>
      </c>
      <c r="H201">
        <f>INDEX(CalLookUpTable,MATCH($B201,CalLookUpRow,0),MATCH(H$1,CalLookUpColumn,0))</f>
        <v>2</v>
      </c>
      <c r="I201">
        <f>INDEX(CalLookUpTable,MATCH($B201,CalLookUpRow,0),MATCH(I$1,CalLookUpColumn,0))</f>
        <v>4</v>
      </c>
    </row>
    <row r="202" spans="1:9" x14ac:dyDescent="0.25">
      <c r="A202" s="7">
        <v>1</v>
      </c>
      <c r="B202" s="8">
        <v>43516</v>
      </c>
      <c r="C202" s="9" t="s">
        <v>4</v>
      </c>
      <c r="D202" s="10">
        <v>3887.1279999999997</v>
      </c>
      <c r="E202" s="10">
        <v>5094.4319999999998</v>
      </c>
      <c r="F202" t="str">
        <f>VLOOKUP(A202,StoreLookup,2,FALSE)</f>
        <v>Store#1</v>
      </c>
      <c r="G202">
        <f>INDEX(CalLookUpTable,MATCH($B202,CalLookUpRow,0),MATCH(G$1,CalLookUpColumn,0))</f>
        <v>2019</v>
      </c>
      <c r="H202">
        <f>INDEX(CalLookUpTable,MATCH($B202,CalLookUpRow,0),MATCH(H$1,CalLookUpColumn,0))</f>
        <v>2</v>
      </c>
      <c r="I202">
        <f>INDEX(CalLookUpTable,MATCH($B202,CalLookUpRow,0),MATCH(I$1,CalLookUpColumn,0))</f>
        <v>4</v>
      </c>
    </row>
    <row r="203" spans="1:9" x14ac:dyDescent="0.25">
      <c r="A203" s="7">
        <v>1</v>
      </c>
      <c r="B203" s="8">
        <v>43516</v>
      </c>
      <c r="C203" s="9" t="s">
        <v>3</v>
      </c>
      <c r="D203" s="10">
        <v>0</v>
      </c>
      <c r="E203" s="10">
        <v>1234.03</v>
      </c>
      <c r="F203" t="str">
        <f>VLOOKUP(A203,StoreLookup,2,FALSE)</f>
        <v>Store#1</v>
      </c>
      <c r="G203">
        <f>INDEX(CalLookUpTable,MATCH($B203,CalLookUpRow,0),MATCH(G$1,CalLookUpColumn,0))</f>
        <v>2019</v>
      </c>
      <c r="H203">
        <f>INDEX(CalLookUpTable,MATCH($B203,CalLookUpRow,0),MATCH(H$1,CalLookUpColumn,0))</f>
        <v>2</v>
      </c>
      <c r="I203">
        <f>INDEX(CalLookUpTable,MATCH($B203,CalLookUpRow,0),MATCH(I$1,CalLookUpColumn,0))</f>
        <v>4</v>
      </c>
    </row>
    <row r="204" spans="1:9" x14ac:dyDescent="0.25">
      <c r="A204" s="7">
        <v>1</v>
      </c>
      <c r="B204" s="8">
        <v>43516</v>
      </c>
      <c r="C204" s="9" t="s">
        <v>5</v>
      </c>
      <c r="D204" s="10">
        <v>2818.5429999999997</v>
      </c>
      <c r="E204" s="10">
        <v>0</v>
      </c>
      <c r="F204" t="str">
        <f>VLOOKUP(A204,StoreLookup,2,FALSE)</f>
        <v>Store#1</v>
      </c>
      <c r="G204">
        <f>INDEX(CalLookUpTable,MATCH($B204,CalLookUpRow,0),MATCH(G$1,CalLookUpColumn,0))</f>
        <v>2019</v>
      </c>
      <c r="H204">
        <f>INDEX(CalLookUpTable,MATCH($B204,CalLookUpRow,0),MATCH(H$1,CalLookUpColumn,0))</f>
        <v>2</v>
      </c>
      <c r="I204">
        <f>INDEX(CalLookUpTable,MATCH($B204,CalLookUpRow,0),MATCH(I$1,CalLookUpColumn,0))</f>
        <v>4</v>
      </c>
    </row>
    <row r="205" spans="1:9" x14ac:dyDescent="0.25">
      <c r="A205" s="7">
        <v>1</v>
      </c>
      <c r="B205" s="8">
        <v>43516</v>
      </c>
      <c r="C205" s="9" t="s">
        <v>6</v>
      </c>
      <c r="D205" s="10">
        <v>1114.547</v>
      </c>
      <c r="E205" s="10">
        <v>1587.271</v>
      </c>
      <c r="F205" t="str">
        <f>VLOOKUP(A205,StoreLookup,2,FALSE)</f>
        <v>Store#1</v>
      </c>
      <c r="G205">
        <f>INDEX(CalLookUpTable,MATCH($B205,CalLookUpRow,0),MATCH(G$1,CalLookUpColumn,0))</f>
        <v>2019</v>
      </c>
      <c r="H205">
        <f>INDEX(CalLookUpTable,MATCH($B205,CalLookUpRow,0),MATCH(H$1,CalLookUpColumn,0))</f>
        <v>2</v>
      </c>
      <c r="I205">
        <f>INDEX(CalLookUpTable,MATCH($B205,CalLookUpRow,0),MATCH(I$1,CalLookUpColumn,0))</f>
        <v>4</v>
      </c>
    </row>
    <row r="206" spans="1:9" x14ac:dyDescent="0.25">
      <c r="A206" s="7">
        <v>1</v>
      </c>
      <c r="B206" s="8">
        <v>43517</v>
      </c>
      <c r="C206" s="9" t="s">
        <v>5</v>
      </c>
      <c r="D206" s="10">
        <v>3444.1189999999997</v>
      </c>
      <c r="E206" s="10">
        <v>0</v>
      </c>
      <c r="F206" t="str">
        <f>VLOOKUP(A206,StoreLookup,2,FALSE)</f>
        <v>Store#1</v>
      </c>
      <c r="G206">
        <f>INDEX(CalLookUpTable,MATCH($B206,CalLookUpRow,0),MATCH(G$1,CalLookUpColumn,0))</f>
        <v>2019</v>
      </c>
      <c r="H206">
        <f>INDEX(CalLookUpTable,MATCH($B206,CalLookUpRow,0),MATCH(H$1,CalLookUpColumn,0))</f>
        <v>2</v>
      </c>
      <c r="I206">
        <f>INDEX(CalLookUpTable,MATCH($B206,CalLookUpRow,0),MATCH(I$1,CalLookUpColumn,0))</f>
        <v>4</v>
      </c>
    </row>
    <row r="207" spans="1:9" x14ac:dyDescent="0.25">
      <c r="A207" s="7">
        <v>1</v>
      </c>
      <c r="B207" s="8">
        <v>43517</v>
      </c>
      <c r="C207" s="9" t="s">
        <v>4</v>
      </c>
      <c r="D207" s="10">
        <v>4281.4589999999998</v>
      </c>
      <c r="E207" s="10">
        <v>5338.9489999999996</v>
      </c>
      <c r="F207" t="str">
        <f>VLOOKUP(A207,StoreLookup,2,FALSE)</f>
        <v>Store#1</v>
      </c>
      <c r="G207">
        <f>INDEX(CalLookUpTable,MATCH($B207,CalLookUpRow,0),MATCH(G$1,CalLookUpColumn,0))</f>
        <v>2019</v>
      </c>
      <c r="H207">
        <f>INDEX(CalLookUpTable,MATCH($B207,CalLookUpRow,0),MATCH(H$1,CalLookUpColumn,0))</f>
        <v>2</v>
      </c>
      <c r="I207">
        <f>INDEX(CalLookUpTable,MATCH($B207,CalLookUpRow,0),MATCH(I$1,CalLookUpColumn,0))</f>
        <v>4</v>
      </c>
    </row>
    <row r="208" spans="1:9" x14ac:dyDescent="0.25">
      <c r="A208" s="7">
        <v>1</v>
      </c>
      <c r="B208" s="8">
        <v>43517</v>
      </c>
      <c r="C208" s="9" t="s">
        <v>6</v>
      </c>
      <c r="D208" s="10">
        <v>1245.1599999999999</v>
      </c>
      <c r="E208" s="10">
        <v>1539.7619999999997</v>
      </c>
      <c r="F208" t="str">
        <f>VLOOKUP(A208,StoreLookup,2,FALSE)</f>
        <v>Store#1</v>
      </c>
      <c r="G208">
        <f>INDEX(CalLookUpTable,MATCH($B208,CalLookUpRow,0),MATCH(G$1,CalLookUpColumn,0))</f>
        <v>2019</v>
      </c>
      <c r="H208">
        <f>INDEX(CalLookUpTable,MATCH($B208,CalLookUpRow,0),MATCH(H$1,CalLookUpColumn,0))</f>
        <v>2</v>
      </c>
      <c r="I208">
        <f>INDEX(CalLookUpTable,MATCH($B208,CalLookUpRow,0),MATCH(I$1,CalLookUpColumn,0))</f>
        <v>4</v>
      </c>
    </row>
    <row r="209" spans="1:9" x14ac:dyDescent="0.25">
      <c r="A209" s="7">
        <v>1</v>
      </c>
      <c r="B209" s="8">
        <v>43517</v>
      </c>
      <c r="C209" s="9" t="s">
        <v>3</v>
      </c>
      <c r="D209" s="10">
        <v>289.54799999999994</v>
      </c>
      <c r="E209" s="10">
        <v>2528.6379999999999</v>
      </c>
      <c r="F209" t="str">
        <f>VLOOKUP(A209,StoreLookup,2,FALSE)</f>
        <v>Store#1</v>
      </c>
      <c r="G209">
        <f>INDEX(CalLookUpTable,MATCH($B209,CalLookUpRow,0),MATCH(G$1,CalLookUpColumn,0))</f>
        <v>2019</v>
      </c>
      <c r="H209">
        <f>INDEX(CalLookUpTable,MATCH($B209,CalLookUpRow,0),MATCH(H$1,CalLookUpColumn,0))</f>
        <v>2</v>
      </c>
      <c r="I209">
        <f>INDEX(CalLookUpTable,MATCH($B209,CalLookUpRow,0),MATCH(I$1,CalLookUpColumn,0))</f>
        <v>4</v>
      </c>
    </row>
    <row r="210" spans="1:9" x14ac:dyDescent="0.25">
      <c r="A210" s="7">
        <v>1</v>
      </c>
      <c r="B210" s="8">
        <v>43518</v>
      </c>
      <c r="C210" s="9" t="s">
        <v>3</v>
      </c>
      <c r="D210" s="10">
        <v>600.45299999999997</v>
      </c>
      <c r="E210" s="10">
        <v>403.86500000000001</v>
      </c>
      <c r="F210" t="str">
        <f>VLOOKUP(A210,StoreLookup,2,FALSE)</f>
        <v>Store#1</v>
      </c>
      <c r="G210">
        <f>INDEX(CalLookUpTable,MATCH($B210,CalLookUpRow,0),MATCH(G$1,CalLookUpColumn,0))</f>
        <v>2019</v>
      </c>
      <c r="H210">
        <f>INDEX(CalLookUpTable,MATCH($B210,CalLookUpRow,0),MATCH(H$1,CalLookUpColumn,0))</f>
        <v>2</v>
      </c>
      <c r="I210">
        <f>INDEX(CalLookUpTable,MATCH($B210,CalLookUpRow,0),MATCH(I$1,CalLookUpColumn,0))</f>
        <v>4</v>
      </c>
    </row>
    <row r="211" spans="1:9" x14ac:dyDescent="0.25">
      <c r="A211" s="7">
        <v>1</v>
      </c>
      <c r="B211" s="8">
        <v>43518</v>
      </c>
      <c r="C211" s="9" t="s">
        <v>5</v>
      </c>
      <c r="D211" s="10">
        <v>4109.7769999999991</v>
      </c>
      <c r="E211" s="10">
        <v>0</v>
      </c>
      <c r="F211" t="str">
        <f>VLOOKUP(A211,StoreLookup,2,FALSE)</f>
        <v>Store#1</v>
      </c>
      <c r="G211">
        <f>INDEX(CalLookUpTable,MATCH($B211,CalLookUpRow,0),MATCH(G$1,CalLookUpColumn,0))</f>
        <v>2019</v>
      </c>
      <c r="H211">
        <f>INDEX(CalLookUpTable,MATCH($B211,CalLookUpRow,0),MATCH(H$1,CalLookUpColumn,0))</f>
        <v>2</v>
      </c>
      <c r="I211">
        <f>INDEX(CalLookUpTable,MATCH($B211,CalLookUpRow,0),MATCH(I$1,CalLookUpColumn,0))</f>
        <v>4</v>
      </c>
    </row>
    <row r="212" spans="1:9" x14ac:dyDescent="0.25">
      <c r="A212" s="7">
        <v>1</v>
      </c>
      <c r="B212" s="8">
        <v>43518</v>
      </c>
      <c r="C212" s="9" t="s">
        <v>4</v>
      </c>
      <c r="D212" s="10">
        <v>6077.0709999999999</v>
      </c>
      <c r="E212" s="10">
        <v>6568.0509999999995</v>
      </c>
      <c r="F212" t="str">
        <f>VLOOKUP(A212,StoreLookup,2,FALSE)</f>
        <v>Store#1</v>
      </c>
      <c r="G212">
        <f>INDEX(CalLookUpTable,MATCH($B212,CalLookUpRow,0),MATCH(G$1,CalLookUpColumn,0))</f>
        <v>2019</v>
      </c>
      <c r="H212">
        <f>INDEX(CalLookUpTable,MATCH($B212,CalLookUpRow,0),MATCH(H$1,CalLookUpColumn,0))</f>
        <v>2</v>
      </c>
      <c r="I212">
        <f>INDEX(CalLookUpTable,MATCH($B212,CalLookUpRow,0),MATCH(I$1,CalLookUpColumn,0))</f>
        <v>4</v>
      </c>
    </row>
    <row r="213" spans="1:9" x14ac:dyDescent="0.25">
      <c r="A213" s="7">
        <v>1</v>
      </c>
      <c r="B213" s="8">
        <v>43518</v>
      </c>
      <c r="C213" s="9" t="s">
        <v>6</v>
      </c>
      <c r="D213" s="10">
        <v>873.31299999999987</v>
      </c>
      <c r="E213" s="10">
        <v>1945.566</v>
      </c>
      <c r="F213" t="str">
        <f>VLOOKUP(A213,StoreLookup,2,FALSE)</f>
        <v>Store#1</v>
      </c>
      <c r="G213">
        <f>INDEX(CalLookUpTable,MATCH($B213,CalLookUpRow,0),MATCH(G$1,CalLookUpColumn,0))</f>
        <v>2019</v>
      </c>
      <c r="H213">
        <f>INDEX(CalLookUpTable,MATCH($B213,CalLookUpRow,0),MATCH(H$1,CalLookUpColumn,0))</f>
        <v>2</v>
      </c>
      <c r="I213">
        <f>INDEX(CalLookUpTable,MATCH($B213,CalLookUpRow,0),MATCH(I$1,CalLookUpColumn,0))</f>
        <v>4</v>
      </c>
    </row>
    <row r="214" spans="1:9" x14ac:dyDescent="0.25">
      <c r="A214" s="7">
        <v>1</v>
      </c>
      <c r="B214" s="8">
        <v>43519</v>
      </c>
      <c r="C214" s="9" t="s">
        <v>3</v>
      </c>
      <c r="D214" s="10">
        <v>65.73</v>
      </c>
      <c r="E214" s="10">
        <v>363.48199999999997</v>
      </c>
      <c r="F214" t="str">
        <f>VLOOKUP(A214,StoreLookup,2,FALSE)</f>
        <v>Store#1</v>
      </c>
      <c r="G214">
        <f>INDEX(CalLookUpTable,MATCH($B214,CalLookUpRow,0),MATCH(G$1,CalLookUpColumn,0))</f>
        <v>2019</v>
      </c>
      <c r="H214">
        <f>INDEX(CalLookUpTable,MATCH($B214,CalLookUpRow,0),MATCH(H$1,CalLookUpColumn,0))</f>
        <v>2</v>
      </c>
      <c r="I214">
        <f>INDEX(CalLookUpTable,MATCH($B214,CalLookUpRow,0),MATCH(I$1,CalLookUpColumn,0))</f>
        <v>4</v>
      </c>
    </row>
    <row r="215" spans="1:9" x14ac:dyDescent="0.25">
      <c r="A215" s="7">
        <v>1</v>
      </c>
      <c r="B215" s="8">
        <v>43519</v>
      </c>
      <c r="C215" s="9" t="s">
        <v>5</v>
      </c>
      <c r="D215" s="10">
        <v>3199.623</v>
      </c>
      <c r="E215" s="10">
        <v>0</v>
      </c>
      <c r="F215" t="str">
        <f>VLOOKUP(A215,StoreLookup,2,FALSE)</f>
        <v>Store#1</v>
      </c>
      <c r="G215">
        <f>INDEX(CalLookUpTable,MATCH($B215,CalLookUpRow,0),MATCH(G$1,CalLookUpColumn,0))</f>
        <v>2019</v>
      </c>
      <c r="H215">
        <f>INDEX(CalLookUpTable,MATCH($B215,CalLookUpRow,0),MATCH(H$1,CalLookUpColumn,0))</f>
        <v>2</v>
      </c>
      <c r="I215">
        <f>INDEX(CalLookUpTable,MATCH($B215,CalLookUpRow,0),MATCH(I$1,CalLookUpColumn,0))</f>
        <v>4</v>
      </c>
    </row>
    <row r="216" spans="1:9" x14ac:dyDescent="0.25">
      <c r="A216" s="7">
        <v>1</v>
      </c>
      <c r="B216" s="8">
        <v>43519</v>
      </c>
      <c r="C216" s="9" t="s">
        <v>6</v>
      </c>
      <c r="D216" s="10">
        <v>1057.49</v>
      </c>
      <c r="E216" s="10">
        <v>2786.105</v>
      </c>
      <c r="F216" t="str">
        <f>VLOOKUP(A216,StoreLookup,2,FALSE)</f>
        <v>Store#1</v>
      </c>
      <c r="G216">
        <f>INDEX(CalLookUpTable,MATCH($B216,CalLookUpRow,0),MATCH(G$1,CalLookUpColumn,0))</f>
        <v>2019</v>
      </c>
      <c r="H216">
        <f>INDEX(CalLookUpTable,MATCH($B216,CalLookUpRow,0),MATCH(H$1,CalLookUpColumn,0))</f>
        <v>2</v>
      </c>
      <c r="I216">
        <f>INDEX(CalLookUpTable,MATCH($B216,CalLookUpRow,0),MATCH(I$1,CalLookUpColumn,0))</f>
        <v>4</v>
      </c>
    </row>
    <row r="217" spans="1:9" x14ac:dyDescent="0.25">
      <c r="A217" s="7">
        <v>1</v>
      </c>
      <c r="B217" s="8">
        <v>43519</v>
      </c>
      <c r="C217" s="9" t="s">
        <v>4</v>
      </c>
      <c r="D217" s="10">
        <v>5946.4650000000001</v>
      </c>
      <c r="E217" s="10">
        <v>6872.7749999999996</v>
      </c>
      <c r="F217" t="str">
        <f>VLOOKUP(A217,StoreLookup,2,FALSE)</f>
        <v>Store#1</v>
      </c>
      <c r="G217">
        <f>INDEX(CalLookUpTable,MATCH($B217,CalLookUpRow,0),MATCH(G$1,CalLookUpColumn,0))</f>
        <v>2019</v>
      </c>
      <c r="H217">
        <f>INDEX(CalLookUpTable,MATCH($B217,CalLookUpRow,0),MATCH(H$1,CalLookUpColumn,0))</f>
        <v>2</v>
      </c>
      <c r="I217">
        <f>INDEX(CalLookUpTable,MATCH($B217,CalLookUpRow,0),MATCH(I$1,CalLookUpColumn,0))</f>
        <v>4</v>
      </c>
    </row>
    <row r="218" spans="1:9" x14ac:dyDescent="0.25">
      <c r="A218" s="7">
        <v>1</v>
      </c>
      <c r="B218" s="8">
        <v>43520</v>
      </c>
      <c r="C218" s="9" t="s">
        <v>5</v>
      </c>
      <c r="D218" s="10">
        <v>1409.9189999999999</v>
      </c>
      <c r="E218" s="10">
        <v>0</v>
      </c>
      <c r="F218" t="str">
        <f>VLOOKUP(A218,StoreLookup,2,FALSE)</f>
        <v>Store#1</v>
      </c>
      <c r="G218">
        <f>INDEX(CalLookUpTable,MATCH($B218,CalLookUpRow,0),MATCH(G$1,CalLookUpColumn,0))</f>
        <v>2019</v>
      </c>
      <c r="H218">
        <f>INDEX(CalLookUpTable,MATCH($B218,CalLookUpRow,0),MATCH(H$1,CalLookUpColumn,0))</f>
        <v>2</v>
      </c>
      <c r="I218">
        <f>INDEX(CalLookUpTable,MATCH($B218,CalLookUpRow,0),MATCH(I$1,CalLookUpColumn,0))</f>
        <v>4</v>
      </c>
    </row>
    <row r="219" spans="1:9" x14ac:dyDescent="0.25">
      <c r="A219" s="7">
        <v>1</v>
      </c>
      <c r="B219" s="8">
        <v>43520</v>
      </c>
      <c r="C219" s="9" t="s">
        <v>6</v>
      </c>
      <c r="D219" s="10">
        <v>117.23599999999999</v>
      </c>
      <c r="E219" s="10">
        <v>395.49299999999999</v>
      </c>
      <c r="F219" t="str">
        <f>VLOOKUP(A219,StoreLookup,2,FALSE)</f>
        <v>Store#1</v>
      </c>
      <c r="G219">
        <f>INDEX(CalLookUpTable,MATCH($B219,CalLookUpRow,0),MATCH(G$1,CalLookUpColumn,0))</f>
        <v>2019</v>
      </c>
      <c r="H219">
        <f>INDEX(CalLookUpTable,MATCH($B219,CalLookUpRow,0),MATCH(H$1,CalLookUpColumn,0))</f>
        <v>2</v>
      </c>
      <c r="I219">
        <f>INDEX(CalLookUpTable,MATCH($B219,CalLookUpRow,0),MATCH(I$1,CalLookUpColumn,0))</f>
        <v>4</v>
      </c>
    </row>
    <row r="220" spans="1:9" x14ac:dyDescent="0.25">
      <c r="A220" s="7">
        <v>1</v>
      </c>
      <c r="B220" s="8">
        <v>43520</v>
      </c>
      <c r="C220" s="9" t="s">
        <v>4</v>
      </c>
      <c r="D220" s="10">
        <v>2073.799</v>
      </c>
      <c r="E220" s="10">
        <v>2178.9459999999999</v>
      </c>
      <c r="F220" t="str">
        <f>VLOOKUP(A220,StoreLookup,2,FALSE)</f>
        <v>Store#1</v>
      </c>
      <c r="G220">
        <f>INDEX(CalLookUpTable,MATCH($B220,CalLookUpRow,0),MATCH(G$1,CalLookUpColumn,0))</f>
        <v>2019</v>
      </c>
      <c r="H220">
        <f>INDEX(CalLookUpTable,MATCH($B220,CalLookUpRow,0),MATCH(H$1,CalLookUpColumn,0))</f>
        <v>2</v>
      </c>
      <c r="I220">
        <f>INDEX(CalLookUpTable,MATCH($B220,CalLookUpRow,0),MATCH(I$1,CalLookUpColumn,0))</f>
        <v>4</v>
      </c>
    </row>
    <row r="221" spans="1:9" x14ac:dyDescent="0.25">
      <c r="A221" s="7">
        <v>1</v>
      </c>
      <c r="B221" s="8">
        <v>43520</v>
      </c>
      <c r="C221" s="9" t="s">
        <v>3</v>
      </c>
      <c r="D221" s="10">
        <v>22.715</v>
      </c>
      <c r="E221" s="10">
        <v>0</v>
      </c>
      <c r="F221" t="str">
        <f>VLOOKUP(A221,StoreLookup,2,FALSE)</f>
        <v>Store#1</v>
      </c>
      <c r="G221">
        <f>INDEX(CalLookUpTable,MATCH($B221,CalLookUpRow,0),MATCH(G$1,CalLookUpColumn,0))</f>
        <v>2019</v>
      </c>
      <c r="H221">
        <f>INDEX(CalLookUpTable,MATCH($B221,CalLookUpRow,0),MATCH(H$1,CalLookUpColumn,0))</f>
        <v>2</v>
      </c>
      <c r="I221">
        <f>INDEX(CalLookUpTable,MATCH($B221,CalLookUpRow,0),MATCH(I$1,CalLookUpColumn,0))</f>
        <v>4</v>
      </c>
    </row>
    <row r="222" spans="1:9" x14ac:dyDescent="0.25">
      <c r="A222" s="7">
        <v>1</v>
      </c>
      <c r="B222" s="8">
        <v>43521</v>
      </c>
      <c r="C222" s="9" t="s">
        <v>3</v>
      </c>
      <c r="D222" s="10">
        <v>164.70299999999997</v>
      </c>
      <c r="E222" s="10">
        <v>178.52799999999999</v>
      </c>
      <c r="F222" t="str">
        <f>VLOOKUP(A222,StoreLookup,2,FALSE)</f>
        <v>Store#1</v>
      </c>
      <c r="G222">
        <f>INDEX(CalLookUpTable,MATCH($B222,CalLookUpRow,0),MATCH(G$1,CalLookUpColumn,0))</f>
        <v>2019</v>
      </c>
      <c r="H222">
        <f>INDEX(CalLookUpTable,MATCH($B222,CalLookUpRow,0),MATCH(H$1,CalLookUpColumn,0))</f>
        <v>3</v>
      </c>
      <c r="I222">
        <f>INDEX(CalLookUpTable,MATCH($B222,CalLookUpRow,0),MATCH(I$1,CalLookUpColumn,0))</f>
        <v>1</v>
      </c>
    </row>
    <row r="223" spans="1:9" x14ac:dyDescent="0.25">
      <c r="A223" s="7">
        <v>1</v>
      </c>
      <c r="B223" s="8">
        <v>43521</v>
      </c>
      <c r="C223" s="9" t="s">
        <v>4</v>
      </c>
      <c r="D223" s="10">
        <v>3569.8179999999998</v>
      </c>
      <c r="E223" s="10">
        <v>4242.9799999999996</v>
      </c>
      <c r="F223" t="str">
        <f>VLOOKUP(A223,StoreLookup,2,FALSE)</f>
        <v>Store#1</v>
      </c>
      <c r="G223">
        <f>INDEX(CalLookUpTable,MATCH($B223,CalLookUpRow,0),MATCH(G$1,CalLookUpColumn,0))</f>
        <v>2019</v>
      </c>
      <c r="H223">
        <f>INDEX(CalLookUpTable,MATCH($B223,CalLookUpRow,0),MATCH(H$1,CalLookUpColumn,0))</f>
        <v>3</v>
      </c>
      <c r="I223">
        <f>INDEX(CalLookUpTable,MATCH($B223,CalLookUpRow,0),MATCH(I$1,CalLookUpColumn,0))</f>
        <v>1</v>
      </c>
    </row>
    <row r="224" spans="1:9" x14ac:dyDescent="0.25">
      <c r="A224" s="7">
        <v>1</v>
      </c>
      <c r="B224" s="8">
        <v>43521</v>
      </c>
      <c r="C224" s="9" t="s">
        <v>6</v>
      </c>
      <c r="D224" s="10">
        <v>806.24599999999998</v>
      </c>
      <c r="E224" s="10">
        <v>788.32600000000002</v>
      </c>
      <c r="F224" t="str">
        <f>VLOOKUP(A224,StoreLookup,2,FALSE)</f>
        <v>Store#1</v>
      </c>
      <c r="G224">
        <f>INDEX(CalLookUpTable,MATCH($B224,CalLookUpRow,0),MATCH(G$1,CalLookUpColumn,0))</f>
        <v>2019</v>
      </c>
      <c r="H224">
        <f>INDEX(CalLookUpTable,MATCH($B224,CalLookUpRow,0),MATCH(H$1,CalLookUpColumn,0))</f>
        <v>3</v>
      </c>
      <c r="I224">
        <f>INDEX(CalLookUpTable,MATCH($B224,CalLookUpRow,0),MATCH(I$1,CalLookUpColumn,0))</f>
        <v>1</v>
      </c>
    </row>
    <row r="225" spans="1:9" x14ac:dyDescent="0.25">
      <c r="A225" s="7">
        <v>1</v>
      </c>
      <c r="B225" s="8">
        <v>43521</v>
      </c>
      <c r="C225" s="9" t="s">
        <v>5</v>
      </c>
      <c r="D225" s="10">
        <v>2728.971</v>
      </c>
      <c r="E225" s="10">
        <v>0</v>
      </c>
      <c r="F225" t="str">
        <f>VLOOKUP(A225,StoreLookup,2,FALSE)</f>
        <v>Store#1</v>
      </c>
      <c r="G225">
        <f>INDEX(CalLookUpTable,MATCH($B225,CalLookUpRow,0),MATCH(G$1,CalLookUpColumn,0))</f>
        <v>2019</v>
      </c>
      <c r="H225">
        <f>INDEX(CalLookUpTable,MATCH($B225,CalLookUpRow,0),MATCH(H$1,CalLookUpColumn,0))</f>
        <v>3</v>
      </c>
      <c r="I225">
        <f>INDEX(CalLookUpTable,MATCH($B225,CalLookUpRow,0),MATCH(I$1,CalLookUpColumn,0))</f>
        <v>1</v>
      </c>
    </row>
    <row r="226" spans="1:9" x14ac:dyDescent="0.25">
      <c r="A226" s="7">
        <v>1</v>
      </c>
      <c r="B226" s="8">
        <v>43522</v>
      </c>
      <c r="C226" s="9" t="s">
        <v>6</v>
      </c>
      <c r="D226" s="10">
        <v>1163.0359999999998</v>
      </c>
      <c r="E226" s="10">
        <v>1237.3409999999999</v>
      </c>
      <c r="F226" t="str">
        <f>VLOOKUP(A226,StoreLookup,2,FALSE)</f>
        <v>Store#1</v>
      </c>
      <c r="G226">
        <f>INDEX(CalLookUpTable,MATCH($B226,CalLookUpRow,0),MATCH(G$1,CalLookUpColumn,0))</f>
        <v>2019</v>
      </c>
      <c r="H226">
        <f>INDEX(CalLookUpTable,MATCH($B226,CalLookUpRow,0),MATCH(H$1,CalLookUpColumn,0))</f>
        <v>3</v>
      </c>
      <c r="I226">
        <f>INDEX(CalLookUpTable,MATCH($B226,CalLookUpRow,0),MATCH(I$1,CalLookUpColumn,0))</f>
        <v>1</v>
      </c>
    </row>
    <row r="227" spans="1:9" x14ac:dyDescent="0.25">
      <c r="A227" s="7">
        <v>1</v>
      </c>
      <c r="B227" s="8">
        <v>43522</v>
      </c>
      <c r="C227" s="9" t="s">
        <v>3</v>
      </c>
      <c r="D227" s="10">
        <v>0</v>
      </c>
      <c r="E227" s="10">
        <v>438.08100000000002</v>
      </c>
      <c r="F227" t="str">
        <f>VLOOKUP(A227,StoreLookup,2,FALSE)</f>
        <v>Store#1</v>
      </c>
      <c r="G227">
        <f>INDEX(CalLookUpTable,MATCH($B227,CalLookUpRow,0),MATCH(G$1,CalLookUpColumn,0))</f>
        <v>2019</v>
      </c>
      <c r="H227">
        <f>INDEX(CalLookUpTable,MATCH($B227,CalLookUpRow,0),MATCH(H$1,CalLookUpColumn,0))</f>
        <v>3</v>
      </c>
      <c r="I227">
        <f>INDEX(CalLookUpTable,MATCH($B227,CalLookUpRow,0),MATCH(I$1,CalLookUpColumn,0))</f>
        <v>1</v>
      </c>
    </row>
    <row r="228" spans="1:9" x14ac:dyDescent="0.25">
      <c r="A228" s="7">
        <v>1</v>
      </c>
      <c r="B228" s="8">
        <v>43522</v>
      </c>
      <c r="C228" s="9" t="s">
        <v>4</v>
      </c>
      <c r="D228" s="10">
        <v>3732.3229999999999</v>
      </c>
      <c r="E228" s="10">
        <v>4428.2910000000002</v>
      </c>
      <c r="F228" t="str">
        <f>VLOOKUP(A228,StoreLookup,2,FALSE)</f>
        <v>Store#1</v>
      </c>
      <c r="G228">
        <f>INDEX(CalLookUpTable,MATCH($B228,CalLookUpRow,0),MATCH(G$1,CalLookUpColumn,0))</f>
        <v>2019</v>
      </c>
      <c r="H228">
        <f>INDEX(CalLookUpTable,MATCH($B228,CalLookUpRow,0),MATCH(H$1,CalLookUpColumn,0))</f>
        <v>3</v>
      </c>
      <c r="I228">
        <f>INDEX(CalLookUpTable,MATCH($B228,CalLookUpRow,0),MATCH(I$1,CalLookUpColumn,0))</f>
        <v>1</v>
      </c>
    </row>
    <row r="229" spans="1:9" x14ac:dyDescent="0.25">
      <c r="A229" s="7">
        <v>1</v>
      </c>
      <c r="B229" s="8">
        <v>43522</v>
      </c>
      <c r="C229" s="9" t="s">
        <v>5</v>
      </c>
      <c r="D229" s="10">
        <v>2873.2269999999994</v>
      </c>
      <c r="E229" s="10">
        <v>0</v>
      </c>
      <c r="F229" t="str">
        <f>VLOOKUP(A229,StoreLookup,2,FALSE)</f>
        <v>Store#1</v>
      </c>
      <c r="G229">
        <f>INDEX(CalLookUpTable,MATCH($B229,CalLookUpRow,0),MATCH(G$1,CalLookUpColumn,0))</f>
        <v>2019</v>
      </c>
      <c r="H229">
        <f>INDEX(CalLookUpTable,MATCH($B229,CalLookUpRow,0),MATCH(H$1,CalLookUpColumn,0))</f>
        <v>3</v>
      </c>
      <c r="I229">
        <f>INDEX(CalLookUpTable,MATCH($B229,CalLookUpRow,0),MATCH(I$1,CalLookUpColumn,0))</f>
        <v>1</v>
      </c>
    </row>
    <row r="230" spans="1:9" x14ac:dyDescent="0.25">
      <c r="A230" s="7">
        <v>1</v>
      </c>
      <c r="B230" s="8">
        <v>43523</v>
      </c>
      <c r="C230" s="9" t="s">
        <v>5</v>
      </c>
      <c r="D230" s="10">
        <v>3058.4259999999999</v>
      </c>
      <c r="E230" s="10">
        <v>0</v>
      </c>
      <c r="F230" t="str">
        <f>VLOOKUP(A230,StoreLookup,2,FALSE)</f>
        <v>Store#1</v>
      </c>
      <c r="G230">
        <f>INDEX(CalLookUpTable,MATCH($B230,CalLookUpRow,0),MATCH(G$1,CalLookUpColumn,0))</f>
        <v>2019</v>
      </c>
      <c r="H230">
        <f>INDEX(CalLookUpTable,MATCH($B230,CalLookUpRow,0),MATCH(H$1,CalLookUpColumn,0))</f>
        <v>3</v>
      </c>
      <c r="I230">
        <f>INDEX(CalLookUpTable,MATCH($B230,CalLookUpRow,0),MATCH(I$1,CalLookUpColumn,0))</f>
        <v>1</v>
      </c>
    </row>
    <row r="231" spans="1:9" x14ac:dyDescent="0.25">
      <c r="A231" s="7">
        <v>1</v>
      </c>
      <c r="B231" s="8">
        <v>43523</v>
      </c>
      <c r="C231" s="9" t="s">
        <v>4</v>
      </c>
      <c r="D231" s="10">
        <v>3937.1709999999994</v>
      </c>
      <c r="E231" s="10">
        <v>5439.4129999999996</v>
      </c>
      <c r="F231" t="str">
        <f>VLOOKUP(A231,StoreLookup,2,FALSE)</f>
        <v>Store#1</v>
      </c>
      <c r="G231">
        <f>INDEX(CalLookUpTable,MATCH($B231,CalLookUpRow,0),MATCH(G$1,CalLookUpColumn,0))</f>
        <v>2019</v>
      </c>
      <c r="H231">
        <f>INDEX(CalLookUpTable,MATCH($B231,CalLookUpRow,0),MATCH(H$1,CalLookUpColumn,0))</f>
        <v>3</v>
      </c>
      <c r="I231">
        <f>INDEX(CalLookUpTable,MATCH($B231,CalLookUpRow,0),MATCH(I$1,CalLookUpColumn,0))</f>
        <v>1</v>
      </c>
    </row>
    <row r="232" spans="1:9" x14ac:dyDescent="0.25">
      <c r="A232" s="7">
        <v>1</v>
      </c>
      <c r="B232" s="8">
        <v>43523</v>
      </c>
      <c r="C232" s="9" t="s">
        <v>3</v>
      </c>
      <c r="D232" s="10">
        <v>481.46699999999993</v>
      </c>
      <c r="E232" s="10">
        <v>1125.4599999999998</v>
      </c>
      <c r="F232" t="str">
        <f>VLOOKUP(A232,StoreLookup,2,FALSE)</f>
        <v>Store#1</v>
      </c>
      <c r="G232">
        <f>INDEX(CalLookUpTable,MATCH($B232,CalLookUpRow,0),MATCH(G$1,CalLookUpColumn,0))</f>
        <v>2019</v>
      </c>
      <c r="H232">
        <f>INDEX(CalLookUpTable,MATCH($B232,CalLookUpRow,0),MATCH(H$1,CalLookUpColumn,0))</f>
        <v>3</v>
      </c>
      <c r="I232">
        <f>INDEX(CalLookUpTable,MATCH($B232,CalLookUpRow,0),MATCH(I$1,CalLookUpColumn,0))</f>
        <v>1</v>
      </c>
    </row>
    <row r="233" spans="1:9" x14ac:dyDescent="0.25">
      <c r="A233" s="7">
        <v>1</v>
      </c>
      <c r="B233" s="8">
        <v>43523</v>
      </c>
      <c r="C233" s="9" t="s">
        <v>6</v>
      </c>
      <c r="D233" s="10">
        <v>718.44499999999994</v>
      </c>
      <c r="E233" s="10">
        <v>1229.039</v>
      </c>
      <c r="F233" t="str">
        <f>VLOOKUP(A233,StoreLookup,2,FALSE)</f>
        <v>Store#1</v>
      </c>
      <c r="G233">
        <f>INDEX(CalLookUpTable,MATCH($B233,CalLookUpRow,0),MATCH(G$1,CalLookUpColumn,0))</f>
        <v>2019</v>
      </c>
      <c r="H233">
        <f>INDEX(CalLookUpTable,MATCH($B233,CalLookUpRow,0),MATCH(H$1,CalLookUpColumn,0))</f>
        <v>3</v>
      </c>
      <c r="I233">
        <f>INDEX(CalLookUpTable,MATCH($B233,CalLookUpRow,0),MATCH(I$1,CalLookUpColumn,0))</f>
        <v>1</v>
      </c>
    </row>
    <row r="234" spans="1:9" x14ac:dyDescent="0.25">
      <c r="A234" s="7">
        <v>1</v>
      </c>
      <c r="B234" s="8">
        <v>43524</v>
      </c>
      <c r="C234" s="9" t="s">
        <v>5</v>
      </c>
      <c r="D234" s="10">
        <v>3364.62</v>
      </c>
      <c r="E234" s="10">
        <v>0</v>
      </c>
      <c r="F234" t="str">
        <f>VLOOKUP(A234,StoreLookup,2,FALSE)</f>
        <v>Store#1</v>
      </c>
      <c r="G234">
        <f>INDEX(CalLookUpTable,MATCH($B234,CalLookUpRow,0),MATCH(G$1,CalLookUpColumn,0))</f>
        <v>2019</v>
      </c>
      <c r="H234">
        <f>INDEX(CalLookUpTable,MATCH($B234,CalLookUpRow,0),MATCH(H$1,CalLookUpColumn,0))</f>
        <v>3</v>
      </c>
      <c r="I234">
        <f>INDEX(CalLookUpTable,MATCH($B234,CalLookUpRow,0),MATCH(I$1,CalLookUpColumn,0))</f>
        <v>1</v>
      </c>
    </row>
    <row r="235" spans="1:9" x14ac:dyDescent="0.25">
      <c r="A235" s="7">
        <v>1</v>
      </c>
      <c r="B235" s="8">
        <v>43524</v>
      </c>
      <c r="C235" s="9" t="s">
        <v>6</v>
      </c>
      <c r="D235" s="10">
        <v>560.0139999999999</v>
      </c>
      <c r="E235" s="10">
        <v>1880.9699999999998</v>
      </c>
      <c r="F235" t="str">
        <f>VLOOKUP(A235,StoreLookup,2,FALSE)</f>
        <v>Store#1</v>
      </c>
      <c r="G235">
        <f>INDEX(CalLookUpTable,MATCH($B235,CalLookUpRow,0),MATCH(G$1,CalLookUpColumn,0))</f>
        <v>2019</v>
      </c>
      <c r="H235">
        <f>INDEX(CalLookUpTable,MATCH($B235,CalLookUpRow,0),MATCH(H$1,CalLookUpColumn,0))</f>
        <v>3</v>
      </c>
      <c r="I235">
        <f>INDEX(CalLookUpTable,MATCH($B235,CalLookUpRow,0),MATCH(I$1,CalLookUpColumn,0))</f>
        <v>1</v>
      </c>
    </row>
    <row r="236" spans="1:9" x14ac:dyDescent="0.25">
      <c r="A236" s="7">
        <v>1</v>
      </c>
      <c r="B236" s="8">
        <v>43524</v>
      </c>
      <c r="C236" s="9" t="s">
        <v>4</v>
      </c>
      <c r="D236" s="10">
        <v>4815.5940000000001</v>
      </c>
      <c r="E236" s="10">
        <v>5430.2290000000003</v>
      </c>
      <c r="F236" t="str">
        <f>VLOOKUP(A236,StoreLookup,2,FALSE)</f>
        <v>Store#1</v>
      </c>
      <c r="G236">
        <f>INDEX(CalLookUpTable,MATCH($B236,CalLookUpRow,0),MATCH(G$1,CalLookUpColumn,0))</f>
        <v>2019</v>
      </c>
      <c r="H236">
        <f>INDEX(CalLookUpTable,MATCH($B236,CalLookUpRow,0),MATCH(H$1,CalLookUpColumn,0))</f>
        <v>3</v>
      </c>
      <c r="I236">
        <f>INDEX(CalLookUpTable,MATCH($B236,CalLookUpRow,0),MATCH(I$1,CalLookUpColumn,0))</f>
        <v>1</v>
      </c>
    </row>
    <row r="237" spans="1:9" x14ac:dyDescent="0.25">
      <c r="A237" s="7">
        <v>1</v>
      </c>
      <c r="B237" s="8">
        <v>43524</v>
      </c>
      <c r="C237" s="9" t="s">
        <v>3</v>
      </c>
      <c r="D237" s="10">
        <v>351.07799999999997</v>
      </c>
      <c r="E237" s="10">
        <v>0</v>
      </c>
      <c r="F237" t="str">
        <f>VLOOKUP(A237,StoreLookup,2,FALSE)</f>
        <v>Store#1</v>
      </c>
      <c r="G237">
        <f>INDEX(CalLookUpTable,MATCH($B237,CalLookUpRow,0),MATCH(G$1,CalLookUpColumn,0))</f>
        <v>2019</v>
      </c>
      <c r="H237">
        <f>INDEX(CalLookUpTable,MATCH($B237,CalLookUpRow,0),MATCH(H$1,CalLookUpColumn,0))</f>
        <v>3</v>
      </c>
      <c r="I237">
        <f>INDEX(CalLookUpTable,MATCH($B237,CalLookUpRow,0),MATCH(I$1,CalLookUpColumn,0))</f>
        <v>1</v>
      </c>
    </row>
    <row r="238" spans="1:9" x14ac:dyDescent="0.25">
      <c r="A238" s="7">
        <v>1</v>
      </c>
      <c r="B238" s="8">
        <v>43525</v>
      </c>
      <c r="C238" s="9" t="s">
        <v>6</v>
      </c>
      <c r="D238" s="10">
        <v>1440.607</v>
      </c>
      <c r="E238" s="10">
        <v>2005.1499999999999</v>
      </c>
      <c r="F238" t="str">
        <f>VLOOKUP(A238,StoreLookup,2,FALSE)</f>
        <v>Store#1</v>
      </c>
      <c r="G238">
        <f>INDEX(CalLookUpTable,MATCH($B238,CalLookUpRow,0),MATCH(G$1,CalLookUpColumn,0))</f>
        <v>2019</v>
      </c>
      <c r="H238">
        <f>INDEX(CalLookUpTable,MATCH($B238,CalLookUpRow,0),MATCH(H$1,CalLookUpColumn,0))</f>
        <v>3</v>
      </c>
      <c r="I238">
        <f>INDEX(CalLookUpTable,MATCH($B238,CalLookUpRow,0),MATCH(I$1,CalLookUpColumn,0))</f>
        <v>1</v>
      </c>
    </row>
    <row r="239" spans="1:9" x14ac:dyDescent="0.25">
      <c r="A239" s="7">
        <v>1</v>
      </c>
      <c r="B239" s="8">
        <v>43525</v>
      </c>
      <c r="C239" s="9" t="s">
        <v>5</v>
      </c>
      <c r="D239" s="10">
        <v>3494.3649999999998</v>
      </c>
      <c r="E239" s="10">
        <v>0</v>
      </c>
      <c r="F239" t="str">
        <f>VLOOKUP(A239,StoreLookup,2,FALSE)</f>
        <v>Store#1</v>
      </c>
      <c r="G239">
        <f>INDEX(CalLookUpTable,MATCH($B239,CalLookUpRow,0),MATCH(G$1,CalLookUpColumn,0))</f>
        <v>2019</v>
      </c>
      <c r="H239">
        <f>INDEX(CalLookUpTable,MATCH($B239,CalLookUpRow,0),MATCH(H$1,CalLookUpColumn,0))</f>
        <v>3</v>
      </c>
      <c r="I239">
        <f>INDEX(CalLookUpTable,MATCH($B239,CalLookUpRow,0),MATCH(I$1,CalLookUpColumn,0))</f>
        <v>1</v>
      </c>
    </row>
    <row r="240" spans="1:9" x14ac:dyDescent="0.25">
      <c r="A240" s="7">
        <v>1</v>
      </c>
      <c r="B240" s="8">
        <v>43525</v>
      </c>
      <c r="C240" s="9" t="s">
        <v>4</v>
      </c>
      <c r="D240" s="10">
        <v>5385.2959999999994</v>
      </c>
      <c r="E240" s="10">
        <v>5902.847999999999</v>
      </c>
      <c r="F240" t="str">
        <f>VLOOKUP(A240,StoreLookup,2,FALSE)</f>
        <v>Store#1</v>
      </c>
      <c r="G240">
        <f>INDEX(CalLookUpTable,MATCH($B240,CalLookUpRow,0),MATCH(G$1,CalLookUpColumn,0))</f>
        <v>2019</v>
      </c>
      <c r="H240">
        <f>INDEX(CalLookUpTable,MATCH($B240,CalLookUpRow,0),MATCH(H$1,CalLookUpColumn,0))</f>
        <v>3</v>
      </c>
      <c r="I240">
        <f>INDEX(CalLookUpTable,MATCH($B240,CalLookUpRow,0),MATCH(I$1,CalLookUpColumn,0))</f>
        <v>1</v>
      </c>
    </row>
    <row r="241" spans="1:9" x14ac:dyDescent="0.25">
      <c r="A241" s="7">
        <v>1</v>
      </c>
      <c r="B241" s="8">
        <v>43525</v>
      </c>
      <c r="C241" s="9" t="s">
        <v>3</v>
      </c>
      <c r="D241" s="10">
        <v>548.21899999999994</v>
      </c>
      <c r="E241" s="10">
        <v>4310.7749999999996</v>
      </c>
      <c r="F241" t="str">
        <f>VLOOKUP(A241,StoreLookup,2,FALSE)</f>
        <v>Store#1</v>
      </c>
      <c r="G241">
        <f>INDEX(CalLookUpTable,MATCH($B241,CalLookUpRow,0),MATCH(G$1,CalLookUpColumn,0))</f>
        <v>2019</v>
      </c>
      <c r="H241">
        <f>INDEX(CalLookUpTable,MATCH($B241,CalLookUpRow,0),MATCH(H$1,CalLookUpColumn,0))</f>
        <v>3</v>
      </c>
      <c r="I241">
        <f>INDEX(CalLookUpTable,MATCH($B241,CalLookUpRow,0),MATCH(I$1,CalLookUpColumn,0))</f>
        <v>1</v>
      </c>
    </row>
    <row r="242" spans="1:9" x14ac:dyDescent="0.25">
      <c r="A242" s="7">
        <v>1</v>
      </c>
      <c r="B242" s="8">
        <v>43526</v>
      </c>
      <c r="C242" s="9" t="s">
        <v>4</v>
      </c>
      <c r="D242" s="10">
        <v>5962.9219999999987</v>
      </c>
      <c r="E242" s="10">
        <v>5749.5479999999989</v>
      </c>
      <c r="F242" t="str">
        <f>VLOOKUP(A242,StoreLookup,2,FALSE)</f>
        <v>Store#1</v>
      </c>
      <c r="G242">
        <f>INDEX(CalLookUpTable,MATCH($B242,CalLookUpRow,0),MATCH(G$1,CalLookUpColumn,0))</f>
        <v>2019</v>
      </c>
      <c r="H242">
        <f>INDEX(CalLookUpTable,MATCH($B242,CalLookUpRow,0),MATCH(H$1,CalLookUpColumn,0))</f>
        <v>3</v>
      </c>
      <c r="I242">
        <f>INDEX(CalLookUpTable,MATCH($B242,CalLookUpRow,0),MATCH(I$1,CalLookUpColumn,0))</f>
        <v>1</v>
      </c>
    </row>
    <row r="243" spans="1:9" x14ac:dyDescent="0.25">
      <c r="A243" s="7">
        <v>1</v>
      </c>
      <c r="B243" s="8">
        <v>43526</v>
      </c>
      <c r="C243" s="9" t="s">
        <v>3</v>
      </c>
      <c r="D243" s="10">
        <v>153.85999999999999</v>
      </c>
      <c r="E243" s="10">
        <v>0</v>
      </c>
      <c r="F243" t="str">
        <f>VLOOKUP(A243,StoreLookup,2,FALSE)</f>
        <v>Store#1</v>
      </c>
      <c r="G243">
        <f>INDEX(CalLookUpTable,MATCH($B243,CalLookUpRow,0),MATCH(G$1,CalLookUpColumn,0))</f>
        <v>2019</v>
      </c>
      <c r="H243">
        <f>INDEX(CalLookUpTable,MATCH($B243,CalLookUpRow,0),MATCH(H$1,CalLookUpColumn,0))</f>
        <v>3</v>
      </c>
      <c r="I243">
        <f>INDEX(CalLookUpTable,MATCH($B243,CalLookUpRow,0),MATCH(I$1,CalLookUpColumn,0))</f>
        <v>1</v>
      </c>
    </row>
    <row r="244" spans="1:9" x14ac:dyDescent="0.25">
      <c r="A244" s="7">
        <v>1</v>
      </c>
      <c r="B244" s="8">
        <v>43526</v>
      </c>
      <c r="C244" s="9" t="s">
        <v>5</v>
      </c>
      <c r="D244" s="10">
        <v>3707.9209999999994</v>
      </c>
      <c r="E244" s="10">
        <v>0</v>
      </c>
      <c r="F244" t="str">
        <f>VLOOKUP(A244,StoreLookup,2,FALSE)</f>
        <v>Store#1</v>
      </c>
      <c r="G244">
        <f>INDEX(CalLookUpTable,MATCH($B244,CalLookUpRow,0),MATCH(G$1,CalLookUpColumn,0))</f>
        <v>2019</v>
      </c>
      <c r="H244">
        <f>INDEX(CalLookUpTable,MATCH($B244,CalLookUpRow,0),MATCH(H$1,CalLookUpColumn,0))</f>
        <v>3</v>
      </c>
      <c r="I244">
        <f>INDEX(CalLookUpTable,MATCH($B244,CalLookUpRow,0),MATCH(I$1,CalLookUpColumn,0))</f>
        <v>1</v>
      </c>
    </row>
    <row r="245" spans="1:9" x14ac:dyDescent="0.25">
      <c r="A245" s="7">
        <v>1</v>
      </c>
      <c r="B245" s="8">
        <v>43526</v>
      </c>
      <c r="C245" s="9" t="s">
        <v>6</v>
      </c>
      <c r="D245" s="10">
        <v>932.14800000000002</v>
      </c>
      <c r="E245" s="10">
        <v>1741.8589999999999</v>
      </c>
      <c r="F245" t="str">
        <f>VLOOKUP(A245,StoreLookup,2,FALSE)</f>
        <v>Store#1</v>
      </c>
      <c r="G245">
        <f>INDEX(CalLookUpTable,MATCH($B245,CalLookUpRow,0),MATCH(G$1,CalLookUpColumn,0))</f>
        <v>2019</v>
      </c>
      <c r="H245">
        <f>INDEX(CalLookUpTable,MATCH($B245,CalLookUpRow,0),MATCH(H$1,CalLookUpColumn,0))</f>
        <v>3</v>
      </c>
      <c r="I245">
        <f>INDEX(CalLookUpTable,MATCH($B245,CalLookUpRow,0),MATCH(I$1,CalLookUpColumn,0))</f>
        <v>1</v>
      </c>
    </row>
    <row r="246" spans="1:9" x14ac:dyDescent="0.25">
      <c r="A246" s="7">
        <v>1</v>
      </c>
      <c r="B246" s="8">
        <v>43527</v>
      </c>
      <c r="C246" s="9" t="s">
        <v>5</v>
      </c>
      <c r="D246" s="10">
        <v>1552.8240000000001</v>
      </c>
      <c r="E246" s="10">
        <v>0</v>
      </c>
      <c r="F246" t="str">
        <f>VLOOKUP(A246,StoreLookup,2,FALSE)</f>
        <v>Store#1</v>
      </c>
      <c r="G246">
        <f>INDEX(CalLookUpTable,MATCH($B246,CalLookUpRow,0),MATCH(G$1,CalLookUpColumn,0))</f>
        <v>2019</v>
      </c>
      <c r="H246">
        <f>INDEX(CalLookUpTable,MATCH($B246,CalLookUpRow,0),MATCH(H$1,CalLookUpColumn,0))</f>
        <v>3</v>
      </c>
      <c r="I246">
        <f>INDEX(CalLookUpTable,MATCH($B246,CalLookUpRow,0),MATCH(I$1,CalLookUpColumn,0))</f>
        <v>1</v>
      </c>
    </row>
    <row r="247" spans="1:9" x14ac:dyDescent="0.25">
      <c r="A247" s="7">
        <v>1</v>
      </c>
      <c r="B247" s="8">
        <v>43527</v>
      </c>
      <c r="C247" s="9" t="s">
        <v>4</v>
      </c>
      <c r="D247" s="10">
        <v>2170.63</v>
      </c>
      <c r="E247" s="10">
        <v>2326.4009999999998</v>
      </c>
      <c r="F247" t="str">
        <f>VLOOKUP(A247,StoreLookup,2,FALSE)</f>
        <v>Store#1</v>
      </c>
      <c r="G247">
        <f>INDEX(CalLookUpTable,MATCH($B247,CalLookUpRow,0),MATCH(G$1,CalLookUpColumn,0))</f>
        <v>2019</v>
      </c>
      <c r="H247">
        <f>INDEX(CalLookUpTable,MATCH($B247,CalLookUpRow,0),MATCH(H$1,CalLookUpColumn,0))</f>
        <v>3</v>
      </c>
      <c r="I247">
        <f>INDEX(CalLookUpTable,MATCH($B247,CalLookUpRow,0),MATCH(I$1,CalLookUpColumn,0))</f>
        <v>1</v>
      </c>
    </row>
    <row r="248" spans="1:9" x14ac:dyDescent="0.25">
      <c r="A248" s="7">
        <v>1</v>
      </c>
      <c r="B248" s="8">
        <v>43527</v>
      </c>
      <c r="C248" s="9" t="s">
        <v>3</v>
      </c>
      <c r="D248" s="10">
        <v>0</v>
      </c>
      <c r="E248" s="10">
        <v>36.357999999999997</v>
      </c>
      <c r="F248" t="str">
        <f>VLOOKUP(A248,StoreLookup,2,FALSE)</f>
        <v>Store#1</v>
      </c>
      <c r="G248">
        <f>INDEX(CalLookUpTable,MATCH($B248,CalLookUpRow,0),MATCH(G$1,CalLookUpColumn,0))</f>
        <v>2019</v>
      </c>
      <c r="H248">
        <f>INDEX(CalLookUpTable,MATCH($B248,CalLookUpRow,0),MATCH(H$1,CalLookUpColumn,0))</f>
        <v>3</v>
      </c>
      <c r="I248">
        <f>INDEX(CalLookUpTable,MATCH($B248,CalLookUpRow,0),MATCH(I$1,CalLookUpColumn,0))</f>
        <v>1</v>
      </c>
    </row>
    <row r="249" spans="1:9" x14ac:dyDescent="0.25">
      <c r="A249" s="7">
        <v>1</v>
      </c>
      <c r="B249" s="8">
        <v>43527</v>
      </c>
      <c r="C249" s="9" t="s">
        <v>6</v>
      </c>
      <c r="D249" s="10">
        <v>259.56</v>
      </c>
      <c r="E249" s="10">
        <v>634.98399999999992</v>
      </c>
      <c r="F249" t="str">
        <f>VLOOKUP(A249,StoreLookup,2,FALSE)</f>
        <v>Store#1</v>
      </c>
      <c r="G249">
        <f>INDEX(CalLookUpTable,MATCH($B249,CalLookUpRow,0),MATCH(G$1,CalLookUpColumn,0))</f>
        <v>2019</v>
      </c>
      <c r="H249">
        <f>INDEX(CalLookUpTable,MATCH($B249,CalLookUpRow,0),MATCH(H$1,CalLookUpColumn,0))</f>
        <v>3</v>
      </c>
      <c r="I249">
        <f>INDEX(CalLookUpTable,MATCH($B249,CalLookUpRow,0),MATCH(I$1,CalLookUpColumn,0))</f>
        <v>1</v>
      </c>
    </row>
    <row r="250" spans="1:9" x14ac:dyDescent="0.25">
      <c r="A250" s="7">
        <v>1</v>
      </c>
      <c r="B250" s="8">
        <v>43528</v>
      </c>
      <c r="C250" s="9" t="s">
        <v>6</v>
      </c>
      <c r="D250" s="10">
        <v>643.81799999999998</v>
      </c>
      <c r="E250" s="10">
        <v>1067.115</v>
      </c>
      <c r="F250" t="str">
        <f>VLOOKUP(A250,StoreLookup,2,FALSE)</f>
        <v>Store#1</v>
      </c>
      <c r="G250">
        <f>INDEX(CalLookUpTable,MATCH($B250,CalLookUpRow,0),MATCH(G$1,CalLookUpColumn,0))</f>
        <v>2019</v>
      </c>
      <c r="H250">
        <f>INDEX(CalLookUpTable,MATCH($B250,CalLookUpRow,0),MATCH(H$1,CalLookUpColumn,0))</f>
        <v>3</v>
      </c>
      <c r="I250">
        <f>INDEX(CalLookUpTable,MATCH($B250,CalLookUpRow,0),MATCH(I$1,CalLookUpColumn,0))</f>
        <v>2</v>
      </c>
    </row>
    <row r="251" spans="1:9" x14ac:dyDescent="0.25">
      <c r="A251" s="7">
        <v>1</v>
      </c>
      <c r="B251" s="8">
        <v>43528</v>
      </c>
      <c r="C251" s="9" t="s">
        <v>3</v>
      </c>
      <c r="D251" s="10">
        <v>263.452</v>
      </c>
      <c r="E251" s="10">
        <v>0</v>
      </c>
      <c r="F251" t="str">
        <f>VLOOKUP(A251,StoreLookup,2,FALSE)</f>
        <v>Store#1</v>
      </c>
      <c r="G251">
        <f>INDEX(CalLookUpTable,MATCH($B251,CalLookUpRow,0),MATCH(G$1,CalLookUpColumn,0))</f>
        <v>2019</v>
      </c>
      <c r="H251">
        <f>INDEX(CalLookUpTable,MATCH($B251,CalLookUpRow,0),MATCH(H$1,CalLookUpColumn,0))</f>
        <v>3</v>
      </c>
      <c r="I251">
        <f>INDEX(CalLookUpTable,MATCH($B251,CalLookUpRow,0),MATCH(I$1,CalLookUpColumn,0))</f>
        <v>2</v>
      </c>
    </row>
    <row r="252" spans="1:9" x14ac:dyDescent="0.25">
      <c r="A252" s="7">
        <v>1</v>
      </c>
      <c r="B252" s="8">
        <v>43528</v>
      </c>
      <c r="C252" s="9" t="s">
        <v>4</v>
      </c>
      <c r="D252" s="10">
        <v>3618.9159999999997</v>
      </c>
      <c r="E252" s="10">
        <v>4708.1089999999995</v>
      </c>
      <c r="F252" t="str">
        <f>VLOOKUP(A252,StoreLookup,2,FALSE)</f>
        <v>Store#1</v>
      </c>
      <c r="G252">
        <f>INDEX(CalLookUpTable,MATCH($B252,CalLookUpRow,0),MATCH(G$1,CalLookUpColumn,0))</f>
        <v>2019</v>
      </c>
      <c r="H252">
        <f>INDEX(CalLookUpTable,MATCH($B252,CalLookUpRow,0),MATCH(H$1,CalLookUpColumn,0))</f>
        <v>3</v>
      </c>
      <c r="I252">
        <f>INDEX(CalLookUpTable,MATCH($B252,CalLookUpRow,0),MATCH(I$1,CalLookUpColumn,0))</f>
        <v>2</v>
      </c>
    </row>
    <row r="253" spans="1:9" x14ac:dyDescent="0.25">
      <c r="A253" s="7">
        <v>1</v>
      </c>
      <c r="B253" s="8">
        <v>43528</v>
      </c>
      <c r="C253" s="9" t="s">
        <v>5</v>
      </c>
      <c r="D253" s="10">
        <v>2835.5740000000001</v>
      </c>
      <c r="E253" s="10">
        <v>0</v>
      </c>
      <c r="F253" t="str">
        <f>VLOOKUP(A253,StoreLookup,2,FALSE)</f>
        <v>Store#1</v>
      </c>
      <c r="G253">
        <f>INDEX(CalLookUpTable,MATCH($B253,CalLookUpRow,0),MATCH(G$1,CalLookUpColumn,0))</f>
        <v>2019</v>
      </c>
      <c r="H253">
        <f>INDEX(CalLookUpTable,MATCH($B253,CalLookUpRow,0),MATCH(H$1,CalLookUpColumn,0))</f>
        <v>3</v>
      </c>
      <c r="I253">
        <f>INDEX(CalLookUpTable,MATCH($B253,CalLookUpRow,0),MATCH(I$1,CalLookUpColumn,0))</f>
        <v>2</v>
      </c>
    </row>
    <row r="254" spans="1:9" x14ac:dyDescent="0.25">
      <c r="A254" s="7">
        <v>1</v>
      </c>
      <c r="B254" s="8">
        <v>43529</v>
      </c>
      <c r="C254" s="9" t="s">
        <v>4</v>
      </c>
      <c r="D254" s="10">
        <v>3748.4089999999997</v>
      </c>
      <c r="E254" s="10">
        <v>4471.7820000000002</v>
      </c>
      <c r="F254" t="str">
        <f>VLOOKUP(A254,StoreLookup,2,FALSE)</f>
        <v>Store#1</v>
      </c>
      <c r="G254">
        <f>INDEX(CalLookUpTable,MATCH($B254,CalLookUpRow,0),MATCH(G$1,CalLookUpColumn,0))</f>
        <v>2019</v>
      </c>
      <c r="H254">
        <f>INDEX(CalLookUpTable,MATCH($B254,CalLookUpRow,0),MATCH(H$1,CalLookUpColumn,0))</f>
        <v>3</v>
      </c>
      <c r="I254">
        <f>INDEX(CalLookUpTable,MATCH($B254,CalLookUpRow,0),MATCH(I$1,CalLookUpColumn,0))</f>
        <v>2</v>
      </c>
    </row>
    <row r="255" spans="1:9" x14ac:dyDescent="0.25">
      <c r="A255" s="7">
        <v>1</v>
      </c>
      <c r="B255" s="8">
        <v>43529</v>
      </c>
      <c r="C255" s="9" t="s">
        <v>3</v>
      </c>
      <c r="D255" s="10">
        <v>168.30799999999999</v>
      </c>
      <c r="E255" s="10">
        <v>201.929</v>
      </c>
      <c r="F255" t="str">
        <f>VLOOKUP(A255,StoreLookup,2,FALSE)</f>
        <v>Store#1</v>
      </c>
      <c r="G255">
        <f>INDEX(CalLookUpTable,MATCH($B255,CalLookUpRow,0),MATCH(G$1,CalLookUpColumn,0))</f>
        <v>2019</v>
      </c>
      <c r="H255">
        <f>INDEX(CalLookUpTable,MATCH($B255,CalLookUpRow,0),MATCH(H$1,CalLookUpColumn,0))</f>
        <v>3</v>
      </c>
      <c r="I255">
        <f>INDEX(CalLookUpTable,MATCH($B255,CalLookUpRow,0),MATCH(I$1,CalLookUpColumn,0))</f>
        <v>2</v>
      </c>
    </row>
    <row r="256" spans="1:9" x14ac:dyDescent="0.25">
      <c r="A256" s="7">
        <v>1</v>
      </c>
      <c r="B256" s="8">
        <v>43529</v>
      </c>
      <c r="C256" s="9" t="s">
        <v>5</v>
      </c>
      <c r="D256" s="10">
        <v>2777.4809999999998</v>
      </c>
      <c r="E256" s="10">
        <v>0</v>
      </c>
      <c r="F256" t="str">
        <f>VLOOKUP(A256,StoreLookup,2,FALSE)</f>
        <v>Store#1</v>
      </c>
      <c r="G256">
        <f>INDEX(CalLookUpTable,MATCH($B256,CalLookUpRow,0),MATCH(G$1,CalLookUpColumn,0))</f>
        <v>2019</v>
      </c>
      <c r="H256">
        <f>INDEX(CalLookUpTable,MATCH($B256,CalLookUpRow,0),MATCH(H$1,CalLookUpColumn,0))</f>
        <v>3</v>
      </c>
      <c r="I256">
        <f>INDEX(CalLookUpTable,MATCH($B256,CalLookUpRow,0),MATCH(I$1,CalLookUpColumn,0))</f>
        <v>2</v>
      </c>
    </row>
    <row r="257" spans="1:9" x14ac:dyDescent="0.25">
      <c r="A257" s="7">
        <v>1</v>
      </c>
      <c r="B257" s="8">
        <v>43529</v>
      </c>
      <c r="C257" s="9" t="s">
        <v>6</v>
      </c>
      <c r="D257" s="10">
        <v>1134.9099999999999</v>
      </c>
      <c r="E257" s="10">
        <v>1162.6789999999999</v>
      </c>
      <c r="F257" t="str">
        <f>VLOOKUP(A257,StoreLookup,2,FALSE)</f>
        <v>Store#1</v>
      </c>
      <c r="G257">
        <f>INDEX(CalLookUpTable,MATCH($B257,CalLookUpRow,0),MATCH(G$1,CalLookUpColumn,0))</f>
        <v>2019</v>
      </c>
      <c r="H257">
        <f>INDEX(CalLookUpTable,MATCH($B257,CalLookUpRow,0),MATCH(H$1,CalLookUpColumn,0))</f>
        <v>3</v>
      </c>
      <c r="I257">
        <f>INDEX(CalLookUpTable,MATCH($B257,CalLookUpRow,0),MATCH(I$1,CalLookUpColumn,0))</f>
        <v>2</v>
      </c>
    </row>
    <row r="258" spans="1:9" x14ac:dyDescent="0.25">
      <c r="A258" s="7">
        <v>1</v>
      </c>
      <c r="B258" s="8">
        <v>43530</v>
      </c>
      <c r="C258" s="9" t="s">
        <v>4</v>
      </c>
      <c r="D258" s="10">
        <v>4254.1239999999998</v>
      </c>
      <c r="E258" s="10">
        <v>4537.5189999999993</v>
      </c>
      <c r="F258" t="str">
        <f>VLOOKUP(A258,StoreLookup,2,FALSE)</f>
        <v>Store#1</v>
      </c>
      <c r="G258">
        <f>INDEX(CalLookUpTable,MATCH($B258,CalLookUpRow,0),MATCH(G$1,CalLookUpColumn,0))</f>
        <v>2019</v>
      </c>
      <c r="H258">
        <f>INDEX(CalLookUpTable,MATCH($B258,CalLookUpRow,0),MATCH(H$1,CalLookUpColumn,0))</f>
        <v>3</v>
      </c>
      <c r="I258">
        <f>INDEX(CalLookUpTable,MATCH($B258,CalLookUpRow,0),MATCH(I$1,CalLookUpColumn,0))</f>
        <v>2</v>
      </c>
    </row>
    <row r="259" spans="1:9" x14ac:dyDescent="0.25">
      <c r="A259" s="7">
        <v>1</v>
      </c>
      <c r="B259" s="8">
        <v>43530</v>
      </c>
      <c r="C259" s="9" t="s">
        <v>6</v>
      </c>
      <c r="D259" s="10">
        <v>689.35299999999995</v>
      </c>
      <c r="E259" s="10">
        <v>1410.3039999999999</v>
      </c>
      <c r="F259" t="str">
        <f>VLOOKUP(A259,StoreLookup,2,FALSE)</f>
        <v>Store#1</v>
      </c>
      <c r="G259">
        <f>INDEX(CalLookUpTable,MATCH($B259,CalLookUpRow,0),MATCH(G$1,CalLookUpColumn,0))</f>
        <v>2019</v>
      </c>
      <c r="H259">
        <f>INDEX(CalLookUpTable,MATCH($B259,CalLookUpRow,0),MATCH(H$1,CalLookUpColumn,0))</f>
        <v>3</v>
      </c>
      <c r="I259">
        <f>INDEX(CalLookUpTable,MATCH($B259,CalLookUpRow,0),MATCH(I$1,CalLookUpColumn,0))</f>
        <v>2</v>
      </c>
    </row>
    <row r="260" spans="1:9" x14ac:dyDescent="0.25">
      <c r="A260" s="7">
        <v>1</v>
      </c>
      <c r="B260" s="8">
        <v>43530</v>
      </c>
      <c r="C260" s="9" t="s">
        <v>5</v>
      </c>
      <c r="D260" s="10">
        <v>3304.7420000000002</v>
      </c>
      <c r="E260" s="10">
        <v>0</v>
      </c>
      <c r="F260" t="str">
        <f>VLOOKUP(A260,StoreLookup,2,FALSE)</f>
        <v>Store#1</v>
      </c>
      <c r="G260">
        <f>INDEX(CalLookUpTable,MATCH($B260,CalLookUpRow,0),MATCH(G$1,CalLookUpColumn,0))</f>
        <v>2019</v>
      </c>
      <c r="H260">
        <f>INDEX(CalLookUpTable,MATCH($B260,CalLookUpRow,0),MATCH(H$1,CalLookUpColumn,0))</f>
        <v>3</v>
      </c>
      <c r="I260">
        <f>INDEX(CalLookUpTable,MATCH($B260,CalLookUpRow,0),MATCH(I$1,CalLookUpColumn,0))</f>
        <v>2</v>
      </c>
    </row>
    <row r="261" spans="1:9" x14ac:dyDescent="0.25">
      <c r="A261" s="7">
        <v>1</v>
      </c>
      <c r="B261" s="8">
        <v>43530</v>
      </c>
      <c r="C261" s="9" t="s">
        <v>3</v>
      </c>
      <c r="D261" s="10">
        <v>458.78</v>
      </c>
      <c r="E261" s="10">
        <v>1687.049</v>
      </c>
      <c r="F261" t="str">
        <f>VLOOKUP(A261,StoreLookup,2,FALSE)</f>
        <v>Store#1</v>
      </c>
      <c r="G261">
        <f>INDEX(CalLookUpTable,MATCH($B261,CalLookUpRow,0),MATCH(G$1,CalLookUpColumn,0))</f>
        <v>2019</v>
      </c>
      <c r="H261">
        <f>INDEX(CalLookUpTable,MATCH($B261,CalLookUpRow,0),MATCH(H$1,CalLookUpColumn,0))</f>
        <v>3</v>
      </c>
      <c r="I261">
        <f>INDEX(CalLookUpTable,MATCH($B261,CalLookUpRow,0),MATCH(I$1,CalLookUpColumn,0))</f>
        <v>2</v>
      </c>
    </row>
    <row r="262" spans="1:9" x14ac:dyDescent="0.25">
      <c r="A262" s="7">
        <v>1</v>
      </c>
      <c r="B262" s="8">
        <v>43531</v>
      </c>
      <c r="C262" s="9" t="s">
        <v>6</v>
      </c>
      <c r="D262" s="10">
        <v>1375.9059999999999</v>
      </c>
      <c r="E262" s="10">
        <v>1570.9259999999997</v>
      </c>
      <c r="F262" t="str">
        <f>VLOOKUP(A262,StoreLookup,2,FALSE)</f>
        <v>Store#1</v>
      </c>
      <c r="G262">
        <f>INDEX(CalLookUpTable,MATCH($B262,CalLookUpRow,0),MATCH(G$1,CalLookUpColumn,0))</f>
        <v>2019</v>
      </c>
      <c r="H262">
        <f>INDEX(CalLookUpTable,MATCH($B262,CalLookUpRow,0),MATCH(H$1,CalLookUpColumn,0))</f>
        <v>3</v>
      </c>
      <c r="I262">
        <f>INDEX(CalLookUpTable,MATCH($B262,CalLookUpRow,0),MATCH(I$1,CalLookUpColumn,0))</f>
        <v>2</v>
      </c>
    </row>
    <row r="263" spans="1:9" x14ac:dyDescent="0.25">
      <c r="A263" s="7">
        <v>1</v>
      </c>
      <c r="B263" s="8">
        <v>43531</v>
      </c>
      <c r="C263" s="9" t="s">
        <v>4</v>
      </c>
      <c r="D263" s="10">
        <v>5028.6529999999993</v>
      </c>
      <c r="E263" s="10">
        <v>5765.5289999999995</v>
      </c>
      <c r="F263" t="str">
        <f>VLOOKUP(A263,StoreLookup,2,FALSE)</f>
        <v>Store#1</v>
      </c>
      <c r="G263">
        <f>INDEX(CalLookUpTable,MATCH($B263,CalLookUpRow,0),MATCH(G$1,CalLookUpColumn,0))</f>
        <v>2019</v>
      </c>
      <c r="H263">
        <f>INDEX(CalLookUpTable,MATCH($B263,CalLookUpRow,0),MATCH(H$1,CalLookUpColumn,0))</f>
        <v>3</v>
      </c>
      <c r="I263">
        <f>INDEX(CalLookUpTable,MATCH($B263,CalLookUpRow,0),MATCH(I$1,CalLookUpColumn,0))</f>
        <v>2</v>
      </c>
    </row>
    <row r="264" spans="1:9" x14ac:dyDescent="0.25">
      <c r="A264" s="7">
        <v>1</v>
      </c>
      <c r="B264" s="8">
        <v>43531</v>
      </c>
      <c r="C264" s="9" t="s">
        <v>5</v>
      </c>
      <c r="D264" s="10">
        <v>3795.2809999999995</v>
      </c>
      <c r="E264" s="10">
        <v>0</v>
      </c>
      <c r="F264" t="str">
        <f>VLOOKUP(A264,StoreLookup,2,FALSE)</f>
        <v>Store#1</v>
      </c>
      <c r="G264">
        <f>INDEX(CalLookUpTable,MATCH($B264,CalLookUpRow,0),MATCH(G$1,CalLookUpColumn,0))</f>
        <v>2019</v>
      </c>
      <c r="H264">
        <f>INDEX(CalLookUpTable,MATCH($B264,CalLookUpRow,0),MATCH(H$1,CalLookUpColumn,0))</f>
        <v>3</v>
      </c>
      <c r="I264">
        <f>INDEX(CalLookUpTable,MATCH($B264,CalLookUpRow,0),MATCH(I$1,CalLookUpColumn,0))</f>
        <v>2</v>
      </c>
    </row>
    <row r="265" spans="1:9" x14ac:dyDescent="0.25">
      <c r="A265" s="7">
        <v>1</v>
      </c>
      <c r="B265" s="8">
        <v>43531</v>
      </c>
      <c r="C265" s="9" t="s">
        <v>3</v>
      </c>
      <c r="D265" s="10">
        <v>145.376</v>
      </c>
      <c r="E265" s="10">
        <v>1218.308</v>
      </c>
      <c r="F265" t="str">
        <f>VLOOKUP(A265,StoreLookup,2,FALSE)</f>
        <v>Store#1</v>
      </c>
      <c r="G265">
        <f>INDEX(CalLookUpTable,MATCH($B265,CalLookUpRow,0),MATCH(G$1,CalLookUpColumn,0))</f>
        <v>2019</v>
      </c>
      <c r="H265">
        <f>INDEX(CalLookUpTable,MATCH($B265,CalLookUpRow,0),MATCH(H$1,CalLookUpColumn,0))</f>
        <v>3</v>
      </c>
      <c r="I265">
        <f>INDEX(CalLookUpTable,MATCH($B265,CalLookUpRow,0),MATCH(I$1,CalLookUpColumn,0))</f>
        <v>2</v>
      </c>
    </row>
    <row r="266" spans="1:9" x14ac:dyDescent="0.25">
      <c r="A266" s="7">
        <v>1</v>
      </c>
      <c r="B266" s="8">
        <v>43532</v>
      </c>
      <c r="C266" s="9" t="s">
        <v>5</v>
      </c>
      <c r="D266" s="10">
        <v>3927.3359999999993</v>
      </c>
      <c r="E266" s="10">
        <v>0</v>
      </c>
      <c r="F266" t="str">
        <f>VLOOKUP(A266,StoreLookup,2,FALSE)</f>
        <v>Store#1</v>
      </c>
      <c r="G266">
        <f>INDEX(CalLookUpTable,MATCH($B266,CalLookUpRow,0),MATCH(G$1,CalLookUpColumn,0))</f>
        <v>2019</v>
      </c>
      <c r="H266">
        <f>INDEX(CalLookUpTable,MATCH($B266,CalLookUpRow,0),MATCH(H$1,CalLookUpColumn,0))</f>
        <v>3</v>
      </c>
      <c r="I266">
        <f>INDEX(CalLookUpTable,MATCH($B266,CalLookUpRow,0),MATCH(I$1,CalLookUpColumn,0))</f>
        <v>2</v>
      </c>
    </row>
    <row r="267" spans="1:9" x14ac:dyDescent="0.25">
      <c r="A267" s="7">
        <v>1</v>
      </c>
      <c r="B267" s="8">
        <v>43532</v>
      </c>
      <c r="C267" s="9" t="s">
        <v>4</v>
      </c>
      <c r="D267" s="10">
        <v>6248.1019999999999</v>
      </c>
      <c r="E267" s="10">
        <v>7082.6909999999989</v>
      </c>
      <c r="F267" t="str">
        <f>VLOOKUP(A267,StoreLookup,2,FALSE)</f>
        <v>Store#1</v>
      </c>
      <c r="G267">
        <f>INDEX(CalLookUpTable,MATCH($B267,CalLookUpRow,0),MATCH(G$1,CalLookUpColumn,0))</f>
        <v>2019</v>
      </c>
      <c r="H267">
        <f>INDEX(CalLookUpTable,MATCH($B267,CalLookUpRow,0),MATCH(H$1,CalLookUpColumn,0))</f>
        <v>3</v>
      </c>
      <c r="I267">
        <f>INDEX(CalLookUpTable,MATCH($B267,CalLookUpRow,0),MATCH(I$1,CalLookUpColumn,0))</f>
        <v>2</v>
      </c>
    </row>
    <row r="268" spans="1:9" x14ac:dyDescent="0.25">
      <c r="A268" s="7">
        <v>1</v>
      </c>
      <c r="B268" s="8">
        <v>43532</v>
      </c>
      <c r="C268" s="9" t="s">
        <v>6</v>
      </c>
      <c r="D268" s="10">
        <v>1504.3839999999998</v>
      </c>
      <c r="E268" s="10">
        <v>1826.6429999999998</v>
      </c>
      <c r="F268" t="str">
        <f>VLOOKUP(A268,StoreLookup,2,FALSE)</f>
        <v>Store#1</v>
      </c>
      <c r="G268">
        <f>INDEX(CalLookUpTable,MATCH($B268,CalLookUpRow,0),MATCH(G$1,CalLookUpColumn,0))</f>
        <v>2019</v>
      </c>
      <c r="H268">
        <f>INDEX(CalLookUpTable,MATCH($B268,CalLookUpRow,0),MATCH(H$1,CalLookUpColumn,0))</f>
        <v>3</v>
      </c>
      <c r="I268">
        <f>INDEX(CalLookUpTable,MATCH($B268,CalLookUpRow,0),MATCH(I$1,CalLookUpColumn,0))</f>
        <v>2</v>
      </c>
    </row>
    <row r="269" spans="1:9" x14ac:dyDescent="0.25">
      <c r="A269" s="7">
        <v>1</v>
      </c>
      <c r="B269" s="8">
        <v>43532</v>
      </c>
      <c r="C269" s="9" t="s">
        <v>3</v>
      </c>
      <c r="D269" s="10">
        <v>113.57499999999999</v>
      </c>
      <c r="E269" s="10">
        <v>1402.1</v>
      </c>
      <c r="F269" t="str">
        <f>VLOOKUP(A269,StoreLookup,2,FALSE)</f>
        <v>Store#1</v>
      </c>
      <c r="G269">
        <f>INDEX(CalLookUpTable,MATCH($B269,CalLookUpRow,0),MATCH(G$1,CalLookUpColumn,0))</f>
        <v>2019</v>
      </c>
      <c r="H269">
        <f>INDEX(CalLookUpTable,MATCH($B269,CalLookUpRow,0),MATCH(H$1,CalLookUpColumn,0))</f>
        <v>3</v>
      </c>
      <c r="I269">
        <f>INDEX(CalLookUpTable,MATCH($B269,CalLookUpRow,0),MATCH(I$1,CalLookUpColumn,0))</f>
        <v>2</v>
      </c>
    </row>
    <row r="270" spans="1:9" x14ac:dyDescent="0.25">
      <c r="A270" s="7">
        <v>1</v>
      </c>
      <c r="B270" s="8">
        <v>43533</v>
      </c>
      <c r="C270" s="9" t="s">
        <v>3</v>
      </c>
      <c r="D270" s="10">
        <v>577.04499999999996</v>
      </c>
      <c r="E270" s="10">
        <v>837.45199999999988</v>
      </c>
      <c r="F270" t="str">
        <f>VLOOKUP(A270,StoreLookup,2,FALSE)</f>
        <v>Store#1</v>
      </c>
      <c r="G270">
        <f>INDEX(CalLookUpTable,MATCH($B270,CalLookUpRow,0),MATCH(G$1,CalLookUpColumn,0))</f>
        <v>2019</v>
      </c>
      <c r="H270">
        <f>INDEX(CalLookUpTable,MATCH($B270,CalLookUpRow,0),MATCH(H$1,CalLookUpColumn,0))</f>
        <v>3</v>
      </c>
      <c r="I270">
        <f>INDEX(CalLookUpTable,MATCH($B270,CalLookUpRow,0),MATCH(I$1,CalLookUpColumn,0))</f>
        <v>2</v>
      </c>
    </row>
    <row r="271" spans="1:9" x14ac:dyDescent="0.25">
      <c r="A271" s="7">
        <v>1</v>
      </c>
      <c r="B271" s="8">
        <v>43533</v>
      </c>
      <c r="C271" s="9" t="s">
        <v>5</v>
      </c>
      <c r="D271" s="10">
        <v>4151.1679999999997</v>
      </c>
      <c r="E271" s="10">
        <v>0</v>
      </c>
      <c r="F271" t="str">
        <f>VLOOKUP(A271,StoreLookup,2,FALSE)</f>
        <v>Store#1</v>
      </c>
      <c r="G271">
        <f>INDEX(CalLookUpTable,MATCH($B271,CalLookUpRow,0),MATCH(G$1,CalLookUpColumn,0))</f>
        <v>2019</v>
      </c>
      <c r="H271">
        <f>INDEX(CalLookUpTable,MATCH($B271,CalLookUpRow,0),MATCH(H$1,CalLookUpColumn,0))</f>
        <v>3</v>
      </c>
      <c r="I271">
        <f>INDEX(CalLookUpTable,MATCH($B271,CalLookUpRow,0),MATCH(I$1,CalLookUpColumn,0))</f>
        <v>2</v>
      </c>
    </row>
    <row r="272" spans="1:9" x14ac:dyDescent="0.25">
      <c r="A272" s="7">
        <v>1</v>
      </c>
      <c r="B272" s="8">
        <v>43533</v>
      </c>
      <c r="C272" s="9" t="s">
        <v>6</v>
      </c>
      <c r="D272" s="10">
        <v>1112.79</v>
      </c>
      <c r="E272" s="10">
        <v>1969.499</v>
      </c>
      <c r="F272" t="str">
        <f>VLOOKUP(A272,StoreLookup,2,FALSE)</f>
        <v>Store#1</v>
      </c>
      <c r="G272">
        <f>INDEX(CalLookUpTable,MATCH($B272,CalLookUpRow,0),MATCH(G$1,CalLookUpColumn,0))</f>
        <v>2019</v>
      </c>
      <c r="H272">
        <f>INDEX(CalLookUpTable,MATCH($B272,CalLookUpRow,0),MATCH(H$1,CalLookUpColumn,0))</f>
        <v>3</v>
      </c>
      <c r="I272">
        <f>INDEX(CalLookUpTable,MATCH($B272,CalLookUpRow,0),MATCH(I$1,CalLookUpColumn,0))</f>
        <v>2</v>
      </c>
    </row>
    <row r="273" spans="1:9" x14ac:dyDescent="0.25">
      <c r="A273" s="7">
        <v>1</v>
      </c>
      <c r="B273" s="8">
        <v>43533</v>
      </c>
      <c r="C273" s="9" t="s">
        <v>4</v>
      </c>
      <c r="D273" s="10">
        <v>6416.6059999999998</v>
      </c>
      <c r="E273" s="10">
        <v>6841.17</v>
      </c>
      <c r="F273" t="str">
        <f>VLOOKUP(A273,StoreLookup,2,FALSE)</f>
        <v>Store#1</v>
      </c>
      <c r="G273">
        <f>INDEX(CalLookUpTable,MATCH($B273,CalLookUpRow,0),MATCH(G$1,CalLookUpColumn,0))</f>
        <v>2019</v>
      </c>
      <c r="H273">
        <f>INDEX(CalLookUpTable,MATCH($B273,CalLookUpRow,0),MATCH(H$1,CalLookUpColumn,0))</f>
        <v>3</v>
      </c>
      <c r="I273">
        <f>INDEX(CalLookUpTable,MATCH($B273,CalLookUpRow,0),MATCH(I$1,CalLookUpColumn,0))</f>
        <v>2</v>
      </c>
    </row>
    <row r="274" spans="1:9" x14ac:dyDescent="0.25">
      <c r="A274" s="7">
        <v>1</v>
      </c>
      <c r="B274" s="8">
        <v>43534</v>
      </c>
      <c r="C274" s="9" t="s">
        <v>3</v>
      </c>
      <c r="D274" s="10">
        <v>0</v>
      </c>
      <c r="E274" s="10">
        <v>0</v>
      </c>
      <c r="F274" t="str">
        <f>VLOOKUP(A274,StoreLookup,2,FALSE)</f>
        <v>Store#1</v>
      </c>
      <c r="G274">
        <f>INDEX(CalLookUpTable,MATCH($B274,CalLookUpRow,0),MATCH(G$1,CalLookUpColumn,0))</f>
        <v>2019</v>
      </c>
      <c r="H274">
        <f>INDEX(CalLookUpTable,MATCH($B274,CalLookUpRow,0),MATCH(H$1,CalLookUpColumn,0))</f>
        <v>3</v>
      </c>
      <c r="I274">
        <f>INDEX(CalLookUpTable,MATCH($B274,CalLookUpRow,0),MATCH(I$1,CalLookUpColumn,0))</f>
        <v>2</v>
      </c>
    </row>
    <row r="275" spans="1:9" x14ac:dyDescent="0.25">
      <c r="A275" s="7">
        <v>1</v>
      </c>
      <c r="B275" s="8">
        <v>43534</v>
      </c>
      <c r="C275" s="9" t="s">
        <v>6</v>
      </c>
      <c r="D275" s="10">
        <v>319.03899999999999</v>
      </c>
      <c r="E275" s="10">
        <v>531.76899999999989</v>
      </c>
      <c r="F275" t="str">
        <f>VLOOKUP(A275,StoreLookup,2,FALSE)</f>
        <v>Store#1</v>
      </c>
      <c r="G275">
        <f>INDEX(CalLookUpTable,MATCH($B275,CalLookUpRow,0),MATCH(G$1,CalLookUpColumn,0))</f>
        <v>2019</v>
      </c>
      <c r="H275">
        <f>INDEX(CalLookUpTable,MATCH($B275,CalLookUpRow,0),MATCH(H$1,CalLookUpColumn,0))</f>
        <v>3</v>
      </c>
      <c r="I275">
        <f>INDEX(CalLookUpTable,MATCH($B275,CalLookUpRow,0),MATCH(I$1,CalLookUpColumn,0))</f>
        <v>2</v>
      </c>
    </row>
    <row r="276" spans="1:9" x14ac:dyDescent="0.25">
      <c r="A276" s="7">
        <v>1</v>
      </c>
      <c r="B276" s="8">
        <v>43534</v>
      </c>
      <c r="C276" s="9" t="s">
        <v>4</v>
      </c>
      <c r="D276" s="10">
        <v>2249.3869999999997</v>
      </c>
      <c r="E276" s="10">
        <v>2436.819</v>
      </c>
      <c r="F276" t="str">
        <f>VLOOKUP(A276,StoreLookup,2,FALSE)</f>
        <v>Store#1</v>
      </c>
      <c r="G276">
        <f>INDEX(CalLookUpTable,MATCH($B276,CalLookUpRow,0),MATCH(G$1,CalLookUpColumn,0))</f>
        <v>2019</v>
      </c>
      <c r="H276">
        <f>INDEX(CalLookUpTable,MATCH($B276,CalLookUpRow,0),MATCH(H$1,CalLookUpColumn,0))</f>
        <v>3</v>
      </c>
      <c r="I276">
        <f>INDEX(CalLookUpTable,MATCH($B276,CalLookUpRow,0),MATCH(I$1,CalLookUpColumn,0))</f>
        <v>2</v>
      </c>
    </row>
    <row r="277" spans="1:9" x14ac:dyDescent="0.25">
      <c r="A277" s="7">
        <v>1</v>
      </c>
      <c r="B277" s="8">
        <v>43534</v>
      </c>
      <c r="C277" s="9" t="s">
        <v>5</v>
      </c>
      <c r="D277" s="10">
        <v>1408.68</v>
      </c>
      <c r="E277" s="10">
        <v>0</v>
      </c>
      <c r="F277" t="str">
        <f>VLOOKUP(A277,StoreLookup,2,FALSE)</f>
        <v>Store#1</v>
      </c>
      <c r="G277">
        <f>INDEX(CalLookUpTable,MATCH($B277,CalLookUpRow,0),MATCH(G$1,CalLookUpColumn,0))</f>
        <v>2019</v>
      </c>
      <c r="H277">
        <f>INDEX(CalLookUpTable,MATCH($B277,CalLookUpRow,0),MATCH(H$1,CalLookUpColumn,0))</f>
        <v>3</v>
      </c>
      <c r="I277">
        <f>INDEX(CalLookUpTable,MATCH($B277,CalLookUpRow,0),MATCH(I$1,CalLookUpColumn,0))</f>
        <v>2</v>
      </c>
    </row>
    <row r="278" spans="1:9" x14ac:dyDescent="0.25">
      <c r="A278" s="7">
        <v>1</v>
      </c>
      <c r="B278" s="8">
        <v>43535</v>
      </c>
      <c r="C278" s="9" t="s">
        <v>3</v>
      </c>
      <c r="D278" s="10">
        <v>0</v>
      </c>
      <c r="E278" s="10">
        <v>584.94799999999998</v>
      </c>
      <c r="F278" t="str">
        <f>VLOOKUP(A278,StoreLookup,2,FALSE)</f>
        <v>Store#1</v>
      </c>
      <c r="G278">
        <f>INDEX(CalLookUpTable,MATCH($B278,CalLookUpRow,0),MATCH(G$1,CalLookUpColumn,0))</f>
        <v>2019</v>
      </c>
      <c r="H278">
        <f>INDEX(CalLookUpTable,MATCH($B278,CalLookUpRow,0),MATCH(H$1,CalLookUpColumn,0))</f>
        <v>3</v>
      </c>
      <c r="I278">
        <f>INDEX(CalLookUpTable,MATCH($B278,CalLookUpRow,0),MATCH(I$1,CalLookUpColumn,0))</f>
        <v>3</v>
      </c>
    </row>
    <row r="279" spans="1:9" x14ac:dyDescent="0.25">
      <c r="A279" s="7">
        <v>1</v>
      </c>
      <c r="B279" s="8">
        <v>43535</v>
      </c>
      <c r="C279" s="9" t="s">
        <v>5</v>
      </c>
      <c r="D279" s="10">
        <v>2675.2460000000001</v>
      </c>
      <c r="E279" s="10">
        <v>0</v>
      </c>
      <c r="F279" t="str">
        <f>VLOOKUP(A279,StoreLookup,2,FALSE)</f>
        <v>Store#1</v>
      </c>
      <c r="G279">
        <f>INDEX(CalLookUpTable,MATCH($B279,CalLookUpRow,0),MATCH(G$1,CalLookUpColumn,0))</f>
        <v>2019</v>
      </c>
      <c r="H279">
        <f>INDEX(CalLookUpTable,MATCH($B279,CalLookUpRow,0),MATCH(H$1,CalLookUpColumn,0))</f>
        <v>3</v>
      </c>
      <c r="I279">
        <f>INDEX(CalLookUpTable,MATCH($B279,CalLookUpRow,0),MATCH(I$1,CalLookUpColumn,0))</f>
        <v>3</v>
      </c>
    </row>
    <row r="280" spans="1:9" x14ac:dyDescent="0.25">
      <c r="A280" s="7">
        <v>1</v>
      </c>
      <c r="B280" s="8">
        <v>43535</v>
      </c>
      <c r="C280" s="9" t="s">
        <v>6</v>
      </c>
      <c r="D280" s="10">
        <v>719.15199999999993</v>
      </c>
      <c r="E280" s="10">
        <v>1224.615</v>
      </c>
      <c r="F280" t="str">
        <f>VLOOKUP(A280,StoreLookup,2,FALSE)</f>
        <v>Store#1</v>
      </c>
      <c r="G280">
        <f>INDEX(CalLookUpTable,MATCH($B280,CalLookUpRow,0),MATCH(G$1,CalLookUpColumn,0))</f>
        <v>2019</v>
      </c>
      <c r="H280">
        <f>INDEX(CalLookUpTable,MATCH($B280,CalLookUpRow,0),MATCH(H$1,CalLookUpColumn,0))</f>
        <v>3</v>
      </c>
      <c r="I280">
        <f>INDEX(CalLookUpTable,MATCH($B280,CalLookUpRow,0),MATCH(I$1,CalLookUpColumn,0))</f>
        <v>3</v>
      </c>
    </row>
    <row r="281" spans="1:9" x14ac:dyDescent="0.25">
      <c r="A281" s="7">
        <v>1</v>
      </c>
      <c r="B281" s="8">
        <v>43535</v>
      </c>
      <c r="C281" s="9" t="s">
        <v>4</v>
      </c>
      <c r="D281" s="10">
        <v>3699.92</v>
      </c>
      <c r="E281" s="10">
        <v>4579.0079999999998</v>
      </c>
      <c r="F281" t="str">
        <f>VLOOKUP(A281,StoreLookup,2,FALSE)</f>
        <v>Store#1</v>
      </c>
      <c r="G281">
        <f>INDEX(CalLookUpTable,MATCH($B281,CalLookUpRow,0),MATCH(G$1,CalLookUpColumn,0))</f>
        <v>2019</v>
      </c>
      <c r="H281">
        <f>INDEX(CalLookUpTable,MATCH($B281,CalLookUpRow,0),MATCH(H$1,CalLookUpColumn,0))</f>
        <v>3</v>
      </c>
      <c r="I281">
        <f>INDEX(CalLookUpTable,MATCH($B281,CalLookUpRow,0),MATCH(I$1,CalLookUpColumn,0))</f>
        <v>3</v>
      </c>
    </row>
    <row r="282" spans="1:9" x14ac:dyDescent="0.25">
      <c r="A282" s="7">
        <v>1</v>
      </c>
      <c r="B282" s="8">
        <v>43536</v>
      </c>
      <c r="C282" s="9" t="s">
        <v>6</v>
      </c>
      <c r="D282" s="10">
        <v>811.55199999999991</v>
      </c>
      <c r="E282" s="10">
        <v>1339.807</v>
      </c>
      <c r="F282" t="str">
        <f>VLOOKUP(A282,StoreLookup,2,FALSE)</f>
        <v>Store#1</v>
      </c>
      <c r="G282">
        <f>INDEX(CalLookUpTable,MATCH($B282,CalLookUpRow,0),MATCH(G$1,CalLookUpColumn,0))</f>
        <v>2019</v>
      </c>
      <c r="H282">
        <f>INDEX(CalLookUpTable,MATCH($B282,CalLookUpRow,0),MATCH(H$1,CalLookUpColumn,0))</f>
        <v>3</v>
      </c>
      <c r="I282">
        <f>INDEX(CalLookUpTable,MATCH($B282,CalLookUpRow,0),MATCH(I$1,CalLookUpColumn,0))</f>
        <v>3</v>
      </c>
    </row>
    <row r="283" spans="1:9" x14ac:dyDescent="0.25">
      <c r="A283" s="7">
        <v>1</v>
      </c>
      <c r="B283" s="8">
        <v>43536</v>
      </c>
      <c r="C283" s="9" t="s">
        <v>3</v>
      </c>
      <c r="D283" s="10">
        <v>184.97499999999999</v>
      </c>
      <c r="E283" s="10">
        <v>366.40800000000002</v>
      </c>
      <c r="F283" t="str">
        <f>VLOOKUP(A283,StoreLookup,2,FALSE)</f>
        <v>Store#1</v>
      </c>
      <c r="G283">
        <f>INDEX(CalLookUpTable,MATCH($B283,CalLookUpRow,0),MATCH(G$1,CalLookUpColumn,0))</f>
        <v>2019</v>
      </c>
      <c r="H283">
        <f>INDEX(CalLookUpTable,MATCH($B283,CalLookUpRow,0),MATCH(H$1,CalLookUpColumn,0))</f>
        <v>3</v>
      </c>
      <c r="I283">
        <f>INDEX(CalLookUpTable,MATCH($B283,CalLookUpRow,0),MATCH(I$1,CalLookUpColumn,0))</f>
        <v>3</v>
      </c>
    </row>
    <row r="284" spans="1:9" x14ac:dyDescent="0.25">
      <c r="A284" s="7">
        <v>1</v>
      </c>
      <c r="B284" s="8">
        <v>43536</v>
      </c>
      <c r="C284" s="9" t="s">
        <v>4</v>
      </c>
      <c r="D284" s="10">
        <v>3968.7339999999995</v>
      </c>
      <c r="E284" s="10">
        <v>4654.0619999999999</v>
      </c>
      <c r="F284" t="str">
        <f>VLOOKUP(A284,StoreLookup,2,FALSE)</f>
        <v>Store#1</v>
      </c>
      <c r="G284">
        <f>INDEX(CalLookUpTable,MATCH($B284,CalLookUpRow,0),MATCH(G$1,CalLookUpColumn,0))</f>
        <v>2019</v>
      </c>
      <c r="H284">
        <f>INDEX(CalLookUpTable,MATCH($B284,CalLookUpRow,0),MATCH(H$1,CalLookUpColumn,0))</f>
        <v>3</v>
      </c>
      <c r="I284">
        <f>INDEX(CalLookUpTable,MATCH($B284,CalLookUpRow,0),MATCH(I$1,CalLookUpColumn,0))</f>
        <v>3</v>
      </c>
    </row>
    <row r="285" spans="1:9" x14ac:dyDescent="0.25">
      <c r="A285" s="7">
        <v>1</v>
      </c>
      <c r="B285" s="8">
        <v>43536</v>
      </c>
      <c r="C285" s="9" t="s">
        <v>5</v>
      </c>
      <c r="D285" s="10">
        <v>2542.232</v>
      </c>
      <c r="E285" s="10">
        <v>0</v>
      </c>
      <c r="F285" t="str">
        <f>VLOOKUP(A285,StoreLookup,2,FALSE)</f>
        <v>Store#1</v>
      </c>
      <c r="G285">
        <f>INDEX(CalLookUpTable,MATCH($B285,CalLookUpRow,0),MATCH(G$1,CalLookUpColumn,0))</f>
        <v>2019</v>
      </c>
      <c r="H285">
        <f>INDEX(CalLookUpTable,MATCH($B285,CalLookUpRow,0),MATCH(H$1,CalLookUpColumn,0))</f>
        <v>3</v>
      </c>
      <c r="I285">
        <f>INDEX(CalLookUpTable,MATCH($B285,CalLookUpRow,0),MATCH(I$1,CalLookUpColumn,0))</f>
        <v>3</v>
      </c>
    </row>
    <row r="286" spans="1:9" x14ac:dyDescent="0.25">
      <c r="A286" s="7">
        <v>1</v>
      </c>
      <c r="B286" s="8">
        <v>43537</v>
      </c>
      <c r="C286" s="9" t="s">
        <v>4</v>
      </c>
      <c r="D286" s="10">
        <v>4207.9659999999994</v>
      </c>
      <c r="E286" s="10">
        <v>4216.9609999999993</v>
      </c>
      <c r="F286" t="str">
        <f>VLOOKUP(A286,StoreLookup,2,FALSE)</f>
        <v>Store#1</v>
      </c>
      <c r="G286">
        <f>INDEX(CalLookUpTable,MATCH($B286,CalLookUpRow,0),MATCH(G$1,CalLookUpColumn,0))</f>
        <v>2019</v>
      </c>
      <c r="H286">
        <f>INDEX(CalLookUpTable,MATCH($B286,CalLookUpRow,0),MATCH(H$1,CalLookUpColumn,0))</f>
        <v>3</v>
      </c>
      <c r="I286">
        <f>INDEX(CalLookUpTable,MATCH($B286,CalLookUpRow,0),MATCH(I$1,CalLookUpColumn,0))</f>
        <v>3</v>
      </c>
    </row>
    <row r="287" spans="1:9" x14ac:dyDescent="0.25">
      <c r="A287" s="7">
        <v>1</v>
      </c>
      <c r="B287" s="8">
        <v>43537</v>
      </c>
      <c r="C287" s="9" t="s">
        <v>6</v>
      </c>
      <c r="D287" s="10">
        <v>589.35799999999995</v>
      </c>
      <c r="E287" s="10">
        <v>1067.423</v>
      </c>
      <c r="F287" t="str">
        <f>VLOOKUP(A287,StoreLookup,2,FALSE)</f>
        <v>Store#1</v>
      </c>
      <c r="G287">
        <f>INDEX(CalLookUpTable,MATCH($B287,CalLookUpRow,0),MATCH(G$1,CalLookUpColumn,0))</f>
        <v>2019</v>
      </c>
      <c r="H287">
        <f>INDEX(CalLookUpTable,MATCH($B287,CalLookUpRow,0),MATCH(H$1,CalLookUpColumn,0))</f>
        <v>3</v>
      </c>
      <c r="I287">
        <f>INDEX(CalLookUpTable,MATCH($B287,CalLookUpRow,0),MATCH(I$1,CalLookUpColumn,0))</f>
        <v>3</v>
      </c>
    </row>
    <row r="288" spans="1:9" x14ac:dyDescent="0.25">
      <c r="A288" s="7">
        <v>1</v>
      </c>
      <c r="B288" s="8">
        <v>43537</v>
      </c>
      <c r="C288" s="9" t="s">
        <v>5</v>
      </c>
      <c r="D288" s="10">
        <v>3401.482</v>
      </c>
      <c r="E288" s="10">
        <v>0</v>
      </c>
      <c r="F288" t="str">
        <f>VLOOKUP(A288,StoreLookup,2,FALSE)</f>
        <v>Store#1</v>
      </c>
      <c r="G288">
        <f>INDEX(CalLookUpTable,MATCH($B288,CalLookUpRow,0),MATCH(G$1,CalLookUpColumn,0))</f>
        <v>2019</v>
      </c>
      <c r="H288">
        <f>INDEX(CalLookUpTable,MATCH($B288,CalLookUpRow,0),MATCH(H$1,CalLookUpColumn,0))</f>
        <v>3</v>
      </c>
      <c r="I288">
        <f>INDEX(CalLookUpTable,MATCH($B288,CalLookUpRow,0),MATCH(I$1,CalLookUpColumn,0))</f>
        <v>3</v>
      </c>
    </row>
    <row r="289" spans="1:9" x14ac:dyDescent="0.25">
      <c r="A289" s="7">
        <v>1</v>
      </c>
      <c r="B289" s="8">
        <v>43537</v>
      </c>
      <c r="C289" s="9" t="s">
        <v>3</v>
      </c>
      <c r="D289" s="10">
        <v>0</v>
      </c>
      <c r="E289" s="10">
        <v>333.78799999999995</v>
      </c>
      <c r="F289" t="str">
        <f>VLOOKUP(A289,StoreLookup,2,FALSE)</f>
        <v>Store#1</v>
      </c>
      <c r="G289">
        <f>INDEX(CalLookUpTable,MATCH($B289,CalLookUpRow,0),MATCH(G$1,CalLookUpColumn,0))</f>
        <v>2019</v>
      </c>
      <c r="H289">
        <f>INDEX(CalLookUpTable,MATCH($B289,CalLookUpRow,0),MATCH(H$1,CalLookUpColumn,0))</f>
        <v>3</v>
      </c>
      <c r="I289">
        <f>INDEX(CalLookUpTable,MATCH($B289,CalLookUpRow,0),MATCH(I$1,CalLookUpColumn,0))</f>
        <v>3</v>
      </c>
    </row>
    <row r="290" spans="1:9" x14ac:dyDescent="0.25">
      <c r="A290" s="7">
        <v>1</v>
      </c>
      <c r="B290" s="8">
        <v>43538</v>
      </c>
      <c r="C290" s="9" t="s">
        <v>6</v>
      </c>
      <c r="D290" s="10">
        <v>578.31899999999996</v>
      </c>
      <c r="E290" s="10">
        <v>2073.9809999999998</v>
      </c>
      <c r="F290" t="str">
        <f>VLOOKUP(A290,StoreLookup,2,FALSE)</f>
        <v>Store#1</v>
      </c>
      <c r="G290">
        <f>INDEX(CalLookUpTable,MATCH($B290,CalLookUpRow,0),MATCH(G$1,CalLookUpColumn,0))</f>
        <v>2019</v>
      </c>
      <c r="H290">
        <f>INDEX(CalLookUpTable,MATCH($B290,CalLookUpRow,0),MATCH(H$1,CalLookUpColumn,0))</f>
        <v>3</v>
      </c>
      <c r="I290">
        <f>INDEX(CalLookUpTable,MATCH($B290,CalLookUpRow,0),MATCH(I$1,CalLookUpColumn,0))</f>
        <v>3</v>
      </c>
    </row>
    <row r="291" spans="1:9" x14ac:dyDescent="0.25">
      <c r="A291" s="7">
        <v>1</v>
      </c>
      <c r="B291" s="8">
        <v>43538</v>
      </c>
      <c r="C291" s="9" t="s">
        <v>5</v>
      </c>
      <c r="D291" s="10">
        <v>3209.8429999999998</v>
      </c>
      <c r="E291" s="10">
        <v>0</v>
      </c>
      <c r="F291" t="str">
        <f>VLOOKUP(A291,StoreLookup,2,FALSE)</f>
        <v>Store#1</v>
      </c>
      <c r="G291">
        <f>INDEX(CalLookUpTable,MATCH($B291,CalLookUpRow,0),MATCH(G$1,CalLookUpColumn,0))</f>
        <v>2019</v>
      </c>
      <c r="H291">
        <f>INDEX(CalLookUpTable,MATCH($B291,CalLookUpRow,0),MATCH(H$1,CalLookUpColumn,0))</f>
        <v>3</v>
      </c>
      <c r="I291">
        <f>INDEX(CalLookUpTable,MATCH($B291,CalLookUpRow,0),MATCH(I$1,CalLookUpColumn,0))</f>
        <v>3</v>
      </c>
    </row>
    <row r="292" spans="1:9" x14ac:dyDescent="0.25">
      <c r="A292" s="7">
        <v>1</v>
      </c>
      <c r="B292" s="8">
        <v>43538</v>
      </c>
      <c r="C292" s="9" t="s">
        <v>4</v>
      </c>
      <c r="D292" s="10">
        <v>5231.0720000000001</v>
      </c>
      <c r="E292" s="10">
        <v>6216</v>
      </c>
      <c r="F292" t="str">
        <f>VLOOKUP(A292,StoreLookup,2,FALSE)</f>
        <v>Store#1</v>
      </c>
      <c r="G292">
        <f>INDEX(CalLookUpTable,MATCH($B292,CalLookUpRow,0),MATCH(G$1,CalLookUpColumn,0))</f>
        <v>2019</v>
      </c>
      <c r="H292">
        <f>INDEX(CalLookUpTable,MATCH($B292,CalLookUpRow,0),MATCH(H$1,CalLookUpColumn,0))</f>
        <v>3</v>
      </c>
      <c r="I292">
        <f>INDEX(CalLookUpTable,MATCH($B292,CalLookUpRow,0),MATCH(I$1,CalLookUpColumn,0))</f>
        <v>3</v>
      </c>
    </row>
    <row r="293" spans="1:9" x14ac:dyDescent="0.25">
      <c r="A293" s="7">
        <v>1</v>
      </c>
      <c r="B293" s="8">
        <v>43538</v>
      </c>
      <c r="C293" s="9" t="s">
        <v>3</v>
      </c>
      <c r="D293" s="10">
        <v>193.03899999999999</v>
      </c>
      <c r="E293" s="10">
        <v>2312.7089999999998</v>
      </c>
      <c r="F293" t="str">
        <f>VLOOKUP(A293,StoreLookup,2,FALSE)</f>
        <v>Store#1</v>
      </c>
      <c r="G293">
        <f>INDEX(CalLookUpTable,MATCH($B293,CalLookUpRow,0),MATCH(G$1,CalLookUpColumn,0))</f>
        <v>2019</v>
      </c>
      <c r="H293">
        <f>INDEX(CalLookUpTable,MATCH($B293,CalLookUpRow,0),MATCH(H$1,CalLookUpColumn,0))</f>
        <v>3</v>
      </c>
      <c r="I293">
        <f>INDEX(CalLookUpTable,MATCH($B293,CalLookUpRow,0),MATCH(I$1,CalLookUpColumn,0))</f>
        <v>3</v>
      </c>
    </row>
    <row r="294" spans="1:9" x14ac:dyDescent="0.25">
      <c r="A294" s="7">
        <v>1</v>
      </c>
      <c r="B294" s="8">
        <v>43539</v>
      </c>
      <c r="C294" s="9" t="s">
        <v>5</v>
      </c>
      <c r="D294" s="10">
        <v>3289.0339999999997</v>
      </c>
      <c r="E294" s="10">
        <v>0</v>
      </c>
      <c r="F294" t="str">
        <f>VLOOKUP(A294,StoreLookup,2,FALSE)</f>
        <v>Store#1</v>
      </c>
      <c r="G294">
        <f>INDEX(CalLookUpTable,MATCH($B294,CalLookUpRow,0),MATCH(G$1,CalLookUpColumn,0))</f>
        <v>2019</v>
      </c>
      <c r="H294">
        <f>INDEX(CalLookUpTable,MATCH($B294,CalLookUpRow,0),MATCH(H$1,CalLookUpColumn,0))</f>
        <v>3</v>
      </c>
      <c r="I294">
        <f>INDEX(CalLookUpTable,MATCH($B294,CalLookUpRow,0),MATCH(I$1,CalLookUpColumn,0))</f>
        <v>3</v>
      </c>
    </row>
    <row r="295" spans="1:9" x14ac:dyDescent="0.25">
      <c r="A295" s="7">
        <v>1</v>
      </c>
      <c r="B295" s="8">
        <v>43539</v>
      </c>
      <c r="C295" s="9" t="s">
        <v>3</v>
      </c>
      <c r="D295" s="10">
        <v>0</v>
      </c>
      <c r="E295" s="10">
        <v>1613.3879999999999</v>
      </c>
      <c r="F295" t="str">
        <f>VLOOKUP(A295,StoreLookup,2,FALSE)</f>
        <v>Store#1</v>
      </c>
      <c r="G295">
        <f>INDEX(CalLookUpTable,MATCH($B295,CalLookUpRow,0),MATCH(G$1,CalLookUpColumn,0))</f>
        <v>2019</v>
      </c>
      <c r="H295">
        <f>INDEX(CalLookUpTable,MATCH($B295,CalLookUpRow,0),MATCH(H$1,CalLookUpColumn,0))</f>
        <v>3</v>
      </c>
      <c r="I295">
        <f>INDEX(CalLookUpTable,MATCH($B295,CalLookUpRow,0),MATCH(I$1,CalLookUpColumn,0))</f>
        <v>3</v>
      </c>
    </row>
    <row r="296" spans="1:9" x14ac:dyDescent="0.25">
      <c r="A296" s="7">
        <v>1</v>
      </c>
      <c r="B296" s="8">
        <v>43539</v>
      </c>
      <c r="C296" s="9" t="s">
        <v>4</v>
      </c>
      <c r="D296" s="10">
        <v>6109.0119999999997</v>
      </c>
      <c r="E296" s="10">
        <v>6549.0460000000003</v>
      </c>
      <c r="F296" t="str">
        <f>VLOOKUP(A296,StoreLookup,2,FALSE)</f>
        <v>Store#1</v>
      </c>
      <c r="G296">
        <f>INDEX(CalLookUpTable,MATCH($B296,CalLookUpRow,0),MATCH(G$1,CalLookUpColumn,0))</f>
        <v>2019</v>
      </c>
      <c r="H296">
        <f>INDEX(CalLookUpTable,MATCH($B296,CalLookUpRow,0),MATCH(H$1,CalLookUpColumn,0))</f>
        <v>3</v>
      </c>
      <c r="I296">
        <f>INDEX(CalLookUpTable,MATCH($B296,CalLookUpRow,0),MATCH(I$1,CalLookUpColumn,0))</f>
        <v>3</v>
      </c>
    </row>
    <row r="297" spans="1:9" x14ac:dyDescent="0.25">
      <c r="A297" s="7">
        <v>1</v>
      </c>
      <c r="B297" s="8">
        <v>43539</v>
      </c>
      <c r="C297" s="9" t="s">
        <v>6</v>
      </c>
      <c r="D297" s="10">
        <v>1167.7749999999999</v>
      </c>
      <c r="E297" s="10">
        <v>1789.8999999999999</v>
      </c>
      <c r="F297" t="str">
        <f>VLOOKUP(A297,StoreLookup,2,FALSE)</f>
        <v>Store#1</v>
      </c>
      <c r="G297">
        <f>INDEX(CalLookUpTable,MATCH($B297,CalLookUpRow,0),MATCH(G$1,CalLookUpColumn,0))</f>
        <v>2019</v>
      </c>
      <c r="H297">
        <f>INDEX(CalLookUpTable,MATCH($B297,CalLookUpRow,0),MATCH(H$1,CalLookUpColumn,0))</f>
        <v>3</v>
      </c>
      <c r="I297">
        <f>INDEX(CalLookUpTable,MATCH($B297,CalLookUpRow,0),MATCH(I$1,CalLookUpColumn,0))</f>
        <v>3</v>
      </c>
    </row>
    <row r="298" spans="1:9" x14ac:dyDescent="0.25">
      <c r="A298" s="7">
        <v>1</v>
      </c>
      <c r="B298" s="8">
        <v>43540</v>
      </c>
      <c r="C298" s="9" t="s">
        <v>6</v>
      </c>
      <c r="D298" s="10">
        <v>1069.9849999999999</v>
      </c>
      <c r="E298" s="10">
        <v>1771.385</v>
      </c>
      <c r="F298" t="str">
        <f>VLOOKUP(A298,StoreLookup,2,FALSE)</f>
        <v>Store#1</v>
      </c>
      <c r="G298">
        <f>INDEX(CalLookUpTable,MATCH($B298,CalLookUpRow,0),MATCH(G$1,CalLookUpColumn,0))</f>
        <v>2019</v>
      </c>
      <c r="H298">
        <f>INDEX(CalLookUpTable,MATCH($B298,CalLookUpRow,0),MATCH(H$1,CalLookUpColumn,0))</f>
        <v>3</v>
      </c>
      <c r="I298">
        <f>INDEX(CalLookUpTable,MATCH($B298,CalLookUpRow,0),MATCH(I$1,CalLookUpColumn,0))</f>
        <v>3</v>
      </c>
    </row>
    <row r="299" spans="1:9" x14ac:dyDescent="0.25">
      <c r="A299" s="7">
        <v>1</v>
      </c>
      <c r="B299" s="8">
        <v>43540</v>
      </c>
      <c r="C299" s="9" t="s">
        <v>4</v>
      </c>
      <c r="D299" s="10">
        <v>6108.4309999999996</v>
      </c>
      <c r="E299" s="10">
        <v>5394.1439999999993</v>
      </c>
      <c r="F299" t="str">
        <f>VLOOKUP(A299,StoreLookup,2,FALSE)</f>
        <v>Store#1</v>
      </c>
      <c r="G299">
        <f>INDEX(CalLookUpTable,MATCH($B299,CalLookUpRow,0),MATCH(G$1,CalLookUpColumn,0))</f>
        <v>2019</v>
      </c>
      <c r="H299">
        <f>INDEX(CalLookUpTable,MATCH($B299,CalLookUpRow,0),MATCH(H$1,CalLookUpColumn,0))</f>
        <v>3</v>
      </c>
      <c r="I299">
        <f>INDEX(CalLookUpTable,MATCH($B299,CalLookUpRow,0),MATCH(I$1,CalLookUpColumn,0))</f>
        <v>3</v>
      </c>
    </row>
    <row r="300" spans="1:9" x14ac:dyDescent="0.25">
      <c r="A300" s="7">
        <v>1</v>
      </c>
      <c r="B300" s="8">
        <v>43540</v>
      </c>
      <c r="C300" s="9" t="s">
        <v>5</v>
      </c>
      <c r="D300" s="10">
        <v>3388.7279999999996</v>
      </c>
      <c r="E300" s="10">
        <v>0</v>
      </c>
      <c r="F300" t="str">
        <f>VLOOKUP(A300,StoreLookup,2,FALSE)</f>
        <v>Store#1</v>
      </c>
      <c r="G300">
        <f>INDEX(CalLookUpTable,MATCH($B300,CalLookUpRow,0),MATCH(G$1,CalLookUpColumn,0))</f>
        <v>2019</v>
      </c>
      <c r="H300">
        <f>INDEX(CalLookUpTable,MATCH($B300,CalLookUpRow,0),MATCH(H$1,CalLookUpColumn,0))</f>
        <v>3</v>
      </c>
      <c r="I300">
        <f>INDEX(CalLookUpTable,MATCH($B300,CalLookUpRow,0),MATCH(I$1,CalLookUpColumn,0))</f>
        <v>3</v>
      </c>
    </row>
    <row r="301" spans="1:9" x14ac:dyDescent="0.25">
      <c r="A301" s="7">
        <v>1</v>
      </c>
      <c r="B301" s="8">
        <v>43540</v>
      </c>
      <c r="C301" s="9" t="s">
        <v>3</v>
      </c>
      <c r="D301" s="10">
        <v>861.61599999999999</v>
      </c>
      <c r="E301" s="10">
        <v>644.30099999999993</v>
      </c>
      <c r="F301" t="str">
        <f>VLOOKUP(A301,StoreLookup,2,FALSE)</f>
        <v>Store#1</v>
      </c>
      <c r="G301">
        <f>INDEX(CalLookUpTable,MATCH($B301,CalLookUpRow,0),MATCH(G$1,CalLookUpColumn,0))</f>
        <v>2019</v>
      </c>
      <c r="H301">
        <f>INDEX(CalLookUpTable,MATCH($B301,CalLookUpRow,0),MATCH(H$1,CalLookUpColumn,0))</f>
        <v>3</v>
      </c>
      <c r="I301">
        <f>INDEX(CalLookUpTable,MATCH($B301,CalLookUpRow,0),MATCH(I$1,CalLookUpColumn,0))</f>
        <v>3</v>
      </c>
    </row>
    <row r="302" spans="1:9" x14ac:dyDescent="0.25">
      <c r="A302" s="7">
        <v>1</v>
      </c>
      <c r="B302" s="8">
        <v>43541</v>
      </c>
      <c r="C302" s="9" t="s">
        <v>4</v>
      </c>
      <c r="D302" s="10">
        <v>2512.37</v>
      </c>
      <c r="E302" s="10">
        <v>2904.3489999999997</v>
      </c>
      <c r="F302" t="str">
        <f>VLOOKUP(A302,StoreLookup,2,FALSE)</f>
        <v>Store#1</v>
      </c>
      <c r="G302">
        <f>INDEX(CalLookUpTable,MATCH($B302,CalLookUpRow,0),MATCH(G$1,CalLookUpColumn,0))</f>
        <v>2019</v>
      </c>
      <c r="H302">
        <f>INDEX(CalLookUpTable,MATCH($B302,CalLookUpRow,0),MATCH(H$1,CalLookUpColumn,0))</f>
        <v>3</v>
      </c>
      <c r="I302">
        <f>INDEX(CalLookUpTable,MATCH($B302,CalLookUpRow,0),MATCH(I$1,CalLookUpColumn,0))</f>
        <v>3</v>
      </c>
    </row>
    <row r="303" spans="1:9" x14ac:dyDescent="0.25">
      <c r="A303" s="7">
        <v>1</v>
      </c>
      <c r="B303" s="8">
        <v>43541</v>
      </c>
      <c r="C303" s="9" t="s">
        <v>6</v>
      </c>
      <c r="D303" s="10">
        <v>286.03399999999999</v>
      </c>
      <c r="E303" s="10">
        <v>306.06099999999998</v>
      </c>
      <c r="F303" t="str">
        <f>VLOOKUP(A303,StoreLookup,2,FALSE)</f>
        <v>Store#1</v>
      </c>
      <c r="G303">
        <f>INDEX(CalLookUpTable,MATCH($B303,CalLookUpRow,0),MATCH(G$1,CalLookUpColumn,0))</f>
        <v>2019</v>
      </c>
      <c r="H303">
        <f>INDEX(CalLookUpTable,MATCH($B303,CalLookUpRow,0),MATCH(H$1,CalLookUpColumn,0))</f>
        <v>3</v>
      </c>
      <c r="I303">
        <f>INDEX(CalLookUpTable,MATCH($B303,CalLookUpRow,0),MATCH(I$1,CalLookUpColumn,0))</f>
        <v>3</v>
      </c>
    </row>
    <row r="304" spans="1:9" x14ac:dyDescent="0.25">
      <c r="A304" s="7">
        <v>1</v>
      </c>
      <c r="B304" s="8">
        <v>43541</v>
      </c>
      <c r="C304" s="9" t="s">
        <v>5</v>
      </c>
      <c r="D304" s="10">
        <v>1587.6139999999998</v>
      </c>
      <c r="E304" s="10">
        <v>0</v>
      </c>
      <c r="F304" t="str">
        <f>VLOOKUP(A304,StoreLookup,2,FALSE)</f>
        <v>Store#1</v>
      </c>
      <c r="G304">
        <f>INDEX(CalLookUpTable,MATCH($B304,CalLookUpRow,0),MATCH(G$1,CalLookUpColumn,0))</f>
        <v>2019</v>
      </c>
      <c r="H304">
        <f>INDEX(CalLookUpTable,MATCH($B304,CalLookUpRow,0),MATCH(H$1,CalLookUpColumn,0))</f>
        <v>3</v>
      </c>
      <c r="I304">
        <f>INDEX(CalLookUpTable,MATCH($B304,CalLookUpRow,0),MATCH(I$1,CalLookUpColumn,0))</f>
        <v>3</v>
      </c>
    </row>
    <row r="305" spans="1:9" x14ac:dyDescent="0.25">
      <c r="A305" s="7">
        <v>1</v>
      </c>
      <c r="B305" s="8">
        <v>43541</v>
      </c>
      <c r="C305" s="9" t="s">
        <v>3</v>
      </c>
      <c r="D305" s="10">
        <v>192.32499999999999</v>
      </c>
      <c r="E305" s="10">
        <v>0</v>
      </c>
      <c r="F305" t="str">
        <f>VLOOKUP(A305,StoreLookup,2,FALSE)</f>
        <v>Store#1</v>
      </c>
      <c r="G305">
        <f>INDEX(CalLookUpTable,MATCH($B305,CalLookUpRow,0),MATCH(G$1,CalLookUpColumn,0))</f>
        <v>2019</v>
      </c>
      <c r="H305">
        <f>INDEX(CalLookUpTable,MATCH($B305,CalLookUpRow,0),MATCH(H$1,CalLookUpColumn,0))</f>
        <v>3</v>
      </c>
      <c r="I305">
        <f>INDEX(CalLookUpTable,MATCH($B305,CalLookUpRow,0),MATCH(I$1,CalLookUpColumn,0))</f>
        <v>3</v>
      </c>
    </row>
    <row r="306" spans="1:9" x14ac:dyDescent="0.25">
      <c r="A306" s="7">
        <v>1</v>
      </c>
      <c r="B306" s="8">
        <v>43542</v>
      </c>
      <c r="C306" s="9" t="s">
        <v>6</v>
      </c>
      <c r="D306" s="10">
        <v>788.81600000000003</v>
      </c>
      <c r="E306" s="10">
        <v>908.31999999999982</v>
      </c>
      <c r="F306" t="str">
        <f>VLOOKUP(A306,StoreLookup,2,FALSE)</f>
        <v>Store#1</v>
      </c>
      <c r="G306">
        <f>INDEX(CalLookUpTable,MATCH($B306,CalLookUpRow,0),MATCH(G$1,CalLookUpColumn,0))</f>
        <v>2019</v>
      </c>
      <c r="H306">
        <f>INDEX(CalLookUpTable,MATCH($B306,CalLookUpRow,0),MATCH(H$1,CalLookUpColumn,0))</f>
        <v>3</v>
      </c>
      <c r="I306">
        <f>INDEX(CalLookUpTable,MATCH($B306,CalLookUpRow,0),MATCH(I$1,CalLookUpColumn,0))</f>
        <v>4</v>
      </c>
    </row>
    <row r="307" spans="1:9" x14ac:dyDescent="0.25">
      <c r="A307" s="7">
        <v>1</v>
      </c>
      <c r="B307" s="8">
        <v>43542</v>
      </c>
      <c r="C307" s="9" t="s">
        <v>4</v>
      </c>
      <c r="D307" s="10">
        <v>3908.7999999999997</v>
      </c>
      <c r="E307" s="10">
        <v>5282.829999999999</v>
      </c>
      <c r="F307" t="str">
        <f>VLOOKUP(A307,StoreLookup,2,FALSE)</f>
        <v>Store#1</v>
      </c>
      <c r="G307">
        <f>INDEX(CalLookUpTable,MATCH($B307,CalLookUpRow,0),MATCH(G$1,CalLookUpColumn,0))</f>
        <v>2019</v>
      </c>
      <c r="H307">
        <f>INDEX(CalLookUpTable,MATCH($B307,CalLookUpRow,0),MATCH(H$1,CalLookUpColumn,0))</f>
        <v>3</v>
      </c>
      <c r="I307">
        <f>INDEX(CalLookUpTable,MATCH($B307,CalLookUpRow,0),MATCH(I$1,CalLookUpColumn,0))</f>
        <v>4</v>
      </c>
    </row>
    <row r="308" spans="1:9" x14ac:dyDescent="0.25">
      <c r="A308" s="7">
        <v>1</v>
      </c>
      <c r="B308" s="8">
        <v>43542</v>
      </c>
      <c r="C308" s="9" t="s">
        <v>3</v>
      </c>
      <c r="D308" s="10">
        <v>0</v>
      </c>
      <c r="E308" s="10">
        <v>192.32499999999999</v>
      </c>
      <c r="F308" t="str">
        <f>VLOOKUP(A308,StoreLookup,2,FALSE)</f>
        <v>Store#1</v>
      </c>
      <c r="G308">
        <f>INDEX(CalLookUpTable,MATCH($B308,CalLookUpRow,0),MATCH(G$1,CalLookUpColumn,0))</f>
        <v>2019</v>
      </c>
      <c r="H308">
        <f>INDEX(CalLookUpTable,MATCH($B308,CalLookUpRow,0),MATCH(H$1,CalLookUpColumn,0))</f>
        <v>3</v>
      </c>
      <c r="I308">
        <f>INDEX(CalLookUpTable,MATCH($B308,CalLookUpRow,0),MATCH(I$1,CalLookUpColumn,0))</f>
        <v>4</v>
      </c>
    </row>
    <row r="309" spans="1:9" x14ac:dyDescent="0.25">
      <c r="A309" s="7">
        <v>1</v>
      </c>
      <c r="B309" s="8">
        <v>43542</v>
      </c>
      <c r="C309" s="9" t="s">
        <v>5</v>
      </c>
      <c r="D309" s="10">
        <v>2794.5399999999995</v>
      </c>
      <c r="E309" s="10">
        <v>0</v>
      </c>
      <c r="F309" t="str">
        <f>VLOOKUP(A309,StoreLookup,2,FALSE)</f>
        <v>Store#1</v>
      </c>
      <c r="G309">
        <f>INDEX(CalLookUpTable,MATCH($B309,CalLookUpRow,0),MATCH(G$1,CalLookUpColumn,0))</f>
        <v>2019</v>
      </c>
      <c r="H309">
        <f>INDEX(CalLookUpTable,MATCH($B309,CalLookUpRow,0),MATCH(H$1,CalLookUpColumn,0))</f>
        <v>3</v>
      </c>
      <c r="I309">
        <f>INDEX(CalLookUpTable,MATCH($B309,CalLookUpRow,0),MATCH(I$1,CalLookUpColumn,0))</f>
        <v>4</v>
      </c>
    </row>
    <row r="310" spans="1:9" x14ac:dyDescent="0.25">
      <c r="A310" s="7">
        <v>1</v>
      </c>
      <c r="B310" s="8">
        <v>43543</v>
      </c>
      <c r="C310" s="9" t="s">
        <v>6</v>
      </c>
      <c r="D310" s="10">
        <v>965.87399999999991</v>
      </c>
      <c r="E310" s="10">
        <v>1237.04</v>
      </c>
      <c r="F310" t="str">
        <f>VLOOKUP(A310,StoreLookup,2,FALSE)</f>
        <v>Store#1</v>
      </c>
      <c r="G310">
        <f>INDEX(CalLookUpTable,MATCH($B310,CalLookUpRow,0),MATCH(G$1,CalLookUpColumn,0))</f>
        <v>2019</v>
      </c>
      <c r="H310">
        <f>INDEX(CalLookUpTable,MATCH($B310,CalLookUpRow,0),MATCH(H$1,CalLookUpColumn,0))</f>
        <v>3</v>
      </c>
      <c r="I310">
        <f>INDEX(CalLookUpTable,MATCH($B310,CalLookUpRow,0),MATCH(I$1,CalLookUpColumn,0))</f>
        <v>4</v>
      </c>
    </row>
    <row r="311" spans="1:9" x14ac:dyDescent="0.25">
      <c r="A311" s="7">
        <v>1</v>
      </c>
      <c r="B311" s="8">
        <v>43543</v>
      </c>
      <c r="C311" s="9" t="s">
        <v>5</v>
      </c>
      <c r="D311" s="10">
        <v>2967.797</v>
      </c>
      <c r="E311" s="10">
        <v>0</v>
      </c>
      <c r="F311" t="str">
        <f>VLOOKUP(A311,StoreLookup,2,FALSE)</f>
        <v>Store#1</v>
      </c>
      <c r="G311">
        <f>INDEX(CalLookUpTable,MATCH($B311,CalLookUpRow,0),MATCH(G$1,CalLookUpColumn,0))</f>
        <v>2019</v>
      </c>
      <c r="H311">
        <f>INDEX(CalLookUpTable,MATCH($B311,CalLookUpRow,0),MATCH(H$1,CalLookUpColumn,0))</f>
        <v>3</v>
      </c>
      <c r="I311">
        <f>INDEX(CalLookUpTable,MATCH($B311,CalLookUpRow,0),MATCH(I$1,CalLookUpColumn,0))</f>
        <v>4</v>
      </c>
    </row>
    <row r="312" spans="1:9" x14ac:dyDescent="0.25">
      <c r="A312" s="7">
        <v>1</v>
      </c>
      <c r="B312" s="8">
        <v>43543</v>
      </c>
      <c r="C312" s="9" t="s">
        <v>3</v>
      </c>
      <c r="D312" s="10">
        <v>0</v>
      </c>
      <c r="E312" s="10">
        <v>416.55599999999998</v>
      </c>
      <c r="F312" t="str">
        <f>VLOOKUP(A312,StoreLookup,2,FALSE)</f>
        <v>Store#1</v>
      </c>
      <c r="G312">
        <f>INDEX(CalLookUpTable,MATCH($B312,CalLookUpRow,0),MATCH(G$1,CalLookUpColumn,0))</f>
        <v>2019</v>
      </c>
      <c r="H312">
        <f>INDEX(CalLookUpTable,MATCH($B312,CalLookUpRow,0),MATCH(H$1,CalLookUpColumn,0))</f>
        <v>3</v>
      </c>
      <c r="I312">
        <f>INDEX(CalLookUpTable,MATCH($B312,CalLookUpRow,0),MATCH(I$1,CalLookUpColumn,0))</f>
        <v>4</v>
      </c>
    </row>
    <row r="313" spans="1:9" x14ac:dyDescent="0.25">
      <c r="A313" s="7">
        <v>1</v>
      </c>
      <c r="B313" s="8">
        <v>43543</v>
      </c>
      <c r="C313" s="9" t="s">
        <v>4</v>
      </c>
      <c r="D313" s="10">
        <v>3772.3909999999996</v>
      </c>
      <c r="E313" s="10">
        <v>4874.5410000000002</v>
      </c>
      <c r="F313" t="str">
        <f>VLOOKUP(A313,StoreLookup,2,FALSE)</f>
        <v>Store#1</v>
      </c>
      <c r="G313">
        <f>INDEX(CalLookUpTable,MATCH($B313,CalLookUpRow,0),MATCH(G$1,CalLookUpColumn,0))</f>
        <v>2019</v>
      </c>
      <c r="H313">
        <f>INDEX(CalLookUpTable,MATCH($B313,CalLookUpRow,0),MATCH(H$1,CalLookUpColumn,0))</f>
        <v>3</v>
      </c>
      <c r="I313">
        <f>INDEX(CalLookUpTable,MATCH($B313,CalLookUpRow,0),MATCH(I$1,CalLookUpColumn,0))</f>
        <v>4</v>
      </c>
    </row>
    <row r="314" spans="1:9" x14ac:dyDescent="0.25">
      <c r="A314" s="7">
        <v>1</v>
      </c>
      <c r="B314" s="8">
        <v>43544</v>
      </c>
      <c r="C314" s="9" t="s">
        <v>3</v>
      </c>
      <c r="D314" s="10">
        <v>0</v>
      </c>
      <c r="E314" s="10">
        <v>1102.2199999999998</v>
      </c>
      <c r="F314" t="str">
        <f>VLOOKUP(A314,StoreLookup,2,FALSE)</f>
        <v>Store#1</v>
      </c>
      <c r="G314">
        <f>INDEX(CalLookUpTable,MATCH($B314,CalLookUpRow,0),MATCH(G$1,CalLookUpColumn,0))</f>
        <v>2019</v>
      </c>
      <c r="H314">
        <f>INDEX(CalLookUpTable,MATCH($B314,CalLookUpRow,0),MATCH(H$1,CalLookUpColumn,0))</f>
        <v>3</v>
      </c>
      <c r="I314">
        <f>INDEX(CalLookUpTable,MATCH($B314,CalLookUpRow,0),MATCH(I$1,CalLookUpColumn,0))</f>
        <v>4</v>
      </c>
    </row>
    <row r="315" spans="1:9" x14ac:dyDescent="0.25">
      <c r="A315" s="7">
        <v>1</v>
      </c>
      <c r="B315" s="8">
        <v>43544</v>
      </c>
      <c r="C315" s="9" t="s">
        <v>6</v>
      </c>
      <c r="D315" s="10">
        <v>613.88599999999997</v>
      </c>
      <c r="E315" s="10">
        <v>1279.3409999999999</v>
      </c>
      <c r="F315" t="str">
        <f>VLOOKUP(A315,StoreLookup,2,FALSE)</f>
        <v>Store#1</v>
      </c>
      <c r="G315">
        <f>INDEX(CalLookUpTable,MATCH($B315,CalLookUpRow,0),MATCH(G$1,CalLookUpColumn,0))</f>
        <v>2019</v>
      </c>
      <c r="H315">
        <f>INDEX(CalLookUpTable,MATCH($B315,CalLookUpRow,0),MATCH(H$1,CalLookUpColumn,0))</f>
        <v>3</v>
      </c>
      <c r="I315">
        <f>INDEX(CalLookUpTable,MATCH($B315,CalLookUpRow,0),MATCH(I$1,CalLookUpColumn,0))</f>
        <v>4</v>
      </c>
    </row>
    <row r="316" spans="1:9" x14ac:dyDescent="0.25">
      <c r="A316" s="7">
        <v>1</v>
      </c>
      <c r="B316" s="8">
        <v>43544</v>
      </c>
      <c r="C316" s="9" t="s">
        <v>5</v>
      </c>
      <c r="D316" s="10">
        <v>3188.7519999999995</v>
      </c>
      <c r="E316" s="10">
        <v>0</v>
      </c>
      <c r="F316" t="str">
        <f>VLOOKUP(A316,StoreLookup,2,FALSE)</f>
        <v>Store#1</v>
      </c>
      <c r="G316">
        <f>INDEX(CalLookUpTable,MATCH($B316,CalLookUpRow,0),MATCH(G$1,CalLookUpColumn,0))</f>
        <v>2019</v>
      </c>
      <c r="H316">
        <f>INDEX(CalLookUpTable,MATCH($B316,CalLookUpRow,0),MATCH(H$1,CalLookUpColumn,0))</f>
        <v>3</v>
      </c>
      <c r="I316">
        <f>INDEX(CalLookUpTable,MATCH($B316,CalLookUpRow,0),MATCH(I$1,CalLookUpColumn,0))</f>
        <v>4</v>
      </c>
    </row>
    <row r="317" spans="1:9" x14ac:dyDescent="0.25">
      <c r="A317" s="7">
        <v>1</v>
      </c>
      <c r="B317" s="8">
        <v>43544</v>
      </c>
      <c r="C317" s="9" t="s">
        <v>4</v>
      </c>
      <c r="D317" s="10">
        <v>4479.0129999999999</v>
      </c>
      <c r="E317" s="10">
        <v>4703.1319999999996</v>
      </c>
      <c r="F317" t="str">
        <f>VLOOKUP(A317,StoreLookup,2,FALSE)</f>
        <v>Store#1</v>
      </c>
      <c r="G317">
        <f>INDEX(CalLookUpTable,MATCH($B317,CalLookUpRow,0),MATCH(G$1,CalLookUpColumn,0))</f>
        <v>2019</v>
      </c>
      <c r="H317">
        <f>INDEX(CalLookUpTable,MATCH($B317,CalLookUpRow,0),MATCH(H$1,CalLookUpColumn,0))</f>
        <v>3</v>
      </c>
      <c r="I317">
        <f>INDEX(CalLookUpTable,MATCH($B317,CalLookUpRow,0),MATCH(I$1,CalLookUpColumn,0))</f>
        <v>4</v>
      </c>
    </row>
    <row r="318" spans="1:9" x14ac:dyDescent="0.25">
      <c r="A318" s="7">
        <v>1</v>
      </c>
      <c r="B318" s="8">
        <v>43545</v>
      </c>
      <c r="C318" s="9" t="s">
        <v>4</v>
      </c>
      <c r="D318" s="10">
        <v>5121.4589999999998</v>
      </c>
      <c r="E318" s="10">
        <v>6106.4359999999997</v>
      </c>
      <c r="F318" t="str">
        <f>VLOOKUP(A318,StoreLookup,2,FALSE)</f>
        <v>Store#1</v>
      </c>
      <c r="G318">
        <f>INDEX(CalLookUpTable,MATCH($B318,CalLookUpRow,0),MATCH(G$1,CalLookUpColumn,0))</f>
        <v>2019</v>
      </c>
      <c r="H318">
        <f>INDEX(CalLookUpTable,MATCH($B318,CalLookUpRow,0),MATCH(H$1,CalLookUpColumn,0))</f>
        <v>3</v>
      </c>
      <c r="I318">
        <f>INDEX(CalLookUpTable,MATCH($B318,CalLookUpRow,0),MATCH(I$1,CalLookUpColumn,0))</f>
        <v>4</v>
      </c>
    </row>
    <row r="319" spans="1:9" x14ac:dyDescent="0.25">
      <c r="A319" s="7">
        <v>1</v>
      </c>
      <c r="B319" s="8">
        <v>43545</v>
      </c>
      <c r="C319" s="9" t="s">
        <v>6</v>
      </c>
      <c r="D319" s="10">
        <v>728.71399999999994</v>
      </c>
      <c r="E319" s="10">
        <v>1847.0059999999999</v>
      </c>
      <c r="F319" t="str">
        <f>VLOOKUP(A319,StoreLookup,2,FALSE)</f>
        <v>Store#1</v>
      </c>
      <c r="G319">
        <f>INDEX(CalLookUpTable,MATCH($B319,CalLookUpRow,0),MATCH(G$1,CalLookUpColumn,0))</f>
        <v>2019</v>
      </c>
      <c r="H319">
        <f>INDEX(CalLookUpTable,MATCH($B319,CalLookUpRow,0),MATCH(H$1,CalLookUpColumn,0))</f>
        <v>3</v>
      </c>
      <c r="I319">
        <f>INDEX(CalLookUpTable,MATCH($B319,CalLookUpRow,0),MATCH(I$1,CalLookUpColumn,0))</f>
        <v>4</v>
      </c>
    </row>
    <row r="320" spans="1:9" x14ac:dyDescent="0.25">
      <c r="A320" s="7">
        <v>1</v>
      </c>
      <c r="B320" s="8">
        <v>43545</v>
      </c>
      <c r="C320" s="9" t="s">
        <v>5</v>
      </c>
      <c r="D320" s="10">
        <v>3535.1189999999997</v>
      </c>
      <c r="E320" s="10">
        <v>0</v>
      </c>
      <c r="F320" t="str">
        <f>VLOOKUP(A320,StoreLookup,2,FALSE)</f>
        <v>Store#1</v>
      </c>
      <c r="G320">
        <f>INDEX(CalLookUpTable,MATCH($B320,CalLookUpRow,0),MATCH(G$1,CalLookUpColumn,0))</f>
        <v>2019</v>
      </c>
      <c r="H320">
        <f>INDEX(CalLookUpTable,MATCH($B320,CalLookUpRow,0),MATCH(H$1,CalLookUpColumn,0))</f>
        <v>3</v>
      </c>
      <c r="I320">
        <f>INDEX(CalLookUpTable,MATCH($B320,CalLookUpRow,0),MATCH(I$1,CalLookUpColumn,0))</f>
        <v>4</v>
      </c>
    </row>
    <row r="321" spans="1:9" x14ac:dyDescent="0.25">
      <c r="A321" s="7">
        <v>1</v>
      </c>
      <c r="B321" s="8">
        <v>43545</v>
      </c>
      <c r="C321" s="9" t="s">
        <v>3</v>
      </c>
      <c r="D321" s="10">
        <v>173.43199999999999</v>
      </c>
      <c r="E321" s="10">
        <v>1264.3119999999999</v>
      </c>
      <c r="F321" t="str">
        <f>VLOOKUP(A321,StoreLookup,2,FALSE)</f>
        <v>Store#1</v>
      </c>
      <c r="G321">
        <f>INDEX(CalLookUpTable,MATCH($B321,CalLookUpRow,0),MATCH(G$1,CalLookUpColumn,0))</f>
        <v>2019</v>
      </c>
      <c r="H321">
        <f>INDEX(CalLookUpTable,MATCH($B321,CalLookUpRow,0),MATCH(H$1,CalLookUpColumn,0))</f>
        <v>3</v>
      </c>
      <c r="I321">
        <f>INDEX(CalLookUpTable,MATCH($B321,CalLookUpRow,0),MATCH(I$1,CalLookUpColumn,0))</f>
        <v>4</v>
      </c>
    </row>
    <row r="322" spans="1:9" x14ac:dyDescent="0.25">
      <c r="A322" s="7">
        <v>1</v>
      </c>
      <c r="B322" s="8">
        <v>43546</v>
      </c>
      <c r="C322" s="9" t="s">
        <v>4</v>
      </c>
      <c r="D322" s="10">
        <v>5629.0079999999998</v>
      </c>
      <c r="E322" s="10">
        <v>7379.5539999999992</v>
      </c>
      <c r="F322" t="str">
        <f>VLOOKUP(A322,StoreLookup,2,FALSE)</f>
        <v>Store#1</v>
      </c>
      <c r="G322">
        <f>INDEX(CalLookUpTable,MATCH($B322,CalLookUpRow,0),MATCH(G$1,CalLookUpColumn,0))</f>
        <v>2019</v>
      </c>
      <c r="H322">
        <f>INDEX(CalLookUpTable,MATCH($B322,CalLookUpRow,0),MATCH(H$1,CalLookUpColumn,0))</f>
        <v>3</v>
      </c>
      <c r="I322">
        <f>INDEX(CalLookUpTable,MATCH($B322,CalLookUpRow,0),MATCH(I$1,CalLookUpColumn,0))</f>
        <v>4</v>
      </c>
    </row>
    <row r="323" spans="1:9" x14ac:dyDescent="0.25">
      <c r="A323" s="7">
        <v>1</v>
      </c>
      <c r="B323" s="8">
        <v>43546</v>
      </c>
      <c r="C323" s="9" t="s">
        <v>3</v>
      </c>
      <c r="D323" s="10">
        <v>230.78999999999996</v>
      </c>
      <c r="E323" s="10">
        <v>617.87599999999998</v>
      </c>
      <c r="F323" t="str">
        <f>VLOOKUP(A323,StoreLookup,2,FALSE)</f>
        <v>Store#1</v>
      </c>
      <c r="G323">
        <f>INDEX(CalLookUpTable,MATCH($B323,CalLookUpRow,0),MATCH(G$1,CalLookUpColumn,0))</f>
        <v>2019</v>
      </c>
      <c r="H323">
        <f>INDEX(CalLookUpTable,MATCH($B323,CalLookUpRow,0),MATCH(H$1,CalLookUpColumn,0))</f>
        <v>3</v>
      </c>
      <c r="I323">
        <f>INDEX(CalLookUpTable,MATCH($B323,CalLookUpRow,0),MATCH(I$1,CalLookUpColumn,0))</f>
        <v>4</v>
      </c>
    </row>
    <row r="324" spans="1:9" x14ac:dyDescent="0.25">
      <c r="A324" s="7">
        <v>1</v>
      </c>
      <c r="B324" s="8">
        <v>43546</v>
      </c>
      <c r="C324" s="9" t="s">
        <v>5</v>
      </c>
      <c r="D324" s="10">
        <v>4138.9529999999995</v>
      </c>
      <c r="E324" s="10">
        <v>0</v>
      </c>
      <c r="F324" t="str">
        <f>VLOOKUP(A324,StoreLookup,2,FALSE)</f>
        <v>Store#1</v>
      </c>
      <c r="G324">
        <f>INDEX(CalLookUpTable,MATCH($B324,CalLookUpRow,0),MATCH(G$1,CalLookUpColumn,0))</f>
        <v>2019</v>
      </c>
      <c r="H324">
        <f>INDEX(CalLookUpTable,MATCH($B324,CalLookUpRow,0),MATCH(H$1,CalLookUpColumn,0))</f>
        <v>3</v>
      </c>
      <c r="I324">
        <f>INDEX(CalLookUpTable,MATCH($B324,CalLookUpRow,0),MATCH(I$1,CalLookUpColumn,0))</f>
        <v>4</v>
      </c>
    </row>
    <row r="325" spans="1:9" x14ac:dyDescent="0.25">
      <c r="A325" s="7">
        <v>1</v>
      </c>
      <c r="B325" s="8">
        <v>43546</v>
      </c>
      <c r="C325" s="9" t="s">
        <v>6</v>
      </c>
      <c r="D325" s="10">
        <v>1346.394</v>
      </c>
      <c r="E325" s="10">
        <v>1898.1059999999998</v>
      </c>
      <c r="F325" t="str">
        <f>VLOOKUP(A325,StoreLookup,2,FALSE)</f>
        <v>Store#1</v>
      </c>
      <c r="G325">
        <f>INDEX(CalLookUpTable,MATCH($B325,CalLookUpRow,0),MATCH(G$1,CalLookUpColumn,0))</f>
        <v>2019</v>
      </c>
      <c r="H325">
        <f>INDEX(CalLookUpTable,MATCH($B325,CalLookUpRow,0),MATCH(H$1,CalLookUpColumn,0))</f>
        <v>3</v>
      </c>
      <c r="I325">
        <f>INDEX(CalLookUpTable,MATCH($B325,CalLookUpRow,0),MATCH(I$1,CalLookUpColumn,0))</f>
        <v>4</v>
      </c>
    </row>
    <row r="326" spans="1:9" x14ac:dyDescent="0.25">
      <c r="A326" s="7">
        <v>1</v>
      </c>
      <c r="B326" s="8">
        <v>43547</v>
      </c>
      <c r="C326" s="9" t="s">
        <v>6</v>
      </c>
      <c r="D326" s="10">
        <v>1066.9259999999999</v>
      </c>
      <c r="E326" s="10">
        <v>2153.5009999999997</v>
      </c>
      <c r="F326" t="str">
        <f>VLOOKUP(A326,StoreLookup,2,FALSE)</f>
        <v>Store#1</v>
      </c>
      <c r="G326">
        <f>INDEX(CalLookUpTable,MATCH($B326,CalLookUpRow,0),MATCH(G$1,CalLookUpColumn,0))</f>
        <v>2019</v>
      </c>
      <c r="H326">
        <f>INDEX(CalLookUpTable,MATCH($B326,CalLookUpRow,0),MATCH(H$1,CalLookUpColumn,0))</f>
        <v>3</v>
      </c>
      <c r="I326">
        <f>INDEX(CalLookUpTable,MATCH($B326,CalLookUpRow,0),MATCH(I$1,CalLookUpColumn,0))</f>
        <v>4</v>
      </c>
    </row>
    <row r="327" spans="1:9" x14ac:dyDescent="0.25">
      <c r="A327" s="7">
        <v>1</v>
      </c>
      <c r="B327" s="8">
        <v>43547</v>
      </c>
      <c r="C327" s="9" t="s">
        <v>4</v>
      </c>
      <c r="D327" s="10">
        <v>7038.3809999999994</v>
      </c>
      <c r="E327" s="10">
        <v>7039.4309999999996</v>
      </c>
      <c r="F327" t="str">
        <f>VLOOKUP(A327,StoreLookup,2,FALSE)</f>
        <v>Store#1</v>
      </c>
      <c r="G327">
        <f>INDEX(CalLookUpTable,MATCH($B327,CalLookUpRow,0),MATCH(G$1,CalLookUpColumn,0))</f>
        <v>2019</v>
      </c>
      <c r="H327">
        <f>INDEX(CalLookUpTable,MATCH($B327,CalLookUpRow,0),MATCH(H$1,CalLookUpColumn,0))</f>
        <v>3</v>
      </c>
      <c r="I327">
        <f>INDEX(CalLookUpTable,MATCH($B327,CalLookUpRow,0),MATCH(I$1,CalLookUpColumn,0))</f>
        <v>4</v>
      </c>
    </row>
    <row r="328" spans="1:9" x14ac:dyDescent="0.25">
      <c r="A328" s="7">
        <v>1</v>
      </c>
      <c r="B328" s="8">
        <v>43547</v>
      </c>
      <c r="C328" s="9" t="s">
        <v>3</v>
      </c>
      <c r="D328" s="10">
        <v>12.928999999999998</v>
      </c>
      <c r="E328" s="10">
        <v>0</v>
      </c>
      <c r="F328" t="str">
        <f>VLOOKUP(A328,StoreLookup,2,FALSE)</f>
        <v>Store#1</v>
      </c>
      <c r="G328">
        <f>INDEX(CalLookUpTable,MATCH($B328,CalLookUpRow,0),MATCH(G$1,CalLookUpColumn,0))</f>
        <v>2019</v>
      </c>
      <c r="H328">
        <f>INDEX(CalLookUpTable,MATCH($B328,CalLookUpRow,0),MATCH(H$1,CalLookUpColumn,0))</f>
        <v>3</v>
      </c>
      <c r="I328">
        <f>INDEX(CalLookUpTable,MATCH($B328,CalLookUpRow,0),MATCH(I$1,CalLookUpColumn,0))</f>
        <v>4</v>
      </c>
    </row>
    <row r="329" spans="1:9" x14ac:dyDescent="0.25">
      <c r="A329" s="7">
        <v>1</v>
      </c>
      <c r="B329" s="8">
        <v>43547</v>
      </c>
      <c r="C329" s="9" t="s">
        <v>5</v>
      </c>
      <c r="D329" s="10">
        <v>3918.0540000000001</v>
      </c>
      <c r="E329" s="10">
        <v>0</v>
      </c>
      <c r="F329" t="str">
        <f>VLOOKUP(A329,StoreLookup,2,FALSE)</f>
        <v>Store#1</v>
      </c>
      <c r="G329">
        <f>INDEX(CalLookUpTable,MATCH($B329,CalLookUpRow,0),MATCH(G$1,CalLookUpColumn,0))</f>
        <v>2019</v>
      </c>
      <c r="H329">
        <f>INDEX(CalLookUpTable,MATCH($B329,CalLookUpRow,0),MATCH(H$1,CalLookUpColumn,0))</f>
        <v>3</v>
      </c>
      <c r="I329">
        <f>INDEX(CalLookUpTable,MATCH($B329,CalLookUpRow,0),MATCH(I$1,CalLookUpColumn,0))</f>
        <v>4</v>
      </c>
    </row>
    <row r="330" spans="1:9" x14ac:dyDescent="0.25">
      <c r="A330" s="7">
        <v>1</v>
      </c>
      <c r="B330" s="8">
        <v>43548</v>
      </c>
      <c r="C330" s="9" t="s">
        <v>6</v>
      </c>
      <c r="D330" s="10">
        <v>389.96999999999997</v>
      </c>
      <c r="E330" s="10">
        <v>707.41300000000001</v>
      </c>
      <c r="F330" t="str">
        <f>VLOOKUP(A330,StoreLookup,2,FALSE)</f>
        <v>Store#1</v>
      </c>
      <c r="G330">
        <f>INDEX(CalLookUpTable,MATCH($B330,CalLookUpRow,0),MATCH(G$1,CalLookUpColumn,0))</f>
        <v>2019</v>
      </c>
      <c r="H330">
        <f>INDEX(CalLookUpTable,MATCH($B330,CalLookUpRow,0),MATCH(H$1,CalLookUpColumn,0))</f>
        <v>3</v>
      </c>
      <c r="I330">
        <f>INDEX(CalLookUpTable,MATCH($B330,CalLookUpRow,0),MATCH(I$1,CalLookUpColumn,0))</f>
        <v>4</v>
      </c>
    </row>
    <row r="331" spans="1:9" x14ac:dyDescent="0.25">
      <c r="A331" s="7">
        <v>1</v>
      </c>
      <c r="B331" s="8">
        <v>43548</v>
      </c>
      <c r="C331" s="9" t="s">
        <v>5</v>
      </c>
      <c r="D331" s="10">
        <v>2101.9879999999998</v>
      </c>
      <c r="E331" s="10">
        <v>0</v>
      </c>
      <c r="F331" t="str">
        <f>VLOOKUP(A331,StoreLookup,2,FALSE)</f>
        <v>Store#1</v>
      </c>
      <c r="G331">
        <f>INDEX(CalLookUpTable,MATCH($B331,CalLookUpRow,0),MATCH(G$1,CalLookUpColumn,0))</f>
        <v>2019</v>
      </c>
      <c r="H331">
        <f>INDEX(CalLookUpTable,MATCH($B331,CalLookUpRow,0),MATCH(H$1,CalLookUpColumn,0))</f>
        <v>3</v>
      </c>
      <c r="I331">
        <f>INDEX(CalLookUpTable,MATCH($B331,CalLookUpRow,0),MATCH(I$1,CalLookUpColumn,0))</f>
        <v>4</v>
      </c>
    </row>
    <row r="332" spans="1:9" x14ac:dyDescent="0.25">
      <c r="A332" s="7">
        <v>1</v>
      </c>
      <c r="B332" s="8">
        <v>43548</v>
      </c>
      <c r="C332" s="9" t="s">
        <v>3</v>
      </c>
      <c r="D332" s="10">
        <v>192.32499999999999</v>
      </c>
      <c r="E332" s="10">
        <v>0</v>
      </c>
      <c r="F332" t="str">
        <f>VLOOKUP(A332,StoreLookup,2,FALSE)</f>
        <v>Store#1</v>
      </c>
      <c r="G332">
        <f>INDEX(CalLookUpTable,MATCH($B332,CalLookUpRow,0),MATCH(G$1,CalLookUpColumn,0))</f>
        <v>2019</v>
      </c>
      <c r="H332">
        <f>INDEX(CalLookUpTable,MATCH($B332,CalLookUpRow,0),MATCH(H$1,CalLookUpColumn,0))</f>
        <v>3</v>
      </c>
      <c r="I332">
        <f>INDEX(CalLookUpTable,MATCH($B332,CalLookUpRow,0),MATCH(I$1,CalLookUpColumn,0))</f>
        <v>4</v>
      </c>
    </row>
    <row r="333" spans="1:9" x14ac:dyDescent="0.25">
      <c r="A333" s="7">
        <v>1</v>
      </c>
      <c r="B333" s="8">
        <v>43548</v>
      </c>
      <c r="C333" s="9" t="s">
        <v>4</v>
      </c>
      <c r="D333" s="10">
        <v>3014.7599999999998</v>
      </c>
      <c r="E333" s="10">
        <v>3214.8829999999994</v>
      </c>
      <c r="F333" t="str">
        <f>VLOOKUP(A333,StoreLookup,2,FALSE)</f>
        <v>Store#1</v>
      </c>
      <c r="G333">
        <f>INDEX(CalLookUpTable,MATCH($B333,CalLookUpRow,0),MATCH(G$1,CalLookUpColumn,0))</f>
        <v>2019</v>
      </c>
      <c r="H333">
        <f>INDEX(CalLookUpTable,MATCH($B333,CalLookUpRow,0),MATCH(H$1,CalLookUpColumn,0))</f>
        <v>3</v>
      </c>
      <c r="I333">
        <f>INDEX(CalLookUpTable,MATCH($B333,CalLookUpRow,0),MATCH(I$1,CalLookUpColumn,0))</f>
        <v>4</v>
      </c>
    </row>
    <row r="334" spans="1:9" x14ac:dyDescent="0.25">
      <c r="A334" s="7">
        <v>1</v>
      </c>
      <c r="B334" s="8">
        <v>43549</v>
      </c>
      <c r="C334" s="9" t="s">
        <v>3</v>
      </c>
      <c r="D334" s="10">
        <v>27.573</v>
      </c>
      <c r="E334" s="10">
        <v>1026.298</v>
      </c>
      <c r="F334" t="str">
        <f>VLOOKUP(A334,StoreLookup,2,FALSE)</f>
        <v>Store#1</v>
      </c>
      <c r="G334">
        <f>INDEX(CalLookUpTable,MATCH($B334,CalLookUpRow,0),MATCH(G$1,CalLookUpColumn,0))</f>
        <v>2019</v>
      </c>
      <c r="H334">
        <f>INDEX(CalLookUpTable,MATCH($B334,CalLookUpRow,0),MATCH(H$1,CalLookUpColumn,0))</f>
        <v>3</v>
      </c>
      <c r="I334">
        <f>INDEX(CalLookUpTable,MATCH($B334,CalLookUpRow,0),MATCH(I$1,CalLookUpColumn,0))</f>
        <v>5</v>
      </c>
    </row>
    <row r="335" spans="1:9" x14ac:dyDescent="0.25">
      <c r="A335" s="7">
        <v>1</v>
      </c>
      <c r="B335" s="8">
        <v>43549</v>
      </c>
      <c r="C335" s="9" t="s">
        <v>5</v>
      </c>
      <c r="D335" s="10">
        <v>3217.0529999999999</v>
      </c>
      <c r="E335" s="10">
        <v>0</v>
      </c>
      <c r="F335" t="str">
        <f>VLOOKUP(A335,StoreLookup,2,FALSE)</f>
        <v>Store#1</v>
      </c>
      <c r="G335">
        <f>INDEX(CalLookUpTable,MATCH($B335,CalLookUpRow,0),MATCH(G$1,CalLookUpColumn,0))</f>
        <v>2019</v>
      </c>
      <c r="H335">
        <f>INDEX(CalLookUpTable,MATCH($B335,CalLookUpRow,0),MATCH(H$1,CalLookUpColumn,0))</f>
        <v>3</v>
      </c>
      <c r="I335">
        <f>INDEX(CalLookUpTable,MATCH($B335,CalLookUpRow,0),MATCH(I$1,CalLookUpColumn,0))</f>
        <v>5</v>
      </c>
    </row>
    <row r="336" spans="1:9" x14ac:dyDescent="0.25">
      <c r="A336" s="7">
        <v>1</v>
      </c>
      <c r="B336" s="8">
        <v>43549</v>
      </c>
      <c r="C336" s="9" t="s">
        <v>6</v>
      </c>
      <c r="D336" s="10">
        <v>706.67799999999988</v>
      </c>
      <c r="E336" s="10">
        <v>1279.5509999999999</v>
      </c>
      <c r="F336" t="str">
        <f>VLOOKUP(A336,StoreLookup,2,FALSE)</f>
        <v>Store#1</v>
      </c>
      <c r="G336">
        <f>INDEX(CalLookUpTable,MATCH($B336,CalLookUpRow,0),MATCH(G$1,CalLookUpColumn,0))</f>
        <v>2019</v>
      </c>
      <c r="H336">
        <f>INDEX(CalLookUpTable,MATCH($B336,CalLookUpRow,0),MATCH(H$1,CalLookUpColumn,0))</f>
        <v>3</v>
      </c>
      <c r="I336">
        <f>INDEX(CalLookUpTable,MATCH($B336,CalLookUpRow,0),MATCH(I$1,CalLookUpColumn,0))</f>
        <v>5</v>
      </c>
    </row>
    <row r="337" spans="1:9" x14ac:dyDescent="0.25">
      <c r="A337" s="7">
        <v>1</v>
      </c>
      <c r="B337" s="8">
        <v>43549</v>
      </c>
      <c r="C337" s="9" t="s">
        <v>4</v>
      </c>
      <c r="D337" s="10">
        <v>3893.0149999999994</v>
      </c>
      <c r="E337" s="10">
        <v>5008.6329999999998</v>
      </c>
      <c r="F337" t="str">
        <f>VLOOKUP(A337,StoreLookup,2,FALSE)</f>
        <v>Store#1</v>
      </c>
      <c r="G337">
        <f>INDEX(CalLookUpTable,MATCH($B337,CalLookUpRow,0),MATCH(G$1,CalLookUpColumn,0))</f>
        <v>2019</v>
      </c>
      <c r="H337">
        <f>INDEX(CalLookUpTable,MATCH($B337,CalLookUpRow,0),MATCH(H$1,CalLookUpColumn,0))</f>
        <v>3</v>
      </c>
      <c r="I337">
        <f>INDEX(CalLookUpTable,MATCH($B337,CalLookUpRow,0),MATCH(I$1,CalLookUpColumn,0))</f>
        <v>5</v>
      </c>
    </row>
    <row r="338" spans="1:9" x14ac:dyDescent="0.25">
      <c r="A338" s="7">
        <v>1</v>
      </c>
      <c r="B338" s="8">
        <v>43550</v>
      </c>
      <c r="C338" s="9" t="s">
        <v>4</v>
      </c>
      <c r="D338" s="10">
        <v>4007.3879999999999</v>
      </c>
      <c r="E338" s="10">
        <v>4789.3509999999997</v>
      </c>
      <c r="F338" t="str">
        <f>VLOOKUP(A338,StoreLookup,2,FALSE)</f>
        <v>Store#1</v>
      </c>
      <c r="G338">
        <f>INDEX(CalLookUpTable,MATCH($B338,CalLookUpRow,0),MATCH(G$1,CalLookUpColumn,0))</f>
        <v>2019</v>
      </c>
      <c r="H338">
        <f>INDEX(CalLookUpTable,MATCH($B338,CalLookUpRow,0),MATCH(H$1,CalLookUpColumn,0))</f>
        <v>3</v>
      </c>
      <c r="I338">
        <f>INDEX(CalLookUpTable,MATCH($B338,CalLookUpRow,0),MATCH(I$1,CalLookUpColumn,0))</f>
        <v>5</v>
      </c>
    </row>
    <row r="339" spans="1:9" x14ac:dyDescent="0.25">
      <c r="A339" s="7">
        <v>1</v>
      </c>
      <c r="B339" s="8">
        <v>43550</v>
      </c>
      <c r="C339" s="9" t="s">
        <v>6</v>
      </c>
      <c r="D339" s="10">
        <v>782.69799999999998</v>
      </c>
      <c r="E339" s="10">
        <v>912.84899999999993</v>
      </c>
      <c r="F339" t="str">
        <f>VLOOKUP(A339,StoreLookup,2,FALSE)</f>
        <v>Store#1</v>
      </c>
      <c r="G339">
        <f>INDEX(CalLookUpTable,MATCH($B339,CalLookUpRow,0),MATCH(G$1,CalLookUpColumn,0))</f>
        <v>2019</v>
      </c>
      <c r="H339">
        <f>INDEX(CalLookUpTable,MATCH($B339,CalLookUpRow,0),MATCH(H$1,CalLookUpColumn,0))</f>
        <v>3</v>
      </c>
      <c r="I339">
        <f>INDEX(CalLookUpTable,MATCH($B339,CalLookUpRow,0),MATCH(I$1,CalLookUpColumn,0))</f>
        <v>5</v>
      </c>
    </row>
    <row r="340" spans="1:9" x14ac:dyDescent="0.25">
      <c r="A340" s="7">
        <v>1</v>
      </c>
      <c r="B340" s="8">
        <v>43550</v>
      </c>
      <c r="C340" s="9" t="s">
        <v>5</v>
      </c>
      <c r="D340" s="10">
        <v>3003.8820000000001</v>
      </c>
      <c r="E340" s="10">
        <v>0</v>
      </c>
      <c r="F340" t="str">
        <f>VLOOKUP(A340,StoreLookup,2,FALSE)</f>
        <v>Store#1</v>
      </c>
      <c r="G340">
        <f>INDEX(CalLookUpTable,MATCH($B340,CalLookUpRow,0),MATCH(G$1,CalLookUpColumn,0))</f>
        <v>2019</v>
      </c>
      <c r="H340">
        <f>INDEX(CalLookUpTable,MATCH($B340,CalLookUpRow,0),MATCH(H$1,CalLookUpColumn,0))</f>
        <v>3</v>
      </c>
      <c r="I340">
        <f>INDEX(CalLookUpTable,MATCH($B340,CalLookUpRow,0),MATCH(I$1,CalLookUpColumn,0))</f>
        <v>5</v>
      </c>
    </row>
    <row r="341" spans="1:9" x14ac:dyDescent="0.25">
      <c r="A341" s="7">
        <v>1</v>
      </c>
      <c r="B341" s="8">
        <v>43550</v>
      </c>
      <c r="C341" s="9" t="s">
        <v>3</v>
      </c>
      <c r="D341" s="10">
        <v>0</v>
      </c>
      <c r="E341" s="10">
        <v>569.47799999999995</v>
      </c>
      <c r="F341" t="str">
        <f>VLOOKUP(A341,StoreLookup,2,FALSE)</f>
        <v>Store#1</v>
      </c>
      <c r="G341">
        <f>INDEX(CalLookUpTable,MATCH($B341,CalLookUpRow,0),MATCH(G$1,CalLookUpColumn,0))</f>
        <v>2019</v>
      </c>
      <c r="H341">
        <f>INDEX(CalLookUpTable,MATCH($B341,CalLookUpRow,0),MATCH(H$1,CalLookUpColumn,0))</f>
        <v>3</v>
      </c>
      <c r="I341">
        <f>INDEX(CalLookUpTable,MATCH($B341,CalLookUpRow,0),MATCH(I$1,CalLookUpColumn,0))</f>
        <v>5</v>
      </c>
    </row>
    <row r="342" spans="1:9" x14ac:dyDescent="0.25">
      <c r="A342" s="7">
        <v>1</v>
      </c>
      <c r="B342" s="8">
        <v>43551</v>
      </c>
      <c r="C342" s="9" t="s">
        <v>4</v>
      </c>
      <c r="D342" s="10">
        <v>4617.0950000000003</v>
      </c>
      <c r="E342" s="10">
        <v>5671.4209999999994</v>
      </c>
      <c r="F342" t="str">
        <f>VLOOKUP(A342,StoreLookup,2,FALSE)</f>
        <v>Store#1</v>
      </c>
      <c r="G342">
        <f>INDEX(CalLookUpTable,MATCH($B342,CalLookUpRow,0),MATCH(G$1,CalLookUpColumn,0))</f>
        <v>2019</v>
      </c>
      <c r="H342">
        <f>INDEX(CalLookUpTable,MATCH($B342,CalLookUpRow,0),MATCH(H$1,CalLookUpColumn,0))</f>
        <v>3</v>
      </c>
      <c r="I342">
        <f>INDEX(CalLookUpTable,MATCH($B342,CalLookUpRow,0),MATCH(I$1,CalLookUpColumn,0))</f>
        <v>5</v>
      </c>
    </row>
    <row r="343" spans="1:9" x14ac:dyDescent="0.25">
      <c r="A343" s="7">
        <v>1</v>
      </c>
      <c r="B343" s="8">
        <v>43551</v>
      </c>
      <c r="C343" s="9" t="s">
        <v>5</v>
      </c>
      <c r="D343" s="10">
        <v>3313.7719999999999</v>
      </c>
      <c r="E343" s="10">
        <v>0</v>
      </c>
      <c r="F343" t="str">
        <f>VLOOKUP(A343,StoreLookup,2,FALSE)</f>
        <v>Store#1</v>
      </c>
      <c r="G343">
        <f>INDEX(CalLookUpTable,MATCH($B343,CalLookUpRow,0),MATCH(G$1,CalLookUpColumn,0))</f>
        <v>2019</v>
      </c>
      <c r="H343">
        <f>INDEX(CalLookUpTable,MATCH($B343,CalLookUpRow,0),MATCH(H$1,CalLookUpColumn,0))</f>
        <v>3</v>
      </c>
      <c r="I343">
        <f>INDEX(CalLookUpTable,MATCH($B343,CalLookUpRow,0),MATCH(I$1,CalLookUpColumn,0))</f>
        <v>5</v>
      </c>
    </row>
    <row r="344" spans="1:9" x14ac:dyDescent="0.25">
      <c r="A344" s="7">
        <v>1</v>
      </c>
      <c r="B344" s="8">
        <v>43551</v>
      </c>
      <c r="C344" s="9" t="s">
        <v>3</v>
      </c>
      <c r="D344" s="10">
        <v>0</v>
      </c>
      <c r="E344" s="10">
        <v>1227.1489999999999</v>
      </c>
      <c r="F344" t="str">
        <f>VLOOKUP(A344,StoreLookup,2,FALSE)</f>
        <v>Store#1</v>
      </c>
      <c r="G344">
        <f>INDEX(CalLookUpTable,MATCH($B344,CalLookUpRow,0),MATCH(G$1,CalLookUpColumn,0))</f>
        <v>2019</v>
      </c>
      <c r="H344">
        <f>INDEX(CalLookUpTable,MATCH($B344,CalLookUpRow,0),MATCH(H$1,CalLookUpColumn,0))</f>
        <v>3</v>
      </c>
      <c r="I344">
        <f>INDEX(CalLookUpTable,MATCH($B344,CalLookUpRow,0),MATCH(I$1,CalLookUpColumn,0))</f>
        <v>5</v>
      </c>
    </row>
    <row r="345" spans="1:9" x14ac:dyDescent="0.25">
      <c r="A345" s="7">
        <v>1</v>
      </c>
      <c r="B345" s="8">
        <v>43551</v>
      </c>
      <c r="C345" s="9" t="s">
        <v>6</v>
      </c>
      <c r="D345" s="10">
        <v>1077.867</v>
      </c>
      <c r="E345" s="10">
        <v>1671.8869999999997</v>
      </c>
      <c r="F345" t="str">
        <f>VLOOKUP(A345,StoreLookup,2,FALSE)</f>
        <v>Store#1</v>
      </c>
      <c r="G345">
        <f>INDEX(CalLookUpTable,MATCH($B345,CalLookUpRow,0),MATCH(G$1,CalLookUpColumn,0))</f>
        <v>2019</v>
      </c>
      <c r="H345">
        <f>INDEX(CalLookUpTable,MATCH($B345,CalLookUpRow,0),MATCH(H$1,CalLookUpColumn,0))</f>
        <v>3</v>
      </c>
      <c r="I345">
        <f>INDEX(CalLookUpTable,MATCH($B345,CalLookUpRow,0),MATCH(I$1,CalLookUpColumn,0))</f>
        <v>5</v>
      </c>
    </row>
    <row r="346" spans="1:9" x14ac:dyDescent="0.25">
      <c r="A346" s="7">
        <v>1</v>
      </c>
      <c r="B346" s="8">
        <v>43552</v>
      </c>
      <c r="C346" s="9" t="s">
        <v>5</v>
      </c>
      <c r="D346" s="10">
        <v>3763.1019999999994</v>
      </c>
      <c r="E346" s="10">
        <v>0</v>
      </c>
      <c r="F346" t="str">
        <f>VLOOKUP(A346,StoreLookup,2,FALSE)</f>
        <v>Store#1</v>
      </c>
      <c r="G346">
        <f>INDEX(CalLookUpTable,MATCH($B346,CalLookUpRow,0),MATCH(G$1,CalLookUpColumn,0))</f>
        <v>2019</v>
      </c>
      <c r="H346">
        <f>INDEX(CalLookUpTable,MATCH($B346,CalLookUpRow,0),MATCH(H$1,CalLookUpColumn,0))</f>
        <v>3</v>
      </c>
      <c r="I346">
        <f>INDEX(CalLookUpTable,MATCH($B346,CalLookUpRow,0),MATCH(I$1,CalLookUpColumn,0))</f>
        <v>5</v>
      </c>
    </row>
    <row r="347" spans="1:9" x14ac:dyDescent="0.25">
      <c r="A347" s="7">
        <v>1</v>
      </c>
      <c r="B347" s="8">
        <v>43552</v>
      </c>
      <c r="C347" s="9" t="s">
        <v>6</v>
      </c>
      <c r="D347" s="10">
        <v>1084.2019999999998</v>
      </c>
      <c r="E347" s="10">
        <v>1349.866</v>
      </c>
      <c r="F347" t="str">
        <f>VLOOKUP(A347,StoreLookup,2,FALSE)</f>
        <v>Store#1</v>
      </c>
      <c r="G347">
        <f>INDEX(CalLookUpTable,MATCH($B347,CalLookUpRow,0),MATCH(G$1,CalLookUpColumn,0))</f>
        <v>2019</v>
      </c>
      <c r="H347">
        <f>INDEX(CalLookUpTable,MATCH($B347,CalLookUpRow,0),MATCH(H$1,CalLookUpColumn,0))</f>
        <v>3</v>
      </c>
      <c r="I347">
        <f>INDEX(CalLookUpTable,MATCH($B347,CalLookUpRow,0),MATCH(I$1,CalLookUpColumn,0))</f>
        <v>5</v>
      </c>
    </row>
    <row r="348" spans="1:9" x14ac:dyDescent="0.25">
      <c r="A348" s="7">
        <v>1</v>
      </c>
      <c r="B348" s="8">
        <v>43552</v>
      </c>
      <c r="C348" s="9" t="s">
        <v>3</v>
      </c>
      <c r="D348" s="10">
        <v>0</v>
      </c>
      <c r="E348" s="10">
        <v>2813.4259999999999</v>
      </c>
      <c r="F348" t="str">
        <f>VLOOKUP(A348,StoreLookup,2,FALSE)</f>
        <v>Store#1</v>
      </c>
      <c r="G348">
        <f>INDEX(CalLookUpTable,MATCH($B348,CalLookUpRow,0),MATCH(G$1,CalLookUpColumn,0))</f>
        <v>2019</v>
      </c>
      <c r="H348">
        <f>INDEX(CalLookUpTable,MATCH($B348,CalLookUpRow,0),MATCH(H$1,CalLookUpColumn,0))</f>
        <v>3</v>
      </c>
      <c r="I348">
        <f>INDEX(CalLookUpTable,MATCH($B348,CalLookUpRow,0),MATCH(I$1,CalLookUpColumn,0))</f>
        <v>5</v>
      </c>
    </row>
    <row r="349" spans="1:9" x14ac:dyDescent="0.25">
      <c r="A349" s="7">
        <v>1</v>
      </c>
      <c r="B349" s="8">
        <v>43552</v>
      </c>
      <c r="C349" s="9" t="s">
        <v>4</v>
      </c>
      <c r="D349" s="10">
        <v>5816.1880000000001</v>
      </c>
      <c r="E349" s="10">
        <v>6833.3019999999997</v>
      </c>
      <c r="F349" t="str">
        <f>VLOOKUP(A349,StoreLookup,2,FALSE)</f>
        <v>Store#1</v>
      </c>
      <c r="G349">
        <f>INDEX(CalLookUpTable,MATCH($B349,CalLookUpRow,0),MATCH(G$1,CalLookUpColumn,0))</f>
        <v>2019</v>
      </c>
      <c r="H349">
        <f>INDEX(CalLookUpTable,MATCH($B349,CalLookUpRow,0),MATCH(H$1,CalLookUpColumn,0))</f>
        <v>3</v>
      </c>
      <c r="I349">
        <f>INDEX(CalLookUpTable,MATCH($B349,CalLookUpRow,0),MATCH(I$1,CalLookUpColumn,0))</f>
        <v>5</v>
      </c>
    </row>
    <row r="350" spans="1:9" x14ac:dyDescent="0.25">
      <c r="A350" s="7">
        <v>1</v>
      </c>
      <c r="B350" s="8">
        <v>43553</v>
      </c>
      <c r="C350" s="9" t="s">
        <v>5</v>
      </c>
      <c r="D350" s="10">
        <v>3983.8119999999994</v>
      </c>
      <c r="E350" s="10">
        <v>0</v>
      </c>
      <c r="F350" t="str">
        <f>VLOOKUP(A350,StoreLookup,2,FALSE)</f>
        <v>Store#1</v>
      </c>
      <c r="G350">
        <f>INDEX(CalLookUpTable,MATCH($B350,CalLookUpRow,0),MATCH(G$1,CalLookUpColumn,0))</f>
        <v>2019</v>
      </c>
      <c r="H350">
        <f>INDEX(CalLookUpTable,MATCH($B350,CalLookUpRow,0),MATCH(H$1,CalLookUpColumn,0))</f>
        <v>3</v>
      </c>
      <c r="I350">
        <f>INDEX(CalLookUpTable,MATCH($B350,CalLookUpRow,0),MATCH(I$1,CalLookUpColumn,0))</f>
        <v>5</v>
      </c>
    </row>
    <row r="351" spans="1:9" x14ac:dyDescent="0.25">
      <c r="A351" s="7">
        <v>1</v>
      </c>
      <c r="B351" s="8">
        <v>43553</v>
      </c>
      <c r="C351" s="9" t="s">
        <v>3</v>
      </c>
      <c r="D351" s="10">
        <v>371.36399999999998</v>
      </c>
      <c r="E351" s="10">
        <v>3011.2179999999998</v>
      </c>
      <c r="F351" t="str">
        <f>VLOOKUP(A351,StoreLookup,2,FALSE)</f>
        <v>Store#1</v>
      </c>
      <c r="G351">
        <f>INDEX(CalLookUpTable,MATCH($B351,CalLookUpRow,0),MATCH(G$1,CalLookUpColumn,0))</f>
        <v>2019</v>
      </c>
      <c r="H351">
        <f>INDEX(CalLookUpTable,MATCH($B351,CalLookUpRow,0),MATCH(H$1,CalLookUpColumn,0))</f>
        <v>3</v>
      </c>
      <c r="I351">
        <f>INDEX(CalLookUpTable,MATCH($B351,CalLookUpRow,0),MATCH(I$1,CalLookUpColumn,0))</f>
        <v>5</v>
      </c>
    </row>
    <row r="352" spans="1:9" x14ac:dyDescent="0.25">
      <c r="A352" s="7">
        <v>1</v>
      </c>
      <c r="B352" s="8">
        <v>43553</v>
      </c>
      <c r="C352" s="9" t="s">
        <v>6</v>
      </c>
      <c r="D352" s="10">
        <v>1843.0859999999998</v>
      </c>
      <c r="E352" s="10">
        <v>2070.194</v>
      </c>
      <c r="F352" t="str">
        <f>VLOOKUP(A352,StoreLookup,2,FALSE)</f>
        <v>Store#1</v>
      </c>
      <c r="G352">
        <f>INDEX(CalLookUpTable,MATCH($B352,CalLookUpRow,0),MATCH(G$1,CalLookUpColumn,0))</f>
        <v>2019</v>
      </c>
      <c r="H352">
        <f>INDEX(CalLookUpTable,MATCH($B352,CalLookUpRow,0),MATCH(H$1,CalLookUpColumn,0))</f>
        <v>3</v>
      </c>
      <c r="I352">
        <f>INDEX(CalLookUpTable,MATCH($B352,CalLookUpRow,0),MATCH(I$1,CalLookUpColumn,0))</f>
        <v>5</v>
      </c>
    </row>
    <row r="353" spans="1:9" x14ac:dyDescent="0.25">
      <c r="A353" s="7">
        <v>1</v>
      </c>
      <c r="B353" s="8">
        <v>43553</v>
      </c>
      <c r="C353" s="9" t="s">
        <v>4</v>
      </c>
      <c r="D353" s="10">
        <v>5257.0140000000001</v>
      </c>
      <c r="E353" s="10">
        <v>7379.3649999999998</v>
      </c>
      <c r="F353" t="str">
        <f>VLOOKUP(A353,StoreLookup,2,FALSE)</f>
        <v>Store#1</v>
      </c>
      <c r="G353">
        <f>INDEX(CalLookUpTable,MATCH($B353,CalLookUpRow,0),MATCH(G$1,CalLookUpColumn,0))</f>
        <v>2019</v>
      </c>
      <c r="H353">
        <f>INDEX(CalLookUpTable,MATCH($B353,CalLookUpRow,0),MATCH(H$1,CalLookUpColumn,0))</f>
        <v>3</v>
      </c>
      <c r="I353">
        <f>INDEX(CalLookUpTable,MATCH($B353,CalLookUpRow,0),MATCH(I$1,CalLookUpColumn,0))</f>
        <v>5</v>
      </c>
    </row>
    <row r="354" spans="1:9" x14ac:dyDescent="0.25">
      <c r="A354" s="7">
        <v>1</v>
      </c>
      <c r="B354" s="8">
        <v>43554</v>
      </c>
      <c r="C354" s="9" t="s">
        <v>6</v>
      </c>
      <c r="D354" s="10">
        <v>1036.567</v>
      </c>
      <c r="E354" s="10">
        <v>2092.2860000000001</v>
      </c>
      <c r="F354" t="str">
        <f>VLOOKUP(A354,StoreLookup,2,FALSE)</f>
        <v>Store#1</v>
      </c>
      <c r="G354">
        <f>INDEX(CalLookUpTable,MATCH($B354,CalLookUpRow,0),MATCH(G$1,CalLookUpColumn,0))</f>
        <v>2019</v>
      </c>
      <c r="H354">
        <f>INDEX(CalLookUpTable,MATCH($B354,CalLookUpRow,0),MATCH(H$1,CalLookUpColumn,0))</f>
        <v>3</v>
      </c>
      <c r="I354">
        <f>INDEX(CalLookUpTable,MATCH($B354,CalLookUpRow,0),MATCH(I$1,CalLookUpColumn,0))</f>
        <v>5</v>
      </c>
    </row>
    <row r="355" spans="1:9" x14ac:dyDescent="0.25">
      <c r="A355" s="7">
        <v>1</v>
      </c>
      <c r="B355" s="8">
        <v>43554</v>
      </c>
      <c r="C355" s="9" t="s">
        <v>3</v>
      </c>
      <c r="D355" s="10">
        <v>50.365000000000002</v>
      </c>
      <c r="E355" s="10">
        <v>323.09199999999998</v>
      </c>
      <c r="F355" t="str">
        <f>VLOOKUP(A355,StoreLookup,2,FALSE)</f>
        <v>Store#1</v>
      </c>
      <c r="G355">
        <f>INDEX(CalLookUpTable,MATCH($B355,CalLookUpRow,0),MATCH(G$1,CalLookUpColumn,0))</f>
        <v>2019</v>
      </c>
      <c r="H355">
        <f>INDEX(CalLookUpTable,MATCH($B355,CalLookUpRow,0),MATCH(H$1,CalLookUpColumn,0))</f>
        <v>3</v>
      </c>
      <c r="I355">
        <f>INDEX(CalLookUpTable,MATCH($B355,CalLookUpRow,0),MATCH(I$1,CalLookUpColumn,0))</f>
        <v>5</v>
      </c>
    </row>
    <row r="356" spans="1:9" x14ac:dyDescent="0.25">
      <c r="A356" s="7">
        <v>1</v>
      </c>
      <c r="B356" s="8">
        <v>43554</v>
      </c>
      <c r="C356" s="9" t="s">
        <v>5</v>
      </c>
      <c r="D356" s="10">
        <v>3742.0879999999997</v>
      </c>
      <c r="E356" s="10">
        <v>0</v>
      </c>
      <c r="F356" t="str">
        <f>VLOOKUP(A356,StoreLookup,2,FALSE)</f>
        <v>Store#1</v>
      </c>
      <c r="G356">
        <f>INDEX(CalLookUpTable,MATCH($B356,CalLookUpRow,0),MATCH(G$1,CalLookUpColumn,0))</f>
        <v>2019</v>
      </c>
      <c r="H356">
        <f>INDEX(CalLookUpTable,MATCH($B356,CalLookUpRow,0),MATCH(H$1,CalLookUpColumn,0))</f>
        <v>3</v>
      </c>
      <c r="I356">
        <f>INDEX(CalLookUpTable,MATCH($B356,CalLookUpRow,0),MATCH(I$1,CalLookUpColumn,0))</f>
        <v>5</v>
      </c>
    </row>
    <row r="357" spans="1:9" x14ac:dyDescent="0.25">
      <c r="A357" s="7">
        <v>1</v>
      </c>
      <c r="B357" s="8">
        <v>43554</v>
      </c>
      <c r="C357" s="9" t="s">
        <v>4</v>
      </c>
      <c r="D357" s="10">
        <v>6236.7689999999993</v>
      </c>
      <c r="E357" s="10">
        <v>5934.6280000000006</v>
      </c>
      <c r="F357" t="str">
        <f>VLOOKUP(A357,StoreLookup,2,FALSE)</f>
        <v>Store#1</v>
      </c>
      <c r="G357">
        <f>INDEX(CalLookUpTable,MATCH($B357,CalLookUpRow,0),MATCH(G$1,CalLookUpColumn,0))</f>
        <v>2019</v>
      </c>
      <c r="H357">
        <f>INDEX(CalLookUpTable,MATCH($B357,CalLookUpRow,0),MATCH(H$1,CalLookUpColumn,0))</f>
        <v>3</v>
      </c>
      <c r="I357">
        <f>INDEX(CalLookUpTable,MATCH($B357,CalLookUpRow,0),MATCH(I$1,CalLookUpColumn,0))</f>
        <v>5</v>
      </c>
    </row>
    <row r="358" spans="1:9" x14ac:dyDescent="0.25">
      <c r="A358" s="7">
        <v>1</v>
      </c>
      <c r="B358" s="8">
        <v>43555</v>
      </c>
      <c r="C358" s="9" t="s">
        <v>3</v>
      </c>
      <c r="D358" s="10">
        <v>0</v>
      </c>
      <c r="E358" s="10">
        <v>64.007999999999996</v>
      </c>
      <c r="F358" t="str">
        <f>VLOOKUP(A358,StoreLookup,2,FALSE)</f>
        <v>Store#1</v>
      </c>
      <c r="G358">
        <f>INDEX(CalLookUpTable,MATCH($B358,CalLookUpRow,0),MATCH(G$1,CalLookUpColumn,0))</f>
        <v>2019</v>
      </c>
      <c r="H358">
        <f>INDEX(CalLookUpTable,MATCH($B358,CalLookUpRow,0),MATCH(H$1,CalLookUpColumn,0))</f>
        <v>3</v>
      </c>
      <c r="I358">
        <f>INDEX(CalLookUpTable,MATCH($B358,CalLookUpRow,0),MATCH(I$1,CalLookUpColumn,0))</f>
        <v>5</v>
      </c>
    </row>
    <row r="359" spans="1:9" x14ac:dyDescent="0.25">
      <c r="A359" s="7">
        <v>1</v>
      </c>
      <c r="B359" s="8">
        <v>43555</v>
      </c>
      <c r="C359" s="9" t="s">
        <v>5</v>
      </c>
      <c r="D359" s="10">
        <v>1714.027</v>
      </c>
      <c r="E359" s="10">
        <v>0</v>
      </c>
      <c r="F359" t="str">
        <f>VLOOKUP(A359,StoreLookup,2,FALSE)</f>
        <v>Store#1</v>
      </c>
      <c r="G359">
        <f>INDEX(CalLookUpTable,MATCH($B359,CalLookUpRow,0),MATCH(G$1,CalLookUpColumn,0))</f>
        <v>2019</v>
      </c>
      <c r="H359">
        <f>INDEX(CalLookUpTable,MATCH($B359,CalLookUpRow,0),MATCH(H$1,CalLookUpColumn,0))</f>
        <v>3</v>
      </c>
      <c r="I359">
        <f>INDEX(CalLookUpTable,MATCH($B359,CalLookUpRow,0),MATCH(I$1,CalLookUpColumn,0))</f>
        <v>5</v>
      </c>
    </row>
    <row r="360" spans="1:9" x14ac:dyDescent="0.25">
      <c r="A360" s="7">
        <v>1</v>
      </c>
      <c r="B360" s="8">
        <v>43555</v>
      </c>
      <c r="C360" s="9" t="s">
        <v>4</v>
      </c>
      <c r="D360" s="10">
        <v>2912.8049999999994</v>
      </c>
      <c r="E360" s="10">
        <v>2669.7999999999997</v>
      </c>
      <c r="F360" t="str">
        <f>VLOOKUP(A360,StoreLookup,2,FALSE)</f>
        <v>Store#1</v>
      </c>
      <c r="G360">
        <f>INDEX(CalLookUpTable,MATCH($B360,CalLookUpRow,0),MATCH(G$1,CalLookUpColumn,0))</f>
        <v>2019</v>
      </c>
      <c r="H360">
        <f>INDEX(CalLookUpTable,MATCH($B360,CalLookUpRow,0),MATCH(H$1,CalLookUpColumn,0))</f>
        <v>3</v>
      </c>
      <c r="I360">
        <f>INDEX(CalLookUpTable,MATCH($B360,CalLookUpRow,0),MATCH(I$1,CalLookUpColumn,0))</f>
        <v>5</v>
      </c>
    </row>
    <row r="361" spans="1:9" x14ac:dyDescent="0.25">
      <c r="A361" s="7">
        <v>1</v>
      </c>
      <c r="B361" s="8">
        <v>43555</v>
      </c>
      <c r="C361" s="9" t="s">
        <v>6</v>
      </c>
      <c r="D361" s="10">
        <v>299.03299999999996</v>
      </c>
      <c r="E361" s="10">
        <v>322.33600000000001</v>
      </c>
      <c r="F361" t="str">
        <f>VLOOKUP(A361,StoreLookup,2,FALSE)</f>
        <v>Store#1</v>
      </c>
      <c r="G361">
        <f>INDEX(CalLookUpTable,MATCH($B361,CalLookUpRow,0),MATCH(G$1,CalLookUpColumn,0))</f>
        <v>2019</v>
      </c>
      <c r="H361">
        <f>INDEX(CalLookUpTable,MATCH($B361,CalLookUpRow,0),MATCH(H$1,CalLookUpColumn,0))</f>
        <v>3</v>
      </c>
      <c r="I361">
        <f>INDEX(CalLookUpTable,MATCH($B361,CalLookUpRow,0),MATCH(I$1,CalLookUpColumn,0))</f>
        <v>5</v>
      </c>
    </row>
    <row r="362" spans="1:9" x14ac:dyDescent="0.25">
      <c r="A362" s="7">
        <v>1</v>
      </c>
      <c r="B362" s="8">
        <v>43556</v>
      </c>
      <c r="C362" s="9" t="s">
        <v>4</v>
      </c>
      <c r="D362" s="10">
        <v>3623.2839999999997</v>
      </c>
      <c r="E362" s="10">
        <v>4655.7629999999999</v>
      </c>
      <c r="F362" t="str">
        <f>VLOOKUP(A362,StoreLookup,2,FALSE)</f>
        <v>Store#1</v>
      </c>
      <c r="G362">
        <f>INDEX(CalLookUpTable,MATCH($B362,CalLookUpRow,0),MATCH(G$1,CalLookUpColumn,0))</f>
        <v>2019</v>
      </c>
      <c r="H362">
        <f>INDEX(CalLookUpTable,MATCH($B362,CalLookUpRow,0),MATCH(H$1,CalLookUpColumn,0))</f>
        <v>4</v>
      </c>
      <c r="I362">
        <f>INDEX(CalLookUpTable,MATCH($B362,CalLookUpRow,0),MATCH(I$1,CalLookUpColumn,0))</f>
        <v>1</v>
      </c>
    </row>
    <row r="363" spans="1:9" x14ac:dyDescent="0.25">
      <c r="A363" s="7">
        <v>1</v>
      </c>
      <c r="B363" s="8">
        <v>43556</v>
      </c>
      <c r="C363" s="9" t="s">
        <v>5</v>
      </c>
      <c r="D363" s="10">
        <v>3001.7119999999995</v>
      </c>
      <c r="E363" s="10">
        <v>0</v>
      </c>
      <c r="F363" t="str">
        <f>VLOOKUP(A363,StoreLookup,2,FALSE)</f>
        <v>Store#1</v>
      </c>
      <c r="G363">
        <f>INDEX(CalLookUpTable,MATCH($B363,CalLookUpRow,0),MATCH(G$1,CalLookUpColumn,0))</f>
        <v>2019</v>
      </c>
      <c r="H363">
        <f>INDEX(CalLookUpTable,MATCH($B363,CalLookUpRow,0),MATCH(H$1,CalLookUpColumn,0))</f>
        <v>4</v>
      </c>
      <c r="I363">
        <f>INDEX(CalLookUpTable,MATCH($B363,CalLookUpRow,0),MATCH(I$1,CalLookUpColumn,0))</f>
        <v>1</v>
      </c>
    </row>
    <row r="364" spans="1:9" x14ac:dyDescent="0.25">
      <c r="A364" s="7">
        <v>1</v>
      </c>
      <c r="B364" s="8">
        <v>43556</v>
      </c>
      <c r="C364" s="9" t="s">
        <v>6</v>
      </c>
      <c r="D364" s="10">
        <v>660.51300000000003</v>
      </c>
      <c r="E364" s="10">
        <v>1185.3309999999999</v>
      </c>
      <c r="F364" t="str">
        <f>VLOOKUP(A364,StoreLookup,2,FALSE)</f>
        <v>Store#1</v>
      </c>
      <c r="G364">
        <f>INDEX(CalLookUpTable,MATCH($B364,CalLookUpRow,0),MATCH(G$1,CalLookUpColumn,0))</f>
        <v>2019</v>
      </c>
      <c r="H364">
        <f>INDEX(CalLookUpTable,MATCH($B364,CalLookUpRow,0),MATCH(H$1,CalLookUpColumn,0))</f>
        <v>4</v>
      </c>
      <c r="I364">
        <f>INDEX(CalLookUpTable,MATCH($B364,CalLookUpRow,0),MATCH(I$1,CalLookUpColumn,0))</f>
        <v>1</v>
      </c>
    </row>
    <row r="365" spans="1:9" x14ac:dyDescent="0.25">
      <c r="A365" s="7">
        <v>1</v>
      </c>
      <c r="B365" s="8">
        <v>43556</v>
      </c>
      <c r="C365" s="9" t="s">
        <v>3</v>
      </c>
      <c r="D365" s="10">
        <v>0</v>
      </c>
      <c r="E365" s="10">
        <v>861.65800000000002</v>
      </c>
      <c r="F365" t="str">
        <f>VLOOKUP(A365,StoreLookup,2,FALSE)</f>
        <v>Store#1</v>
      </c>
      <c r="G365">
        <f>INDEX(CalLookUpTable,MATCH($B365,CalLookUpRow,0),MATCH(G$1,CalLookUpColumn,0))</f>
        <v>2019</v>
      </c>
      <c r="H365">
        <f>INDEX(CalLookUpTable,MATCH($B365,CalLookUpRow,0),MATCH(H$1,CalLookUpColumn,0))</f>
        <v>4</v>
      </c>
      <c r="I365">
        <f>INDEX(CalLookUpTable,MATCH($B365,CalLookUpRow,0),MATCH(I$1,CalLookUpColumn,0))</f>
        <v>1</v>
      </c>
    </row>
    <row r="366" spans="1:9" x14ac:dyDescent="0.25">
      <c r="A366" s="7">
        <v>1</v>
      </c>
      <c r="B366" s="8">
        <v>43557</v>
      </c>
      <c r="C366" s="9" t="s">
        <v>4</v>
      </c>
      <c r="D366" s="10">
        <v>4149.607</v>
      </c>
      <c r="E366" s="10">
        <v>4980.4439999999995</v>
      </c>
      <c r="F366" t="str">
        <f>VLOOKUP(A366,StoreLookup,2,FALSE)</f>
        <v>Store#1</v>
      </c>
      <c r="G366">
        <f>INDEX(CalLookUpTable,MATCH($B366,CalLookUpRow,0),MATCH(G$1,CalLookUpColumn,0))</f>
        <v>2019</v>
      </c>
      <c r="H366">
        <f>INDEX(CalLookUpTable,MATCH($B366,CalLookUpRow,0),MATCH(H$1,CalLookUpColumn,0))</f>
        <v>4</v>
      </c>
      <c r="I366">
        <f>INDEX(CalLookUpTable,MATCH($B366,CalLookUpRow,0),MATCH(I$1,CalLookUpColumn,0))</f>
        <v>1</v>
      </c>
    </row>
    <row r="367" spans="1:9" x14ac:dyDescent="0.25">
      <c r="A367" s="7">
        <v>1</v>
      </c>
      <c r="B367" s="8">
        <v>43557</v>
      </c>
      <c r="C367" s="9" t="s">
        <v>6</v>
      </c>
      <c r="D367" s="10">
        <v>1350.3139999999999</v>
      </c>
      <c r="E367" s="10">
        <v>905.24</v>
      </c>
      <c r="F367" t="str">
        <f>VLOOKUP(A367,StoreLookup,2,FALSE)</f>
        <v>Store#1</v>
      </c>
      <c r="G367">
        <f>INDEX(CalLookUpTable,MATCH($B367,CalLookUpRow,0),MATCH(G$1,CalLookUpColumn,0))</f>
        <v>2019</v>
      </c>
      <c r="H367">
        <f>INDEX(CalLookUpTable,MATCH($B367,CalLookUpRow,0),MATCH(H$1,CalLookUpColumn,0))</f>
        <v>4</v>
      </c>
      <c r="I367">
        <f>INDEX(CalLookUpTable,MATCH($B367,CalLookUpRow,0),MATCH(I$1,CalLookUpColumn,0))</f>
        <v>1</v>
      </c>
    </row>
    <row r="368" spans="1:9" x14ac:dyDescent="0.25">
      <c r="A368" s="7">
        <v>1</v>
      </c>
      <c r="B368" s="8">
        <v>43557</v>
      </c>
      <c r="C368" s="9" t="s">
        <v>5</v>
      </c>
      <c r="D368" s="10">
        <v>3314.8290000000002</v>
      </c>
      <c r="E368" s="10">
        <v>0</v>
      </c>
      <c r="F368" t="str">
        <f>VLOOKUP(A368,StoreLookup,2,FALSE)</f>
        <v>Store#1</v>
      </c>
      <c r="G368">
        <f>INDEX(CalLookUpTable,MATCH($B368,CalLookUpRow,0),MATCH(G$1,CalLookUpColumn,0))</f>
        <v>2019</v>
      </c>
      <c r="H368">
        <f>INDEX(CalLookUpTable,MATCH($B368,CalLookUpRow,0),MATCH(H$1,CalLookUpColumn,0))</f>
        <v>4</v>
      </c>
      <c r="I368">
        <f>INDEX(CalLookUpTable,MATCH($B368,CalLookUpRow,0),MATCH(I$1,CalLookUpColumn,0))</f>
        <v>1</v>
      </c>
    </row>
    <row r="369" spans="1:9" x14ac:dyDescent="0.25">
      <c r="A369" s="7">
        <v>1</v>
      </c>
      <c r="B369" s="8">
        <v>43557</v>
      </c>
      <c r="C369" s="9" t="s">
        <v>3</v>
      </c>
      <c r="D369" s="10">
        <v>153.85999999999999</v>
      </c>
      <c r="E369" s="10">
        <v>0</v>
      </c>
      <c r="F369" t="str">
        <f>VLOOKUP(A369,StoreLookup,2,FALSE)</f>
        <v>Store#1</v>
      </c>
      <c r="G369">
        <f>INDEX(CalLookUpTable,MATCH($B369,CalLookUpRow,0),MATCH(G$1,CalLookUpColumn,0))</f>
        <v>2019</v>
      </c>
      <c r="H369">
        <f>INDEX(CalLookUpTable,MATCH($B369,CalLookUpRow,0),MATCH(H$1,CalLookUpColumn,0))</f>
        <v>4</v>
      </c>
      <c r="I369">
        <f>INDEX(CalLookUpTable,MATCH($B369,CalLookUpRow,0),MATCH(I$1,CalLookUpColumn,0))</f>
        <v>1</v>
      </c>
    </row>
    <row r="370" spans="1:9" x14ac:dyDescent="0.25">
      <c r="A370" s="7">
        <v>1</v>
      </c>
      <c r="B370" s="8">
        <v>43558</v>
      </c>
      <c r="C370" s="9" t="s">
        <v>6</v>
      </c>
      <c r="D370" s="10">
        <v>829.70299999999997</v>
      </c>
      <c r="E370" s="10">
        <v>1288.2379999999998</v>
      </c>
      <c r="F370" t="str">
        <f>VLOOKUP(A370,StoreLookup,2,FALSE)</f>
        <v>Store#1</v>
      </c>
      <c r="G370">
        <f>INDEX(CalLookUpTable,MATCH($B370,CalLookUpRow,0),MATCH(G$1,CalLookUpColumn,0))</f>
        <v>2019</v>
      </c>
      <c r="H370">
        <f>INDEX(CalLookUpTable,MATCH($B370,CalLookUpRow,0),MATCH(H$1,CalLookUpColumn,0))</f>
        <v>4</v>
      </c>
      <c r="I370">
        <f>INDEX(CalLookUpTable,MATCH($B370,CalLookUpRow,0),MATCH(I$1,CalLookUpColumn,0))</f>
        <v>1</v>
      </c>
    </row>
    <row r="371" spans="1:9" x14ac:dyDescent="0.25">
      <c r="A371" s="7">
        <v>1</v>
      </c>
      <c r="B371" s="8">
        <v>43558</v>
      </c>
      <c r="C371" s="9" t="s">
        <v>4</v>
      </c>
      <c r="D371" s="10">
        <v>4821.1030000000001</v>
      </c>
      <c r="E371" s="10">
        <v>5003.5999999999995</v>
      </c>
      <c r="F371" t="str">
        <f>VLOOKUP(A371,StoreLookup,2,FALSE)</f>
        <v>Store#1</v>
      </c>
      <c r="G371">
        <f>INDEX(CalLookUpTable,MATCH($B371,CalLookUpRow,0),MATCH(G$1,CalLookUpColumn,0))</f>
        <v>2019</v>
      </c>
      <c r="H371">
        <f>INDEX(CalLookUpTable,MATCH($B371,CalLookUpRow,0),MATCH(H$1,CalLookUpColumn,0))</f>
        <v>4</v>
      </c>
      <c r="I371">
        <f>INDEX(CalLookUpTable,MATCH($B371,CalLookUpRow,0),MATCH(I$1,CalLookUpColumn,0))</f>
        <v>1</v>
      </c>
    </row>
    <row r="372" spans="1:9" x14ac:dyDescent="0.25">
      <c r="A372" s="7">
        <v>1</v>
      </c>
      <c r="B372" s="8">
        <v>43558</v>
      </c>
      <c r="C372" s="9" t="s">
        <v>3</v>
      </c>
      <c r="D372" s="10">
        <v>0</v>
      </c>
      <c r="E372" s="10">
        <v>1205.2249999999999</v>
      </c>
      <c r="F372" t="str">
        <f>VLOOKUP(A372,StoreLookup,2,FALSE)</f>
        <v>Store#1</v>
      </c>
      <c r="G372">
        <f>INDEX(CalLookUpTable,MATCH($B372,CalLookUpRow,0),MATCH(G$1,CalLookUpColumn,0))</f>
        <v>2019</v>
      </c>
      <c r="H372">
        <f>INDEX(CalLookUpTable,MATCH($B372,CalLookUpRow,0),MATCH(H$1,CalLookUpColumn,0))</f>
        <v>4</v>
      </c>
      <c r="I372">
        <f>INDEX(CalLookUpTable,MATCH($B372,CalLookUpRow,0),MATCH(I$1,CalLookUpColumn,0))</f>
        <v>1</v>
      </c>
    </row>
    <row r="373" spans="1:9" x14ac:dyDescent="0.25">
      <c r="A373" s="7">
        <v>1</v>
      </c>
      <c r="B373" s="8">
        <v>43558</v>
      </c>
      <c r="C373" s="9" t="s">
        <v>5</v>
      </c>
      <c r="D373" s="10">
        <v>3124.9189999999999</v>
      </c>
      <c r="E373" s="10">
        <v>0</v>
      </c>
      <c r="F373" t="str">
        <f>VLOOKUP(A373,StoreLookup,2,FALSE)</f>
        <v>Store#1</v>
      </c>
      <c r="G373">
        <f>INDEX(CalLookUpTable,MATCH($B373,CalLookUpRow,0),MATCH(G$1,CalLookUpColumn,0))</f>
        <v>2019</v>
      </c>
      <c r="H373">
        <f>INDEX(CalLookUpTable,MATCH($B373,CalLookUpRow,0),MATCH(H$1,CalLookUpColumn,0))</f>
        <v>4</v>
      </c>
      <c r="I373">
        <f>INDEX(CalLookUpTable,MATCH($B373,CalLookUpRow,0),MATCH(I$1,CalLookUpColumn,0))</f>
        <v>1</v>
      </c>
    </row>
    <row r="374" spans="1:9" x14ac:dyDescent="0.25">
      <c r="A374" s="7">
        <v>1</v>
      </c>
      <c r="B374" s="8">
        <v>43559</v>
      </c>
      <c r="C374" s="9" t="s">
        <v>5</v>
      </c>
      <c r="D374" s="10">
        <v>3857.1679999999997</v>
      </c>
      <c r="E374" s="10">
        <v>0</v>
      </c>
      <c r="F374" t="str">
        <f>VLOOKUP(A374,StoreLookup,2,FALSE)</f>
        <v>Store#1</v>
      </c>
      <c r="G374">
        <f>INDEX(CalLookUpTable,MATCH($B374,CalLookUpRow,0),MATCH(G$1,CalLookUpColumn,0))</f>
        <v>2019</v>
      </c>
      <c r="H374">
        <f>INDEX(CalLookUpTable,MATCH($B374,CalLookUpRow,0),MATCH(H$1,CalLookUpColumn,0))</f>
        <v>4</v>
      </c>
      <c r="I374">
        <f>INDEX(CalLookUpTable,MATCH($B374,CalLookUpRow,0),MATCH(I$1,CalLookUpColumn,0))</f>
        <v>1</v>
      </c>
    </row>
    <row r="375" spans="1:9" x14ac:dyDescent="0.25">
      <c r="A375" s="7">
        <v>1</v>
      </c>
      <c r="B375" s="8">
        <v>43559</v>
      </c>
      <c r="C375" s="9" t="s">
        <v>6</v>
      </c>
      <c r="D375" s="10">
        <v>1534.617</v>
      </c>
      <c r="E375" s="10">
        <v>3477.2919999999999</v>
      </c>
      <c r="F375" t="str">
        <f>VLOOKUP(A375,StoreLookup,2,FALSE)</f>
        <v>Store#1</v>
      </c>
      <c r="G375">
        <f>INDEX(CalLookUpTable,MATCH($B375,CalLookUpRow,0),MATCH(G$1,CalLookUpColumn,0))</f>
        <v>2019</v>
      </c>
      <c r="H375">
        <f>INDEX(CalLookUpTable,MATCH($B375,CalLookUpRow,0),MATCH(H$1,CalLookUpColumn,0))</f>
        <v>4</v>
      </c>
      <c r="I375">
        <f>INDEX(CalLookUpTable,MATCH($B375,CalLookUpRow,0),MATCH(I$1,CalLookUpColumn,0))</f>
        <v>1</v>
      </c>
    </row>
    <row r="376" spans="1:9" x14ac:dyDescent="0.25">
      <c r="A376" s="7">
        <v>1</v>
      </c>
      <c r="B376" s="8">
        <v>43559</v>
      </c>
      <c r="C376" s="9" t="s">
        <v>4</v>
      </c>
      <c r="D376" s="10">
        <v>6681.3039999999992</v>
      </c>
      <c r="E376" s="10">
        <v>8104.9849999999988</v>
      </c>
      <c r="F376" t="str">
        <f>VLOOKUP(A376,StoreLookup,2,FALSE)</f>
        <v>Store#1</v>
      </c>
      <c r="G376">
        <f>INDEX(CalLookUpTable,MATCH($B376,CalLookUpRow,0),MATCH(G$1,CalLookUpColumn,0))</f>
        <v>2019</v>
      </c>
      <c r="H376">
        <f>INDEX(CalLookUpTable,MATCH($B376,CalLookUpRow,0),MATCH(H$1,CalLookUpColumn,0))</f>
        <v>4</v>
      </c>
      <c r="I376">
        <f>INDEX(CalLookUpTable,MATCH($B376,CalLookUpRow,0),MATCH(I$1,CalLookUpColumn,0))</f>
        <v>1</v>
      </c>
    </row>
    <row r="377" spans="1:9" x14ac:dyDescent="0.25">
      <c r="A377" s="7">
        <v>1</v>
      </c>
      <c r="B377" s="8">
        <v>43559</v>
      </c>
      <c r="C377" s="9" t="s">
        <v>3</v>
      </c>
      <c r="D377" s="10">
        <v>0</v>
      </c>
      <c r="E377" s="10">
        <v>914.01799999999992</v>
      </c>
      <c r="F377" t="str">
        <f>VLOOKUP(A377,StoreLookup,2,FALSE)</f>
        <v>Store#1</v>
      </c>
      <c r="G377">
        <f>INDEX(CalLookUpTable,MATCH($B377,CalLookUpRow,0),MATCH(G$1,CalLookUpColumn,0))</f>
        <v>2019</v>
      </c>
      <c r="H377">
        <f>INDEX(CalLookUpTable,MATCH($B377,CalLookUpRow,0),MATCH(H$1,CalLookUpColumn,0))</f>
        <v>4</v>
      </c>
      <c r="I377">
        <f>INDEX(CalLookUpTable,MATCH($B377,CalLookUpRow,0),MATCH(I$1,CalLookUpColumn,0))</f>
        <v>1</v>
      </c>
    </row>
    <row r="378" spans="1:9" x14ac:dyDescent="0.25">
      <c r="A378" s="7">
        <v>1</v>
      </c>
      <c r="B378" s="8">
        <v>43560</v>
      </c>
      <c r="C378" s="9" t="s">
        <v>3</v>
      </c>
      <c r="D378" s="10">
        <v>36.140999999999998</v>
      </c>
      <c r="E378" s="10">
        <v>2924.2779999999998</v>
      </c>
      <c r="F378" t="str">
        <f>VLOOKUP(A378,StoreLookup,2,FALSE)</f>
        <v>Store#1</v>
      </c>
      <c r="G378">
        <f>INDEX(CalLookUpTable,MATCH($B378,CalLookUpRow,0),MATCH(G$1,CalLookUpColumn,0))</f>
        <v>2019</v>
      </c>
      <c r="H378">
        <f>INDEX(CalLookUpTable,MATCH($B378,CalLookUpRow,0),MATCH(H$1,CalLookUpColumn,0))</f>
        <v>4</v>
      </c>
      <c r="I378">
        <f>INDEX(CalLookUpTable,MATCH($B378,CalLookUpRow,0),MATCH(I$1,CalLookUpColumn,0))</f>
        <v>1</v>
      </c>
    </row>
    <row r="379" spans="1:9" x14ac:dyDescent="0.25">
      <c r="A379" s="7">
        <v>1</v>
      </c>
      <c r="B379" s="8">
        <v>43560</v>
      </c>
      <c r="C379" s="9" t="s">
        <v>6</v>
      </c>
      <c r="D379" s="10">
        <v>1011.1709999999999</v>
      </c>
      <c r="E379" s="10">
        <v>1854.3839999999998</v>
      </c>
      <c r="F379" t="str">
        <f>VLOOKUP(A379,StoreLookup,2,FALSE)</f>
        <v>Store#1</v>
      </c>
      <c r="G379">
        <f>INDEX(CalLookUpTable,MATCH($B379,CalLookUpRow,0),MATCH(G$1,CalLookUpColumn,0))</f>
        <v>2019</v>
      </c>
      <c r="H379">
        <f>INDEX(CalLookUpTable,MATCH($B379,CalLookUpRow,0),MATCH(H$1,CalLookUpColumn,0))</f>
        <v>4</v>
      </c>
      <c r="I379">
        <f>INDEX(CalLookUpTable,MATCH($B379,CalLookUpRow,0),MATCH(I$1,CalLookUpColumn,0))</f>
        <v>1</v>
      </c>
    </row>
    <row r="380" spans="1:9" x14ac:dyDescent="0.25">
      <c r="A380" s="7">
        <v>1</v>
      </c>
      <c r="B380" s="8">
        <v>43560</v>
      </c>
      <c r="C380" s="9" t="s">
        <v>4</v>
      </c>
      <c r="D380" s="10">
        <v>5840.4289999999992</v>
      </c>
      <c r="E380" s="10">
        <v>6421.9539999999988</v>
      </c>
      <c r="F380" t="str">
        <f>VLOOKUP(A380,StoreLookup,2,FALSE)</f>
        <v>Store#1</v>
      </c>
      <c r="G380">
        <f>INDEX(CalLookUpTable,MATCH($B380,CalLookUpRow,0),MATCH(G$1,CalLookUpColumn,0))</f>
        <v>2019</v>
      </c>
      <c r="H380">
        <f>INDEX(CalLookUpTable,MATCH($B380,CalLookUpRow,0),MATCH(H$1,CalLookUpColumn,0))</f>
        <v>4</v>
      </c>
      <c r="I380">
        <f>INDEX(CalLookUpTable,MATCH($B380,CalLookUpRow,0),MATCH(I$1,CalLookUpColumn,0))</f>
        <v>1</v>
      </c>
    </row>
    <row r="381" spans="1:9" x14ac:dyDescent="0.25">
      <c r="A381" s="7">
        <v>1</v>
      </c>
      <c r="B381" s="8">
        <v>43560</v>
      </c>
      <c r="C381" s="9" t="s">
        <v>5</v>
      </c>
      <c r="D381" s="10">
        <v>3709.1039999999998</v>
      </c>
      <c r="E381" s="10">
        <v>0</v>
      </c>
      <c r="F381" t="str">
        <f>VLOOKUP(A381,StoreLookup,2,FALSE)</f>
        <v>Store#1</v>
      </c>
      <c r="G381">
        <f>INDEX(CalLookUpTable,MATCH($B381,CalLookUpRow,0),MATCH(G$1,CalLookUpColumn,0))</f>
        <v>2019</v>
      </c>
      <c r="H381">
        <f>INDEX(CalLookUpTable,MATCH($B381,CalLookUpRow,0),MATCH(H$1,CalLookUpColumn,0))</f>
        <v>4</v>
      </c>
      <c r="I381">
        <f>INDEX(CalLookUpTable,MATCH($B381,CalLookUpRow,0),MATCH(I$1,CalLookUpColumn,0))</f>
        <v>1</v>
      </c>
    </row>
    <row r="382" spans="1:9" x14ac:dyDescent="0.25">
      <c r="A382" s="7">
        <v>1</v>
      </c>
      <c r="B382" s="8">
        <v>43561</v>
      </c>
      <c r="C382" s="9" t="s">
        <v>6</v>
      </c>
      <c r="D382" s="10">
        <v>1115.8559999999998</v>
      </c>
      <c r="E382" s="10">
        <v>2003.8339999999998</v>
      </c>
      <c r="F382" t="str">
        <f>VLOOKUP(A382,StoreLookup,2,FALSE)</f>
        <v>Store#1</v>
      </c>
      <c r="G382">
        <f>INDEX(CalLookUpTable,MATCH($B382,CalLookUpRow,0),MATCH(G$1,CalLookUpColumn,0))</f>
        <v>2019</v>
      </c>
      <c r="H382">
        <f>INDEX(CalLookUpTable,MATCH($B382,CalLookUpRow,0),MATCH(H$1,CalLookUpColumn,0))</f>
        <v>4</v>
      </c>
      <c r="I382">
        <f>INDEX(CalLookUpTable,MATCH($B382,CalLookUpRow,0),MATCH(I$1,CalLookUpColumn,0))</f>
        <v>1</v>
      </c>
    </row>
    <row r="383" spans="1:9" x14ac:dyDescent="0.25">
      <c r="A383" s="7">
        <v>1</v>
      </c>
      <c r="B383" s="8">
        <v>43561</v>
      </c>
      <c r="C383" s="9" t="s">
        <v>5</v>
      </c>
      <c r="D383" s="10">
        <v>3345.1320000000001</v>
      </c>
      <c r="E383" s="10">
        <v>0</v>
      </c>
      <c r="F383" t="str">
        <f>VLOOKUP(A383,StoreLookup,2,FALSE)</f>
        <v>Store#1</v>
      </c>
      <c r="G383">
        <f>INDEX(CalLookUpTable,MATCH($B383,CalLookUpRow,0),MATCH(G$1,CalLookUpColumn,0))</f>
        <v>2019</v>
      </c>
      <c r="H383">
        <f>INDEX(CalLookUpTable,MATCH($B383,CalLookUpRow,0),MATCH(H$1,CalLookUpColumn,0))</f>
        <v>4</v>
      </c>
      <c r="I383">
        <f>INDEX(CalLookUpTable,MATCH($B383,CalLookUpRow,0),MATCH(I$1,CalLookUpColumn,0))</f>
        <v>1</v>
      </c>
    </row>
    <row r="384" spans="1:9" x14ac:dyDescent="0.25">
      <c r="A384" s="7">
        <v>1</v>
      </c>
      <c r="B384" s="8">
        <v>43561</v>
      </c>
      <c r="C384" s="9" t="s">
        <v>3</v>
      </c>
      <c r="D384" s="10">
        <v>733.59299999999996</v>
      </c>
      <c r="E384" s="10">
        <v>169.946</v>
      </c>
      <c r="F384" t="str">
        <f>VLOOKUP(A384,StoreLookup,2,FALSE)</f>
        <v>Store#1</v>
      </c>
      <c r="G384">
        <f>INDEX(CalLookUpTable,MATCH($B384,CalLookUpRow,0),MATCH(G$1,CalLookUpColumn,0))</f>
        <v>2019</v>
      </c>
      <c r="H384">
        <f>INDEX(CalLookUpTable,MATCH($B384,CalLookUpRow,0),MATCH(H$1,CalLookUpColumn,0))</f>
        <v>4</v>
      </c>
      <c r="I384">
        <f>INDEX(CalLookUpTable,MATCH($B384,CalLookUpRow,0),MATCH(I$1,CalLookUpColumn,0))</f>
        <v>1</v>
      </c>
    </row>
    <row r="385" spans="1:9" x14ac:dyDescent="0.25">
      <c r="A385" s="7">
        <v>1</v>
      </c>
      <c r="B385" s="8">
        <v>43561</v>
      </c>
      <c r="C385" s="9" t="s">
        <v>4</v>
      </c>
      <c r="D385" s="10">
        <v>4327.0919999999996</v>
      </c>
      <c r="E385" s="10">
        <v>6423.3890000000001</v>
      </c>
      <c r="F385" t="str">
        <f>VLOOKUP(A385,StoreLookup,2,FALSE)</f>
        <v>Store#1</v>
      </c>
      <c r="G385">
        <f>INDEX(CalLookUpTable,MATCH($B385,CalLookUpRow,0),MATCH(G$1,CalLookUpColumn,0))</f>
        <v>2019</v>
      </c>
      <c r="H385">
        <f>INDEX(CalLookUpTable,MATCH($B385,CalLookUpRow,0),MATCH(H$1,CalLookUpColumn,0))</f>
        <v>4</v>
      </c>
      <c r="I385">
        <f>INDEX(CalLookUpTable,MATCH($B385,CalLookUpRow,0),MATCH(I$1,CalLookUpColumn,0))</f>
        <v>1</v>
      </c>
    </row>
    <row r="386" spans="1:9" x14ac:dyDescent="0.25">
      <c r="A386" s="7">
        <v>1</v>
      </c>
      <c r="B386" s="8">
        <v>43562</v>
      </c>
      <c r="C386" s="9" t="s">
        <v>5</v>
      </c>
      <c r="D386" s="10">
        <v>1770.664</v>
      </c>
      <c r="E386" s="10">
        <v>0</v>
      </c>
      <c r="F386" t="str">
        <f>VLOOKUP(A386,StoreLookup,2,FALSE)</f>
        <v>Store#1</v>
      </c>
      <c r="G386">
        <f>INDEX(CalLookUpTable,MATCH($B386,CalLookUpRow,0),MATCH(G$1,CalLookUpColumn,0))</f>
        <v>2019</v>
      </c>
      <c r="H386">
        <f>INDEX(CalLookUpTable,MATCH($B386,CalLookUpRow,0),MATCH(H$1,CalLookUpColumn,0))</f>
        <v>4</v>
      </c>
      <c r="I386">
        <f>INDEX(CalLookUpTable,MATCH($B386,CalLookUpRow,0),MATCH(I$1,CalLookUpColumn,0))</f>
        <v>1</v>
      </c>
    </row>
    <row r="387" spans="1:9" x14ac:dyDescent="0.25">
      <c r="A387" s="7">
        <v>1</v>
      </c>
      <c r="B387" s="8">
        <v>43562</v>
      </c>
      <c r="C387" s="9" t="s">
        <v>3</v>
      </c>
      <c r="D387" s="10">
        <v>0</v>
      </c>
      <c r="E387" s="10">
        <v>279.64999999999998</v>
      </c>
      <c r="F387" t="str">
        <f>VLOOKUP(A387,StoreLookup,2,FALSE)</f>
        <v>Store#1</v>
      </c>
      <c r="G387">
        <f>INDEX(CalLookUpTable,MATCH($B387,CalLookUpRow,0),MATCH(G$1,CalLookUpColumn,0))</f>
        <v>2019</v>
      </c>
      <c r="H387">
        <f>INDEX(CalLookUpTable,MATCH($B387,CalLookUpRow,0),MATCH(H$1,CalLookUpColumn,0))</f>
        <v>4</v>
      </c>
      <c r="I387">
        <f>INDEX(CalLookUpTable,MATCH($B387,CalLookUpRow,0),MATCH(I$1,CalLookUpColumn,0))</f>
        <v>1</v>
      </c>
    </row>
    <row r="388" spans="1:9" x14ac:dyDescent="0.25">
      <c r="A388" s="7">
        <v>1</v>
      </c>
      <c r="B388" s="8">
        <v>43562</v>
      </c>
      <c r="C388" s="9" t="s">
        <v>6</v>
      </c>
      <c r="D388" s="10">
        <v>242.33299999999997</v>
      </c>
      <c r="E388" s="10">
        <v>492.11399999999998</v>
      </c>
      <c r="F388" t="str">
        <f>VLOOKUP(A388,StoreLookup,2,FALSE)</f>
        <v>Store#1</v>
      </c>
      <c r="G388">
        <f>INDEX(CalLookUpTable,MATCH($B388,CalLookUpRow,0),MATCH(G$1,CalLookUpColumn,0))</f>
        <v>2019</v>
      </c>
      <c r="H388">
        <f>INDEX(CalLookUpTable,MATCH($B388,CalLookUpRow,0),MATCH(H$1,CalLookUpColumn,0))</f>
        <v>4</v>
      </c>
      <c r="I388">
        <f>INDEX(CalLookUpTable,MATCH($B388,CalLookUpRow,0),MATCH(I$1,CalLookUpColumn,0))</f>
        <v>1</v>
      </c>
    </row>
    <row r="389" spans="1:9" x14ac:dyDescent="0.25">
      <c r="A389" s="7">
        <v>1</v>
      </c>
      <c r="B389" s="8">
        <v>43562</v>
      </c>
      <c r="C389" s="9" t="s">
        <v>4</v>
      </c>
      <c r="D389" s="10">
        <v>2572.0449999999996</v>
      </c>
      <c r="E389" s="10">
        <v>2844.6389999999997</v>
      </c>
      <c r="F389" t="str">
        <f>VLOOKUP(A389,StoreLookup,2,FALSE)</f>
        <v>Store#1</v>
      </c>
      <c r="G389">
        <f>INDEX(CalLookUpTable,MATCH($B389,CalLookUpRow,0),MATCH(G$1,CalLookUpColumn,0))</f>
        <v>2019</v>
      </c>
      <c r="H389">
        <f>INDEX(CalLookUpTable,MATCH($B389,CalLookUpRow,0),MATCH(H$1,CalLookUpColumn,0))</f>
        <v>4</v>
      </c>
      <c r="I389">
        <f>INDEX(CalLookUpTable,MATCH($B389,CalLookUpRow,0),MATCH(I$1,CalLookUpColumn,0))</f>
        <v>1</v>
      </c>
    </row>
    <row r="390" spans="1:9" x14ac:dyDescent="0.25">
      <c r="A390" s="7">
        <v>1</v>
      </c>
      <c r="B390" s="8">
        <v>43563</v>
      </c>
      <c r="C390" s="9" t="s">
        <v>3</v>
      </c>
      <c r="D390" s="10">
        <v>192.32499999999999</v>
      </c>
      <c r="E390" s="10">
        <v>1255.751</v>
      </c>
      <c r="F390" t="str">
        <f>VLOOKUP(A390,StoreLookup,2,FALSE)</f>
        <v>Store#1</v>
      </c>
      <c r="G390">
        <f>INDEX(CalLookUpTable,MATCH($B390,CalLookUpRow,0),MATCH(G$1,CalLookUpColumn,0))</f>
        <v>2019</v>
      </c>
      <c r="H390">
        <f>INDEX(CalLookUpTable,MATCH($B390,CalLookUpRow,0),MATCH(H$1,CalLookUpColumn,0))</f>
        <v>4</v>
      </c>
      <c r="I390">
        <f>INDEX(CalLookUpTable,MATCH($B390,CalLookUpRow,0),MATCH(I$1,CalLookUpColumn,0))</f>
        <v>2</v>
      </c>
    </row>
    <row r="391" spans="1:9" x14ac:dyDescent="0.25">
      <c r="A391" s="7">
        <v>1</v>
      </c>
      <c r="B391" s="8">
        <v>43563</v>
      </c>
      <c r="C391" s="9" t="s">
        <v>4</v>
      </c>
      <c r="D391" s="10">
        <v>3366.8249999999998</v>
      </c>
      <c r="E391" s="10">
        <v>4473.7349999999997</v>
      </c>
      <c r="F391" t="str">
        <f>VLOOKUP(A391,StoreLookup,2,FALSE)</f>
        <v>Store#1</v>
      </c>
      <c r="G391">
        <f>INDEX(CalLookUpTable,MATCH($B391,CalLookUpRow,0),MATCH(G$1,CalLookUpColumn,0))</f>
        <v>2019</v>
      </c>
      <c r="H391">
        <f>INDEX(CalLookUpTable,MATCH($B391,CalLookUpRow,0),MATCH(H$1,CalLookUpColumn,0))</f>
        <v>4</v>
      </c>
      <c r="I391">
        <f>INDEX(CalLookUpTable,MATCH($B391,CalLookUpRow,0),MATCH(I$1,CalLookUpColumn,0))</f>
        <v>2</v>
      </c>
    </row>
    <row r="392" spans="1:9" x14ac:dyDescent="0.25">
      <c r="A392" s="7">
        <v>1</v>
      </c>
      <c r="B392" s="8">
        <v>43563</v>
      </c>
      <c r="C392" s="9" t="s">
        <v>5</v>
      </c>
      <c r="D392" s="10">
        <v>3035.1299999999997</v>
      </c>
      <c r="E392" s="10">
        <v>0</v>
      </c>
      <c r="F392" t="str">
        <f>VLOOKUP(A392,StoreLookup,2,FALSE)</f>
        <v>Store#1</v>
      </c>
      <c r="G392">
        <f>INDEX(CalLookUpTable,MATCH($B392,CalLookUpRow,0),MATCH(G$1,CalLookUpColumn,0))</f>
        <v>2019</v>
      </c>
      <c r="H392">
        <f>INDEX(CalLookUpTable,MATCH($B392,CalLookUpRow,0),MATCH(H$1,CalLookUpColumn,0))</f>
        <v>4</v>
      </c>
      <c r="I392">
        <f>INDEX(CalLookUpTable,MATCH($B392,CalLookUpRow,0),MATCH(I$1,CalLookUpColumn,0))</f>
        <v>2</v>
      </c>
    </row>
    <row r="393" spans="1:9" x14ac:dyDescent="0.25">
      <c r="A393" s="7">
        <v>1</v>
      </c>
      <c r="B393" s="8">
        <v>43563</v>
      </c>
      <c r="C393" s="9" t="s">
        <v>6</v>
      </c>
      <c r="D393" s="10">
        <v>744.97499999999991</v>
      </c>
      <c r="E393" s="10">
        <v>1377.271</v>
      </c>
      <c r="F393" t="str">
        <f>VLOOKUP(A393,StoreLookup,2,FALSE)</f>
        <v>Store#1</v>
      </c>
      <c r="G393">
        <f>INDEX(CalLookUpTable,MATCH($B393,CalLookUpRow,0),MATCH(G$1,CalLookUpColumn,0))</f>
        <v>2019</v>
      </c>
      <c r="H393">
        <f>INDEX(CalLookUpTable,MATCH($B393,CalLookUpRow,0),MATCH(H$1,CalLookUpColumn,0))</f>
        <v>4</v>
      </c>
      <c r="I393">
        <f>INDEX(CalLookUpTable,MATCH($B393,CalLookUpRow,0),MATCH(I$1,CalLookUpColumn,0))</f>
        <v>2</v>
      </c>
    </row>
    <row r="394" spans="1:9" x14ac:dyDescent="0.25">
      <c r="A394" s="7">
        <v>1</v>
      </c>
      <c r="B394" s="8">
        <v>43564</v>
      </c>
      <c r="C394" s="9" t="s">
        <v>4</v>
      </c>
      <c r="D394" s="10">
        <v>3267.1239999999998</v>
      </c>
      <c r="E394" s="10">
        <v>4612.951</v>
      </c>
      <c r="F394" t="str">
        <f>VLOOKUP(A394,StoreLookup,2,FALSE)</f>
        <v>Store#1</v>
      </c>
      <c r="G394">
        <f>INDEX(CalLookUpTable,MATCH($B394,CalLookUpRow,0),MATCH(G$1,CalLookUpColumn,0))</f>
        <v>2019</v>
      </c>
      <c r="H394">
        <f>INDEX(CalLookUpTable,MATCH($B394,CalLookUpRow,0),MATCH(H$1,CalLookUpColumn,0))</f>
        <v>4</v>
      </c>
      <c r="I394">
        <f>INDEX(CalLookUpTable,MATCH($B394,CalLookUpRow,0),MATCH(I$1,CalLookUpColumn,0))</f>
        <v>2</v>
      </c>
    </row>
    <row r="395" spans="1:9" x14ac:dyDescent="0.25">
      <c r="A395" s="7">
        <v>1</v>
      </c>
      <c r="B395" s="8">
        <v>43564</v>
      </c>
      <c r="C395" s="9" t="s">
        <v>3</v>
      </c>
      <c r="D395" s="10">
        <v>200.018</v>
      </c>
      <c r="E395" s="10">
        <v>506.29599999999994</v>
      </c>
      <c r="F395" t="str">
        <f>VLOOKUP(A395,StoreLookup,2,FALSE)</f>
        <v>Store#1</v>
      </c>
      <c r="G395">
        <f>INDEX(CalLookUpTable,MATCH($B395,CalLookUpRow,0),MATCH(G$1,CalLookUpColumn,0))</f>
        <v>2019</v>
      </c>
      <c r="H395">
        <f>INDEX(CalLookUpTable,MATCH($B395,CalLookUpRow,0),MATCH(H$1,CalLookUpColumn,0))</f>
        <v>4</v>
      </c>
      <c r="I395">
        <f>INDEX(CalLookUpTable,MATCH($B395,CalLookUpRow,0),MATCH(I$1,CalLookUpColumn,0))</f>
        <v>2</v>
      </c>
    </row>
    <row r="396" spans="1:9" x14ac:dyDescent="0.25">
      <c r="A396" s="7">
        <v>1</v>
      </c>
      <c r="B396" s="8">
        <v>43564</v>
      </c>
      <c r="C396" s="9" t="s">
        <v>5</v>
      </c>
      <c r="D396" s="10">
        <v>3192.0909999999999</v>
      </c>
      <c r="E396" s="10">
        <v>0</v>
      </c>
      <c r="F396" t="str">
        <f>VLOOKUP(A396,StoreLookup,2,FALSE)</f>
        <v>Store#1</v>
      </c>
      <c r="G396">
        <f>INDEX(CalLookUpTable,MATCH($B396,CalLookUpRow,0),MATCH(G$1,CalLookUpColumn,0))</f>
        <v>2019</v>
      </c>
      <c r="H396">
        <f>INDEX(CalLookUpTable,MATCH($B396,CalLookUpRow,0),MATCH(H$1,CalLookUpColumn,0))</f>
        <v>4</v>
      </c>
      <c r="I396">
        <f>INDEX(CalLookUpTable,MATCH($B396,CalLookUpRow,0),MATCH(I$1,CalLookUpColumn,0))</f>
        <v>2</v>
      </c>
    </row>
    <row r="397" spans="1:9" x14ac:dyDescent="0.25">
      <c r="A397" s="7">
        <v>1</v>
      </c>
      <c r="B397" s="8">
        <v>43564</v>
      </c>
      <c r="C397" s="9" t="s">
        <v>6</v>
      </c>
      <c r="D397" s="10">
        <v>638.33699999999999</v>
      </c>
      <c r="E397" s="10">
        <v>1072.309</v>
      </c>
      <c r="F397" t="str">
        <f>VLOOKUP(A397,StoreLookup,2,FALSE)</f>
        <v>Store#1</v>
      </c>
      <c r="G397">
        <f>INDEX(CalLookUpTable,MATCH($B397,CalLookUpRow,0),MATCH(G$1,CalLookUpColumn,0))</f>
        <v>2019</v>
      </c>
      <c r="H397">
        <f>INDEX(CalLookUpTable,MATCH($B397,CalLookUpRow,0),MATCH(H$1,CalLookUpColumn,0))</f>
        <v>4</v>
      </c>
      <c r="I397">
        <f>INDEX(CalLookUpTable,MATCH($B397,CalLookUpRow,0),MATCH(I$1,CalLookUpColumn,0))</f>
        <v>2</v>
      </c>
    </row>
    <row r="398" spans="1:9" x14ac:dyDescent="0.25">
      <c r="A398" s="7">
        <v>1</v>
      </c>
      <c r="B398" s="8">
        <v>43565</v>
      </c>
      <c r="C398" s="9" t="s">
        <v>4</v>
      </c>
      <c r="D398" s="10">
        <v>4777.2129999999997</v>
      </c>
      <c r="E398" s="10">
        <v>4421.326</v>
      </c>
      <c r="F398" t="str">
        <f>VLOOKUP(A398,StoreLookup,2,FALSE)</f>
        <v>Store#1</v>
      </c>
      <c r="G398">
        <f>INDEX(CalLookUpTable,MATCH($B398,CalLookUpRow,0),MATCH(G$1,CalLookUpColumn,0))</f>
        <v>2019</v>
      </c>
      <c r="H398">
        <f>INDEX(CalLookUpTable,MATCH($B398,CalLookUpRow,0),MATCH(H$1,CalLookUpColumn,0))</f>
        <v>4</v>
      </c>
      <c r="I398">
        <f>INDEX(CalLookUpTable,MATCH($B398,CalLookUpRow,0),MATCH(I$1,CalLookUpColumn,0))</f>
        <v>2</v>
      </c>
    </row>
    <row r="399" spans="1:9" x14ac:dyDescent="0.25">
      <c r="A399" s="7">
        <v>1</v>
      </c>
      <c r="B399" s="8">
        <v>43565</v>
      </c>
      <c r="C399" s="9" t="s">
        <v>3</v>
      </c>
      <c r="D399" s="10">
        <v>1136.779</v>
      </c>
      <c r="E399" s="10">
        <v>694.22499999999991</v>
      </c>
      <c r="F399" t="str">
        <f>VLOOKUP(A399,StoreLookup,2,FALSE)</f>
        <v>Store#1</v>
      </c>
      <c r="G399">
        <f>INDEX(CalLookUpTable,MATCH($B399,CalLookUpRow,0),MATCH(G$1,CalLookUpColumn,0))</f>
        <v>2019</v>
      </c>
      <c r="H399">
        <f>INDEX(CalLookUpTable,MATCH($B399,CalLookUpRow,0),MATCH(H$1,CalLookUpColumn,0))</f>
        <v>4</v>
      </c>
      <c r="I399">
        <f>INDEX(CalLookUpTable,MATCH($B399,CalLookUpRow,0),MATCH(I$1,CalLookUpColumn,0))</f>
        <v>2</v>
      </c>
    </row>
    <row r="400" spans="1:9" x14ac:dyDescent="0.25">
      <c r="A400" s="7">
        <v>1</v>
      </c>
      <c r="B400" s="8">
        <v>43565</v>
      </c>
      <c r="C400" s="9" t="s">
        <v>5</v>
      </c>
      <c r="D400" s="10">
        <v>3613.1480000000001</v>
      </c>
      <c r="E400" s="10">
        <v>0</v>
      </c>
      <c r="F400" t="str">
        <f>VLOOKUP(A400,StoreLookup,2,FALSE)</f>
        <v>Store#1</v>
      </c>
      <c r="G400">
        <f>INDEX(CalLookUpTable,MATCH($B400,CalLookUpRow,0),MATCH(G$1,CalLookUpColumn,0))</f>
        <v>2019</v>
      </c>
      <c r="H400">
        <f>INDEX(CalLookUpTable,MATCH($B400,CalLookUpRow,0),MATCH(H$1,CalLookUpColumn,0))</f>
        <v>4</v>
      </c>
      <c r="I400">
        <f>INDEX(CalLookUpTable,MATCH($B400,CalLookUpRow,0),MATCH(I$1,CalLookUpColumn,0))</f>
        <v>2</v>
      </c>
    </row>
    <row r="401" spans="1:9" x14ac:dyDescent="0.25">
      <c r="A401" s="7">
        <v>1</v>
      </c>
      <c r="B401" s="8">
        <v>43565</v>
      </c>
      <c r="C401" s="9" t="s">
        <v>6</v>
      </c>
      <c r="D401" s="10">
        <v>825.52399999999989</v>
      </c>
      <c r="E401" s="10">
        <v>1349.25</v>
      </c>
      <c r="F401" t="str">
        <f>VLOOKUP(A401,StoreLookup,2,FALSE)</f>
        <v>Store#1</v>
      </c>
      <c r="G401">
        <f>INDEX(CalLookUpTable,MATCH($B401,CalLookUpRow,0),MATCH(G$1,CalLookUpColumn,0))</f>
        <v>2019</v>
      </c>
      <c r="H401">
        <f>INDEX(CalLookUpTable,MATCH($B401,CalLookUpRow,0),MATCH(H$1,CalLookUpColumn,0))</f>
        <v>4</v>
      </c>
      <c r="I401">
        <f>INDEX(CalLookUpTable,MATCH($B401,CalLookUpRow,0),MATCH(I$1,CalLookUpColumn,0))</f>
        <v>2</v>
      </c>
    </row>
    <row r="402" spans="1:9" x14ac:dyDescent="0.25">
      <c r="A402" s="7">
        <v>1</v>
      </c>
      <c r="B402" s="8">
        <v>43566</v>
      </c>
      <c r="C402" s="9" t="s">
        <v>3</v>
      </c>
      <c r="D402" s="10">
        <v>615.43999999999994</v>
      </c>
      <c r="E402" s="10">
        <v>333.42399999999998</v>
      </c>
      <c r="F402" t="str">
        <f>VLOOKUP(A402,StoreLookup,2,FALSE)</f>
        <v>Store#1</v>
      </c>
      <c r="G402">
        <f>INDEX(CalLookUpTable,MATCH($B402,CalLookUpRow,0),MATCH(G$1,CalLookUpColumn,0))</f>
        <v>2019</v>
      </c>
      <c r="H402">
        <f>INDEX(CalLookUpTable,MATCH($B402,CalLookUpRow,0),MATCH(H$1,CalLookUpColumn,0))</f>
        <v>4</v>
      </c>
      <c r="I402">
        <f>INDEX(CalLookUpTable,MATCH($B402,CalLookUpRow,0),MATCH(I$1,CalLookUpColumn,0))</f>
        <v>2</v>
      </c>
    </row>
    <row r="403" spans="1:9" x14ac:dyDescent="0.25">
      <c r="A403" s="7">
        <v>1</v>
      </c>
      <c r="B403" s="8">
        <v>43566</v>
      </c>
      <c r="C403" s="9" t="s">
        <v>6</v>
      </c>
      <c r="D403" s="10">
        <v>1252.713</v>
      </c>
      <c r="E403" s="10">
        <v>1885.8419999999999</v>
      </c>
      <c r="F403" t="str">
        <f>VLOOKUP(A403,StoreLookup,2,FALSE)</f>
        <v>Store#1</v>
      </c>
      <c r="G403">
        <f>INDEX(CalLookUpTable,MATCH($B403,CalLookUpRow,0),MATCH(G$1,CalLookUpColumn,0))</f>
        <v>2019</v>
      </c>
      <c r="H403">
        <f>INDEX(CalLookUpTable,MATCH($B403,CalLookUpRow,0),MATCH(H$1,CalLookUpColumn,0))</f>
        <v>4</v>
      </c>
      <c r="I403">
        <f>INDEX(CalLookUpTable,MATCH($B403,CalLookUpRow,0),MATCH(I$1,CalLookUpColumn,0))</f>
        <v>2</v>
      </c>
    </row>
    <row r="404" spans="1:9" x14ac:dyDescent="0.25">
      <c r="A404" s="7">
        <v>1</v>
      </c>
      <c r="B404" s="8">
        <v>43566</v>
      </c>
      <c r="C404" s="9" t="s">
        <v>4</v>
      </c>
      <c r="D404" s="10">
        <v>4825.6670000000004</v>
      </c>
      <c r="E404" s="10">
        <v>5121.7739999999994</v>
      </c>
      <c r="F404" t="str">
        <f>VLOOKUP(A404,StoreLookup,2,FALSE)</f>
        <v>Store#1</v>
      </c>
      <c r="G404">
        <f>INDEX(CalLookUpTable,MATCH($B404,CalLookUpRow,0),MATCH(G$1,CalLookUpColumn,0))</f>
        <v>2019</v>
      </c>
      <c r="H404">
        <f>INDEX(CalLookUpTable,MATCH($B404,CalLookUpRow,0),MATCH(H$1,CalLookUpColumn,0))</f>
        <v>4</v>
      </c>
      <c r="I404">
        <f>INDEX(CalLookUpTable,MATCH($B404,CalLookUpRow,0),MATCH(I$1,CalLookUpColumn,0))</f>
        <v>2</v>
      </c>
    </row>
    <row r="405" spans="1:9" x14ac:dyDescent="0.25">
      <c r="A405" s="7">
        <v>1</v>
      </c>
      <c r="B405" s="8">
        <v>43566</v>
      </c>
      <c r="C405" s="9" t="s">
        <v>5</v>
      </c>
      <c r="D405" s="10">
        <v>3719.2329999999993</v>
      </c>
      <c r="E405" s="10">
        <v>0</v>
      </c>
      <c r="F405" t="str">
        <f>VLOOKUP(A405,StoreLookup,2,FALSE)</f>
        <v>Store#1</v>
      </c>
      <c r="G405">
        <f>INDEX(CalLookUpTable,MATCH($B405,CalLookUpRow,0),MATCH(G$1,CalLookUpColumn,0))</f>
        <v>2019</v>
      </c>
      <c r="H405">
        <f>INDEX(CalLookUpTable,MATCH($B405,CalLookUpRow,0),MATCH(H$1,CalLookUpColumn,0))</f>
        <v>4</v>
      </c>
      <c r="I405">
        <f>INDEX(CalLookUpTable,MATCH($B405,CalLookUpRow,0),MATCH(I$1,CalLookUpColumn,0))</f>
        <v>2</v>
      </c>
    </row>
    <row r="406" spans="1:9" x14ac:dyDescent="0.25">
      <c r="A406" s="7">
        <v>1</v>
      </c>
      <c r="B406" s="8">
        <v>43567</v>
      </c>
      <c r="C406" s="9" t="s">
        <v>5</v>
      </c>
      <c r="D406" s="10">
        <v>4086.0119999999997</v>
      </c>
      <c r="E406" s="10">
        <v>0</v>
      </c>
      <c r="F406" t="str">
        <f>VLOOKUP(A406,StoreLookup,2,FALSE)</f>
        <v>Store#1</v>
      </c>
      <c r="G406">
        <f>INDEX(CalLookUpTable,MATCH($B406,CalLookUpRow,0),MATCH(G$1,CalLookUpColumn,0))</f>
        <v>2019</v>
      </c>
      <c r="H406">
        <f>INDEX(CalLookUpTable,MATCH($B406,CalLookUpRow,0),MATCH(H$1,CalLookUpColumn,0))</f>
        <v>4</v>
      </c>
      <c r="I406">
        <f>INDEX(CalLookUpTable,MATCH($B406,CalLookUpRow,0),MATCH(I$1,CalLookUpColumn,0))</f>
        <v>2</v>
      </c>
    </row>
    <row r="407" spans="1:9" x14ac:dyDescent="0.25">
      <c r="A407" s="7">
        <v>1</v>
      </c>
      <c r="B407" s="8">
        <v>43567</v>
      </c>
      <c r="C407" s="9" t="s">
        <v>4</v>
      </c>
      <c r="D407" s="10">
        <v>5957.8469999999988</v>
      </c>
      <c r="E407" s="10">
        <v>6768.0409999999993</v>
      </c>
      <c r="F407" t="str">
        <f>VLOOKUP(A407,StoreLookup,2,FALSE)</f>
        <v>Store#1</v>
      </c>
      <c r="G407">
        <f>INDEX(CalLookUpTable,MATCH($B407,CalLookUpRow,0),MATCH(G$1,CalLookUpColumn,0))</f>
        <v>2019</v>
      </c>
      <c r="H407">
        <f>INDEX(CalLookUpTable,MATCH($B407,CalLookUpRow,0),MATCH(H$1,CalLookUpColumn,0))</f>
        <v>4</v>
      </c>
      <c r="I407">
        <f>INDEX(CalLookUpTable,MATCH($B407,CalLookUpRow,0),MATCH(I$1,CalLookUpColumn,0))</f>
        <v>2</v>
      </c>
    </row>
    <row r="408" spans="1:9" x14ac:dyDescent="0.25">
      <c r="A408" s="7">
        <v>1</v>
      </c>
      <c r="B408" s="8">
        <v>43567</v>
      </c>
      <c r="C408" s="9" t="s">
        <v>3</v>
      </c>
      <c r="D408" s="10">
        <v>243.22199999999998</v>
      </c>
      <c r="E408" s="10">
        <v>3635.9679999999994</v>
      </c>
      <c r="F408" t="str">
        <f>VLOOKUP(A408,StoreLookup,2,FALSE)</f>
        <v>Store#1</v>
      </c>
      <c r="G408">
        <f>INDEX(CalLookUpTable,MATCH($B408,CalLookUpRow,0),MATCH(G$1,CalLookUpColumn,0))</f>
        <v>2019</v>
      </c>
      <c r="H408">
        <f>INDEX(CalLookUpTable,MATCH($B408,CalLookUpRow,0),MATCH(H$1,CalLookUpColumn,0))</f>
        <v>4</v>
      </c>
      <c r="I408">
        <f>INDEX(CalLookUpTable,MATCH($B408,CalLookUpRow,0),MATCH(I$1,CalLookUpColumn,0))</f>
        <v>2</v>
      </c>
    </row>
    <row r="409" spans="1:9" x14ac:dyDescent="0.25">
      <c r="A409" s="7">
        <v>1</v>
      </c>
      <c r="B409" s="8">
        <v>43567</v>
      </c>
      <c r="C409" s="9" t="s">
        <v>6</v>
      </c>
      <c r="D409" s="10">
        <v>1159.0739999999998</v>
      </c>
      <c r="E409" s="10">
        <v>2081.0720000000001</v>
      </c>
      <c r="F409" t="str">
        <f>VLOOKUP(A409,StoreLookup,2,FALSE)</f>
        <v>Store#1</v>
      </c>
      <c r="G409">
        <f>INDEX(CalLookUpTable,MATCH($B409,CalLookUpRow,0),MATCH(G$1,CalLookUpColumn,0))</f>
        <v>2019</v>
      </c>
      <c r="H409">
        <f>INDEX(CalLookUpTable,MATCH($B409,CalLookUpRow,0),MATCH(H$1,CalLookUpColumn,0))</f>
        <v>4</v>
      </c>
      <c r="I409">
        <f>INDEX(CalLookUpTable,MATCH($B409,CalLookUpRow,0),MATCH(I$1,CalLookUpColumn,0))</f>
        <v>2</v>
      </c>
    </row>
    <row r="410" spans="1:9" x14ac:dyDescent="0.25">
      <c r="A410" s="7">
        <v>1</v>
      </c>
      <c r="B410" s="8">
        <v>43568</v>
      </c>
      <c r="C410" s="9" t="s">
        <v>4</v>
      </c>
      <c r="D410" s="10">
        <v>6158.0049999999992</v>
      </c>
      <c r="E410" s="10">
        <v>5950.0209999999997</v>
      </c>
      <c r="F410" t="str">
        <f>VLOOKUP(A410,StoreLookup,2,FALSE)</f>
        <v>Store#1</v>
      </c>
      <c r="G410">
        <f>INDEX(CalLookUpTable,MATCH($B410,CalLookUpRow,0),MATCH(G$1,CalLookUpColumn,0))</f>
        <v>2019</v>
      </c>
      <c r="H410">
        <f>INDEX(CalLookUpTable,MATCH($B410,CalLookUpRow,0),MATCH(H$1,CalLookUpColumn,0))</f>
        <v>4</v>
      </c>
      <c r="I410">
        <f>INDEX(CalLookUpTable,MATCH($B410,CalLookUpRow,0),MATCH(I$1,CalLookUpColumn,0))</f>
        <v>2</v>
      </c>
    </row>
    <row r="411" spans="1:9" x14ac:dyDescent="0.25">
      <c r="A411" s="7">
        <v>1</v>
      </c>
      <c r="B411" s="8">
        <v>43568</v>
      </c>
      <c r="C411" s="9" t="s">
        <v>3</v>
      </c>
      <c r="D411" s="10">
        <v>0</v>
      </c>
      <c r="E411" s="10">
        <v>1355.2699999999998</v>
      </c>
      <c r="F411" t="str">
        <f>VLOOKUP(A411,StoreLookup,2,FALSE)</f>
        <v>Store#1</v>
      </c>
      <c r="G411">
        <f>INDEX(CalLookUpTable,MATCH($B411,CalLookUpRow,0),MATCH(G$1,CalLookUpColumn,0))</f>
        <v>2019</v>
      </c>
      <c r="H411">
        <f>INDEX(CalLookUpTable,MATCH($B411,CalLookUpRow,0),MATCH(H$1,CalLookUpColumn,0))</f>
        <v>4</v>
      </c>
      <c r="I411">
        <f>INDEX(CalLookUpTable,MATCH($B411,CalLookUpRow,0),MATCH(I$1,CalLookUpColumn,0))</f>
        <v>2</v>
      </c>
    </row>
    <row r="412" spans="1:9" x14ac:dyDescent="0.25">
      <c r="A412" s="7">
        <v>1</v>
      </c>
      <c r="B412" s="8">
        <v>43568</v>
      </c>
      <c r="C412" s="9" t="s">
        <v>5</v>
      </c>
      <c r="D412" s="10">
        <v>3959.8579999999993</v>
      </c>
      <c r="E412" s="10">
        <v>0</v>
      </c>
      <c r="F412" t="str">
        <f>VLOOKUP(A412,StoreLookup,2,FALSE)</f>
        <v>Store#1</v>
      </c>
      <c r="G412">
        <f>INDEX(CalLookUpTable,MATCH($B412,CalLookUpRow,0),MATCH(G$1,CalLookUpColumn,0))</f>
        <v>2019</v>
      </c>
      <c r="H412">
        <f>INDEX(CalLookUpTable,MATCH($B412,CalLookUpRow,0),MATCH(H$1,CalLookUpColumn,0))</f>
        <v>4</v>
      </c>
      <c r="I412">
        <f>INDEX(CalLookUpTable,MATCH($B412,CalLookUpRow,0),MATCH(I$1,CalLookUpColumn,0))</f>
        <v>2</v>
      </c>
    </row>
    <row r="413" spans="1:9" x14ac:dyDescent="0.25">
      <c r="A413" s="7">
        <v>1</v>
      </c>
      <c r="B413" s="8">
        <v>43568</v>
      </c>
      <c r="C413" s="9" t="s">
        <v>6</v>
      </c>
      <c r="D413" s="10">
        <v>898.05099999999993</v>
      </c>
      <c r="E413" s="10">
        <v>1718.7309999999998</v>
      </c>
      <c r="F413" t="str">
        <f>VLOOKUP(A413,StoreLookup,2,FALSE)</f>
        <v>Store#1</v>
      </c>
      <c r="G413">
        <f>INDEX(CalLookUpTable,MATCH($B413,CalLookUpRow,0),MATCH(G$1,CalLookUpColumn,0))</f>
        <v>2019</v>
      </c>
      <c r="H413">
        <f>INDEX(CalLookUpTable,MATCH($B413,CalLookUpRow,0),MATCH(H$1,CalLookUpColumn,0))</f>
        <v>4</v>
      </c>
      <c r="I413">
        <f>INDEX(CalLookUpTable,MATCH($B413,CalLookUpRow,0),MATCH(I$1,CalLookUpColumn,0))</f>
        <v>2</v>
      </c>
    </row>
    <row r="414" spans="1:9" x14ac:dyDescent="0.25">
      <c r="A414" s="7">
        <v>1</v>
      </c>
      <c r="B414" s="8">
        <v>43569</v>
      </c>
      <c r="C414" s="9" t="s">
        <v>4</v>
      </c>
      <c r="D414" s="10">
        <v>3001.348</v>
      </c>
      <c r="E414" s="10">
        <v>2983.4559999999997</v>
      </c>
      <c r="F414" t="str">
        <f>VLOOKUP(A414,StoreLookup,2,FALSE)</f>
        <v>Store#1</v>
      </c>
      <c r="G414">
        <f>INDEX(CalLookUpTable,MATCH($B414,CalLookUpRow,0),MATCH(G$1,CalLookUpColumn,0))</f>
        <v>2019</v>
      </c>
      <c r="H414">
        <f>INDEX(CalLookUpTable,MATCH($B414,CalLookUpRow,0),MATCH(H$1,CalLookUpColumn,0))</f>
        <v>4</v>
      </c>
      <c r="I414">
        <f>INDEX(CalLookUpTable,MATCH($B414,CalLookUpRow,0),MATCH(I$1,CalLookUpColumn,0))</f>
        <v>2</v>
      </c>
    </row>
    <row r="415" spans="1:9" x14ac:dyDescent="0.25">
      <c r="A415" s="7">
        <v>1</v>
      </c>
      <c r="B415" s="8">
        <v>43569</v>
      </c>
      <c r="C415" s="9" t="s">
        <v>3</v>
      </c>
      <c r="D415" s="10">
        <v>376.23599999999999</v>
      </c>
      <c r="E415" s="10">
        <v>0</v>
      </c>
      <c r="F415" t="str">
        <f>VLOOKUP(A415,StoreLookup,2,FALSE)</f>
        <v>Store#1</v>
      </c>
      <c r="G415">
        <f>INDEX(CalLookUpTable,MATCH($B415,CalLookUpRow,0),MATCH(G$1,CalLookUpColumn,0))</f>
        <v>2019</v>
      </c>
      <c r="H415">
        <f>INDEX(CalLookUpTable,MATCH($B415,CalLookUpRow,0),MATCH(H$1,CalLookUpColumn,0))</f>
        <v>4</v>
      </c>
      <c r="I415">
        <f>INDEX(CalLookUpTable,MATCH($B415,CalLookUpRow,0),MATCH(I$1,CalLookUpColumn,0))</f>
        <v>2</v>
      </c>
    </row>
    <row r="416" spans="1:9" x14ac:dyDescent="0.25">
      <c r="A416" s="7">
        <v>1</v>
      </c>
      <c r="B416" s="8">
        <v>43569</v>
      </c>
      <c r="C416" s="9" t="s">
        <v>5</v>
      </c>
      <c r="D416" s="10">
        <v>1795.7449999999999</v>
      </c>
      <c r="E416" s="10">
        <v>0</v>
      </c>
      <c r="F416" t="str">
        <f>VLOOKUP(A416,StoreLookup,2,FALSE)</f>
        <v>Store#1</v>
      </c>
      <c r="G416">
        <f>INDEX(CalLookUpTable,MATCH($B416,CalLookUpRow,0),MATCH(G$1,CalLookUpColumn,0))</f>
        <v>2019</v>
      </c>
      <c r="H416">
        <f>INDEX(CalLookUpTable,MATCH($B416,CalLookUpRow,0),MATCH(H$1,CalLookUpColumn,0))</f>
        <v>4</v>
      </c>
      <c r="I416">
        <f>INDEX(CalLookUpTable,MATCH($B416,CalLookUpRow,0),MATCH(I$1,CalLookUpColumn,0))</f>
        <v>2</v>
      </c>
    </row>
    <row r="417" spans="1:9" x14ac:dyDescent="0.25">
      <c r="A417" s="7">
        <v>1</v>
      </c>
      <c r="B417" s="8">
        <v>43569</v>
      </c>
      <c r="C417" s="9" t="s">
        <v>6</v>
      </c>
      <c r="D417" s="10">
        <v>284.56399999999996</v>
      </c>
      <c r="E417" s="10">
        <v>657.00599999999997</v>
      </c>
      <c r="F417" t="str">
        <f>VLOOKUP(A417,StoreLookup,2,FALSE)</f>
        <v>Store#1</v>
      </c>
      <c r="G417">
        <f>INDEX(CalLookUpTable,MATCH($B417,CalLookUpRow,0),MATCH(G$1,CalLookUpColumn,0))</f>
        <v>2019</v>
      </c>
      <c r="H417">
        <f>INDEX(CalLookUpTable,MATCH($B417,CalLookUpRow,0),MATCH(H$1,CalLookUpColumn,0))</f>
        <v>4</v>
      </c>
      <c r="I417">
        <f>INDEX(CalLookUpTable,MATCH($B417,CalLookUpRow,0),MATCH(I$1,CalLookUpColumn,0))</f>
        <v>2</v>
      </c>
    </row>
    <row r="418" spans="1:9" x14ac:dyDescent="0.25">
      <c r="A418" s="7">
        <v>1</v>
      </c>
      <c r="B418" s="8">
        <v>43570</v>
      </c>
      <c r="C418" s="9" t="s">
        <v>4</v>
      </c>
      <c r="D418" s="10">
        <v>4005.6589999999997</v>
      </c>
      <c r="E418" s="10">
        <v>4149.53</v>
      </c>
      <c r="F418" t="str">
        <f>VLOOKUP(A418,StoreLookup,2,FALSE)</f>
        <v>Store#1</v>
      </c>
      <c r="G418">
        <f>INDEX(CalLookUpTable,MATCH($B418,CalLookUpRow,0),MATCH(G$1,CalLookUpColumn,0))</f>
        <v>2019</v>
      </c>
      <c r="H418">
        <f>INDEX(CalLookUpTable,MATCH($B418,CalLookUpRow,0),MATCH(H$1,CalLookUpColumn,0))</f>
        <v>4</v>
      </c>
      <c r="I418">
        <f>INDEX(CalLookUpTable,MATCH($B418,CalLookUpRow,0),MATCH(I$1,CalLookUpColumn,0))</f>
        <v>3</v>
      </c>
    </row>
    <row r="419" spans="1:9" x14ac:dyDescent="0.25">
      <c r="A419" s="7">
        <v>1</v>
      </c>
      <c r="B419" s="8">
        <v>43570</v>
      </c>
      <c r="C419" s="9" t="s">
        <v>3</v>
      </c>
      <c r="D419" s="10">
        <v>167.85999999999999</v>
      </c>
      <c r="E419" s="10">
        <v>2665.145</v>
      </c>
      <c r="F419" t="str">
        <f>VLOOKUP(A419,StoreLookup,2,FALSE)</f>
        <v>Store#1</v>
      </c>
      <c r="G419">
        <f>INDEX(CalLookUpTable,MATCH($B419,CalLookUpRow,0),MATCH(G$1,CalLookUpColumn,0))</f>
        <v>2019</v>
      </c>
      <c r="H419">
        <f>INDEX(CalLookUpTable,MATCH($B419,CalLookUpRow,0),MATCH(H$1,CalLookUpColumn,0))</f>
        <v>4</v>
      </c>
      <c r="I419">
        <f>INDEX(CalLookUpTable,MATCH($B419,CalLookUpRow,0),MATCH(I$1,CalLookUpColumn,0))</f>
        <v>3</v>
      </c>
    </row>
    <row r="420" spans="1:9" x14ac:dyDescent="0.25">
      <c r="A420" s="7">
        <v>1</v>
      </c>
      <c r="B420" s="8">
        <v>43570</v>
      </c>
      <c r="C420" s="9" t="s">
        <v>5</v>
      </c>
      <c r="D420" s="10">
        <v>3206.3779999999997</v>
      </c>
      <c r="E420" s="10">
        <v>0</v>
      </c>
      <c r="F420" t="str">
        <f>VLOOKUP(A420,StoreLookup,2,FALSE)</f>
        <v>Store#1</v>
      </c>
      <c r="G420">
        <f>INDEX(CalLookUpTable,MATCH($B420,CalLookUpRow,0),MATCH(G$1,CalLookUpColumn,0))</f>
        <v>2019</v>
      </c>
      <c r="H420">
        <f>INDEX(CalLookUpTable,MATCH($B420,CalLookUpRow,0),MATCH(H$1,CalLookUpColumn,0))</f>
        <v>4</v>
      </c>
      <c r="I420">
        <f>INDEX(CalLookUpTable,MATCH($B420,CalLookUpRow,0),MATCH(I$1,CalLookUpColumn,0))</f>
        <v>3</v>
      </c>
    </row>
    <row r="421" spans="1:9" x14ac:dyDescent="0.25">
      <c r="A421" s="7">
        <v>1</v>
      </c>
      <c r="B421" s="8">
        <v>43570</v>
      </c>
      <c r="C421" s="9" t="s">
        <v>6</v>
      </c>
      <c r="D421" s="10">
        <v>454.93699999999995</v>
      </c>
      <c r="E421" s="10">
        <v>947.37300000000005</v>
      </c>
      <c r="F421" t="str">
        <f>VLOOKUP(A421,StoreLookup,2,FALSE)</f>
        <v>Store#1</v>
      </c>
      <c r="G421">
        <f>INDEX(CalLookUpTable,MATCH($B421,CalLookUpRow,0),MATCH(G$1,CalLookUpColumn,0))</f>
        <v>2019</v>
      </c>
      <c r="H421">
        <f>INDEX(CalLookUpTable,MATCH($B421,CalLookUpRow,0),MATCH(H$1,CalLookUpColumn,0))</f>
        <v>4</v>
      </c>
      <c r="I421">
        <f>INDEX(CalLookUpTable,MATCH($B421,CalLookUpRow,0),MATCH(I$1,CalLookUpColumn,0))</f>
        <v>3</v>
      </c>
    </row>
    <row r="422" spans="1:9" x14ac:dyDescent="0.25">
      <c r="A422" s="7">
        <v>1</v>
      </c>
      <c r="B422" s="8">
        <v>43571</v>
      </c>
      <c r="C422" s="9" t="s">
        <v>5</v>
      </c>
      <c r="D422" s="10">
        <v>3383.9469999999997</v>
      </c>
      <c r="E422" s="10">
        <v>0</v>
      </c>
      <c r="F422" t="str">
        <f>VLOOKUP(A422,StoreLookup,2,FALSE)</f>
        <v>Store#1</v>
      </c>
      <c r="G422">
        <f>INDEX(CalLookUpTable,MATCH($B422,CalLookUpRow,0),MATCH(G$1,CalLookUpColumn,0))</f>
        <v>2019</v>
      </c>
      <c r="H422">
        <f>INDEX(CalLookUpTable,MATCH($B422,CalLookUpRow,0),MATCH(H$1,CalLookUpColumn,0))</f>
        <v>4</v>
      </c>
      <c r="I422">
        <f>INDEX(CalLookUpTable,MATCH($B422,CalLookUpRow,0),MATCH(I$1,CalLookUpColumn,0))</f>
        <v>3</v>
      </c>
    </row>
    <row r="423" spans="1:9" x14ac:dyDescent="0.25">
      <c r="A423" s="7">
        <v>1</v>
      </c>
      <c r="B423" s="8">
        <v>43571</v>
      </c>
      <c r="C423" s="9" t="s">
        <v>3</v>
      </c>
      <c r="D423" s="10">
        <v>576.97499999999991</v>
      </c>
      <c r="E423" s="10">
        <v>5846.2739999999994</v>
      </c>
      <c r="F423" t="str">
        <f>VLOOKUP(A423,StoreLookup,2,FALSE)</f>
        <v>Store#1</v>
      </c>
      <c r="G423">
        <f>INDEX(CalLookUpTable,MATCH($B423,CalLookUpRow,0),MATCH(G$1,CalLookUpColumn,0))</f>
        <v>2019</v>
      </c>
      <c r="H423">
        <f>INDEX(CalLookUpTable,MATCH($B423,CalLookUpRow,0),MATCH(H$1,CalLookUpColumn,0))</f>
        <v>4</v>
      </c>
      <c r="I423">
        <f>INDEX(CalLookUpTable,MATCH($B423,CalLookUpRow,0),MATCH(I$1,CalLookUpColumn,0))</f>
        <v>3</v>
      </c>
    </row>
    <row r="424" spans="1:9" x14ac:dyDescent="0.25">
      <c r="A424" s="7">
        <v>1</v>
      </c>
      <c r="B424" s="8">
        <v>43571</v>
      </c>
      <c r="C424" s="9" t="s">
        <v>4</v>
      </c>
      <c r="D424" s="10">
        <v>3673.0399999999995</v>
      </c>
      <c r="E424" s="10">
        <v>4309.2349999999997</v>
      </c>
      <c r="F424" t="str">
        <f>VLOOKUP(A424,StoreLookup,2,FALSE)</f>
        <v>Store#1</v>
      </c>
      <c r="G424">
        <f>INDEX(CalLookUpTable,MATCH($B424,CalLookUpRow,0),MATCH(G$1,CalLookUpColumn,0))</f>
        <v>2019</v>
      </c>
      <c r="H424">
        <f>INDEX(CalLookUpTable,MATCH($B424,CalLookUpRow,0),MATCH(H$1,CalLookUpColumn,0))</f>
        <v>4</v>
      </c>
      <c r="I424">
        <f>INDEX(CalLookUpTable,MATCH($B424,CalLookUpRow,0),MATCH(I$1,CalLookUpColumn,0))</f>
        <v>3</v>
      </c>
    </row>
    <row r="425" spans="1:9" x14ac:dyDescent="0.25">
      <c r="A425" s="7">
        <v>1</v>
      </c>
      <c r="B425" s="8">
        <v>43571</v>
      </c>
      <c r="C425" s="9" t="s">
        <v>6</v>
      </c>
      <c r="D425" s="10">
        <v>836.61900000000003</v>
      </c>
      <c r="E425" s="10">
        <v>1258.068</v>
      </c>
      <c r="F425" t="str">
        <f>VLOOKUP(A425,StoreLookup,2,FALSE)</f>
        <v>Store#1</v>
      </c>
      <c r="G425">
        <f>INDEX(CalLookUpTable,MATCH($B425,CalLookUpRow,0),MATCH(G$1,CalLookUpColumn,0))</f>
        <v>2019</v>
      </c>
      <c r="H425">
        <f>INDEX(CalLookUpTable,MATCH($B425,CalLookUpRow,0),MATCH(H$1,CalLookUpColumn,0))</f>
        <v>4</v>
      </c>
      <c r="I425">
        <f>INDEX(CalLookUpTable,MATCH($B425,CalLookUpRow,0),MATCH(I$1,CalLookUpColumn,0))</f>
        <v>3</v>
      </c>
    </row>
    <row r="426" spans="1:9" x14ac:dyDescent="0.25">
      <c r="A426" s="7">
        <v>1</v>
      </c>
      <c r="B426" s="8">
        <v>43572</v>
      </c>
      <c r="C426" s="9" t="s">
        <v>6</v>
      </c>
      <c r="D426" s="10">
        <v>827.83399999999983</v>
      </c>
      <c r="E426" s="10">
        <v>1367.828</v>
      </c>
      <c r="F426" t="str">
        <f>VLOOKUP(A426,StoreLookup,2,FALSE)</f>
        <v>Store#1</v>
      </c>
      <c r="G426">
        <f>INDEX(CalLookUpTable,MATCH($B426,CalLookUpRow,0),MATCH(G$1,CalLookUpColumn,0))</f>
        <v>2019</v>
      </c>
      <c r="H426">
        <f>INDEX(CalLookUpTable,MATCH($B426,CalLookUpRow,0),MATCH(H$1,CalLookUpColumn,0))</f>
        <v>4</v>
      </c>
      <c r="I426">
        <f>INDEX(CalLookUpTable,MATCH($B426,CalLookUpRow,0),MATCH(I$1,CalLookUpColumn,0))</f>
        <v>3</v>
      </c>
    </row>
    <row r="427" spans="1:9" x14ac:dyDescent="0.25">
      <c r="A427" s="7">
        <v>1</v>
      </c>
      <c r="B427" s="8">
        <v>43572</v>
      </c>
      <c r="C427" s="9" t="s">
        <v>4</v>
      </c>
      <c r="D427" s="10">
        <v>4771.9489999999996</v>
      </c>
      <c r="E427" s="10">
        <v>5291.8040000000001</v>
      </c>
      <c r="F427" t="str">
        <f>VLOOKUP(A427,StoreLookup,2,FALSE)</f>
        <v>Store#1</v>
      </c>
      <c r="G427">
        <f>INDEX(CalLookUpTable,MATCH($B427,CalLookUpRow,0),MATCH(G$1,CalLookUpColumn,0))</f>
        <v>2019</v>
      </c>
      <c r="H427">
        <f>INDEX(CalLookUpTable,MATCH($B427,CalLookUpRow,0),MATCH(H$1,CalLookUpColumn,0))</f>
        <v>4</v>
      </c>
      <c r="I427">
        <f>INDEX(CalLookUpTable,MATCH($B427,CalLookUpRow,0),MATCH(I$1,CalLookUpColumn,0))</f>
        <v>3</v>
      </c>
    </row>
    <row r="428" spans="1:9" x14ac:dyDescent="0.25">
      <c r="A428" s="7">
        <v>1</v>
      </c>
      <c r="B428" s="8">
        <v>43572</v>
      </c>
      <c r="C428" s="9" t="s">
        <v>3</v>
      </c>
      <c r="D428" s="10">
        <v>346.185</v>
      </c>
      <c r="E428" s="10">
        <v>1552.2289999999998</v>
      </c>
      <c r="F428" t="str">
        <f>VLOOKUP(A428,StoreLookup,2,FALSE)</f>
        <v>Store#1</v>
      </c>
      <c r="G428">
        <f>INDEX(CalLookUpTable,MATCH($B428,CalLookUpRow,0),MATCH(G$1,CalLookUpColumn,0))</f>
        <v>2019</v>
      </c>
      <c r="H428">
        <f>INDEX(CalLookUpTable,MATCH($B428,CalLookUpRow,0),MATCH(H$1,CalLookUpColumn,0))</f>
        <v>4</v>
      </c>
      <c r="I428">
        <f>INDEX(CalLookUpTable,MATCH($B428,CalLookUpRow,0),MATCH(I$1,CalLookUpColumn,0))</f>
        <v>3</v>
      </c>
    </row>
    <row r="429" spans="1:9" x14ac:dyDescent="0.25">
      <c r="A429" s="7">
        <v>1</v>
      </c>
      <c r="B429" s="8">
        <v>43572</v>
      </c>
      <c r="C429" s="9" t="s">
        <v>5</v>
      </c>
      <c r="D429" s="10">
        <v>3498.2149999999997</v>
      </c>
      <c r="E429" s="10">
        <v>0</v>
      </c>
      <c r="F429" t="str">
        <f>VLOOKUP(A429,StoreLookup,2,FALSE)</f>
        <v>Store#1</v>
      </c>
      <c r="G429">
        <f>INDEX(CalLookUpTable,MATCH($B429,CalLookUpRow,0),MATCH(G$1,CalLookUpColumn,0))</f>
        <v>2019</v>
      </c>
      <c r="H429">
        <f>INDEX(CalLookUpTable,MATCH($B429,CalLookUpRow,0),MATCH(H$1,CalLookUpColumn,0))</f>
        <v>4</v>
      </c>
      <c r="I429">
        <f>INDEX(CalLookUpTable,MATCH($B429,CalLookUpRow,0),MATCH(I$1,CalLookUpColumn,0))</f>
        <v>3</v>
      </c>
    </row>
    <row r="430" spans="1:9" x14ac:dyDescent="0.25">
      <c r="A430" s="7">
        <v>1</v>
      </c>
      <c r="B430" s="8">
        <v>43573</v>
      </c>
      <c r="C430" s="9" t="s">
        <v>6</v>
      </c>
      <c r="D430" s="10">
        <v>1322.104</v>
      </c>
      <c r="E430" s="10">
        <v>2920.8760000000002</v>
      </c>
      <c r="F430" t="str">
        <f>VLOOKUP(A430,StoreLookup,2,FALSE)</f>
        <v>Store#1</v>
      </c>
      <c r="G430">
        <f>INDEX(CalLookUpTable,MATCH($B430,CalLookUpRow,0),MATCH(G$1,CalLookUpColumn,0))</f>
        <v>2019</v>
      </c>
      <c r="H430">
        <f>INDEX(CalLookUpTable,MATCH($B430,CalLookUpRow,0),MATCH(H$1,CalLookUpColumn,0))</f>
        <v>4</v>
      </c>
      <c r="I430">
        <f>INDEX(CalLookUpTable,MATCH($B430,CalLookUpRow,0),MATCH(I$1,CalLookUpColumn,0))</f>
        <v>3</v>
      </c>
    </row>
    <row r="431" spans="1:9" x14ac:dyDescent="0.25">
      <c r="A431" s="7">
        <v>1</v>
      </c>
      <c r="B431" s="8">
        <v>43573</v>
      </c>
      <c r="C431" s="9" t="s">
        <v>4</v>
      </c>
      <c r="D431" s="10">
        <v>4917.8499999999995</v>
      </c>
      <c r="E431" s="10">
        <v>5683.3559999999998</v>
      </c>
      <c r="F431" t="str">
        <f>VLOOKUP(A431,StoreLookup,2,FALSE)</f>
        <v>Store#1</v>
      </c>
      <c r="G431">
        <f>INDEX(CalLookUpTable,MATCH($B431,CalLookUpRow,0),MATCH(G$1,CalLookUpColumn,0))</f>
        <v>2019</v>
      </c>
      <c r="H431">
        <f>INDEX(CalLookUpTable,MATCH($B431,CalLookUpRow,0),MATCH(H$1,CalLookUpColumn,0))</f>
        <v>4</v>
      </c>
      <c r="I431">
        <f>INDEX(CalLookUpTable,MATCH($B431,CalLookUpRow,0),MATCH(I$1,CalLookUpColumn,0))</f>
        <v>3</v>
      </c>
    </row>
    <row r="432" spans="1:9" x14ac:dyDescent="0.25">
      <c r="A432" s="7">
        <v>1</v>
      </c>
      <c r="B432" s="8">
        <v>43573</v>
      </c>
      <c r="C432" s="9" t="s">
        <v>5</v>
      </c>
      <c r="D432" s="10">
        <v>3958.2829999999994</v>
      </c>
      <c r="E432" s="10">
        <v>0</v>
      </c>
      <c r="F432" t="str">
        <f>VLOOKUP(A432,StoreLookup,2,FALSE)</f>
        <v>Store#1</v>
      </c>
      <c r="G432">
        <f>INDEX(CalLookUpTable,MATCH($B432,CalLookUpRow,0),MATCH(G$1,CalLookUpColumn,0))</f>
        <v>2019</v>
      </c>
      <c r="H432">
        <f>INDEX(CalLookUpTable,MATCH($B432,CalLookUpRow,0),MATCH(H$1,CalLookUpColumn,0))</f>
        <v>4</v>
      </c>
      <c r="I432">
        <f>INDEX(CalLookUpTable,MATCH($B432,CalLookUpRow,0),MATCH(I$1,CalLookUpColumn,0))</f>
        <v>3</v>
      </c>
    </row>
    <row r="433" spans="1:9" x14ac:dyDescent="0.25">
      <c r="A433" s="7">
        <v>1</v>
      </c>
      <c r="B433" s="8">
        <v>43573</v>
      </c>
      <c r="C433" s="9" t="s">
        <v>3</v>
      </c>
      <c r="D433" s="10">
        <v>393.73599999999999</v>
      </c>
      <c r="E433" s="10">
        <v>3944.654</v>
      </c>
      <c r="F433" t="str">
        <f>VLOOKUP(A433,StoreLookup,2,FALSE)</f>
        <v>Store#1</v>
      </c>
      <c r="G433">
        <f>INDEX(CalLookUpTable,MATCH($B433,CalLookUpRow,0),MATCH(G$1,CalLookUpColumn,0))</f>
        <v>2019</v>
      </c>
      <c r="H433">
        <f>INDEX(CalLookUpTable,MATCH($B433,CalLookUpRow,0),MATCH(H$1,CalLookUpColumn,0))</f>
        <v>4</v>
      </c>
      <c r="I433">
        <f>INDEX(CalLookUpTable,MATCH($B433,CalLookUpRow,0),MATCH(I$1,CalLookUpColumn,0))</f>
        <v>3</v>
      </c>
    </row>
    <row r="434" spans="1:9" x14ac:dyDescent="0.25">
      <c r="A434" s="7">
        <v>1</v>
      </c>
      <c r="B434" s="8">
        <v>43574</v>
      </c>
      <c r="C434" s="9" t="s">
        <v>4</v>
      </c>
      <c r="D434" s="10">
        <v>5368.9369999999999</v>
      </c>
      <c r="E434" s="10">
        <v>5799.2619999999997</v>
      </c>
      <c r="F434" t="str">
        <f>VLOOKUP(A434,StoreLookup,2,FALSE)</f>
        <v>Store#1</v>
      </c>
      <c r="G434">
        <f>INDEX(CalLookUpTable,MATCH($B434,CalLookUpRow,0),MATCH(G$1,CalLookUpColumn,0))</f>
        <v>2019</v>
      </c>
      <c r="H434">
        <f>INDEX(CalLookUpTable,MATCH($B434,CalLookUpRow,0),MATCH(H$1,CalLookUpColumn,0))</f>
        <v>4</v>
      </c>
      <c r="I434">
        <f>INDEX(CalLookUpTable,MATCH($B434,CalLookUpRow,0),MATCH(I$1,CalLookUpColumn,0))</f>
        <v>3</v>
      </c>
    </row>
    <row r="435" spans="1:9" x14ac:dyDescent="0.25">
      <c r="A435" s="7">
        <v>1</v>
      </c>
      <c r="B435" s="8">
        <v>43574</v>
      </c>
      <c r="C435" s="9" t="s">
        <v>3</v>
      </c>
      <c r="D435" s="10">
        <v>365.43499999999995</v>
      </c>
      <c r="E435" s="10">
        <v>1212.82</v>
      </c>
      <c r="F435" t="str">
        <f>VLOOKUP(A435,StoreLookup,2,FALSE)</f>
        <v>Store#1</v>
      </c>
      <c r="G435">
        <f>INDEX(CalLookUpTable,MATCH($B435,CalLookUpRow,0),MATCH(G$1,CalLookUpColumn,0))</f>
        <v>2019</v>
      </c>
      <c r="H435">
        <f>INDEX(CalLookUpTable,MATCH($B435,CalLookUpRow,0),MATCH(H$1,CalLookUpColumn,0))</f>
        <v>4</v>
      </c>
      <c r="I435">
        <f>INDEX(CalLookUpTable,MATCH($B435,CalLookUpRow,0),MATCH(I$1,CalLookUpColumn,0))</f>
        <v>3</v>
      </c>
    </row>
    <row r="436" spans="1:9" x14ac:dyDescent="0.25">
      <c r="A436" s="7">
        <v>1</v>
      </c>
      <c r="B436" s="8">
        <v>43574</v>
      </c>
      <c r="C436" s="9" t="s">
        <v>5</v>
      </c>
      <c r="D436" s="10">
        <v>3664.5629999999996</v>
      </c>
      <c r="E436" s="10">
        <v>0</v>
      </c>
      <c r="F436" t="str">
        <f>VLOOKUP(A436,StoreLookup,2,FALSE)</f>
        <v>Store#1</v>
      </c>
      <c r="G436">
        <f>INDEX(CalLookUpTable,MATCH($B436,CalLookUpRow,0),MATCH(G$1,CalLookUpColumn,0))</f>
        <v>2019</v>
      </c>
      <c r="H436">
        <f>INDEX(CalLookUpTable,MATCH($B436,CalLookUpRow,0),MATCH(H$1,CalLookUpColumn,0))</f>
        <v>4</v>
      </c>
      <c r="I436">
        <f>INDEX(CalLookUpTable,MATCH($B436,CalLookUpRow,0),MATCH(I$1,CalLookUpColumn,0))</f>
        <v>3</v>
      </c>
    </row>
    <row r="437" spans="1:9" x14ac:dyDescent="0.25">
      <c r="A437" s="7">
        <v>1</v>
      </c>
      <c r="B437" s="8">
        <v>43574</v>
      </c>
      <c r="C437" s="9" t="s">
        <v>6</v>
      </c>
      <c r="D437" s="10">
        <v>1469.3839999999998</v>
      </c>
      <c r="E437" s="10">
        <v>2062.2629999999999</v>
      </c>
      <c r="F437" t="str">
        <f>VLOOKUP(A437,StoreLookup,2,FALSE)</f>
        <v>Store#1</v>
      </c>
      <c r="G437">
        <f>INDEX(CalLookUpTable,MATCH($B437,CalLookUpRow,0),MATCH(G$1,CalLookUpColumn,0))</f>
        <v>2019</v>
      </c>
      <c r="H437">
        <f>INDEX(CalLookUpTable,MATCH($B437,CalLookUpRow,0),MATCH(H$1,CalLookUpColumn,0))</f>
        <v>4</v>
      </c>
      <c r="I437">
        <f>INDEX(CalLookUpTable,MATCH($B437,CalLookUpRow,0),MATCH(I$1,CalLookUpColumn,0))</f>
        <v>3</v>
      </c>
    </row>
    <row r="438" spans="1:9" x14ac:dyDescent="0.25">
      <c r="A438" s="7">
        <v>1</v>
      </c>
      <c r="B438" s="8">
        <v>43575</v>
      </c>
      <c r="C438" s="9" t="s">
        <v>6</v>
      </c>
      <c r="D438" s="10">
        <v>735.67899999999997</v>
      </c>
      <c r="E438" s="10">
        <v>1704.7660000000001</v>
      </c>
      <c r="F438" t="str">
        <f>VLOOKUP(A438,StoreLookup,2,FALSE)</f>
        <v>Store#1</v>
      </c>
      <c r="G438">
        <f>INDEX(CalLookUpTable,MATCH($B438,CalLookUpRow,0),MATCH(G$1,CalLookUpColumn,0))</f>
        <v>2019</v>
      </c>
      <c r="H438">
        <f>INDEX(CalLookUpTable,MATCH($B438,CalLookUpRow,0),MATCH(H$1,CalLookUpColumn,0))</f>
        <v>4</v>
      </c>
      <c r="I438">
        <f>INDEX(CalLookUpTable,MATCH($B438,CalLookUpRow,0),MATCH(I$1,CalLookUpColumn,0))</f>
        <v>3</v>
      </c>
    </row>
    <row r="439" spans="1:9" x14ac:dyDescent="0.25">
      <c r="A439" s="7">
        <v>1</v>
      </c>
      <c r="B439" s="8">
        <v>43575</v>
      </c>
      <c r="C439" s="9" t="s">
        <v>3</v>
      </c>
      <c r="D439" s="10">
        <v>384.65</v>
      </c>
      <c r="E439" s="10">
        <v>1129.0929999999998</v>
      </c>
      <c r="F439" t="str">
        <f>VLOOKUP(A439,StoreLookup,2,FALSE)</f>
        <v>Store#1</v>
      </c>
      <c r="G439">
        <f>INDEX(CalLookUpTable,MATCH($B439,CalLookUpRow,0),MATCH(G$1,CalLookUpColumn,0))</f>
        <v>2019</v>
      </c>
      <c r="H439">
        <f>INDEX(CalLookUpTable,MATCH($B439,CalLookUpRow,0),MATCH(H$1,CalLookUpColumn,0))</f>
        <v>4</v>
      </c>
      <c r="I439">
        <f>INDEX(CalLookUpTable,MATCH($B439,CalLookUpRow,0),MATCH(I$1,CalLookUpColumn,0))</f>
        <v>3</v>
      </c>
    </row>
    <row r="440" spans="1:9" x14ac:dyDescent="0.25">
      <c r="A440" s="7">
        <v>1</v>
      </c>
      <c r="B440" s="8">
        <v>43575</v>
      </c>
      <c r="C440" s="9" t="s">
        <v>4</v>
      </c>
      <c r="D440" s="10">
        <v>6003.5640000000003</v>
      </c>
      <c r="E440" s="10">
        <v>6358.6739999999991</v>
      </c>
      <c r="F440" t="str">
        <f>VLOOKUP(A440,StoreLookup,2,FALSE)</f>
        <v>Store#1</v>
      </c>
      <c r="G440">
        <f>INDEX(CalLookUpTable,MATCH($B440,CalLookUpRow,0),MATCH(G$1,CalLookUpColumn,0))</f>
        <v>2019</v>
      </c>
      <c r="H440">
        <f>INDEX(CalLookUpTable,MATCH($B440,CalLookUpRow,0),MATCH(H$1,CalLookUpColumn,0))</f>
        <v>4</v>
      </c>
      <c r="I440">
        <f>INDEX(CalLookUpTable,MATCH($B440,CalLookUpRow,0),MATCH(I$1,CalLookUpColumn,0))</f>
        <v>3</v>
      </c>
    </row>
    <row r="441" spans="1:9" x14ac:dyDescent="0.25">
      <c r="A441" s="7">
        <v>1</v>
      </c>
      <c r="B441" s="8">
        <v>43575</v>
      </c>
      <c r="C441" s="9" t="s">
        <v>5</v>
      </c>
      <c r="D441" s="10">
        <v>3740.9679999999994</v>
      </c>
      <c r="E441" s="10">
        <v>0</v>
      </c>
      <c r="F441" t="str">
        <f>VLOOKUP(A441,StoreLookup,2,FALSE)</f>
        <v>Store#1</v>
      </c>
      <c r="G441">
        <f>INDEX(CalLookUpTable,MATCH($B441,CalLookUpRow,0),MATCH(G$1,CalLookUpColumn,0))</f>
        <v>2019</v>
      </c>
      <c r="H441">
        <f>INDEX(CalLookUpTable,MATCH($B441,CalLookUpRow,0),MATCH(H$1,CalLookUpColumn,0))</f>
        <v>4</v>
      </c>
      <c r="I441">
        <f>INDEX(CalLookUpTable,MATCH($B441,CalLookUpRow,0),MATCH(I$1,CalLookUpColumn,0))</f>
        <v>3</v>
      </c>
    </row>
    <row r="442" spans="1:9" x14ac:dyDescent="0.25">
      <c r="A442" s="7">
        <v>1</v>
      </c>
      <c r="B442" s="8">
        <v>43576</v>
      </c>
      <c r="C442" s="9" t="s">
        <v>4</v>
      </c>
      <c r="D442" s="10">
        <v>2076.732</v>
      </c>
      <c r="E442" s="10">
        <v>3179.6029999999996</v>
      </c>
      <c r="F442" t="str">
        <f>VLOOKUP(A442,StoreLookup,2,FALSE)</f>
        <v>Store#1</v>
      </c>
      <c r="G442">
        <f>INDEX(CalLookUpTable,MATCH($B442,CalLookUpRow,0),MATCH(G$1,CalLookUpColumn,0))</f>
        <v>2019</v>
      </c>
      <c r="H442">
        <f>INDEX(CalLookUpTable,MATCH($B442,CalLookUpRow,0),MATCH(H$1,CalLookUpColumn,0))</f>
        <v>4</v>
      </c>
      <c r="I442">
        <f>INDEX(CalLookUpTable,MATCH($B442,CalLookUpRow,0),MATCH(I$1,CalLookUpColumn,0))</f>
        <v>3</v>
      </c>
    </row>
    <row r="443" spans="1:9" x14ac:dyDescent="0.25">
      <c r="A443" s="7">
        <v>1</v>
      </c>
      <c r="B443" s="8">
        <v>43576</v>
      </c>
      <c r="C443" s="9" t="s">
        <v>6</v>
      </c>
      <c r="D443" s="10">
        <v>317.13499999999999</v>
      </c>
      <c r="E443" s="10">
        <v>487.22099999999995</v>
      </c>
      <c r="F443" t="str">
        <f>VLOOKUP(A443,StoreLookup,2,FALSE)</f>
        <v>Store#1</v>
      </c>
      <c r="G443">
        <f>INDEX(CalLookUpTable,MATCH($B443,CalLookUpRow,0),MATCH(G$1,CalLookUpColumn,0))</f>
        <v>2019</v>
      </c>
      <c r="H443">
        <f>INDEX(CalLookUpTable,MATCH($B443,CalLookUpRow,0),MATCH(H$1,CalLookUpColumn,0))</f>
        <v>4</v>
      </c>
      <c r="I443">
        <f>INDEX(CalLookUpTable,MATCH($B443,CalLookUpRow,0),MATCH(I$1,CalLookUpColumn,0))</f>
        <v>3</v>
      </c>
    </row>
    <row r="444" spans="1:9" x14ac:dyDescent="0.25">
      <c r="A444" s="7">
        <v>1</v>
      </c>
      <c r="B444" s="8">
        <v>43576</v>
      </c>
      <c r="C444" s="9" t="s">
        <v>5</v>
      </c>
      <c r="D444" s="10">
        <v>1629.894</v>
      </c>
      <c r="E444" s="10">
        <v>0</v>
      </c>
      <c r="F444" t="str">
        <f>VLOOKUP(A444,StoreLookup,2,FALSE)</f>
        <v>Store#1</v>
      </c>
      <c r="G444">
        <f>INDEX(CalLookUpTable,MATCH($B444,CalLookUpRow,0),MATCH(G$1,CalLookUpColumn,0))</f>
        <v>2019</v>
      </c>
      <c r="H444">
        <f>INDEX(CalLookUpTable,MATCH($B444,CalLookUpRow,0),MATCH(H$1,CalLookUpColumn,0))</f>
        <v>4</v>
      </c>
      <c r="I444">
        <f>INDEX(CalLookUpTable,MATCH($B444,CalLookUpRow,0),MATCH(I$1,CalLookUpColumn,0))</f>
        <v>3</v>
      </c>
    </row>
    <row r="445" spans="1:9" x14ac:dyDescent="0.25">
      <c r="A445" s="7">
        <v>1</v>
      </c>
      <c r="B445" s="8">
        <v>43576</v>
      </c>
      <c r="C445" s="9" t="s">
        <v>3</v>
      </c>
      <c r="D445" s="10">
        <v>0</v>
      </c>
      <c r="E445" s="10">
        <v>15.372</v>
      </c>
      <c r="F445" t="str">
        <f>VLOOKUP(A445,StoreLookup,2,FALSE)</f>
        <v>Store#1</v>
      </c>
      <c r="G445">
        <f>INDEX(CalLookUpTable,MATCH($B445,CalLookUpRow,0),MATCH(G$1,CalLookUpColumn,0))</f>
        <v>2019</v>
      </c>
      <c r="H445">
        <f>INDEX(CalLookUpTable,MATCH($B445,CalLookUpRow,0),MATCH(H$1,CalLookUpColumn,0))</f>
        <v>4</v>
      </c>
      <c r="I445">
        <f>INDEX(CalLookUpTable,MATCH($B445,CalLookUpRow,0),MATCH(I$1,CalLookUpColumn,0))</f>
        <v>3</v>
      </c>
    </row>
    <row r="446" spans="1:9" x14ac:dyDescent="0.25">
      <c r="A446" s="7">
        <v>1</v>
      </c>
      <c r="B446" s="8">
        <v>43577</v>
      </c>
      <c r="C446" s="9" t="s">
        <v>4</v>
      </c>
      <c r="D446" s="10">
        <v>5001.9059999999999</v>
      </c>
      <c r="E446" s="10">
        <v>4936.3859999999995</v>
      </c>
      <c r="F446" t="str">
        <f>VLOOKUP(A446,StoreLookup,2,FALSE)</f>
        <v>Store#1</v>
      </c>
      <c r="G446">
        <f>INDEX(CalLookUpTable,MATCH($B446,CalLookUpRow,0),MATCH(G$1,CalLookUpColumn,0))</f>
        <v>2019</v>
      </c>
      <c r="H446">
        <f>INDEX(CalLookUpTable,MATCH($B446,CalLookUpRow,0),MATCH(H$1,CalLookUpColumn,0))</f>
        <v>4</v>
      </c>
      <c r="I446">
        <f>INDEX(CalLookUpTable,MATCH($B446,CalLookUpRow,0),MATCH(I$1,CalLookUpColumn,0))</f>
        <v>4</v>
      </c>
    </row>
    <row r="447" spans="1:9" x14ac:dyDescent="0.25">
      <c r="A447" s="7">
        <v>1</v>
      </c>
      <c r="B447" s="8">
        <v>43577</v>
      </c>
      <c r="C447" s="9" t="s">
        <v>3</v>
      </c>
      <c r="D447" s="10">
        <v>168.53899999999999</v>
      </c>
      <c r="E447" s="10">
        <v>614.90099999999995</v>
      </c>
      <c r="F447" t="str">
        <f>VLOOKUP(A447,StoreLookup,2,FALSE)</f>
        <v>Store#1</v>
      </c>
      <c r="G447">
        <f>INDEX(CalLookUpTable,MATCH($B447,CalLookUpRow,0),MATCH(G$1,CalLookUpColumn,0))</f>
        <v>2019</v>
      </c>
      <c r="H447">
        <f>INDEX(CalLookUpTable,MATCH($B447,CalLookUpRow,0),MATCH(H$1,CalLookUpColumn,0))</f>
        <v>4</v>
      </c>
      <c r="I447">
        <f>INDEX(CalLookUpTable,MATCH($B447,CalLookUpRow,0),MATCH(I$1,CalLookUpColumn,0))</f>
        <v>4</v>
      </c>
    </row>
    <row r="448" spans="1:9" x14ac:dyDescent="0.25">
      <c r="A448" s="7">
        <v>1</v>
      </c>
      <c r="B448" s="8">
        <v>43577</v>
      </c>
      <c r="C448" s="9" t="s">
        <v>5</v>
      </c>
      <c r="D448" s="10">
        <v>3201.7579999999994</v>
      </c>
      <c r="E448" s="10">
        <v>0</v>
      </c>
      <c r="F448" t="str">
        <f>VLOOKUP(A448,StoreLookup,2,FALSE)</f>
        <v>Store#1</v>
      </c>
      <c r="G448">
        <f>INDEX(CalLookUpTable,MATCH($B448,CalLookUpRow,0),MATCH(G$1,CalLookUpColumn,0))</f>
        <v>2019</v>
      </c>
      <c r="H448">
        <f>INDEX(CalLookUpTable,MATCH($B448,CalLookUpRow,0),MATCH(H$1,CalLookUpColumn,0))</f>
        <v>4</v>
      </c>
      <c r="I448">
        <f>INDEX(CalLookUpTable,MATCH($B448,CalLookUpRow,0),MATCH(I$1,CalLookUpColumn,0))</f>
        <v>4</v>
      </c>
    </row>
    <row r="449" spans="1:9" x14ac:dyDescent="0.25">
      <c r="A449" s="7">
        <v>1</v>
      </c>
      <c r="B449" s="8">
        <v>43577</v>
      </c>
      <c r="C449" s="9" t="s">
        <v>6</v>
      </c>
      <c r="D449" s="10">
        <v>1151.6609999999998</v>
      </c>
      <c r="E449" s="10">
        <v>1374.5269999999998</v>
      </c>
      <c r="F449" t="str">
        <f>VLOOKUP(A449,StoreLookup,2,FALSE)</f>
        <v>Store#1</v>
      </c>
      <c r="G449">
        <f>INDEX(CalLookUpTable,MATCH($B449,CalLookUpRow,0),MATCH(G$1,CalLookUpColumn,0))</f>
        <v>2019</v>
      </c>
      <c r="H449">
        <f>INDEX(CalLookUpTable,MATCH($B449,CalLookUpRow,0),MATCH(H$1,CalLookUpColumn,0))</f>
        <v>4</v>
      </c>
      <c r="I449">
        <f>INDEX(CalLookUpTable,MATCH($B449,CalLookUpRow,0),MATCH(I$1,CalLookUpColumn,0))</f>
        <v>4</v>
      </c>
    </row>
    <row r="450" spans="1:9" x14ac:dyDescent="0.25">
      <c r="A450" s="7">
        <v>1</v>
      </c>
      <c r="B450" s="8">
        <v>43578</v>
      </c>
      <c r="C450" s="9" t="s">
        <v>4</v>
      </c>
      <c r="D450" s="10">
        <v>4740.8059999999996</v>
      </c>
      <c r="E450" s="10">
        <v>5597.5219999999999</v>
      </c>
      <c r="F450" t="str">
        <f>VLOOKUP(A450,StoreLookup,2,FALSE)</f>
        <v>Store#1</v>
      </c>
      <c r="G450">
        <f>INDEX(CalLookUpTable,MATCH($B450,CalLookUpRow,0),MATCH(G$1,CalLookUpColumn,0))</f>
        <v>2019</v>
      </c>
      <c r="H450">
        <f>INDEX(CalLookUpTable,MATCH($B450,CalLookUpRow,0),MATCH(H$1,CalLookUpColumn,0))</f>
        <v>4</v>
      </c>
      <c r="I450">
        <f>INDEX(CalLookUpTable,MATCH($B450,CalLookUpRow,0),MATCH(I$1,CalLookUpColumn,0))</f>
        <v>4</v>
      </c>
    </row>
    <row r="451" spans="1:9" x14ac:dyDescent="0.25">
      <c r="A451" s="7">
        <v>1</v>
      </c>
      <c r="B451" s="8">
        <v>43578</v>
      </c>
      <c r="C451" s="9" t="s">
        <v>3</v>
      </c>
      <c r="D451" s="10">
        <v>183.21799999999999</v>
      </c>
      <c r="E451" s="10">
        <v>932.22499999999991</v>
      </c>
      <c r="F451" t="str">
        <f>VLOOKUP(A451,StoreLookup,2,FALSE)</f>
        <v>Store#1</v>
      </c>
      <c r="G451">
        <f>INDEX(CalLookUpTable,MATCH($B451,CalLookUpRow,0),MATCH(G$1,CalLookUpColumn,0))</f>
        <v>2019</v>
      </c>
      <c r="H451">
        <f>INDEX(CalLookUpTable,MATCH($B451,CalLookUpRow,0),MATCH(H$1,CalLookUpColumn,0))</f>
        <v>4</v>
      </c>
      <c r="I451">
        <f>INDEX(CalLookUpTable,MATCH($B451,CalLookUpRow,0),MATCH(I$1,CalLookUpColumn,0))</f>
        <v>4</v>
      </c>
    </row>
    <row r="452" spans="1:9" x14ac:dyDescent="0.25">
      <c r="A452" s="7">
        <v>1</v>
      </c>
      <c r="B452" s="8">
        <v>43578</v>
      </c>
      <c r="C452" s="9" t="s">
        <v>5</v>
      </c>
      <c r="D452" s="10">
        <v>3424.0149999999999</v>
      </c>
      <c r="E452" s="10">
        <v>0</v>
      </c>
      <c r="F452" t="str">
        <f>VLOOKUP(A452,StoreLookup,2,FALSE)</f>
        <v>Store#1</v>
      </c>
      <c r="G452">
        <f>INDEX(CalLookUpTable,MATCH($B452,CalLookUpRow,0),MATCH(G$1,CalLookUpColumn,0))</f>
        <v>2019</v>
      </c>
      <c r="H452">
        <f>INDEX(CalLookUpTable,MATCH($B452,CalLookUpRow,0),MATCH(H$1,CalLookUpColumn,0))</f>
        <v>4</v>
      </c>
      <c r="I452">
        <f>INDEX(CalLookUpTable,MATCH($B452,CalLookUpRow,0),MATCH(I$1,CalLookUpColumn,0))</f>
        <v>4</v>
      </c>
    </row>
    <row r="453" spans="1:9" x14ac:dyDescent="0.25">
      <c r="A453" s="7">
        <v>1</v>
      </c>
      <c r="B453" s="8">
        <v>43578</v>
      </c>
      <c r="C453" s="9" t="s">
        <v>6</v>
      </c>
      <c r="D453" s="10">
        <v>900.05299999999988</v>
      </c>
      <c r="E453" s="10">
        <v>1312.7239999999999</v>
      </c>
      <c r="F453" t="str">
        <f>VLOOKUP(A453,StoreLookup,2,FALSE)</f>
        <v>Store#1</v>
      </c>
      <c r="G453">
        <f>INDEX(CalLookUpTable,MATCH($B453,CalLookUpRow,0),MATCH(G$1,CalLookUpColumn,0))</f>
        <v>2019</v>
      </c>
      <c r="H453">
        <f>INDEX(CalLookUpTable,MATCH($B453,CalLookUpRow,0),MATCH(H$1,CalLookUpColumn,0))</f>
        <v>4</v>
      </c>
      <c r="I453">
        <f>INDEX(CalLookUpTable,MATCH($B453,CalLookUpRow,0),MATCH(I$1,CalLookUpColumn,0))</f>
        <v>4</v>
      </c>
    </row>
    <row r="454" spans="1:9" x14ac:dyDescent="0.25">
      <c r="A454" s="7">
        <v>1</v>
      </c>
      <c r="B454" s="8">
        <v>43579</v>
      </c>
      <c r="C454" s="9" t="s">
        <v>4</v>
      </c>
      <c r="D454" s="10">
        <v>5524.7219999999998</v>
      </c>
      <c r="E454" s="10">
        <v>6249.915</v>
      </c>
      <c r="F454" t="str">
        <f>VLOOKUP(A454,StoreLookup,2,FALSE)</f>
        <v>Store#1</v>
      </c>
      <c r="G454">
        <f>INDEX(CalLookUpTable,MATCH($B454,CalLookUpRow,0),MATCH(G$1,CalLookUpColumn,0))</f>
        <v>2019</v>
      </c>
      <c r="H454">
        <f>INDEX(CalLookUpTable,MATCH($B454,CalLookUpRow,0),MATCH(H$1,CalLookUpColumn,0))</f>
        <v>4</v>
      </c>
      <c r="I454">
        <f>INDEX(CalLookUpTable,MATCH($B454,CalLookUpRow,0),MATCH(I$1,CalLookUpColumn,0))</f>
        <v>4</v>
      </c>
    </row>
    <row r="455" spans="1:9" x14ac:dyDescent="0.25">
      <c r="A455" s="7">
        <v>1</v>
      </c>
      <c r="B455" s="8">
        <v>43579</v>
      </c>
      <c r="C455" s="9" t="s">
        <v>3</v>
      </c>
      <c r="D455" s="10">
        <v>11.542999999999997</v>
      </c>
      <c r="E455" s="10">
        <v>515.01800000000003</v>
      </c>
      <c r="F455" t="str">
        <f>VLOOKUP(A455,StoreLookup,2,FALSE)</f>
        <v>Store#1</v>
      </c>
      <c r="G455">
        <f>INDEX(CalLookUpTable,MATCH($B455,CalLookUpRow,0),MATCH(G$1,CalLookUpColumn,0))</f>
        <v>2019</v>
      </c>
      <c r="H455">
        <f>INDEX(CalLookUpTable,MATCH($B455,CalLookUpRow,0),MATCH(H$1,CalLookUpColumn,0))</f>
        <v>4</v>
      </c>
      <c r="I455">
        <f>INDEX(CalLookUpTable,MATCH($B455,CalLookUpRow,0),MATCH(I$1,CalLookUpColumn,0))</f>
        <v>4</v>
      </c>
    </row>
    <row r="456" spans="1:9" x14ac:dyDescent="0.25">
      <c r="A456" s="7">
        <v>1</v>
      </c>
      <c r="B456" s="8">
        <v>43579</v>
      </c>
      <c r="C456" s="9" t="s">
        <v>6</v>
      </c>
      <c r="D456" s="10">
        <v>1279.0819999999999</v>
      </c>
      <c r="E456" s="10">
        <v>2643.4519999999998</v>
      </c>
      <c r="F456" t="str">
        <f>VLOOKUP(A456,StoreLookup,2,FALSE)</f>
        <v>Store#1</v>
      </c>
      <c r="G456">
        <f>INDEX(CalLookUpTable,MATCH($B456,CalLookUpRow,0),MATCH(G$1,CalLookUpColumn,0))</f>
        <v>2019</v>
      </c>
      <c r="H456">
        <f>INDEX(CalLookUpTable,MATCH($B456,CalLookUpRow,0),MATCH(H$1,CalLookUpColumn,0))</f>
        <v>4</v>
      </c>
      <c r="I456">
        <f>INDEX(CalLookUpTable,MATCH($B456,CalLookUpRow,0),MATCH(I$1,CalLookUpColumn,0))</f>
        <v>4</v>
      </c>
    </row>
    <row r="457" spans="1:9" x14ac:dyDescent="0.25">
      <c r="A457" s="7">
        <v>1</v>
      </c>
      <c r="B457" s="8">
        <v>43579</v>
      </c>
      <c r="C457" s="9" t="s">
        <v>5</v>
      </c>
      <c r="D457" s="10">
        <v>4331.9709999999995</v>
      </c>
      <c r="E457" s="10">
        <v>0</v>
      </c>
      <c r="F457" t="str">
        <f>VLOOKUP(A457,StoreLookup,2,FALSE)</f>
        <v>Store#1</v>
      </c>
      <c r="G457">
        <f>INDEX(CalLookUpTable,MATCH($B457,CalLookUpRow,0),MATCH(G$1,CalLookUpColumn,0))</f>
        <v>2019</v>
      </c>
      <c r="H457">
        <f>INDEX(CalLookUpTable,MATCH($B457,CalLookUpRow,0),MATCH(H$1,CalLookUpColumn,0))</f>
        <v>4</v>
      </c>
      <c r="I457">
        <f>INDEX(CalLookUpTable,MATCH($B457,CalLookUpRow,0),MATCH(I$1,CalLookUpColumn,0))</f>
        <v>4</v>
      </c>
    </row>
    <row r="458" spans="1:9" x14ac:dyDescent="0.25">
      <c r="A458" s="7">
        <v>1</v>
      </c>
      <c r="B458" s="8">
        <v>43580</v>
      </c>
      <c r="C458" s="9" t="s">
        <v>6</v>
      </c>
      <c r="D458" s="10">
        <v>1940.8829999999998</v>
      </c>
      <c r="E458" s="10">
        <v>2882.873</v>
      </c>
      <c r="F458" t="str">
        <f>VLOOKUP(A458,StoreLookup,2,FALSE)</f>
        <v>Store#1</v>
      </c>
      <c r="G458">
        <f>INDEX(CalLookUpTable,MATCH($B458,CalLookUpRow,0),MATCH(G$1,CalLookUpColumn,0))</f>
        <v>2019</v>
      </c>
      <c r="H458">
        <f>INDEX(CalLookUpTable,MATCH($B458,CalLookUpRow,0),MATCH(H$1,CalLookUpColumn,0))</f>
        <v>4</v>
      </c>
      <c r="I458">
        <f>INDEX(CalLookUpTable,MATCH($B458,CalLookUpRow,0),MATCH(I$1,CalLookUpColumn,0))</f>
        <v>4</v>
      </c>
    </row>
    <row r="459" spans="1:9" x14ac:dyDescent="0.25">
      <c r="A459" s="7">
        <v>1</v>
      </c>
      <c r="B459" s="8">
        <v>43580</v>
      </c>
      <c r="C459" s="9" t="s">
        <v>4</v>
      </c>
      <c r="D459" s="10">
        <v>5933.9419999999991</v>
      </c>
      <c r="E459" s="10">
        <v>5961.0809999999992</v>
      </c>
      <c r="F459" t="str">
        <f>VLOOKUP(A459,StoreLookup,2,FALSE)</f>
        <v>Store#1</v>
      </c>
      <c r="G459">
        <f>INDEX(CalLookUpTable,MATCH($B459,CalLookUpRow,0),MATCH(G$1,CalLookUpColumn,0))</f>
        <v>2019</v>
      </c>
      <c r="H459">
        <f>INDEX(CalLookUpTable,MATCH($B459,CalLookUpRow,0),MATCH(H$1,CalLookUpColumn,0))</f>
        <v>4</v>
      </c>
      <c r="I459">
        <f>INDEX(CalLookUpTable,MATCH($B459,CalLookUpRow,0),MATCH(I$1,CalLookUpColumn,0))</f>
        <v>4</v>
      </c>
    </row>
    <row r="460" spans="1:9" x14ac:dyDescent="0.25">
      <c r="A460" s="7">
        <v>1</v>
      </c>
      <c r="B460" s="8">
        <v>43580</v>
      </c>
      <c r="C460" s="9" t="s">
        <v>3</v>
      </c>
      <c r="D460" s="10">
        <v>341.29199999999997</v>
      </c>
      <c r="E460" s="10">
        <v>758.40800000000002</v>
      </c>
      <c r="F460" t="str">
        <f>VLOOKUP(A460,StoreLookup,2,FALSE)</f>
        <v>Store#1</v>
      </c>
      <c r="G460">
        <f>INDEX(CalLookUpTable,MATCH($B460,CalLookUpRow,0),MATCH(G$1,CalLookUpColumn,0))</f>
        <v>2019</v>
      </c>
      <c r="H460">
        <f>INDEX(CalLookUpTable,MATCH($B460,CalLookUpRow,0),MATCH(H$1,CalLookUpColumn,0))</f>
        <v>4</v>
      </c>
      <c r="I460">
        <f>INDEX(CalLookUpTable,MATCH($B460,CalLookUpRow,0),MATCH(I$1,CalLookUpColumn,0))</f>
        <v>4</v>
      </c>
    </row>
    <row r="461" spans="1:9" x14ac:dyDescent="0.25">
      <c r="A461" s="7">
        <v>1</v>
      </c>
      <c r="B461" s="8">
        <v>43580</v>
      </c>
      <c r="C461" s="9" t="s">
        <v>5</v>
      </c>
      <c r="D461" s="10">
        <v>4078.4799999999996</v>
      </c>
      <c r="E461" s="10">
        <v>0</v>
      </c>
      <c r="F461" t="str">
        <f>VLOOKUP(A461,StoreLookup,2,FALSE)</f>
        <v>Store#1</v>
      </c>
      <c r="G461">
        <f>INDEX(CalLookUpTable,MATCH($B461,CalLookUpRow,0),MATCH(G$1,CalLookUpColumn,0))</f>
        <v>2019</v>
      </c>
      <c r="H461">
        <f>INDEX(CalLookUpTable,MATCH($B461,CalLookUpRow,0),MATCH(H$1,CalLookUpColumn,0))</f>
        <v>4</v>
      </c>
      <c r="I461">
        <f>INDEX(CalLookUpTable,MATCH($B461,CalLookUpRow,0),MATCH(I$1,CalLookUpColumn,0))</f>
        <v>4</v>
      </c>
    </row>
    <row r="462" spans="1:9" x14ac:dyDescent="0.25">
      <c r="A462" s="7">
        <v>1</v>
      </c>
      <c r="B462" s="8">
        <v>43581</v>
      </c>
      <c r="C462" s="9" t="s">
        <v>6</v>
      </c>
      <c r="D462" s="10">
        <v>1845.2629999999999</v>
      </c>
      <c r="E462" s="10">
        <v>2877.8119999999999</v>
      </c>
      <c r="F462" t="str">
        <f>VLOOKUP(A462,StoreLookup,2,FALSE)</f>
        <v>Store#1</v>
      </c>
      <c r="G462">
        <f>INDEX(CalLookUpTable,MATCH($B462,CalLookUpRow,0),MATCH(G$1,CalLookUpColumn,0))</f>
        <v>2019</v>
      </c>
      <c r="H462">
        <f>INDEX(CalLookUpTable,MATCH($B462,CalLookUpRow,0),MATCH(H$1,CalLookUpColumn,0))</f>
        <v>4</v>
      </c>
      <c r="I462">
        <f>INDEX(CalLookUpTable,MATCH($B462,CalLookUpRow,0),MATCH(I$1,CalLookUpColumn,0))</f>
        <v>4</v>
      </c>
    </row>
    <row r="463" spans="1:9" x14ac:dyDescent="0.25">
      <c r="A463" s="7">
        <v>1</v>
      </c>
      <c r="B463" s="8">
        <v>43581</v>
      </c>
      <c r="C463" s="9" t="s">
        <v>4</v>
      </c>
      <c r="D463" s="10">
        <v>6413.2599999999993</v>
      </c>
      <c r="E463" s="10">
        <v>6253.6179999999995</v>
      </c>
      <c r="F463" t="str">
        <f>VLOOKUP(A463,StoreLookup,2,FALSE)</f>
        <v>Store#1</v>
      </c>
      <c r="G463">
        <f>INDEX(CalLookUpTable,MATCH($B463,CalLookUpRow,0),MATCH(G$1,CalLookUpColumn,0))</f>
        <v>2019</v>
      </c>
      <c r="H463">
        <f>INDEX(CalLookUpTable,MATCH($B463,CalLookUpRow,0),MATCH(H$1,CalLookUpColumn,0))</f>
        <v>4</v>
      </c>
      <c r="I463">
        <f>INDEX(CalLookUpTable,MATCH($B463,CalLookUpRow,0),MATCH(I$1,CalLookUpColumn,0))</f>
        <v>4</v>
      </c>
    </row>
    <row r="464" spans="1:9" x14ac:dyDescent="0.25">
      <c r="A464" s="7">
        <v>1</v>
      </c>
      <c r="B464" s="8">
        <v>43581</v>
      </c>
      <c r="C464" s="9" t="s">
        <v>3</v>
      </c>
      <c r="D464" s="10">
        <v>654.58399999999995</v>
      </c>
      <c r="E464" s="10">
        <v>1561.8259999999998</v>
      </c>
      <c r="F464" t="str">
        <f>VLOOKUP(A464,StoreLookup,2,FALSE)</f>
        <v>Store#1</v>
      </c>
      <c r="G464">
        <f>INDEX(CalLookUpTable,MATCH($B464,CalLookUpRow,0),MATCH(G$1,CalLookUpColumn,0))</f>
        <v>2019</v>
      </c>
      <c r="H464">
        <f>INDEX(CalLookUpTable,MATCH($B464,CalLookUpRow,0),MATCH(H$1,CalLookUpColumn,0))</f>
        <v>4</v>
      </c>
      <c r="I464">
        <f>INDEX(CalLookUpTable,MATCH($B464,CalLookUpRow,0),MATCH(I$1,CalLookUpColumn,0))</f>
        <v>4</v>
      </c>
    </row>
    <row r="465" spans="1:9" x14ac:dyDescent="0.25">
      <c r="A465" s="7">
        <v>1</v>
      </c>
      <c r="B465" s="8">
        <v>43581</v>
      </c>
      <c r="C465" s="9" t="s">
        <v>5</v>
      </c>
      <c r="D465" s="10">
        <v>4197.4799999999996</v>
      </c>
      <c r="E465" s="10">
        <v>0</v>
      </c>
      <c r="F465" t="str">
        <f>VLOOKUP(A465,StoreLookup,2,FALSE)</f>
        <v>Store#1</v>
      </c>
      <c r="G465">
        <f>INDEX(CalLookUpTable,MATCH($B465,CalLookUpRow,0),MATCH(G$1,CalLookUpColumn,0))</f>
        <v>2019</v>
      </c>
      <c r="H465">
        <f>INDEX(CalLookUpTable,MATCH($B465,CalLookUpRow,0),MATCH(H$1,CalLookUpColumn,0))</f>
        <v>4</v>
      </c>
      <c r="I465">
        <f>INDEX(CalLookUpTable,MATCH($B465,CalLookUpRow,0),MATCH(I$1,CalLookUpColumn,0))</f>
        <v>4</v>
      </c>
    </row>
    <row r="466" spans="1:9" x14ac:dyDescent="0.25">
      <c r="A466" s="7">
        <v>1</v>
      </c>
      <c r="B466" s="8">
        <v>43582</v>
      </c>
      <c r="C466" s="9" t="s">
        <v>5</v>
      </c>
      <c r="D466" s="10">
        <v>3656.835</v>
      </c>
      <c r="E466" s="10">
        <v>0</v>
      </c>
      <c r="F466" t="str">
        <f>VLOOKUP(A466,StoreLookup,2,FALSE)</f>
        <v>Store#1</v>
      </c>
      <c r="G466">
        <f>INDEX(CalLookUpTable,MATCH($B466,CalLookUpRow,0),MATCH(G$1,CalLookUpColumn,0))</f>
        <v>2019</v>
      </c>
      <c r="H466">
        <f>INDEX(CalLookUpTable,MATCH($B466,CalLookUpRow,0),MATCH(H$1,CalLookUpColumn,0))</f>
        <v>4</v>
      </c>
      <c r="I466">
        <f>INDEX(CalLookUpTable,MATCH($B466,CalLookUpRow,0),MATCH(I$1,CalLookUpColumn,0))</f>
        <v>4</v>
      </c>
    </row>
    <row r="467" spans="1:9" x14ac:dyDescent="0.25">
      <c r="A467" s="7">
        <v>1</v>
      </c>
      <c r="B467" s="8">
        <v>43582</v>
      </c>
      <c r="C467" s="9" t="s">
        <v>3</v>
      </c>
      <c r="D467" s="10">
        <v>230.78999999999996</v>
      </c>
      <c r="E467" s="10">
        <v>0</v>
      </c>
      <c r="F467" t="str">
        <f>VLOOKUP(A467,StoreLookup,2,FALSE)</f>
        <v>Store#1</v>
      </c>
      <c r="G467">
        <f>INDEX(CalLookUpTable,MATCH($B467,CalLookUpRow,0),MATCH(G$1,CalLookUpColumn,0))</f>
        <v>2019</v>
      </c>
      <c r="H467">
        <f>INDEX(CalLookUpTable,MATCH($B467,CalLookUpRow,0),MATCH(H$1,CalLookUpColumn,0))</f>
        <v>4</v>
      </c>
      <c r="I467">
        <f>INDEX(CalLookUpTable,MATCH($B467,CalLookUpRow,0),MATCH(I$1,CalLookUpColumn,0))</f>
        <v>4</v>
      </c>
    </row>
    <row r="468" spans="1:9" x14ac:dyDescent="0.25">
      <c r="A468" s="7">
        <v>1</v>
      </c>
      <c r="B468" s="8">
        <v>43582</v>
      </c>
      <c r="C468" s="9" t="s">
        <v>6</v>
      </c>
      <c r="D468" s="10">
        <v>1326.6120000000001</v>
      </c>
      <c r="E468" s="10">
        <v>2335.1859999999997</v>
      </c>
      <c r="F468" t="str">
        <f>VLOOKUP(A468,StoreLookup,2,FALSE)</f>
        <v>Store#1</v>
      </c>
      <c r="G468">
        <f>INDEX(CalLookUpTable,MATCH($B468,CalLookUpRow,0),MATCH(G$1,CalLookUpColumn,0))</f>
        <v>2019</v>
      </c>
      <c r="H468">
        <f>INDEX(CalLookUpTable,MATCH($B468,CalLookUpRow,0),MATCH(H$1,CalLookUpColumn,0))</f>
        <v>4</v>
      </c>
      <c r="I468">
        <f>INDEX(CalLookUpTable,MATCH($B468,CalLookUpRow,0),MATCH(I$1,CalLookUpColumn,0))</f>
        <v>4</v>
      </c>
    </row>
    <row r="469" spans="1:9" x14ac:dyDescent="0.25">
      <c r="A469" s="7">
        <v>1</v>
      </c>
      <c r="B469" s="8">
        <v>43582</v>
      </c>
      <c r="C469" s="9" t="s">
        <v>4</v>
      </c>
      <c r="D469" s="10">
        <v>6809.7609999999995</v>
      </c>
      <c r="E469" s="10">
        <v>6711.0679999999993</v>
      </c>
      <c r="F469" t="str">
        <f>VLOOKUP(A469,StoreLookup,2,FALSE)</f>
        <v>Store#1</v>
      </c>
      <c r="G469">
        <f>INDEX(CalLookUpTable,MATCH($B469,CalLookUpRow,0),MATCH(G$1,CalLookUpColumn,0))</f>
        <v>2019</v>
      </c>
      <c r="H469">
        <f>INDEX(CalLookUpTable,MATCH($B469,CalLookUpRow,0),MATCH(H$1,CalLookUpColumn,0))</f>
        <v>4</v>
      </c>
      <c r="I469">
        <f>INDEX(CalLookUpTable,MATCH($B469,CalLookUpRow,0),MATCH(I$1,CalLookUpColumn,0))</f>
        <v>4</v>
      </c>
    </row>
    <row r="470" spans="1:9" x14ac:dyDescent="0.25">
      <c r="A470" s="7">
        <v>1</v>
      </c>
      <c r="B470" s="8">
        <v>43583</v>
      </c>
      <c r="C470" s="9" t="s">
        <v>3</v>
      </c>
      <c r="D470" s="10">
        <v>0</v>
      </c>
      <c r="E470" s="10">
        <v>0</v>
      </c>
      <c r="F470" t="str">
        <f>VLOOKUP(A470,StoreLookup,2,FALSE)</f>
        <v>Store#1</v>
      </c>
      <c r="G470">
        <f>INDEX(CalLookUpTable,MATCH($B470,CalLookUpRow,0),MATCH(G$1,CalLookUpColumn,0))</f>
        <v>2019</v>
      </c>
      <c r="H470">
        <f>INDEX(CalLookUpTable,MATCH($B470,CalLookUpRow,0),MATCH(H$1,CalLookUpColumn,0))</f>
        <v>4</v>
      </c>
      <c r="I470">
        <f>INDEX(CalLookUpTable,MATCH($B470,CalLookUpRow,0),MATCH(I$1,CalLookUpColumn,0))</f>
        <v>4</v>
      </c>
    </row>
    <row r="471" spans="1:9" x14ac:dyDescent="0.25">
      <c r="A471" s="7">
        <v>1</v>
      </c>
      <c r="B471" s="8">
        <v>43583</v>
      </c>
      <c r="C471" s="9" t="s">
        <v>5</v>
      </c>
      <c r="D471" s="10">
        <v>2033.1149999999998</v>
      </c>
      <c r="E471" s="10">
        <v>0</v>
      </c>
      <c r="F471" t="str">
        <f>VLOOKUP(A471,StoreLookup,2,FALSE)</f>
        <v>Store#1</v>
      </c>
      <c r="G471">
        <f>INDEX(CalLookUpTable,MATCH($B471,CalLookUpRow,0),MATCH(G$1,CalLookUpColumn,0))</f>
        <v>2019</v>
      </c>
      <c r="H471">
        <f>INDEX(CalLookUpTable,MATCH($B471,CalLookUpRow,0),MATCH(H$1,CalLookUpColumn,0))</f>
        <v>4</v>
      </c>
      <c r="I471">
        <f>INDEX(CalLookUpTable,MATCH($B471,CalLookUpRow,0),MATCH(I$1,CalLookUpColumn,0))</f>
        <v>4</v>
      </c>
    </row>
    <row r="472" spans="1:9" x14ac:dyDescent="0.25">
      <c r="A472" s="7">
        <v>1</v>
      </c>
      <c r="B472" s="8">
        <v>43583</v>
      </c>
      <c r="C472" s="9" t="s">
        <v>6</v>
      </c>
      <c r="D472" s="10">
        <v>255.745</v>
      </c>
      <c r="E472" s="10">
        <v>787.976</v>
      </c>
      <c r="F472" t="str">
        <f>VLOOKUP(A472,StoreLookup,2,FALSE)</f>
        <v>Store#1</v>
      </c>
      <c r="G472">
        <f>INDEX(CalLookUpTable,MATCH($B472,CalLookUpRow,0),MATCH(G$1,CalLookUpColumn,0))</f>
        <v>2019</v>
      </c>
      <c r="H472">
        <f>INDEX(CalLookUpTable,MATCH($B472,CalLookUpRow,0),MATCH(H$1,CalLookUpColumn,0))</f>
        <v>4</v>
      </c>
      <c r="I472">
        <f>INDEX(CalLookUpTable,MATCH($B472,CalLookUpRow,0),MATCH(I$1,CalLookUpColumn,0))</f>
        <v>4</v>
      </c>
    </row>
    <row r="473" spans="1:9" x14ac:dyDescent="0.25">
      <c r="A473" s="7">
        <v>1</v>
      </c>
      <c r="B473" s="8">
        <v>43583</v>
      </c>
      <c r="C473" s="9" t="s">
        <v>4</v>
      </c>
      <c r="D473" s="10">
        <v>2581.4319999999998</v>
      </c>
      <c r="E473" s="10">
        <v>3437.6649999999995</v>
      </c>
      <c r="F473" t="str">
        <f>VLOOKUP(A473,StoreLookup,2,FALSE)</f>
        <v>Store#1</v>
      </c>
      <c r="G473">
        <f>INDEX(CalLookUpTable,MATCH($B473,CalLookUpRow,0),MATCH(G$1,CalLookUpColumn,0))</f>
        <v>2019</v>
      </c>
      <c r="H473">
        <f>INDEX(CalLookUpTable,MATCH($B473,CalLookUpRow,0),MATCH(H$1,CalLookUpColumn,0))</f>
        <v>4</v>
      </c>
      <c r="I473">
        <f>INDEX(CalLookUpTable,MATCH($B473,CalLookUpRow,0),MATCH(I$1,CalLookUpColumn,0))</f>
        <v>4</v>
      </c>
    </row>
    <row r="474" spans="1:9" x14ac:dyDescent="0.25">
      <c r="A474" s="7">
        <v>1</v>
      </c>
      <c r="B474" s="8">
        <v>43584</v>
      </c>
      <c r="C474" s="9" t="s">
        <v>4</v>
      </c>
      <c r="D474" s="10">
        <v>4706.366</v>
      </c>
      <c r="E474" s="10">
        <v>4992.5540000000001</v>
      </c>
      <c r="F474" t="str">
        <f>VLOOKUP(A474,StoreLookup,2,FALSE)</f>
        <v>Store#1</v>
      </c>
      <c r="G474">
        <f>INDEX(CalLookUpTable,MATCH($B474,CalLookUpRow,0),MATCH(G$1,CalLookUpColumn,0))</f>
        <v>2019</v>
      </c>
      <c r="H474">
        <f>INDEX(CalLookUpTable,MATCH($B474,CalLookUpRow,0),MATCH(H$1,CalLookUpColumn,0))</f>
        <v>5</v>
      </c>
      <c r="I474">
        <f>INDEX(CalLookUpTable,MATCH($B474,CalLookUpRow,0),MATCH(I$1,CalLookUpColumn,0))</f>
        <v>1</v>
      </c>
    </row>
    <row r="475" spans="1:9" x14ac:dyDescent="0.25">
      <c r="A475" s="7">
        <v>1</v>
      </c>
      <c r="B475" s="8">
        <v>43584</v>
      </c>
      <c r="C475" s="9" t="s">
        <v>6</v>
      </c>
      <c r="D475" s="10">
        <v>1369.8789999999999</v>
      </c>
      <c r="E475" s="10">
        <v>1086.2529999999999</v>
      </c>
      <c r="F475" t="str">
        <f>VLOOKUP(A475,StoreLookup,2,FALSE)</f>
        <v>Store#1</v>
      </c>
      <c r="G475">
        <f>INDEX(CalLookUpTable,MATCH($B475,CalLookUpRow,0),MATCH(G$1,CalLookUpColumn,0))</f>
        <v>2019</v>
      </c>
      <c r="H475">
        <f>INDEX(CalLookUpTable,MATCH($B475,CalLookUpRow,0),MATCH(H$1,CalLookUpColumn,0))</f>
        <v>5</v>
      </c>
      <c r="I475">
        <f>INDEX(CalLookUpTable,MATCH($B475,CalLookUpRow,0),MATCH(I$1,CalLookUpColumn,0))</f>
        <v>1</v>
      </c>
    </row>
    <row r="476" spans="1:9" x14ac:dyDescent="0.25">
      <c r="A476" s="7">
        <v>1</v>
      </c>
      <c r="B476" s="8">
        <v>43584</v>
      </c>
      <c r="C476" s="9" t="s">
        <v>5</v>
      </c>
      <c r="D476" s="10">
        <v>3679.8299999999995</v>
      </c>
      <c r="E476" s="10">
        <v>0</v>
      </c>
      <c r="F476" t="str">
        <f>VLOOKUP(A476,StoreLookup,2,FALSE)</f>
        <v>Store#1</v>
      </c>
      <c r="G476">
        <f>INDEX(CalLookUpTable,MATCH($B476,CalLookUpRow,0),MATCH(G$1,CalLookUpColumn,0))</f>
        <v>2019</v>
      </c>
      <c r="H476">
        <f>INDEX(CalLookUpTable,MATCH($B476,CalLookUpRow,0),MATCH(H$1,CalLookUpColumn,0))</f>
        <v>5</v>
      </c>
      <c r="I476">
        <f>INDEX(CalLookUpTable,MATCH($B476,CalLookUpRow,0),MATCH(I$1,CalLookUpColumn,0))</f>
        <v>1</v>
      </c>
    </row>
    <row r="477" spans="1:9" x14ac:dyDescent="0.25">
      <c r="A477" s="7">
        <v>1</v>
      </c>
      <c r="B477" s="8">
        <v>43584</v>
      </c>
      <c r="C477" s="9" t="s">
        <v>3</v>
      </c>
      <c r="D477" s="10">
        <v>20.811</v>
      </c>
      <c r="E477" s="10">
        <v>393.46300000000002</v>
      </c>
      <c r="F477" t="str">
        <f>VLOOKUP(A477,StoreLookup,2,FALSE)</f>
        <v>Store#1</v>
      </c>
      <c r="G477">
        <f>INDEX(CalLookUpTable,MATCH($B477,CalLookUpRow,0),MATCH(G$1,CalLookUpColumn,0))</f>
        <v>2019</v>
      </c>
      <c r="H477">
        <f>INDEX(CalLookUpTable,MATCH($B477,CalLookUpRow,0),MATCH(H$1,CalLookUpColumn,0))</f>
        <v>5</v>
      </c>
      <c r="I477">
        <f>INDEX(CalLookUpTable,MATCH($B477,CalLookUpRow,0),MATCH(I$1,CalLookUpColumn,0))</f>
        <v>1</v>
      </c>
    </row>
    <row r="478" spans="1:9" x14ac:dyDescent="0.25">
      <c r="A478" s="7">
        <v>1</v>
      </c>
      <c r="B478" s="8">
        <v>43585</v>
      </c>
      <c r="C478" s="9" t="s">
        <v>4</v>
      </c>
      <c r="D478" s="10">
        <v>3422.5309999999999</v>
      </c>
      <c r="E478" s="10">
        <v>4854.0309999999999</v>
      </c>
      <c r="F478" t="str">
        <f>VLOOKUP(A478,StoreLookup,2,FALSE)</f>
        <v>Store#1</v>
      </c>
      <c r="G478">
        <f>INDEX(CalLookUpTable,MATCH($B478,CalLookUpRow,0),MATCH(G$1,CalLookUpColumn,0))</f>
        <v>2019</v>
      </c>
      <c r="H478">
        <f>INDEX(CalLookUpTable,MATCH($B478,CalLookUpRow,0),MATCH(H$1,CalLookUpColumn,0))</f>
        <v>5</v>
      </c>
      <c r="I478">
        <f>INDEX(CalLookUpTable,MATCH($B478,CalLookUpRow,0),MATCH(I$1,CalLookUpColumn,0))</f>
        <v>1</v>
      </c>
    </row>
    <row r="479" spans="1:9" x14ac:dyDescent="0.25">
      <c r="A479" s="7">
        <v>1</v>
      </c>
      <c r="B479" s="8">
        <v>43585</v>
      </c>
      <c r="C479" s="9" t="s">
        <v>5</v>
      </c>
      <c r="D479" s="10">
        <v>3430.5390000000002</v>
      </c>
      <c r="E479" s="10">
        <v>0</v>
      </c>
      <c r="F479" t="str">
        <f>VLOOKUP(A479,StoreLookup,2,FALSE)</f>
        <v>Store#1</v>
      </c>
      <c r="G479">
        <f>INDEX(CalLookUpTable,MATCH($B479,CalLookUpRow,0),MATCH(G$1,CalLookUpColumn,0))</f>
        <v>2019</v>
      </c>
      <c r="H479">
        <f>INDEX(CalLookUpTable,MATCH($B479,CalLookUpRow,0),MATCH(H$1,CalLookUpColumn,0))</f>
        <v>5</v>
      </c>
      <c r="I479">
        <f>INDEX(CalLookUpTable,MATCH($B479,CalLookUpRow,0),MATCH(I$1,CalLookUpColumn,0))</f>
        <v>1</v>
      </c>
    </row>
    <row r="480" spans="1:9" x14ac:dyDescent="0.25">
      <c r="A480" s="7">
        <v>1</v>
      </c>
      <c r="B480" s="8">
        <v>43585</v>
      </c>
      <c r="C480" s="9" t="s">
        <v>3</v>
      </c>
      <c r="D480" s="10">
        <v>0</v>
      </c>
      <c r="E480" s="10">
        <v>1171.212</v>
      </c>
      <c r="F480" t="str">
        <f>VLOOKUP(A480,StoreLookup,2,FALSE)</f>
        <v>Store#1</v>
      </c>
      <c r="G480">
        <f>INDEX(CalLookUpTable,MATCH($B480,CalLookUpRow,0),MATCH(G$1,CalLookUpColumn,0))</f>
        <v>2019</v>
      </c>
      <c r="H480">
        <f>INDEX(CalLookUpTable,MATCH($B480,CalLookUpRow,0),MATCH(H$1,CalLookUpColumn,0))</f>
        <v>5</v>
      </c>
      <c r="I480">
        <f>INDEX(CalLookUpTable,MATCH($B480,CalLookUpRow,0),MATCH(I$1,CalLookUpColumn,0))</f>
        <v>1</v>
      </c>
    </row>
    <row r="481" spans="1:9" x14ac:dyDescent="0.25">
      <c r="A481" s="7">
        <v>1</v>
      </c>
      <c r="B481" s="8">
        <v>43585</v>
      </c>
      <c r="C481" s="9" t="s">
        <v>6</v>
      </c>
      <c r="D481" s="10">
        <v>784.41999999999985</v>
      </c>
      <c r="E481" s="10">
        <v>818.77599999999995</v>
      </c>
      <c r="F481" t="str">
        <f>VLOOKUP(A481,StoreLookup,2,FALSE)</f>
        <v>Store#1</v>
      </c>
      <c r="G481">
        <f>INDEX(CalLookUpTable,MATCH($B481,CalLookUpRow,0),MATCH(G$1,CalLookUpColumn,0))</f>
        <v>2019</v>
      </c>
      <c r="H481">
        <f>INDEX(CalLookUpTable,MATCH($B481,CalLookUpRow,0),MATCH(H$1,CalLookUpColumn,0))</f>
        <v>5</v>
      </c>
      <c r="I481">
        <f>INDEX(CalLookUpTable,MATCH($B481,CalLookUpRow,0),MATCH(I$1,CalLookUpColumn,0))</f>
        <v>1</v>
      </c>
    </row>
    <row r="482" spans="1:9" x14ac:dyDescent="0.25">
      <c r="A482" s="7">
        <v>1</v>
      </c>
      <c r="B482" s="8">
        <v>43586</v>
      </c>
      <c r="C482" s="9" t="s">
        <v>6</v>
      </c>
      <c r="D482" s="10">
        <v>712.61399999999992</v>
      </c>
      <c r="E482" s="10">
        <v>1774.4229999999998</v>
      </c>
      <c r="F482" t="str">
        <f>VLOOKUP(A482,StoreLookup,2,FALSE)</f>
        <v>Store#1</v>
      </c>
      <c r="G482">
        <f>INDEX(CalLookUpTable,MATCH($B482,CalLookUpRow,0),MATCH(G$1,CalLookUpColumn,0))</f>
        <v>2019</v>
      </c>
      <c r="H482">
        <f>INDEX(CalLookUpTable,MATCH($B482,CalLookUpRow,0),MATCH(H$1,CalLookUpColumn,0))</f>
        <v>5</v>
      </c>
      <c r="I482">
        <f>INDEX(CalLookUpTable,MATCH($B482,CalLookUpRow,0),MATCH(I$1,CalLookUpColumn,0))</f>
        <v>1</v>
      </c>
    </row>
    <row r="483" spans="1:9" x14ac:dyDescent="0.25">
      <c r="A483" s="7">
        <v>1</v>
      </c>
      <c r="B483" s="8">
        <v>43586</v>
      </c>
      <c r="C483" s="9" t="s">
        <v>4</v>
      </c>
      <c r="D483" s="10">
        <v>4324.46</v>
      </c>
      <c r="E483" s="10">
        <v>5970.1809999999996</v>
      </c>
      <c r="F483" t="str">
        <f>VLOOKUP(A483,StoreLookup,2,FALSE)</f>
        <v>Store#1</v>
      </c>
      <c r="G483">
        <f>INDEX(CalLookUpTable,MATCH($B483,CalLookUpRow,0),MATCH(G$1,CalLookUpColumn,0))</f>
        <v>2019</v>
      </c>
      <c r="H483">
        <f>INDEX(CalLookUpTable,MATCH($B483,CalLookUpRow,0),MATCH(H$1,CalLookUpColumn,0))</f>
        <v>5</v>
      </c>
      <c r="I483">
        <f>INDEX(CalLookUpTable,MATCH($B483,CalLookUpRow,0),MATCH(I$1,CalLookUpColumn,0))</f>
        <v>1</v>
      </c>
    </row>
    <row r="484" spans="1:9" x14ac:dyDescent="0.25">
      <c r="A484" s="7">
        <v>1</v>
      </c>
      <c r="B484" s="8">
        <v>43586</v>
      </c>
      <c r="C484" s="9" t="s">
        <v>3</v>
      </c>
      <c r="D484" s="10">
        <v>0</v>
      </c>
      <c r="E484" s="10">
        <v>124.37599999999999</v>
      </c>
      <c r="F484" t="str">
        <f>VLOOKUP(A484,StoreLookup,2,FALSE)</f>
        <v>Store#1</v>
      </c>
      <c r="G484">
        <f>INDEX(CalLookUpTable,MATCH($B484,CalLookUpRow,0),MATCH(G$1,CalLookUpColumn,0))</f>
        <v>2019</v>
      </c>
      <c r="H484">
        <f>INDEX(CalLookUpTable,MATCH($B484,CalLookUpRow,0),MATCH(H$1,CalLookUpColumn,0))</f>
        <v>5</v>
      </c>
      <c r="I484">
        <f>INDEX(CalLookUpTable,MATCH($B484,CalLookUpRow,0),MATCH(I$1,CalLookUpColumn,0))</f>
        <v>1</v>
      </c>
    </row>
    <row r="485" spans="1:9" x14ac:dyDescent="0.25">
      <c r="A485" s="7">
        <v>1</v>
      </c>
      <c r="B485" s="8">
        <v>43586</v>
      </c>
      <c r="C485" s="9" t="s">
        <v>5</v>
      </c>
      <c r="D485" s="10">
        <v>3244.6819999999998</v>
      </c>
      <c r="E485" s="10">
        <v>0</v>
      </c>
      <c r="F485" t="str">
        <f>VLOOKUP(A485,StoreLookup,2,FALSE)</f>
        <v>Store#1</v>
      </c>
      <c r="G485">
        <f>INDEX(CalLookUpTable,MATCH($B485,CalLookUpRow,0),MATCH(G$1,CalLookUpColumn,0))</f>
        <v>2019</v>
      </c>
      <c r="H485">
        <f>INDEX(CalLookUpTable,MATCH($B485,CalLookUpRow,0),MATCH(H$1,CalLookUpColumn,0))</f>
        <v>5</v>
      </c>
      <c r="I485">
        <f>INDEX(CalLookUpTable,MATCH($B485,CalLookUpRow,0),MATCH(I$1,CalLookUpColumn,0))</f>
        <v>1</v>
      </c>
    </row>
    <row r="486" spans="1:9" x14ac:dyDescent="0.25">
      <c r="A486" s="7">
        <v>1</v>
      </c>
      <c r="B486" s="8">
        <v>43587</v>
      </c>
      <c r="C486" s="9" t="s">
        <v>6</v>
      </c>
      <c r="D486" s="10">
        <v>1244.915</v>
      </c>
      <c r="E486" s="10">
        <v>1169.4199999999998</v>
      </c>
      <c r="F486" t="str">
        <f>VLOOKUP(A486,StoreLookup,2,FALSE)</f>
        <v>Store#1</v>
      </c>
      <c r="G486">
        <f>INDEX(CalLookUpTable,MATCH($B486,CalLookUpRow,0),MATCH(G$1,CalLookUpColumn,0))</f>
        <v>2019</v>
      </c>
      <c r="H486">
        <f>INDEX(CalLookUpTable,MATCH($B486,CalLookUpRow,0),MATCH(H$1,CalLookUpColumn,0))</f>
        <v>5</v>
      </c>
      <c r="I486">
        <f>INDEX(CalLookUpTable,MATCH($B486,CalLookUpRow,0),MATCH(I$1,CalLookUpColumn,0))</f>
        <v>1</v>
      </c>
    </row>
    <row r="487" spans="1:9" x14ac:dyDescent="0.25">
      <c r="A487" s="7">
        <v>1</v>
      </c>
      <c r="B487" s="8">
        <v>43587</v>
      </c>
      <c r="C487" s="9" t="s">
        <v>5</v>
      </c>
      <c r="D487" s="10">
        <v>3353.3149999999996</v>
      </c>
      <c r="E487" s="10">
        <v>0</v>
      </c>
      <c r="F487" t="str">
        <f>VLOOKUP(A487,StoreLookup,2,FALSE)</f>
        <v>Store#1</v>
      </c>
      <c r="G487">
        <f>INDEX(CalLookUpTable,MATCH($B487,CalLookUpRow,0),MATCH(G$1,CalLookUpColumn,0))</f>
        <v>2019</v>
      </c>
      <c r="H487">
        <f>INDEX(CalLookUpTable,MATCH($B487,CalLookUpRow,0),MATCH(H$1,CalLookUpColumn,0))</f>
        <v>5</v>
      </c>
      <c r="I487">
        <f>INDEX(CalLookUpTable,MATCH($B487,CalLookUpRow,0),MATCH(I$1,CalLookUpColumn,0))</f>
        <v>1</v>
      </c>
    </row>
    <row r="488" spans="1:9" x14ac:dyDescent="0.25">
      <c r="A488" s="7">
        <v>1</v>
      </c>
      <c r="B488" s="8">
        <v>43587</v>
      </c>
      <c r="C488" s="9" t="s">
        <v>4</v>
      </c>
      <c r="D488" s="10">
        <v>4954.4669999999996</v>
      </c>
      <c r="E488" s="10">
        <v>6005.7830000000004</v>
      </c>
      <c r="F488" t="str">
        <f>VLOOKUP(A488,StoreLookup,2,FALSE)</f>
        <v>Store#1</v>
      </c>
      <c r="G488">
        <f>INDEX(CalLookUpTable,MATCH($B488,CalLookUpRow,0),MATCH(G$1,CalLookUpColumn,0))</f>
        <v>2019</v>
      </c>
      <c r="H488">
        <f>INDEX(CalLookUpTable,MATCH($B488,CalLookUpRow,0),MATCH(H$1,CalLookUpColumn,0))</f>
        <v>5</v>
      </c>
      <c r="I488">
        <f>INDEX(CalLookUpTable,MATCH($B488,CalLookUpRow,0),MATCH(I$1,CalLookUpColumn,0))</f>
        <v>1</v>
      </c>
    </row>
    <row r="489" spans="1:9" x14ac:dyDescent="0.25">
      <c r="A489" s="7">
        <v>1</v>
      </c>
      <c r="B489" s="8">
        <v>43587</v>
      </c>
      <c r="C489" s="9" t="s">
        <v>3</v>
      </c>
      <c r="D489" s="10">
        <v>384.65</v>
      </c>
      <c r="E489" s="10">
        <v>252.52499999999998</v>
      </c>
      <c r="F489" t="str">
        <f>VLOOKUP(A489,StoreLookup,2,FALSE)</f>
        <v>Store#1</v>
      </c>
      <c r="G489">
        <f>INDEX(CalLookUpTable,MATCH($B489,CalLookUpRow,0),MATCH(G$1,CalLookUpColumn,0))</f>
        <v>2019</v>
      </c>
      <c r="H489">
        <f>INDEX(CalLookUpTable,MATCH($B489,CalLookUpRow,0),MATCH(H$1,CalLookUpColumn,0))</f>
        <v>5</v>
      </c>
      <c r="I489">
        <f>INDEX(CalLookUpTable,MATCH($B489,CalLookUpRow,0),MATCH(I$1,CalLookUpColumn,0))</f>
        <v>1</v>
      </c>
    </row>
    <row r="490" spans="1:9" x14ac:dyDescent="0.25">
      <c r="A490" s="7">
        <v>1</v>
      </c>
      <c r="B490" s="8">
        <v>43588</v>
      </c>
      <c r="C490" s="9" t="s">
        <v>3</v>
      </c>
      <c r="D490" s="10">
        <v>207.96299999999997</v>
      </c>
      <c r="E490" s="10">
        <v>50.616999999999997</v>
      </c>
      <c r="F490" t="str">
        <f>VLOOKUP(A490,StoreLookup,2,FALSE)</f>
        <v>Store#1</v>
      </c>
      <c r="G490">
        <f>INDEX(CalLookUpTable,MATCH($B490,CalLookUpRow,0),MATCH(G$1,CalLookUpColumn,0))</f>
        <v>2019</v>
      </c>
      <c r="H490">
        <f>INDEX(CalLookUpTable,MATCH($B490,CalLookUpRow,0),MATCH(H$1,CalLookUpColumn,0))</f>
        <v>5</v>
      </c>
      <c r="I490">
        <f>INDEX(CalLookUpTable,MATCH($B490,CalLookUpRow,0),MATCH(I$1,CalLookUpColumn,0))</f>
        <v>1</v>
      </c>
    </row>
    <row r="491" spans="1:9" x14ac:dyDescent="0.25">
      <c r="A491" s="7">
        <v>1</v>
      </c>
      <c r="B491" s="8">
        <v>43588</v>
      </c>
      <c r="C491" s="9" t="s">
        <v>5</v>
      </c>
      <c r="D491" s="10">
        <v>4076.7369999999996</v>
      </c>
      <c r="E491" s="10">
        <v>0</v>
      </c>
      <c r="F491" t="str">
        <f>VLOOKUP(A491,StoreLookup,2,FALSE)</f>
        <v>Store#1</v>
      </c>
      <c r="G491">
        <f>INDEX(CalLookUpTable,MATCH($B491,CalLookUpRow,0),MATCH(G$1,CalLookUpColumn,0))</f>
        <v>2019</v>
      </c>
      <c r="H491">
        <f>INDEX(CalLookUpTable,MATCH($B491,CalLookUpRow,0),MATCH(H$1,CalLookUpColumn,0))</f>
        <v>5</v>
      </c>
      <c r="I491">
        <f>INDEX(CalLookUpTable,MATCH($B491,CalLookUpRow,0),MATCH(I$1,CalLookUpColumn,0))</f>
        <v>1</v>
      </c>
    </row>
    <row r="492" spans="1:9" x14ac:dyDescent="0.25">
      <c r="A492" s="7">
        <v>1</v>
      </c>
      <c r="B492" s="8">
        <v>43588</v>
      </c>
      <c r="C492" s="9" t="s">
        <v>4</v>
      </c>
      <c r="D492" s="10">
        <v>5530.7629999999999</v>
      </c>
      <c r="E492" s="10">
        <v>7633.7869999999994</v>
      </c>
      <c r="F492" t="str">
        <f>VLOOKUP(A492,StoreLookup,2,FALSE)</f>
        <v>Store#1</v>
      </c>
      <c r="G492">
        <f>INDEX(CalLookUpTable,MATCH($B492,CalLookUpRow,0),MATCH(G$1,CalLookUpColumn,0))</f>
        <v>2019</v>
      </c>
      <c r="H492">
        <f>INDEX(CalLookUpTable,MATCH($B492,CalLookUpRow,0),MATCH(H$1,CalLookUpColumn,0))</f>
        <v>5</v>
      </c>
      <c r="I492">
        <f>INDEX(CalLookUpTable,MATCH($B492,CalLookUpRow,0),MATCH(I$1,CalLookUpColumn,0))</f>
        <v>1</v>
      </c>
    </row>
    <row r="493" spans="1:9" x14ac:dyDescent="0.25">
      <c r="A493" s="7">
        <v>1</v>
      </c>
      <c r="B493" s="8">
        <v>43588</v>
      </c>
      <c r="C493" s="9" t="s">
        <v>6</v>
      </c>
      <c r="D493" s="10">
        <v>1053.1779999999999</v>
      </c>
      <c r="E493" s="10">
        <v>2986.9839999999999</v>
      </c>
      <c r="F493" t="str">
        <f>VLOOKUP(A493,StoreLookup,2,FALSE)</f>
        <v>Store#1</v>
      </c>
      <c r="G493">
        <f>INDEX(CalLookUpTable,MATCH($B493,CalLookUpRow,0),MATCH(G$1,CalLookUpColumn,0))</f>
        <v>2019</v>
      </c>
      <c r="H493">
        <f>INDEX(CalLookUpTable,MATCH($B493,CalLookUpRow,0),MATCH(H$1,CalLookUpColumn,0))</f>
        <v>5</v>
      </c>
      <c r="I493">
        <f>INDEX(CalLookUpTable,MATCH($B493,CalLookUpRow,0),MATCH(I$1,CalLookUpColumn,0))</f>
        <v>1</v>
      </c>
    </row>
    <row r="494" spans="1:9" x14ac:dyDescent="0.25">
      <c r="A494" s="7">
        <v>1</v>
      </c>
      <c r="B494" s="8">
        <v>43589</v>
      </c>
      <c r="C494" s="9" t="s">
        <v>6</v>
      </c>
      <c r="D494" s="10">
        <v>754.29199999999992</v>
      </c>
      <c r="E494" s="10">
        <v>2247.203</v>
      </c>
      <c r="F494" t="str">
        <f>VLOOKUP(A494,StoreLookup,2,FALSE)</f>
        <v>Store#1</v>
      </c>
      <c r="G494">
        <f>INDEX(CalLookUpTable,MATCH($B494,CalLookUpRow,0),MATCH(G$1,CalLookUpColumn,0))</f>
        <v>2019</v>
      </c>
      <c r="H494">
        <f>INDEX(CalLookUpTable,MATCH($B494,CalLookUpRow,0),MATCH(H$1,CalLookUpColumn,0))</f>
        <v>5</v>
      </c>
      <c r="I494">
        <f>INDEX(CalLookUpTable,MATCH($B494,CalLookUpRow,0),MATCH(I$1,CalLookUpColumn,0))</f>
        <v>1</v>
      </c>
    </row>
    <row r="495" spans="1:9" x14ac:dyDescent="0.25">
      <c r="A495" s="7">
        <v>1</v>
      </c>
      <c r="B495" s="8">
        <v>43589</v>
      </c>
      <c r="C495" s="9" t="s">
        <v>5</v>
      </c>
      <c r="D495" s="10">
        <v>4081.8119999999994</v>
      </c>
      <c r="E495" s="10">
        <v>0</v>
      </c>
      <c r="F495" t="str">
        <f>VLOOKUP(A495,StoreLookup,2,FALSE)</f>
        <v>Store#1</v>
      </c>
      <c r="G495">
        <f>INDEX(CalLookUpTable,MATCH($B495,CalLookUpRow,0),MATCH(G$1,CalLookUpColumn,0))</f>
        <v>2019</v>
      </c>
      <c r="H495">
        <f>INDEX(CalLookUpTable,MATCH($B495,CalLookUpRow,0),MATCH(H$1,CalLookUpColumn,0))</f>
        <v>5</v>
      </c>
      <c r="I495">
        <f>INDEX(CalLookUpTable,MATCH($B495,CalLookUpRow,0),MATCH(I$1,CalLookUpColumn,0))</f>
        <v>1</v>
      </c>
    </row>
    <row r="496" spans="1:9" x14ac:dyDescent="0.25">
      <c r="A496" s="7">
        <v>1</v>
      </c>
      <c r="B496" s="8">
        <v>43589</v>
      </c>
      <c r="C496" s="9" t="s">
        <v>4</v>
      </c>
      <c r="D496" s="10">
        <v>4423.0199999999995</v>
      </c>
      <c r="E496" s="10">
        <v>6290.0809999999992</v>
      </c>
      <c r="F496" t="str">
        <f>VLOOKUP(A496,StoreLookup,2,FALSE)</f>
        <v>Store#1</v>
      </c>
      <c r="G496">
        <f>INDEX(CalLookUpTable,MATCH($B496,CalLookUpRow,0),MATCH(G$1,CalLookUpColumn,0))</f>
        <v>2019</v>
      </c>
      <c r="H496">
        <f>INDEX(CalLookUpTable,MATCH($B496,CalLookUpRow,0),MATCH(H$1,CalLookUpColumn,0))</f>
        <v>5</v>
      </c>
      <c r="I496">
        <f>INDEX(CalLookUpTable,MATCH($B496,CalLookUpRow,0),MATCH(I$1,CalLookUpColumn,0))</f>
        <v>1</v>
      </c>
    </row>
    <row r="497" spans="1:9" x14ac:dyDescent="0.25">
      <c r="A497" s="7">
        <v>1</v>
      </c>
      <c r="B497" s="8">
        <v>43589</v>
      </c>
      <c r="C497" s="9" t="s">
        <v>3</v>
      </c>
      <c r="D497" s="10">
        <v>438.697</v>
      </c>
      <c r="E497" s="10">
        <v>1106.7629999999999</v>
      </c>
      <c r="F497" t="str">
        <f>VLOOKUP(A497,StoreLookup,2,FALSE)</f>
        <v>Store#1</v>
      </c>
      <c r="G497">
        <f>INDEX(CalLookUpTable,MATCH($B497,CalLookUpRow,0),MATCH(G$1,CalLookUpColumn,0))</f>
        <v>2019</v>
      </c>
      <c r="H497">
        <f>INDEX(CalLookUpTable,MATCH($B497,CalLookUpRow,0),MATCH(H$1,CalLookUpColumn,0))</f>
        <v>5</v>
      </c>
      <c r="I497">
        <f>INDEX(CalLookUpTable,MATCH($B497,CalLookUpRow,0),MATCH(I$1,CalLookUpColumn,0))</f>
        <v>1</v>
      </c>
    </row>
    <row r="498" spans="1:9" x14ac:dyDescent="0.25">
      <c r="A498" s="7">
        <v>1</v>
      </c>
      <c r="B498" s="8">
        <v>43590</v>
      </c>
      <c r="C498" s="9" t="s">
        <v>3</v>
      </c>
      <c r="D498" s="10">
        <v>261.709</v>
      </c>
      <c r="E498" s="10">
        <v>0</v>
      </c>
      <c r="F498" t="str">
        <f>VLOOKUP(A498,StoreLookup,2,FALSE)</f>
        <v>Store#1</v>
      </c>
      <c r="G498">
        <f>INDEX(CalLookUpTable,MATCH($B498,CalLookUpRow,0),MATCH(G$1,CalLookUpColumn,0))</f>
        <v>2019</v>
      </c>
      <c r="H498">
        <f>INDEX(CalLookUpTable,MATCH($B498,CalLookUpRow,0),MATCH(H$1,CalLookUpColumn,0))</f>
        <v>5</v>
      </c>
      <c r="I498">
        <f>INDEX(CalLookUpTable,MATCH($B498,CalLookUpRow,0),MATCH(I$1,CalLookUpColumn,0))</f>
        <v>1</v>
      </c>
    </row>
    <row r="499" spans="1:9" x14ac:dyDescent="0.25">
      <c r="A499" s="7">
        <v>1</v>
      </c>
      <c r="B499" s="8">
        <v>43590</v>
      </c>
      <c r="C499" s="9" t="s">
        <v>6</v>
      </c>
      <c r="D499" s="10">
        <v>297.64</v>
      </c>
      <c r="E499" s="10">
        <v>445.85099999999994</v>
      </c>
      <c r="F499" t="str">
        <f>VLOOKUP(A499,StoreLookup,2,FALSE)</f>
        <v>Store#1</v>
      </c>
      <c r="G499">
        <f>INDEX(CalLookUpTable,MATCH($B499,CalLookUpRow,0),MATCH(G$1,CalLookUpColumn,0))</f>
        <v>2019</v>
      </c>
      <c r="H499">
        <f>INDEX(CalLookUpTable,MATCH($B499,CalLookUpRow,0),MATCH(H$1,CalLookUpColumn,0))</f>
        <v>5</v>
      </c>
      <c r="I499">
        <f>INDEX(CalLookUpTable,MATCH($B499,CalLookUpRow,0),MATCH(I$1,CalLookUpColumn,0))</f>
        <v>1</v>
      </c>
    </row>
    <row r="500" spans="1:9" x14ac:dyDescent="0.25">
      <c r="A500" s="7">
        <v>1</v>
      </c>
      <c r="B500" s="8">
        <v>43590</v>
      </c>
      <c r="C500" s="9" t="s">
        <v>5</v>
      </c>
      <c r="D500" s="10">
        <v>1696.366</v>
      </c>
      <c r="E500" s="10">
        <v>0</v>
      </c>
      <c r="F500" t="str">
        <f>VLOOKUP(A500,StoreLookup,2,FALSE)</f>
        <v>Store#1</v>
      </c>
      <c r="G500">
        <f>INDEX(CalLookUpTable,MATCH($B500,CalLookUpRow,0),MATCH(G$1,CalLookUpColumn,0))</f>
        <v>2019</v>
      </c>
      <c r="H500">
        <f>INDEX(CalLookUpTable,MATCH($B500,CalLookUpRow,0),MATCH(H$1,CalLookUpColumn,0))</f>
        <v>5</v>
      </c>
      <c r="I500">
        <f>INDEX(CalLookUpTable,MATCH($B500,CalLookUpRow,0),MATCH(I$1,CalLookUpColumn,0))</f>
        <v>1</v>
      </c>
    </row>
    <row r="501" spans="1:9" x14ac:dyDescent="0.25">
      <c r="A501" s="7">
        <v>1</v>
      </c>
      <c r="B501" s="8">
        <v>43590</v>
      </c>
      <c r="C501" s="9" t="s">
        <v>4</v>
      </c>
      <c r="D501" s="10">
        <v>2142.875</v>
      </c>
      <c r="E501" s="10">
        <v>2568.3629999999998</v>
      </c>
      <c r="F501" t="str">
        <f>VLOOKUP(A501,StoreLookup,2,FALSE)</f>
        <v>Store#1</v>
      </c>
      <c r="G501">
        <f>INDEX(CalLookUpTable,MATCH($B501,CalLookUpRow,0),MATCH(G$1,CalLookUpColumn,0))</f>
        <v>2019</v>
      </c>
      <c r="H501">
        <f>INDEX(CalLookUpTable,MATCH($B501,CalLookUpRow,0),MATCH(H$1,CalLookUpColumn,0))</f>
        <v>5</v>
      </c>
      <c r="I501">
        <f>INDEX(CalLookUpTable,MATCH($B501,CalLookUpRow,0),MATCH(I$1,CalLookUpColumn,0))</f>
        <v>1</v>
      </c>
    </row>
    <row r="502" spans="1:9" x14ac:dyDescent="0.25">
      <c r="A502" s="7">
        <v>1</v>
      </c>
      <c r="B502" s="8">
        <v>43591</v>
      </c>
      <c r="C502" s="9" t="s">
        <v>4</v>
      </c>
      <c r="D502" s="10">
        <v>2733.2269999999999</v>
      </c>
      <c r="E502" s="10">
        <v>3314.0170000000003</v>
      </c>
      <c r="F502" t="str">
        <f>VLOOKUP(A502,StoreLookup,2,FALSE)</f>
        <v>Store#1</v>
      </c>
      <c r="G502">
        <f>INDEX(CalLookUpTable,MATCH($B502,CalLookUpRow,0),MATCH(G$1,CalLookUpColumn,0))</f>
        <v>2019</v>
      </c>
      <c r="H502">
        <f>INDEX(CalLookUpTable,MATCH($B502,CalLookUpRow,0),MATCH(H$1,CalLookUpColumn,0))</f>
        <v>5</v>
      </c>
      <c r="I502">
        <f>INDEX(CalLookUpTable,MATCH($B502,CalLookUpRow,0),MATCH(I$1,CalLookUpColumn,0))</f>
        <v>2</v>
      </c>
    </row>
    <row r="503" spans="1:9" x14ac:dyDescent="0.25">
      <c r="A503" s="7">
        <v>1</v>
      </c>
      <c r="B503" s="8">
        <v>43591</v>
      </c>
      <c r="C503" s="9" t="s">
        <v>3</v>
      </c>
      <c r="D503" s="10">
        <v>0</v>
      </c>
      <c r="E503" s="10">
        <v>151.14399999999998</v>
      </c>
      <c r="F503" t="str">
        <f>VLOOKUP(A503,StoreLookup,2,FALSE)</f>
        <v>Store#1</v>
      </c>
      <c r="G503">
        <f>INDEX(CalLookUpTable,MATCH($B503,CalLookUpRow,0),MATCH(G$1,CalLookUpColumn,0))</f>
        <v>2019</v>
      </c>
      <c r="H503">
        <f>INDEX(CalLookUpTable,MATCH($B503,CalLookUpRow,0),MATCH(H$1,CalLookUpColumn,0))</f>
        <v>5</v>
      </c>
      <c r="I503">
        <f>INDEX(CalLookUpTable,MATCH($B503,CalLookUpRow,0),MATCH(I$1,CalLookUpColumn,0))</f>
        <v>2</v>
      </c>
    </row>
    <row r="504" spans="1:9" x14ac:dyDescent="0.25">
      <c r="A504" s="7">
        <v>1</v>
      </c>
      <c r="B504" s="8">
        <v>43591</v>
      </c>
      <c r="C504" s="9" t="s">
        <v>6</v>
      </c>
      <c r="D504" s="10">
        <v>418.20800000000003</v>
      </c>
      <c r="E504" s="10">
        <v>1054.8019999999999</v>
      </c>
      <c r="F504" t="str">
        <f>VLOOKUP(A504,StoreLookup,2,FALSE)</f>
        <v>Store#1</v>
      </c>
      <c r="G504">
        <f>INDEX(CalLookUpTable,MATCH($B504,CalLookUpRow,0),MATCH(G$1,CalLookUpColumn,0))</f>
        <v>2019</v>
      </c>
      <c r="H504">
        <f>INDEX(CalLookUpTable,MATCH($B504,CalLookUpRow,0),MATCH(H$1,CalLookUpColumn,0))</f>
        <v>5</v>
      </c>
      <c r="I504">
        <f>INDEX(CalLookUpTable,MATCH($B504,CalLookUpRow,0),MATCH(I$1,CalLookUpColumn,0))</f>
        <v>2</v>
      </c>
    </row>
    <row r="505" spans="1:9" x14ac:dyDescent="0.25">
      <c r="A505" s="7">
        <v>1</v>
      </c>
      <c r="B505" s="8">
        <v>43591</v>
      </c>
      <c r="C505" s="9" t="s">
        <v>5</v>
      </c>
      <c r="D505" s="10">
        <v>2560.6839999999997</v>
      </c>
      <c r="E505" s="10">
        <v>0</v>
      </c>
      <c r="F505" t="str">
        <f>VLOOKUP(A505,StoreLookup,2,FALSE)</f>
        <v>Store#1</v>
      </c>
      <c r="G505">
        <f>INDEX(CalLookUpTable,MATCH($B505,CalLookUpRow,0),MATCH(G$1,CalLookUpColumn,0))</f>
        <v>2019</v>
      </c>
      <c r="H505">
        <f>INDEX(CalLookUpTable,MATCH($B505,CalLookUpRow,0),MATCH(H$1,CalLookUpColumn,0))</f>
        <v>5</v>
      </c>
      <c r="I505">
        <f>INDEX(CalLookUpTable,MATCH($B505,CalLookUpRow,0),MATCH(I$1,CalLookUpColumn,0))</f>
        <v>2</v>
      </c>
    </row>
    <row r="506" spans="1:9" x14ac:dyDescent="0.25">
      <c r="A506" s="7">
        <v>1</v>
      </c>
      <c r="B506" s="8">
        <v>43592</v>
      </c>
      <c r="C506" s="9" t="s">
        <v>6</v>
      </c>
      <c r="D506" s="10">
        <v>804.77599999999995</v>
      </c>
      <c r="E506" s="10">
        <v>993.68499999999995</v>
      </c>
      <c r="F506" t="str">
        <f>VLOOKUP(A506,StoreLookup,2,FALSE)</f>
        <v>Store#1</v>
      </c>
      <c r="G506">
        <f>INDEX(CalLookUpTable,MATCH($B506,CalLookUpRow,0),MATCH(G$1,CalLookUpColumn,0))</f>
        <v>2019</v>
      </c>
      <c r="H506">
        <f>INDEX(CalLookUpTable,MATCH($B506,CalLookUpRow,0),MATCH(H$1,CalLookUpColumn,0))</f>
        <v>5</v>
      </c>
      <c r="I506">
        <f>INDEX(CalLookUpTable,MATCH($B506,CalLookUpRow,0),MATCH(I$1,CalLookUpColumn,0))</f>
        <v>2</v>
      </c>
    </row>
    <row r="507" spans="1:9" x14ac:dyDescent="0.25">
      <c r="A507" s="7">
        <v>1</v>
      </c>
      <c r="B507" s="8">
        <v>43592</v>
      </c>
      <c r="C507" s="9" t="s">
        <v>3</v>
      </c>
      <c r="D507" s="10">
        <v>239.17599999999999</v>
      </c>
      <c r="E507" s="10">
        <v>800.81399999999996</v>
      </c>
      <c r="F507" t="str">
        <f>VLOOKUP(A507,StoreLookup,2,FALSE)</f>
        <v>Store#1</v>
      </c>
      <c r="G507">
        <f>INDEX(CalLookUpTable,MATCH($B507,CalLookUpRow,0),MATCH(G$1,CalLookUpColumn,0))</f>
        <v>2019</v>
      </c>
      <c r="H507">
        <f>INDEX(CalLookUpTable,MATCH($B507,CalLookUpRow,0),MATCH(H$1,CalLookUpColumn,0))</f>
        <v>5</v>
      </c>
      <c r="I507">
        <f>INDEX(CalLookUpTable,MATCH($B507,CalLookUpRow,0),MATCH(I$1,CalLookUpColumn,0))</f>
        <v>2</v>
      </c>
    </row>
    <row r="508" spans="1:9" x14ac:dyDescent="0.25">
      <c r="A508" s="7">
        <v>1</v>
      </c>
      <c r="B508" s="8">
        <v>43592</v>
      </c>
      <c r="C508" s="9" t="s">
        <v>5</v>
      </c>
      <c r="D508" s="10">
        <v>2633.6029999999996</v>
      </c>
      <c r="E508" s="10">
        <v>0</v>
      </c>
      <c r="F508" t="str">
        <f>VLOOKUP(A508,StoreLookup,2,FALSE)</f>
        <v>Store#1</v>
      </c>
      <c r="G508">
        <f>INDEX(CalLookUpTable,MATCH($B508,CalLookUpRow,0),MATCH(G$1,CalLookUpColumn,0))</f>
        <v>2019</v>
      </c>
      <c r="H508">
        <f>INDEX(CalLookUpTable,MATCH($B508,CalLookUpRow,0),MATCH(H$1,CalLookUpColumn,0))</f>
        <v>5</v>
      </c>
      <c r="I508">
        <f>INDEX(CalLookUpTable,MATCH($B508,CalLookUpRow,0),MATCH(I$1,CalLookUpColumn,0))</f>
        <v>2</v>
      </c>
    </row>
    <row r="509" spans="1:9" x14ac:dyDescent="0.25">
      <c r="A509" s="7">
        <v>1</v>
      </c>
      <c r="B509" s="8">
        <v>43592</v>
      </c>
      <c r="C509" s="9" t="s">
        <v>4</v>
      </c>
      <c r="D509" s="10">
        <v>2921.24</v>
      </c>
      <c r="E509" s="10">
        <v>4135.6209999999992</v>
      </c>
      <c r="F509" t="str">
        <f>VLOOKUP(A509,StoreLookup,2,FALSE)</f>
        <v>Store#1</v>
      </c>
      <c r="G509">
        <f>INDEX(CalLookUpTable,MATCH($B509,CalLookUpRow,0),MATCH(G$1,CalLookUpColumn,0))</f>
        <v>2019</v>
      </c>
      <c r="H509">
        <f>INDEX(CalLookUpTable,MATCH($B509,CalLookUpRow,0),MATCH(H$1,CalLookUpColumn,0))</f>
        <v>5</v>
      </c>
      <c r="I509">
        <f>INDEX(CalLookUpTable,MATCH($B509,CalLookUpRow,0),MATCH(I$1,CalLookUpColumn,0))</f>
        <v>2</v>
      </c>
    </row>
    <row r="510" spans="1:9" x14ac:dyDescent="0.25">
      <c r="A510" s="7">
        <v>1</v>
      </c>
      <c r="B510" s="8">
        <v>43593</v>
      </c>
      <c r="C510" s="9" t="s">
        <v>5</v>
      </c>
      <c r="D510" s="10">
        <v>2661.8269999999998</v>
      </c>
      <c r="E510" s="10">
        <v>0</v>
      </c>
      <c r="F510" t="str">
        <f>VLOOKUP(A510,StoreLookup,2,FALSE)</f>
        <v>Store#1</v>
      </c>
      <c r="G510">
        <f>INDEX(CalLookUpTable,MATCH($B510,CalLookUpRow,0),MATCH(G$1,CalLookUpColumn,0))</f>
        <v>2019</v>
      </c>
      <c r="H510">
        <f>INDEX(CalLookUpTable,MATCH($B510,CalLookUpRow,0),MATCH(H$1,CalLookUpColumn,0))</f>
        <v>5</v>
      </c>
      <c r="I510">
        <f>INDEX(CalLookUpTable,MATCH($B510,CalLookUpRow,0),MATCH(I$1,CalLookUpColumn,0))</f>
        <v>2</v>
      </c>
    </row>
    <row r="511" spans="1:9" x14ac:dyDescent="0.25">
      <c r="A511" s="7">
        <v>1</v>
      </c>
      <c r="B511" s="8">
        <v>43593</v>
      </c>
      <c r="C511" s="9" t="s">
        <v>6</v>
      </c>
      <c r="D511" s="10">
        <v>909.80399999999997</v>
      </c>
      <c r="E511" s="10">
        <v>1008.1679999999999</v>
      </c>
      <c r="F511" t="str">
        <f>VLOOKUP(A511,StoreLookup,2,FALSE)</f>
        <v>Store#1</v>
      </c>
      <c r="G511">
        <f>INDEX(CalLookUpTable,MATCH($B511,CalLookUpRow,0),MATCH(G$1,CalLookUpColumn,0))</f>
        <v>2019</v>
      </c>
      <c r="H511">
        <f>INDEX(CalLookUpTable,MATCH($B511,CalLookUpRow,0),MATCH(H$1,CalLookUpColumn,0))</f>
        <v>5</v>
      </c>
      <c r="I511">
        <f>INDEX(CalLookUpTable,MATCH($B511,CalLookUpRow,0),MATCH(I$1,CalLookUpColumn,0))</f>
        <v>2</v>
      </c>
    </row>
    <row r="512" spans="1:9" x14ac:dyDescent="0.25">
      <c r="A512" s="7">
        <v>1</v>
      </c>
      <c r="B512" s="8">
        <v>43593</v>
      </c>
      <c r="C512" s="9" t="s">
        <v>3</v>
      </c>
      <c r="D512" s="10">
        <v>23.085999999999995</v>
      </c>
      <c r="E512" s="10">
        <v>1401.2949999999998</v>
      </c>
      <c r="F512" t="str">
        <f>VLOOKUP(A512,StoreLookup,2,FALSE)</f>
        <v>Store#1</v>
      </c>
      <c r="G512">
        <f>INDEX(CalLookUpTable,MATCH($B512,CalLookUpRow,0),MATCH(G$1,CalLookUpColumn,0))</f>
        <v>2019</v>
      </c>
      <c r="H512">
        <f>INDEX(CalLookUpTable,MATCH($B512,CalLookUpRow,0),MATCH(H$1,CalLookUpColumn,0))</f>
        <v>5</v>
      </c>
      <c r="I512">
        <f>INDEX(CalLookUpTable,MATCH($B512,CalLookUpRow,0),MATCH(I$1,CalLookUpColumn,0))</f>
        <v>2</v>
      </c>
    </row>
    <row r="513" spans="1:9" x14ac:dyDescent="0.25">
      <c r="A513" s="7">
        <v>1</v>
      </c>
      <c r="B513" s="8">
        <v>43593</v>
      </c>
      <c r="C513" s="9" t="s">
        <v>4</v>
      </c>
      <c r="D513" s="10">
        <v>3764.1099999999997</v>
      </c>
      <c r="E513" s="10">
        <v>3880.1979999999999</v>
      </c>
      <c r="F513" t="str">
        <f>VLOOKUP(A513,StoreLookup,2,FALSE)</f>
        <v>Store#1</v>
      </c>
      <c r="G513">
        <f>INDEX(CalLookUpTable,MATCH($B513,CalLookUpRow,0),MATCH(G$1,CalLookUpColumn,0))</f>
        <v>2019</v>
      </c>
      <c r="H513">
        <f>INDEX(CalLookUpTable,MATCH($B513,CalLookUpRow,0),MATCH(H$1,CalLookUpColumn,0))</f>
        <v>5</v>
      </c>
      <c r="I513">
        <f>INDEX(CalLookUpTable,MATCH($B513,CalLookUpRow,0),MATCH(I$1,CalLookUpColumn,0))</f>
        <v>2</v>
      </c>
    </row>
    <row r="514" spans="1:9" x14ac:dyDescent="0.25">
      <c r="A514" s="7">
        <v>1</v>
      </c>
      <c r="B514" s="8">
        <v>43594</v>
      </c>
      <c r="C514" s="9" t="s">
        <v>4</v>
      </c>
      <c r="D514" s="10">
        <v>3837.645</v>
      </c>
      <c r="E514" s="10">
        <v>5207.8459999999995</v>
      </c>
      <c r="F514" t="str">
        <f>VLOOKUP(A514,StoreLookup,2,FALSE)</f>
        <v>Store#1</v>
      </c>
      <c r="G514">
        <f>INDEX(CalLookUpTable,MATCH($B514,CalLookUpRow,0),MATCH(G$1,CalLookUpColumn,0))</f>
        <v>2019</v>
      </c>
      <c r="H514">
        <f>INDEX(CalLookUpTable,MATCH($B514,CalLookUpRow,0),MATCH(H$1,CalLookUpColumn,0))</f>
        <v>5</v>
      </c>
      <c r="I514">
        <f>INDEX(CalLookUpTable,MATCH($B514,CalLookUpRow,0),MATCH(I$1,CalLookUpColumn,0))</f>
        <v>2</v>
      </c>
    </row>
    <row r="515" spans="1:9" x14ac:dyDescent="0.25">
      <c r="A515" s="7">
        <v>1</v>
      </c>
      <c r="B515" s="8">
        <v>43594</v>
      </c>
      <c r="C515" s="9" t="s">
        <v>3</v>
      </c>
      <c r="D515" s="10">
        <v>321.01299999999998</v>
      </c>
      <c r="E515" s="10">
        <v>1041.6209999999999</v>
      </c>
      <c r="F515" t="str">
        <f>VLOOKUP(A515,StoreLookup,2,FALSE)</f>
        <v>Store#1</v>
      </c>
      <c r="G515">
        <f>INDEX(CalLookUpTable,MATCH($B515,CalLookUpRow,0),MATCH(G$1,CalLookUpColumn,0))</f>
        <v>2019</v>
      </c>
      <c r="H515">
        <f>INDEX(CalLookUpTable,MATCH($B515,CalLookUpRow,0),MATCH(H$1,CalLookUpColumn,0))</f>
        <v>5</v>
      </c>
      <c r="I515">
        <f>INDEX(CalLookUpTable,MATCH($B515,CalLookUpRow,0),MATCH(I$1,CalLookUpColumn,0))</f>
        <v>2</v>
      </c>
    </row>
    <row r="516" spans="1:9" x14ac:dyDescent="0.25">
      <c r="A516" s="7">
        <v>1</v>
      </c>
      <c r="B516" s="8">
        <v>43594</v>
      </c>
      <c r="C516" s="9" t="s">
        <v>5</v>
      </c>
      <c r="D516" s="10">
        <v>3092.3829999999994</v>
      </c>
      <c r="E516" s="10">
        <v>0</v>
      </c>
      <c r="F516" t="str">
        <f>VLOOKUP(A516,StoreLookup,2,FALSE)</f>
        <v>Store#1</v>
      </c>
      <c r="G516">
        <f>INDEX(CalLookUpTable,MATCH($B516,CalLookUpRow,0),MATCH(G$1,CalLookUpColumn,0))</f>
        <v>2019</v>
      </c>
      <c r="H516">
        <f>INDEX(CalLookUpTable,MATCH($B516,CalLookUpRow,0),MATCH(H$1,CalLookUpColumn,0))</f>
        <v>5</v>
      </c>
      <c r="I516">
        <f>INDEX(CalLookUpTable,MATCH($B516,CalLookUpRow,0),MATCH(I$1,CalLookUpColumn,0))</f>
        <v>2</v>
      </c>
    </row>
    <row r="517" spans="1:9" x14ac:dyDescent="0.25">
      <c r="A517" s="7">
        <v>1</v>
      </c>
      <c r="B517" s="8">
        <v>43594</v>
      </c>
      <c r="C517" s="9" t="s">
        <v>6</v>
      </c>
      <c r="D517" s="10">
        <v>869.83399999999983</v>
      </c>
      <c r="E517" s="10">
        <v>1144.8919999999998</v>
      </c>
      <c r="F517" t="str">
        <f>VLOOKUP(A517,StoreLookup,2,FALSE)</f>
        <v>Store#1</v>
      </c>
      <c r="G517">
        <f>INDEX(CalLookUpTable,MATCH($B517,CalLookUpRow,0),MATCH(G$1,CalLookUpColumn,0))</f>
        <v>2019</v>
      </c>
      <c r="H517">
        <f>INDEX(CalLookUpTable,MATCH($B517,CalLookUpRow,0),MATCH(H$1,CalLookUpColumn,0))</f>
        <v>5</v>
      </c>
      <c r="I517">
        <f>INDEX(CalLookUpTable,MATCH($B517,CalLookUpRow,0),MATCH(I$1,CalLookUpColumn,0))</f>
        <v>2</v>
      </c>
    </row>
    <row r="518" spans="1:9" x14ac:dyDescent="0.25">
      <c r="A518" s="7">
        <v>1</v>
      </c>
      <c r="B518" s="8">
        <v>43595</v>
      </c>
      <c r="C518" s="9" t="s">
        <v>6</v>
      </c>
      <c r="D518" s="10">
        <v>1039.1989999999998</v>
      </c>
      <c r="E518" s="10">
        <v>1675.03</v>
      </c>
      <c r="F518" t="str">
        <f>VLOOKUP(A518,StoreLookup,2,FALSE)</f>
        <v>Store#1</v>
      </c>
      <c r="G518">
        <f>INDEX(CalLookUpTable,MATCH($B518,CalLookUpRow,0),MATCH(G$1,CalLookUpColumn,0))</f>
        <v>2019</v>
      </c>
      <c r="H518">
        <f>INDEX(CalLookUpTable,MATCH($B518,CalLookUpRow,0),MATCH(H$1,CalLookUpColumn,0))</f>
        <v>5</v>
      </c>
      <c r="I518">
        <f>INDEX(CalLookUpTable,MATCH($B518,CalLookUpRow,0),MATCH(I$1,CalLookUpColumn,0))</f>
        <v>2</v>
      </c>
    </row>
    <row r="519" spans="1:9" x14ac:dyDescent="0.25">
      <c r="A519" s="7">
        <v>1</v>
      </c>
      <c r="B519" s="8">
        <v>43595</v>
      </c>
      <c r="C519" s="9" t="s">
        <v>3</v>
      </c>
      <c r="D519" s="10">
        <v>317.33799999999997</v>
      </c>
      <c r="E519" s="10">
        <v>226.16299999999995</v>
      </c>
      <c r="F519" t="str">
        <f>VLOOKUP(A519,StoreLookup,2,FALSE)</f>
        <v>Store#1</v>
      </c>
      <c r="G519">
        <f>INDEX(CalLookUpTable,MATCH($B519,CalLookUpRow,0),MATCH(G$1,CalLookUpColumn,0))</f>
        <v>2019</v>
      </c>
      <c r="H519">
        <f>INDEX(CalLookUpTable,MATCH($B519,CalLookUpRow,0),MATCH(H$1,CalLookUpColumn,0))</f>
        <v>5</v>
      </c>
      <c r="I519">
        <f>INDEX(CalLookUpTable,MATCH($B519,CalLookUpRow,0),MATCH(I$1,CalLookUpColumn,0))</f>
        <v>2</v>
      </c>
    </row>
    <row r="520" spans="1:9" x14ac:dyDescent="0.25">
      <c r="A520" s="7">
        <v>1</v>
      </c>
      <c r="B520" s="8">
        <v>43595</v>
      </c>
      <c r="C520" s="9" t="s">
        <v>4</v>
      </c>
      <c r="D520" s="10">
        <v>4349.107</v>
      </c>
      <c r="E520" s="10">
        <v>4852.3859999999995</v>
      </c>
      <c r="F520" t="str">
        <f>VLOOKUP(A520,StoreLookup,2,FALSE)</f>
        <v>Store#1</v>
      </c>
      <c r="G520">
        <f>INDEX(CalLookUpTable,MATCH($B520,CalLookUpRow,0),MATCH(G$1,CalLookUpColumn,0))</f>
        <v>2019</v>
      </c>
      <c r="H520">
        <f>INDEX(CalLookUpTable,MATCH($B520,CalLookUpRow,0),MATCH(H$1,CalLookUpColumn,0))</f>
        <v>5</v>
      </c>
      <c r="I520">
        <f>INDEX(CalLookUpTable,MATCH($B520,CalLookUpRow,0),MATCH(I$1,CalLookUpColumn,0))</f>
        <v>2</v>
      </c>
    </row>
    <row r="521" spans="1:9" x14ac:dyDescent="0.25">
      <c r="A521" s="7">
        <v>1</v>
      </c>
      <c r="B521" s="8">
        <v>43595</v>
      </c>
      <c r="C521" s="9" t="s">
        <v>5</v>
      </c>
      <c r="D521" s="10">
        <v>3673.1099999999997</v>
      </c>
      <c r="E521" s="10">
        <v>0</v>
      </c>
      <c r="F521" t="str">
        <f>VLOOKUP(A521,StoreLookup,2,FALSE)</f>
        <v>Store#1</v>
      </c>
      <c r="G521">
        <f>INDEX(CalLookUpTable,MATCH($B521,CalLookUpRow,0),MATCH(G$1,CalLookUpColumn,0))</f>
        <v>2019</v>
      </c>
      <c r="H521">
        <f>INDEX(CalLookUpTable,MATCH($B521,CalLookUpRow,0),MATCH(H$1,CalLookUpColumn,0))</f>
        <v>5</v>
      </c>
      <c r="I521">
        <f>INDEX(CalLookUpTable,MATCH($B521,CalLookUpRow,0),MATCH(I$1,CalLookUpColumn,0))</f>
        <v>2</v>
      </c>
    </row>
    <row r="522" spans="1:9" x14ac:dyDescent="0.25">
      <c r="A522" s="7">
        <v>1</v>
      </c>
      <c r="B522" s="8">
        <v>43596</v>
      </c>
      <c r="C522" s="9" t="s">
        <v>6</v>
      </c>
      <c r="D522" s="10">
        <v>683.97</v>
      </c>
      <c r="E522" s="10">
        <v>1214.066</v>
      </c>
      <c r="F522" t="str">
        <f>VLOOKUP(A522,StoreLookup,2,FALSE)</f>
        <v>Store#1</v>
      </c>
      <c r="G522">
        <f>INDEX(CalLookUpTable,MATCH($B522,CalLookUpRow,0),MATCH(G$1,CalLookUpColumn,0))</f>
        <v>2019</v>
      </c>
      <c r="H522">
        <f>INDEX(CalLookUpTable,MATCH($B522,CalLookUpRow,0),MATCH(H$1,CalLookUpColumn,0))</f>
        <v>5</v>
      </c>
      <c r="I522">
        <f>INDEX(CalLookUpTable,MATCH($B522,CalLookUpRow,0),MATCH(I$1,CalLookUpColumn,0))</f>
        <v>2</v>
      </c>
    </row>
    <row r="523" spans="1:9" x14ac:dyDescent="0.25">
      <c r="A523" s="7">
        <v>1</v>
      </c>
      <c r="B523" s="8">
        <v>43596</v>
      </c>
      <c r="C523" s="9" t="s">
        <v>3</v>
      </c>
      <c r="D523" s="10">
        <v>59.261999999999993</v>
      </c>
      <c r="E523" s="10">
        <v>224.25899999999999</v>
      </c>
      <c r="F523" t="str">
        <f>VLOOKUP(A523,StoreLookup,2,FALSE)</f>
        <v>Store#1</v>
      </c>
      <c r="G523">
        <f>INDEX(CalLookUpTable,MATCH($B523,CalLookUpRow,0),MATCH(G$1,CalLookUpColumn,0))</f>
        <v>2019</v>
      </c>
      <c r="H523">
        <f>INDEX(CalLookUpTable,MATCH($B523,CalLookUpRow,0),MATCH(H$1,CalLookUpColumn,0))</f>
        <v>5</v>
      </c>
      <c r="I523">
        <f>INDEX(CalLookUpTable,MATCH($B523,CalLookUpRow,0),MATCH(I$1,CalLookUpColumn,0))</f>
        <v>2</v>
      </c>
    </row>
    <row r="524" spans="1:9" x14ac:dyDescent="0.25">
      <c r="A524" s="7">
        <v>1</v>
      </c>
      <c r="B524" s="8">
        <v>43596</v>
      </c>
      <c r="C524" s="9" t="s">
        <v>4</v>
      </c>
      <c r="D524" s="10">
        <v>4246.9769999999999</v>
      </c>
      <c r="E524" s="10">
        <v>4544.9529999999995</v>
      </c>
      <c r="F524" t="str">
        <f>VLOOKUP(A524,StoreLookup,2,FALSE)</f>
        <v>Store#1</v>
      </c>
      <c r="G524">
        <f>INDEX(CalLookUpTable,MATCH($B524,CalLookUpRow,0),MATCH(G$1,CalLookUpColumn,0))</f>
        <v>2019</v>
      </c>
      <c r="H524">
        <f>INDEX(CalLookUpTable,MATCH($B524,CalLookUpRow,0),MATCH(H$1,CalLookUpColumn,0))</f>
        <v>5</v>
      </c>
      <c r="I524">
        <f>INDEX(CalLookUpTable,MATCH($B524,CalLookUpRow,0),MATCH(I$1,CalLookUpColumn,0))</f>
        <v>2</v>
      </c>
    </row>
    <row r="525" spans="1:9" x14ac:dyDescent="0.25">
      <c r="A525" s="7">
        <v>1</v>
      </c>
      <c r="B525" s="8">
        <v>43596</v>
      </c>
      <c r="C525" s="9" t="s">
        <v>5</v>
      </c>
      <c r="D525" s="10">
        <v>3141.39</v>
      </c>
      <c r="E525" s="10">
        <v>0</v>
      </c>
      <c r="F525" t="str">
        <f>VLOOKUP(A525,StoreLookup,2,FALSE)</f>
        <v>Store#1</v>
      </c>
      <c r="G525">
        <f>INDEX(CalLookUpTable,MATCH($B525,CalLookUpRow,0),MATCH(G$1,CalLookUpColumn,0))</f>
        <v>2019</v>
      </c>
      <c r="H525">
        <f>INDEX(CalLookUpTable,MATCH($B525,CalLookUpRow,0),MATCH(H$1,CalLookUpColumn,0))</f>
        <v>5</v>
      </c>
      <c r="I525">
        <f>INDEX(CalLookUpTable,MATCH($B525,CalLookUpRow,0),MATCH(I$1,CalLookUpColumn,0))</f>
        <v>2</v>
      </c>
    </row>
    <row r="526" spans="1:9" x14ac:dyDescent="0.25">
      <c r="A526" s="7">
        <v>1</v>
      </c>
      <c r="B526" s="8">
        <v>43597</v>
      </c>
      <c r="C526" s="9" t="s">
        <v>4</v>
      </c>
      <c r="D526" s="10">
        <v>1868.9089999999999</v>
      </c>
      <c r="E526" s="10">
        <v>2487.9119999999998</v>
      </c>
      <c r="F526" t="str">
        <f>VLOOKUP(A526,StoreLookup,2,FALSE)</f>
        <v>Store#1</v>
      </c>
      <c r="G526">
        <f>INDEX(CalLookUpTable,MATCH($B526,CalLookUpRow,0),MATCH(G$1,CalLookUpColumn,0))</f>
        <v>2019</v>
      </c>
      <c r="H526">
        <f>INDEX(CalLookUpTable,MATCH($B526,CalLookUpRow,0),MATCH(H$1,CalLookUpColumn,0))</f>
        <v>5</v>
      </c>
      <c r="I526">
        <f>INDEX(CalLookUpTable,MATCH($B526,CalLookUpRow,0),MATCH(I$1,CalLookUpColumn,0))</f>
        <v>2</v>
      </c>
    </row>
    <row r="527" spans="1:9" x14ac:dyDescent="0.25">
      <c r="A527" s="7">
        <v>1</v>
      </c>
      <c r="B527" s="8">
        <v>43597</v>
      </c>
      <c r="C527" s="9" t="s">
        <v>6</v>
      </c>
      <c r="D527" s="10">
        <v>357.44799999999998</v>
      </c>
      <c r="E527" s="10">
        <v>486.19199999999995</v>
      </c>
      <c r="F527" t="str">
        <f>VLOOKUP(A527,StoreLookup,2,FALSE)</f>
        <v>Store#1</v>
      </c>
      <c r="G527">
        <f>INDEX(CalLookUpTable,MATCH($B527,CalLookUpRow,0),MATCH(G$1,CalLookUpColumn,0))</f>
        <v>2019</v>
      </c>
      <c r="H527">
        <f>INDEX(CalLookUpTable,MATCH($B527,CalLookUpRow,0),MATCH(H$1,CalLookUpColumn,0))</f>
        <v>5</v>
      </c>
      <c r="I527">
        <f>INDEX(CalLookUpTable,MATCH($B527,CalLookUpRow,0),MATCH(I$1,CalLookUpColumn,0))</f>
        <v>2</v>
      </c>
    </row>
    <row r="528" spans="1:9" x14ac:dyDescent="0.25">
      <c r="A528" s="7">
        <v>1</v>
      </c>
      <c r="B528" s="8">
        <v>43597</v>
      </c>
      <c r="C528" s="9" t="s">
        <v>5</v>
      </c>
      <c r="D528" s="10">
        <v>1648.0589999999997</v>
      </c>
      <c r="E528" s="10">
        <v>0</v>
      </c>
      <c r="F528" t="str">
        <f>VLOOKUP(A528,StoreLookup,2,FALSE)</f>
        <v>Store#1</v>
      </c>
      <c r="G528">
        <f>INDEX(CalLookUpTable,MATCH($B528,CalLookUpRow,0),MATCH(G$1,CalLookUpColumn,0))</f>
        <v>2019</v>
      </c>
      <c r="H528">
        <f>INDEX(CalLookUpTable,MATCH($B528,CalLookUpRow,0),MATCH(H$1,CalLookUpColumn,0))</f>
        <v>5</v>
      </c>
      <c r="I528">
        <f>INDEX(CalLookUpTable,MATCH($B528,CalLookUpRow,0),MATCH(I$1,CalLookUpColumn,0))</f>
        <v>2</v>
      </c>
    </row>
    <row r="529" spans="1:9" x14ac:dyDescent="0.25">
      <c r="A529" s="7">
        <v>1</v>
      </c>
      <c r="B529" s="8">
        <v>43597</v>
      </c>
      <c r="C529" s="9" t="s">
        <v>3</v>
      </c>
      <c r="D529" s="10">
        <v>4.5430000000000001</v>
      </c>
      <c r="E529" s="10">
        <v>12.578999999999999</v>
      </c>
      <c r="F529" t="str">
        <f>VLOOKUP(A529,StoreLookup,2,FALSE)</f>
        <v>Store#1</v>
      </c>
      <c r="G529">
        <f>INDEX(CalLookUpTable,MATCH($B529,CalLookUpRow,0),MATCH(G$1,CalLookUpColumn,0))</f>
        <v>2019</v>
      </c>
      <c r="H529">
        <f>INDEX(CalLookUpTable,MATCH($B529,CalLookUpRow,0),MATCH(H$1,CalLookUpColumn,0))</f>
        <v>5</v>
      </c>
      <c r="I529">
        <f>INDEX(CalLookUpTable,MATCH($B529,CalLookUpRow,0),MATCH(I$1,CalLookUpColumn,0))</f>
        <v>2</v>
      </c>
    </row>
    <row r="530" spans="1:9" x14ac:dyDescent="0.25">
      <c r="A530" s="7">
        <v>1</v>
      </c>
      <c r="B530" s="8">
        <v>43598</v>
      </c>
      <c r="C530" s="9" t="s">
        <v>6</v>
      </c>
      <c r="D530" s="10">
        <v>761.34800000000007</v>
      </c>
      <c r="E530" s="10">
        <v>813.58199999999999</v>
      </c>
      <c r="F530" t="str">
        <f>VLOOKUP(A530,StoreLookup,2,FALSE)</f>
        <v>Store#1</v>
      </c>
      <c r="G530">
        <f>INDEX(CalLookUpTable,MATCH($B530,CalLookUpRow,0),MATCH(G$1,CalLookUpColumn,0))</f>
        <v>2019</v>
      </c>
      <c r="H530">
        <f>INDEX(CalLookUpTable,MATCH($B530,CalLookUpRow,0),MATCH(H$1,CalLookUpColumn,0))</f>
        <v>5</v>
      </c>
      <c r="I530">
        <f>INDEX(CalLookUpTable,MATCH($B530,CalLookUpRow,0),MATCH(I$1,CalLookUpColumn,0))</f>
        <v>3</v>
      </c>
    </row>
    <row r="531" spans="1:9" x14ac:dyDescent="0.25">
      <c r="A531" s="7">
        <v>1</v>
      </c>
      <c r="B531" s="8">
        <v>43598</v>
      </c>
      <c r="C531" s="9" t="s">
        <v>4</v>
      </c>
      <c r="D531" s="10">
        <v>3405.9409999999998</v>
      </c>
      <c r="E531" s="10">
        <v>3354.8760000000002</v>
      </c>
      <c r="F531" t="str">
        <f>VLOOKUP(A531,StoreLookup,2,FALSE)</f>
        <v>Store#1</v>
      </c>
      <c r="G531">
        <f>INDEX(CalLookUpTable,MATCH($B531,CalLookUpRow,0),MATCH(G$1,CalLookUpColumn,0))</f>
        <v>2019</v>
      </c>
      <c r="H531">
        <f>INDEX(CalLookUpTable,MATCH($B531,CalLookUpRow,0),MATCH(H$1,CalLookUpColumn,0))</f>
        <v>5</v>
      </c>
      <c r="I531">
        <f>INDEX(CalLookUpTable,MATCH($B531,CalLookUpRow,0),MATCH(I$1,CalLookUpColumn,0))</f>
        <v>3</v>
      </c>
    </row>
    <row r="532" spans="1:9" x14ac:dyDescent="0.25">
      <c r="A532" s="7">
        <v>1</v>
      </c>
      <c r="B532" s="8">
        <v>43598</v>
      </c>
      <c r="C532" s="9" t="s">
        <v>5</v>
      </c>
      <c r="D532" s="10">
        <v>2828.1889999999999</v>
      </c>
      <c r="E532" s="10">
        <v>0</v>
      </c>
      <c r="F532" t="str">
        <f>VLOOKUP(A532,StoreLookup,2,FALSE)</f>
        <v>Store#1</v>
      </c>
      <c r="G532">
        <f>INDEX(CalLookUpTable,MATCH($B532,CalLookUpRow,0),MATCH(G$1,CalLookUpColumn,0))</f>
        <v>2019</v>
      </c>
      <c r="H532">
        <f>INDEX(CalLookUpTable,MATCH($B532,CalLookUpRow,0),MATCH(H$1,CalLookUpColumn,0))</f>
        <v>5</v>
      </c>
      <c r="I532">
        <f>INDEX(CalLookUpTable,MATCH($B532,CalLookUpRow,0),MATCH(I$1,CalLookUpColumn,0))</f>
        <v>3</v>
      </c>
    </row>
    <row r="533" spans="1:9" x14ac:dyDescent="0.25">
      <c r="A533" s="7">
        <v>1</v>
      </c>
      <c r="B533" s="8">
        <v>43598</v>
      </c>
      <c r="C533" s="9" t="s">
        <v>3</v>
      </c>
      <c r="D533" s="10">
        <v>0</v>
      </c>
      <c r="E533" s="10">
        <v>274.86899999999997</v>
      </c>
      <c r="F533" t="str">
        <f>VLOOKUP(A533,StoreLookup,2,FALSE)</f>
        <v>Store#1</v>
      </c>
      <c r="G533">
        <f>INDEX(CalLookUpTable,MATCH($B533,CalLookUpRow,0),MATCH(G$1,CalLookUpColumn,0))</f>
        <v>2019</v>
      </c>
      <c r="H533">
        <f>INDEX(CalLookUpTable,MATCH($B533,CalLookUpRow,0),MATCH(H$1,CalLookUpColumn,0))</f>
        <v>5</v>
      </c>
      <c r="I533">
        <f>INDEX(CalLookUpTable,MATCH($B533,CalLookUpRow,0),MATCH(I$1,CalLookUpColumn,0))</f>
        <v>3</v>
      </c>
    </row>
    <row r="534" spans="1:9" x14ac:dyDescent="0.25">
      <c r="A534" s="7">
        <v>1</v>
      </c>
      <c r="B534" s="8">
        <v>43599</v>
      </c>
      <c r="C534" s="9" t="s">
        <v>4</v>
      </c>
      <c r="D534" s="10">
        <v>3071.4809999999998</v>
      </c>
      <c r="E534" s="10">
        <v>3284.7640000000001</v>
      </c>
      <c r="F534" t="str">
        <f>VLOOKUP(A534,StoreLookup,2,FALSE)</f>
        <v>Store#1</v>
      </c>
      <c r="G534">
        <f>INDEX(CalLookUpTable,MATCH($B534,CalLookUpRow,0),MATCH(G$1,CalLookUpColumn,0))</f>
        <v>2019</v>
      </c>
      <c r="H534">
        <f>INDEX(CalLookUpTable,MATCH($B534,CalLookUpRow,0),MATCH(H$1,CalLookUpColumn,0))</f>
        <v>5</v>
      </c>
      <c r="I534">
        <f>INDEX(CalLookUpTable,MATCH($B534,CalLookUpRow,0),MATCH(I$1,CalLookUpColumn,0))</f>
        <v>3</v>
      </c>
    </row>
    <row r="535" spans="1:9" x14ac:dyDescent="0.25">
      <c r="A535" s="7">
        <v>1</v>
      </c>
      <c r="B535" s="8">
        <v>43599</v>
      </c>
      <c r="C535" s="9" t="s">
        <v>3</v>
      </c>
      <c r="D535" s="10">
        <v>0</v>
      </c>
      <c r="E535" s="10">
        <v>505.036</v>
      </c>
      <c r="F535" t="str">
        <f>VLOOKUP(A535,StoreLookup,2,FALSE)</f>
        <v>Store#1</v>
      </c>
      <c r="G535">
        <f>INDEX(CalLookUpTable,MATCH($B535,CalLookUpRow,0),MATCH(G$1,CalLookUpColumn,0))</f>
        <v>2019</v>
      </c>
      <c r="H535">
        <f>INDEX(CalLookUpTable,MATCH($B535,CalLookUpRow,0),MATCH(H$1,CalLookUpColumn,0))</f>
        <v>5</v>
      </c>
      <c r="I535">
        <f>INDEX(CalLookUpTable,MATCH($B535,CalLookUpRow,0),MATCH(I$1,CalLookUpColumn,0))</f>
        <v>3</v>
      </c>
    </row>
    <row r="536" spans="1:9" x14ac:dyDescent="0.25">
      <c r="A536" s="7">
        <v>1</v>
      </c>
      <c r="B536" s="8">
        <v>43599</v>
      </c>
      <c r="C536" s="9" t="s">
        <v>6</v>
      </c>
      <c r="D536" s="10">
        <v>819.80500000000006</v>
      </c>
      <c r="E536" s="10">
        <v>1153.922</v>
      </c>
      <c r="F536" t="str">
        <f>VLOOKUP(A536,StoreLookup,2,FALSE)</f>
        <v>Store#1</v>
      </c>
      <c r="G536">
        <f>INDEX(CalLookUpTable,MATCH($B536,CalLookUpRow,0),MATCH(G$1,CalLookUpColumn,0))</f>
        <v>2019</v>
      </c>
      <c r="H536">
        <f>INDEX(CalLookUpTable,MATCH($B536,CalLookUpRow,0),MATCH(H$1,CalLookUpColumn,0))</f>
        <v>5</v>
      </c>
      <c r="I536">
        <f>INDEX(CalLookUpTable,MATCH($B536,CalLookUpRow,0),MATCH(I$1,CalLookUpColumn,0))</f>
        <v>3</v>
      </c>
    </row>
    <row r="537" spans="1:9" x14ac:dyDescent="0.25">
      <c r="A537" s="7">
        <v>1</v>
      </c>
      <c r="B537" s="8">
        <v>43599</v>
      </c>
      <c r="C537" s="9" t="s">
        <v>5</v>
      </c>
      <c r="D537" s="10">
        <v>3312.4629999999997</v>
      </c>
      <c r="E537" s="10">
        <v>0</v>
      </c>
      <c r="F537" t="str">
        <f>VLOOKUP(A537,StoreLookup,2,FALSE)</f>
        <v>Store#1</v>
      </c>
      <c r="G537">
        <f>INDEX(CalLookUpTable,MATCH($B537,CalLookUpRow,0),MATCH(G$1,CalLookUpColumn,0))</f>
        <v>2019</v>
      </c>
      <c r="H537">
        <f>INDEX(CalLookUpTable,MATCH($B537,CalLookUpRow,0),MATCH(H$1,CalLookUpColumn,0))</f>
        <v>5</v>
      </c>
      <c r="I537">
        <f>INDEX(CalLookUpTable,MATCH($B537,CalLookUpRow,0),MATCH(I$1,CalLookUpColumn,0))</f>
        <v>3</v>
      </c>
    </row>
    <row r="538" spans="1:9" x14ac:dyDescent="0.25">
      <c r="A538" s="7">
        <v>1</v>
      </c>
      <c r="B538" s="8">
        <v>43600</v>
      </c>
      <c r="C538" s="9" t="s">
        <v>4</v>
      </c>
      <c r="D538" s="10">
        <v>3191.16</v>
      </c>
      <c r="E538" s="10">
        <v>3983.5809999999997</v>
      </c>
      <c r="F538" t="str">
        <f>VLOOKUP(A538,StoreLookup,2,FALSE)</f>
        <v>Store#1</v>
      </c>
      <c r="G538">
        <f>INDEX(CalLookUpTable,MATCH($B538,CalLookUpRow,0),MATCH(G$1,CalLookUpColumn,0))</f>
        <v>2019</v>
      </c>
      <c r="H538">
        <f>INDEX(CalLookUpTable,MATCH($B538,CalLookUpRow,0),MATCH(H$1,CalLookUpColumn,0))</f>
        <v>5</v>
      </c>
      <c r="I538">
        <f>INDEX(CalLookUpTable,MATCH($B538,CalLookUpRow,0),MATCH(I$1,CalLookUpColumn,0))</f>
        <v>3</v>
      </c>
    </row>
    <row r="539" spans="1:9" x14ac:dyDescent="0.25">
      <c r="A539" s="7">
        <v>1</v>
      </c>
      <c r="B539" s="8">
        <v>43600</v>
      </c>
      <c r="C539" s="9" t="s">
        <v>3</v>
      </c>
      <c r="D539" s="10">
        <v>0</v>
      </c>
      <c r="E539" s="10">
        <v>1375.7660000000001</v>
      </c>
      <c r="F539" t="str">
        <f>VLOOKUP(A539,StoreLookup,2,FALSE)</f>
        <v>Store#1</v>
      </c>
      <c r="G539">
        <f>INDEX(CalLookUpTable,MATCH($B539,CalLookUpRow,0),MATCH(G$1,CalLookUpColumn,0))</f>
        <v>2019</v>
      </c>
      <c r="H539">
        <f>INDEX(CalLookUpTable,MATCH($B539,CalLookUpRow,0),MATCH(H$1,CalLookUpColumn,0))</f>
        <v>5</v>
      </c>
      <c r="I539">
        <f>INDEX(CalLookUpTable,MATCH($B539,CalLookUpRow,0),MATCH(I$1,CalLookUpColumn,0))</f>
        <v>3</v>
      </c>
    </row>
    <row r="540" spans="1:9" x14ac:dyDescent="0.25">
      <c r="A540" s="7">
        <v>1</v>
      </c>
      <c r="B540" s="8">
        <v>43600</v>
      </c>
      <c r="C540" s="9" t="s">
        <v>5</v>
      </c>
      <c r="D540" s="10">
        <v>2769.8440000000001</v>
      </c>
      <c r="E540" s="10">
        <v>0</v>
      </c>
      <c r="F540" t="str">
        <f>VLOOKUP(A540,StoreLookup,2,FALSE)</f>
        <v>Store#1</v>
      </c>
      <c r="G540">
        <f>INDEX(CalLookUpTable,MATCH($B540,CalLookUpRow,0),MATCH(G$1,CalLookUpColumn,0))</f>
        <v>2019</v>
      </c>
      <c r="H540">
        <f>INDEX(CalLookUpTable,MATCH($B540,CalLookUpRow,0),MATCH(H$1,CalLookUpColumn,0))</f>
        <v>5</v>
      </c>
      <c r="I540">
        <f>INDEX(CalLookUpTable,MATCH($B540,CalLookUpRow,0),MATCH(I$1,CalLookUpColumn,0))</f>
        <v>3</v>
      </c>
    </row>
    <row r="541" spans="1:9" x14ac:dyDescent="0.25">
      <c r="A541" s="7">
        <v>1</v>
      </c>
      <c r="B541" s="8">
        <v>43600</v>
      </c>
      <c r="C541" s="9" t="s">
        <v>6</v>
      </c>
      <c r="D541" s="10">
        <v>882.51799999999992</v>
      </c>
      <c r="E541" s="10">
        <v>875.93799999999987</v>
      </c>
      <c r="F541" t="str">
        <f>VLOOKUP(A541,StoreLookup,2,FALSE)</f>
        <v>Store#1</v>
      </c>
      <c r="G541">
        <f>INDEX(CalLookUpTable,MATCH($B541,CalLookUpRow,0),MATCH(G$1,CalLookUpColumn,0))</f>
        <v>2019</v>
      </c>
      <c r="H541">
        <f>INDEX(CalLookUpTable,MATCH($B541,CalLookUpRow,0),MATCH(H$1,CalLookUpColumn,0))</f>
        <v>5</v>
      </c>
      <c r="I541">
        <f>INDEX(CalLookUpTable,MATCH($B541,CalLookUpRow,0),MATCH(I$1,CalLookUpColumn,0))</f>
        <v>3</v>
      </c>
    </row>
    <row r="542" spans="1:9" x14ac:dyDescent="0.25">
      <c r="A542" s="7">
        <v>1</v>
      </c>
      <c r="B542" s="8">
        <v>43601</v>
      </c>
      <c r="C542" s="9" t="s">
        <v>5</v>
      </c>
      <c r="D542" s="10">
        <v>3494.3369999999995</v>
      </c>
      <c r="E542" s="10">
        <v>0</v>
      </c>
      <c r="F542" t="str">
        <f>VLOOKUP(A542,StoreLookup,2,FALSE)</f>
        <v>Store#1</v>
      </c>
      <c r="G542">
        <f>INDEX(CalLookUpTable,MATCH($B542,CalLookUpRow,0),MATCH(G$1,CalLookUpColumn,0))</f>
        <v>2019</v>
      </c>
      <c r="H542">
        <f>INDEX(CalLookUpTable,MATCH($B542,CalLookUpRow,0),MATCH(H$1,CalLookUpColumn,0))</f>
        <v>5</v>
      </c>
      <c r="I542">
        <f>INDEX(CalLookUpTable,MATCH($B542,CalLookUpRow,0),MATCH(I$1,CalLookUpColumn,0))</f>
        <v>3</v>
      </c>
    </row>
    <row r="543" spans="1:9" x14ac:dyDescent="0.25">
      <c r="A543" s="7">
        <v>1</v>
      </c>
      <c r="B543" s="8">
        <v>43601</v>
      </c>
      <c r="C543" s="9" t="s">
        <v>6</v>
      </c>
      <c r="D543" s="10">
        <v>617.28800000000001</v>
      </c>
      <c r="E543" s="10">
        <v>1629.3899999999999</v>
      </c>
      <c r="F543" t="str">
        <f>VLOOKUP(A543,StoreLookup,2,FALSE)</f>
        <v>Store#1</v>
      </c>
      <c r="G543">
        <f>INDEX(CalLookUpTable,MATCH($B543,CalLookUpRow,0),MATCH(G$1,CalLookUpColumn,0))</f>
        <v>2019</v>
      </c>
      <c r="H543">
        <f>INDEX(CalLookUpTable,MATCH($B543,CalLookUpRow,0),MATCH(H$1,CalLookUpColumn,0))</f>
        <v>5</v>
      </c>
      <c r="I543">
        <f>INDEX(CalLookUpTable,MATCH($B543,CalLookUpRow,0),MATCH(I$1,CalLookUpColumn,0))</f>
        <v>3</v>
      </c>
    </row>
    <row r="544" spans="1:9" x14ac:dyDescent="0.25">
      <c r="A544" s="7">
        <v>1</v>
      </c>
      <c r="B544" s="8">
        <v>43601</v>
      </c>
      <c r="C544" s="9" t="s">
        <v>3</v>
      </c>
      <c r="D544" s="10">
        <v>394.50600000000003</v>
      </c>
      <c r="E544" s="10">
        <v>161.553</v>
      </c>
      <c r="F544" t="str">
        <f>VLOOKUP(A544,StoreLookup,2,FALSE)</f>
        <v>Store#1</v>
      </c>
      <c r="G544">
        <f>INDEX(CalLookUpTable,MATCH($B544,CalLookUpRow,0),MATCH(G$1,CalLookUpColumn,0))</f>
        <v>2019</v>
      </c>
      <c r="H544">
        <f>INDEX(CalLookUpTable,MATCH($B544,CalLookUpRow,0),MATCH(H$1,CalLookUpColumn,0))</f>
        <v>5</v>
      </c>
      <c r="I544">
        <f>INDEX(CalLookUpTable,MATCH($B544,CalLookUpRow,0),MATCH(I$1,CalLookUpColumn,0))</f>
        <v>3</v>
      </c>
    </row>
    <row r="545" spans="1:9" x14ac:dyDescent="0.25">
      <c r="A545" s="7">
        <v>1</v>
      </c>
      <c r="B545" s="8">
        <v>43601</v>
      </c>
      <c r="C545" s="9" t="s">
        <v>4</v>
      </c>
      <c r="D545" s="10">
        <v>3748.2339999999995</v>
      </c>
      <c r="E545" s="10">
        <v>5415.585</v>
      </c>
      <c r="F545" t="str">
        <f>VLOOKUP(A545,StoreLookup,2,FALSE)</f>
        <v>Store#1</v>
      </c>
      <c r="G545">
        <f>INDEX(CalLookUpTable,MATCH($B545,CalLookUpRow,0),MATCH(G$1,CalLookUpColumn,0))</f>
        <v>2019</v>
      </c>
      <c r="H545">
        <f>INDEX(CalLookUpTable,MATCH($B545,CalLookUpRow,0),MATCH(H$1,CalLookUpColumn,0))</f>
        <v>5</v>
      </c>
      <c r="I545">
        <f>INDEX(CalLookUpTable,MATCH($B545,CalLookUpRow,0),MATCH(I$1,CalLookUpColumn,0))</f>
        <v>3</v>
      </c>
    </row>
    <row r="546" spans="1:9" x14ac:dyDescent="0.25">
      <c r="A546" s="7">
        <v>1</v>
      </c>
      <c r="B546" s="8">
        <v>43602</v>
      </c>
      <c r="C546" s="9" t="s">
        <v>4</v>
      </c>
      <c r="D546" s="10">
        <v>5201.0769999999993</v>
      </c>
      <c r="E546" s="10">
        <v>6121.1009999999997</v>
      </c>
      <c r="F546" t="str">
        <f>VLOOKUP(A546,StoreLookup,2,FALSE)</f>
        <v>Store#1</v>
      </c>
      <c r="G546">
        <f>INDEX(CalLookUpTable,MATCH($B546,CalLookUpRow,0),MATCH(G$1,CalLookUpColumn,0))</f>
        <v>2019</v>
      </c>
      <c r="H546">
        <f>INDEX(CalLookUpTable,MATCH($B546,CalLookUpRow,0),MATCH(H$1,CalLookUpColumn,0))</f>
        <v>5</v>
      </c>
      <c r="I546">
        <f>INDEX(CalLookUpTable,MATCH($B546,CalLookUpRow,0),MATCH(I$1,CalLookUpColumn,0))</f>
        <v>3</v>
      </c>
    </row>
    <row r="547" spans="1:9" x14ac:dyDescent="0.25">
      <c r="A547" s="7">
        <v>1</v>
      </c>
      <c r="B547" s="8">
        <v>43602</v>
      </c>
      <c r="C547" s="9" t="s">
        <v>3</v>
      </c>
      <c r="D547" s="10">
        <v>23.981999999999996</v>
      </c>
      <c r="E547" s="10">
        <v>421.96699999999993</v>
      </c>
      <c r="F547" t="str">
        <f>VLOOKUP(A547,StoreLookup,2,FALSE)</f>
        <v>Store#1</v>
      </c>
      <c r="G547">
        <f>INDEX(CalLookUpTable,MATCH($B547,CalLookUpRow,0),MATCH(G$1,CalLookUpColumn,0))</f>
        <v>2019</v>
      </c>
      <c r="H547">
        <f>INDEX(CalLookUpTable,MATCH($B547,CalLookUpRow,0),MATCH(H$1,CalLookUpColumn,0))</f>
        <v>5</v>
      </c>
      <c r="I547">
        <f>INDEX(CalLookUpTable,MATCH($B547,CalLookUpRow,0),MATCH(I$1,CalLookUpColumn,0))</f>
        <v>3</v>
      </c>
    </row>
    <row r="548" spans="1:9" x14ac:dyDescent="0.25">
      <c r="A548" s="7">
        <v>1</v>
      </c>
      <c r="B548" s="8">
        <v>43602</v>
      </c>
      <c r="C548" s="9" t="s">
        <v>5</v>
      </c>
      <c r="D548" s="10">
        <v>3512.4949999999999</v>
      </c>
      <c r="E548" s="10">
        <v>0</v>
      </c>
      <c r="F548" t="str">
        <f>VLOOKUP(A548,StoreLookup,2,FALSE)</f>
        <v>Store#1</v>
      </c>
      <c r="G548">
        <f>INDEX(CalLookUpTable,MATCH($B548,CalLookUpRow,0),MATCH(G$1,CalLookUpColumn,0))</f>
        <v>2019</v>
      </c>
      <c r="H548">
        <f>INDEX(CalLookUpTable,MATCH($B548,CalLookUpRow,0),MATCH(H$1,CalLookUpColumn,0))</f>
        <v>5</v>
      </c>
      <c r="I548">
        <f>INDEX(CalLookUpTable,MATCH($B548,CalLookUpRow,0),MATCH(I$1,CalLookUpColumn,0))</f>
        <v>3</v>
      </c>
    </row>
    <row r="549" spans="1:9" x14ac:dyDescent="0.25">
      <c r="A549" s="7">
        <v>1</v>
      </c>
      <c r="B549" s="8">
        <v>43602</v>
      </c>
      <c r="C549" s="9" t="s">
        <v>6</v>
      </c>
      <c r="D549" s="10">
        <v>1197.6089999999999</v>
      </c>
      <c r="E549" s="10">
        <v>1587.5929999999998</v>
      </c>
      <c r="F549" t="str">
        <f>VLOOKUP(A549,StoreLookup,2,FALSE)</f>
        <v>Store#1</v>
      </c>
      <c r="G549">
        <f>INDEX(CalLookUpTable,MATCH($B549,CalLookUpRow,0),MATCH(G$1,CalLookUpColumn,0))</f>
        <v>2019</v>
      </c>
      <c r="H549">
        <f>INDEX(CalLookUpTable,MATCH($B549,CalLookUpRow,0),MATCH(H$1,CalLookUpColumn,0))</f>
        <v>5</v>
      </c>
      <c r="I549">
        <f>INDEX(CalLookUpTable,MATCH($B549,CalLookUpRow,0),MATCH(I$1,CalLookUpColumn,0))</f>
        <v>3</v>
      </c>
    </row>
    <row r="550" spans="1:9" x14ac:dyDescent="0.25">
      <c r="A550" s="7">
        <v>1</v>
      </c>
      <c r="B550" s="8">
        <v>43603</v>
      </c>
      <c r="C550" s="9" t="s">
        <v>3</v>
      </c>
      <c r="D550" s="10">
        <v>687.41399999999999</v>
      </c>
      <c r="E550" s="10">
        <v>2023.1189999999999</v>
      </c>
      <c r="F550" t="str">
        <f>VLOOKUP(A550,StoreLookup,2,FALSE)</f>
        <v>Store#1</v>
      </c>
      <c r="G550">
        <f>INDEX(CalLookUpTable,MATCH($B550,CalLookUpRow,0),MATCH(G$1,CalLookUpColumn,0))</f>
        <v>2019</v>
      </c>
      <c r="H550">
        <f>INDEX(CalLookUpTable,MATCH($B550,CalLookUpRow,0),MATCH(H$1,CalLookUpColumn,0))</f>
        <v>5</v>
      </c>
      <c r="I550">
        <f>INDEX(CalLookUpTable,MATCH($B550,CalLookUpRow,0),MATCH(I$1,CalLookUpColumn,0))</f>
        <v>3</v>
      </c>
    </row>
    <row r="551" spans="1:9" x14ac:dyDescent="0.25">
      <c r="A551" s="7">
        <v>1</v>
      </c>
      <c r="B551" s="8">
        <v>43603</v>
      </c>
      <c r="C551" s="9" t="s">
        <v>4</v>
      </c>
      <c r="D551" s="10">
        <v>5134.6749999999993</v>
      </c>
      <c r="E551" s="10">
        <v>5117.8540000000003</v>
      </c>
      <c r="F551" t="str">
        <f>VLOOKUP(A551,StoreLookup,2,FALSE)</f>
        <v>Store#1</v>
      </c>
      <c r="G551">
        <f>INDEX(CalLookUpTable,MATCH($B551,CalLookUpRow,0),MATCH(G$1,CalLookUpColumn,0))</f>
        <v>2019</v>
      </c>
      <c r="H551">
        <f>INDEX(CalLookUpTable,MATCH($B551,CalLookUpRow,0),MATCH(H$1,CalLookUpColumn,0))</f>
        <v>5</v>
      </c>
      <c r="I551">
        <f>INDEX(CalLookUpTable,MATCH($B551,CalLookUpRow,0),MATCH(I$1,CalLookUpColumn,0))</f>
        <v>3</v>
      </c>
    </row>
    <row r="552" spans="1:9" x14ac:dyDescent="0.25">
      <c r="A552" s="7">
        <v>1</v>
      </c>
      <c r="B552" s="8">
        <v>43603</v>
      </c>
      <c r="C552" s="9" t="s">
        <v>6</v>
      </c>
      <c r="D552" s="10">
        <v>788.75299999999993</v>
      </c>
      <c r="E552" s="10">
        <v>1214.0169999999998</v>
      </c>
      <c r="F552" t="str">
        <f>VLOOKUP(A552,StoreLookup,2,FALSE)</f>
        <v>Store#1</v>
      </c>
      <c r="G552">
        <f>INDEX(CalLookUpTable,MATCH($B552,CalLookUpRow,0),MATCH(G$1,CalLookUpColumn,0))</f>
        <v>2019</v>
      </c>
      <c r="H552">
        <f>INDEX(CalLookUpTable,MATCH($B552,CalLookUpRow,0),MATCH(H$1,CalLookUpColumn,0))</f>
        <v>5</v>
      </c>
      <c r="I552">
        <f>INDEX(CalLookUpTable,MATCH($B552,CalLookUpRow,0),MATCH(I$1,CalLookUpColumn,0))</f>
        <v>3</v>
      </c>
    </row>
    <row r="553" spans="1:9" x14ac:dyDescent="0.25">
      <c r="A553" s="7">
        <v>1</v>
      </c>
      <c r="B553" s="8">
        <v>43603</v>
      </c>
      <c r="C553" s="9" t="s">
        <v>5</v>
      </c>
      <c r="D553" s="10">
        <v>3557.8130000000001</v>
      </c>
      <c r="E553" s="10">
        <v>0</v>
      </c>
      <c r="F553" t="str">
        <f>VLOOKUP(A553,StoreLookup,2,FALSE)</f>
        <v>Store#1</v>
      </c>
      <c r="G553">
        <f>INDEX(CalLookUpTable,MATCH($B553,CalLookUpRow,0),MATCH(G$1,CalLookUpColumn,0))</f>
        <v>2019</v>
      </c>
      <c r="H553">
        <f>INDEX(CalLookUpTable,MATCH($B553,CalLookUpRow,0),MATCH(H$1,CalLookUpColumn,0))</f>
        <v>5</v>
      </c>
      <c r="I553">
        <f>INDEX(CalLookUpTable,MATCH($B553,CalLookUpRow,0),MATCH(I$1,CalLookUpColumn,0))</f>
        <v>3</v>
      </c>
    </row>
    <row r="554" spans="1:9" x14ac:dyDescent="0.25">
      <c r="A554" s="7">
        <v>1</v>
      </c>
      <c r="B554" s="8">
        <v>43604</v>
      </c>
      <c r="C554" s="9" t="s">
        <v>4</v>
      </c>
      <c r="D554" s="10">
        <v>2032.4149999999997</v>
      </c>
      <c r="E554" s="10">
        <v>2490.0609999999997</v>
      </c>
      <c r="F554" t="str">
        <f>VLOOKUP(A554,StoreLookup,2,FALSE)</f>
        <v>Store#1</v>
      </c>
      <c r="G554">
        <f>INDEX(CalLookUpTable,MATCH($B554,CalLookUpRow,0),MATCH(G$1,CalLookUpColumn,0))</f>
        <v>2019</v>
      </c>
      <c r="H554">
        <f>INDEX(CalLookUpTable,MATCH($B554,CalLookUpRow,0),MATCH(H$1,CalLookUpColumn,0))</f>
        <v>5</v>
      </c>
      <c r="I554">
        <f>INDEX(CalLookUpTable,MATCH($B554,CalLookUpRow,0),MATCH(I$1,CalLookUpColumn,0))</f>
        <v>3</v>
      </c>
    </row>
    <row r="555" spans="1:9" x14ac:dyDescent="0.25">
      <c r="A555" s="7">
        <v>1</v>
      </c>
      <c r="B555" s="8">
        <v>43604</v>
      </c>
      <c r="C555" s="9" t="s">
        <v>3</v>
      </c>
      <c r="D555" s="10">
        <v>0</v>
      </c>
      <c r="E555" s="10">
        <v>0</v>
      </c>
      <c r="F555" t="str">
        <f>VLOOKUP(A555,StoreLookup,2,FALSE)</f>
        <v>Store#1</v>
      </c>
      <c r="G555">
        <f>INDEX(CalLookUpTable,MATCH($B555,CalLookUpRow,0),MATCH(G$1,CalLookUpColumn,0))</f>
        <v>2019</v>
      </c>
      <c r="H555">
        <f>INDEX(CalLookUpTable,MATCH($B555,CalLookUpRow,0),MATCH(H$1,CalLookUpColumn,0))</f>
        <v>5</v>
      </c>
      <c r="I555">
        <f>INDEX(CalLookUpTable,MATCH($B555,CalLookUpRow,0),MATCH(I$1,CalLookUpColumn,0))</f>
        <v>3</v>
      </c>
    </row>
    <row r="556" spans="1:9" x14ac:dyDescent="0.25">
      <c r="A556" s="7">
        <v>1</v>
      </c>
      <c r="B556" s="8">
        <v>43604</v>
      </c>
      <c r="C556" s="9" t="s">
        <v>6</v>
      </c>
      <c r="D556" s="10">
        <v>266.42700000000002</v>
      </c>
      <c r="E556" s="10">
        <v>386.93199999999996</v>
      </c>
      <c r="F556" t="str">
        <f>VLOOKUP(A556,StoreLookup,2,FALSE)</f>
        <v>Store#1</v>
      </c>
      <c r="G556">
        <f>INDEX(CalLookUpTable,MATCH($B556,CalLookUpRow,0),MATCH(G$1,CalLookUpColumn,0))</f>
        <v>2019</v>
      </c>
      <c r="H556">
        <f>INDEX(CalLookUpTable,MATCH($B556,CalLookUpRow,0),MATCH(H$1,CalLookUpColumn,0))</f>
        <v>5</v>
      </c>
      <c r="I556">
        <f>INDEX(CalLookUpTable,MATCH($B556,CalLookUpRow,0),MATCH(I$1,CalLookUpColumn,0))</f>
        <v>3</v>
      </c>
    </row>
    <row r="557" spans="1:9" x14ac:dyDescent="0.25">
      <c r="A557" s="7">
        <v>1</v>
      </c>
      <c r="B557" s="8">
        <v>43604</v>
      </c>
      <c r="C557" s="9" t="s">
        <v>5</v>
      </c>
      <c r="D557" s="10">
        <v>1939.4199999999998</v>
      </c>
      <c r="E557" s="10">
        <v>0</v>
      </c>
      <c r="F557" t="str">
        <f>VLOOKUP(A557,StoreLookup,2,FALSE)</f>
        <v>Store#1</v>
      </c>
      <c r="G557">
        <f>INDEX(CalLookUpTable,MATCH($B557,CalLookUpRow,0),MATCH(G$1,CalLookUpColumn,0))</f>
        <v>2019</v>
      </c>
      <c r="H557">
        <f>INDEX(CalLookUpTable,MATCH($B557,CalLookUpRow,0),MATCH(H$1,CalLookUpColumn,0))</f>
        <v>5</v>
      </c>
      <c r="I557">
        <f>INDEX(CalLookUpTable,MATCH($B557,CalLookUpRow,0),MATCH(I$1,CalLookUpColumn,0))</f>
        <v>3</v>
      </c>
    </row>
    <row r="558" spans="1:9" x14ac:dyDescent="0.25">
      <c r="A558" s="7">
        <v>1</v>
      </c>
      <c r="B558" s="8">
        <v>43605</v>
      </c>
      <c r="C558" s="9" t="s">
        <v>6</v>
      </c>
      <c r="D558" s="10">
        <v>603.63099999999997</v>
      </c>
      <c r="E558" s="10">
        <v>1069.5509999999999</v>
      </c>
      <c r="F558" t="str">
        <f>VLOOKUP(A558,StoreLookup,2,FALSE)</f>
        <v>Store#1</v>
      </c>
      <c r="G558">
        <f>INDEX(CalLookUpTable,MATCH($B558,CalLookUpRow,0),MATCH(G$1,CalLookUpColumn,0))</f>
        <v>2019</v>
      </c>
      <c r="H558">
        <f>INDEX(CalLookUpTable,MATCH($B558,CalLookUpRow,0),MATCH(H$1,CalLookUpColumn,0))</f>
        <v>5</v>
      </c>
      <c r="I558">
        <f>INDEX(CalLookUpTable,MATCH($B558,CalLookUpRow,0),MATCH(I$1,CalLookUpColumn,0))</f>
        <v>4</v>
      </c>
    </row>
    <row r="559" spans="1:9" x14ac:dyDescent="0.25">
      <c r="A559" s="7">
        <v>1</v>
      </c>
      <c r="B559" s="8">
        <v>43605</v>
      </c>
      <c r="C559" s="9" t="s">
        <v>4</v>
      </c>
      <c r="D559" s="10">
        <v>3281.2709999999997</v>
      </c>
      <c r="E559" s="10">
        <v>4138.0149999999994</v>
      </c>
      <c r="F559" t="str">
        <f>VLOOKUP(A559,StoreLookup,2,FALSE)</f>
        <v>Store#1</v>
      </c>
      <c r="G559">
        <f>INDEX(CalLookUpTable,MATCH($B559,CalLookUpRow,0),MATCH(G$1,CalLookUpColumn,0))</f>
        <v>2019</v>
      </c>
      <c r="H559">
        <f>INDEX(CalLookUpTable,MATCH($B559,CalLookUpRow,0),MATCH(H$1,CalLookUpColumn,0))</f>
        <v>5</v>
      </c>
      <c r="I559">
        <f>INDEX(CalLookUpTable,MATCH($B559,CalLookUpRow,0),MATCH(I$1,CalLookUpColumn,0))</f>
        <v>4</v>
      </c>
    </row>
    <row r="560" spans="1:9" x14ac:dyDescent="0.25">
      <c r="A560" s="7">
        <v>1</v>
      </c>
      <c r="B560" s="8">
        <v>43605</v>
      </c>
      <c r="C560" s="9" t="s">
        <v>3</v>
      </c>
      <c r="D560" s="10">
        <v>463.68699999999995</v>
      </c>
      <c r="E560" s="10">
        <v>1680.1469999999999</v>
      </c>
      <c r="F560" t="str">
        <f>VLOOKUP(A560,StoreLookup,2,FALSE)</f>
        <v>Store#1</v>
      </c>
      <c r="G560">
        <f>INDEX(CalLookUpTable,MATCH($B560,CalLookUpRow,0),MATCH(G$1,CalLookUpColumn,0))</f>
        <v>2019</v>
      </c>
      <c r="H560">
        <f>INDEX(CalLookUpTable,MATCH($B560,CalLookUpRow,0),MATCH(H$1,CalLookUpColumn,0))</f>
        <v>5</v>
      </c>
      <c r="I560">
        <f>INDEX(CalLookUpTable,MATCH($B560,CalLookUpRow,0),MATCH(I$1,CalLookUpColumn,0))</f>
        <v>4</v>
      </c>
    </row>
    <row r="561" spans="1:9" x14ac:dyDescent="0.25">
      <c r="A561" s="7">
        <v>1</v>
      </c>
      <c r="B561" s="8">
        <v>43605</v>
      </c>
      <c r="C561" s="9" t="s">
        <v>5</v>
      </c>
      <c r="D561" s="10">
        <v>2835.252</v>
      </c>
      <c r="E561" s="10">
        <v>0</v>
      </c>
      <c r="F561" t="str">
        <f>VLOOKUP(A561,StoreLookup,2,FALSE)</f>
        <v>Store#1</v>
      </c>
      <c r="G561">
        <f>INDEX(CalLookUpTable,MATCH($B561,CalLookUpRow,0),MATCH(G$1,CalLookUpColumn,0))</f>
        <v>2019</v>
      </c>
      <c r="H561">
        <f>INDEX(CalLookUpTable,MATCH($B561,CalLookUpRow,0),MATCH(H$1,CalLookUpColumn,0))</f>
        <v>5</v>
      </c>
      <c r="I561">
        <f>INDEX(CalLookUpTable,MATCH($B561,CalLookUpRow,0),MATCH(I$1,CalLookUpColumn,0))</f>
        <v>4</v>
      </c>
    </row>
    <row r="562" spans="1:9" x14ac:dyDescent="0.25">
      <c r="A562" s="7">
        <v>1</v>
      </c>
      <c r="B562" s="8">
        <v>43606</v>
      </c>
      <c r="C562" s="9" t="s">
        <v>6</v>
      </c>
      <c r="D562" s="10">
        <v>834.63799999999992</v>
      </c>
      <c r="E562" s="10">
        <v>1072.9459999999999</v>
      </c>
      <c r="F562" t="str">
        <f>VLOOKUP(A562,StoreLookup,2,FALSE)</f>
        <v>Store#1</v>
      </c>
      <c r="G562">
        <f>INDEX(CalLookUpTable,MATCH($B562,CalLookUpRow,0),MATCH(G$1,CalLookUpColumn,0))</f>
        <v>2019</v>
      </c>
      <c r="H562">
        <f>INDEX(CalLookUpTable,MATCH($B562,CalLookUpRow,0),MATCH(H$1,CalLookUpColumn,0))</f>
        <v>5</v>
      </c>
      <c r="I562">
        <f>INDEX(CalLookUpTable,MATCH($B562,CalLookUpRow,0),MATCH(I$1,CalLookUpColumn,0))</f>
        <v>4</v>
      </c>
    </row>
    <row r="563" spans="1:9" x14ac:dyDescent="0.25">
      <c r="A563" s="7">
        <v>1</v>
      </c>
      <c r="B563" s="8">
        <v>43606</v>
      </c>
      <c r="C563" s="9" t="s">
        <v>3</v>
      </c>
      <c r="D563" s="10">
        <v>0</v>
      </c>
      <c r="E563" s="10">
        <v>1493.5199999999998</v>
      </c>
      <c r="F563" t="str">
        <f>VLOOKUP(A563,StoreLookup,2,FALSE)</f>
        <v>Store#1</v>
      </c>
      <c r="G563">
        <f>INDEX(CalLookUpTable,MATCH($B563,CalLookUpRow,0),MATCH(G$1,CalLookUpColumn,0))</f>
        <v>2019</v>
      </c>
      <c r="H563">
        <f>INDEX(CalLookUpTable,MATCH($B563,CalLookUpRow,0),MATCH(H$1,CalLookUpColumn,0))</f>
        <v>5</v>
      </c>
      <c r="I563">
        <f>INDEX(CalLookUpTable,MATCH($B563,CalLookUpRow,0),MATCH(I$1,CalLookUpColumn,0))</f>
        <v>4</v>
      </c>
    </row>
    <row r="564" spans="1:9" x14ac:dyDescent="0.25">
      <c r="A564" s="7">
        <v>1</v>
      </c>
      <c r="B564" s="8">
        <v>43606</v>
      </c>
      <c r="C564" s="9" t="s">
        <v>5</v>
      </c>
      <c r="D564" s="10">
        <v>3254.3769999999995</v>
      </c>
      <c r="E564" s="10">
        <v>0</v>
      </c>
      <c r="F564" t="str">
        <f>VLOOKUP(A564,StoreLookup,2,FALSE)</f>
        <v>Store#1</v>
      </c>
      <c r="G564">
        <f>INDEX(CalLookUpTable,MATCH($B564,CalLookUpRow,0),MATCH(G$1,CalLookUpColumn,0))</f>
        <v>2019</v>
      </c>
      <c r="H564">
        <f>INDEX(CalLookUpTable,MATCH($B564,CalLookUpRow,0),MATCH(H$1,CalLookUpColumn,0))</f>
        <v>5</v>
      </c>
      <c r="I564">
        <f>INDEX(CalLookUpTable,MATCH($B564,CalLookUpRow,0),MATCH(I$1,CalLookUpColumn,0))</f>
        <v>4</v>
      </c>
    </row>
    <row r="565" spans="1:9" x14ac:dyDescent="0.25">
      <c r="A565" s="7">
        <v>1</v>
      </c>
      <c r="B565" s="8">
        <v>43606</v>
      </c>
      <c r="C565" s="9" t="s">
        <v>4</v>
      </c>
      <c r="D565" s="10">
        <v>2805.25</v>
      </c>
      <c r="E565" s="10">
        <v>3727.7449999999999</v>
      </c>
      <c r="F565" t="str">
        <f>VLOOKUP(A565,StoreLookup,2,FALSE)</f>
        <v>Store#1</v>
      </c>
      <c r="G565">
        <f>INDEX(CalLookUpTable,MATCH($B565,CalLookUpRow,0),MATCH(G$1,CalLookUpColumn,0))</f>
        <v>2019</v>
      </c>
      <c r="H565">
        <f>INDEX(CalLookUpTable,MATCH($B565,CalLookUpRow,0),MATCH(H$1,CalLookUpColumn,0))</f>
        <v>5</v>
      </c>
      <c r="I565">
        <f>INDEX(CalLookUpTable,MATCH($B565,CalLookUpRow,0),MATCH(I$1,CalLookUpColumn,0))</f>
        <v>4</v>
      </c>
    </row>
    <row r="566" spans="1:9" x14ac:dyDescent="0.25">
      <c r="A566" s="7">
        <v>1</v>
      </c>
      <c r="B566" s="8">
        <v>43607</v>
      </c>
      <c r="C566" s="9" t="s">
        <v>3</v>
      </c>
      <c r="D566" s="10">
        <v>0</v>
      </c>
      <c r="E566" s="10">
        <v>321.42599999999999</v>
      </c>
      <c r="F566" t="str">
        <f>VLOOKUP(A566,StoreLookup,2,FALSE)</f>
        <v>Store#1</v>
      </c>
      <c r="G566">
        <f>INDEX(CalLookUpTable,MATCH($B566,CalLookUpRow,0),MATCH(G$1,CalLookUpColumn,0))</f>
        <v>2019</v>
      </c>
      <c r="H566">
        <f>INDEX(CalLookUpTable,MATCH($B566,CalLookUpRow,0),MATCH(H$1,CalLookUpColumn,0))</f>
        <v>5</v>
      </c>
      <c r="I566">
        <f>INDEX(CalLookUpTable,MATCH($B566,CalLookUpRow,0),MATCH(I$1,CalLookUpColumn,0))</f>
        <v>4</v>
      </c>
    </row>
    <row r="567" spans="1:9" x14ac:dyDescent="0.25">
      <c r="A567" s="7">
        <v>1</v>
      </c>
      <c r="B567" s="8">
        <v>43607</v>
      </c>
      <c r="C567" s="9" t="s">
        <v>5</v>
      </c>
      <c r="D567" s="10">
        <v>3418.1420000000003</v>
      </c>
      <c r="E567" s="10">
        <v>0</v>
      </c>
      <c r="F567" t="str">
        <f>VLOOKUP(A567,StoreLookup,2,FALSE)</f>
        <v>Store#1</v>
      </c>
      <c r="G567">
        <f>INDEX(CalLookUpTable,MATCH($B567,CalLookUpRow,0),MATCH(G$1,CalLookUpColumn,0))</f>
        <v>2019</v>
      </c>
      <c r="H567">
        <f>INDEX(CalLookUpTable,MATCH($B567,CalLookUpRow,0),MATCH(H$1,CalLookUpColumn,0))</f>
        <v>5</v>
      </c>
      <c r="I567">
        <f>INDEX(CalLookUpTable,MATCH($B567,CalLookUpRow,0),MATCH(I$1,CalLookUpColumn,0))</f>
        <v>4</v>
      </c>
    </row>
    <row r="568" spans="1:9" x14ac:dyDescent="0.25">
      <c r="A568" s="7">
        <v>1</v>
      </c>
      <c r="B568" s="8">
        <v>43607</v>
      </c>
      <c r="C568" s="9" t="s">
        <v>4</v>
      </c>
      <c r="D568" s="10">
        <v>4387.6839999999993</v>
      </c>
      <c r="E568" s="10">
        <v>4591.8809999999994</v>
      </c>
      <c r="F568" t="str">
        <f>VLOOKUP(A568,StoreLookup,2,FALSE)</f>
        <v>Store#1</v>
      </c>
      <c r="G568">
        <f>INDEX(CalLookUpTable,MATCH($B568,CalLookUpRow,0),MATCH(G$1,CalLookUpColumn,0))</f>
        <v>2019</v>
      </c>
      <c r="H568">
        <f>INDEX(CalLookUpTable,MATCH($B568,CalLookUpRow,0),MATCH(H$1,CalLookUpColumn,0))</f>
        <v>5</v>
      </c>
      <c r="I568">
        <f>INDEX(CalLookUpTable,MATCH($B568,CalLookUpRow,0),MATCH(I$1,CalLookUpColumn,0))</f>
        <v>4</v>
      </c>
    </row>
    <row r="569" spans="1:9" x14ac:dyDescent="0.25">
      <c r="A569" s="7">
        <v>1</v>
      </c>
      <c r="B569" s="8">
        <v>43607</v>
      </c>
      <c r="C569" s="9" t="s">
        <v>6</v>
      </c>
      <c r="D569" s="10">
        <v>740.52300000000002</v>
      </c>
      <c r="E569" s="10">
        <v>1257.704</v>
      </c>
      <c r="F569" t="str">
        <f>VLOOKUP(A569,StoreLookup,2,FALSE)</f>
        <v>Store#1</v>
      </c>
      <c r="G569">
        <f>INDEX(CalLookUpTable,MATCH($B569,CalLookUpRow,0),MATCH(G$1,CalLookUpColumn,0))</f>
        <v>2019</v>
      </c>
      <c r="H569">
        <f>INDEX(CalLookUpTable,MATCH($B569,CalLookUpRow,0),MATCH(H$1,CalLookUpColumn,0))</f>
        <v>5</v>
      </c>
      <c r="I569">
        <f>INDEX(CalLookUpTable,MATCH($B569,CalLookUpRow,0),MATCH(I$1,CalLookUpColumn,0))</f>
        <v>4</v>
      </c>
    </row>
    <row r="570" spans="1:9" x14ac:dyDescent="0.25">
      <c r="A570" s="7">
        <v>1</v>
      </c>
      <c r="B570" s="8">
        <v>43608</v>
      </c>
      <c r="C570" s="9" t="s">
        <v>6</v>
      </c>
      <c r="D570" s="10">
        <v>644.79099999999994</v>
      </c>
      <c r="E570" s="10">
        <v>1448.1529999999998</v>
      </c>
      <c r="F570" t="str">
        <f>VLOOKUP(A570,StoreLookup,2,FALSE)</f>
        <v>Store#1</v>
      </c>
      <c r="G570">
        <f>INDEX(CalLookUpTable,MATCH($B570,CalLookUpRow,0),MATCH(G$1,CalLookUpColumn,0))</f>
        <v>2019</v>
      </c>
      <c r="H570">
        <f>INDEX(CalLookUpTable,MATCH($B570,CalLookUpRow,0),MATCH(H$1,CalLookUpColumn,0))</f>
        <v>5</v>
      </c>
      <c r="I570">
        <f>INDEX(CalLookUpTable,MATCH($B570,CalLookUpRow,0),MATCH(I$1,CalLookUpColumn,0))</f>
        <v>4</v>
      </c>
    </row>
    <row r="571" spans="1:9" x14ac:dyDescent="0.25">
      <c r="A571" s="7">
        <v>1</v>
      </c>
      <c r="B571" s="8">
        <v>43608</v>
      </c>
      <c r="C571" s="9" t="s">
        <v>4</v>
      </c>
      <c r="D571" s="10">
        <v>3675.7</v>
      </c>
      <c r="E571" s="10">
        <v>5491.0869999999995</v>
      </c>
      <c r="F571" t="str">
        <f>VLOOKUP(A571,StoreLookup,2,FALSE)</f>
        <v>Store#1</v>
      </c>
      <c r="G571">
        <f>INDEX(CalLookUpTable,MATCH($B571,CalLookUpRow,0),MATCH(G$1,CalLookUpColumn,0))</f>
        <v>2019</v>
      </c>
      <c r="H571">
        <f>INDEX(CalLookUpTable,MATCH($B571,CalLookUpRow,0),MATCH(H$1,CalLookUpColumn,0))</f>
        <v>5</v>
      </c>
      <c r="I571">
        <f>INDEX(CalLookUpTable,MATCH($B571,CalLookUpRow,0),MATCH(I$1,CalLookUpColumn,0))</f>
        <v>4</v>
      </c>
    </row>
    <row r="572" spans="1:9" x14ac:dyDescent="0.25">
      <c r="A572" s="7">
        <v>1</v>
      </c>
      <c r="B572" s="8">
        <v>43608</v>
      </c>
      <c r="C572" s="9" t="s">
        <v>3</v>
      </c>
      <c r="D572" s="10">
        <v>432.733</v>
      </c>
      <c r="E572" s="10">
        <v>844.51499999999999</v>
      </c>
      <c r="F572" t="str">
        <f>VLOOKUP(A572,StoreLookup,2,FALSE)</f>
        <v>Store#1</v>
      </c>
      <c r="G572">
        <f>INDEX(CalLookUpTable,MATCH($B572,CalLookUpRow,0),MATCH(G$1,CalLookUpColumn,0))</f>
        <v>2019</v>
      </c>
      <c r="H572">
        <f>INDEX(CalLookUpTable,MATCH($B572,CalLookUpRow,0),MATCH(H$1,CalLookUpColumn,0))</f>
        <v>5</v>
      </c>
      <c r="I572">
        <f>INDEX(CalLookUpTable,MATCH($B572,CalLookUpRow,0),MATCH(I$1,CalLookUpColumn,0))</f>
        <v>4</v>
      </c>
    </row>
    <row r="573" spans="1:9" x14ac:dyDescent="0.25">
      <c r="A573" s="7">
        <v>1</v>
      </c>
      <c r="B573" s="8">
        <v>43608</v>
      </c>
      <c r="C573" s="9" t="s">
        <v>5</v>
      </c>
      <c r="D573" s="10">
        <v>3547.194</v>
      </c>
      <c r="E573" s="10">
        <v>0</v>
      </c>
      <c r="F573" t="str">
        <f>VLOOKUP(A573,StoreLookup,2,FALSE)</f>
        <v>Store#1</v>
      </c>
      <c r="G573">
        <f>INDEX(CalLookUpTable,MATCH($B573,CalLookUpRow,0),MATCH(G$1,CalLookUpColumn,0))</f>
        <v>2019</v>
      </c>
      <c r="H573">
        <f>INDEX(CalLookUpTable,MATCH($B573,CalLookUpRow,0),MATCH(H$1,CalLookUpColumn,0))</f>
        <v>5</v>
      </c>
      <c r="I573">
        <f>INDEX(CalLookUpTable,MATCH($B573,CalLookUpRow,0),MATCH(I$1,CalLookUpColumn,0))</f>
        <v>4</v>
      </c>
    </row>
    <row r="574" spans="1:9" x14ac:dyDescent="0.25">
      <c r="A574" s="7">
        <v>1</v>
      </c>
      <c r="B574" s="8">
        <v>43609</v>
      </c>
      <c r="C574" s="9" t="s">
        <v>4</v>
      </c>
      <c r="D574" s="10">
        <v>4668.9089999999997</v>
      </c>
      <c r="E574" s="10">
        <v>5489.9459999999999</v>
      </c>
      <c r="F574" t="str">
        <f>VLOOKUP(A574,StoreLookup,2,FALSE)</f>
        <v>Store#1</v>
      </c>
      <c r="G574">
        <f>INDEX(CalLookUpTable,MATCH($B574,CalLookUpRow,0),MATCH(G$1,CalLookUpColumn,0))</f>
        <v>2019</v>
      </c>
      <c r="H574">
        <f>INDEX(CalLookUpTable,MATCH($B574,CalLookUpRow,0),MATCH(H$1,CalLookUpColumn,0))</f>
        <v>5</v>
      </c>
      <c r="I574">
        <f>INDEX(CalLookUpTable,MATCH($B574,CalLookUpRow,0),MATCH(I$1,CalLookUpColumn,0))</f>
        <v>4</v>
      </c>
    </row>
    <row r="575" spans="1:9" x14ac:dyDescent="0.25">
      <c r="A575" s="7">
        <v>1</v>
      </c>
      <c r="B575" s="8">
        <v>43609</v>
      </c>
      <c r="C575" s="9" t="s">
        <v>5</v>
      </c>
      <c r="D575" s="10">
        <v>3409.2239999999997</v>
      </c>
      <c r="E575" s="10">
        <v>0</v>
      </c>
      <c r="F575" t="str">
        <f>VLOOKUP(A575,StoreLookup,2,FALSE)</f>
        <v>Store#1</v>
      </c>
      <c r="G575">
        <f>INDEX(CalLookUpTable,MATCH($B575,CalLookUpRow,0),MATCH(G$1,CalLookUpColumn,0))</f>
        <v>2019</v>
      </c>
      <c r="H575">
        <f>INDEX(CalLookUpTable,MATCH($B575,CalLookUpRow,0),MATCH(H$1,CalLookUpColumn,0))</f>
        <v>5</v>
      </c>
      <c r="I575">
        <f>INDEX(CalLookUpTable,MATCH($B575,CalLookUpRow,0),MATCH(I$1,CalLookUpColumn,0))</f>
        <v>4</v>
      </c>
    </row>
    <row r="576" spans="1:9" x14ac:dyDescent="0.25">
      <c r="A576" s="7">
        <v>1</v>
      </c>
      <c r="B576" s="8">
        <v>43609</v>
      </c>
      <c r="C576" s="9" t="s">
        <v>3</v>
      </c>
      <c r="D576" s="10">
        <v>641.64799999999991</v>
      </c>
      <c r="E576" s="10">
        <v>1448.2649999999999</v>
      </c>
      <c r="F576" t="str">
        <f>VLOOKUP(A576,StoreLookup,2,FALSE)</f>
        <v>Store#1</v>
      </c>
      <c r="G576">
        <f>INDEX(CalLookUpTable,MATCH($B576,CalLookUpRow,0),MATCH(G$1,CalLookUpColumn,0))</f>
        <v>2019</v>
      </c>
      <c r="H576">
        <f>INDEX(CalLookUpTable,MATCH($B576,CalLookUpRow,0),MATCH(H$1,CalLookUpColumn,0))</f>
        <v>5</v>
      </c>
      <c r="I576">
        <f>INDEX(CalLookUpTable,MATCH($B576,CalLookUpRow,0),MATCH(I$1,CalLookUpColumn,0))</f>
        <v>4</v>
      </c>
    </row>
    <row r="577" spans="1:9" x14ac:dyDescent="0.25">
      <c r="A577" s="7">
        <v>1</v>
      </c>
      <c r="B577" s="8">
        <v>43609</v>
      </c>
      <c r="C577" s="9" t="s">
        <v>6</v>
      </c>
      <c r="D577" s="10">
        <v>1355.662</v>
      </c>
      <c r="E577" s="10">
        <v>1794.0229999999997</v>
      </c>
      <c r="F577" t="str">
        <f>VLOOKUP(A577,StoreLookup,2,FALSE)</f>
        <v>Store#1</v>
      </c>
      <c r="G577">
        <f>INDEX(CalLookUpTable,MATCH($B577,CalLookUpRow,0),MATCH(G$1,CalLookUpColumn,0))</f>
        <v>2019</v>
      </c>
      <c r="H577">
        <f>INDEX(CalLookUpTable,MATCH($B577,CalLookUpRow,0),MATCH(H$1,CalLookUpColumn,0))</f>
        <v>5</v>
      </c>
      <c r="I577">
        <f>INDEX(CalLookUpTable,MATCH($B577,CalLookUpRow,0),MATCH(I$1,CalLookUpColumn,0))</f>
        <v>4</v>
      </c>
    </row>
    <row r="578" spans="1:9" x14ac:dyDescent="0.25">
      <c r="A578" s="7">
        <v>1</v>
      </c>
      <c r="B578" s="8">
        <v>43610</v>
      </c>
      <c r="C578" s="9" t="s">
        <v>3</v>
      </c>
      <c r="D578" s="10">
        <v>269.25499999999994</v>
      </c>
      <c r="E578" s="10">
        <v>0</v>
      </c>
      <c r="F578" t="str">
        <f>VLOOKUP(A578,StoreLookup,2,FALSE)</f>
        <v>Store#1</v>
      </c>
      <c r="G578">
        <f>INDEX(CalLookUpTable,MATCH($B578,CalLookUpRow,0),MATCH(G$1,CalLookUpColumn,0))</f>
        <v>2019</v>
      </c>
      <c r="H578">
        <f>INDEX(CalLookUpTable,MATCH($B578,CalLookUpRow,0),MATCH(H$1,CalLookUpColumn,0))</f>
        <v>5</v>
      </c>
      <c r="I578">
        <f>INDEX(CalLookUpTable,MATCH($B578,CalLookUpRow,0),MATCH(I$1,CalLookUpColumn,0))</f>
        <v>4</v>
      </c>
    </row>
    <row r="579" spans="1:9" x14ac:dyDescent="0.25">
      <c r="A579" s="7">
        <v>1</v>
      </c>
      <c r="B579" s="8">
        <v>43610</v>
      </c>
      <c r="C579" s="9" t="s">
        <v>6</v>
      </c>
      <c r="D579" s="10">
        <v>929.76799999999992</v>
      </c>
      <c r="E579" s="10">
        <v>1366.2669999999998</v>
      </c>
      <c r="F579" t="str">
        <f>VLOOKUP(A579,StoreLookup,2,FALSE)</f>
        <v>Store#1</v>
      </c>
      <c r="G579">
        <f>INDEX(CalLookUpTable,MATCH($B579,CalLookUpRow,0),MATCH(G$1,CalLookUpColumn,0))</f>
        <v>2019</v>
      </c>
      <c r="H579">
        <f>INDEX(CalLookUpTable,MATCH($B579,CalLookUpRow,0),MATCH(H$1,CalLookUpColumn,0))</f>
        <v>5</v>
      </c>
      <c r="I579">
        <f>INDEX(CalLookUpTable,MATCH($B579,CalLookUpRow,0),MATCH(I$1,CalLookUpColumn,0))</f>
        <v>4</v>
      </c>
    </row>
    <row r="580" spans="1:9" x14ac:dyDescent="0.25">
      <c r="A580" s="7">
        <v>1</v>
      </c>
      <c r="B580" s="8">
        <v>43610</v>
      </c>
      <c r="C580" s="9" t="s">
        <v>4</v>
      </c>
      <c r="D580" s="10">
        <v>4363.87</v>
      </c>
      <c r="E580" s="10">
        <v>5095.8949999999995</v>
      </c>
      <c r="F580" t="str">
        <f>VLOOKUP(A580,StoreLookup,2,FALSE)</f>
        <v>Store#1</v>
      </c>
      <c r="G580">
        <f>INDEX(CalLookUpTable,MATCH($B580,CalLookUpRow,0),MATCH(G$1,CalLookUpColumn,0))</f>
        <v>2019</v>
      </c>
      <c r="H580">
        <f>INDEX(CalLookUpTable,MATCH($B580,CalLookUpRow,0),MATCH(H$1,CalLookUpColumn,0))</f>
        <v>5</v>
      </c>
      <c r="I580">
        <f>INDEX(CalLookUpTable,MATCH($B580,CalLookUpRow,0),MATCH(I$1,CalLookUpColumn,0))</f>
        <v>4</v>
      </c>
    </row>
    <row r="581" spans="1:9" x14ac:dyDescent="0.25">
      <c r="A581" s="7">
        <v>1</v>
      </c>
      <c r="B581" s="8">
        <v>43610</v>
      </c>
      <c r="C581" s="9" t="s">
        <v>5</v>
      </c>
      <c r="D581" s="10">
        <v>3006.4929999999995</v>
      </c>
      <c r="E581" s="10">
        <v>0</v>
      </c>
      <c r="F581" t="str">
        <f>VLOOKUP(A581,StoreLookup,2,FALSE)</f>
        <v>Store#1</v>
      </c>
      <c r="G581">
        <f>INDEX(CalLookUpTable,MATCH($B581,CalLookUpRow,0),MATCH(G$1,CalLookUpColumn,0))</f>
        <v>2019</v>
      </c>
      <c r="H581">
        <f>INDEX(CalLookUpTable,MATCH($B581,CalLookUpRow,0),MATCH(H$1,CalLookUpColumn,0))</f>
        <v>5</v>
      </c>
      <c r="I581">
        <f>INDEX(CalLookUpTable,MATCH($B581,CalLookUpRow,0),MATCH(I$1,CalLookUpColumn,0))</f>
        <v>4</v>
      </c>
    </row>
    <row r="582" spans="1:9" x14ac:dyDescent="0.25">
      <c r="A582" s="7">
        <v>1</v>
      </c>
      <c r="B582" s="8">
        <v>43611</v>
      </c>
      <c r="C582" s="9" t="s">
        <v>5</v>
      </c>
      <c r="D582" s="10">
        <v>1601.2359999999999</v>
      </c>
      <c r="E582" s="10">
        <v>0</v>
      </c>
      <c r="F582" t="str">
        <f>VLOOKUP(A582,StoreLookup,2,FALSE)</f>
        <v>Store#1</v>
      </c>
      <c r="G582">
        <f>INDEX(CalLookUpTable,MATCH($B582,CalLookUpRow,0),MATCH(G$1,CalLookUpColumn,0))</f>
        <v>2019</v>
      </c>
      <c r="H582">
        <f>INDEX(CalLookUpTable,MATCH($B582,CalLookUpRow,0),MATCH(H$1,CalLookUpColumn,0))</f>
        <v>5</v>
      </c>
      <c r="I582">
        <f>INDEX(CalLookUpTable,MATCH($B582,CalLookUpRow,0),MATCH(I$1,CalLookUpColumn,0))</f>
        <v>4</v>
      </c>
    </row>
    <row r="583" spans="1:9" x14ac:dyDescent="0.25">
      <c r="A583" s="7">
        <v>1</v>
      </c>
      <c r="B583" s="8">
        <v>43611</v>
      </c>
      <c r="C583" s="9" t="s">
        <v>6</v>
      </c>
      <c r="D583" s="10">
        <v>162.28100000000001</v>
      </c>
      <c r="E583" s="10">
        <v>550.54300000000001</v>
      </c>
      <c r="F583" t="str">
        <f>VLOOKUP(A583,StoreLookup,2,FALSE)</f>
        <v>Store#1</v>
      </c>
      <c r="G583">
        <f>INDEX(CalLookUpTable,MATCH($B583,CalLookUpRow,0),MATCH(G$1,CalLookUpColumn,0))</f>
        <v>2019</v>
      </c>
      <c r="H583">
        <f>INDEX(CalLookUpTable,MATCH($B583,CalLookUpRow,0),MATCH(H$1,CalLookUpColumn,0))</f>
        <v>5</v>
      </c>
      <c r="I583">
        <f>INDEX(CalLookUpTable,MATCH($B583,CalLookUpRow,0),MATCH(I$1,CalLookUpColumn,0))</f>
        <v>4</v>
      </c>
    </row>
    <row r="584" spans="1:9" x14ac:dyDescent="0.25">
      <c r="A584" s="7">
        <v>1</v>
      </c>
      <c r="B584" s="8">
        <v>43611</v>
      </c>
      <c r="C584" s="9" t="s">
        <v>3</v>
      </c>
      <c r="D584" s="10">
        <v>0</v>
      </c>
      <c r="E584" s="10">
        <v>0</v>
      </c>
      <c r="F584" t="str">
        <f>VLOOKUP(A584,StoreLookup,2,FALSE)</f>
        <v>Store#1</v>
      </c>
      <c r="G584">
        <f>INDEX(CalLookUpTable,MATCH($B584,CalLookUpRow,0),MATCH(G$1,CalLookUpColumn,0))</f>
        <v>2019</v>
      </c>
      <c r="H584">
        <f>INDEX(CalLookUpTable,MATCH($B584,CalLookUpRow,0),MATCH(H$1,CalLookUpColumn,0))</f>
        <v>5</v>
      </c>
      <c r="I584">
        <f>INDEX(CalLookUpTable,MATCH($B584,CalLookUpRow,0),MATCH(I$1,CalLookUpColumn,0))</f>
        <v>4</v>
      </c>
    </row>
    <row r="585" spans="1:9" x14ac:dyDescent="0.25">
      <c r="A585" s="7">
        <v>1</v>
      </c>
      <c r="B585" s="8">
        <v>43611</v>
      </c>
      <c r="C585" s="9" t="s">
        <v>4</v>
      </c>
      <c r="D585" s="10">
        <v>2027.3329999999999</v>
      </c>
      <c r="E585" s="10">
        <v>2175.6909999999998</v>
      </c>
      <c r="F585" t="str">
        <f>VLOOKUP(A585,StoreLookup,2,FALSE)</f>
        <v>Store#1</v>
      </c>
      <c r="G585">
        <f>INDEX(CalLookUpTable,MATCH($B585,CalLookUpRow,0),MATCH(G$1,CalLookUpColumn,0))</f>
        <v>2019</v>
      </c>
      <c r="H585">
        <f>INDEX(CalLookUpTable,MATCH($B585,CalLookUpRow,0),MATCH(H$1,CalLookUpColumn,0))</f>
        <v>5</v>
      </c>
      <c r="I585">
        <f>INDEX(CalLookUpTable,MATCH($B585,CalLookUpRow,0),MATCH(I$1,CalLookUpColumn,0))</f>
        <v>4</v>
      </c>
    </row>
    <row r="586" spans="1:9" x14ac:dyDescent="0.25">
      <c r="A586" s="7">
        <v>1</v>
      </c>
      <c r="B586" s="8">
        <v>43612</v>
      </c>
      <c r="C586" s="9" t="s">
        <v>4</v>
      </c>
      <c r="D586" s="10">
        <v>4412.7789999999995</v>
      </c>
      <c r="E586" s="10">
        <v>5326.2089999999998</v>
      </c>
      <c r="F586" t="str">
        <f>VLOOKUP(A586,StoreLookup,2,FALSE)</f>
        <v>Store#1</v>
      </c>
      <c r="G586">
        <f>INDEX(CalLookUpTable,MATCH($B586,CalLookUpRow,0),MATCH(G$1,CalLookUpColumn,0))</f>
        <v>2019</v>
      </c>
      <c r="H586">
        <f>INDEX(CalLookUpTable,MATCH($B586,CalLookUpRow,0),MATCH(H$1,CalLookUpColumn,0))</f>
        <v>6</v>
      </c>
      <c r="I586">
        <f>INDEX(CalLookUpTable,MATCH($B586,CalLookUpRow,0),MATCH(I$1,CalLookUpColumn,0))</f>
        <v>1</v>
      </c>
    </row>
    <row r="587" spans="1:9" x14ac:dyDescent="0.25">
      <c r="A587" s="7">
        <v>1</v>
      </c>
      <c r="B587" s="8">
        <v>43612</v>
      </c>
      <c r="C587" s="9" t="s">
        <v>6</v>
      </c>
      <c r="D587" s="10">
        <v>652.00800000000004</v>
      </c>
      <c r="E587" s="10">
        <v>1316.1399999999999</v>
      </c>
      <c r="F587" t="str">
        <f>VLOOKUP(A587,StoreLookup,2,FALSE)</f>
        <v>Store#1</v>
      </c>
      <c r="G587">
        <f>INDEX(CalLookUpTable,MATCH($B587,CalLookUpRow,0),MATCH(G$1,CalLookUpColumn,0))</f>
        <v>2019</v>
      </c>
      <c r="H587">
        <f>INDEX(CalLookUpTable,MATCH($B587,CalLookUpRow,0),MATCH(H$1,CalLookUpColumn,0))</f>
        <v>6</v>
      </c>
      <c r="I587">
        <f>INDEX(CalLookUpTable,MATCH($B587,CalLookUpRow,0),MATCH(I$1,CalLookUpColumn,0))</f>
        <v>1</v>
      </c>
    </row>
    <row r="588" spans="1:9" x14ac:dyDescent="0.25">
      <c r="A588" s="7">
        <v>1</v>
      </c>
      <c r="B588" s="8">
        <v>43612</v>
      </c>
      <c r="C588" s="9" t="s">
        <v>5</v>
      </c>
      <c r="D588" s="10">
        <v>3387.1739999999995</v>
      </c>
      <c r="E588" s="10">
        <v>0</v>
      </c>
      <c r="F588" t="str">
        <f>VLOOKUP(A588,StoreLookup,2,FALSE)</f>
        <v>Store#1</v>
      </c>
      <c r="G588">
        <f>INDEX(CalLookUpTable,MATCH($B588,CalLookUpRow,0),MATCH(G$1,CalLookUpColumn,0))</f>
        <v>2019</v>
      </c>
      <c r="H588">
        <f>INDEX(CalLookUpTable,MATCH($B588,CalLookUpRow,0),MATCH(H$1,CalLookUpColumn,0))</f>
        <v>6</v>
      </c>
      <c r="I588">
        <f>INDEX(CalLookUpTable,MATCH($B588,CalLookUpRow,0),MATCH(I$1,CalLookUpColumn,0))</f>
        <v>1</v>
      </c>
    </row>
    <row r="589" spans="1:9" x14ac:dyDescent="0.25">
      <c r="A589" s="7">
        <v>1</v>
      </c>
      <c r="B589" s="8">
        <v>43612</v>
      </c>
      <c r="C589" s="9" t="s">
        <v>3</v>
      </c>
      <c r="D589" s="10">
        <v>0</v>
      </c>
      <c r="E589" s="10">
        <v>0</v>
      </c>
      <c r="F589" t="str">
        <f>VLOOKUP(A589,StoreLookup,2,FALSE)</f>
        <v>Store#1</v>
      </c>
      <c r="G589">
        <f>INDEX(CalLookUpTable,MATCH($B589,CalLookUpRow,0),MATCH(G$1,CalLookUpColumn,0))</f>
        <v>2019</v>
      </c>
      <c r="H589">
        <f>INDEX(CalLookUpTable,MATCH($B589,CalLookUpRow,0),MATCH(H$1,CalLookUpColumn,0))</f>
        <v>6</v>
      </c>
      <c r="I589">
        <f>INDEX(CalLookUpTable,MATCH($B589,CalLookUpRow,0),MATCH(I$1,CalLookUpColumn,0))</f>
        <v>1</v>
      </c>
    </row>
    <row r="590" spans="1:9" x14ac:dyDescent="0.25">
      <c r="A590" s="7">
        <v>1</v>
      </c>
      <c r="B590" s="8">
        <v>43613</v>
      </c>
      <c r="C590" s="9" t="s">
        <v>6</v>
      </c>
      <c r="D590" s="10">
        <v>520.46399999999994</v>
      </c>
      <c r="E590" s="10">
        <v>1481.5639999999999</v>
      </c>
      <c r="F590" t="str">
        <f>VLOOKUP(A590,StoreLookup,2,FALSE)</f>
        <v>Store#1</v>
      </c>
      <c r="G590">
        <f>INDEX(CalLookUpTable,MATCH($B590,CalLookUpRow,0),MATCH(G$1,CalLookUpColumn,0))</f>
        <v>2019</v>
      </c>
      <c r="H590">
        <f>INDEX(CalLookUpTable,MATCH($B590,CalLookUpRow,0),MATCH(H$1,CalLookUpColumn,0))</f>
        <v>6</v>
      </c>
      <c r="I590">
        <f>INDEX(CalLookUpTable,MATCH($B590,CalLookUpRow,0),MATCH(I$1,CalLookUpColumn,0))</f>
        <v>1</v>
      </c>
    </row>
    <row r="591" spans="1:9" x14ac:dyDescent="0.25">
      <c r="A591" s="7">
        <v>1</v>
      </c>
      <c r="B591" s="8">
        <v>43613</v>
      </c>
      <c r="C591" s="9" t="s">
        <v>4</v>
      </c>
      <c r="D591" s="10">
        <v>2813.5239999999999</v>
      </c>
      <c r="E591" s="10">
        <v>4192.8320000000003</v>
      </c>
      <c r="F591" t="str">
        <f>VLOOKUP(A591,StoreLookup,2,FALSE)</f>
        <v>Store#1</v>
      </c>
      <c r="G591">
        <f>INDEX(CalLookUpTable,MATCH($B591,CalLookUpRow,0),MATCH(G$1,CalLookUpColumn,0))</f>
        <v>2019</v>
      </c>
      <c r="H591">
        <f>INDEX(CalLookUpTable,MATCH($B591,CalLookUpRow,0),MATCH(H$1,CalLookUpColumn,0))</f>
        <v>6</v>
      </c>
      <c r="I591">
        <f>INDEX(CalLookUpTable,MATCH($B591,CalLookUpRow,0),MATCH(I$1,CalLookUpColumn,0))</f>
        <v>1</v>
      </c>
    </row>
    <row r="592" spans="1:9" x14ac:dyDescent="0.25">
      <c r="A592" s="7">
        <v>1</v>
      </c>
      <c r="B592" s="8">
        <v>43613</v>
      </c>
      <c r="C592" s="9" t="s">
        <v>5</v>
      </c>
      <c r="D592" s="10">
        <v>2526.0059999999999</v>
      </c>
      <c r="E592" s="10">
        <v>0</v>
      </c>
      <c r="F592" t="str">
        <f>VLOOKUP(A592,StoreLookup,2,FALSE)</f>
        <v>Store#1</v>
      </c>
      <c r="G592">
        <f>INDEX(CalLookUpTable,MATCH($B592,CalLookUpRow,0),MATCH(G$1,CalLookUpColumn,0))</f>
        <v>2019</v>
      </c>
      <c r="H592">
        <f>INDEX(CalLookUpTable,MATCH($B592,CalLookUpRow,0),MATCH(H$1,CalLookUpColumn,0))</f>
        <v>6</v>
      </c>
      <c r="I592">
        <f>INDEX(CalLookUpTable,MATCH($B592,CalLookUpRow,0),MATCH(I$1,CalLookUpColumn,0))</f>
        <v>1</v>
      </c>
    </row>
    <row r="593" spans="1:9" x14ac:dyDescent="0.25">
      <c r="A593" s="7">
        <v>1</v>
      </c>
      <c r="B593" s="8">
        <v>43613</v>
      </c>
      <c r="C593" s="9" t="s">
        <v>3</v>
      </c>
      <c r="D593" s="10">
        <v>178.32499999999999</v>
      </c>
      <c r="E593" s="10">
        <v>1422.4069999999999</v>
      </c>
      <c r="F593" t="str">
        <f>VLOOKUP(A593,StoreLookup,2,FALSE)</f>
        <v>Store#1</v>
      </c>
      <c r="G593">
        <f>INDEX(CalLookUpTable,MATCH($B593,CalLookUpRow,0),MATCH(G$1,CalLookUpColumn,0))</f>
        <v>2019</v>
      </c>
      <c r="H593">
        <f>INDEX(CalLookUpTable,MATCH($B593,CalLookUpRow,0),MATCH(H$1,CalLookUpColumn,0))</f>
        <v>6</v>
      </c>
      <c r="I593">
        <f>INDEX(CalLookUpTable,MATCH($B593,CalLookUpRow,0),MATCH(I$1,CalLookUpColumn,0))</f>
        <v>1</v>
      </c>
    </row>
    <row r="594" spans="1:9" x14ac:dyDescent="0.25">
      <c r="A594" s="7">
        <v>1</v>
      </c>
      <c r="B594" s="8">
        <v>43614</v>
      </c>
      <c r="C594" s="9" t="s">
        <v>4</v>
      </c>
      <c r="D594" s="10">
        <v>4065.6349999999998</v>
      </c>
      <c r="E594" s="10">
        <v>4132.0929999999998</v>
      </c>
      <c r="F594" t="str">
        <f>VLOOKUP(A594,StoreLookup,2,FALSE)</f>
        <v>Store#1</v>
      </c>
      <c r="G594">
        <f>INDEX(CalLookUpTable,MATCH($B594,CalLookUpRow,0),MATCH(G$1,CalLookUpColumn,0))</f>
        <v>2019</v>
      </c>
      <c r="H594">
        <f>INDEX(CalLookUpTable,MATCH($B594,CalLookUpRow,0),MATCH(H$1,CalLookUpColumn,0))</f>
        <v>6</v>
      </c>
      <c r="I594">
        <f>INDEX(CalLookUpTable,MATCH($B594,CalLookUpRow,0),MATCH(I$1,CalLookUpColumn,0))</f>
        <v>1</v>
      </c>
    </row>
    <row r="595" spans="1:9" x14ac:dyDescent="0.25">
      <c r="A595" s="7">
        <v>1</v>
      </c>
      <c r="B595" s="8">
        <v>43614</v>
      </c>
      <c r="C595" s="9" t="s">
        <v>3</v>
      </c>
      <c r="D595" s="10">
        <v>192.32499999999999</v>
      </c>
      <c r="E595" s="10">
        <v>627.25599999999997</v>
      </c>
      <c r="F595" t="str">
        <f>VLOOKUP(A595,StoreLookup,2,FALSE)</f>
        <v>Store#1</v>
      </c>
      <c r="G595">
        <f>INDEX(CalLookUpTable,MATCH($B595,CalLookUpRow,0),MATCH(G$1,CalLookUpColumn,0))</f>
        <v>2019</v>
      </c>
      <c r="H595">
        <f>INDEX(CalLookUpTable,MATCH($B595,CalLookUpRow,0),MATCH(H$1,CalLookUpColumn,0))</f>
        <v>6</v>
      </c>
      <c r="I595">
        <f>INDEX(CalLookUpTable,MATCH($B595,CalLookUpRow,0),MATCH(I$1,CalLookUpColumn,0))</f>
        <v>1</v>
      </c>
    </row>
    <row r="596" spans="1:9" x14ac:dyDescent="0.25">
      <c r="A596" s="7">
        <v>1</v>
      </c>
      <c r="B596" s="8">
        <v>43614</v>
      </c>
      <c r="C596" s="9" t="s">
        <v>5</v>
      </c>
      <c r="D596" s="10">
        <v>2777.8729999999996</v>
      </c>
      <c r="E596" s="10">
        <v>0</v>
      </c>
      <c r="F596" t="str">
        <f>VLOOKUP(A596,StoreLookup,2,FALSE)</f>
        <v>Store#1</v>
      </c>
      <c r="G596">
        <f>INDEX(CalLookUpTable,MATCH($B596,CalLookUpRow,0),MATCH(G$1,CalLookUpColumn,0))</f>
        <v>2019</v>
      </c>
      <c r="H596">
        <f>INDEX(CalLookUpTable,MATCH($B596,CalLookUpRow,0),MATCH(H$1,CalLookUpColumn,0))</f>
        <v>6</v>
      </c>
      <c r="I596">
        <f>INDEX(CalLookUpTable,MATCH($B596,CalLookUpRow,0),MATCH(I$1,CalLookUpColumn,0))</f>
        <v>1</v>
      </c>
    </row>
    <row r="597" spans="1:9" x14ac:dyDescent="0.25">
      <c r="A597" s="7">
        <v>1</v>
      </c>
      <c r="B597" s="8">
        <v>43614</v>
      </c>
      <c r="C597" s="9" t="s">
        <v>6</v>
      </c>
      <c r="D597" s="10">
        <v>746.71100000000001</v>
      </c>
      <c r="E597" s="10">
        <v>1167.4669999999999</v>
      </c>
      <c r="F597" t="str">
        <f>VLOOKUP(A597,StoreLookup,2,FALSE)</f>
        <v>Store#1</v>
      </c>
      <c r="G597">
        <f>INDEX(CalLookUpTable,MATCH($B597,CalLookUpRow,0),MATCH(G$1,CalLookUpColumn,0))</f>
        <v>2019</v>
      </c>
      <c r="H597">
        <f>INDEX(CalLookUpTable,MATCH($B597,CalLookUpRow,0),MATCH(H$1,CalLookUpColumn,0))</f>
        <v>6</v>
      </c>
      <c r="I597">
        <f>INDEX(CalLookUpTable,MATCH($B597,CalLookUpRow,0),MATCH(I$1,CalLookUpColumn,0))</f>
        <v>1</v>
      </c>
    </row>
    <row r="598" spans="1:9" x14ac:dyDescent="0.25">
      <c r="A598" s="7">
        <v>1</v>
      </c>
      <c r="B598" s="8">
        <v>43615</v>
      </c>
      <c r="C598" s="9" t="s">
        <v>4</v>
      </c>
      <c r="D598" s="10">
        <v>4142.5369999999994</v>
      </c>
      <c r="E598" s="10">
        <v>5402.3269999999993</v>
      </c>
      <c r="F598" t="str">
        <f>VLOOKUP(A598,StoreLookup,2,FALSE)</f>
        <v>Store#1</v>
      </c>
      <c r="G598">
        <f>INDEX(CalLookUpTable,MATCH($B598,CalLookUpRow,0),MATCH(G$1,CalLookUpColumn,0))</f>
        <v>2019</v>
      </c>
      <c r="H598">
        <f>INDEX(CalLookUpTable,MATCH($B598,CalLookUpRow,0),MATCH(H$1,CalLookUpColumn,0))</f>
        <v>6</v>
      </c>
      <c r="I598">
        <f>INDEX(CalLookUpTable,MATCH($B598,CalLookUpRow,0),MATCH(I$1,CalLookUpColumn,0))</f>
        <v>1</v>
      </c>
    </row>
    <row r="599" spans="1:9" x14ac:dyDescent="0.25">
      <c r="A599" s="7">
        <v>1</v>
      </c>
      <c r="B599" s="8">
        <v>43615</v>
      </c>
      <c r="C599" s="9" t="s">
        <v>6</v>
      </c>
      <c r="D599" s="10">
        <v>763.89599999999996</v>
      </c>
      <c r="E599" s="10">
        <v>1510.7119999999998</v>
      </c>
      <c r="F599" t="str">
        <f>VLOOKUP(A599,StoreLookup,2,FALSE)</f>
        <v>Store#1</v>
      </c>
      <c r="G599">
        <f>INDEX(CalLookUpTable,MATCH($B599,CalLookUpRow,0),MATCH(G$1,CalLookUpColumn,0))</f>
        <v>2019</v>
      </c>
      <c r="H599">
        <f>INDEX(CalLookUpTable,MATCH($B599,CalLookUpRow,0),MATCH(H$1,CalLookUpColumn,0))</f>
        <v>6</v>
      </c>
      <c r="I599">
        <f>INDEX(CalLookUpTable,MATCH($B599,CalLookUpRow,0),MATCH(I$1,CalLookUpColumn,0))</f>
        <v>1</v>
      </c>
    </row>
    <row r="600" spans="1:9" x14ac:dyDescent="0.25">
      <c r="A600" s="7">
        <v>1</v>
      </c>
      <c r="B600" s="8">
        <v>43615</v>
      </c>
      <c r="C600" s="9" t="s">
        <v>3</v>
      </c>
      <c r="D600" s="10">
        <v>0</v>
      </c>
      <c r="E600" s="10">
        <v>335.02</v>
      </c>
      <c r="F600" t="str">
        <f>VLOOKUP(A600,StoreLookup,2,FALSE)</f>
        <v>Store#1</v>
      </c>
      <c r="G600">
        <f>INDEX(CalLookUpTable,MATCH($B600,CalLookUpRow,0),MATCH(G$1,CalLookUpColumn,0))</f>
        <v>2019</v>
      </c>
      <c r="H600">
        <f>INDEX(CalLookUpTable,MATCH($B600,CalLookUpRow,0),MATCH(H$1,CalLookUpColumn,0))</f>
        <v>6</v>
      </c>
      <c r="I600">
        <f>INDEX(CalLookUpTable,MATCH($B600,CalLookUpRow,0),MATCH(I$1,CalLookUpColumn,0))</f>
        <v>1</v>
      </c>
    </row>
    <row r="601" spans="1:9" x14ac:dyDescent="0.25">
      <c r="A601" s="7">
        <v>1</v>
      </c>
      <c r="B601" s="8">
        <v>43615</v>
      </c>
      <c r="C601" s="9" t="s">
        <v>5</v>
      </c>
      <c r="D601" s="10">
        <v>3437.7769999999996</v>
      </c>
      <c r="E601" s="10">
        <v>0</v>
      </c>
      <c r="F601" t="str">
        <f>VLOOKUP(A601,StoreLookup,2,FALSE)</f>
        <v>Store#1</v>
      </c>
      <c r="G601">
        <f>INDEX(CalLookUpTable,MATCH($B601,CalLookUpRow,0),MATCH(G$1,CalLookUpColumn,0))</f>
        <v>2019</v>
      </c>
      <c r="H601">
        <f>INDEX(CalLookUpTable,MATCH($B601,CalLookUpRow,0),MATCH(H$1,CalLookUpColumn,0))</f>
        <v>6</v>
      </c>
      <c r="I601">
        <f>INDEX(CalLookUpTable,MATCH($B601,CalLookUpRow,0),MATCH(I$1,CalLookUpColumn,0))</f>
        <v>1</v>
      </c>
    </row>
    <row r="602" spans="1:9" x14ac:dyDescent="0.25">
      <c r="A602" s="7">
        <v>1</v>
      </c>
      <c r="B602" s="8">
        <v>43616</v>
      </c>
      <c r="C602" s="9" t="s">
        <v>5</v>
      </c>
      <c r="D602" s="10">
        <v>3699.2339999999995</v>
      </c>
      <c r="E602" s="10">
        <v>0</v>
      </c>
      <c r="F602" t="str">
        <f>VLOOKUP(A602,StoreLookup,2,FALSE)</f>
        <v>Store#1</v>
      </c>
      <c r="G602">
        <f>INDEX(CalLookUpTable,MATCH($B602,CalLookUpRow,0),MATCH(G$1,CalLookUpColumn,0))</f>
        <v>2019</v>
      </c>
      <c r="H602">
        <f>INDEX(CalLookUpTable,MATCH($B602,CalLookUpRow,0),MATCH(H$1,CalLookUpColumn,0))</f>
        <v>6</v>
      </c>
      <c r="I602">
        <f>INDEX(CalLookUpTable,MATCH($B602,CalLookUpRow,0),MATCH(I$1,CalLookUpColumn,0))</f>
        <v>1</v>
      </c>
    </row>
    <row r="603" spans="1:9" x14ac:dyDescent="0.25">
      <c r="A603" s="7">
        <v>1</v>
      </c>
      <c r="B603" s="8">
        <v>43616</v>
      </c>
      <c r="C603" s="9" t="s">
        <v>3</v>
      </c>
      <c r="D603" s="10">
        <v>226.20499999999996</v>
      </c>
      <c r="E603" s="10">
        <v>398.38399999999996</v>
      </c>
      <c r="F603" t="str">
        <f>VLOOKUP(A603,StoreLookup,2,FALSE)</f>
        <v>Store#1</v>
      </c>
      <c r="G603">
        <f>INDEX(CalLookUpTable,MATCH($B603,CalLookUpRow,0),MATCH(G$1,CalLookUpColumn,0))</f>
        <v>2019</v>
      </c>
      <c r="H603">
        <f>INDEX(CalLookUpTable,MATCH($B603,CalLookUpRow,0),MATCH(H$1,CalLookUpColumn,0))</f>
        <v>6</v>
      </c>
      <c r="I603">
        <f>INDEX(CalLookUpTable,MATCH($B603,CalLookUpRow,0),MATCH(I$1,CalLookUpColumn,0))</f>
        <v>1</v>
      </c>
    </row>
    <row r="604" spans="1:9" x14ac:dyDescent="0.25">
      <c r="A604" s="7">
        <v>1</v>
      </c>
      <c r="B604" s="8">
        <v>43616</v>
      </c>
      <c r="C604" s="9" t="s">
        <v>6</v>
      </c>
      <c r="D604" s="10">
        <v>951.4609999999999</v>
      </c>
      <c r="E604" s="10">
        <v>1659.6369999999997</v>
      </c>
      <c r="F604" t="str">
        <f>VLOOKUP(A604,StoreLookup,2,FALSE)</f>
        <v>Store#1</v>
      </c>
      <c r="G604">
        <f>INDEX(CalLookUpTable,MATCH($B604,CalLookUpRow,0),MATCH(G$1,CalLookUpColumn,0))</f>
        <v>2019</v>
      </c>
      <c r="H604">
        <f>INDEX(CalLookUpTable,MATCH($B604,CalLookUpRow,0),MATCH(H$1,CalLookUpColumn,0))</f>
        <v>6</v>
      </c>
      <c r="I604">
        <f>INDEX(CalLookUpTable,MATCH($B604,CalLookUpRow,0),MATCH(I$1,CalLookUpColumn,0))</f>
        <v>1</v>
      </c>
    </row>
    <row r="605" spans="1:9" x14ac:dyDescent="0.25">
      <c r="A605" s="7">
        <v>1</v>
      </c>
      <c r="B605" s="8">
        <v>43616</v>
      </c>
      <c r="C605" s="9" t="s">
        <v>4</v>
      </c>
      <c r="D605" s="10">
        <v>4389.4339999999993</v>
      </c>
      <c r="E605" s="10">
        <v>5804.1759999999995</v>
      </c>
      <c r="F605" t="str">
        <f>VLOOKUP(A605,StoreLookup,2,FALSE)</f>
        <v>Store#1</v>
      </c>
      <c r="G605">
        <f>INDEX(CalLookUpTable,MATCH($B605,CalLookUpRow,0),MATCH(G$1,CalLookUpColumn,0))</f>
        <v>2019</v>
      </c>
      <c r="H605">
        <f>INDEX(CalLookUpTable,MATCH($B605,CalLookUpRow,0),MATCH(H$1,CalLookUpColumn,0))</f>
        <v>6</v>
      </c>
      <c r="I605">
        <f>INDEX(CalLookUpTable,MATCH($B605,CalLookUpRow,0),MATCH(I$1,CalLookUpColumn,0))</f>
        <v>1</v>
      </c>
    </row>
    <row r="606" spans="1:9" x14ac:dyDescent="0.25">
      <c r="A606" s="7">
        <v>1</v>
      </c>
      <c r="B606" s="8">
        <v>43617</v>
      </c>
      <c r="C606" s="9" t="s">
        <v>5</v>
      </c>
      <c r="D606" s="10">
        <v>3560.739</v>
      </c>
      <c r="E606" s="10">
        <v>0</v>
      </c>
      <c r="F606" t="str">
        <f>VLOOKUP(A606,StoreLookup,2,FALSE)</f>
        <v>Store#1</v>
      </c>
      <c r="G606">
        <f>INDEX(CalLookUpTable,MATCH($B606,CalLookUpRow,0),MATCH(G$1,CalLookUpColumn,0))</f>
        <v>2019</v>
      </c>
      <c r="H606">
        <f>INDEX(CalLookUpTable,MATCH($B606,CalLookUpRow,0),MATCH(H$1,CalLookUpColumn,0))</f>
        <v>6</v>
      </c>
      <c r="I606">
        <f>INDEX(CalLookUpTable,MATCH($B606,CalLookUpRow,0),MATCH(I$1,CalLookUpColumn,0))</f>
        <v>1</v>
      </c>
    </row>
    <row r="607" spans="1:9" x14ac:dyDescent="0.25">
      <c r="A607" s="7">
        <v>1</v>
      </c>
      <c r="B607" s="8">
        <v>43617</v>
      </c>
      <c r="C607" s="9" t="s">
        <v>6</v>
      </c>
      <c r="D607" s="10">
        <v>666.4</v>
      </c>
      <c r="E607" s="10">
        <v>1283.1769999999999</v>
      </c>
      <c r="F607" t="str">
        <f>VLOOKUP(A607,StoreLookup,2,FALSE)</f>
        <v>Store#1</v>
      </c>
      <c r="G607">
        <f>INDEX(CalLookUpTable,MATCH($B607,CalLookUpRow,0),MATCH(G$1,CalLookUpColumn,0))</f>
        <v>2019</v>
      </c>
      <c r="H607">
        <f>INDEX(CalLookUpTable,MATCH($B607,CalLookUpRow,0),MATCH(H$1,CalLookUpColumn,0))</f>
        <v>6</v>
      </c>
      <c r="I607">
        <f>INDEX(CalLookUpTable,MATCH($B607,CalLookUpRow,0),MATCH(I$1,CalLookUpColumn,0))</f>
        <v>1</v>
      </c>
    </row>
    <row r="608" spans="1:9" x14ac:dyDescent="0.25">
      <c r="A608" s="7">
        <v>1</v>
      </c>
      <c r="B608" s="8">
        <v>43617</v>
      </c>
      <c r="C608" s="9" t="s">
        <v>4</v>
      </c>
      <c r="D608" s="10">
        <v>3622.92</v>
      </c>
      <c r="E608" s="10">
        <v>5558.357</v>
      </c>
      <c r="F608" t="str">
        <f>VLOOKUP(A608,StoreLookup,2,FALSE)</f>
        <v>Store#1</v>
      </c>
      <c r="G608">
        <f>INDEX(CalLookUpTable,MATCH($B608,CalLookUpRow,0),MATCH(G$1,CalLookUpColumn,0))</f>
        <v>2019</v>
      </c>
      <c r="H608">
        <f>INDEX(CalLookUpTable,MATCH($B608,CalLookUpRow,0),MATCH(H$1,CalLookUpColumn,0))</f>
        <v>6</v>
      </c>
      <c r="I608">
        <f>INDEX(CalLookUpTable,MATCH($B608,CalLookUpRow,0),MATCH(I$1,CalLookUpColumn,0))</f>
        <v>1</v>
      </c>
    </row>
    <row r="609" spans="1:9" x14ac:dyDescent="0.25">
      <c r="A609" s="7">
        <v>1</v>
      </c>
      <c r="B609" s="8">
        <v>43617</v>
      </c>
      <c r="C609" s="9" t="s">
        <v>3</v>
      </c>
      <c r="D609" s="10">
        <v>0</v>
      </c>
      <c r="E609" s="10">
        <v>984.66899999999998</v>
      </c>
      <c r="F609" t="str">
        <f>VLOOKUP(A609,StoreLookup,2,FALSE)</f>
        <v>Store#1</v>
      </c>
      <c r="G609">
        <f>INDEX(CalLookUpTable,MATCH($B609,CalLookUpRow,0),MATCH(G$1,CalLookUpColumn,0))</f>
        <v>2019</v>
      </c>
      <c r="H609">
        <f>INDEX(CalLookUpTable,MATCH($B609,CalLookUpRow,0),MATCH(H$1,CalLookUpColumn,0))</f>
        <v>6</v>
      </c>
      <c r="I609">
        <f>INDEX(CalLookUpTable,MATCH($B609,CalLookUpRow,0),MATCH(I$1,CalLookUpColumn,0))</f>
        <v>1</v>
      </c>
    </row>
    <row r="610" spans="1:9" x14ac:dyDescent="0.25">
      <c r="A610" s="7">
        <v>1</v>
      </c>
      <c r="B610" s="8">
        <v>43618</v>
      </c>
      <c r="C610" s="9" t="s">
        <v>3</v>
      </c>
      <c r="D610" s="10">
        <v>0</v>
      </c>
      <c r="E610" s="10">
        <v>0</v>
      </c>
      <c r="F610" t="str">
        <f>VLOOKUP(A610,StoreLookup,2,FALSE)</f>
        <v>Store#1</v>
      </c>
      <c r="G610">
        <f>INDEX(CalLookUpTable,MATCH($B610,CalLookUpRow,0),MATCH(G$1,CalLookUpColumn,0))</f>
        <v>2019</v>
      </c>
      <c r="H610">
        <f>INDEX(CalLookUpTable,MATCH($B610,CalLookUpRow,0),MATCH(H$1,CalLookUpColumn,0))</f>
        <v>6</v>
      </c>
      <c r="I610">
        <f>INDEX(CalLookUpTable,MATCH($B610,CalLookUpRow,0),MATCH(I$1,CalLookUpColumn,0))</f>
        <v>1</v>
      </c>
    </row>
    <row r="611" spans="1:9" x14ac:dyDescent="0.25">
      <c r="A611" s="7">
        <v>1</v>
      </c>
      <c r="B611" s="8">
        <v>43618</v>
      </c>
      <c r="C611" s="9" t="s">
        <v>6</v>
      </c>
      <c r="D611" s="10">
        <v>188.874</v>
      </c>
      <c r="E611" s="10">
        <v>348.50899999999996</v>
      </c>
      <c r="F611" t="str">
        <f>VLOOKUP(A611,StoreLookup,2,FALSE)</f>
        <v>Store#1</v>
      </c>
      <c r="G611">
        <f>INDEX(CalLookUpTable,MATCH($B611,CalLookUpRow,0),MATCH(G$1,CalLookUpColumn,0))</f>
        <v>2019</v>
      </c>
      <c r="H611">
        <f>INDEX(CalLookUpTable,MATCH($B611,CalLookUpRow,0),MATCH(H$1,CalLookUpColumn,0))</f>
        <v>6</v>
      </c>
      <c r="I611">
        <f>INDEX(CalLookUpTable,MATCH($B611,CalLookUpRow,0),MATCH(I$1,CalLookUpColumn,0))</f>
        <v>1</v>
      </c>
    </row>
    <row r="612" spans="1:9" x14ac:dyDescent="0.25">
      <c r="A612" s="7">
        <v>1</v>
      </c>
      <c r="B612" s="8">
        <v>43618</v>
      </c>
      <c r="C612" s="9" t="s">
        <v>4</v>
      </c>
      <c r="D612" s="10">
        <v>2542.61</v>
      </c>
      <c r="E612" s="10">
        <v>2709.4270000000001</v>
      </c>
      <c r="F612" t="str">
        <f>VLOOKUP(A612,StoreLookup,2,FALSE)</f>
        <v>Store#1</v>
      </c>
      <c r="G612">
        <f>INDEX(CalLookUpTable,MATCH($B612,CalLookUpRow,0),MATCH(G$1,CalLookUpColumn,0))</f>
        <v>2019</v>
      </c>
      <c r="H612">
        <f>INDEX(CalLookUpTable,MATCH($B612,CalLookUpRow,0),MATCH(H$1,CalLookUpColumn,0))</f>
        <v>6</v>
      </c>
      <c r="I612">
        <f>INDEX(CalLookUpTable,MATCH($B612,CalLookUpRow,0),MATCH(I$1,CalLookUpColumn,0))</f>
        <v>1</v>
      </c>
    </row>
    <row r="613" spans="1:9" x14ac:dyDescent="0.25">
      <c r="A613" s="7">
        <v>1</v>
      </c>
      <c r="B613" s="8">
        <v>43618</v>
      </c>
      <c r="C613" s="9" t="s">
        <v>5</v>
      </c>
      <c r="D613" s="10">
        <v>2135.9449999999997</v>
      </c>
      <c r="E613" s="10">
        <v>0</v>
      </c>
      <c r="F613" t="str">
        <f>VLOOKUP(A613,StoreLookup,2,FALSE)</f>
        <v>Store#1</v>
      </c>
      <c r="G613">
        <f>INDEX(CalLookUpTable,MATCH($B613,CalLookUpRow,0),MATCH(G$1,CalLookUpColumn,0))</f>
        <v>2019</v>
      </c>
      <c r="H613">
        <f>INDEX(CalLookUpTable,MATCH($B613,CalLookUpRow,0),MATCH(H$1,CalLookUpColumn,0))</f>
        <v>6</v>
      </c>
      <c r="I613">
        <f>INDEX(CalLookUpTable,MATCH($B613,CalLookUpRow,0),MATCH(I$1,CalLookUpColumn,0))</f>
        <v>1</v>
      </c>
    </row>
    <row r="614" spans="1:9" x14ac:dyDescent="0.25">
      <c r="A614" s="7">
        <v>1</v>
      </c>
      <c r="B614" s="8">
        <v>43619</v>
      </c>
      <c r="C614" s="9" t="s">
        <v>4</v>
      </c>
      <c r="D614" s="10">
        <v>3886.5119999999997</v>
      </c>
      <c r="E614" s="10">
        <v>5001.1709999999994</v>
      </c>
      <c r="F614" t="str">
        <f>VLOOKUP(A614,StoreLookup,2,FALSE)</f>
        <v>Store#1</v>
      </c>
      <c r="G614">
        <f>INDEX(CalLookUpTable,MATCH($B614,CalLookUpRow,0),MATCH(G$1,CalLookUpColumn,0))</f>
        <v>2019</v>
      </c>
      <c r="H614">
        <f>INDEX(CalLookUpTable,MATCH($B614,CalLookUpRow,0),MATCH(H$1,CalLookUpColumn,0))</f>
        <v>6</v>
      </c>
      <c r="I614">
        <f>INDEX(CalLookUpTable,MATCH($B614,CalLookUpRow,0),MATCH(I$1,CalLookUpColumn,0))</f>
        <v>2</v>
      </c>
    </row>
    <row r="615" spans="1:9" x14ac:dyDescent="0.25">
      <c r="A615" s="7">
        <v>1</v>
      </c>
      <c r="B615" s="8">
        <v>43619</v>
      </c>
      <c r="C615" s="9" t="s">
        <v>6</v>
      </c>
      <c r="D615" s="10">
        <v>685.69199999999989</v>
      </c>
      <c r="E615" s="10">
        <v>1424.9549999999999</v>
      </c>
      <c r="F615" t="str">
        <f>VLOOKUP(A615,StoreLookup,2,FALSE)</f>
        <v>Store#1</v>
      </c>
      <c r="G615">
        <f>INDEX(CalLookUpTable,MATCH($B615,CalLookUpRow,0),MATCH(G$1,CalLookUpColumn,0))</f>
        <v>2019</v>
      </c>
      <c r="H615">
        <f>INDEX(CalLookUpTable,MATCH($B615,CalLookUpRow,0),MATCH(H$1,CalLookUpColumn,0))</f>
        <v>6</v>
      </c>
      <c r="I615">
        <f>INDEX(CalLookUpTable,MATCH($B615,CalLookUpRow,0),MATCH(I$1,CalLookUpColumn,0))</f>
        <v>2</v>
      </c>
    </row>
    <row r="616" spans="1:9" x14ac:dyDescent="0.25">
      <c r="A616" s="7">
        <v>1</v>
      </c>
      <c r="B616" s="8">
        <v>43619</v>
      </c>
      <c r="C616" s="9" t="s">
        <v>5</v>
      </c>
      <c r="D616" s="10">
        <v>3340.0219999999999</v>
      </c>
      <c r="E616" s="10">
        <v>0</v>
      </c>
      <c r="F616" t="str">
        <f>VLOOKUP(A616,StoreLookup,2,FALSE)</f>
        <v>Store#1</v>
      </c>
      <c r="G616">
        <f>INDEX(CalLookUpTable,MATCH($B616,CalLookUpRow,0),MATCH(G$1,CalLookUpColumn,0))</f>
        <v>2019</v>
      </c>
      <c r="H616">
        <f>INDEX(CalLookUpTable,MATCH($B616,CalLookUpRow,0),MATCH(H$1,CalLookUpColumn,0))</f>
        <v>6</v>
      </c>
      <c r="I616">
        <f>INDEX(CalLookUpTable,MATCH($B616,CalLookUpRow,0),MATCH(I$1,CalLookUpColumn,0))</f>
        <v>2</v>
      </c>
    </row>
    <row r="617" spans="1:9" x14ac:dyDescent="0.25">
      <c r="A617" s="7">
        <v>1</v>
      </c>
      <c r="B617" s="8">
        <v>43619</v>
      </c>
      <c r="C617" s="9" t="s">
        <v>3</v>
      </c>
      <c r="D617" s="10">
        <v>0</v>
      </c>
      <c r="E617" s="10">
        <v>439.26399999999995</v>
      </c>
      <c r="F617" t="str">
        <f>VLOOKUP(A617,StoreLookup,2,FALSE)</f>
        <v>Store#1</v>
      </c>
      <c r="G617">
        <f>INDEX(CalLookUpTable,MATCH($B617,CalLookUpRow,0),MATCH(G$1,CalLookUpColumn,0))</f>
        <v>2019</v>
      </c>
      <c r="H617">
        <f>INDEX(CalLookUpTable,MATCH($B617,CalLookUpRow,0),MATCH(H$1,CalLookUpColumn,0))</f>
        <v>6</v>
      </c>
      <c r="I617">
        <f>INDEX(CalLookUpTable,MATCH($B617,CalLookUpRow,0),MATCH(I$1,CalLookUpColumn,0))</f>
        <v>2</v>
      </c>
    </row>
    <row r="618" spans="1:9" x14ac:dyDescent="0.25">
      <c r="A618" s="7">
        <v>1</v>
      </c>
      <c r="B618" s="8">
        <v>43620</v>
      </c>
      <c r="C618" s="9" t="s">
        <v>3</v>
      </c>
      <c r="D618" s="10">
        <v>299.69799999999998</v>
      </c>
      <c r="E618" s="10">
        <v>0</v>
      </c>
      <c r="F618" t="str">
        <f>VLOOKUP(A618,StoreLookup,2,FALSE)</f>
        <v>Store#1</v>
      </c>
      <c r="G618">
        <f>INDEX(CalLookUpTable,MATCH($B618,CalLookUpRow,0),MATCH(G$1,CalLookUpColumn,0))</f>
        <v>2019</v>
      </c>
      <c r="H618">
        <f>INDEX(CalLookUpTable,MATCH($B618,CalLookUpRow,0),MATCH(H$1,CalLookUpColumn,0))</f>
        <v>6</v>
      </c>
      <c r="I618">
        <f>INDEX(CalLookUpTable,MATCH($B618,CalLookUpRow,0),MATCH(I$1,CalLookUpColumn,0))</f>
        <v>2</v>
      </c>
    </row>
    <row r="619" spans="1:9" x14ac:dyDescent="0.25">
      <c r="A619" s="7">
        <v>1</v>
      </c>
      <c r="B619" s="8">
        <v>43620</v>
      </c>
      <c r="C619" s="9" t="s">
        <v>4</v>
      </c>
      <c r="D619" s="10">
        <v>3743.46</v>
      </c>
      <c r="E619" s="10">
        <v>4569.1170000000002</v>
      </c>
      <c r="F619" t="str">
        <f>VLOOKUP(A619,StoreLookup,2,FALSE)</f>
        <v>Store#1</v>
      </c>
      <c r="G619">
        <f>INDEX(CalLookUpTable,MATCH($B619,CalLookUpRow,0),MATCH(G$1,CalLookUpColumn,0))</f>
        <v>2019</v>
      </c>
      <c r="H619">
        <f>INDEX(CalLookUpTable,MATCH($B619,CalLookUpRow,0),MATCH(H$1,CalLookUpColumn,0))</f>
        <v>6</v>
      </c>
      <c r="I619">
        <f>INDEX(CalLookUpTable,MATCH($B619,CalLookUpRow,0),MATCH(I$1,CalLookUpColumn,0))</f>
        <v>2</v>
      </c>
    </row>
    <row r="620" spans="1:9" x14ac:dyDescent="0.25">
      <c r="A620" s="7">
        <v>1</v>
      </c>
      <c r="B620" s="8">
        <v>43620</v>
      </c>
      <c r="C620" s="9" t="s">
        <v>6</v>
      </c>
      <c r="D620" s="10">
        <v>950.34799999999996</v>
      </c>
      <c r="E620" s="10">
        <v>1406.2859999999998</v>
      </c>
      <c r="F620" t="str">
        <f>VLOOKUP(A620,StoreLookup,2,FALSE)</f>
        <v>Store#1</v>
      </c>
      <c r="G620">
        <f>INDEX(CalLookUpTable,MATCH($B620,CalLookUpRow,0),MATCH(G$1,CalLookUpColumn,0))</f>
        <v>2019</v>
      </c>
      <c r="H620">
        <f>INDEX(CalLookUpTable,MATCH($B620,CalLookUpRow,0),MATCH(H$1,CalLookUpColumn,0))</f>
        <v>6</v>
      </c>
      <c r="I620">
        <f>INDEX(CalLookUpTable,MATCH($B620,CalLookUpRow,0),MATCH(I$1,CalLookUpColumn,0))</f>
        <v>2</v>
      </c>
    </row>
    <row r="621" spans="1:9" x14ac:dyDescent="0.25">
      <c r="A621" s="7">
        <v>1</v>
      </c>
      <c r="B621" s="8">
        <v>43620</v>
      </c>
      <c r="C621" s="9" t="s">
        <v>5</v>
      </c>
      <c r="D621" s="10">
        <v>3195.71</v>
      </c>
      <c r="E621" s="10">
        <v>0</v>
      </c>
      <c r="F621" t="str">
        <f>VLOOKUP(A621,StoreLookup,2,FALSE)</f>
        <v>Store#1</v>
      </c>
      <c r="G621">
        <f>INDEX(CalLookUpTable,MATCH($B621,CalLookUpRow,0),MATCH(G$1,CalLookUpColumn,0))</f>
        <v>2019</v>
      </c>
      <c r="H621">
        <f>INDEX(CalLookUpTable,MATCH($B621,CalLookUpRow,0),MATCH(H$1,CalLookUpColumn,0))</f>
        <v>6</v>
      </c>
      <c r="I621">
        <f>INDEX(CalLookUpTable,MATCH($B621,CalLookUpRow,0),MATCH(I$1,CalLookUpColumn,0))</f>
        <v>2</v>
      </c>
    </row>
    <row r="622" spans="1:9" x14ac:dyDescent="0.25">
      <c r="A622" s="7">
        <v>1</v>
      </c>
      <c r="B622" s="8">
        <v>43621</v>
      </c>
      <c r="C622" s="9" t="s">
        <v>6</v>
      </c>
      <c r="D622" s="10">
        <v>907.25599999999986</v>
      </c>
      <c r="E622" s="10">
        <v>1020.9499999999999</v>
      </c>
      <c r="F622" t="str">
        <f>VLOOKUP(A622,StoreLookup,2,FALSE)</f>
        <v>Store#1</v>
      </c>
      <c r="G622">
        <f>INDEX(CalLookUpTable,MATCH($B622,CalLookUpRow,0),MATCH(G$1,CalLookUpColumn,0))</f>
        <v>2019</v>
      </c>
      <c r="H622">
        <f>INDEX(CalLookUpTable,MATCH($B622,CalLookUpRow,0),MATCH(H$1,CalLookUpColumn,0))</f>
        <v>6</v>
      </c>
      <c r="I622">
        <f>INDEX(CalLookUpTable,MATCH($B622,CalLookUpRow,0),MATCH(I$1,CalLookUpColumn,0))</f>
        <v>2</v>
      </c>
    </row>
    <row r="623" spans="1:9" x14ac:dyDescent="0.25">
      <c r="A623" s="7">
        <v>1</v>
      </c>
      <c r="B623" s="8">
        <v>43621</v>
      </c>
      <c r="C623" s="9" t="s">
        <v>4</v>
      </c>
      <c r="D623" s="10">
        <v>3255.2799999999997</v>
      </c>
      <c r="E623" s="10">
        <v>4517.9119999999994</v>
      </c>
      <c r="F623" t="str">
        <f>VLOOKUP(A623,StoreLookup,2,FALSE)</f>
        <v>Store#1</v>
      </c>
      <c r="G623">
        <f>INDEX(CalLookUpTable,MATCH($B623,CalLookUpRow,0),MATCH(G$1,CalLookUpColumn,0))</f>
        <v>2019</v>
      </c>
      <c r="H623">
        <f>INDEX(CalLookUpTable,MATCH($B623,CalLookUpRow,0),MATCH(H$1,CalLookUpColumn,0))</f>
        <v>6</v>
      </c>
      <c r="I623">
        <f>INDEX(CalLookUpTable,MATCH($B623,CalLookUpRow,0),MATCH(I$1,CalLookUpColumn,0))</f>
        <v>2</v>
      </c>
    </row>
    <row r="624" spans="1:9" x14ac:dyDescent="0.25">
      <c r="A624" s="7">
        <v>1</v>
      </c>
      <c r="B624" s="8">
        <v>43621</v>
      </c>
      <c r="C624" s="9" t="s">
        <v>5</v>
      </c>
      <c r="D624" s="10">
        <v>2979.0039999999999</v>
      </c>
      <c r="E624" s="10">
        <v>0</v>
      </c>
      <c r="F624" t="str">
        <f>VLOOKUP(A624,StoreLookup,2,FALSE)</f>
        <v>Store#1</v>
      </c>
      <c r="G624">
        <f>INDEX(CalLookUpTable,MATCH($B624,CalLookUpRow,0),MATCH(G$1,CalLookUpColumn,0))</f>
        <v>2019</v>
      </c>
      <c r="H624">
        <f>INDEX(CalLookUpTable,MATCH($B624,CalLookUpRow,0),MATCH(H$1,CalLookUpColumn,0))</f>
        <v>6</v>
      </c>
      <c r="I624">
        <f>INDEX(CalLookUpTable,MATCH($B624,CalLookUpRow,0),MATCH(I$1,CalLookUpColumn,0))</f>
        <v>2</v>
      </c>
    </row>
    <row r="625" spans="1:9" x14ac:dyDescent="0.25">
      <c r="A625" s="7">
        <v>1</v>
      </c>
      <c r="B625" s="8">
        <v>43621</v>
      </c>
      <c r="C625" s="9" t="s">
        <v>3</v>
      </c>
      <c r="D625" s="10">
        <v>120.64499999999998</v>
      </c>
      <c r="E625" s="10">
        <v>1184.05</v>
      </c>
      <c r="F625" t="str">
        <f>VLOOKUP(A625,StoreLookup,2,FALSE)</f>
        <v>Store#1</v>
      </c>
      <c r="G625">
        <f>INDEX(CalLookUpTable,MATCH($B625,CalLookUpRow,0),MATCH(G$1,CalLookUpColumn,0))</f>
        <v>2019</v>
      </c>
      <c r="H625">
        <f>INDEX(CalLookUpTable,MATCH($B625,CalLookUpRow,0),MATCH(H$1,CalLookUpColumn,0))</f>
        <v>6</v>
      </c>
      <c r="I625">
        <f>INDEX(CalLookUpTable,MATCH($B625,CalLookUpRow,0),MATCH(I$1,CalLookUpColumn,0))</f>
        <v>2</v>
      </c>
    </row>
    <row r="626" spans="1:9" x14ac:dyDescent="0.25">
      <c r="A626" s="7">
        <v>1</v>
      </c>
      <c r="B626" s="8">
        <v>43622</v>
      </c>
      <c r="C626" s="9" t="s">
        <v>6</v>
      </c>
      <c r="D626" s="10">
        <v>748.51699999999994</v>
      </c>
      <c r="E626" s="10">
        <v>1314.0889999999999</v>
      </c>
      <c r="F626" t="str">
        <f>VLOOKUP(A626,StoreLookup,2,FALSE)</f>
        <v>Store#1</v>
      </c>
      <c r="G626">
        <f>INDEX(CalLookUpTable,MATCH($B626,CalLookUpRow,0),MATCH(G$1,CalLookUpColumn,0))</f>
        <v>2019</v>
      </c>
      <c r="H626">
        <f>INDEX(CalLookUpTable,MATCH($B626,CalLookUpRow,0),MATCH(H$1,CalLookUpColumn,0))</f>
        <v>6</v>
      </c>
      <c r="I626">
        <f>INDEX(CalLookUpTable,MATCH($B626,CalLookUpRow,0),MATCH(I$1,CalLookUpColumn,0))</f>
        <v>2</v>
      </c>
    </row>
    <row r="627" spans="1:9" x14ac:dyDescent="0.25">
      <c r="A627" s="7">
        <v>1</v>
      </c>
      <c r="B627" s="8">
        <v>43622</v>
      </c>
      <c r="C627" s="9" t="s">
        <v>4</v>
      </c>
      <c r="D627" s="10">
        <v>4077.8989999999994</v>
      </c>
      <c r="E627" s="10">
        <v>5696.5230000000001</v>
      </c>
      <c r="F627" t="str">
        <f>VLOOKUP(A627,StoreLookup,2,FALSE)</f>
        <v>Store#1</v>
      </c>
      <c r="G627">
        <f>INDEX(CalLookUpTable,MATCH($B627,CalLookUpRow,0),MATCH(G$1,CalLookUpColumn,0))</f>
        <v>2019</v>
      </c>
      <c r="H627">
        <f>INDEX(CalLookUpTable,MATCH($B627,CalLookUpRow,0),MATCH(H$1,CalLookUpColumn,0))</f>
        <v>6</v>
      </c>
      <c r="I627">
        <f>INDEX(CalLookUpTable,MATCH($B627,CalLookUpRow,0),MATCH(I$1,CalLookUpColumn,0))</f>
        <v>2</v>
      </c>
    </row>
    <row r="628" spans="1:9" x14ac:dyDescent="0.25">
      <c r="A628" s="7">
        <v>1</v>
      </c>
      <c r="B628" s="8">
        <v>43622</v>
      </c>
      <c r="C628" s="9" t="s">
        <v>3</v>
      </c>
      <c r="D628" s="10">
        <v>0</v>
      </c>
      <c r="E628" s="10">
        <v>231.13299999999998</v>
      </c>
      <c r="F628" t="str">
        <f>VLOOKUP(A628,StoreLookup,2,FALSE)</f>
        <v>Store#1</v>
      </c>
      <c r="G628">
        <f>INDEX(CalLookUpTable,MATCH($B628,CalLookUpRow,0),MATCH(G$1,CalLookUpColumn,0))</f>
        <v>2019</v>
      </c>
      <c r="H628">
        <f>INDEX(CalLookUpTable,MATCH($B628,CalLookUpRow,0),MATCH(H$1,CalLookUpColumn,0))</f>
        <v>6</v>
      </c>
      <c r="I628">
        <f>INDEX(CalLookUpTable,MATCH($B628,CalLookUpRow,0),MATCH(I$1,CalLookUpColumn,0))</f>
        <v>2</v>
      </c>
    </row>
    <row r="629" spans="1:9" x14ac:dyDescent="0.25">
      <c r="A629" s="7">
        <v>1</v>
      </c>
      <c r="B629" s="8">
        <v>43622</v>
      </c>
      <c r="C629" s="9" t="s">
        <v>5</v>
      </c>
      <c r="D629" s="10">
        <v>3329.8369999999995</v>
      </c>
      <c r="E629" s="10">
        <v>0</v>
      </c>
      <c r="F629" t="str">
        <f>VLOOKUP(A629,StoreLookup,2,FALSE)</f>
        <v>Store#1</v>
      </c>
      <c r="G629">
        <f>INDEX(CalLookUpTable,MATCH($B629,CalLookUpRow,0),MATCH(G$1,CalLookUpColumn,0))</f>
        <v>2019</v>
      </c>
      <c r="H629">
        <f>INDEX(CalLookUpTable,MATCH($B629,CalLookUpRow,0),MATCH(H$1,CalLookUpColumn,0))</f>
        <v>6</v>
      </c>
      <c r="I629">
        <f>INDEX(CalLookUpTable,MATCH($B629,CalLookUpRow,0),MATCH(I$1,CalLookUpColumn,0))</f>
        <v>2</v>
      </c>
    </row>
    <row r="630" spans="1:9" x14ac:dyDescent="0.25">
      <c r="A630" s="7">
        <v>1</v>
      </c>
      <c r="B630" s="8">
        <v>43623</v>
      </c>
      <c r="C630" s="9" t="s">
        <v>3</v>
      </c>
      <c r="D630" s="10">
        <v>159.88</v>
      </c>
      <c r="E630" s="10">
        <v>637.88199999999995</v>
      </c>
      <c r="F630" t="str">
        <f>VLOOKUP(A630,StoreLookup,2,FALSE)</f>
        <v>Store#1</v>
      </c>
      <c r="G630">
        <f>INDEX(CalLookUpTable,MATCH($B630,CalLookUpRow,0),MATCH(G$1,CalLookUpColumn,0))</f>
        <v>2019</v>
      </c>
      <c r="H630">
        <f>INDEX(CalLookUpTable,MATCH($B630,CalLookUpRow,0),MATCH(H$1,CalLookUpColumn,0))</f>
        <v>6</v>
      </c>
      <c r="I630">
        <f>INDEX(CalLookUpTable,MATCH($B630,CalLookUpRow,0),MATCH(I$1,CalLookUpColumn,0))</f>
        <v>2</v>
      </c>
    </row>
    <row r="631" spans="1:9" x14ac:dyDescent="0.25">
      <c r="A631" s="7">
        <v>1</v>
      </c>
      <c r="B631" s="8">
        <v>43623</v>
      </c>
      <c r="C631" s="9" t="s">
        <v>4</v>
      </c>
      <c r="D631" s="10">
        <v>4254.1450000000004</v>
      </c>
      <c r="E631" s="10">
        <v>5203.2959999999994</v>
      </c>
      <c r="F631" t="str">
        <f>VLOOKUP(A631,StoreLookup,2,FALSE)</f>
        <v>Store#1</v>
      </c>
      <c r="G631">
        <f>INDEX(CalLookUpTable,MATCH($B631,CalLookUpRow,0),MATCH(G$1,CalLookUpColumn,0))</f>
        <v>2019</v>
      </c>
      <c r="H631">
        <f>INDEX(CalLookUpTable,MATCH($B631,CalLookUpRow,0),MATCH(H$1,CalLookUpColumn,0))</f>
        <v>6</v>
      </c>
      <c r="I631">
        <f>INDEX(CalLookUpTable,MATCH($B631,CalLookUpRow,0),MATCH(I$1,CalLookUpColumn,0))</f>
        <v>2</v>
      </c>
    </row>
    <row r="632" spans="1:9" x14ac:dyDescent="0.25">
      <c r="A632" s="7">
        <v>1</v>
      </c>
      <c r="B632" s="8">
        <v>43623</v>
      </c>
      <c r="C632" s="9" t="s">
        <v>5</v>
      </c>
      <c r="D632" s="10">
        <v>3716.2859999999996</v>
      </c>
      <c r="E632" s="10">
        <v>0</v>
      </c>
      <c r="F632" t="str">
        <f>VLOOKUP(A632,StoreLookup,2,FALSE)</f>
        <v>Store#1</v>
      </c>
      <c r="G632">
        <f>INDEX(CalLookUpTable,MATCH($B632,CalLookUpRow,0),MATCH(G$1,CalLookUpColumn,0))</f>
        <v>2019</v>
      </c>
      <c r="H632">
        <f>INDEX(CalLookUpTable,MATCH($B632,CalLookUpRow,0),MATCH(H$1,CalLookUpColumn,0))</f>
        <v>6</v>
      </c>
      <c r="I632">
        <f>INDEX(CalLookUpTable,MATCH($B632,CalLookUpRow,0),MATCH(I$1,CalLookUpColumn,0))</f>
        <v>2</v>
      </c>
    </row>
    <row r="633" spans="1:9" x14ac:dyDescent="0.25">
      <c r="A633" s="7">
        <v>1</v>
      </c>
      <c r="B633" s="8">
        <v>43623</v>
      </c>
      <c r="C633" s="9" t="s">
        <v>6</v>
      </c>
      <c r="D633" s="10">
        <v>887.8309999999999</v>
      </c>
      <c r="E633" s="10">
        <v>1432.0949999999998</v>
      </c>
      <c r="F633" t="str">
        <f>VLOOKUP(A633,StoreLookup,2,FALSE)</f>
        <v>Store#1</v>
      </c>
      <c r="G633">
        <f>INDEX(CalLookUpTable,MATCH($B633,CalLookUpRow,0),MATCH(G$1,CalLookUpColumn,0))</f>
        <v>2019</v>
      </c>
      <c r="H633">
        <f>INDEX(CalLookUpTable,MATCH($B633,CalLookUpRow,0),MATCH(H$1,CalLookUpColumn,0))</f>
        <v>6</v>
      </c>
      <c r="I633">
        <f>INDEX(CalLookUpTable,MATCH($B633,CalLookUpRow,0),MATCH(I$1,CalLookUpColumn,0))</f>
        <v>2</v>
      </c>
    </row>
    <row r="634" spans="1:9" x14ac:dyDescent="0.25">
      <c r="A634" s="7">
        <v>1</v>
      </c>
      <c r="B634" s="8">
        <v>43624</v>
      </c>
      <c r="C634" s="9" t="s">
        <v>6</v>
      </c>
      <c r="D634" s="10">
        <v>978.20100000000002</v>
      </c>
      <c r="E634" s="10">
        <v>1136.954</v>
      </c>
      <c r="F634" t="str">
        <f>VLOOKUP(A634,StoreLookup,2,FALSE)</f>
        <v>Store#1</v>
      </c>
      <c r="G634">
        <f>INDEX(CalLookUpTable,MATCH($B634,CalLookUpRow,0),MATCH(G$1,CalLookUpColumn,0))</f>
        <v>2019</v>
      </c>
      <c r="H634">
        <f>INDEX(CalLookUpTable,MATCH($B634,CalLookUpRow,0),MATCH(H$1,CalLookUpColumn,0))</f>
        <v>6</v>
      </c>
      <c r="I634">
        <f>INDEX(CalLookUpTable,MATCH($B634,CalLookUpRow,0),MATCH(I$1,CalLookUpColumn,0))</f>
        <v>2</v>
      </c>
    </row>
    <row r="635" spans="1:9" x14ac:dyDescent="0.25">
      <c r="A635" s="7">
        <v>1</v>
      </c>
      <c r="B635" s="8">
        <v>43624</v>
      </c>
      <c r="C635" s="9" t="s">
        <v>5</v>
      </c>
      <c r="D635" s="10">
        <v>3004.2950000000001</v>
      </c>
      <c r="E635" s="10">
        <v>0</v>
      </c>
      <c r="F635" t="str">
        <f>VLOOKUP(A635,StoreLookup,2,FALSE)</f>
        <v>Store#1</v>
      </c>
      <c r="G635">
        <f>INDEX(CalLookUpTable,MATCH($B635,CalLookUpRow,0),MATCH(G$1,CalLookUpColumn,0))</f>
        <v>2019</v>
      </c>
      <c r="H635">
        <f>INDEX(CalLookUpTable,MATCH($B635,CalLookUpRow,0),MATCH(H$1,CalLookUpColumn,0))</f>
        <v>6</v>
      </c>
      <c r="I635">
        <f>INDEX(CalLookUpTable,MATCH($B635,CalLookUpRow,0),MATCH(I$1,CalLookUpColumn,0))</f>
        <v>2</v>
      </c>
    </row>
    <row r="636" spans="1:9" x14ac:dyDescent="0.25">
      <c r="A636" s="7">
        <v>1</v>
      </c>
      <c r="B636" s="8">
        <v>43624</v>
      </c>
      <c r="C636" s="9" t="s">
        <v>4</v>
      </c>
      <c r="D636" s="10">
        <v>5196.0159999999996</v>
      </c>
      <c r="E636" s="10">
        <v>5070.576</v>
      </c>
      <c r="F636" t="str">
        <f>VLOOKUP(A636,StoreLookup,2,FALSE)</f>
        <v>Store#1</v>
      </c>
      <c r="G636">
        <f>INDEX(CalLookUpTable,MATCH($B636,CalLookUpRow,0),MATCH(G$1,CalLookUpColumn,0))</f>
        <v>2019</v>
      </c>
      <c r="H636">
        <f>INDEX(CalLookUpTable,MATCH($B636,CalLookUpRow,0),MATCH(H$1,CalLookUpColumn,0))</f>
        <v>6</v>
      </c>
      <c r="I636">
        <f>INDEX(CalLookUpTable,MATCH($B636,CalLookUpRow,0),MATCH(I$1,CalLookUpColumn,0))</f>
        <v>2</v>
      </c>
    </row>
    <row r="637" spans="1:9" x14ac:dyDescent="0.25">
      <c r="A637" s="7">
        <v>1</v>
      </c>
      <c r="B637" s="8">
        <v>43624</v>
      </c>
      <c r="C637" s="9" t="s">
        <v>3</v>
      </c>
      <c r="D637" s="10">
        <v>27.607999999999997</v>
      </c>
      <c r="E637" s="10">
        <v>1248.877</v>
      </c>
      <c r="F637" t="str">
        <f>VLOOKUP(A637,StoreLookup,2,FALSE)</f>
        <v>Store#1</v>
      </c>
      <c r="G637">
        <f>INDEX(CalLookUpTable,MATCH($B637,CalLookUpRow,0),MATCH(G$1,CalLookUpColumn,0))</f>
        <v>2019</v>
      </c>
      <c r="H637">
        <f>INDEX(CalLookUpTable,MATCH($B637,CalLookUpRow,0),MATCH(H$1,CalLookUpColumn,0))</f>
        <v>6</v>
      </c>
      <c r="I637">
        <f>INDEX(CalLookUpTable,MATCH($B637,CalLookUpRow,0),MATCH(I$1,CalLookUpColumn,0))</f>
        <v>2</v>
      </c>
    </row>
    <row r="638" spans="1:9" x14ac:dyDescent="0.25">
      <c r="A638" s="7">
        <v>1</v>
      </c>
      <c r="B638" s="8">
        <v>43625</v>
      </c>
      <c r="C638" s="9" t="s">
        <v>4</v>
      </c>
      <c r="D638" s="10">
        <v>2694.1669999999999</v>
      </c>
      <c r="E638" s="10">
        <v>2804.2909999999997</v>
      </c>
      <c r="F638" t="str">
        <f>VLOOKUP(A638,StoreLookup,2,FALSE)</f>
        <v>Store#1</v>
      </c>
      <c r="G638">
        <f>INDEX(CalLookUpTable,MATCH($B638,CalLookUpRow,0),MATCH(G$1,CalLookUpColumn,0))</f>
        <v>2019</v>
      </c>
      <c r="H638">
        <f>INDEX(CalLookUpTable,MATCH($B638,CalLookUpRow,0),MATCH(H$1,CalLookUpColumn,0))</f>
        <v>6</v>
      </c>
      <c r="I638">
        <f>INDEX(CalLookUpTable,MATCH($B638,CalLookUpRow,0),MATCH(I$1,CalLookUpColumn,0))</f>
        <v>2</v>
      </c>
    </row>
    <row r="639" spans="1:9" x14ac:dyDescent="0.25">
      <c r="A639" s="7">
        <v>1</v>
      </c>
      <c r="B639" s="8">
        <v>43625</v>
      </c>
      <c r="C639" s="9" t="s">
        <v>5</v>
      </c>
      <c r="D639" s="10">
        <v>2104.0179999999996</v>
      </c>
      <c r="E639" s="10">
        <v>0</v>
      </c>
      <c r="F639" t="str">
        <f>VLOOKUP(A639,StoreLookup,2,FALSE)</f>
        <v>Store#1</v>
      </c>
      <c r="G639">
        <f>INDEX(CalLookUpTable,MATCH($B639,CalLookUpRow,0),MATCH(G$1,CalLookUpColumn,0))</f>
        <v>2019</v>
      </c>
      <c r="H639">
        <f>INDEX(CalLookUpTable,MATCH($B639,CalLookUpRow,0),MATCH(H$1,CalLookUpColumn,0))</f>
        <v>6</v>
      </c>
      <c r="I639">
        <f>INDEX(CalLookUpTable,MATCH($B639,CalLookUpRow,0),MATCH(I$1,CalLookUpColumn,0))</f>
        <v>2</v>
      </c>
    </row>
    <row r="640" spans="1:9" x14ac:dyDescent="0.25">
      <c r="A640" s="7">
        <v>1</v>
      </c>
      <c r="B640" s="8">
        <v>43625</v>
      </c>
      <c r="C640" s="9" t="s">
        <v>3</v>
      </c>
      <c r="D640" s="10">
        <v>0</v>
      </c>
      <c r="E640" s="10">
        <v>0</v>
      </c>
      <c r="F640" t="str">
        <f>VLOOKUP(A640,StoreLookup,2,FALSE)</f>
        <v>Store#1</v>
      </c>
      <c r="G640">
        <f>INDEX(CalLookUpTable,MATCH($B640,CalLookUpRow,0),MATCH(G$1,CalLookUpColumn,0))</f>
        <v>2019</v>
      </c>
      <c r="H640">
        <f>INDEX(CalLookUpTable,MATCH($B640,CalLookUpRow,0),MATCH(H$1,CalLookUpColumn,0))</f>
        <v>6</v>
      </c>
      <c r="I640">
        <f>INDEX(CalLookUpTable,MATCH($B640,CalLookUpRow,0),MATCH(I$1,CalLookUpColumn,0))</f>
        <v>2</v>
      </c>
    </row>
    <row r="641" spans="1:9" x14ac:dyDescent="0.25">
      <c r="A641" s="7">
        <v>1</v>
      </c>
      <c r="B641" s="8">
        <v>43625</v>
      </c>
      <c r="C641" s="9" t="s">
        <v>6</v>
      </c>
      <c r="D641" s="10">
        <v>274.351</v>
      </c>
      <c r="E641" s="10">
        <v>123.851</v>
      </c>
      <c r="F641" t="str">
        <f>VLOOKUP(A641,StoreLookup,2,FALSE)</f>
        <v>Store#1</v>
      </c>
      <c r="G641">
        <f>INDEX(CalLookUpTable,MATCH($B641,CalLookUpRow,0),MATCH(G$1,CalLookUpColumn,0))</f>
        <v>2019</v>
      </c>
      <c r="H641">
        <f>INDEX(CalLookUpTable,MATCH($B641,CalLookUpRow,0),MATCH(H$1,CalLookUpColumn,0))</f>
        <v>6</v>
      </c>
      <c r="I641">
        <f>INDEX(CalLookUpTable,MATCH($B641,CalLookUpRow,0),MATCH(I$1,CalLookUpColumn,0))</f>
        <v>2</v>
      </c>
    </row>
    <row r="642" spans="1:9" x14ac:dyDescent="0.25">
      <c r="A642" s="7">
        <v>1</v>
      </c>
      <c r="B642" s="8">
        <v>43626</v>
      </c>
      <c r="C642" s="9" t="s">
        <v>3</v>
      </c>
      <c r="D642" s="10">
        <v>241.28999999999996</v>
      </c>
      <c r="E642" s="10">
        <v>508.40299999999996</v>
      </c>
      <c r="F642" t="str">
        <f>VLOOKUP(A642,StoreLookup,2,FALSE)</f>
        <v>Store#1</v>
      </c>
      <c r="G642">
        <f>INDEX(CalLookUpTable,MATCH($B642,CalLookUpRow,0),MATCH(G$1,CalLookUpColumn,0))</f>
        <v>2019</v>
      </c>
      <c r="H642">
        <f>INDEX(CalLookUpTable,MATCH($B642,CalLookUpRow,0),MATCH(H$1,CalLookUpColumn,0))</f>
        <v>6</v>
      </c>
      <c r="I642">
        <f>INDEX(CalLookUpTable,MATCH($B642,CalLookUpRow,0),MATCH(I$1,CalLookUpColumn,0))</f>
        <v>3</v>
      </c>
    </row>
    <row r="643" spans="1:9" x14ac:dyDescent="0.25">
      <c r="A643" s="7">
        <v>1</v>
      </c>
      <c r="B643" s="8">
        <v>43626</v>
      </c>
      <c r="C643" s="9" t="s">
        <v>4</v>
      </c>
      <c r="D643" s="10">
        <v>4079.1869999999994</v>
      </c>
      <c r="E643" s="10">
        <v>4361.8399999999992</v>
      </c>
      <c r="F643" t="str">
        <f>VLOOKUP(A643,StoreLookup,2,FALSE)</f>
        <v>Store#1</v>
      </c>
      <c r="G643">
        <f>INDEX(CalLookUpTable,MATCH($B643,CalLookUpRow,0),MATCH(G$1,CalLookUpColumn,0))</f>
        <v>2019</v>
      </c>
      <c r="H643">
        <f>INDEX(CalLookUpTable,MATCH($B643,CalLookUpRow,0),MATCH(H$1,CalLookUpColumn,0))</f>
        <v>6</v>
      </c>
      <c r="I643">
        <f>INDEX(CalLookUpTable,MATCH($B643,CalLookUpRow,0),MATCH(I$1,CalLookUpColumn,0))</f>
        <v>3</v>
      </c>
    </row>
    <row r="644" spans="1:9" x14ac:dyDescent="0.25">
      <c r="A644" s="7">
        <v>1</v>
      </c>
      <c r="B644" s="8">
        <v>43626</v>
      </c>
      <c r="C644" s="9" t="s">
        <v>6</v>
      </c>
      <c r="D644" s="10">
        <v>785.68000000000006</v>
      </c>
      <c r="E644" s="10">
        <v>890.75699999999995</v>
      </c>
      <c r="F644" t="str">
        <f>VLOOKUP(A644,StoreLookup,2,FALSE)</f>
        <v>Store#1</v>
      </c>
      <c r="G644">
        <f>INDEX(CalLookUpTable,MATCH($B644,CalLookUpRow,0),MATCH(G$1,CalLookUpColumn,0))</f>
        <v>2019</v>
      </c>
      <c r="H644">
        <f>INDEX(CalLookUpTable,MATCH($B644,CalLookUpRow,0),MATCH(H$1,CalLookUpColumn,0))</f>
        <v>6</v>
      </c>
      <c r="I644">
        <f>INDEX(CalLookUpTable,MATCH($B644,CalLookUpRow,0),MATCH(I$1,CalLookUpColumn,0))</f>
        <v>3</v>
      </c>
    </row>
    <row r="645" spans="1:9" x14ac:dyDescent="0.25">
      <c r="A645" s="7">
        <v>1</v>
      </c>
      <c r="B645" s="8">
        <v>43626</v>
      </c>
      <c r="C645" s="9" t="s">
        <v>5</v>
      </c>
      <c r="D645" s="10">
        <v>3464.3209999999995</v>
      </c>
      <c r="E645" s="10">
        <v>0</v>
      </c>
      <c r="F645" t="str">
        <f>VLOOKUP(A645,StoreLookup,2,FALSE)</f>
        <v>Store#1</v>
      </c>
      <c r="G645">
        <f>INDEX(CalLookUpTable,MATCH($B645,CalLookUpRow,0),MATCH(G$1,CalLookUpColumn,0))</f>
        <v>2019</v>
      </c>
      <c r="H645">
        <f>INDEX(CalLookUpTable,MATCH($B645,CalLookUpRow,0),MATCH(H$1,CalLookUpColumn,0))</f>
        <v>6</v>
      </c>
      <c r="I645">
        <f>INDEX(CalLookUpTable,MATCH($B645,CalLookUpRow,0),MATCH(I$1,CalLookUpColumn,0))</f>
        <v>3</v>
      </c>
    </row>
    <row r="646" spans="1:9" x14ac:dyDescent="0.25">
      <c r="A646" s="7">
        <v>1</v>
      </c>
      <c r="B646" s="8">
        <v>43627</v>
      </c>
      <c r="C646" s="9" t="s">
        <v>3</v>
      </c>
      <c r="D646" s="10">
        <v>373.45699999999999</v>
      </c>
      <c r="E646" s="10">
        <v>387.87700000000001</v>
      </c>
      <c r="F646" t="str">
        <f>VLOOKUP(A646,StoreLookup,2,FALSE)</f>
        <v>Store#1</v>
      </c>
      <c r="G646">
        <f>INDEX(CalLookUpTable,MATCH($B646,CalLookUpRow,0),MATCH(G$1,CalLookUpColumn,0))</f>
        <v>2019</v>
      </c>
      <c r="H646">
        <f>INDEX(CalLookUpTable,MATCH($B646,CalLookUpRow,0),MATCH(H$1,CalLookUpColumn,0))</f>
        <v>6</v>
      </c>
      <c r="I646">
        <f>INDEX(CalLookUpTable,MATCH($B646,CalLookUpRow,0),MATCH(I$1,CalLookUpColumn,0))</f>
        <v>3</v>
      </c>
    </row>
    <row r="647" spans="1:9" x14ac:dyDescent="0.25">
      <c r="A647" s="7">
        <v>1</v>
      </c>
      <c r="B647" s="8">
        <v>43627</v>
      </c>
      <c r="C647" s="9" t="s">
        <v>6</v>
      </c>
      <c r="D647" s="10">
        <v>694.21799999999996</v>
      </c>
      <c r="E647" s="10">
        <v>1526.0279999999998</v>
      </c>
      <c r="F647" t="str">
        <f>VLOOKUP(A647,StoreLookup,2,FALSE)</f>
        <v>Store#1</v>
      </c>
      <c r="G647">
        <f>INDEX(CalLookUpTable,MATCH($B647,CalLookUpRow,0),MATCH(G$1,CalLookUpColumn,0))</f>
        <v>2019</v>
      </c>
      <c r="H647">
        <f>INDEX(CalLookUpTable,MATCH($B647,CalLookUpRow,0),MATCH(H$1,CalLookUpColumn,0))</f>
        <v>6</v>
      </c>
      <c r="I647">
        <f>INDEX(CalLookUpTable,MATCH($B647,CalLookUpRow,0),MATCH(I$1,CalLookUpColumn,0))</f>
        <v>3</v>
      </c>
    </row>
    <row r="648" spans="1:9" x14ac:dyDescent="0.25">
      <c r="A648" s="7">
        <v>1</v>
      </c>
      <c r="B648" s="8">
        <v>43627</v>
      </c>
      <c r="C648" s="9" t="s">
        <v>4</v>
      </c>
      <c r="D648" s="10">
        <v>3455.7670000000003</v>
      </c>
      <c r="E648" s="10">
        <v>4833.8009999999995</v>
      </c>
      <c r="F648" t="str">
        <f>VLOOKUP(A648,StoreLookup,2,FALSE)</f>
        <v>Store#1</v>
      </c>
      <c r="G648">
        <f>INDEX(CalLookUpTable,MATCH($B648,CalLookUpRow,0),MATCH(G$1,CalLookUpColumn,0))</f>
        <v>2019</v>
      </c>
      <c r="H648">
        <f>INDEX(CalLookUpTable,MATCH($B648,CalLookUpRow,0),MATCH(H$1,CalLookUpColumn,0))</f>
        <v>6</v>
      </c>
      <c r="I648">
        <f>INDEX(CalLookUpTable,MATCH($B648,CalLookUpRow,0),MATCH(I$1,CalLookUpColumn,0))</f>
        <v>3</v>
      </c>
    </row>
    <row r="649" spans="1:9" x14ac:dyDescent="0.25">
      <c r="A649" s="7">
        <v>1</v>
      </c>
      <c r="B649" s="8">
        <v>43627</v>
      </c>
      <c r="C649" s="9" t="s">
        <v>5</v>
      </c>
      <c r="D649" s="10">
        <v>2837.261</v>
      </c>
      <c r="E649" s="10">
        <v>0</v>
      </c>
      <c r="F649" t="str">
        <f>VLOOKUP(A649,StoreLookup,2,FALSE)</f>
        <v>Store#1</v>
      </c>
      <c r="G649">
        <f>INDEX(CalLookUpTable,MATCH($B649,CalLookUpRow,0),MATCH(G$1,CalLookUpColumn,0))</f>
        <v>2019</v>
      </c>
      <c r="H649">
        <f>INDEX(CalLookUpTable,MATCH($B649,CalLookUpRow,0),MATCH(H$1,CalLookUpColumn,0))</f>
        <v>6</v>
      </c>
      <c r="I649">
        <f>INDEX(CalLookUpTable,MATCH($B649,CalLookUpRow,0),MATCH(I$1,CalLookUpColumn,0))</f>
        <v>3</v>
      </c>
    </row>
    <row r="650" spans="1:9" x14ac:dyDescent="0.25">
      <c r="A650" s="7">
        <v>1</v>
      </c>
      <c r="B650" s="8">
        <v>43628</v>
      </c>
      <c r="C650" s="9" t="s">
        <v>5</v>
      </c>
      <c r="D650" s="10">
        <v>3065.3769999999995</v>
      </c>
      <c r="E650" s="10">
        <v>0</v>
      </c>
      <c r="F650" t="str">
        <f>VLOOKUP(A650,StoreLookup,2,FALSE)</f>
        <v>Store#1</v>
      </c>
      <c r="G650">
        <f>INDEX(CalLookUpTable,MATCH($B650,CalLookUpRow,0),MATCH(G$1,CalLookUpColumn,0))</f>
        <v>2019</v>
      </c>
      <c r="H650">
        <f>INDEX(CalLookUpTable,MATCH($B650,CalLookUpRow,0),MATCH(H$1,CalLookUpColumn,0))</f>
        <v>6</v>
      </c>
      <c r="I650">
        <f>INDEX(CalLookUpTable,MATCH($B650,CalLookUpRow,0),MATCH(I$1,CalLookUpColumn,0))</f>
        <v>3</v>
      </c>
    </row>
    <row r="651" spans="1:9" x14ac:dyDescent="0.25">
      <c r="A651" s="7">
        <v>1</v>
      </c>
      <c r="B651" s="8">
        <v>43628</v>
      </c>
      <c r="C651" s="9" t="s">
        <v>3</v>
      </c>
      <c r="D651" s="10">
        <v>192.86399999999998</v>
      </c>
      <c r="E651" s="10">
        <v>5859.1679999999997</v>
      </c>
      <c r="F651" t="str">
        <f>VLOOKUP(A651,StoreLookup,2,FALSE)</f>
        <v>Store#1</v>
      </c>
      <c r="G651">
        <f>INDEX(CalLookUpTable,MATCH($B651,CalLookUpRow,0),MATCH(G$1,CalLookUpColumn,0))</f>
        <v>2019</v>
      </c>
      <c r="H651">
        <f>INDEX(CalLookUpTable,MATCH($B651,CalLookUpRow,0),MATCH(H$1,CalLookUpColumn,0))</f>
        <v>6</v>
      </c>
      <c r="I651">
        <f>INDEX(CalLookUpTable,MATCH($B651,CalLookUpRow,0),MATCH(I$1,CalLookUpColumn,0))</f>
        <v>3</v>
      </c>
    </row>
    <row r="652" spans="1:9" x14ac:dyDescent="0.25">
      <c r="A652" s="7">
        <v>1</v>
      </c>
      <c r="B652" s="8">
        <v>43628</v>
      </c>
      <c r="C652" s="9" t="s">
        <v>4</v>
      </c>
      <c r="D652" s="10">
        <v>3983.6649999999995</v>
      </c>
      <c r="E652" s="10">
        <v>3848.3899999999994</v>
      </c>
      <c r="F652" t="str">
        <f>VLOOKUP(A652,StoreLookup,2,FALSE)</f>
        <v>Store#1</v>
      </c>
      <c r="G652">
        <f>INDEX(CalLookUpTable,MATCH($B652,CalLookUpRow,0),MATCH(G$1,CalLookUpColumn,0))</f>
        <v>2019</v>
      </c>
      <c r="H652">
        <f>INDEX(CalLookUpTable,MATCH($B652,CalLookUpRow,0),MATCH(H$1,CalLookUpColumn,0))</f>
        <v>6</v>
      </c>
      <c r="I652">
        <f>INDEX(CalLookUpTable,MATCH($B652,CalLookUpRow,0),MATCH(I$1,CalLookUpColumn,0))</f>
        <v>3</v>
      </c>
    </row>
    <row r="653" spans="1:9" x14ac:dyDescent="0.25">
      <c r="A653" s="7">
        <v>1</v>
      </c>
      <c r="B653" s="8">
        <v>43628</v>
      </c>
      <c r="C653" s="9" t="s">
        <v>6</v>
      </c>
      <c r="D653" s="10">
        <v>743.84800000000007</v>
      </c>
      <c r="E653" s="10">
        <v>1138.4309999999998</v>
      </c>
      <c r="F653" t="str">
        <f>VLOOKUP(A653,StoreLookup,2,FALSE)</f>
        <v>Store#1</v>
      </c>
      <c r="G653">
        <f>INDEX(CalLookUpTable,MATCH($B653,CalLookUpRow,0),MATCH(G$1,CalLookUpColumn,0))</f>
        <v>2019</v>
      </c>
      <c r="H653">
        <f>INDEX(CalLookUpTable,MATCH($B653,CalLookUpRow,0),MATCH(H$1,CalLookUpColumn,0))</f>
        <v>6</v>
      </c>
      <c r="I653">
        <f>INDEX(CalLookUpTable,MATCH($B653,CalLookUpRow,0),MATCH(I$1,CalLookUpColumn,0))</f>
        <v>3</v>
      </c>
    </row>
    <row r="654" spans="1:9" x14ac:dyDescent="0.25">
      <c r="A654" s="7">
        <v>1</v>
      </c>
      <c r="B654" s="8">
        <v>43629</v>
      </c>
      <c r="C654" s="9" t="s">
        <v>5</v>
      </c>
      <c r="D654" s="10">
        <v>3526.8939999999998</v>
      </c>
      <c r="E654" s="10">
        <v>0</v>
      </c>
      <c r="F654" t="str">
        <f>VLOOKUP(A654,StoreLookup,2,FALSE)</f>
        <v>Store#1</v>
      </c>
      <c r="G654">
        <f>INDEX(CalLookUpTable,MATCH($B654,CalLookUpRow,0),MATCH(G$1,CalLookUpColumn,0))</f>
        <v>2019</v>
      </c>
      <c r="H654">
        <f>INDEX(CalLookUpTable,MATCH($B654,CalLookUpRow,0),MATCH(H$1,CalLookUpColumn,0))</f>
        <v>6</v>
      </c>
      <c r="I654">
        <f>INDEX(CalLookUpTable,MATCH($B654,CalLookUpRow,0),MATCH(I$1,CalLookUpColumn,0))</f>
        <v>3</v>
      </c>
    </row>
    <row r="655" spans="1:9" x14ac:dyDescent="0.25">
      <c r="A655" s="7">
        <v>1</v>
      </c>
      <c r="B655" s="8">
        <v>43629</v>
      </c>
      <c r="C655" s="9" t="s">
        <v>6</v>
      </c>
      <c r="D655" s="10">
        <v>1237.9079999999999</v>
      </c>
      <c r="E655" s="10">
        <v>1355.1579999999999</v>
      </c>
      <c r="F655" t="str">
        <f>VLOOKUP(A655,StoreLookup,2,FALSE)</f>
        <v>Store#1</v>
      </c>
      <c r="G655">
        <f>INDEX(CalLookUpTable,MATCH($B655,CalLookUpRow,0),MATCH(G$1,CalLookUpColumn,0))</f>
        <v>2019</v>
      </c>
      <c r="H655">
        <f>INDEX(CalLookUpTable,MATCH($B655,CalLookUpRow,0),MATCH(H$1,CalLookUpColumn,0))</f>
        <v>6</v>
      </c>
      <c r="I655">
        <f>INDEX(CalLookUpTable,MATCH($B655,CalLookUpRow,0),MATCH(I$1,CalLookUpColumn,0))</f>
        <v>3</v>
      </c>
    </row>
    <row r="656" spans="1:9" x14ac:dyDescent="0.25">
      <c r="A656" s="7">
        <v>1</v>
      </c>
      <c r="B656" s="8">
        <v>43629</v>
      </c>
      <c r="C656" s="9" t="s">
        <v>4</v>
      </c>
      <c r="D656" s="10">
        <v>3796.5549999999994</v>
      </c>
      <c r="E656" s="10">
        <v>5003.1799999999994</v>
      </c>
      <c r="F656" t="str">
        <f>VLOOKUP(A656,StoreLookup,2,FALSE)</f>
        <v>Store#1</v>
      </c>
      <c r="G656">
        <f>INDEX(CalLookUpTable,MATCH($B656,CalLookUpRow,0),MATCH(G$1,CalLookUpColumn,0))</f>
        <v>2019</v>
      </c>
      <c r="H656">
        <f>INDEX(CalLookUpTable,MATCH($B656,CalLookUpRow,0),MATCH(H$1,CalLookUpColumn,0))</f>
        <v>6</v>
      </c>
      <c r="I656">
        <f>INDEX(CalLookUpTable,MATCH($B656,CalLookUpRow,0),MATCH(I$1,CalLookUpColumn,0))</f>
        <v>3</v>
      </c>
    </row>
    <row r="657" spans="1:9" x14ac:dyDescent="0.25">
      <c r="A657" s="7">
        <v>1</v>
      </c>
      <c r="B657" s="8">
        <v>43629</v>
      </c>
      <c r="C657" s="9" t="s">
        <v>3</v>
      </c>
      <c r="D657" s="10">
        <v>326.18599999999998</v>
      </c>
      <c r="E657" s="10">
        <v>230.00599999999997</v>
      </c>
      <c r="F657" t="str">
        <f>VLOOKUP(A657,StoreLookup,2,FALSE)</f>
        <v>Store#1</v>
      </c>
      <c r="G657">
        <f>INDEX(CalLookUpTable,MATCH($B657,CalLookUpRow,0),MATCH(G$1,CalLookUpColumn,0))</f>
        <v>2019</v>
      </c>
      <c r="H657">
        <f>INDEX(CalLookUpTable,MATCH($B657,CalLookUpRow,0),MATCH(H$1,CalLookUpColumn,0))</f>
        <v>6</v>
      </c>
      <c r="I657">
        <f>INDEX(CalLookUpTable,MATCH($B657,CalLookUpRow,0),MATCH(I$1,CalLookUpColumn,0))</f>
        <v>3</v>
      </c>
    </row>
    <row r="658" spans="1:9" x14ac:dyDescent="0.25">
      <c r="A658" s="7">
        <v>1</v>
      </c>
      <c r="B658" s="8">
        <v>43630</v>
      </c>
      <c r="C658" s="9" t="s">
        <v>3</v>
      </c>
      <c r="D658" s="10">
        <v>0</v>
      </c>
      <c r="E658" s="10">
        <v>626.01699999999994</v>
      </c>
      <c r="F658" t="str">
        <f>VLOOKUP(A658,StoreLookup,2,FALSE)</f>
        <v>Store#1</v>
      </c>
      <c r="G658">
        <f>INDEX(CalLookUpTable,MATCH($B658,CalLookUpRow,0),MATCH(G$1,CalLookUpColumn,0))</f>
        <v>2019</v>
      </c>
      <c r="H658">
        <f>INDEX(CalLookUpTable,MATCH($B658,CalLookUpRow,0),MATCH(H$1,CalLookUpColumn,0))</f>
        <v>6</v>
      </c>
      <c r="I658">
        <f>INDEX(CalLookUpTable,MATCH($B658,CalLookUpRow,0),MATCH(I$1,CalLookUpColumn,0))</f>
        <v>3</v>
      </c>
    </row>
    <row r="659" spans="1:9" x14ac:dyDescent="0.25">
      <c r="A659" s="7">
        <v>1</v>
      </c>
      <c r="B659" s="8">
        <v>43630</v>
      </c>
      <c r="C659" s="9" t="s">
        <v>4</v>
      </c>
      <c r="D659" s="10">
        <v>4452.42</v>
      </c>
      <c r="E659" s="10">
        <v>5755.8760000000002</v>
      </c>
      <c r="F659" t="str">
        <f>VLOOKUP(A659,StoreLookup,2,FALSE)</f>
        <v>Store#1</v>
      </c>
      <c r="G659">
        <f>INDEX(CalLookUpTable,MATCH($B659,CalLookUpRow,0),MATCH(G$1,CalLookUpColumn,0))</f>
        <v>2019</v>
      </c>
      <c r="H659">
        <f>INDEX(CalLookUpTable,MATCH($B659,CalLookUpRow,0),MATCH(H$1,CalLookUpColumn,0))</f>
        <v>6</v>
      </c>
      <c r="I659">
        <f>INDEX(CalLookUpTable,MATCH($B659,CalLookUpRow,0),MATCH(I$1,CalLookUpColumn,0))</f>
        <v>3</v>
      </c>
    </row>
    <row r="660" spans="1:9" x14ac:dyDescent="0.25">
      <c r="A660" s="7">
        <v>1</v>
      </c>
      <c r="B660" s="8">
        <v>43630</v>
      </c>
      <c r="C660" s="9" t="s">
        <v>5</v>
      </c>
      <c r="D660" s="10">
        <v>3637.2979999999998</v>
      </c>
      <c r="E660" s="10">
        <v>0</v>
      </c>
      <c r="F660" t="str">
        <f>VLOOKUP(A660,StoreLookup,2,FALSE)</f>
        <v>Store#1</v>
      </c>
      <c r="G660">
        <f>INDEX(CalLookUpTable,MATCH($B660,CalLookUpRow,0),MATCH(G$1,CalLookUpColumn,0))</f>
        <v>2019</v>
      </c>
      <c r="H660">
        <f>INDEX(CalLookUpTable,MATCH($B660,CalLookUpRow,0),MATCH(H$1,CalLookUpColumn,0))</f>
        <v>6</v>
      </c>
      <c r="I660">
        <f>INDEX(CalLookUpTable,MATCH($B660,CalLookUpRow,0),MATCH(I$1,CalLookUpColumn,0))</f>
        <v>3</v>
      </c>
    </row>
    <row r="661" spans="1:9" x14ac:dyDescent="0.25">
      <c r="A661" s="7">
        <v>1</v>
      </c>
      <c r="B661" s="8">
        <v>43630</v>
      </c>
      <c r="C661" s="9" t="s">
        <v>6</v>
      </c>
      <c r="D661" s="10">
        <v>783.43299999999999</v>
      </c>
      <c r="E661" s="10">
        <v>1476.2369999999999</v>
      </c>
      <c r="F661" t="str">
        <f>VLOOKUP(A661,StoreLookup,2,FALSE)</f>
        <v>Store#1</v>
      </c>
      <c r="G661">
        <f>INDEX(CalLookUpTable,MATCH($B661,CalLookUpRow,0),MATCH(G$1,CalLookUpColumn,0))</f>
        <v>2019</v>
      </c>
      <c r="H661">
        <f>INDEX(CalLookUpTable,MATCH($B661,CalLookUpRow,0),MATCH(H$1,CalLookUpColumn,0))</f>
        <v>6</v>
      </c>
      <c r="I661">
        <f>INDEX(CalLookUpTable,MATCH($B661,CalLookUpRow,0),MATCH(I$1,CalLookUpColumn,0))</f>
        <v>3</v>
      </c>
    </row>
    <row r="662" spans="1:9" x14ac:dyDescent="0.25">
      <c r="A662" s="7">
        <v>1</v>
      </c>
      <c r="B662" s="8">
        <v>43631</v>
      </c>
      <c r="C662" s="9" t="s">
        <v>6</v>
      </c>
      <c r="D662" s="10">
        <v>802.52199999999993</v>
      </c>
      <c r="E662" s="10">
        <v>1004.1919999999999</v>
      </c>
      <c r="F662" t="str">
        <f>VLOOKUP(A662,StoreLookup,2,FALSE)</f>
        <v>Store#1</v>
      </c>
      <c r="G662">
        <f>INDEX(CalLookUpTable,MATCH($B662,CalLookUpRow,0),MATCH(G$1,CalLookUpColumn,0))</f>
        <v>2019</v>
      </c>
      <c r="H662">
        <f>INDEX(CalLookUpTable,MATCH($B662,CalLookUpRow,0),MATCH(H$1,CalLookUpColumn,0))</f>
        <v>6</v>
      </c>
      <c r="I662">
        <f>INDEX(CalLookUpTable,MATCH($B662,CalLookUpRow,0),MATCH(I$1,CalLookUpColumn,0))</f>
        <v>3</v>
      </c>
    </row>
    <row r="663" spans="1:9" x14ac:dyDescent="0.25">
      <c r="A663" s="7">
        <v>1</v>
      </c>
      <c r="B663" s="8">
        <v>43631</v>
      </c>
      <c r="C663" s="9" t="s">
        <v>5</v>
      </c>
      <c r="D663" s="10">
        <v>3001.6349999999998</v>
      </c>
      <c r="E663" s="10">
        <v>0</v>
      </c>
      <c r="F663" t="str">
        <f>VLOOKUP(A663,StoreLookup,2,FALSE)</f>
        <v>Store#1</v>
      </c>
      <c r="G663">
        <f>INDEX(CalLookUpTable,MATCH($B663,CalLookUpRow,0),MATCH(G$1,CalLookUpColumn,0))</f>
        <v>2019</v>
      </c>
      <c r="H663">
        <f>INDEX(CalLookUpTable,MATCH($B663,CalLookUpRow,0),MATCH(H$1,CalLookUpColumn,0))</f>
        <v>6</v>
      </c>
      <c r="I663">
        <f>INDEX(CalLookUpTable,MATCH($B663,CalLookUpRow,0),MATCH(I$1,CalLookUpColumn,0))</f>
        <v>3</v>
      </c>
    </row>
    <row r="664" spans="1:9" x14ac:dyDescent="0.25">
      <c r="A664" s="7">
        <v>1</v>
      </c>
      <c r="B664" s="8">
        <v>43631</v>
      </c>
      <c r="C664" s="9" t="s">
        <v>4</v>
      </c>
      <c r="D664" s="10">
        <v>4689.8179999999993</v>
      </c>
      <c r="E664" s="10">
        <v>5061.4619999999995</v>
      </c>
      <c r="F664" t="str">
        <f>VLOOKUP(A664,StoreLookup,2,FALSE)</f>
        <v>Store#1</v>
      </c>
      <c r="G664">
        <f>INDEX(CalLookUpTable,MATCH($B664,CalLookUpRow,0),MATCH(G$1,CalLookUpColumn,0))</f>
        <v>2019</v>
      </c>
      <c r="H664">
        <f>INDEX(CalLookUpTable,MATCH($B664,CalLookUpRow,0),MATCH(H$1,CalLookUpColumn,0))</f>
        <v>6</v>
      </c>
      <c r="I664">
        <f>INDEX(CalLookUpTable,MATCH($B664,CalLookUpRow,0),MATCH(I$1,CalLookUpColumn,0))</f>
        <v>3</v>
      </c>
    </row>
    <row r="665" spans="1:9" x14ac:dyDescent="0.25">
      <c r="A665" s="7">
        <v>1</v>
      </c>
      <c r="B665" s="8">
        <v>43631</v>
      </c>
      <c r="C665" s="9" t="s">
        <v>3</v>
      </c>
      <c r="D665" s="10">
        <v>326.96999999999997</v>
      </c>
      <c r="E665" s="10">
        <v>287.29399999999998</v>
      </c>
      <c r="F665" t="str">
        <f>VLOOKUP(A665,StoreLookup,2,FALSE)</f>
        <v>Store#1</v>
      </c>
      <c r="G665">
        <f>INDEX(CalLookUpTable,MATCH($B665,CalLookUpRow,0),MATCH(G$1,CalLookUpColumn,0))</f>
        <v>2019</v>
      </c>
      <c r="H665">
        <f>INDEX(CalLookUpTable,MATCH($B665,CalLookUpRow,0),MATCH(H$1,CalLookUpColumn,0))</f>
        <v>6</v>
      </c>
      <c r="I665">
        <f>INDEX(CalLookUpTable,MATCH($B665,CalLookUpRow,0),MATCH(I$1,CalLookUpColumn,0))</f>
        <v>3</v>
      </c>
    </row>
    <row r="666" spans="1:9" x14ac:dyDescent="0.25">
      <c r="A666" s="7">
        <v>1</v>
      </c>
      <c r="B666" s="8">
        <v>43632</v>
      </c>
      <c r="C666" s="9" t="s">
        <v>4</v>
      </c>
      <c r="D666" s="10">
        <v>2501.0649999999996</v>
      </c>
      <c r="E666" s="10">
        <v>2423.2809999999999</v>
      </c>
      <c r="F666" t="str">
        <f>VLOOKUP(A666,StoreLookup,2,FALSE)</f>
        <v>Store#1</v>
      </c>
      <c r="G666">
        <f>INDEX(CalLookUpTable,MATCH($B666,CalLookUpRow,0),MATCH(G$1,CalLookUpColumn,0))</f>
        <v>2019</v>
      </c>
      <c r="H666">
        <f>INDEX(CalLookUpTable,MATCH($B666,CalLookUpRow,0),MATCH(H$1,CalLookUpColumn,0))</f>
        <v>6</v>
      </c>
      <c r="I666">
        <f>INDEX(CalLookUpTable,MATCH($B666,CalLookUpRow,0),MATCH(I$1,CalLookUpColumn,0))</f>
        <v>3</v>
      </c>
    </row>
    <row r="667" spans="1:9" x14ac:dyDescent="0.25">
      <c r="A667" s="7">
        <v>1</v>
      </c>
      <c r="B667" s="8">
        <v>43632</v>
      </c>
      <c r="C667" s="9" t="s">
        <v>3</v>
      </c>
      <c r="D667" s="10">
        <v>14.259</v>
      </c>
      <c r="E667" s="10">
        <v>0</v>
      </c>
      <c r="F667" t="str">
        <f>VLOOKUP(A667,StoreLookup,2,FALSE)</f>
        <v>Store#1</v>
      </c>
      <c r="G667">
        <f>INDEX(CalLookUpTable,MATCH($B667,CalLookUpRow,0),MATCH(G$1,CalLookUpColumn,0))</f>
        <v>2019</v>
      </c>
      <c r="H667">
        <f>INDEX(CalLookUpTable,MATCH($B667,CalLookUpRow,0),MATCH(H$1,CalLookUpColumn,0))</f>
        <v>6</v>
      </c>
      <c r="I667">
        <f>INDEX(CalLookUpTable,MATCH($B667,CalLookUpRow,0),MATCH(I$1,CalLookUpColumn,0))</f>
        <v>3</v>
      </c>
    </row>
    <row r="668" spans="1:9" x14ac:dyDescent="0.25">
      <c r="A668" s="7">
        <v>1</v>
      </c>
      <c r="B668" s="8">
        <v>43632</v>
      </c>
      <c r="C668" s="9" t="s">
        <v>5</v>
      </c>
      <c r="D668" s="10">
        <v>1856.799</v>
      </c>
      <c r="E668" s="10">
        <v>0</v>
      </c>
      <c r="F668" t="str">
        <f>VLOOKUP(A668,StoreLookup,2,FALSE)</f>
        <v>Store#1</v>
      </c>
      <c r="G668">
        <f>INDEX(CalLookUpTable,MATCH($B668,CalLookUpRow,0),MATCH(G$1,CalLookUpColumn,0))</f>
        <v>2019</v>
      </c>
      <c r="H668">
        <f>INDEX(CalLookUpTable,MATCH($B668,CalLookUpRow,0),MATCH(H$1,CalLookUpColumn,0))</f>
        <v>6</v>
      </c>
      <c r="I668">
        <f>INDEX(CalLookUpTable,MATCH($B668,CalLookUpRow,0),MATCH(I$1,CalLookUpColumn,0))</f>
        <v>3</v>
      </c>
    </row>
    <row r="669" spans="1:9" x14ac:dyDescent="0.25">
      <c r="A669" s="7">
        <v>1</v>
      </c>
      <c r="B669" s="8">
        <v>43632</v>
      </c>
      <c r="C669" s="9" t="s">
        <v>6</v>
      </c>
      <c r="D669" s="10">
        <v>152.21499999999997</v>
      </c>
      <c r="E669" s="10">
        <v>422.91899999999993</v>
      </c>
      <c r="F669" t="str">
        <f>VLOOKUP(A669,StoreLookup,2,FALSE)</f>
        <v>Store#1</v>
      </c>
      <c r="G669">
        <f>INDEX(CalLookUpTable,MATCH($B669,CalLookUpRow,0),MATCH(G$1,CalLookUpColumn,0))</f>
        <v>2019</v>
      </c>
      <c r="H669">
        <f>INDEX(CalLookUpTable,MATCH($B669,CalLookUpRow,0),MATCH(H$1,CalLookUpColumn,0))</f>
        <v>6</v>
      </c>
      <c r="I669">
        <f>INDEX(CalLookUpTable,MATCH($B669,CalLookUpRow,0),MATCH(I$1,CalLookUpColumn,0))</f>
        <v>3</v>
      </c>
    </row>
    <row r="670" spans="1:9" x14ac:dyDescent="0.25">
      <c r="A670" s="7">
        <v>1</v>
      </c>
      <c r="B670" s="8">
        <v>43633</v>
      </c>
      <c r="C670" s="9" t="s">
        <v>4</v>
      </c>
      <c r="D670" s="10">
        <v>4366.9290000000001</v>
      </c>
      <c r="E670" s="10">
        <v>5110</v>
      </c>
      <c r="F670" t="str">
        <f>VLOOKUP(A670,StoreLookup,2,FALSE)</f>
        <v>Store#1</v>
      </c>
      <c r="G670">
        <f>INDEX(CalLookUpTable,MATCH($B670,CalLookUpRow,0),MATCH(G$1,CalLookUpColumn,0))</f>
        <v>2019</v>
      </c>
      <c r="H670">
        <f>INDEX(CalLookUpTable,MATCH($B670,CalLookUpRow,0),MATCH(H$1,CalLookUpColumn,0))</f>
        <v>6</v>
      </c>
      <c r="I670">
        <f>INDEX(CalLookUpTable,MATCH($B670,CalLookUpRow,0),MATCH(I$1,CalLookUpColumn,0))</f>
        <v>4</v>
      </c>
    </row>
    <row r="671" spans="1:9" x14ac:dyDescent="0.25">
      <c r="A671" s="7">
        <v>1</v>
      </c>
      <c r="B671" s="8">
        <v>43633</v>
      </c>
      <c r="C671" s="9" t="s">
        <v>3</v>
      </c>
      <c r="D671" s="10">
        <v>189.50400000000002</v>
      </c>
      <c r="E671" s="10">
        <v>161.54599999999999</v>
      </c>
      <c r="F671" t="str">
        <f>VLOOKUP(A671,StoreLookup,2,FALSE)</f>
        <v>Store#1</v>
      </c>
      <c r="G671">
        <f>INDEX(CalLookUpTable,MATCH($B671,CalLookUpRow,0),MATCH(G$1,CalLookUpColumn,0))</f>
        <v>2019</v>
      </c>
      <c r="H671">
        <f>INDEX(CalLookUpTable,MATCH($B671,CalLookUpRow,0),MATCH(H$1,CalLookUpColumn,0))</f>
        <v>6</v>
      </c>
      <c r="I671">
        <f>INDEX(CalLookUpTable,MATCH($B671,CalLookUpRow,0),MATCH(I$1,CalLookUpColumn,0))</f>
        <v>4</v>
      </c>
    </row>
    <row r="672" spans="1:9" x14ac:dyDescent="0.25">
      <c r="A672" s="7">
        <v>1</v>
      </c>
      <c r="B672" s="8">
        <v>43633</v>
      </c>
      <c r="C672" s="9" t="s">
        <v>5</v>
      </c>
      <c r="D672" s="10">
        <v>3396.5959999999995</v>
      </c>
      <c r="E672" s="10">
        <v>0</v>
      </c>
      <c r="F672" t="str">
        <f>VLOOKUP(A672,StoreLookup,2,FALSE)</f>
        <v>Store#1</v>
      </c>
      <c r="G672">
        <f>INDEX(CalLookUpTable,MATCH($B672,CalLookUpRow,0),MATCH(G$1,CalLookUpColumn,0))</f>
        <v>2019</v>
      </c>
      <c r="H672">
        <f>INDEX(CalLookUpTable,MATCH($B672,CalLookUpRow,0),MATCH(H$1,CalLookUpColumn,0))</f>
        <v>6</v>
      </c>
      <c r="I672">
        <f>INDEX(CalLookUpTable,MATCH($B672,CalLookUpRow,0),MATCH(I$1,CalLookUpColumn,0))</f>
        <v>4</v>
      </c>
    </row>
    <row r="673" spans="1:9" x14ac:dyDescent="0.25">
      <c r="A673" s="7">
        <v>1</v>
      </c>
      <c r="B673" s="8">
        <v>43633</v>
      </c>
      <c r="C673" s="9" t="s">
        <v>6</v>
      </c>
      <c r="D673" s="10">
        <v>878.04499999999985</v>
      </c>
      <c r="E673" s="10">
        <v>1242.7449999999999</v>
      </c>
      <c r="F673" t="str">
        <f>VLOOKUP(A673,StoreLookup,2,FALSE)</f>
        <v>Store#1</v>
      </c>
      <c r="G673">
        <f>INDEX(CalLookUpTable,MATCH($B673,CalLookUpRow,0),MATCH(G$1,CalLookUpColumn,0))</f>
        <v>2019</v>
      </c>
      <c r="H673">
        <f>INDEX(CalLookUpTable,MATCH($B673,CalLookUpRow,0),MATCH(H$1,CalLookUpColumn,0))</f>
        <v>6</v>
      </c>
      <c r="I673">
        <f>INDEX(CalLookUpTable,MATCH($B673,CalLookUpRow,0),MATCH(I$1,CalLookUpColumn,0))</f>
        <v>4</v>
      </c>
    </row>
    <row r="674" spans="1:9" x14ac:dyDescent="0.25">
      <c r="A674" s="7">
        <v>1</v>
      </c>
      <c r="B674" s="8">
        <v>43634</v>
      </c>
      <c r="C674" s="9" t="s">
        <v>4</v>
      </c>
      <c r="D674" s="10">
        <v>3791.1929999999998</v>
      </c>
      <c r="E674" s="10">
        <v>4872.3149999999996</v>
      </c>
      <c r="F674" t="str">
        <f>VLOOKUP(A674,StoreLookup,2,FALSE)</f>
        <v>Store#1</v>
      </c>
      <c r="G674">
        <f>INDEX(CalLookUpTable,MATCH($B674,CalLookUpRow,0),MATCH(G$1,CalLookUpColumn,0))</f>
        <v>2019</v>
      </c>
      <c r="H674">
        <f>INDEX(CalLookUpTable,MATCH($B674,CalLookUpRow,0),MATCH(H$1,CalLookUpColumn,0))</f>
        <v>6</v>
      </c>
      <c r="I674">
        <f>INDEX(CalLookUpTable,MATCH($B674,CalLookUpRow,0),MATCH(I$1,CalLookUpColumn,0))</f>
        <v>4</v>
      </c>
    </row>
    <row r="675" spans="1:9" x14ac:dyDescent="0.25">
      <c r="A675" s="7">
        <v>1</v>
      </c>
      <c r="B675" s="8">
        <v>43634</v>
      </c>
      <c r="C675" s="9" t="s">
        <v>3</v>
      </c>
      <c r="D675" s="10">
        <v>190.88299999999998</v>
      </c>
      <c r="E675" s="10">
        <v>782.73299999999995</v>
      </c>
      <c r="F675" t="str">
        <f>VLOOKUP(A675,StoreLookup,2,FALSE)</f>
        <v>Store#1</v>
      </c>
      <c r="G675">
        <f>INDEX(CalLookUpTable,MATCH($B675,CalLookUpRow,0),MATCH(G$1,CalLookUpColumn,0))</f>
        <v>2019</v>
      </c>
      <c r="H675">
        <f>INDEX(CalLookUpTable,MATCH($B675,CalLookUpRow,0),MATCH(H$1,CalLookUpColumn,0))</f>
        <v>6</v>
      </c>
      <c r="I675">
        <f>INDEX(CalLookUpTable,MATCH($B675,CalLookUpRow,0),MATCH(I$1,CalLookUpColumn,0))</f>
        <v>4</v>
      </c>
    </row>
    <row r="676" spans="1:9" x14ac:dyDescent="0.25">
      <c r="A676" s="7">
        <v>1</v>
      </c>
      <c r="B676" s="8">
        <v>43634</v>
      </c>
      <c r="C676" s="9" t="s">
        <v>5</v>
      </c>
      <c r="D676" s="10">
        <v>3233.2719999999999</v>
      </c>
      <c r="E676" s="10">
        <v>0</v>
      </c>
      <c r="F676" t="str">
        <f>VLOOKUP(A676,StoreLookup,2,FALSE)</f>
        <v>Store#1</v>
      </c>
      <c r="G676">
        <f>INDEX(CalLookUpTable,MATCH($B676,CalLookUpRow,0),MATCH(G$1,CalLookUpColumn,0))</f>
        <v>2019</v>
      </c>
      <c r="H676">
        <f>INDEX(CalLookUpTable,MATCH($B676,CalLookUpRow,0),MATCH(H$1,CalLookUpColumn,0))</f>
        <v>6</v>
      </c>
      <c r="I676">
        <f>INDEX(CalLookUpTable,MATCH($B676,CalLookUpRow,0),MATCH(I$1,CalLookUpColumn,0))</f>
        <v>4</v>
      </c>
    </row>
    <row r="677" spans="1:9" x14ac:dyDescent="0.25">
      <c r="A677" s="7">
        <v>1</v>
      </c>
      <c r="B677" s="8">
        <v>43634</v>
      </c>
      <c r="C677" s="9" t="s">
        <v>6</v>
      </c>
      <c r="D677" s="10">
        <v>703.86399999999992</v>
      </c>
      <c r="E677" s="10">
        <v>1502.2350000000001</v>
      </c>
      <c r="F677" t="str">
        <f>VLOOKUP(A677,StoreLookup,2,FALSE)</f>
        <v>Store#1</v>
      </c>
      <c r="G677">
        <f>INDEX(CalLookUpTable,MATCH($B677,CalLookUpRow,0),MATCH(G$1,CalLookUpColumn,0))</f>
        <v>2019</v>
      </c>
      <c r="H677">
        <f>INDEX(CalLookUpTable,MATCH($B677,CalLookUpRow,0),MATCH(H$1,CalLookUpColumn,0))</f>
        <v>6</v>
      </c>
      <c r="I677">
        <f>INDEX(CalLookUpTable,MATCH($B677,CalLookUpRow,0),MATCH(I$1,CalLookUpColumn,0))</f>
        <v>4</v>
      </c>
    </row>
    <row r="678" spans="1:9" x14ac:dyDescent="0.25">
      <c r="A678" s="7">
        <v>1</v>
      </c>
      <c r="B678" s="8">
        <v>43635</v>
      </c>
      <c r="C678" s="9" t="s">
        <v>4</v>
      </c>
      <c r="D678" s="10">
        <v>4055.6529999999998</v>
      </c>
      <c r="E678" s="10">
        <v>5228.9649999999992</v>
      </c>
      <c r="F678" t="str">
        <f>VLOOKUP(A678,StoreLookup,2,FALSE)</f>
        <v>Store#1</v>
      </c>
      <c r="G678">
        <f>INDEX(CalLookUpTable,MATCH($B678,CalLookUpRow,0),MATCH(G$1,CalLookUpColumn,0))</f>
        <v>2019</v>
      </c>
      <c r="H678">
        <f>INDEX(CalLookUpTable,MATCH($B678,CalLookUpRow,0),MATCH(H$1,CalLookUpColumn,0))</f>
        <v>6</v>
      </c>
      <c r="I678">
        <f>INDEX(CalLookUpTable,MATCH($B678,CalLookUpRow,0),MATCH(I$1,CalLookUpColumn,0))</f>
        <v>4</v>
      </c>
    </row>
    <row r="679" spans="1:9" x14ac:dyDescent="0.25">
      <c r="A679" s="7">
        <v>1</v>
      </c>
      <c r="B679" s="8">
        <v>43635</v>
      </c>
      <c r="C679" s="9" t="s">
        <v>3</v>
      </c>
      <c r="D679" s="10">
        <v>500.04499999999996</v>
      </c>
      <c r="E679" s="10">
        <v>9.4359999999999999</v>
      </c>
      <c r="F679" t="str">
        <f>VLOOKUP(A679,StoreLookup,2,FALSE)</f>
        <v>Store#1</v>
      </c>
      <c r="G679">
        <f>INDEX(CalLookUpTable,MATCH($B679,CalLookUpRow,0),MATCH(G$1,CalLookUpColumn,0))</f>
        <v>2019</v>
      </c>
      <c r="H679">
        <f>INDEX(CalLookUpTable,MATCH($B679,CalLookUpRow,0),MATCH(H$1,CalLookUpColumn,0))</f>
        <v>6</v>
      </c>
      <c r="I679">
        <f>INDEX(CalLookUpTable,MATCH($B679,CalLookUpRow,0),MATCH(I$1,CalLookUpColumn,0))</f>
        <v>4</v>
      </c>
    </row>
    <row r="680" spans="1:9" x14ac:dyDescent="0.25">
      <c r="A680" s="7">
        <v>1</v>
      </c>
      <c r="B680" s="8">
        <v>43635</v>
      </c>
      <c r="C680" s="9" t="s">
        <v>6</v>
      </c>
      <c r="D680" s="10">
        <v>1060.3039999999999</v>
      </c>
      <c r="E680" s="10">
        <v>897.11299999999983</v>
      </c>
      <c r="F680" t="str">
        <f>VLOOKUP(A680,StoreLookup,2,FALSE)</f>
        <v>Store#1</v>
      </c>
      <c r="G680">
        <f>INDEX(CalLookUpTable,MATCH($B680,CalLookUpRow,0),MATCH(G$1,CalLookUpColumn,0))</f>
        <v>2019</v>
      </c>
      <c r="H680">
        <f>INDEX(CalLookUpTable,MATCH($B680,CalLookUpRow,0),MATCH(H$1,CalLookUpColumn,0))</f>
        <v>6</v>
      </c>
      <c r="I680">
        <f>INDEX(CalLookUpTable,MATCH($B680,CalLookUpRow,0),MATCH(I$1,CalLookUpColumn,0))</f>
        <v>4</v>
      </c>
    </row>
    <row r="681" spans="1:9" x14ac:dyDescent="0.25">
      <c r="A681" s="7">
        <v>1</v>
      </c>
      <c r="B681" s="8">
        <v>43635</v>
      </c>
      <c r="C681" s="9" t="s">
        <v>5</v>
      </c>
      <c r="D681" s="10">
        <v>3216.1219999999998</v>
      </c>
      <c r="E681" s="10">
        <v>0</v>
      </c>
      <c r="F681" t="str">
        <f>VLOOKUP(A681,StoreLookup,2,FALSE)</f>
        <v>Store#1</v>
      </c>
      <c r="G681">
        <f>INDEX(CalLookUpTable,MATCH($B681,CalLookUpRow,0),MATCH(G$1,CalLookUpColumn,0))</f>
        <v>2019</v>
      </c>
      <c r="H681">
        <f>INDEX(CalLookUpTable,MATCH($B681,CalLookUpRow,0),MATCH(H$1,CalLookUpColumn,0))</f>
        <v>6</v>
      </c>
      <c r="I681">
        <f>INDEX(CalLookUpTable,MATCH($B681,CalLookUpRow,0),MATCH(I$1,CalLookUpColumn,0))</f>
        <v>4</v>
      </c>
    </row>
    <row r="682" spans="1:9" x14ac:dyDescent="0.25">
      <c r="A682" s="7">
        <v>1</v>
      </c>
      <c r="B682" s="8">
        <v>43636</v>
      </c>
      <c r="C682" s="9" t="s">
        <v>6</v>
      </c>
      <c r="D682" s="10">
        <v>1106.133</v>
      </c>
      <c r="E682" s="10">
        <v>1210.223</v>
      </c>
      <c r="F682" t="str">
        <f>VLOOKUP(A682,StoreLookup,2,FALSE)</f>
        <v>Store#1</v>
      </c>
      <c r="G682">
        <f>INDEX(CalLookUpTable,MATCH($B682,CalLookUpRow,0),MATCH(G$1,CalLookUpColumn,0))</f>
        <v>2019</v>
      </c>
      <c r="H682">
        <f>INDEX(CalLookUpTable,MATCH($B682,CalLookUpRow,0),MATCH(H$1,CalLookUpColumn,0))</f>
        <v>6</v>
      </c>
      <c r="I682">
        <f>INDEX(CalLookUpTable,MATCH($B682,CalLookUpRow,0),MATCH(I$1,CalLookUpColumn,0))</f>
        <v>4</v>
      </c>
    </row>
    <row r="683" spans="1:9" x14ac:dyDescent="0.25">
      <c r="A683" s="7">
        <v>1</v>
      </c>
      <c r="B683" s="8">
        <v>43636</v>
      </c>
      <c r="C683" s="9" t="s">
        <v>4</v>
      </c>
      <c r="D683" s="10">
        <v>4494.9939999999997</v>
      </c>
      <c r="E683" s="10">
        <v>5425.3289999999997</v>
      </c>
      <c r="F683" t="str">
        <f>VLOOKUP(A683,StoreLookup,2,FALSE)</f>
        <v>Store#1</v>
      </c>
      <c r="G683">
        <f>INDEX(CalLookUpTable,MATCH($B683,CalLookUpRow,0),MATCH(G$1,CalLookUpColumn,0))</f>
        <v>2019</v>
      </c>
      <c r="H683">
        <f>INDEX(CalLookUpTable,MATCH($B683,CalLookUpRow,0),MATCH(H$1,CalLookUpColumn,0))</f>
        <v>6</v>
      </c>
      <c r="I683">
        <f>INDEX(CalLookUpTable,MATCH($B683,CalLookUpRow,0),MATCH(I$1,CalLookUpColumn,0))</f>
        <v>4</v>
      </c>
    </row>
    <row r="684" spans="1:9" x14ac:dyDescent="0.25">
      <c r="A684" s="7">
        <v>1</v>
      </c>
      <c r="B684" s="8">
        <v>43636</v>
      </c>
      <c r="C684" s="9" t="s">
        <v>3</v>
      </c>
      <c r="D684" s="10">
        <v>641.03199999999993</v>
      </c>
      <c r="E684" s="10">
        <v>1213.6389999999999</v>
      </c>
      <c r="F684" t="str">
        <f>VLOOKUP(A684,StoreLookup,2,FALSE)</f>
        <v>Store#1</v>
      </c>
      <c r="G684">
        <f>INDEX(CalLookUpTable,MATCH($B684,CalLookUpRow,0),MATCH(G$1,CalLookUpColumn,0))</f>
        <v>2019</v>
      </c>
      <c r="H684">
        <f>INDEX(CalLookUpTable,MATCH($B684,CalLookUpRow,0),MATCH(H$1,CalLookUpColumn,0))</f>
        <v>6</v>
      </c>
      <c r="I684">
        <f>INDEX(CalLookUpTable,MATCH($B684,CalLookUpRow,0),MATCH(I$1,CalLookUpColumn,0))</f>
        <v>4</v>
      </c>
    </row>
    <row r="685" spans="1:9" x14ac:dyDescent="0.25">
      <c r="A685" s="7">
        <v>1</v>
      </c>
      <c r="B685" s="8">
        <v>43636</v>
      </c>
      <c r="C685" s="9" t="s">
        <v>5</v>
      </c>
      <c r="D685" s="10">
        <v>3680.2429999999995</v>
      </c>
      <c r="E685" s="10">
        <v>0</v>
      </c>
      <c r="F685" t="str">
        <f>VLOOKUP(A685,StoreLookup,2,FALSE)</f>
        <v>Store#1</v>
      </c>
      <c r="G685">
        <f>INDEX(CalLookUpTable,MATCH($B685,CalLookUpRow,0),MATCH(G$1,CalLookUpColumn,0))</f>
        <v>2019</v>
      </c>
      <c r="H685">
        <f>INDEX(CalLookUpTable,MATCH($B685,CalLookUpRow,0),MATCH(H$1,CalLookUpColumn,0))</f>
        <v>6</v>
      </c>
      <c r="I685">
        <f>INDEX(CalLookUpTable,MATCH($B685,CalLookUpRow,0),MATCH(I$1,CalLookUpColumn,0))</f>
        <v>4</v>
      </c>
    </row>
    <row r="686" spans="1:9" x14ac:dyDescent="0.25">
      <c r="A686" s="7">
        <v>1</v>
      </c>
      <c r="B686" s="8">
        <v>43637</v>
      </c>
      <c r="C686" s="9" t="s">
        <v>5</v>
      </c>
      <c r="D686" s="10">
        <v>4017.9089999999997</v>
      </c>
      <c r="E686" s="10">
        <v>0</v>
      </c>
      <c r="F686" t="str">
        <f>VLOOKUP(A686,StoreLookup,2,FALSE)</f>
        <v>Store#1</v>
      </c>
      <c r="G686">
        <f>INDEX(CalLookUpTable,MATCH($B686,CalLookUpRow,0),MATCH(G$1,CalLookUpColumn,0))</f>
        <v>2019</v>
      </c>
      <c r="H686">
        <f>INDEX(CalLookUpTable,MATCH($B686,CalLookUpRow,0),MATCH(H$1,CalLookUpColumn,0))</f>
        <v>6</v>
      </c>
      <c r="I686">
        <f>INDEX(CalLookUpTable,MATCH($B686,CalLookUpRow,0),MATCH(I$1,CalLookUpColumn,0))</f>
        <v>4</v>
      </c>
    </row>
    <row r="687" spans="1:9" x14ac:dyDescent="0.25">
      <c r="A687" s="7">
        <v>1</v>
      </c>
      <c r="B687" s="8">
        <v>43637</v>
      </c>
      <c r="C687" s="9" t="s">
        <v>3</v>
      </c>
      <c r="D687" s="10">
        <v>62.635999999999996</v>
      </c>
      <c r="E687" s="10">
        <v>572.9849999999999</v>
      </c>
      <c r="F687" t="str">
        <f>VLOOKUP(A687,StoreLookup,2,FALSE)</f>
        <v>Store#1</v>
      </c>
      <c r="G687">
        <f>INDEX(CalLookUpTable,MATCH($B687,CalLookUpRow,0),MATCH(G$1,CalLookUpColumn,0))</f>
        <v>2019</v>
      </c>
      <c r="H687">
        <f>INDEX(CalLookUpTable,MATCH($B687,CalLookUpRow,0),MATCH(H$1,CalLookUpColumn,0))</f>
        <v>6</v>
      </c>
      <c r="I687">
        <f>INDEX(CalLookUpTable,MATCH($B687,CalLookUpRow,0),MATCH(I$1,CalLookUpColumn,0))</f>
        <v>4</v>
      </c>
    </row>
    <row r="688" spans="1:9" x14ac:dyDescent="0.25">
      <c r="A688" s="7">
        <v>1</v>
      </c>
      <c r="B688" s="8">
        <v>43637</v>
      </c>
      <c r="C688" s="9" t="s">
        <v>4</v>
      </c>
      <c r="D688" s="10">
        <v>5252.5829999999996</v>
      </c>
      <c r="E688" s="10">
        <v>5559.5819999999994</v>
      </c>
      <c r="F688" t="str">
        <f>VLOOKUP(A688,StoreLookup,2,FALSE)</f>
        <v>Store#1</v>
      </c>
      <c r="G688">
        <f>INDEX(CalLookUpTable,MATCH($B688,CalLookUpRow,0),MATCH(G$1,CalLookUpColumn,0))</f>
        <v>2019</v>
      </c>
      <c r="H688">
        <f>INDEX(CalLookUpTable,MATCH($B688,CalLookUpRow,0),MATCH(H$1,CalLookUpColumn,0))</f>
        <v>6</v>
      </c>
      <c r="I688">
        <f>INDEX(CalLookUpTable,MATCH($B688,CalLookUpRow,0),MATCH(I$1,CalLookUpColumn,0))</f>
        <v>4</v>
      </c>
    </row>
    <row r="689" spans="1:9" x14ac:dyDescent="0.25">
      <c r="A689" s="7">
        <v>1</v>
      </c>
      <c r="B689" s="8">
        <v>43637</v>
      </c>
      <c r="C689" s="9" t="s">
        <v>6</v>
      </c>
      <c r="D689" s="10">
        <v>1098.3839999999998</v>
      </c>
      <c r="E689" s="10">
        <v>1850.3309999999999</v>
      </c>
      <c r="F689" t="str">
        <f>VLOOKUP(A689,StoreLookup,2,FALSE)</f>
        <v>Store#1</v>
      </c>
      <c r="G689">
        <f>INDEX(CalLookUpTable,MATCH($B689,CalLookUpRow,0),MATCH(G$1,CalLookUpColumn,0))</f>
        <v>2019</v>
      </c>
      <c r="H689">
        <f>INDEX(CalLookUpTable,MATCH($B689,CalLookUpRow,0),MATCH(H$1,CalLookUpColumn,0))</f>
        <v>6</v>
      </c>
      <c r="I689">
        <f>INDEX(CalLookUpTable,MATCH($B689,CalLookUpRow,0),MATCH(I$1,CalLookUpColumn,0))</f>
        <v>4</v>
      </c>
    </row>
    <row r="690" spans="1:9" x14ac:dyDescent="0.25">
      <c r="A690" s="7">
        <v>1</v>
      </c>
      <c r="B690" s="8">
        <v>43638</v>
      </c>
      <c r="C690" s="9" t="s">
        <v>3</v>
      </c>
      <c r="D690" s="10">
        <v>447.34199999999993</v>
      </c>
      <c r="E690" s="10">
        <v>0</v>
      </c>
      <c r="F690" t="str">
        <f>VLOOKUP(A690,StoreLookup,2,FALSE)</f>
        <v>Store#1</v>
      </c>
      <c r="G690">
        <f>INDEX(CalLookUpTable,MATCH($B690,CalLookUpRow,0),MATCH(G$1,CalLookUpColumn,0))</f>
        <v>2019</v>
      </c>
      <c r="H690">
        <f>INDEX(CalLookUpTable,MATCH($B690,CalLookUpRow,0),MATCH(H$1,CalLookUpColumn,0))</f>
        <v>6</v>
      </c>
      <c r="I690">
        <f>INDEX(CalLookUpTable,MATCH($B690,CalLookUpRow,0),MATCH(I$1,CalLookUpColumn,0))</f>
        <v>4</v>
      </c>
    </row>
    <row r="691" spans="1:9" x14ac:dyDescent="0.25">
      <c r="A691" s="7">
        <v>1</v>
      </c>
      <c r="B691" s="8">
        <v>43638</v>
      </c>
      <c r="C691" s="9" t="s">
        <v>5</v>
      </c>
      <c r="D691" s="10">
        <v>3547.0189999999998</v>
      </c>
      <c r="E691" s="10">
        <v>0</v>
      </c>
      <c r="F691" t="str">
        <f>VLOOKUP(A691,StoreLookup,2,FALSE)</f>
        <v>Store#1</v>
      </c>
      <c r="G691">
        <f>INDEX(CalLookUpTable,MATCH($B691,CalLookUpRow,0),MATCH(G$1,CalLookUpColumn,0))</f>
        <v>2019</v>
      </c>
      <c r="H691">
        <f>INDEX(CalLookUpTable,MATCH($B691,CalLookUpRow,0),MATCH(H$1,CalLookUpColumn,0))</f>
        <v>6</v>
      </c>
      <c r="I691">
        <f>INDEX(CalLookUpTable,MATCH($B691,CalLookUpRow,0),MATCH(I$1,CalLookUpColumn,0))</f>
        <v>4</v>
      </c>
    </row>
    <row r="692" spans="1:9" x14ac:dyDescent="0.25">
      <c r="A692" s="7">
        <v>1</v>
      </c>
      <c r="B692" s="8">
        <v>43638</v>
      </c>
      <c r="C692" s="9" t="s">
        <v>4</v>
      </c>
      <c r="D692" s="10">
        <v>4796.442</v>
      </c>
      <c r="E692" s="10">
        <v>5843.9639999999999</v>
      </c>
      <c r="F692" t="str">
        <f>VLOOKUP(A692,StoreLookup,2,FALSE)</f>
        <v>Store#1</v>
      </c>
      <c r="G692">
        <f>INDEX(CalLookUpTable,MATCH($B692,CalLookUpRow,0),MATCH(G$1,CalLookUpColumn,0))</f>
        <v>2019</v>
      </c>
      <c r="H692">
        <f>INDEX(CalLookUpTable,MATCH($B692,CalLookUpRow,0),MATCH(H$1,CalLookUpColumn,0))</f>
        <v>6</v>
      </c>
      <c r="I692">
        <f>INDEX(CalLookUpTable,MATCH($B692,CalLookUpRow,0),MATCH(I$1,CalLookUpColumn,0))</f>
        <v>4</v>
      </c>
    </row>
    <row r="693" spans="1:9" x14ac:dyDescent="0.25">
      <c r="A693" s="7">
        <v>1</v>
      </c>
      <c r="B693" s="8">
        <v>43638</v>
      </c>
      <c r="C693" s="9" t="s">
        <v>6</v>
      </c>
      <c r="D693" s="10">
        <v>769.33499999999992</v>
      </c>
      <c r="E693" s="10">
        <v>1479.674</v>
      </c>
      <c r="F693" t="str">
        <f>VLOOKUP(A693,StoreLookup,2,FALSE)</f>
        <v>Store#1</v>
      </c>
      <c r="G693">
        <f>INDEX(CalLookUpTable,MATCH($B693,CalLookUpRow,0),MATCH(G$1,CalLookUpColumn,0))</f>
        <v>2019</v>
      </c>
      <c r="H693">
        <f>INDEX(CalLookUpTable,MATCH($B693,CalLookUpRow,0),MATCH(H$1,CalLookUpColumn,0))</f>
        <v>6</v>
      </c>
      <c r="I693">
        <f>INDEX(CalLookUpTable,MATCH($B693,CalLookUpRow,0),MATCH(I$1,CalLookUpColumn,0))</f>
        <v>4</v>
      </c>
    </row>
    <row r="694" spans="1:9" x14ac:dyDescent="0.25">
      <c r="A694" s="7">
        <v>1</v>
      </c>
      <c r="B694" s="8">
        <v>43639</v>
      </c>
      <c r="C694" s="9" t="s">
        <v>4</v>
      </c>
      <c r="D694" s="10">
        <v>3250.6459999999997</v>
      </c>
      <c r="E694" s="10">
        <v>3320.5059999999999</v>
      </c>
      <c r="F694" t="str">
        <f>VLOOKUP(A694,StoreLookup,2,FALSE)</f>
        <v>Store#1</v>
      </c>
      <c r="G694">
        <f>INDEX(CalLookUpTable,MATCH($B694,CalLookUpRow,0),MATCH(G$1,CalLookUpColumn,0))</f>
        <v>2019</v>
      </c>
      <c r="H694">
        <f>INDEX(CalLookUpTable,MATCH($B694,CalLookUpRow,0),MATCH(H$1,CalLookUpColumn,0))</f>
        <v>6</v>
      </c>
      <c r="I694">
        <f>INDEX(CalLookUpTable,MATCH($B694,CalLookUpRow,0),MATCH(I$1,CalLookUpColumn,0))</f>
        <v>4</v>
      </c>
    </row>
    <row r="695" spans="1:9" x14ac:dyDescent="0.25">
      <c r="A695" s="7">
        <v>1</v>
      </c>
      <c r="B695" s="8">
        <v>43639</v>
      </c>
      <c r="C695" s="9" t="s">
        <v>5</v>
      </c>
      <c r="D695" s="10">
        <v>1718.7869999999998</v>
      </c>
      <c r="E695" s="10">
        <v>0</v>
      </c>
      <c r="F695" t="str">
        <f>VLOOKUP(A695,StoreLookup,2,FALSE)</f>
        <v>Store#1</v>
      </c>
      <c r="G695">
        <f>INDEX(CalLookUpTable,MATCH($B695,CalLookUpRow,0),MATCH(G$1,CalLookUpColumn,0))</f>
        <v>2019</v>
      </c>
      <c r="H695">
        <f>INDEX(CalLookUpTable,MATCH($B695,CalLookUpRow,0),MATCH(H$1,CalLookUpColumn,0))</f>
        <v>6</v>
      </c>
      <c r="I695">
        <f>INDEX(CalLookUpTable,MATCH($B695,CalLookUpRow,0),MATCH(I$1,CalLookUpColumn,0))</f>
        <v>4</v>
      </c>
    </row>
    <row r="696" spans="1:9" x14ac:dyDescent="0.25">
      <c r="A696" s="7">
        <v>1</v>
      </c>
      <c r="B696" s="8">
        <v>43639</v>
      </c>
      <c r="C696" s="9" t="s">
        <v>6</v>
      </c>
      <c r="D696" s="10">
        <v>155.267</v>
      </c>
      <c r="E696" s="10">
        <v>228.98399999999998</v>
      </c>
      <c r="F696" t="str">
        <f>VLOOKUP(A696,StoreLookup,2,FALSE)</f>
        <v>Store#1</v>
      </c>
      <c r="G696">
        <f>INDEX(CalLookUpTable,MATCH($B696,CalLookUpRow,0),MATCH(G$1,CalLookUpColumn,0))</f>
        <v>2019</v>
      </c>
      <c r="H696">
        <f>INDEX(CalLookUpTable,MATCH($B696,CalLookUpRow,0),MATCH(H$1,CalLookUpColumn,0))</f>
        <v>6</v>
      </c>
      <c r="I696">
        <f>INDEX(CalLookUpTable,MATCH($B696,CalLookUpRow,0),MATCH(I$1,CalLookUpColumn,0))</f>
        <v>4</v>
      </c>
    </row>
    <row r="697" spans="1:9" x14ac:dyDescent="0.25">
      <c r="A697" s="7">
        <v>1</v>
      </c>
      <c r="B697" s="8">
        <v>43639</v>
      </c>
      <c r="C697" s="9" t="s">
        <v>3</v>
      </c>
      <c r="D697" s="10">
        <v>321.71999999999997</v>
      </c>
      <c r="E697" s="10">
        <v>0</v>
      </c>
      <c r="F697" t="str">
        <f>VLOOKUP(A697,StoreLookup,2,FALSE)</f>
        <v>Store#1</v>
      </c>
      <c r="G697">
        <f>INDEX(CalLookUpTable,MATCH($B697,CalLookUpRow,0),MATCH(G$1,CalLookUpColumn,0))</f>
        <v>2019</v>
      </c>
      <c r="H697">
        <f>INDEX(CalLookUpTable,MATCH($B697,CalLookUpRow,0),MATCH(H$1,CalLookUpColumn,0))</f>
        <v>6</v>
      </c>
      <c r="I697">
        <f>INDEX(CalLookUpTable,MATCH($B697,CalLookUpRow,0),MATCH(I$1,CalLookUpColumn,0))</f>
        <v>4</v>
      </c>
    </row>
    <row r="698" spans="1:9" x14ac:dyDescent="0.25">
      <c r="A698" s="7">
        <v>1</v>
      </c>
      <c r="B698" s="8">
        <v>43640</v>
      </c>
      <c r="C698" s="9" t="s">
        <v>3</v>
      </c>
      <c r="D698" s="10">
        <v>165.96299999999999</v>
      </c>
      <c r="E698" s="10">
        <v>1258.2569999999998</v>
      </c>
      <c r="F698" t="str">
        <f>VLOOKUP(A698,StoreLookup,2,FALSE)</f>
        <v>Store#1</v>
      </c>
      <c r="G698">
        <f>INDEX(CalLookUpTable,MATCH($B698,CalLookUpRow,0),MATCH(G$1,CalLookUpColumn,0))</f>
        <v>2019</v>
      </c>
      <c r="H698">
        <f>INDEX(CalLookUpTable,MATCH($B698,CalLookUpRow,0),MATCH(H$1,CalLookUpColumn,0))</f>
        <v>6</v>
      </c>
      <c r="I698">
        <f>INDEX(CalLookUpTable,MATCH($B698,CalLookUpRow,0),MATCH(I$1,CalLookUpColumn,0))</f>
        <v>5</v>
      </c>
    </row>
    <row r="699" spans="1:9" x14ac:dyDescent="0.25">
      <c r="A699" s="7">
        <v>1</v>
      </c>
      <c r="B699" s="8">
        <v>43640</v>
      </c>
      <c r="C699" s="9" t="s">
        <v>4</v>
      </c>
      <c r="D699" s="10">
        <v>4757.1509999999998</v>
      </c>
      <c r="E699" s="10">
        <v>4329.8709999999992</v>
      </c>
      <c r="F699" t="str">
        <f>VLOOKUP(A699,StoreLookup,2,FALSE)</f>
        <v>Store#1</v>
      </c>
      <c r="G699">
        <f>INDEX(CalLookUpTable,MATCH($B699,CalLookUpRow,0),MATCH(G$1,CalLookUpColumn,0))</f>
        <v>2019</v>
      </c>
      <c r="H699">
        <f>INDEX(CalLookUpTable,MATCH($B699,CalLookUpRow,0),MATCH(H$1,CalLookUpColumn,0))</f>
        <v>6</v>
      </c>
      <c r="I699">
        <f>INDEX(CalLookUpTable,MATCH($B699,CalLookUpRow,0),MATCH(I$1,CalLookUpColumn,0))</f>
        <v>5</v>
      </c>
    </row>
    <row r="700" spans="1:9" x14ac:dyDescent="0.25">
      <c r="A700" s="7">
        <v>1</v>
      </c>
      <c r="B700" s="8">
        <v>43640</v>
      </c>
      <c r="C700" s="9" t="s">
        <v>5</v>
      </c>
      <c r="D700" s="10">
        <v>3239.5790000000002</v>
      </c>
      <c r="E700" s="10">
        <v>0</v>
      </c>
      <c r="F700" t="str">
        <f>VLOOKUP(A700,StoreLookup,2,FALSE)</f>
        <v>Store#1</v>
      </c>
      <c r="G700">
        <f>INDEX(CalLookUpTable,MATCH($B700,CalLookUpRow,0),MATCH(G$1,CalLookUpColumn,0))</f>
        <v>2019</v>
      </c>
      <c r="H700">
        <f>INDEX(CalLookUpTable,MATCH($B700,CalLookUpRow,0),MATCH(H$1,CalLookUpColumn,0))</f>
        <v>6</v>
      </c>
      <c r="I700">
        <f>INDEX(CalLookUpTable,MATCH($B700,CalLookUpRow,0),MATCH(I$1,CalLookUpColumn,0))</f>
        <v>5</v>
      </c>
    </row>
    <row r="701" spans="1:9" x14ac:dyDescent="0.25">
      <c r="A701" s="7">
        <v>1</v>
      </c>
      <c r="B701" s="8">
        <v>43640</v>
      </c>
      <c r="C701" s="9" t="s">
        <v>6</v>
      </c>
      <c r="D701" s="10">
        <v>750.49099999999999</v>
      </c>
      <c r="E701" s="10">
        <v>1324.82</v>
      </c>
      <c r="F701" t="str">
        <f>VLOOKUP(A701,StoreLookup,2,FALSE)</f>
        <v>Store#1</v>
      </c>
      <c r="G701">
        <f>INDEX(CalLookUpTable,MATCH($B701,CalLookUpRow,0),MATCH(G$1,CalLookUpColumn,0))</f>
        <v>2019</v>
      </c>
      <c r="H701">
        <f>INDEX(CalLookUpTable,MATCH($B701,CalLookUpRow,0),MATCH(H$1,CalLookUpColumn,0))</f>
        <v>6</v>
      </c>
      <c r="I701">
        <f>INDEX(CalLookUpTable,MATCH($B701,CalLookUpRow,0),MATCH(I$1,CalLookUpColumn,0))</f>
        <v>5</v>
      </c>
    </row>
    <row r="702" spans="1:9" x14ac:dyDescent="0.25">
      <c r="A702" s="7">
        <v>1</v>
      </c>
      <c r="B702" s="8">
        <v>43641</v>
      </c>
      <c r="C702" s="9" t="s">
        <v>4</v>
      </c>
      <c r="D702" s="10">
        <v>3754.835</v>
      </c>
      <c r="E702" s="10">
        <v>4207.7559999999994</v>
      </c>
      <c r="F702" t="str">
        <f>VLOOKUP(A702,StoreLookup,2,FALSE)</f>
        <v>Store#1</v>
      </c>
      <c r="G702">
        <f>INDEX(CalLookUpTable,MATCH($B702,CalLookUpRow,0),MATCH(G$1,CalLookUpColumn,0))</f>
        <v>2019</v>
      </c>
      <c r="H702">
        <f>INDEX(CalLookUpTable,MATCH($B702,CalLookUpRow,0),MATCH(H$1,CalLookUpColumn,0))</f>
        <v>6</v>
      </c>
      <c r="I702">
        <f>INDEX(CalLookUpTable,MATCH($B702,CalLookUpRow,0),MATCH(I$1,CalLookUpColumn,0))</f>
        <v>5</v>
      </c>
    </row>
    <row r="703" spans="1:9" x14ac:dyDescent="0.25">
      <c r="A703" s="7">
        <v>1</v>
      </c>
      <c r="B703" s="8">
        <v>43641</v>
      </c>
      <c r="C703" s="9" t="s">
        <v>3</v>
      </c>
      <c r="D703" s="10">
        <v>106.967</v>
      </c>
      <c r="E703" s="10">
        <v>1125.4739999999999</v>
      </c>
      <c r="F703" t="str">
        <f>VLOOKUP(A703,StoreLookup,2,FALSE)</f>
        <v>Store#1</v>
      </c>
      <c r="G703">
        <f>INDEX(CalLookUpTable,MATCH($B703,CalLookUpRow,0),MATCH(G$1,CalLookUpColumn,0))</f>
        <v>2019</v>
      </c>
      <c r="H703">
        <f>INDEX(CalLookUpTable,MATCH($B703,CalLookUpRow,0),MATCH(H$1,CalLookUpColumn,0))</f>
        <v>6</v>
      </c>
      <c r="I703">
        <f>INDEX(CalLookUpTable,MATCH($B703,CalLookUpRow,0),MATCH(I$1,CalLookUpColumn,0))</f>
        <v>5</v>
      </c>
    </row>
    <row r="704" spans="1:9" x14ac:dyDescent="0.25">
      <c r="A704" s="7">
        <v>1</v>
      </c>
      <c r="B704" s="8">
        <v>43641</v>
      </c>
      <c r="C704" s="9" t="s">
        <v>5</v>
      </c>
      <c r="D704" s="10">
        <v>3444.3709999999996</v>
      </c>
      <c r="E704" s="10">
        <v>0</v>
      </c>
      <c r="F704" t="str">
        <f>VLOOKUP(A704,StoreLookup,2,FALSE)</f>
        <v>Store#1</v>
      </c>
      <c r="G704">
        <f>INDEX(CalLookUpTable,MATCH($B704,CalLookUpRow,0),MATCH(G$1,CalLookUpColumn,0))</f>
        <v>2019</v>
      </c>
      <c r="H704">
        <f>INDEX(CalLookUpTable,MATCH($B704,CalLookUpRow,0),MATCH(H$1,CalLookUpColumn,0))</f>
        <v>6</v>
      </c>
      <c r="I704">
        <f>INDEX(CalLookUpTable,MATCH($B704,CalLookUpRow,0),MATCH(I$1,CalLookUpColumn,0))</f>
        <v>5</v>
      </c>
    </row>
    <row r="705" spans="1:9" x14ac:dyDescent="0.25">
      <c r="A705" s="7">
        <v>1</v>
      </c>
      <c r="B705" s="8">
        <v>43641</v>
      </c>
      <c r="C705" s="9" t="s">
        <v>6</v>
      </c>
      <c r="D705" s="10">
        <v>951.3</v>
      </c>
      <c r="E705" s="10">
        <v>943.32699999999988</v>
      </c>
      <c r="F705" t="str">
        <f>VLOOKUP(A705,StoreLookup,2,FALSE)</f>
        <v>Store#1</v>
      </c>
      <c r="G705">
        <f>INDEX(CalLookUpTable,MATCH($B705,CalLookUpRow,0),MATCH(G$1,CalLookUpColumn,0))</f>
        <v>2019</v>
      </c>
      <c r="H705">
        <f>INDEX(CalLookUpTable,MATCH($B705,CalLookUpRow,0),MATCH(H$1,CalLookUpColumn,0))</f>
        <v>6</v>
      </c>
      <c r="I705">
        <f>INDEX(CalLookUpTable,MATCH($B705,CalLookUpRow,0),MATCH(I$1,CalLookUpColumn,0))</f>
        <v>5</v>
      </c>
    </row>
    <row r="706" spans="1:9" x14ac:dyDescent="0.25">
      <c r="A706" s="7">
        <v>1</v>
      </c>
      <c r="B706" s="8">
        <v>43642</v>
      </c>
      <c r="C706" s="9" t="s">
        <v>3</v>
      </c>
      <c r="D706" s="10">
        <v>461.46799999999996</v>
      </c>
      <c r="E706" s="10">
        <v>447.70600000000002</v>
      </c>
      <c r="F706" t="str">
        <f>VLOOKUP(A706,StoreLookup,2,FALSE)</f>
        <v>Store#1</v>
      </c>
      <c r="G706">
        <f>INDEX(CalLookUpTable,MATCH($B706,CalLookUpRow,0),MATCH(G$1,CalLookUpColumn,0))</f>
        <v>2019</v>
      </c>
      <c r="H706">
        <f>INDEX(CalLookUpTable,MATCH($B706,CalLookUpRow,0),MATCH(H$1,CalLookUpColumn,0))</f>
        <v>6</v>
      </c>
      <c r="I706">
        <f>INDEX(CalLookUpTable,MATCH($B706,CalLookUpRow,0),MATCH(I$1,CalLookUpColumn,0))</f>
        <v>5</v>
      </c>
    </row>
    <row r="707" spans="1:9" x14ac:dyDescent="0.25">
      <c r="A707" s="7">
        <v>1</v>
      </c>
      <c r="B707" s="8">
        <v>43642</v>
      </c>
      <c r="C707" s="9" t="s">
        <v>6</v>
      </c>
      <c r="D707" s="10">
        <v>1083.194</v>
      </c>
      <c r="E707" s="10">
        <v>1265.9989999999998</v>
      </c>
      <c r="F707" t="str">
        <f>VLOOKUP(A707,StoreLookup,2,FALSE)</f>
        <v>Store#1</v>
      </c>
      <c r="G707">
        <f>INDEX(CalLookUpTable,MATCH($B707,CalLookUpRow,0),MATCH(G$1,CalLookUpColumn,0))</f>
        <v>2019</v>
      </c>
      <c r="H707">
        <f>INDEX(CalLookUpTable,MATCH($B707,CalLookUpRow,0),MATCH(H$1,CalLookUpColumn,0))</f>
        <v>6</v>
      </c>
      <c r="I707">
        <f>INDEX(CalLookUpTable,MATCH($B707,CalLookUpRow,0),MATCH(I$1,CalLookUpColumn,0))</f>
        <v>5</v>
      </c>
    </row>
    <row r="708" spans="1:9" x14ac:dyDescent="0.25">
      <c r="A708" s="7">
        <v>1</v>
      </c>
      <c r="B708" s="8">
        <v>43642</v>
      </c>
      <c r="C708" s="9" t="s">
        <v>5</v>
      </c>
      <c r="D708" s="10">
        <v>2898.819</v>
      </c>
      <c r="E708" s="10">
        <v>0</v>
      </c>
      <c r="F708" t="str">
        <f>VLOOKUP(A708,StoreLookup,2,FALSE)</f>
        <v>Store#1</v>
      </c>
      <c r="G708">
        <f>INDEX(CalLookUpTable,MATCH($B708,CalLookUpRow,0),MATCH(G$1,CalLookUpColumn,0))</f>
        <v>2019</v>
      </c>
      <c r="H708">
        <f>INDEX(CalLookUpTable,MATCH($B708,CalLookUpRow,0),MATCH(H$1,CalLookUpColumn,0))</f>
        <v>6</v>
      </c>
      <c r="I708">
        <f>INDEX(CalLookUpTable,MATCH($B708,CalLookUpRow,0),MATCH(I$1,CalLookUpColumn,0))</f>
        <v>5</v>
      </c>
    </row>
    <row r="709" spans="1:9" x14ac:dyDescent="0.25">
      <c r="A709" s="7">
        <v>1</v>
      </c>
      <c r="B709" s="8">
        <v>43642</v>
      </c>
      <c r="C709" s="9" t="s">
        <v>4</v>
      </c>
      <c r="D709" s="10">
        <v>4097.5619999999999</v>
      </c>
      <c r="E709" s="10">
        <v>4721.8499999999995</v>
      </c>
      <c r="F709" t="str">
        <f>VLOOKUP(A709,StoreLookup,2,FALSE)</f>
        <v>Store#1</v>
      </c>
      <c r="G709">
        <f>INDEX(CalLookUpTable,MATCH($B709,CalLookUpRow,0),MATCH(G$1,CalLookUpColumn,0))</f>
        <v>2019</v>
      </c>
      <c r="H709">
        <f>INDEX(CalLookUpTable,MATCH($B709,CalLookUpRow,0),MATCH(H$1,CalLookUpColumn,0))</f>
        <v>6</v>
      </c>
      <c r="I709">
        <f>INDEX(CalLookUpTable,MATCH($B709,CalLookUpRow,0),MATCH(I$1,CalLookUpColumn,0))</f>
        <v>5</v>
      </c>
    </row>
    <row r="710" spans="1:9" x14ac:dyDescent="0.25">
      <c r="A710" s="7">
        <v>1</v>
      </c>
      <c r="B710" s="8">
        <v>43643</v>
      </c>
      <c r="C710" s="9" t="s">
        <v>4</v>
      </c>
      <c r="D710" s="10">
        <v>4813.7109999999993</v>
      </c>
      <c r="E710" s="10">
        <v>5907.3209999999999</v>
      </c>
      <c r="F710" t="str">
        <f>VLOOKUP(A710,StoreLookup,2,FALSE)</f>
        <v>Store#1</v>
      </c>
      <c r="G710">
        <f>INDEX(CalLookUpTable,MATCH($B710,CalLookUpRow,0),MATCH(G$1,CalLookUpColumn,0))</f>
        <v>2019</v>
      </c>
      <c r="H710">
        <f>INDEX(CalLookUpTable,MATCH($B710,CalLookUpRow,0),MATCH(H$1,CalLookUpColumn,0))</f>
        <v>6</v>
      </c>
      <c r="I710">
        <f>INDEX(CalLookUpTable,MATCH($B710,CalLookUpRow,0),MATCH(I$1,CalLookUpColumn,0))</f>
        <v>5</v>
      </c>
    </row>
    <row r="711" spans="1:9" x14ac:dyDescent="0.25">
      <c r="A711" s="7">
        <v>1</v>
      </c>
      <c r="B711" s="8">
        <v>43643</v>
      </c>
      <c r="C711" s="9" t="s">
        <v>5</v>
      </c>
      <c r="D711" s="10">
        <v>3491.25</v>
      </c>
      <c r="E711" s="10">
        <v>0</v>
      </c>
      <c r="F711" t="str">
        <f>VLOOKUP(A711,StoreLookup,2,FALSE)</f>
        <v>Store#1</v>
      </c>
      <c r="G711">
        <f>INDEX(CalLookUpTable,MATCH($B711,CalLookUpRow,0),MATCH(G$1,CalLookUpColumn,0))</f>
        <v>2019</v>
      </c>
      <c r="H711">
        <f>INDEX(CalLookUpTable,MATCH($B711,CalLookUpRow,0),MATCH(H$1,CalLookUpColumn,0))</f>
        <v>6</v>
      </c>
      <c r="I711">
        <f>INDEX(CalLookUpTable,MATCH($B711,CalLookUpRow,0),MATCH(I$1,CalLookUpColumn,0))</f>
        <v>5</v>
      </c>
    </row>
    <row r="712" spans="1:9" x14ac:dyDescent="0.25">
      <c r="A712" s="7">
        <v>1</v>
      </c>
      <c r="B712" s="8">
        <v>43643</v>
      </c>
      <c r="C712" s="9" t="s">
        <v>3</v>
      </c>
      <c r="D712" s="10">
        <v>29.666</v>
      </c>
      <c r="E712" s="10">
        <v>716.93299999999999</v>
      </c>
      <c r="F712" t="str">
        <f>VLOOKUP(A712,StoreLookup,2,FALSE)</f>
        <v>Store#1</v>
      </c>
      <c r="G712">
        <f>INDEX(CalLookUpTable,MATCH($B712,CalLookUpRow,0),MATCH(G$1,CalLookUpColumn,0))</f>
        <v>2019</v>
      </c>
      <c r="H712">
        <f>INDEX(CalLookUpTable,MATCH($B712,CalLookUpRow,0),MATCH(H$1,CalLookUpColumn,0))</f>
        <v>6</v>
      </c>
      <c r="I712">
        <f>INDEX(CalLookUpTable,MATCH($B712,CalLookUpRow,0),MATCH(I$1,CalLookUpColumn,0))</f>
        <v>5</v>
      </c>
    </row>
    <row r="713" spans="1:9" x14ac:dyDescent="0.25">
      <c r="A713" s="7">
        <v>1</v>
      </c>
      <c r="B713" s="8">
        <v>43643</v>
      </c>
      <c r="C713" s="9" t="s">
        <v>6</v>
      </c>
      <c r="D713" s="10">
        <v>1097.537</v>
      </c>
      <c r="E713" s="10">
        <v>1386.2729999999999</v>
      </c>
      <c r="F713" t="str">
        <f>VLOOKUP(A713,StoreLookup,2,FALSE)</f>
        <v>Store#1</v>
      </c>
      <c r="G713">
        <f>INDEX(CalLookUpTable,MATCH($B713,CalLookUpRow,0),MATCH(G$1,CalLookUpColumn,0))</f>
        <v>2019</v>
      </c>
      <c r="H713">
        <f>INDEX(CalLookUpTable,MATCH($B713,CalLookUpRow,0),MATCH(H$1,CalLookUpColumn,0))</f>
        <v>6</v>
      </c>
      <c r="I713">
        <f>INDEX(CalLookUpTable,MATCH($B713,CalLookUpRow,0),MATCH(I$1,CalLookUpColumn,0))</f>
        <v>5</v>
      </c>
    </row>
    <row r="714" spans="1:9" x14ac:dyDescent="0.25">
      <c r="A714" s="7">
        <v>1</v>
      </c>
      <c r="B714" s="8">
        <v>43644</v>
      </c>
      <c r="C714" s="9" t="s">
        <v>6</v>
      </c>
      <c r="D714" s="10">
        <v>1032.9970000000001</v>
      </c>
      <c r="E714" s="10">
        <v>1639.827</v>
      </c>
      <c r="F714" t="str">
        <f>VLOOKUP(A714,StoreLookup,2,FALSE)</f>
        <v>Store#1</v>
      </c>
      <c r="G714">
        <f>INDEX(CalLookUpTable,MATCH($B714,CalLookUpRow,0),MATCH(G$1,CalLookUpColumn,0))</f>
        <v>2019</v>
      </c>
      <c r="H714">
        <f>INDEX(CalLookUpTable,MATCH($B714,CalLookUpRow,0),MATCH(H$1,CalLookUpColumn,0))</f>
        <v>6</v>
      </c>
      <c r="I714">
        <f>INDEX(CalLookUpTable,MATCH($B714,CalLookUpRow,0),MATCH(I$1,CalLookUpColumn,0))</f>
        <v>5</v>
      </c>
    </row>
    <row r="715" spans="1:9" x14ac:dyDescent="0.25">
      <c r="A715" s="7">
        <v>1</v>
      </c>
      <c r="B715" s="8">
        <v>43644</v>
      </c>
      <c r="C715" s="9" t="s">
        <v>4</v>
      </c>
      <c r="D715" s="10">
        <v>4606.875</v>
      </c>
      <c r="E715" s="10">
        <v>6496.7210000000005</v>
      </c>
      <c r="F715" t="str">
        <f>VLOOKUP(A715,StoreLookup,2,FALSE)</f>
        <v>Store#1</v>
      </c>
      <c r="G715">
        <f>INDEX(CalLookUpTable,MATCH($B715,CalLookUpRow,0),MATCH(G$1,CalLookUpColumn,0))</f>
        <v>2019</v>
      </c>
      <c r="H715">
        <f>INDEX(CalLookUpTable,MATCH($B715,CalLookUpRow,0),MATCH(H$1,CalLookUpColumn,0))</f>
        <v>6</v>
      </c>
      <c r="I715">
        <f>INDEX(CalLookUpTable,MATCH($B715,CalLookUpRow,0),MATCH(I$1,CalLookUpColumn,0))</f>
        <v>5</v>
      </c>
    </row>
    <row r="716" spans="1:9" x14ac:dyDescent="0.25">
      <c r="A716" s="7">
        <v>1</v>
      </c>
      <c r="B716" s="8">
        <v>43644</v>
      </c>
      <c r="C716" s="9" t="s">
        <v>3</v>
      </c>
      <c r="D716" s="10">
        <v>331.92599999999999</v>
      </c>
      <c r="E716" s="10">
        <v>1178.8139999999999</v>
      </c>
      <c r="F716" t="str">
        <f>VLOOKUP(A716,StoreLookup,2,FALSE)</f>
        <v>Store#1</v>
      </c>
      <c r="G716">
        <f>INDEX(CalLookUpTable,MATCH($B716,CalLookUpRow,0),MATCH(G$1,CalLookUpColumn,0))</f>
        <v>2019</v>
      </c>
      <c r="H716">
        <f>INDEX(CalLookUpTable,MATCH($B716,CalLookUpRow,0),MATCH(H$1,CalLookUpColumn,0))</f>
        <v>6</v>
      </c>
      <c r="I716">
        <f>INDEX(CalLookUpTable,MATCH($B716,CalLookUpRow,0),MATCH(I$1,CalLookUpColumn,0))</f>
        <v>5</v>
      </c>
    </row>
    <row r="717" spans="1:9" x14ac:dyDescent="0.25">
      <c r="A717" s="7">
        <v>1</v>
      </c>
      <c r="B717" s="8">
        <v>43644</v>
      </c>
      <c r="C717" s="9" t="s">
        <v>5</v>
      </c>
      <c r="D717" s="10">
        <v>3724.9589999999998</v>
      </c>
      <c r="E717" s="10">
        <v>0</v>
      </c>
      <c r="F717" t="str">
        <f>VLOOKUP(A717,StoreLookup,2,FALSE)</f>
        <v>Store#1</v>
      </c>
      <c r="G717">
        <f>INDEX(CalLookUpTable,MATCH($B717,CalLookUpRow,0),MATCH(G$1,CalLookUpColumn,0))</f>
        <v>2019</v>
      </c>
      <c r="H717">
        <f>INDEX(CalLookUpTable,MATCH($B717,CalLookUpRow,0),MATCH(H$1,CalLookUpColumn,0))</f>
        <v>6</v>
      </c>
      <c r="I717">
        <f>INDEX(CalLookUpTable,MATCH($B717,CalLookUpRow,0),MATCH(I$1,CalLookUpColumn,0))</f>
        <v>5</v>
      </c>
    </row>
    <row r="718" spans="1:9" x14ac:dyDescent="0.25">
      <c r="A718" s="7">
        <v>1</v>
      </c>
      <c r="B718" s="8">
        <v>43645</v>
      </c>
      <c r="C718" s="9" t="s">
        <v>4</v>
      </c>
      <c r="D718" s="10">
        <v>4809.7139999999999</v>
      </c>
      <c r="E718" s="10">
        <v>5745.3619999999992</v>
      </c>
      <c r="F718" t="str">
        <f>VLOOKUP(A718,StoreLookup,2,FALSE)</f>
        <v>Store#1</v>
      </c>
      <c r="G718">
        <f>INDEX(CalLookUpTable,MATCH($B718,CalLookUpRow,0),MATCH(G$1,CalLookUpColumn,0))</f>
        <v>2019</v>
      </c>
      <c r="H718">
        <f>INDEX(CalLookUpTable,MATCH($B718,CalLookUpRow,0),MATCH(H$1,CalLookUpColumn,0))</f>
        <v>6</v>
      </c>
      <c r="I718">
        <f>INDEX(CalLookUpTable,MATCH($B718,CalLookUpRow,0),MATCH(I$1,CalLookUpColumn,0))</f>
        <v>5</v>
      </c>
    </row>
    <row r="719" spans="1:9" x14ac:dyDescent="0.25">
      <c r="A719" s="7">
        <v>1</v>
      </c>
      <c r="B719" s="8">
        <v>43645</v>
      </c>
      <c r="C719" s="9" t="s">
        <v>3</v>
      </c>
      <c r="D719" s="10">
        <v>160.85999999999999</v>
      </c>
      <c r="E719" s="10">
        <v>439.85899999999998</v>
      </c>
      <c r="F719" t="str">
        <f>VLOOKUP(A719,StoreLookup,2,FALSE)</f>
        <v>Store#1</v>
      </c>
      <c r="G719">
        <f>INDEX(CalLookUpTable,MATCH($B719,CalLookUpRow,0),MATCH(G$1,CalLookUpColumn,0))</f>
        <v>2019</v>
      </c>
      <c r="H719">
        <f>INDEX(CalLookUpTable,MATCH($B719,CalLookUpRow,0),MATCH(H$1,CalLookUpColumn,0))</f>
        <v>6</v>
      </c>
      <c r="I719">
        <f>INDEX(CalLookUpTable,MATCH($B719,CalLookUpRow,0),MATCH(I$1,CalLookUpColumn,0))</f>
        <v>5</v>
      </c>
    </row>
    <row r="720" spans="1:9" x14ac:dyDescent="0.25">
      <c r="A720" s="7">
        <v>1</v>
      </c>
      <c r="B720" s="8">
        <v>43645</v>
      </c>
      <c r="C720" s="9" t="s">
        <v>6</v>
      </c>
      <c r="D720" s="10">
        <v>896.02799999999991</v>
      </c>
      <c r="E720" s="10">
        <v>1477.1189999999999</v>
      </c>
      <c r="F720" t="str">
        <f>VLOOKUP(A720,StoreLookup,2,FALSE)</f>
        <v>Store#1</v>
      </c>
      <c r="G720">
        <f>INDEX(CalLookUpTable,MATCH($B720,CalLookUpRow,0),MATCH(G$1,CalLookUpColumn,0))</f>
        <v>2019</v>
      </c>
      <c r="H720">
        <f>INDEX(CalLookUpTable,MATCH($B720,CalLookUpRow,0),MATCH(H$1,CalLookUpColumn,0))</f>
        <v>6</v>
      </c>
      <c r="I720">
        <f>INDEX(CalLookUpTable,MATCH($B720,CalLookUpRow,0),MATCH(I$1,CalLookUpColumn,0))</f>
        <v>5</v>
      </c>
    </row>
    <row r="721" spans="1:9" x14ac:dyDescent="0.25">
      <c r="A721" s="7">
        <v>1</v>
      </c>
      <c r="B721" s="8">
        <v>43645</v>
      </c>
      <c r="C721" s="9" t="s">
        <v>5</v>
      </c>
      <c r="D721" s="10">
        <v>3760.8129999999996</v>
      </c>
      <c r="E721" s="10">
        <v>0</v>
      </c>
      <c r="F721" t="str">
        <f>VLOOKUP(A721,StoreLookup,2,FALSE)</f>
        <v>Store#1</v>
      </c>
      <c r="G721">
        <f>INDEX(CalLookUpTable,MATCH($B721,CalLookUpRow,0),MATCH(G$1,CalLookUpColumn,0))</f>
        <v>2019</v>
      </c>
      <c r="H721">
        <f>INDEX(CalLookUpTable,MATCH($B721,CalLookUpRow,0),MATCH(H$1,CalLookUpColumn,0))</f>
        <v>6</v>
      </c>
      <c r="I721">
        <f>INDEX(CalLookUpTable,MATCH($B721,CalLookUpRow,0),MATCH(I$1,CalLookUpColumn,0))</f>
        <v>5</v>
      </c>
    </row>
    <row r="722" spans="1:9" x14ac:dyDescent="0.25">
      <c r="A722" s="7">
        <v>1</v>
      </c>
      <c r="B722" s="8">
        <v>43646</v>
      </c>
      <c r="C722" s="9" t="s">
        <v>6</v>
      </c>
      <c r="D722" s="10">
        <v>161.62299999999999</v>
      </c>
      <c r="E722" s="10">
        <v>423.29700000000003</v>
      </c>
      <c r="F722" t="str">
        <f>VLOOKUP(A722,StoreLookup,2,FALSE)</f>
        <v>Store#1</v>
      </c>
      <c r="G722">
        <f>INDEX(CalLookUpTable,MATCH($B722,CalLookUpRow,0),MATCH(G$1,CalLookUpColumn,0))</f>
        <v>2019</v>
      </c>
      <c r="H722">
        <f>INDEX(CalLookUpTable,MATCH($B722,CalLookUpRow,0),MATCH(H$1,CalLookUpColumn,0))</f>
        <v>6</v>
      </c>
      <c r="I722">
        <f>INDEX(CalLookUpTable,MATCH($B722,CalLookUpRow,0),MATCH(I$1,CalLookUpColumn,0))</f>
        <v>5</v>
      </c>
    </row>
    <row r="723" spans="1:9" x14ac:dyDescent="0.25">
      <c r="A723" s="7">
        <v>1</v>
      </c>
      <c r="B723" s="8">
        <v>43646</v>
      </c>
      <c r="C723" s="9" t="s">
        <v>4</v>
      </c>
      <c r="D723" s="10">
        <v>3046.0079999999994</v>
      </c>
      <c r="E723" s="10">
        <v>3288.8939999999998</v>
      </c>
      <c r="F723" t="str">
        <f>VLOOKUP(A723,StoreLookup,2,FALSE)</f>
        <v>Store#1</v>
      </c>
      <c r="G723">
        <f>INDEX(CalLookUpTable,MATCH($B723,CalLookUpRow,0),MATCH(G$1,CalLookUpColumn,0))</f>
        <v>2019</v>
      </c>
      <c r="H723">
        <f>INDEX(CalLookUpTable,MATCH($B723,CalLookUpRow,0),MATCH(H$1,CalLookUpColumn,0))</f>
        <v>6</v>
      </c>
      <c r="I723">
        <f>INDEX(CalLookUpTable,MATCH($B723,CalLookUpRow,0),MATCH(I$1,CalLookUpColumn,0))</f>
        <v>5</v>
      </c>
    </row>
    <row r="724" spans="1:9" x14ac:dyDescent="0.25">
      <c r="A724" s="7">
        <v>1</v>
      </c>
      <c r="B724" s="8">
        <v>43646</v>
      </c>
      <c r="C724" s="9" t="s">
        <v>3</v>
      </c>
      <c r="D724" s="10">
        <v>0</v>
      </c>
      <c r="E724" s="10">
        <v>78.280999999999992</v>
      </c>
      <c r="F724" t="str">
        <f>VLOOKUP(A724,StoreLookup,2,FALSE)</f>
        <v>Store#1</v>
      </c>
      <c r="G724">
        <f>INDEX(CalLookUpTable,MATCH($B724,CalLookUpRow,0),MATCH(G$1,CalLookUpColumn,0))</f>
        <v>2019</v>
      </c>
      <c r="H724">
        <f>INDEX(CalLookUpTable,MATCH($B724,CalLookUpRow,0),MATCH(H$1,CalLookUpColumn,0))</f>
        <v>6</v>
      </c>
      <c r="I724">
        <f>INDEX(CalLookUpTable,MATCH($B724,CalLookUpRow,0),MATCH(I$1,CalLookUpColumn,0))</f>
        <v>5</v>
      </c>
    </row>
    <row r="725" spans="1:9" x14ac:dyDescent="0.25">
      <c r="A725" s="7">
        <v>1</v>
      </c>
      <c r="B725" s="8">
        <v>43646</v>
      </c>
      <c r="C725" s="9" t="s">
        <v>5</v>
      </c>
      <c r="D725" s="10">
        <v>1900.9619999999998</v>
      </c>
      <c r="E725" s="10">
        <v>0</v>
      </c>
      <c r="F725" t="str">
        <f>VLOOKUP(A725,StoreLookup,2,FALSE)</f>
        <v>Store#1</v>
      </c>
      <c r="G725">
        <f>INDEX(CalLookUpTable,MATCH($B725,CalLookUpRow,0),MATCH(G$1,CalLookUpColumn,0))</f>
        <v>2019</v>
      </c>
      <c r="H725">
        <f>INDEX(CalLookUpTable,MATCH($B725,CalLookUpRow,0),MATCH(H$1,CalLookUpColumn,0))</f>
        <v>6</v>
      </c>
      <c r="I725">
        <f>INDEX(CalLookUpTable,MATCH($B725,CalLookUpRow,0),MATCH(I$1,CalLookUpColumn,0))</f>
        <v>5</v>
      </c>
    </row>
    <row r="726" spans="1:9" x14ac:dyDescent="0.25">
      <c r="A726" s="7">
        <v>1</v>
      </c>
      <c r="B726" s="8">
        <v>43647</v>
      </c>
      <c r="C726" s="9" t="s">
        <v>6</v>
      </c>
      <c r="D726" s="10">
        <v>640.40199999999993</v>
      </c>
      <c r="E726" s="10">
        <v>1269.5129999999999</v>
      </c>
      <c r="F726" t="str">
        <f>VLOOKUP(A726,StoreLookup,2,FALSE)</f>
        <v>Store#1</v>
      </c>
      <c r="G726">
        <f>INDEX(CalLookUpTable,MATCH($B726,CalLookUpRow,0),MATCH(G$1,CalLookUpColumn,0))</f>
        <v>2019</v>
      </c>
      <c r="H726">
        <f>INDEX(CalLookUpTable,MATCH($B726,CalLookUpRow,0),MATCH(H$1,CalLookUpColumn,0))</f>
        <v>7</v>
      </c>
      <c r="I726">
        <f>INDEX(CalLookUpTable,MATCH($B726,CalLookUpRow,0),MATCH(I$1,CalLookUpColumn,0))</f>
        <v>1</v>
      </c>
    </row>
    <row r="727" spans="1:9" x14ac:dyDescent="0.25">
      <c r="A727" s="7">
        <v>1</v>
      </c>
      <c r="B727" s="8">
        <v>43647</v>
      </c>
      <c r="C727" s="9" t="s">
        <v>4</v>
      </c>
      <c r="D727" s="10">
        <v>4891.4390000000003</v>
      </c>
      <c r="E727" s="10">
        <v>5499.9979999999996</v>
      </c>
      <c r="F727" t="str">
        <f>VLOOKUP(A727,StoreLookup,2,FALSE)</f>
        <v>Store#1</v>
      </c>
      <c r="G727">
        <f>INDEX(CalLookUpTable,MATCH($B727,CalLookUpRow,0),MATCH(G$1,CalLookUpColumn,0))</f>
        <v>2019</v>
      </c>
      <c r="H727">
        <f>INDEX(CalLookUpTable,MATCH($B727,CalLookUpRow,0),MATCH(H$1,CalLookUpColumn,0))</f>
        <v>7</v>
      </c>
      <c r="I727">
        <f>INDEX(CalLookUpTable,MATCH($B727,CalLookUpRow,0),MATCH(I$1,CalLookUpColumn,0))</f>
        <v>1</v>
      </c>
    </row>
    <row r="728" spans="1:9" x14ac:dyDescent="0.25">
      <c r="A728" s="7">
        <v>1</v>
      </c>
      <c r="B728" s="8">
        <v>43647</v>
      </c>
      <c r="C728" s="9" t="s">
        <v>5</v>
      </c>
      <c r="D728" s="10">
        <v>3588.1089999999995</v>
      </c>
      <c r="E728" s="10">
        <v>0</v>
      </c>
      <c r="F728" t="str">
        <f>VLOOKUP(A728,StoreLookup,2,FALSE)</f>
        <v>Store#1</v>
      </c>
      <c r="G728">
        <f>INDEX(CalLookUpTable,MATCH($B728,CalLookUpRow,0),MATCH(G$1,CalLookUpColumn,0))</f>
        <v>2019</v>
      </c>
      <c r="H728">
        <f>INDEX(CalLookUpTable,MATCH($B728,CalLookUpRow,0),MATCH(H$1,CalLookUpColumn,0))</f>
        <v>7</v>
      </c>
      <c r="I728">
        <f>INDEX(CalLookUpTable,MATCH($B728,CalLookUpRow,0),MATCH(I$1,CalLookUpColumn,0))</f>
        <v>1</v>
      </c>
    </row>
    <row r="729" spans="1:9" x14ac:dyDescent="0.25">
      <c r="A729" s="7">
        <v>1</v>
      </c>
      <c r="B729" s="8">
        <v>43647</v>
      </c>
      <c r="C729" s="9" t="s">
        <v>3</v>
      </c>
      <c r="D729" s="10">
        <v>0</v>
      </c>
      <c r="E729" s="10">
        <v>493.03100000000001</v>
      </c>
      <c r="F729" t="str">
        <f>VLOOKUP(A729,StoreLookup,2,FALSE)</f>
        <v>Store#1</v>
      </c>
      <c r="G729">
        <f>INDEX(CalLookUpTable,MATCH($B729,CalLookUpRow,0),MATCH(G$1,CalLookUpColumn,0))</f>
        <v>2019</v>
      </c>
      <c r="H729">
        <f>INDEX(CalLookUpTable,MATCH($B729,CalLookUpRow,0),MATCH(H$1,CalLookUpColumn,0))</f>
        <v>7</v>
      </c>
      <c r="I729">
        <f>INDEX(CalLookUpTable,MATCH($B729,CalLookUpRow,0),MATCH(I$1,CalLookUpColumn,0))</f>
        <v>1</v>
      </c>
    </row>
    <row r="730" spans="1:9" x14ac:dyDescent="0.25">
      <c r="A730" s="7">
        <v>1</v>
      </c>
      <c r="B730" s="8">
        <v>43648</v>
      </c>
      <c r="C730" s="9" t="s">
        <v>4</v>
      </c>
      <c r="D730" s="10">
        <v>4607.7849999999999</v>
      </c>
      <c r="E730" s="10">
        <v>5006.82</v>
      </c>
      <c r="F730" t="str">
        <f>VLOOKUP(A730,StoreLookup,2,FALSE)</f>
        <v>Store#1</v>
      </c>
      <c r="G730">
        <f>INDEX(CalLookUpTable,MATCH($B730,CalLookUpRow,0),MATCH(G$1,CalLookUpColumn,0))</f>
        <v>2019</v>
      </c>
      <c r="H730">
        <f>INDEX(CalLookUpTable,MATCH($B730,CalLookUpRow,0),MATCH(H$1,CalLookUpColumn,0))</f>
        <v>7</v>
      </c>
      <c r="I730">
        <f>INDEX(CalLookUpTable,MATCH($B730,CalLookUpRow,0),MATCH(I$1,CalLookUpColumn,0))</f>
        <v>1</v>
      </c>
    </row>
    <row r="731" spans="1:9" x14ac:dyDescent="0.25">
      <c r="A731" s="7">
        <v>1</v>
      </c>
      <c r="B731" s="8">
        <v>43648</v>
      </c>
      <c r="C731" s="9" t="s">
        <v>3</v>
      </c>
      <c r="D731" s="10">
        <v>74.164999999999992</v>
      </c>
      <c r="E731" s="10">
        <v>0</v>
      </c>
      <c r="F731" t="str">
        <f>VLOOKUP(A731,StoreLookup,2,FALSE)</f>
        <v>Store#1</v>
      </c>
      <c r="G731">
        <f>INDEX(CalLookUpTable,MATCH($B731,CalLookUpRow,0),MATCH(G$1,CalLookUpColumn,0))</f>
        <v>2019</v>
      </c>
      <c r="H731">
        <f>INDEX(CalLookUpTable,MATCH($B731,CalLookUpRow,0),MATCH(H$1,CalLookUpColumn,0))</f>
        <v>7</v>
      </c>
      <c r="I731">
        <f>INDEX(CalLookUpTable,MATCH($B731,CalLookUpRow,0),MATCH(I$1,CalLookUpColumn,0))</f>
        <v>1</v>
      </c>
    </row>
    <row r="732" spans="1:9" x14ac:dyDescent="0.25">
      <c r="A732" s="7">
        <v>1</v>
      </c>
      <c r="B732" s="8">
        <v>43648</v>
      </c>
      <c r="C732" s="9" t="s">
        <v>5</v>
      </c>
      <c r="D732" s="10">
        <v>3199.3149999999996</v>
      </c>
      <c r="E732" s="10">
        <v>0</v>
      </c>
      <c r="F732" t="str">
        <f>VLOOKUP(A732,StoreLookup,2,FALSE)</f>
        <v>Store#1</v>
      </c>
      <c r="G732">
        <f>INDEX(CalLookUpTable,MATCH($B732,CalLookUpRow,0),MATCH(G$1,CalLookUpColumn,0))</f>
        <v>2019</v>
      </c>
      <c r="H732">
        <f>INDEX(CalLookUpTable,MATCH($B732,CalLookUpRow,0),MATCH(H$1,CalLookUpColumn,0))</f>
        <v>7</v>
      </c>
      <c r="I732">
        <f>INDEX(CalLookUpTable,MATCH($B732,CalLookUpRow,0),MATCH(I$1,CalLookUpColumn,0))</f>
        <v>1</v>
      </c>
    </row>
    <row r="733" spans="1:9" x14ac:dyDescent="0.25">
      <c r="A733" s="7">
        <v>1</v>
      </c>
      <c r="B733" s="8">
        <v>43648</v>
      </c>
      <c r="C733" s="9" t="s">
        <v>6</v>
      </c>
      <c r="D733" s="10">
        <v>744.41499999999996</v>
      </c>
      <c r="E733" s="10">
        <v>1244.9010000000001</v>
      </c>
      <c r="F733" t="str">
        <f>VLOOKUP(A733,StoreLookup,2,FALSE)</f>
        <v>Store#1</v>
      </c>
      <c r="G733">
        <f>INDEX(CalLookUpTable,MATCH($B733,CalLookUpRow,0),MATCH(G$1,CalLookUpColumn,0))</f>
        <v>2019</v>
      </c>
      <c r="H733">
        <f>INDEX(CalLookUpTable,MATCH($B733,CalLookUpRow,0),MATCH(H$1,CalLookUpColumn,0))</f>
        <v>7</v>
      </c>
      <c r="I733">
        <f>INDEX(CalLookUpTable,MATCH($B733,CalLookUpRow,0),MATCH(I$1,CalLookUpColumn,0))</f>
        <v>1</v>
      </c>
    </row>
    <row r="734" spans="1:9" x14ac:dyDescent="0.25">
      <c r="A734" s="7">
        <v>1</v>
      </c>
      <c r="B734" s="8">
        <v>43649</v>
      </c>
      <c r="C734" s="9" t="s">
        <v>3</v>
      </c>
      <c r="D734" s="10">
        <v>241.577</v>
      </c>
      <c r="E734" s="10">
        <v>929.4319999999999</v>
      </c>
      <c r="F734" t="str">
        <f>VLOOKUP(A734,StoreLookup,2,FALSE)</f>
        <v>Store#1</v>
      </c>
      <c r="G734">
        <f>INDEX(CalLookUpTable,MATCH($B734,CalLookUpRow,0),MATCH(G$1,CalLookUpColumn,0))</f>
        <v>2019</v>
      </c>
      <c r="H734">
        <f>INDEX(CalLookUpTable,MATCH($B734,CalLookUpRow,0),MATCH(H$1,CalLookUpColumn,0))</f>
        <v>7</v>
      </c>
      <c r="I734">
        <f>INDEX(CalLookUpTable,MATCH($B734,CalLookUpRow,0),MATCH(I$1,CalLookUpColumn,0))</f>
        <v>1</v>
      </c>
    </row>
    <row r="735" spans="1:9" x14ac:dyDescent="0.25">
      <c r="A735" s="7">
        <v>1</v>
      </c>
      <c r="B735" s="8">
        <v>43649</v>
      </c>
      <c r="C735" s="9" t="s">
        <v>5</v>
      </c>
      <c r="D735" s="10">
        <v>3388.3079999999995</v>
      </c>
      <c r="E735" s="10">
        <v>0</v>
      </c>
      <c r="F735" t="str">
        <f>VLOOKUP(A735,StoreLookup,2,FALSE)</f>
        <v>Store#1</v>
      </c>
      <c r="G735">
        <f>INDEX(CalLookUpTable,MATCH($B735,CalLookUpRow,0),MATCH(G$1,CalLookUpColumn,0))</f>
        <v>2019</v>
      </c>
      <c r="H735">
        <f>INDEX(CalLookUpTable,MATCH($B735,CalLookUpRow,0),MATCH(H$1,CalLookUpColumn,0))</f>
        <v>7</v>
      </c>
      <c r="I735">
        <f>INDEX(CalLookUpTable,MATCH($B735,CalLookUpRow,0),MATCH(I$1,CalLookUpColumn,0))</f>
        <v>1</v>
      </c>
    </row>
    <row r="736" spans="1:9" x14ac:dyDescent="0.25">
      <c r="A736" s="7">
        <v>1</v>
      </c>
      <c r="B736" s="8">
        <v>43649</v>
      </c>
      <c r="C736" s="9" t="s">
        <v>6</v>
      </c>
      <c r="D736" s="10">
        <v>1078.693</v>
      </c>
      <c r="E736" s="10">
        <v>1262.548</v>
      </c>
      <c r="F736" t="str">
        <f>VLOOKUP(A736,StoreLookup,2,FALSE)</f>
        <v>Store#1</v>
      </c>
      <c r="G736">
        <f>INDEX(CalLookUpTable,MATCH($B736,CalLookUpRow,0),MATCH(G$1,CalLookUpColumn,0))</f>
        <v>2019</v>
      </c>
      <c r="H736">
        <f>INDEX(CalLookUpTable,MATCH($B736,CalLookUpRow,0),MATCH(H$1,CalLookUpColumn,0))</f>
        <v>7</v>
      </c>
      <c r="I736">
        <f>INDEX(CalLookUpTable,MATCH($B736,CalLookUpRow,0),MATCH(I$1,CalLookUpColumn,0))</f>
        <v>1</v>
      </c>
    </row>
    <row r="737" spans="1:9" x14ac:dyDescent="0.25">
      <c r="A737" s="7">
        <v>1</v>
      </c>
      <c r="B737" s="8">
        <v>43649</v>
      </c>
      <c r="C737" s="9" t="s">
        <v>4</v>
      </c>
      <c r="D737" s="10">
        <v>4923.1909999999998</v>
      </c>
      <c r="E737" s="10">
        <v>5470.7730000000001</v>
      </c>
      <c r="F737" t="str">
        <f>VLOOKUP(A737,StoreLookup,2,FALSE)</f>
        <v>Store#1</v>
      </c>
      <c r="G737">
        <f>INDEX(CalLookUpTable,MATCH($B737,CalLookUpRow,0),MATCH(G$1,CalLookUpColumn,0))</f>
        <v>2019</v>
      </c>
      <c r="H737">
        <f>INDEX(CalLookUpTable,MATCH($B737,CalLookUpRow,0),MATCH(H$1,CalLookUpColumn,0))</f>
        <v>7</v>
      </c>
      <c r="I737">
        <f>INDEX(CalLookUpTable,MATCH($B737,CalLookUpRow,0),MATCH(I$1,CalLookUpColumn,0))</f>
        <v>1</v>
      </c>
    </row>
    <row r="738" spans="1:9" x14ac:dyDescent="0.25">
      <c r="A738" s="7">
        <v>1</v>
      </c>
      <c r="B738" s="8">
        <v>43650</v>
      </c>
      <c r="C738" s="9" t="s">
        <v>4</v>
      </c>
      <c r="D738" s="10">
        <v>5824.8049999999994</v>
      </c>
      <c r="E738" s="10">
        <v>5238.610999999999</v>
      </c>
      <c r="F738" t="str">
        <f>VLOOKUP(A738,StoreLookup,2,FALSE)</f>
        <v>Store#1</v>
      </c>
      <c r="G738">
        <f>INDEX(CalLookUpTable,MATCH($B738,CalLookUpRow,0),MATCH(G$1,CalLookUpColumn,0))</f>
        <v>2019</v>
      </c>
      <c r="H738">
        <f>INDEX(CalLookUpTable,MATCH($B738,CalLookUpRow,0),MATCH(H$1,CalLookUpColumn,0))</f>
        <v>7</v>
      </c>
      <c r="I738">
        <f>INDEX(CalLookUpTable,MATCH($B738,CalLookUpRow,0),MATCH(I$1,CalLookUpColumn,0))</f>
        <v>1</v>
      </c>
    </row>
    <row r="739" spans="1:9" x14ac:dyDescent="0.25">
      <c r="A739" s="7">
        <v>1</v>
      </c>
      <c r="B739" s="8">
        <v>43650</v>
      </c>
      <c r="C739" s="9" t="s">
        <v>6</v>
      </c>
      <c r="D739" s="10">
        <v>718.08799999999985</v>
      </c>
      <c r="E739" s="10">
        <v>1893.4859999999999</v>
      </c>
      <c r="F739" t="str">
        <f>VLOOKUP(A739,StoreLookup,2,FALSE)</f>
        <v>Store#1</v>
      </c>
      <c r="G739">
        <f>INDEX(CalLookUpTable,MATCH($B739,CalLookUpRow,0),MATCH(G$1,CalLookUpColumn,0))</f>
        <v>2019</v>
      </c>
      <c r="H739">
        <f>INDEX(CalLookUpTable,MATCH($B739,CalLookUpRow,0),MATCH(H$1,CalLookUpColumn,0))</f>
        <v>7</v>
      </c>
      <c r="I739">
        <f>INDEX(CalLookUpTable,MATCH($B739,CalLookUpRow,0),MATCH(I$1,CalLookUpColumn,0))</f>
        <v>1</v>
      </c>
    </row>
    <row r="740" spans="1:9" x14ac:dyDescent="0.25">
      <c r="A740" s="7">
        <v>1</v>
      </c>
      <c r="B740" s="8">
        <v>43650</v>
      </c>
      <c r="C740" s="9" t="s">
        <v>3</v>
      </c>
      <c r="D740" s="10">
        <v>0</v>
      </c>
      <c r="E740" s="10">
        <v>1040.5919999999999</v>
      </c>
      <c r="F740" t="str">
        <f>VLOOKUP(A740,StoreLookup,2,FALSE)</f>
        <v>Store#1</v>
      </c>
      <c r="G740">
        <f>INDEX(CalLookUpTable,MATCH($B740,CalLookUpRow,0),MATCH(G$1,CalLookUpColumn,0))</f>
        <v>2019</v>
      </c>
      <c r="H740">
        <f>INDEX(CalLookUpTable,MATCH($B740,CalLookUpRow,0),MATCH(H$1,CalLookUpColumn,0))</f>
        <v>7</v>
      </c>
      <c r="I740">
        <f>INDEX(CalLookUpTable,MATCH($B740,CalLookUpRow,0),MATCH(I$1,CalLookUpColumn,0))</f>
        <v>1</v>
      </c>
    </row>
    <row r="741" spans="1:9" x14ac:dyDescent="0.25">
      <c r="A741" s="7">
        <v>1</v>
      </c>
      <c r="B741" s="8">
        <v>43650</v>
      </c>
      <c r="C741" s="9" t="s">
        <v>5</v>
      </c>
      <c r="D741" s="10">
        <v>3046.7429999999995</v>
      </c>
      <c r="E741" s="10">
        <v>0</v>
      </c>
      <c r="F741" t="str">
        <f>VLOOKUP(A741,StoreLookup,2,FALSE)</f>
        <v>Store#1</v>
      </c>
      <c r="G741">
        <f>INDEX(CalLookUpTable,MATCH($B741,CalLookUpRow,0),MATCH(G$1,CalLookUpColumn,0))</f>
        <v>2019</v>
      </c>
      <c r="H741">
        <f>INDEX(CalLookUpTable,MATCH($B741,CalLookUpRow,0),MATCH(H$1,CalLookUpColumn,0))</f>
        <v>7</v>
      </c>
      <c r="I741">
        <f>INDEX(CalLookUpTable,MATCH($B741,CalLookUpRow,0),MATCH(I$1,CalLookUpColumn,0))</f>
        <v>1</v>
      </c>
    </row>
    <row r="742" spans="1:9" x14ac:dyDescent="0.25">
      <c r="A742" s="7">
        <v>1</v>
      </c>
      <c r="B742" s="8">
        <v>43651</v>
      </c>
      <c r="C742" s="9" t="s">
        <v>5</v>
      </c>
      <c r="D742" s="10">
        <v>3568.2289999999998</v>
      </c>
      <c r="E742" s="10">
        <v>0</v>
      </c>
      <c r="F742" t="str">
        <f>VLOOKUP(A742,StoreLookup,2,FALSE)</f>
        <v>Store#1</v>
      </c>
      <c r="G742">
        <f>INDEX(CalLookUpTable,MATCH($B742,CalLookUpRow,0),MATCH(G$1,CalLookUpColumn,0))</f>
        <v>2019</v>
      </c>
      <c r="H742">
        <f>INDEX(CalLookUpTable,MATCH($B742,CalLookUpRow,0),MATCH(H$1,CalLookUpColumn,0))</f>
        <v>7</v>
      </c>
      <c r="I742">
        <f>INDEX(CalLookUpTable,MATCH($B742,CalLookUpRow,0),MATCH(I$1,CalLookUpColumn,0))</f>
        <v>1</v>
      </c>
    </row>
    <row r="743" spans="1:9" x14ac:dyDescent="0.25">
      <c r="A743" s="7">
        <v>1</v>
      </c>
      <c r="B743" s="8">
        <v>43651</v>
      </c>
      <c r="C743" s="9" t="s">
        <v>3</v>
      </c>
      <c r="D743" s="10">
        <v>0</v>
      </c>
      <c r="E743" s="10">
        <v>36.280999999999999</v>
      </c>
      <c r="F743" t="str">
        <f>VLOOKUP(A743,StoreLookup,2,FALSE)</f>
        <v>Store#1</v>
      </c>
      <c r="G743">
        <f>INDEX(CalLookUpTable,MATCH($B743,CalLookUpRow,0),MATCH(G$1,CalLookUpColumn,0))</f>
        <v>2019</v>
      </c>
      <c r="H743">
        <f>INDEX(CalLookUpTable,MATCH($B743,CalLookUpRow,0),MATCH(H$1,CalLookUpColumn,0))</f>
        <v>7</v>
      </c>
      <c r="I743">
        <f>INDEX(CalLookUpTable,MATCH($B743,CalLookUpRow,0),MATCH(I$1,CalLookUpColumn,0))</f>
        <v>1</v>
      </c>
    </row>
    <row r="744" spans="1:9" x14ac:dyDescent="0.25">
      <c r="A744" s="7">
        <v>1</v>
      </c>
      <c r="B744" s="8">
        <v>43651</v>
      </c>
      <c r="C744" s="9" t="s">
        <v>4</v>
      </c>
      <c r="D744" s="10">
        <v>4851.7769999999991</v>
      </c>
      <c r="E744" s="10">
        <v>5915.9659999999994</v>
      </c>
      <c r="F744" t="str">
        <f>VLOOKUP(A744,StoreLookup,2,FALSE)</f>
        <v>Store#1</v>
      </c>
      <c r="G744">
        <f>INDEX(CalLookUpTable,MATCH($B744,CalLookUpRow,0),MATCH(G$1,CalLookUpColumn,0))</f>
        <v>2019</v>
      </c>
      <c r="H744">
        <f>INDEX(CalLookUpTable,MATCH($B744,CalLookUpRow,0),MATCH(H$1,CalLookUpColumn,0))</f>
        <v>7</v>
      </c>
      <c r="I744">
        <f>INDEX(CalLookUpTable,MATCH($B744,CalLookUpRow,0),MATCH(I$1,CalLookUpColumn,0))</f>
        <v>1</v>
      </c>
    </row>
    <row r="745" spans="1:9" x14ac:dyDescent="0.25">
      <c r="A745" s="7">
        <v>1</v>
      </c>
      <c r="B745" s="8">
        <v>43651</v>
      </c>
      <c r="C745" s="9" t="s">
        <v>6</v>
      </c>
      <c r="D745" s="10">
        <v>1184.883</v>
      </c>
      <c r="E745" s="10">
        <v>1747.1509999999998</v>
      </c>
      <c r="F745" t="str">
        <f>VLOOKUP(A745,StoreLookup,2,FALSE)</f>
        <v>Store#1</v>
      </c>
      <c r="G745">
        <f>INDEX(CalLookUpTable,MATCH($B745,CalLookUpRow,0),MATCH(G$1,CalLookUpColumn,0))</f>
        <v>2019</v>
      </c>
      <c r="H745">
        <f>INDEX(CalLookUpTable,MATCH($B745,CalLookUpRow,0),MATCH(H$1,CalLookUpColumn,0))</f>
        <v>7</v>
      </c>
      <c r="I745">
        <f>INDEX(CalLookUpTable,MATCH($B745,CalLookUpRow,0),MATCH(I$1,CalLookUpColumn,0))</f>
        <v>1</v>
      </c>
    </row>
    <row r="746" spans="1:9" x14ac:dyDescent="0.25">
      <c r="A746" s="7">
        <v>1</v>
      </c>
      <c r="B746" s="8">
        <v>43652</v>
      </c>
      <c r="C746" s="9" t="s">
        <v>6</v>
      </c>
      <c r="D746" s="10">
        <v>899.12899999999991</v>
      </c>
      <c r="E746" s="10">
        <v>1817.0179999999998</v>
      </c>
      <c r="F746" t="str">
        <f>VLOOKUP(A746,StoreLookup,2,FALSE)</f>
        <v>Store#1</v>
      </c>
      <c r="G746">
        <f>INDEX(CalLookUpTable,MATCH($B746,CalLookUpRow,0),MATCH(G$1,CalLookUpColumn,0))</f>
        <v>2019</v>
      </c>
      <c r="H746">
        <f>INDEX(CalLookUpTable,MATCH($B746,CalLookUpRow,0),MATCH(H$1,CalLookUpColumn,0))</f>
        <v>7</v>
      </c>
      <c r="I746">
        <f>INDEX(CalLookUpTable,MATCH($B746,CalLookUpRow,0),MATCH(I$1,CalLookUpColumn,0))</f>
        <v>1</v>
      </c>
    </row>
    <row r="747" spans="1:9" x14ac:dyDescent="0.25">
      <c r="A747" s="7">
        <v>1</v>
      </c>
      <c r="B747" s="8">
        <v>43652</v>
      </c>
      <c r="C747" s="9" t="s">
        <v>4</v>
      </c>
      <c r="D747" s="10">
        <v>5141.3249999999998</v>
      </c>
      <c r="E747" s="10">
        <v>5686.0159999999996</v>
      </c>
      <c r="F747" t="str">
        <f>VLOOKUP(A747,StoreLookup,2,FALSE)</f>
        <v>Store#1</v>
      </c>
      <c r="G747">
        <f>INDEX(CalLookUpTable,MATCH($B747,CalLookUpRow,0),MATCH(G$1,CalLookUpColumn,0))</f>
        <v>2019</v>
      </c>
      <c r="H747">
        <f>INDEX(CalLookUpTable,MATCH($B747,CalLookUpRow,0),MATCH(H$1,CalLookUpColumn,0))</f>
        <v>7</v>
      </c>
      <c r="I747">
        <f>INDEX(CalLookUpTable,MATCH($B747,CalLookUpRow,0),MATCH(I$1,CalLookUpColumn,0))</f>
        <v>1</v>
      </c>
    </row>
    <row r="748" spans="1:9" x14ac:dyDescent="0.25">
      <c r="A748" s="7">
        <v>1</v>
      </c>
      <c r="B748" s="8">
        <v>43652</v>
      </c>
      <c r="C748" s="9" t="s">
        <v>3</v>
      </c>
      <c r="D748" s="10">
        <v>615.25800000000004</v>
      </c>
      <c r="E748" s="10">
        <v>127.08499999999999</v>
      </c>
      <c r="F748" t="str">
        <f>VLOOKUP(A748,StoreLookup,2,FALSE)</f>
        <v>Store#1</v>
      </c>
      <c r="G748">
        <f>INDEX(CalLookUpTable,MATCH($B748,CalLookUpRow,0),MATCH(G$1,CalLookUpColumn,0))</f>
        <v>2019</v>
      </c>
      <c r="H748">
        <f>INDEX(CalLookUpTable,MATCH($B748,CalLookUpRow,0),MATCH(H$1,CalLookUpColumn,0))</f>
        <v>7</v>
      </c>
      <c r="I748">
        <f>INDEX(CalLookUpTable,MATCH($B748,CalLookUpRow,0),MATCH(I$1,CalLookUpColumn,0))</f>
        <v>1</v>
      </c>
    </row>
    <row r="749" spans="1:9" x14ac:dyDescent="0.25">
      <c r="A749" s="7">
        <v>1</v>
      </c>
      <c r="B749" s="8">
        <v>43652</v>
      </c>
      <c r="C749" s="9" t="s">
        <v>5</v>
      </c>
      <c r="D749" s="10">
        <v>3250.0649999999996</v>
      </c>
      <c r="E749" s="10">
        <v>0</v>
      </c>
      <c r="F749" t="str">
        <f>VLOOKUP(A749,StoreLookup,2,FALSE)</f>
        <v>Store#1</v>
      </c>
      <c r="G749">
        <f>INDEX(CalLookUpTable,MATCH($B749,CalLookUpRow,0),MATCH(G$1,CalLookUpColumn,0))</f>
        <v>2019</v>
      </c>
      <c r="H749">
        <f>INDEX(CalLookUpTable,MATCH($B749,CalLookUpRow,0),MATCH(H$1,CalLookUpColumn,0))</f>
        <v>7</v>
      </c>
      <c r="I749">
        <f>INDEX(CalLookUpTable,MATCH($B749,CalLookUpRow,0),MATCH(I$1,CalLookUpColumn,0))</f>
        <v>1</v>
      </c>
    </row>
    <row r="750" spans="1:9" x14ac:dyDescent="0.25">
      <c r="A750" s="7">
        <v>1</v>
      </c>
      <c r="B750" s="8">
        <v>43653</v>
      </c>
      <c r="C750" s="9" t="s">
        <v>6</v>
      </c>
      <c r="D750" s="10">
        <v>164.47200000000001</v>
      </c>
      <c r="E750" s="10">
        <v>413.34999999999997</v>
      </c>
      <c r="F750" t="str">
        <f>VLOOKUP(A750,StoreLookup,2,FALSE)</f>
        <v>Store#1</v>
      </c>
      <c r="G750">
        <f>INDEX(CalLookUpTable,MATCH($B750,CalLookUpRow,0),MATCH(G$1,CalLookUpColumn,0))</f>
        <v>2019</v>
      </c>
      <c r="H750">
        <f>INDEX(CalLookUpTable,MATCH($B750,CalLookUpRow,0),MATCH(H$1,CalLookUpColumn,0))</f>
        <v>7</v>
      </c>
      <c r="I750">
        <f>INDEX(CalLookUpTable,MATCH($B750,CalLookUpRow,0),MATCH(I$1,CalLookUpColumn,0))</f>
        <v>1</v>
      </c>
    </row>
    <row r="751" spans="1:9" x14ac:dyDescent="0.25">
      <c r="A751" s="7">
        <v>1</v>
      </c>
      <c r="B751" s="8">
        <v>43653</v>
      </c>
      <c r="C751" s="9" t="s">
        <v>4</v>
      </c>
      <c r="D751" s="10">
        <v>2583.8679999999995</v>
      </c>
      <c r="E751" s="10">
        <v>3225.9359999999997</v>
      </c>
      <c r="F751" t="str">
        <f>VLOOKUP(A751,StoreLookup,2,FALSE)</f>
        <v>Store#1</v>
      </c>
      <c r="G751">
        <f>INDEX(CalLookUpTable,MATCH($B751,CalLookUpRow,0),MATCH(G$1,CalLookUpColumn,0))</f>
        <v>2019</v>
      </c>
      <c r="H751">
        <f>INDEX(CalLookUpTable,MATCH($B751,CalLookUpRow,0),MATCH(H$1,CalLookUpColumn,0))</f>
        <v>7</v>
      </c>
      <c r="I751">
        <f>INDEX(CalLookUpTable,MATCH($B751,CalLookUpRow,0),MATCH(I$1,CalLookUpColumn,0))</f>
        <v>1</v>
      </c>
    </row>
    <row r="752" spans="1:9" x14ac:dyDescent="0.25">
      <c r="A752" s="7">
        <v>1</v>
      </c>
      <c r="B752" s="8">
        <v>43653</v>
      </c>
      <c r="C752" s="9" t="s">
        <v>5</v>
      </c>
      <c r="D752" s="10">
        <v>1975.5889999999999</v>
      </c>
      <c r="E752" s="10">
        <v>0</v>
      </c>
      <c r="F752" t="str">
        <f>VLOOKUP(A752,StoreLookup,2,FALSE)</f>
        <v>Store#1</v>
      </c>
      <c r="G752">
        <f>INDEX(CalLookUpTable,MATCH($B752,CalLookUpRow,0),MATCH(G$1,CalLookUpColumn,0))</f>
        <v>2019</v>
      </c>
      <c r="H752">
        <f>INDEX(CalLookUpTable,MATCH($B752,CalLookUpRow,0),MATCH(H$1,CalLookUpColumn,0))</f>
        <v>7</v>
      </c>
      <c r="I752">
        <f>INDEX(CalLookUpTable,MATCH($B752,CalLookUpRow,0),MATCH(I$1,CalLookUpColumn,0))</f>
        <v>1</v>
      </c>
    </row>
    <row r="753" spans="1:9" x14ac:dyDescent="0.25">
      <c r="A753" s="7">
        <v>1</v>
      </c>
      <c r="B753" s="8">
        <v>43653</v>
      </c>
      <c r="C753" s="9" t="s">
        <v>3</v>
      </c>
      <c r="D753" s="10">
        <v>0</v>
      </c>
      <c r="E753" s="10">
        <v>2198.308</v>
      </c>
      <c r="F753" t="str">
        <f>VLOOKUP(A753,StoreLookup,2,FALSE)</f>
        <v>Store#1</v>
      </c>
      <c r="G753">
        <f>INDEX(CalLookUpTable,MATCH($B753,CalLookUpRow,0),MATCH(G$1,CalLookUpColumn,0))</f>
        <v>2019</v>
      </c>
      <c r="H753">
        <f>INDEX(CalLookUpTable,MATCH($B753,CalLookUpRow,0),MATCH(H$1,CalLookUpColumn,0))</f>
        <v>7</v>
      </c>
      <c r="I753">
        <f>INDEX(CalLookUpTable,MATCH($B753,CalLookUpRow,0),MATCH(I$1,CalLookUpColumn,0))</f>
        <v>1</v>
      </c>
    </row>
    <row r="754" spans="1:9" x14ac:dyDescent="0.25">
      <c r="A754" s="7">
        <v>1</v>
      </c>
      <c r="B754" s="8">
        <v>43654</v>
      </c>
      <c r="C754" s="9" t="s">
        <v>3</v>
      </c>
      <c r="D754" s="10">
        <v>12.032999999999999</v>
      </c>
      <c r="E754" s="10">
        <v>307.69200000000001</v>
      </c>
      <c r="F754" t="str">
        <f>VLOOKUP(A754,StoreLookup,2,FALSE)</f>
        <v>Store#1</v>
      </c>
      <c r="G754">
        <f>INDEX(CalLookUpTable,MATCH($B754,CalLookUpRow,0),MATCH(G$1,CalLookUpColumn,0))</f>
        <v>2019</v>
      </c>
      <c r="H754">
        <f>INDEX(CalLookUpTable,MATCH($B754,CalLookUpRow,0),MATCH(H$1,CalLookUpColumn,0))</f>
        <v>7</v>
      </c>
      <c r="I754">
        <f>INDEX(CalLookUpTable,MATCH($B754,CalLookUpRow,0),MATCH(I$1,CalLookUpColumn,0))</f>
        <v>2</v>
      </c>
    </row>
    <row r="755" spans="1:9" x14ac:dyDescent="0.25">
      <c r="A755" s="7">
        <v>1</v>
      </c>
      <c r="B755" s="8">
        <v>43654</v>
      </c>
      <c r="C755" s="9" t="s">
        <v>6</v>
      </c>
      <c r="D755" s="10">
        <v>849.37300000000005</v>
      </c>
      <c r="E755" s="10">
        <v>996.8</v>
      </c>
      <c r="F755" t="str">
        <f>VLOOKUP(A755,StoreLookup,2,FALSE)</f>
        <v>Store#1</v>
      </c>
      <c r="G755">
        <f>INDEX(CalLookUpTable,MATCH($B755,CalLookUpRow,0),MATCH(G$1,CalLookUpColumn,0))</f>
        <v>2019</v>
      </c>
      <c r="H755">
        <f>INDEX(CalLookUpTable,MATCH($B755,CalLookUpRow,0),MATCH(H$1,CalLookUpColumn,0))</f>
        <v>7</v>
      </c>
      <c r="I755">
        <f>INDEX(CalLookUpTable,MATCH($B755,CalLookUpRow,0),MATCH(I$1,CalLookUpColumn,0))</f>
        <v>2</v>
      </c>
    </row>
    <row r="756" spans="1:9" x14ac:dyDescent="0.25">
      <c r="A756" s="7">
        <v>1</v>
      </c>
      <c r="B756" s="8">
        <v>43654</v>
      </c>
      <c r="C756" s="9" t="s">
        <v>4</v>
      </c>
      <c r="D756" s="10">
        <v>4367.8530000000001</v>
      </c>
      <c r="E756" s="10">
        <v>4660.0889999999999</v>
      </c>
      <c r="F756" t="str">
        <f>VLOOKUP(A756,StoreLookup,2,FALSE)</f>
        <v>Store#1</v>
      </c>
      <c r="G756">
        <f>INDEX(CalLookUpTable,MATCH($B756,CalLookUpRow,0),MATCH(G$1,CalLookUpColumn,0))</f>
        <v>2019</v>
      </c>
      <c r="H756">
        <f>INDEX(CalLookUpTable,MATCH($B756,CalLookUpRow,0),MATCH(H$1,CalLookUpColumn,0))</f>
        <v>7</v>
      </c>
      <c r="I756">
        <f>INDEX(CalLookUpTable,MATCH($B756,CalLookUpRow,0),MATCH(I$1,CalLookUpColumn,0))</f>
        <v>2</v>
      </c>
    </row>
    <row r="757" spans="1:9" x14ac:dyDescent="0.25">
      <c r="A757" s="7">
        <v>1</v>
      </c>
      <c r="B757" s="8">
        <v>43654</v>
      </c>
      <c r="C757" s="9" t="s">
        <v>5</v>
      </c>
      <c r="D757" s="10">
        <v>3412.1359999999995</v>
      </c>
      <c r="E757" s="10">
        <v>0</v>
      </c>
      <c r="F757" t="str">
        <f>VLOOKUP(A757,StoreLookup,2,FALSE)</f>
        <v>Store#1</v>
      </c>
      <c r="G757">
        <f>INDEX(CalLookUpTable,MATCH($B757,CalLookUpRow,0),MATCH(G$1,CalLookUpColumn,0))</f>
        <v>2019</v>
      </c>
      <c r="H757">
        <f>INDEX(CalLookUpTable,MATCH($B757,CalLookUpRow,0),MATCH(H$1,CalLookUpColumn,0))</f>
        <v>7</v>
      </c>
      <c r="I757">
        <f>INDEX(CalLookUpTable,MATCH($B757,CalLookUpRow,0),MATCH(I$1,CalLookUpColumn,0))</f>
        <v>2</v>
      </c>
    </row>
    <row r="758" spans="1:9" x14ac:dyDescent="0.25">
      <c r="A758" s="7">
        <v>1</v>
      </c>
      <c r="B758" s="8">
        <v>43655</v>
      </c>
      <c r="C758" s="9" t="s">
        <v>5</v>
      </c>
      <c r="D758" s="10">
        <v>2941.6519999999996</v>
      </c>
      <c r="E758" s="10">
        <v>0</v>
      </c>
      <c r="F758" t="str">
        <f>VLOOKUP(A758,StoreLookup,2,FALSE)</f>
        <v>Store#1</v>
      </c>
      <c r="G758">
        <f>INDEX(CalLookUpTable,MATCH($B758,CalLookUpRow,0),MATCH(G$1,CalLookUpColumn,0))</f>
        <v>2019</v>
      </c>
      <c r="H758">
        <f>INDEX(CalLookUpTable,MATCH($B758,CalLookUpRow,0),MATCH(H$1,CalLookUpColumn,0))</f>
        <v>7</v>
      </c>
      <c r="I758">
        <f>INDEX(CalLookUpTable,MATCH($B758,CalLookUpRow,0),MATCH(I$1,CalLookUpColumn,0))</f>
        <v>2</v>
      </c>
    </row>
    <row r="759" spans="1:9" x14ac:dyDescent="0.25">
      <c r="A759" s="7">
        <v>1</v>
      </c>
      <c r="B759" s="8">
        <v>43655</v>
      </c>
      <c r="C759" s="9" t="s">
        <v>4</v>
      </c>
      <c r="D759" s="10">
        <v>4519.5010000000002</v>
      </c>
      <c r="E759" s="10">
        <v>4537.4349999999995</v>
      </c>
      <c r="F759" t="str">
        <f>VLOOKUP(A759,StoreLookup,2,FALSE)</f>
        <v>Store#1</v>
      </c>
      <c r="G759">
        <f>INDEX(CalLookUpTable,MATCH($B759,CalLookUpRow,0),MATCH(G$1,CalLookUpColumn,0))</f>
        <v>2019</v>
      </c>
      <c r="H759">
        <f>INDEX(CalLookUpTable,MATCH($B759,CalLookUpRow,0),MATCH(H$1,CalLookUpColumn,0))</f>
        <v>7</v>
      </c>
      <c r="I759">
        <f>INDEX(CalLookUpTable,MATCH($B759,CalLookUpRow,0),MATCH(I$1,CalLookUpColumn,0))</f>
        <v>2</v>
      </c>
    </row>
    <row r="760" spans="1:9" x14ac:dyDescent="0.25">
      <c r="A760" s="7">
        <v>1</v>
      </c>
      <c r="B760" s="8">
        <v>43655</v>
      </c>
      <c r="C760" s="9" t="s">
        <v>3</v>
      </c>
      <c r="D760" s="10">
        <v>0</v>
      </c>
      <c r="E760" s="10">
        <v>339.35300000000001</v>
      </c>
      <c r="F760" t="str">
        <f>VLOOKUP(A760,StoreLookup,2,FALSE)</f>
        <v>Store#1</v>
      </c>
      <c r="G760">
        <f>INDEX(CalLookUpTable,MATCH($B760,CalLookUpRow,0),MATCH(G$1,CalLookUpColumn,0))</f>
        <v>2019</v>
      </c>
      <c r="H760">
        <f>INDEX(CalLookUpTable,MATCH($B760,CalLookUpRow,0),MATCH(H$1,CalLookUpColumn,0))</f>
        <v>7</v>
      </c>
      <c r="I760">
        <f>INDEX(CalLookUpTable,MATCH($B760,CalLookUpRow,0),MATCH(I$1,CalLookUpColumn,0))</f>
        <v>2</v>
      </c>
    </row>
    <row r="761" spans="1:9" x14ac:dyDescent="0.25">
      <c r="A761" s="7">
        <v>1</v>
      </c>
      <c r="B761" s="8">
        <v>43655</v>
      </c>
      <c r="C761" s="9" t="s">
        <v>6</v>
      </c>
      <c r="D761" s="10">
        <v>752.08699999999999</v>
      </c>
      <c r="E761" s="10">
        <v>854.63</v>
      </c>
      <c r="F761" t="str">
        <f>VLOOKUP(A761,StoreLookup,2,FALSE)</f>
        <v>Store#1</v>
      </c>
      <c r="G761">
        <f>INDEX(CalLookUpTable,MATCH($B761,CalLookUpRow,0),MATCH(G$1,CalLookUpColumn,0))</f>
        <v>2019</v>
      </c>
      <c r="H761">
        <f>INDEX(CalLookUpTable,MATCH($B761,CalLookUpRow,0),MATCH(H$1,CalLookUpColumn,0))</f>
        <v>7</v>
      </c>
      <c r="I761">
        <f>INDEX(CalLookUpTable,MATCH($B761,CalLookUpRow,0),MATCH(I$1,CalLookUpColumn,0))</f>
        <v>2</v>
      </c>
    </row>
    <row r="762" spans="1:9" x14ac:dyDescent="0.25">
      <c r="A762" s="7">
        <v>1</v>
      </c>
      <c r="B762" s="8">
        <v>43656</v>
      </c>
      <c r="C762" s="9" t="s">
        <v>5</v>
      </c>
      <c r="D762" s="10">
        <v>3316.2570000000001</v>
      </c>
      <c r="E762" s="10">
        <v>0</v>
      </c>
      <c r="F762" t="str">
        <f>VLOOKUP(A762,StoreLookup,2,FALSE)</f>
        <v>Store#1</v>
      </c>
      <c r="G762">
        <f>INDEX(CalLookUpTable,MATCH($B762,CalLookUpRow,0),MATCH(G$1,CalLookUpColumn,0))</f>
        <v>2019</v>
      </c>
      <c r="H762">
        <f>INDEX(CalLookUpTable,MATCH($B762,CalLookUpRow,0),MATCH(H$1,CalLookUpColumn,0))</f>
        <v>7</v>
      </c>
      <c r="I762">
        <f>INDEX(CalLookUpTable,MATCH($B762,CalLookUpRow,0),MATCH(I$1,CalLookUpColumn,0))</f>
        <v>2</v>
      </c>
    </row>
    <row r="763" spans="1:9" x14ac:dyDescent="0.25">
      <c r="A763" s="7">
        <v>1</v>
      </c>
      <c r="B763" s="8">
        <v>43656</v>
      </c>
      <c r="C763" s="9" t="s">
        <v>3</v>
      </c>
      <c r="D763" s="10">
        <v>467.71199999999993</v>
      </c>
      <c r="E763" s="10">
        <v>1096.7389999999998</v>
      </c>
      <c r="F763" t="str">
        <f>VLOOKUP(A763,StoreLookup,2,FALSE)</f>
        <v>Store#1</v>
      </c>
      <c r="G763">
        <f>INDEX(CalLookUpTable,MATCH($B763,CalLookUpRow,0),MATCH(G$1,CalLookUpColumn,0))</f>
        <v>2019</v>
      </c>
      <c r="H763">
        <f>INDEX(CalLookUpTable,MATCH($B763,CalLookUpRow,0),MATCH(H$1,CalLookUpColumn,0))</f>
        <v>7</v>
      </c>
      <c r="I763">
        <f>INDEX(CalLookUpTable,MATCH($B763,CalLookUpRow,0),MATCH(I$1,CalLookUpColumn,0))</f>
        <v>2</v>
      </c>
    </row>
    <row r="764" spans="1:9" x14ac:dyDescent="0.25">
      <c r="A764" s="7">
        <v>1</v>
      </c>
      <c r="B764" s="8">
        <v>43656</v>
      </c>
      <c r="C764" s="9" t="s">
        <v>6</v>
      </c>
      <c r="D764" s="10">
        <v>678.2299999999999</v>
      </c>
      <c r="E764" s="10">
        <v>1279.3969999999999</v>
      </c>
      <c r="F764" t="str">
        <f>VLOOKUP(A764,StoreLookup,2,FALSE)</f>
        <v>Store#1</v>
      </c>
      <c r="G764">
        <f>INDEX(CalLookUpTable,MATCH($B764,CalLookUpRow,0),MATCH(G$1,CalLookUpColumn,0))</f>
        <v>2019</v>
      </c>
      <c r="H764">
        <f>INDEX(CalLookUpTable,MATCH($B764,CalLookUpRow,0),MATCH(H$1,CalLookUpColumn,0))</f>
        <v>7</v>
      </c>
      <c r="I764">
        <f>INDEX(CalLookUpTable,MATCH($B764,CalLookUpRow,0),MATCH(I$1,CalLookUpColumn,0))</f>
        <v>2</v>
      </c>
    </row>
    <row r="765" spans="1:9" x14ac:dyDescent="0.25">
      <c r="A765" s="7">
        <v>1</v>
      </c>
      <c r="B765" s="8">
        <v>43656</v>
      </c>
      <c r="C765" s="9" t="s">
        <v>4</v>
      </c>
      <c r="D765" s="10">
        <v>4203.8779999999997</v>
      </c>
      <c r="E765" s="10">
        <v>4856.6279999999997</v>
      </c>
      <c r="F765" t="str">
        <f>VLOOKUP(A765,StoreLookup,2,FALSE)</f>
        <v>Store#1</v>
      </c>
      <c r="G765">
        <f>INDEX(CalLookUpTable,MATCH($B765,CalLookUpRow,0),MATCH(G$1,CalLookUpColumn,0))</f>
        <v>2019</v>
      </c>
      <c r="H765">
        <f>INDEX(CalLookUpTable,MATCH($B765,CalLookUpRow,0),MATCH(H$1,CalLookUpColumn,0))</f>
        <v>7</v>
      </c>
      <c r="I765">
        <f>INDEX(CalLookUpTable,MATCH($B765,CalLookUpRow,0),MATCH(I$1,CalLookUpColumn,0))</f>
        <v>2</v>
      </c>
    </row>
    <row r="766" spans="1:9" x14ac:dyDescent="0.25">
      <c r="A766" s="7">
        <v>1</v>
      </c>
      <c r="B766" s="8">
        <v>43657</v>
      </c>
      <c r="C766" s="9" t="s">
        <v>5</v>
      </c>
      <c r="D766" s="10">
        <v>3603.5929999999994</v>
      </c>
      <c r="E766" s="10">
        <v>0</v>
      </c>
      <c r="F766" t="str">
        <f>VLOOKUP(A766,StoreLookup,2,FALSE)</f>
        <v>Store#1</v>
      </c>
      <c r="G766">
        <f>INDEX(CalLookUpTable,MATCH($B766,CalLookUpRow,0),MATCH(G$1,CalLookUpColumn,0))</f>
        <v>2019</v>
      </c>
      <c r="H766">
        <f>INDEX(CalLookUpTable,MATCH($B766,CalLookUpRow,0),MATCH(H$1,CalLookUpColumn,0))</f>
        <v>7</v>
      </c>
      <c r="I766">
        <f>INDEX(CalLookUpTable,MATCH($B766,CalLookUpRow,0),MATCH(I$1,CalLookUpColumn,0))</f>
        <v>2</v>
      </c>
    </row>
    <row r="767" spans="1:9" x14ac:dyDescent="0.25">
      <c r="A767" s="7">
        <v>1</v>
      </c>
      <c r="B767" s="8">
        <v>43657</v>
      </c>
      <c r="C767" s="9" t="s">
        <v>4</v>
      </c>
      <c r="D767" s="10">
        <v>4922.12</v>
      </c>
      <c r="E767" s="10">
        <v>5546.4569999999994</v>
      </c>
      <c r="F767" t="str">
        <f>VLOOKUP(A767,StoreLookup,2,FALSE)</f>
        <v>Store#1</v>
      </c>
      <c r="G767">
        <f>INDEX(CalLookUpTable,MATCH($B767,CalLookUpRow,0),MATCH(G$1,CalLookUpColumn,0))</f>
        <v>2019</v>
      </c>
      <c r="H767">
        <f>INDEX(CalLookUpTable,MATCH($B767,CalLookUpRow,0),MATCH(H$1,CalLookUpColumn,0))</f>
        <v>7</v>
      </c>
      <c r="I767">
        <f>INDEX(CalLookUpTable,MATCH($B767,CalLookUpRow,0),MATCH(I$1,CalLookUpColumn,0))</f>
        <v>2</v>
      </c>
    </row>
    <row r="768" spans="1:9" x14ac:dyDescent="0.25">
      <c r="A768" s="7">
        <v>1</v>
      </c>
      <c r="B768" s="8">
        <v>43657</v>
      </c>
      <c r="C768" s="9" t="s">
        <v>6</v>
      </c>
      <c r="D768" s="10">
        <v>762.94399999999996</v>
      </c>
      <c r="E768" s="10">
        <v>1322.6079999999999</v>
      </c>
      <c r="F768" t="str">
        <f>VLOOKUP(A768,StoreLookup,2,FALSE)</f>
        <v>Store#1</v>
      </c>
      <c r="G768">
        <f>INDEX(CalLookUpTable,MATCH($B768,CalLookUpRow,0),MATCH(G$1,CalLookUpColumn,0))</f>
        <v>2019</v>
      </c>
      <c r="H768">
        <f>INDEX(CalLookUpTable,MATCH($B768,CalLookUpRow,0),MATCH(H$1,CalLookUpColumn,0))</f>
        <v>7</v>
      </c>
      <c r="I768">
        <f>INDEX(CalLookUpTable,MATCH($B768,CalLookUpRow,0),MATCH(I$1,CalLookUpColumn,0))</f>
        <v>2</v>
      </c>
    </row>
    <row r="769" spans="1:9" x14ac:dyDescent="0.25">
      <c r="A769" s="7">
        <v>1</v>
      </c>
      <c r="B769" s="8">
        <v>43657</v>
      </c>
      <c r="C769" s="9" t="s">
        <v>3</v>
      </c>
      <c r="D769" s="10">
        <v>0</v>
      </c>
      <c r="E769" s="10">
        <v>1217.0269999999998</v>
      </c>
      <c r="F769" t="str">
        <f>VLOOKUP(A769,StoreLookup,2,FALSE)</f>
        <v>Store#1</v>
      </c>
      <c r="G769">
        <f>INDEX(CalLookUpTable,MATCH($B769,CalLookUpRow,0),MATCH(G$1,CalLookUpColumn,0))</f>
        <v>2019</v>
      </c>
      <c r="H769">
        <f>INDEX(CalLookUpTable,MATCH($B769,CalLookUpRow,0),MATCH(H$1,CalLookUpColumn,0))</f>
        <v>7</v>
      </c>
      <c r="I769">
        <f>INDEX(CalLookUpTable,MATCH($B769,CalLookUpRow,0),MATCH(I$1,CalLookUpColumn,0))</f>
        <v>2</v>
      </c>
    </row>
    <row r="770" spans="1:9" x14ac:dyDescent="0.25">
      <c r="A770" s="7">
        <v>1</v>
      </c>
      <c r="B770" s="8">
        <v>43658</v>
      </c>
      <c r="C770" s="9" t="s">
        <v>3</v>
      </c>
      <c r="D770" s="10">
        <v>0</v>
      </c>
      <c r="E770" s="10">
        <v>1583.3719999999998</v>
      </c>
      <c r="F770" t="str">
        <f>VLOOKUP(A770,StoreLookup,2,FALSE)</f>
        <v>Store#1</v>
      </c>
      <c r="G770">
        <f>INDEX(CalLookUpTable,MATCH($B770,CalLookUpRow,0),MATCH(G$1,CalLookUpColumn,0))</f>
        <v>2019</v>
      </c>
      <c r="H770">
        <f>INDEX(CalLookUpTable,MATCH($B770,CalLookUpRow,0),MATCH(H$1,CalLookUpColumn,0))</f>
        <v>7</v>
      </c>
      <c r="I770">
        <f>INDEX(CalLookUpTable,MATCH($B770,CalLookUpRow,0),MATCH(I$1,CalLookUpColumn,0))</f>
        <v>2</v>
      </c>
    </row>
    <row r="771" spans="1:9" x14ac:dyDescent="0.25">
      <c r="A771" s="7">
        <v>1</v>
      </c>
      <c r="B771" s="8">
        <v>43658</v>
      </c>
      <c r="C771" s="9" t="s">
        <v>4</v>
      </c>
      <c r="D771" s="10">
        <v>4609.9339999999993</v>
      </c>
      <c r="E771" s="10">
        <v>5272.3859999999995</v>
      </c>
      <c r="F771" t="str">
        <f>VLOOKUP(A771,StoreLookup,2,FALSE)</f>
        <v>Store#1</v>
      </c>
      <c r="G771">
        <f>INDEX(CalLookUpTable,MATCH($B771,CalLookUpRow,0),MATCH(G$1,CalLookUpColumn,0))</f>
        <v>2019</v>
      </c>
      <c r="H771">
        <f>INDEX(CalLookUpTable,MATCH($B771,CalLookUpRow,0),MATCH(H$1,CalLookUpColumn,0))</f>
        <v>7</v>
      </c>
      <c r="I771">
        <f>INDEX(CalLookUpTable,MATCH($B771,CalLookUpRow,0),MATCH(I$1,CalLookUpColumn,0))</f>
        <v>2</v>
      </c>
    </row>
    <row r="772" spans="1:9" x14ac:dyDescent="0.25">
      <c r="A772" s="7">
        <v>1</v>
      </c>
      <c r="B772" s="8">
        <v>43658</v>
      </c>
      <c r="C772" s="9" t="s">
        <v>6</v>
      </c>
      <c r="D772" s="10">
        <v>975.85599999999988</v>
      </c>
      <c r="E772" s="10">
        <v>1757.3919999999998</v>
      </c>
      <c r="F772" t="str">
        <f>VLOOKUP(A772,StoreLookup,2,FALSE)</f>
        <v>Store#1</v>
      </c>
      <c r="G772">
        <f>INDEX(CalLookUpTable,MATCH($B772,CalLookUpRow,0),MATCH(G$1,CalLookUpColumn,0))</f>
        <v>2019</v>
      </c>
      <c r="H772">
        <f>INDEX(CalLookUpTable,MATCH($B772,CalLookUpRow,0),MATCH(H$1,CalLookUpColumn,0))</f>
        <v>7</v>
      </c>
      <c r="I772">
        <f>INDEX(CalLookUpTable,MATCH($B772,CalLookUpRow,0),MATCH(I$1,CalLookUpColumn,0))</f>
        <v>2</v>
      </c>
    </row>
    <row r="773" spans="1:9" x14ac:dyDescent="0.25">
      <c r="A773" s="7">
        <v>1</v>
      </c>
      <c r="B773" s="8">
        <v>43658</v>
      </c>
      <c r="C773" s="9" t="s">
        <v>5</v>
      </c>
      <c r="D773" s="10">
        <v>3628.7859999999996</v>
      </c>
      <c r="E773" s="10">
        <v>0</v>
      </c>
      <c r="F773" t="str">
        <f>VLOOKUP(A773,StoreLookup,2,FALSE)</f>
        <v>Store#1</v>
      </c>
      <c r="G773">
        <f>INDEX(CalLookUpTable,MATCH($B773,CalLookUpRow,0),MATCH(G$1,CalLookUpColumn,0))</f>
        <v>2019</v>
      </c>
      <c r="H773">
        <f>INDEX(CalLookUpTable,MATCH($B773,CalLookUpRow,0),MATCH(H$1,CalLookUpColumn,0))</f>
        <v>7</v>
      </c>
      <c r="I773">
        <f>INDEX(CalLookUpTable,MATCH($B773,CalLookUpRow,0),MATCH(I$1,CalLookUpColumn,0))</f>
        <v>2</v>
      </c>
    </row>
    <row r="774" spans="1:9" x14ac:dyDescent="0.25">
      <c r="A774" s="7">
        <v>1</v>
      </c>
      <c r="B774" s="8">
        <v>43659</v>
      </c>
      <c r="C774" s="9" t="s">
        <v>6</v>
      </c>
      <c r="D774" s="10">
        <v>793.15599999999995</v>
      </c>
      <c r="E774" s="10">
        <v>969.99699999999996</v>
      </c>
      <c r="F774" t="str">
        <f>VLOOKUP(A774,StoreLookup,2,FALSE)</f>
        <v>Store#1</v>
      </c>
      <c r="G774">
        <f>INDEX(CalLookUpTable,MATCH($B774,CalLookUpRow,0),MATCH(G$1,CalLookUpColumn,0))</f>
        <v>2019</v>
      </c>
      <c r="H774">
        <f>INDEX(CalLookUpTable,MATCH($B774,CalLookUpRow,0),MATCH(H$1,CalLookUpColumn,0))</f>
        <v>7</v>
      </c>
      <c r="I774">
        <f>INDEX(CalLookUpTable,MATCH($B774,CalLookUpRow,0),MATCH(I$1,CalLookUpColumn,0))</f>
        <v>2</v>
      </c>
    </row>
    <row r="775" spans="1:9" x14ac:dyDescent="0.25">
      <c r="A775" s="7">
        <v>1</v>
      </c>
      <c r="B775" s="8">
        <v>43659</v>
      </c>
      <c r="C775" s="9" t="s">
        <v>4</v>
      </c>
      <c r="D775" s="10">
        <v>5282.1439999999993</v>
      </c>
      <c r="E775" s="10">
        <v>5818.9879999999994</v>
      </c>
      <c r="F775" t="str">
        <f>VLOOKUP(A775,StoreLookup,2,FALSE)</f>
        <v>Store#1</v>
      </c>
      <c r="G775">
        <f>INDEX(CalLookUpTable,MATCH($B775,CalLookUpRow,0),MATCH(G$1,CalLookUpColumn,0))</f>
        <v>2019</v>
      </c>
      <c r="H775">
        <f>INDEX(CalLookUpTable,MATCH($B775,CalLookUpRow,0),MATCH(H$1,CalLookUpColumn,0))</f>
        <v>7</v>
      </c>
      <c r="I775">
        <f>INDEX(CalLookUpTable,MATCH($B775,CalLookUpRow,0),MATCH(I$1,CalLookUpColumn,0))</f>
        <v>2</v>
      </c>
    </row>
    <row r="776" spans="1:9" x14ac:dyDescent="0.25">
      <c r="A776" s="7">
        <v>1</v>
      </c>
      <c r="B776" s="8">
        <v>43659</v>
      </c>
      <c r="C776" s="9" t="s">
        <v>3</v>
      </c>
      <c r="D776" s="10">
        <v>0</v>
      </c>
      <c r="E776" s="10">
        <v>1370.971</v>
      </c>
      <c r="F776" t="str">
        <f>VLOOKUP(A776,StoreLookup,2,FALSE)</f>
        <v>Store#1</v>
      </c>
      <c r="G776">
        <f>INDEX(CalLookUpTable,MATCH($B776,CalLookUpRow,0),MATCH(G$1,CalLookUpColumn,0))</f>
        <v>2019</v>
      </c>
      <c r="H776">
        <f>INDEX(CalLookUpTable,MATCH($B776,CalLookUpRow,0),MATCH(H$1,CalLookUpColumn,0))</f>
        <v>7</v>
      </c>
      <c r="I776">
        <f>INDEX(CalLookUpTable,MATCH($B776,CalLookUpRow,0),MATCH(I$1,CalLookUpColumn,0))</f>
        <v>2</v>
      </c>
    </row>
    <row r="777" spans="1:9" x14ac:dyDescent="0.25">
      <c r="A777" s="7">
        <v>1</v>
      </c>
      <c r="B777" s="8">
        <v>43659</v>
      </c>
      <c r="C777" s="9" t="s">
        <v>5</v>
      </c>
      <c r="D777" s="10">
        <v>3176.0679999999998</v>
      </c>
      <c r="E777" s="10">
        <v>0</v>
      </c>
      <c r="F777" t="str">
        <f>VLOOKUP(A777,StoreLookup,2,FALSE)</f>
        <v>Store#1</v>
      </c>
      <c r="G777">
        <f>INDEX(CalLookUpTable,MATCH($B777,CalLookUpRow,0),MATCH(G$1,CalLookUpColumn,0))</f>
        <v>2019</v>
      </c>
      <c r="H777">
        <f>INDEX(CalLookUpTable,MATCH($B777,CalLookUpRow,0),MATCH(H$1,CalLookUpColumn,0))</f>
        <v>7</v>
      </c>
      <c r="I777">
        <f>INDEX(CalLookUpTable,MATCH($B777,CalLookUpRow,0),MATCH(I$1,CalLookUpColumn,0))</f>
        <v>2</v>
      </c>
    </row>
    <row r="778" spans="1:9" x14ac:dyDescent="0.25">
      <c r="A778" s="7">
        <v>1</v>
      </c>
      <c r="B778" s="8">
        <v>43660</v>
      </c>
      <c r="C778" s="9" t="s">
        <v>3</v>
      </c>
      <c r="D778" s="10">
        <v>57.036000000000001</v>
      </c>
      <c r="E778" s="10">
        <v>0</v>
      </c>
      <c r="F778" t="str">
        <f>VLOOKUP(A778,StoreLookup,2,FALSE)</f>
        <v>Store#1</v>
      </c>
      <c r="G778">
        <f>INDEX(CalLookUpTable,MATCH($B778,CalLookUpRow,0),MATCH(G$1,CalLookUpColumn,0))</f>
        <v>2019</v>
      </c>
      <c r="H778">
        <f>INDEX(CalLookUpTable,MATCH($B778,CalLookUpRow,0),MATCH(H$1,CalLookUpColumn,0))</f>
        <v>7</v>
      </c>
      <c r="I778">
        <f>INDEX(CalLookUpTable,MATCH($B778,CalLookUpRow,0),MATCH(I$1,CalLookUpColumn,0))</f>
        <v>2</v>
      </c>
    </row>
    <row r="779" spans="1:9" x14ac:dyDescent="0.25">
      <c r="A779" s="7">
        <v>1</v>
      </c>
      <c r="B779" s="8">
        <v>43660</v>
      </c>
      <c r="C779" s="9" t="s">
        <v>4</v>
      </c>
      <c r="D779" s="10">
        <v>2297.5050000000001</v>
      </c>
      <c r="E779" s="10">
        <v>2928.66</v>
      </c>
      <c r="F779" t="str">
        <f>VLOOKUP(A779,StoreLookup,2,FALSE)</f>
        <v>Store#1</v>
      </c>
      <c r="G779">
        <f>INDEX(CalLookUpTable,MATCH($B779,CalLookUpRow,0),MATCH(G$1,CalLookUpColumn,0))</f>
        <v>2019</v>
      </c>
      <c r="H779">
        <f>INDEX(CalLookUpTable,MATCH($B779,CalLookUpRow,0),MATCH(H$1,CalLookUpColumn,0))</f>
        <v>7</v>
      </c>
      <c r="I779">
        <f>INDEX(CalLookUpTable,MATCH($B779,CalLookUpRow,0),MATCH(I$1,CalLookUpColumn,0))</f>
        <v>2</v>
      </c>
    </row>
    <row r="780" spans="1:9" x14ac:dyDescent="0.25">
      <c r="A780" s="7">
        <v>1</v>
      </c>
      <c r="B780" s="8">
        <v>43660</v>
      </c>
      <c r="C780" s="9" t="s">
        <v>5</v>
      </c>
      <c r="D780" s="10">
        <v>2098.5369999999998</v>
      </c>
      <c r="E780" s="10">
        <v>0</v>
      </c>
      <c r="F780" t="str">
        <f>VLOOKUP(A780,StoreLookup,2,FALSE)</f>
        <v>Store#1</v>
      </c>
      <c r="G780">
        <f>INDEX(CalLookUpTable,MATCH($B780,CalLookUpRow,0),MATCH(G$1,CalLookUpColumn,0))</f>
        <v>2019</v>
      </c>
      <c r="H780">
        <f>INDEX(CalLookUpTable,MATCH($B780,CalLookUpRow,0),MATCH(H$1,CalLookUpColumn,0))</f>
        <v>7</v>
      </c>
      <c r="I780">
        <f>INDEX(CalLookUpTable,MATCH($B780,CalLookUpRow,0),MATCH(I$1,CalLookUpColumn,0))</f>
        <v>2</v>
      </c>
    </row>
    <row r="781" spans="1:9" x14ac:dyDescent="0.25">
      <c r="A781" s="7">
        <v>1</v>
      </c>
      <c r="B781" s="8">
        <v>43660</v>
      </c>
      <c r="C781" s="9" t="s">
        <v>6</v>
      </c>
      <c r="D781" s="10">
        <v>288.65899999999999</v>
      </c>
      <c r="E781" s="10">
        <v>419.79</v>
      </c>
      <c r="F781" t="str">
        <f>VLOOKUP(A781,StoreLookup,2,FALSE)</f>
        <v>Store#1</v>
      </c>
      <c r="G781">
        <f>INDEX(CalLookUpTable,MATCH($B781,CalLookUpRow,0),MATCH(G$1,CalLookUpColumn,0))</f>
        <v>2019</v>
      </c>
      <c r="H781">
        <f>INDEX(CalLookUpTable,MATCH($B781,CalLookUpRow,0),MATCH(H$1,CalLookUpColumn,0))</f>
        <v>7</v>
      </c>
      <c r="I781">
        <f>INDEX(CalLookUpTable,MATCH($B781,CalLookUpRow,0),MATCH(I$1,CalLookUpColumn,0))</f>
        <v>2</v>
      </c>
    </row>
    <row r="782" spans="1:9" x14ac:dyDescent="0.25">
      <c r="A782" s="7">
        <v>1</v>
      </c>
      <c r="B782" s="8">
        <v>43661</v>
      </c>
      <c r="C782" s="9" t="s">
        <v>3</v>
      </c>
      <c r="D782" s="10">
        <v>0</v>
      </c>
      <c r="E782" s="10">
        <v>2118.732</v>
      </c>
      <c r="F782" t="str">
        <f>VLOOKUP(A782,StoreLookup,2,FALSE)</f>
        <v>Store#1</v>
      </c>
      <c r="G782">
        <f>INDEX(CalLookUpTable,MATCH($B782,CalLookUpRow,0),MATCH(G$1,CalLookUpColumn,0))</f>
        <v>2019</v>
      </c>
      <c r="H782">
        <f>INDEX(CalLookUpTable,MATCH($B782,CalLookUpRow,0),MATCH(H$1,CalLookUpColumn,0))</f>
        <v>7</v>
      </c>
      <c r="I782">
        <f>INDEX(CalLookUpTable,MATCH($B782,CalLookUpRow,0),MATCH(I$1,CalLookUpColumn,0))</f>
        <v>3</v>
      </c>
    </row>
    <row r="783" spans="1:9" x14ac:dyDescent="0.25">
      <c r="A783" s="7">
        <v>1</v>
      </c>
      <c r="B783" s="8">
        <v>43661</v>
      </c>
      <c r="C783" s="9" t="s">
        <v>6</v>
      </c>
      <c r="D783" s="10">
        <v>789.99899999999991</v>
      </c>
      <c r="E783" s="10">
        <v>1183.3150000000001</v>
      </c>
      <c r="F783" t="str">
        <f>VLOOKUP(A783,StoreLookup,2,FALSE)</f>
        <v>Store#1</v>
      </c>
      <c r="G783">
        <f>INDEX(CalLookUpTable,MATCH($B783,CalLookUpRow,0),MATCH(G$1,CalLookUpColumn,0))</f>
        <v>2019</v>
      </c>
      <c r="H783">
        <f>INDEX(CalLookUpTable,MATCH($B783,CalLookUpRow,0),MATCH(H$1,CalLookUpColumn,0))</f>
        <v>7</v>
      </c>
      <c r="I783">
        <f>INDEX(CalLookUpTable,MATCH($B783,CalLookUpRow,0),MATCH(I$1,CalLookUpColumn,0))</f>
        <v>3</v>
      </c>
    </row>
    <row r="784" spans="1:9" x14ac:dyDescent="0.25">
      <c r="A784" s="7">
        <v>1</v>
      </c>
      <c r="B784" s="8">
        <v>43661</v>
      </c>
      <c r="C784" s="9" t="s">
        <v>4</v>
      </c>
      <c r="D784" s="10">
        <v>4995.1790000000001</v>
      </c>
      <c r="E784" s="10">
        <v>4806.5989999999993</v>
      </c>
      <c r="F784" t="str">
        <f>VLOOKUP(A784,StoreLookup,2,FALSE)</f>
        <v>Store#1</v>
      </c>
      <c r="G784">
        <f>INDEX(CalLookUpTable,MATCH($B784,CalLookUpRow,0),MATCH(G$1,CalLookUpColumn,0))</f>
        <v>2019</v>
      </c>
      <c r="H784">
        <f>INDEX(CalLookUpTable,MATCH($B784,CalLookUpRow,0),MATCH(H$1,CalLookUpColumn,0))</f>
        <v>7</v>
      </c>
      <c r="I784">
        <f>INDEX(CalLookUpTable,MATCH($B784,CalLookUpRow,0),MATCH(I$1,CalLookUpColumn,0))</f>
        <v>3</v>
      </c>
    </row>
    <row r="785" spans="1:9" x14ac:dyDescent="0.25">
      <c r="A785" s="7">
        <v>1</v>
      </c>
      <c r="B785" s="8">
        <v>43661</v>
      </c>
      <c r="C785" s="9" t="s">
        <v>5</v>
      </c>
      <c r="D785" s="10">
        <v>3091.4169999999999</v>
      </c>
      <c r="E785" s="10">
        <v>0</v>
      </c>
      <c r="F785" t="str">
        <f>VLOOKUP(A785,StoreLookup,2,FALSE)</f>
        <v>Store#1</v>
      </c>
      <c r="G785">
        <f>INDEX(CalLookUpTable,MATCH($B785,CalLookUpRow,0),MATCH(G$1,CalLookUpColumn,0))</f>
        <v>2019</v>
      </c>
      <c r="H785">
        <f>INDEX(CalLookUpTable,MATCH($B785,CalLookUpRow,0),MATCH(H$1,CalLookUpColumn,0))</f>
        <v>7</v>
      </c>
      <c r="I785">
        <f>INDEX(CalLookUpTable,MATCH($B785,CalLookUpRow,0),MATCH(I$1,CalLookUpColumn,0))</f>
        <v>3</v>
      </c>
    </row>
    <row r="786" spans="1:9" x14ac:dyDescent="0.25">
      <c r="A786" s="7">
        <v>1</v>
      </c>
      <c r="B786" s="8">
        <v>43662</v>
      </c>
      <c r="C786" s="9" t="s">
        <v>5</v>
      </c>
      <c r="D786" s="10">
        <v>3386.1869999999999</v>
      </c>
      <c r="E786" s="10">
        <v>0</v>
      </c>
      <c r="F786" t="str">
        <f>VLOOKUP(A786,StoreLookup,2,FALSE)</f>
        <v>Store#1</v>
      </c>
      <c r="G786">
        <f>INDEX(CalLookUpTable,MATCH($B786,CalLookUpRow,0),MATCH(G$1,CalLookUpColumn,0))</f>
        <v>2019</v>
      </c>
      <c r="H786">
        <f>INDEX(CalLookUpTable,MATCH($B786,CalLookUpRow,0),MATCH(H$1,CalLookUpColumn,0))</f>
        <v>7</v>
      </c>
      <c r="I786">
        <f>INDEX(CalLookUpTable,MATCH($B786,CalLookUpRow,0),MATCH(I$1,CalLookUpColumn,0))</f>
        <v>3</v>
      </c>
    </row>
    <row r="787" spans="1:9" x14ac:dyDescent="0.25">
      <c r="A787" s="7">
        <v>1</v>
      </c>
      <c r="B787" s="8">
        <v>43662</v>
      </c>
      <c r="C787" s="9" t="s">
        <v>6</v>
      </c>
      <c r="D787" s="10">
        <v>804.71999999999991</v>
      </c>
      <c r="E787" s="10">
        <v>1298.2760000000001</v>
      </c>
      <c r="F787" t="str">
        <f>VLOOKUP(A787,StoreLookup,2,FALSE)</f>
        <v>Store#1</v>
      </c>
      <c r="G787">
        <f>INDEX(CalLookUpTable,MATCH($B787,CalLookUpRow,0),MATCH(G$1,CalLookUpColumn,0))</f>
        <v>2019</v>
      </c>
      <c r="H787">
        <f>INDEX(CalLookUpTable,MATCH($B787,CalLookUpRow,0),MATCH(H$1,CalLookUpColumn,0))</f>
        <v>7</v>
      </c>
      <c r="I787">
        <f>INDEX(CalLookUpTable,MATCH($B787,CalLookUpRow,0),MATCH(I$1,CalLookUpColumn,0))</f>
        <v>3</v>
      </c>
    </row>
    <row r="788" spans="1:9" x14ac:dyDescent="0.25">
      <c r="A788" s="7">
        <v>1</v>
      </c>
      <c r="B788" s="8">
        <v>43662</v>
      </c>
      <c r="C788" s="9" t="s">
        <v>4</v>
      </c>
      <c r="D788" s="10">
        <v>4279.9189999999999</v>
      </c>
      <c r="E788" s="10">
        <v>4724.2649999999994</v>
      </c>
      <c r="F788" t="str">
        <f>VLOOKUP(A788,StoreLookup,2,FALSE)</f>
        <v>Store#1</v>
      </c>
      <c r="G788">
        <f>INDEX(CalLookUpTable,MATCH($B788,CalLookUpRow,0),MATCH(G$1,CalLookUpColumn,0))</f>
        <v>2019</v>
      </c>
      <c r="H788">
        <f>INDEX(CalLookUpTable,MATCH($B788,CalLookUpRow,0),MATCH(H$1,CalLookUpColumn,0))</f>
        <v>7</v>
      </c>
      <c r="I788">
        <f>INDEX(CalLookUpTable,MATCH($B788,CalLookUpRow,0),MATCH(I$1,CalLookUpColumn,0))</f>
        <v>3</v>
      </c>
    </row>
    <row r="789" spans="1:9" x14ac:dyDescent="0.25">
      <c r="A789" s="7">
        <v>1</v>
      </c>
      <c r="B789" s="8">
        <v>43662</v>
      </c>
      <c r="C789" s="9" t="s">
        <v>3</v>
      </c>
      <c r="D789" s="10">
        <v>11.605999999999998</v>
      </c>
      <c r="E789" s="10">
        <v>466.76699999999994</v>
      </c>
      <c r="F789" t="str">
        <f>VLOOKUP(A789,StoreLookup,2,FALSE)</f>
        <v>Store#1</v>
      </c>
      <c r="G789">
        <f>INDEX(CalLookUpTable,MATCH($B789,CalLookUpRow,0),MATCH(G$1,CalLookUpColumn,0))</f>
        <v>2019</v>
      </c>
      <c r="H789">
        <f>INDEX(CalLookUpTable,MATCH($B789,CalLookUpRow,0),MATCH(H$1,CalLookUpColumn,0))</f>
        <v>7</v>
      </c>
      <c r="I789">
        <f>INDEX(CalLookUpTable,MATCH($B789,CalLookUpRow,0),MATCH(I$1,CalLookUpColumn,0))</f>
        <v>3</v>
      </c>
    </row>
    <row r="790" spans="1:9" x14ac:dyDescent="0.25">
      <c r="A790" s="7">
        <v>1</v>
      </c>
      <c r="B790" s="8">
        <v>43663</v>
      </c>
      <c r="C790" s="9" t="s">
        <v>5</v>
      </c>
      <c r="D790" s="10">
        <v>2974.1179999999995</v>
      </c>
      <c r="E790" s="10">
        <v>0</v>
      </c>
      <c r="F790" t="str">
        <f>VLOOKUP(A790,StoreLookup,2,FALSE)</f>
        <v>Store#1</v>
      </c>
      <c r="G790">
        <f>INDEX(CalLookUpTable,MATCH($B790,CalLookUpRow,0),MATCH(G$1,CalLookUpColumn,0))</f>
        <v>2019</v>
      </c>
      <c r="H790">
        <f>INDEX(CalLookUpTable,MATCH($B790,CalLookUpRow,0),MATCH(H$1,CalLookUpColumn,0))</f>
        <v>7</v>
      </c>
      <c r="I790">
        <f>INDEX(CalLookUpTable,MATCH($B790,CalLookUpRow,0),MATCH(I$1,CalLookUpColumn,0))</f>
        <v>3</v>
      </c>
    </row>
    <row r="791" spans="1:9" x14ac:dyDescent="0.25">
      <c r="A791" s="7">
        <v>1</v>
      </c>
      <c r="B791" s="8">
        <v>43663</v>
      </c>
      <c r="C791" s="9" t="s">
        <v>6</v>
      </c>
      <c r="D791" s="10">
        <v>843.822</v>
      </c>
      <c r="E791" s="10">
        <v>1271.172</v>
      </c>
      <c r="F791" t="str">
        <f>VLOOKUP(A791,StoreLookup,2,FALSE)</f>
        <v>Store#1</v>
      </c>
      <c r="G791">
        <f>INDEX(CalLookUpTable,MATCH($B791,CalLookUpRow,0),MATCH(G$1,CalLookUpColumn,0))</f>
        <v>2019</v>
      </c>
      <c r="H791">
        <f>INDEX(CalLookUpTable,MATCH($B791,CalLookUpRow,0),MATCH(H$1,CalLookUpColumn,0))</f>
        <v>7</v>
      </c>
      <c r="I791">
        <f>INDEX(CalLookUpTable,MATCH($B791,CalLookUpRow,0),MATCH(I$1,CalLookUpColumn,0))</f>
        <v>3</v>
      </c>
    </row>
    <row r="792" spans="1:9" x14ac:dyDescent="0.25">
      <c r="A792" s="7">
        <v>1</v>
      </c>
      <c r="B792" s="8">
        <v>43663</v>
      </c>
      <c r="C792" s="9" t="s">
        <v>4</v>
      </c>
      <c r="D792" s="10">
        <v>3884.8879999999999</v>
      </c>
      <c r="E792" s="10">
        <v>5002.9070000000002</v>
      </c>
      <c r="F792" t="str">
        <f>VLOOKUP(A792,StoreLookup,2,FALSE)</f>
        <v>Store#1</v>
      </c>
      <c r="G792">
        <f>INDEX(CalLookUpTable,MATCH($B792,CalLookUpRow,0),MATCH(G$1,CalLookUpColumn,0))</f>
        <v>2019</v>
      </c>
      <c r="H792">
        <f>INDEX(CalLookUpTable,MATCH($B792,CalLookUpRow,0),MATCH(H$1,CalLookUpColumn,0))</f>
        <v>7</v>
      </c>
      <c r="I792">
        <f>INDEX(CalLookUpTable,MATCH($B792,CalLookUpRow,0),MATCH(I$1,CalLookUpColumn,0))</f>
        <v>3</v>
      </c>
    </row>
    <row r="793" spans="1:9" x14ac:dyDescent="0.25">
      <c r="A793" s="7">
        <v>1</v>
      </c>
      <c r="B793" s="8">
        <v>43663</v>
      </c>
      <c r="C793" s="9" t="s">
        <v>3</v>
      </c>
      <c r="D793" s="10">
        <v>0</v>
      </c>
      <c r="E793" s="10">
        <v>4208.0149999999994</v>
      </c>
      <c r="F793" t="str">
        <f>VLOOKUP(A793,StoreLookup,2,FALSE)</f>
        <v>Store#1</v>
      </c>
      <c r="G793">
        <f>INDEX(CalLookUpTable,MATCH($B793,CalLookUpRow,0),MATCH(G$1,CalLookUpColumn,0))</f>
        <v>2019</v>
      </c>
      <c r="H793">
        <f>INDEX(CalLookUpTable,MATCH($B793,CalLookUpRow,0),MATCH(H$1,CalLookUpColumn,0))</f>
        <v>7</v>
      </c>
      <c r="I793">
        <f>INDEX(CalLookUpTable,MATCH($B793,CalLookUpRow,0),MATCH(I$1,CalLookUpColumn,0))</f>
        <v>3</v>
      </c>
    </row>
    <row r="794" spans="1:9" x14ac:dyDescent="0.25">
      <c r="A794" s="7">
        <v>1</v>
      </c>
      <c r="B794" s="8">
        <v>43664</v>
      </c>
      <c r="C794" s="9" t="s">
        <v>6</v>
      </c>
      <c r="D794" s="10">
        <v>975.31</v>
      </c>
      <c r="E794" s="10">
        <v>894.94299999999998</v>
      </c>
      <c r="F794" t="str">
        <f>VLOOKUP(A794,StoreLookup,2,FALSE)</f>
        <v>Store#1</v>
      </c>
      <c r="G794">
        <f>INDEX(CalLookUpTable,MATCH($B794,CalLookUpRow,0),MATCH(G$1,CalLookUpColumn,0))</f>
        <v>2019</v>
      </c>
      <c r="H794">
        <f>INDEX(CalLookUpTable,MATCH($B794,CalLookUpRow,0),MATCH(H$1,CalLookUpColumn,0))</f>
        <v>7</v>
      </c>
      <c r="I794">
        <f>INDEX(CalLookUpTable,MATCH($B794,CalLookUpRow,0),MATCH(I$1,CalLookUpColumn,0))</f>
        <v>3</v>
      </c>
    </row>
    <row r="795" spans="1:9" x14ac:dyDescent="0.25">
      <c r="A795" s="7">
        <v>1</v>
      </c>
      <c r="B795" s="8">
        <v>43664</v>
      </c>
      <c r="C795" s="9" t="s">
        <v>4</v>
      </c>
      <c r="D795" s="10">
        <v>4136.7060000000001</v>
      </c>
      <c r="E795" s="10">
        <v>5139.8619999999992</v>
      </c>
      <c r="F795" t="str">
        <f>VLOOKUP(A795,StoreLookup,2,FALSE)</f>
        <v>Store#1</v>
      </c>
      <c r="G795">
        <f>INDEX(CalLookUpTable,MATCH($B795,CalLookUpRow,0),MATCH(G$1,CalLookUpColumn,0))</f>
        <v>2019</v>
      </c>
      <c r="H795">
        <f>INDEX(CalLookUpTable,MATCH($B795,CalLookUpRow,0),MATCH(H$1,CalLookUpColumn,0))</f>
        <v>7</v>
      </c>
      <c r="I795">
        <f>INDEX(CalLookUpTable,MATCH($B795,CalLookUpRow,0),MATCH(I$1,CalLookUpColumn,0))</f>
        <v>3</v>
      </c>
    </row>
    <row r="796" spans="1:9" x14ac:dyDescent="0.25">
      <c r="A796" s="7">
        <v>1</v>
      </c>
      <c r="B796" s="8">
        <v>43664</v>
      </c>
      <c r="C796" s="9" t="s">
        <v>5</v>
      </c>
      <c r="D796" s="10">
        <v>3550.0569999999998</v>
      </c>
      <c r="E796" s="10">
        <v>0</v>
      </c>
      <c r="F796" t="str">
        <f>VLOOKUP(A796,StoreLookup,2,FALSE)</f>
        <v>Store#1</v>
      </c>
      <c r="G796">
        <f>INDEX(CalLookUpTable,MATCH($B796,CalLookUpRow,0),MATCH(G$1,CalLookUpColumn,0))</f>
        <v>2019</v>
      </c>
      <c r="H796">
        <f>INDEX(CalLookUpTable,MATCH($B796,CalLookUpRow,0),MATCH(H$1,CalLookUpColumn,0))</f>
        <v>7</v>
      </c>
      <c r="I796">
        <f>INDEX(CalLookUpTable,MATCH($B796,CalLookUpRow,0),MATCH(I$1,CalLookUpColumn,0))</f>
        <v>3</v>
      </c>
    </row>
    <row r="797" spans="1:9" x14ac:dyDescent="0.25">
      <c r="A797" s="7">
        <v>1</v>
      </c>
      <c r="B797" s="8">
        <v>43664</v>
      </c>
      <c r="C797" s="9" t="s">
        <v>3</v>
      </c>
      <c r="D797" s="10">
        <v>16.009</v>
      </c>
      <c r="E797" s="10">
        <v>1758.4979999999998</v>
      </c>
      <c r="F797" t="str">
        <f>VLOOKUP(A797,StoreLookup,2,FALSE)</f>
        <v>Store#1</v>
      </c>
      <c r="G797">
        <f>INDEX(CalLookUpTable,MATCH($B797,CalLookUpRow,0),MATCH(G$1,CalLookUpColumn,0))</f>
        <v>2019</v>
      </c>
      <c r="H797">
        <f>INDEX(CalLookUpTable,MATCH($B797,CalLookUpRow,0),MATCH(H$1,CalLookUpColumn,0))</f>
        <v>7</v>
      </c>
      <c r="I797">
        <f>INDEX(CalLookUpTable,MATCH($B797,CalLookUpRow,0),MATCH(I$1,CalLookUpColumn,0))</f>
        <v>3</v>
      </c>
    </row>
    <row r="798" spans="1:9" x14ac:dyDescent="0.25">
      <c r="A798" s="7">
        <v>1</v>
      </c>
      <c r="B798" s="8">
        <v>43665</v>
      </c>
      <c r="C798" s="9" t="s">
        <v>3</v>
      </c>
      <c r="D798" s="10">
        <v>104.342</v>
      </c>
      <c r="E798" s="10">
        <v>2622.585</v>
      </c>
      <c r="F798" t="str">
        <f>VLOOKUP(A798,StoreLookup,2,FALSE)</f>
        <v>Store#1</v>
      </c>
      <c r="G798">
        <f>INDEX(CalLookUpTable,MATCH($B798,CalLookUpRow,0),MATCH(G$1,CalLookUpColumn,0))</f>
        <v>2019</v>
      </c>
      <c r="H798">
        <f>INDEX(CalLookUpTable,MATCH($B798,CalLookUpRow,0),MATCH(H$1,CalLookUpColumn,0))</f>
        <v>7</v>
      </c>
      <c r="I798">
        <f>INDEX(CalLookUpTable,MATCH($B798,CalLookUpRow,0),MATCH(I$1,CalLookUpColumn,0))</f>
        <v>3</v>
      </c>
    </row>
    <row r="799" spans="1:9" x14ac:dyDescent="0.25">
      <c r="A799" s="7">
        <v>1</v>
      </c>
      <c r="B799" s="8">
        <v>43665</v>
      </c>
      <c r="C799" s="9" t="s">
        <v>4</v>
      </c>
      <c r="D799" s="10">
        <v>5156.9070000000002</v>
      </c>
      <c r="E799" s="10">
        <v>6362.6570000000002</v>
      </c>
      <c r="F799" t="str">
        <f>VLOOKUP(A799,StoreLookup,2,FALSE)</f>
        <v>Store#1</v>
      </c>
      <c r="G799">
        <f>INDEX(CalLookUpTable,MATCH($B799,CalLookUpRow,0),MATCH(G$1,CalLookUpColumn,0))</f>
        <v>2019</v>
      </c>
      <c r="H799">
        <f>INDEX(CalLookUpTable,MATCH($B799,CalLookUpRow,0),MATCH(H$1,CalLookUpColumn,0))</f>
        <v>7</v>
      </c>
      <c r="I799">
        <f>INDEX(CalLookUpTable,MATCH($B799,CalLookUpRow,0),MATCH(I$1,CalLookUpColumn,0))</f>
        <v>3</v>
      </c>
    </row>
    <row r="800" spans="1:9" x14ac:dyDescent="0.25">
      <c r="A800" s="7">
        <v>1</v>
      </c>
      <c r="B800" s="8">
        <v>43665</v>
      </c>
      <c r="C800" s="9" t="s">
        <v>5</v>
      </c>
      <c r="D800" s="10">
        <v>3862.2989999999995</v>
      </c>
      <c r="E800" s="10">
        <v>0</v>
      </c>
      <c r="F800" t="str">
        <f>VLOOKUP(A800,StoreLookup,2,FALSE)</f>
        <v>Store#1</v>
      </c>
      <c r="G800">
        <f>INDEX(CalLookUpTable,MATCH($B800,CalLookUpRow,0),MATCH(G$1,CalLookUpColumn,0))</f>
        <v>2019</v>
      </c>
      <c r="H800">
        <f>INDEX(CalLookUpTable,MATCH($B800,CalLookUpRow,0),MATCH(H$1,CalLookUpColumn,0))</f>
        <v>7</v>
      </c>
      <c r="I800">
        <f>INDEX(CalLookUpTable,MATCH($B800,CalLookUpRow,0),MATCH(I$1,CalLookUpColumn,0))</f>
        <v>3</v>
      </c>
    </row>
    <row r="801" spans="1:9" x14ac:dyDescent="0.25">
      <c r="A801" s="7">
        <v>1</v>
      </c>
      <c r="B801" s="8">
        <v>43665</v>
      </c>
      <c r="C801" s="9" t="s">
        <v>6</v>
      </c>
      <c r="D801" s="10">
        <v>1570.471</v>
      </c>
      <c r="E801" s="10">
        <v>2476.2639999999997</v>
      </c>
      <c r="F801" t="str">
        <f>VLOOKUP(A801,StoreLookup,2,FALSE)</f>
        <v>Store#1</v>
      </c>
      <c r="G801">
        <f>INDEX(CalLookUpTable,MATCH($B801,CalLookUpRow,0),MATCH(G$1,CalLookUpColumn,0))</f>
        <v>2019</v>
      </c>
      <c r="H801">
        <f>INDEX(CalLookUpTable,MATCH($B801,CalLookUpRow,0),MATCH(H$1,CalLookUpColumn,0))</f>
        <v>7</v>
      </c>
      <c r="I801">
        <f>INDEX(CalLookUpTable,MATCH($B801,CalLookUpRow,0),MATCH(I$1,CalLookUpColumn,0))</f>
        <v>3</v>
      </c>
    </row>
    <row r="802" spans="1:9" x14ac:dyDescent="0.25">
      <c r="A802" s="7">
        <v>1</v>
      </c>
      <c r="B802" s="8">
        <v>43666</v>
      </c>
      <c r="C802" s="9" t="s">
        <v>6</v>
      </c>
      <c r="D802" s="10">
        <v>1065.127</v>
      </c>
      <c r="E802" s="10">
        <v>1219.078</v>
      </c>
      <c r="F802" t="str">
        <f>VLOOKUP(A802,StoreLookup,2,FALSE)</f>
        <v>Store#1</v>
      </c>
      <c r="G802">
        <f>INDEX(CalLookUpTable,MATCH($B802,CalLookUpRow,0),MATCH(G$1,CalLookUpColumn,0))</f>
        <v>2019</v>
      </c>
      <c r="H802">
        <f>INDEX(CalLookUpTable,MATCH($B802,CalLookUpRow,0),MATCH(H$1,CalLookUpColumn,0))</f>
        <v>7</v>
      </c>
      <c r="I802">
        <f>INDEX(CalLookUpTable,MATCH($B802,CalLookUpRow,0),MATCH(I$1,CalLookUpColumn,0))</f>
        <v>3</v>
      </c>
    </row>
    <row r="803" spans="1:9" x14ac:dyDescent="0.25">
      <c r="A803" s="7">
        <v>1</v>
      </c>
      <c r="B803" s="8">
        <v>43666</v>
      </c>
      <c r="C803" s="9" t="s">
        <v>4</v>
      </c>
      <c r="D803" s="10">
        <v>4723.9989999999998</v>
      </c>
      <c r="E803" s="10">
        <v>5835.7530000000006</v>
      </c>
      <c r="F803" t="str">
        <f>VLOOKUP(A803,StoreLookup,2,FALSE)</f>
        <v>Store#1</v>
      </c>
      <c r="G803">
        <f>INDEX(CalLookUpTable,MATCH($B803,CalLookUpRow,0),MATCH(G$1,CalLookUpColumn,0))</f>
        <v>2019</v>
      </c>
      <c r="H803">
        <f>INDEX(CalLookUpTable,MATCH($B803,CalLookUpRow,0),MATCH(H$1,CalLookUpColumn,0))</f>
        <v>7</v>
      </c>
      <c r="I803">
        <f>INDEX(CalLookUpTable,MATCH($B803,CalLookUpRow,0),MATCH(I$1,CalLookUpColumn,0))</f>
        <v>3</v>
      </c>
    </row>
    <row r="804" spans="1:9" x14ac:dyDescent="0.25">
      <c r="A804" s="7">
        <v>1</v>
      </c>
      <c r="B804" s="8">
        <v>43666</v>
      </c>
      <c r="C804" s="9" t="s">
        <v>3</v>
      </c>
      <c r="D804" s="10">
        <v>45.751999999999995</v>
      </c>
      <c r="E804" s="10">
        <v>734.3</v>
      </c>
      <c r="F804" t="str">
        <f>VLOOKUP(A804,StoreLookup,2,FALSE)</f>
        <v>Store#1</v>
      </c>
      <c r="G804">
        <f>INDEX(CalLookUpTable,MATCH($B804,CalLookUpRow,0),MATCH(G$1,CalLookUpColumn,0))</f>
        <v>2019</v>
      </c>
      <c r="H804">
        <f>INDEX(CalLookUpTable,MATCH($B804,CalLookUpRow,0),MATCH(H$1,CalLookUpColumn,0))</f>
        <v>7</v>
      </c>
      <c r="I804">
        <f>INDEX(CalLookUpTable,MATCH($B804,CalLookUpRow,0),MATCH(I$1,CalLookUpColumn,0))</f>
        <v>3</v>
      </c>
    </row>
    <row r="805" spans="1:9" x14ac:dyDescent="0.25">
      <c r="A805" s="7">
        <v>1</v>
      </c>
      <c r="B805" s="8">
        <v>43666</v>
      </c>
      <c r="C805" s="9" t="s">
        <v>5</v>
      </c>
      <c r="D805" s="10">
        <v>2860.2350000000001</v>
      </c>
      <c r="E805" s="10">
        <v>0</v>
      </c>
      <c r="F805" t="str">
        <f>VLOOKUP(A805,StoreLookup,2,FALSE)</f>
        <v>Store#1</v>
      </c>
      <c r="G805">
        <f>INDEX(CalLookUpTable,MATCH($B805,CalLookUpRow,0),MATCH(G$1,CalLookUpColumn,0))</f>
        <v>2019</v>
      </c>
      <c r="H805">
        <f>INDEX(CalLookUpTable,MATCH($B805,CalLookUpRow,0),MATCH(H$1,CalLookUpColumn,0))</f>
        <v>7</v>
      </c>
      <c r="I805">
        <f>INDEX(CalLookUpTable,MATCH($B805,CalLookUpRow,0),MATCH(I$1,CalLookUpColumn,0))</f>
        <v>3</v>
      </c>
    </row>
    <row r="806" spans="1:9" x14ac:dyDescent="0.25">
      <c r="A806" s="7">
        <v>1</v>
      </c>
      <c r="B806" s="8">
        <v>43667</v>
      </c>
      <c r="C806" s="9" t="s">
        <v>4</v>
      </c>
      <c r="D806" s="10">
        <v>3150.07</v>
      </c>
      <c r="E806" s="10">
        <v>2837.9469999999997</v>
      </c>
      <c r="F806" t="str">
        <f>VLOOKUP(A806,StoreLookup,2,FALSE)</f>
        <v>Store#1</v>
      </c>
      <c r="G806">
        <f>INDEX(CalLookUpTable,MATCH($B806,CalLookUpRow,0),MATCH(G$1,CalLookUpColumn,0))</f>
        <v>2019</v>
      </c>
      <c r="H806">
        <f>INDEX(CalLookUpTable,MATCH($B806,CalLookUpRow,0),MATCH(H$1,CalLookUpColumn,0))</f>
        <v>7</v>
      </c>
      <c r="I806">
        <f>INDEX(CalLookUpTable,MATCH($B806,CalLookUpRow,0),MATCH(I$1,CalLookUpColumn,0))</f>
        <v>3</v>
      </c>
    </row>
    <row r="807" spans="1:9" x14ac:dyDescent="0.25">
      <c r="A807" s="7">
        <v>1</v>
      </c>
      <c r="B807" s="8">
        <v>43667</v>
      </c>
      <c r="C807" s="9" t="s">
        <v>3</v>
      </c>
      <c r="D807" s="10">
        <v>0</v>
      </c>
      <c r="E807" s="10">
        <v>216.92299999999997</v>
      </c>
      <c r="F807" t="str">
        <f>VLOOKUP(A807,StoreLookup,2,FALSE)</f>
        <v>Store#1</v>
      </c>
      <c r="G807">
        <f>INDEX(CalLookUpTable,MATCH($B807,CalLookUpRow,0),MATCH(G$1,CalLookUpColumn,0))</f>
        <v>2019</v>
      </c>
      <c r="H807">
        <f>INDEX(CalLookUpTable,MATCH($B807,CalLookUpRow,0),MATCH(H$1,CalLookUpColumn,0))</f>
        <v>7</v>
      </c>
      <c r="I807">
        <f>INDEX(CalLookUpTable,MATCH($B807,CalLookUpRow,0),MATCH(I$1,CalLookUpColumn,0))</f>
        <v>3</v>
      </c>
    </row>
    <row r="808" spans="1:9" x14ac:dyDescent="0.25">
      <c r="A808" s="7">
        <v>1</v>
      </c>
      <c r="B808" s="8">
        <v>43667</v>
      </c>
      <c r="C808" s="9" t="s">
        <v>5</v>
      </c>
      <c r="D808" s="10">
        <v>1908.2349999999999</v>
      </c>
      <c r="E808" s="10">
        <v>0</v>
      </c>
      <c r="F808" t="str">
        <f>VLOOKUP(A808,StoreLookup,2,FALSE)</f>
        <v>Store#1</v>
      </c>
      <c r="G808">
        <f>INDEX(CalLookUpTable,MATCH($B808,CalLookUpRow,0),MATCH(G$1,CalLookUpColumn,0))</f>
        <v>2019</v>
      </c>
      <c r="H808">
        <f>INDEX(CalLookUpTable,MATCH($B808,CalLookUpRow,0),MATCH(H$1,CalLookUpColumn,0))</f>
        <v>7</v>
      </c>
      <c r="I808">
        <f>INDEX(CalLookUpTable,MATCH($B808,CalLookUpRow,0),MATCH(I$1,CalLookUpColumn,0))</f>
        <v>3</v>
      </c>
    </row>
    <row r="809" spans="1:9" x14ac:dyDescent="0.25">
      <c r="A809" s="7">
        <v>1</v>
      </c>
      <c r="B809" s="8">
        <v>43667</v>
      </c>
      <c r="C809" s="9" t="s">
        <v>6</v>
      </c>
      <c r="D809" s="10">
        <v>283.262</v>
      </c>
      <c r="E809" s="10">
        <v>308.50400000000002</v>
      </c>
      <c r="F809" t="str">
        <f>VLOOKUP(A809,StoreLookup,2,FALSE)</f>
        <v>Store#1</v>
      </c>
      <c r="G809">
        <f>INDEX(CalLookUpTable,MATCH($B809,CalLookUpRow,0),MATCH(G$1,CalLookUpColumn,0))</f>
        <v>2019</v>
      </c>
      <c r="H809">
        <f>INDEX(CalLookUpTable,MATCH($B809,CalLookUpRow,0),MATCH(H$1,CalLookUpColumn,0))</f>
        <v>7</v>
      </c>
      <c r="I809">
        <f>INDEX(CalLookUpTable,MATCH($B809,CalLookUpRow,0),MATCH(I$1,CalLookUpColumn,0))</f>
        <v>3</v>
      </c>
    </row>
    <row r="810" spans="1:9" x14ac:dyDescent="0.25">
      <c r="A810" s="7">
        <v>1</v>
      </c>
      <c r="B810" s="8">
        <v>43668</v>
      </c>
      <c r="C810" s="9" t="s">
        <v>5</v>
      </c>
      <c r="D810" s="10">
        <v>3161.2980000000002</v>
      </c>
      <c r="E810" s="10">
        <v>0</v>
      </c>
      <c r="F810" t="str">
        <f>VLOOKUP(A810,StoreLookup,2,FALSE)</f>
        <v>Store#1</v>
      </c>
      <c r="G810">
        <f>INDEX(CalLookUpTable,MATCH($B810,CalLookUpRow,0),MATCH(G$1,CalLookUpColumn,0))</f>
        <v>2019</v>
      </c>
      <c r="H810">
        <f>INDEX(CalLookUpTable,MATCH($B810,CalLookUpRow,0),MATCH(H$1,CalLookUpColumn,0))</f>
        <v>7</v>
      </c>
      <c r="I810">
        <f>INDEX(CalLookUpTable,MATCH($B810,CalLookUpRow,0),MATCH(I$1,CalLookUpColumn,0))</f>
        <v>4</v>
      </c>
    </row>
    <row r="811" spans="1:9" x14ac:dyDescent="0.25">
      <c r="A811" s="7">
        <v>1</v>
      </c>
      <c r="B811" s="8">
        <v>43668</v>
      </c>
      <c r="C811" s="9" t="s">
        <v>3</v>
      </c>
      <c r="D811" s="10">
        <v>80.065999999999988</v>
      </c>
      <c r="E811" s="10">
        <v>131.642</v>
      </c>
      <c r="F811" t="str">
        <f>VLOOKUP(A811,StoreLookup,2,FALSE)</f>
        <v>Store#1</v>
      </c>
      <c r="G811">
        <f>INDEX(CalLookUpTable,MATCH($B811,CalLookUpRow,0),MATCH(G$1,CalLookUpColumn,0))</f>
        <v>2019</v>
      </c>
      <c r="H811">
        <f>INDEX(CalLookUpTable,MATCH($B811,CalLookUpRow,0),MATCH(H$1,CalLookUpColumn,0))</f>
        <v>7</v>
      </c>
      <c r="I811">
        <f>INDEX(CalLookUpTable,MATCH($B811,CalLookUpRow,0),MATCH(I$1,CalLookUpColumn,0))</f>
        <v>4</v>
      </c>
    </row>
    <row r="812" spans="1:9" x14ac:dyDescent="0.25">
      <c r="A812" s="7">
        <v>1</v>
      </c>
      <c r="B812" s="8">
        <v>43668</v>
      </c>
      <c r="C812" s="9" t="s">
        <v>4</v>
      </c>
      <c r="D812" s="10">
        <v>4731.951</v>
      </c>
      <c r="E812" s="10">
        <v>5241.8519999999999</v>
      </c>
      <c r="F812" t="str">
        <f>VLOOKUP(A812,StoreLookup,2,FALSE)</f>
        <v>Store#1</v>
      </c>
      <c r="G812">
        <f>INDEX(CalLookUpTable,MATCH($B812,CalLookUpRow,0),MATCH(G$1,CalLookUpColumn,0))</f>
        <v>2019</v>
      </c>
      <c r="H812">
        <f>INDEX(CalLookUpTable,MATCH($B812,CalLookUpRow,0),MATCH(H$1,CalLookUpColumn,0))</f>
        <v>7</v>
      </c>
      <c r="I812">
        <f>INDEX(CalLookUpTable,MATCH($B812,CalLookUpRow,0),MATCH(I$1,CalLookUpColumn,0))</f>
        <v>4</v>
      </c>
    </row>
    <row r="813" spans="1:9" x14ac:dyDescent="0.25">
      <c r="A813" s="7">
        <v>1</v>
      </c>
      <c r="B813" s="8">
        <v>43668</v>
      </c>
      <c r="C813" s="9" t="s">
        <v>6</v>
      </c>
      <c r="D813" s="10">
        <v>725.44499999999994</v>
      </c>
      <c r="E813" s="10">
        <v>843.73799999999994</v>
      </c>
      <c r="F813" t="str">
        <f>VLOOKUP(A813,StoreLookup,2,FALSE)</f>
        <v>Store#1</v>
      </c>
      <c r="G813">
        <f>INDEX(CalLookUpTable,MATCH($B813,CalLookUpRow,0),MATCH(G$1,CalLookUpColumn,0))</f>
        <v>2019</v>
      </c>
      <c r="H813">
        <f>INDEX(CalLookUpTable,MATCH($B813,CalLookUpRow,0),MATCH(H$1,CalLookUpColumn,0))</f>
        <v>7</v>
      </c>
      <c r="I813">
        <f>INDEX(CalLookUpTable,MATCH($B813,CalLookUpRow,0),MATCH(I$1,CalLookUpColumn,0))</f>
        <v>4</v>
      </c>
    </row>
    <row r="814" spans="1:9" x14ac:dyDescent="0.25">
      <c r="A814" s="7">
        <v>1</v>
      </c>
      <c r="B814" s="8">
        <v>43669</v>
      </c>
      <c r="C814" s="9" t="s">
        <v>6</v>
      </c>
      <c r="D814" s="10">
        <v>849.15599999999995</v>
      </c>
      <c r="E814" s="10">
        <v>1961.7359999999999</v>
      </c>
      <c r="F814" t="str">
        <f>VLOOKUP(A814,StoreLookup,2,FALSE)</f>
        <v>Store#1</v>
      </c>
      <c r="G814">
        <f>INDEX(CalLookUpTable,MATCH($B814,CalLookUpRow,0),MATCH(G$1,CalLookUpColumn,0))</f>
        <v>2019</v>
      </c>
      <c r="H814">
        <f>INDEX(CalLookUpTable,MATCH($B814,CalLookUpRow,0),MATCH(H$1,CalLookUpColumn,0))</f>
        <v>7</v>
      </c>
      <c r="I814">
        <f>INDEX(CalLookUpTable,MATCH($B814,CalLookUpRow,0),MATCH(I$1,CalLookUpColumn,0))</f>
        <v>4</v>
      </c>
    </row>
    <row r="815" spans="1:9" x14ac:dyDescent="0.25">
      <c r="A815" s="7">
        <v>1</v>
      </c>
      <c r="B815" s="8">
        <v>43669</v>
      </c>
      <c r="C815" s="9" t="s">
        <v>4</v>
      </c>
      <c r="D815" s="10">
        <v>3958.8429999999994</v>
      </c>
      <c r="E815" s="10">
        <v>6193.4249999999993</v>
      </c>
      <c r="F815" t="str">
        <f>VLOOKUP(A815,StoreLookup,2,FALSE)</f>
        <v>Store#1</v>
      </c>
      <c r="G815">
        <f>INDEX(CalLookUpTable,MATCH($B815,CalLookUpRow,0),MATCH(G$1,CalLookUpColumn,0))</f>
        <v>2019</v>
      </c>
      <c r="H815">
        <f>INDEX(CalLookUpTable,MATCH($B815,CalLookUpRow,0),MATCH(H$1,CalLookUpColumn,0))</f>
        <v>7</v>
      </c>
      <c r="I815">
        <f>INDEX(CalLookUpTable,MATCH($B815,CalLookUpRow,0),MATCH(I$1,CalLookUpColumn,0))</f>
        <v>4</v>
      </c>
    </row>
    <row r="816" spans="1:9" x14ac:dyDescent="0.25">
      <c r="A816" s="7">
        <v>1</v>
      </c>
      <c r="B816" s="8">
        <v>43669</v>
      </c>
      <c r="C816" s="9" t="s">
        <v>3</v>
      </c>
      <c r="D816" s="10">
        <v>0</v>
      </c>
      <c r="E816" s="10">
        <v>241.91299999999995</v>
      </c>
      <c r="F816" t="str">
        <f>VLOOKUP(A816,StoreLookup,2,FALSE)</f>
        <v>Store#1</v>
      </c>
      <c r="G816">
        <f>INDEX(CalLookUpTable,MATCH($B816,CalLookUpRow,0),MATCH(G$1,CalLookUpColumn,0))</f>
        <v>2019</v>
      </c>
      <c r="H816">
        <f>INDEX(CalLookUpTable,MATCH($B816,CalLookUpRow,0),MATCH(H$1,CalLookUpColumn,0))</f>
        <v>7</v>
      </c>
      <c r="I816">
        <f>INDEX(CalLookUpTable,MATCH($B816,CalLookUpRow,0),MATCH(I$1,CalLookUpColumn,0))</f>
        <v>4</v>
      </c>
    </row>
    <row r="817" spans="1:9" x14ac:dyDescent="0.25">
      <c r="A817" s="7">
        <v>1</v>
      </c>
      <c r="B817" s="8">
        <v>43669</v>
      </c>
      <c r="C817" s="9" t="s">
        <v>5</v>
      </c>
      <c r="D817" s="10">
        <v>2884.9450000000002</v>
      </c>
      <c r="E817" s="10">
        <v>0</v>
      </c>
      <c r="F817" t="str">
        <f>VLOOKUP(A817,StoreLookup,2,FALSE)</f>
        <v>Store#1</v>
      </c>
      <c r="G817">
        <f>INDEX(CalLookUpTable,MATCH($B817,CalLookUpRow,0),MATCH(G$1,CalLookUpColumn,0))</f>
        <v>2019</v>
      </c>
      <c r="H817">
        <f>INDEX(CalLookUpTable,MATCH($B817,CalLookUpRow,0),MATCH(H$1,CalLookUpColumn,0))</f>
        <v>7</v>
      </c>
      <c r="I817">
        <f>INDEX(CalLookUpTable,MATCH($B817,CalLookUpRow,0),MATCH(I$1,CalLookUpColumn,0))</f>
        <v>4</v>
      </c>
    </row>
    <row r="818" spans="1:9" x14ac:dyDescent="0.25">
      <c r="A818" s="7">
        <v>1</v>
      </c>
      <c r="B818" s="8">
        <v>43670</v>
      </c>
      <c r="C818" s="9" t="s">
        <v>6</v>
      </c>
      <c r="D818" s="10">
        <v>809.54300000000001</v>
      </c>
      <c r="E818" s="10">
        <v>1046.6399999999999</v>
      </c>
      <c r="F818" t="str">
        <f>VLOOKUP(A818,StoreLookup,2,FALSE)</f>
        <v>Store#1</v>
      </c>
      <c r="G818">
        <f>INDEX(CalLookUpTable,MATCH($B818,CalLookUpRow,0),MATCH(G$1,CalLookUpColumn,0))</f>
        <v>2019</v>
      </c>
      <c r="H818">
        <f>INDEX(CalLookUpTable,MATCH($B818,CalLookUpRow,0),MATCH(H$1,CalLookUpColumn,0))</f>
        <v>7</v>
      </c>
      <c r="I818">
        <f>INDEX(CalLookUpTable,MATCH($B818,CalLookUpRow,0),MATCH(I$1,CalLookUpColumn,0))</f>
        <v>4</v>
      </c>
    </row>
    <row r="819" spans="1:9" x14ac:dyDescent="0.25">
      <c r="A819" s="7">
        <v>1</v>
      </c>
      <c r="B819" s="8">
        <v>43670</v>
      </c>
      <c r="C819" s="9" t="s">
        <v>5</v>
      </c>
      <c r="D819" s="10">
        <v>3442.0049999999997</v>
      </c>
      <c r="E819" s="10">
        <v>0</v>
      </c>
      <c r="F819" t="str">
        <f>VLOOKUP(A819,StoreLookup,2,FALSE)</f>
        <v>Store#1</v>
      </c>
      <c r="G819">
        <f>INDEX(CalLookUpTable,MATCH($B819,CalLookUpRow,0),MATCH(G$1,CalLookUpColumn,0))</f>
        <v>2019</v>
      </c>
      <c r="H819">
        <f>INDEX(CalLookUpTable,MATCH($B819,CalLookUpRow,0),MATCH(H$1,CalLookUpColumn,0))</f>
        <v>7</v>
      </c>
      <c r="I819">
        <f>INDEX(CalLookUpTable,MATCH($B819,CalLookUpRow,0),MATCH(I$1,CalLookUpColumn,0))</f>
        <v>4</v>
      </c>
    </row>
    <row r="820" spans="1:9" x14ac:dyDescent="0.25">
      <c r="A820" s="7">
        <v>1</v>
      </c>
      <c r="B820" s="8">
        <v>43670</v>
      </c>
      <c r="C820" s="9" t="s">
        <v>3</v>
      </c>
      <c r="D820" s="10">
        <v>174.85999999999999</v>
      </c>
      <c r="E820" s="10">
        <v>1524.999</v>
      </c>
      <c r="F820" t="str">
        <f>VLOOKUP(A820,StoreLookup,2,FALSE)</f>
        <v>Store#1</v>
      </c>
      <c r="G820">
        <f>INDEX(CalLookUpTable,MATCH($B820,CalLookUpRow,0),MATCH(G$1,CalLookUpColumn,0))</f>
        <v>2019</v>
      </c>
      <c r="H820">
        <f>INDEX(CalLookUpTable,MATCH($B820,CalLookUpRow,0),MATCH(H$1,CalLookUpColumn,0))</f>
        <v>7</v>
      </c>
      <c r="I820">
        <f>INDEX(CalLookUpTable,MATCH($B820,CalLookUpRow,0),MATCH(I$1,CalLookUpColumn,0))</f>
        <v>4</v>
      </c>
    </row>
    <row r="821" spans="1:9" x14ac:dyDescent="0.25">
      <c r="A821" s="7">
        <v>1</v>
      </c>
      <c r="B821" s="8">
        <v>43670</v>
      </c>
      <c r="C821" s="9" t="s">
        <v>4</v>
      </c>
      <c r="D821" s="10">
        <v>5502.5879999999997</v>
      </c>
      <c r="E821" s="10">
        <v>5159.9309999999996</v>
      </c>
      <c r="F821" t="str">
        <f>VLOOKUP(A821,StoreLookup,2,FALSE)</f>
        <v>Store#1</v>
      </c>
      <c r="G821">
        <f>INDEX(CalLookUpTable,MATCH($B821,CalLookUpRow,0),MATCH(G$1,CalLookUpColumn,0))</f>
        <v>2019</v>
      </c>
      <c r="H821">
        <f>INDEX(CalLookUpTable,MATCH($B821,CalLookUpRow,0),MATCH(H$1,CalLookUpColumn,0))</f>
        <v>7</v>
      </c>
      <c r="I821">
        <f>INDEX(CalLookUpTable,MATCH($B821,CalLookUpRow,0),MATCH(I$1,CalLookUpColumn,0))</f>
        <v>4</v>
      </c>
    </row>
    <row r="822" spans="1:9" x14ac:dyDescent="0.25">
      <c r="A822" s="7">
        <v>1</v>
      </c>
      <c r="B822" s="8">
        <v>43671</v>
      </c>
      <c r="C822" s="9" t="s">
        <v>6</v>
      </c>
      <c r="D822" s="10">
        <v>951.46799999999996</v>
      </c>
      <c r="E822" s="10">
        <v>1014.8809999999999</v>
      </c>
      <c r="F822" t="str">
        <f>VLOOKUP(A822,StoreLookup,2,FALSE)</f>
        <v>Store#1</v>
      </c>
      <c r="G822">
        <f>INDEX(CalLookUpTable,MATCH($B822,CalLookUpRow,0),MATCH(G$1,CalLookUpColumn,0))</f>
        <v>2019</v>
      </c>
      <c r="H822">
        <f>INDEX(CalLookUpTable,MATCH($B822,CalLookUpRow,0),MATCH(H$1,CalLookUpColumn,0))</f>
        <v>7</v>
      </c>
      <c r="I822">
        <f>INDEX(CalLookUpTable,MATCH($B822,CalLookUpRow,0),MATCH(I$1,CalLookUpColumn,0))</f>
        <v>4</v>
      </c>
    </row>
    <row r="823" spans="1:9" x14ac:dyDescent="0.25">
      <c r="A823" s="7">
        <v>1</v>
      </c>
      <c r="B823" s="8">
        <v>43671</v>
      </c>
      <c r="C823" s="9" t="s">
        <v>4</v>
      </c>
      <c r="D823" s="10">
        <v>4369.9390000000003</v>
      </c>
      <c r="E823" s="10">
        <v>4927.16</v>
      </c>
      <c r="F823" t="str">
        <f>VLOOKUP(A823,StoreLookup,2,FALSE)</f>
        <v>Store#1</v>
      </c>
      <c r="G823">
        <f>INDEX(CalLookUpTable,MATCH($B823,CalLookUpRow,0),MATCH(G$1,CalLookUpColumn,0))</f>
        <v>2019</v>
      </c>
      <c r="H823">
        <f>INDEX(CalLookUpTable,MATCH($B823,CalLookUpRow,0),MATCH(H$1,CalLookUpColumn,0))</f>
        <v>7</v>
      </c>
      <c r="I823">
        <f>INDEX(CalLookUpTable,MATCH($B823,CalLookUpRow,0),MATCH(I$1,CalLookUpColumn,0))</f>
        <v>4</v>
      </c>
    </row>
    <row r="824" spans="1:9" x14ac:dyDescent="0.25">
      <c r="A824" s="7">
        <v>1</v>
      </c>
      <c r="B824" s="8">
        <v>43671</v>
      </c>
      <c r="C824" s="9" t="s">
        <v>3</v>
      </c>
      <c r="D824" s="10">
        <v>519.04300000000001</v>
      </c>
      <c r="E824" s="10">
        <v>271.58600000000001</v>
      </c>
      <c r="F824" t="str">
        <f>VLOOKUP(A824,StoreLookup,2,FALSE)</f>
        <v>Store#1</v>
      </c>
      <c r="G824">
        <f>INDEX(CalLookUpTable,MATCH($B824,CalLookUpRow,0),MATCH(G$1,CalLookUpColumn,0))</f>
        <v>2019</v>
      </c>
      <c r="H824">
        <f>INDEX(CalLookUpTable,MATCH($B824,CalLookUpRow,0),MATCH(H$1,CalLookUpColumn,0))</f>
        <v>7</v>
      </c>
      <c r="I824">
        <f>INDEX(CalLookUpTable,MATCH($B824,CalLookUpRow,0),MATCH(I$1,CalLookUpColumn,0))</f>
        <v>4</v>
      </c>
    </row>
    <row r="825" spans="1:9" x14ac:dyDescent="0.25">
      <c r="A825" s="7">
        <v>1</v>
      </c>
      <c r="B825" s="8">
        <v>43671</v>
      </c>
      <c r="C825" s="9" t="s">
        <v>5</v>
      </c>
      <c r="D825" s="10">
        <v>3229.0859999999993</v>
      </c>
      <c r="E825" s="10">
        <v>0</v>
      </c>
      <c r="F825" t="str">
        <f>VLOOKUP(A825,StoreLookup,2,FALSE)</f>
        <v>Store#1</v>
      </c>
      <c r="G825">
        <f>INDEX(CalLookUpTable,MATCH($B825,CalLookUpRow,0),MATCH(G$1,CalLookUpColumn,0))</f>
        <v>2019</v>
      </c>
      <c r="H825">
        <f>INDEX(CalLookUpTable,MATCH($B825,CalLookUpRow,0),MATCH(H$1,CalLookUpColumn,0))</f>
        <v>7</v>
      </c>
      <c r="I825">
        <f>INDEX(CalLookUpTable,MATCH($B825,CalLookUpRow,0),MATCH(I$1,CalLookUpColumn,0))</f>
        <v>4</v>
      </c>
    </row>
    <row r="826" spans="1:9" x14ac:dyDescent="0.25">
      <c r="A826" s="7">
        <v>1</v>
      </c>
      <c r="B826" s="8">
        <v>43672</v>
      </c>
      <c r="C826" s="9" t="s">
        <v>5</v>
      </c>
      <c r="D826" s="10">
        <v>3943.982</v>
      </c>
      <c r="E826" s="10">
        <v>0</v>
      </c>
      <c r="F826" t="str">
        <f>VLOOKUP(A826,StoreLookup,2,FALSE)</f>
        <v>Store#1</v>
      </c>
      <c r="G826">
        <f>INDEX(CalLookUpTable,MATCH($B826,CalLookUpRow,0),MATCH(G$1,CalLookUpColumn,0))</f>
        <v>2019</v>
      </c>
      <c r="H826">
        <f>INDEX(CalLookUpTable,MATCH($B826,CalLookUpRow,0),MATCH(H$1,CalLookUpColumn,0))</f>
        <v>7</v>
      </c>
      <c r="I826">
        <f>INDEX(CalLookUpTable,MATCH($B826,CalLookUpRow,0),MATCH(I$1,CalLookUpColumn,0))</f>
        <v>4</v>
      </c>
    </row>
    <row r="827" spans="1:9" x14ac:dyDescent="0.25">
      <c r="A827" s="7">
        <v>1</v>
      </c>
      <c r="B827" s="8">
        <v>43672</v>
      </c>
      <c r="C827" s="9" t="s">
        <v>4</v>
      </c>
      <c r="D827" s="10">
        <v>4687.4799999999996</v>
      </c>
      <c r="E827" s="10">
        <v>6191.2830000000004</v>
      </c>
      <c r="F827" t="str">
        <f>VLOOKUP(A827,StoreLookup,2,FALSE)</f>
        <v>Store#1</v>
      </c>
      <c r="G827">
        <f>INDEX(CalLookUpTable,MATCH($B827,CalLookUpRow,0),MATCH(G$1,CalLookUpColumn,0))</f>
        <v>2019</v>
      </c>
      <c r="H827">
        <f>INDEX(CalLookUpTable,MATCH($B827,CalLookUpRow,0),MATCH(H$1,CalLookUpColumn,0))</f>
        <v>7</v>
      </c>
      <c r="I827">
        <f>INDEX(CalLookUpTable,MATCH($B827,CalLookUpRow,0),MATCH(I$1,CalLookUpColumn,0))</f>
        <v>4</v>
      </c>
    </row>
    <row r="828" spans="1:9" x14ac:dyDescent="0.25">
      <c r="A828" s="7">
        <v>1</v>
      </c>
      <c r="B828" s="8">
        <v>43672</v>
      </c>
      <c r="C828" s="9" t="s">
        <v>3</v>
      </c>
      <c r="D828" s="10">
        <v>361.34000000000003</v>
      </c>
      <c r="E828" s="10">
        <v>1446.1229999999998</v>
      </c>
      <c r="F828" t="str">
        <f>VLOOKUP(A828,StoreLookup,2,FALSE)</f>
        <v>Store#1</v>
      </c>
      <c r="G828">
        <f>INDEX(CalLookUpTable,MATCH($B828,CalLookUpRow,0),MATCH(G$1,CalLookUpColumn,0))</f>
        <v>2019</v>
      </c>
      <c r="H828">
        <f>INDEX(CalLookUpTable,MATCH($B828,CalLookUpRow,0),MATCH(H$1,CalLookUpColumn,0))</f>
        <v>7</v>
      </c>
      <c r="I828">
        <f>INDEX(CalLookUpTable,MATCH($B828,CalLookUpRow,0),MATCH(I$1,CalLookUpColumn,0))</f>
        <v>4</v>
      </c>
    </row>
    <row r="829" spans="1:9" x14ac:dyDescent="0.25">
      <c r="A829" s="7">
        <v>1</v>
      </c>
      <c r="B829" s="8">
        <v>43672</v>
      </c>
      <c r="C829" s="9" t="s">
        <v>6</v>
      </c>
      <c r="D829" s="10">
        <v>1059.2819999999999</v>
      </c>
      <c r="E829" s="10">
        <v>1714.258</v>
      </c>
      <c r="F829" t="str">
        <f>VLOOKUP(A829,StoreLookup,2,FALSE)</f>
        <v>Store#1</v>
      </c>
      <c r="G829">
        <f>INDEX(CalLookUpTable,MATCH($B829,CalLookUpRow,0),MATCH(G$1,CalLookUpColumn,0))</f>
        <v>2019</v>
      </c>
      <c r="H829">
        <f>INDEX(CalLookUpTable,MATCH($B829,CalLookUpRow,0),MATCH(H$1,CalLookUpColumn,0))</f>
        <v>7</v>
      </c>
      <c r="I829">
        <f>INDEX(CalLookUpTable,MATCH($B829,CalLookUpRow,0),MATCH(I$1,CalLookUpColumn,0))</f>
        <v>4</v>
      </c>
    </row>
    <row r="830" spans="1:9" x14ac:dyDescent="0.25">
      <c r="A830" s="7">
        <v>1</v>
      </c>
      <c r="B830" s="8">
        <v>43673</v>
      </c>
      <c r="C830" s="9" t="s">
        <v>6</v>
      </c>
      <c r="D830" s="10">
        <v>678.279</v>
      </c>
      <c r="E830" s="10">
        <v>1145.1579999999999</v>
      </c>
      <c r="F830" t="str">
        <f>VLOOKUP(A830,StoreLookup,2,FALSE)</f>
        <v>Store#1</v>
      </c>
      <c r="G830">
        <f>INDEX(CalLookUpTable,MATCH($B830,CalLookUpRow,0),MATCH(G$1,CalLookUpColumn,0))</f>
        <v>2019</v>
      </c>
      <c r="H830">
        <f>INDEX(CalLookUpTable,MATCH($B830,CalLookUpRow,0),MATCH(H$1,CalLookUpColumn,0))</f>
        <v>7</v>
      </c>
      <c r="I830">
        <f>INDEX(CalLookUpTable,MATCH($B830,CalLookUpRow,0),MATCH(I$1,CalLookUpColumn,0))</f>
        <v>4</v>
      </c>
    </row>
    <row r="831" spans="1:9" x14ac:dyDescent="0.25">
      <c r="A831" s="7">
        <v>1</v>
      </c>
      <c r="B831" s="8">
        <v>43673</v>
      </c>
      <c r="C831" s="9" t="s">
        <v>5</v>
      </c>
      <c r="D831" s="10">
        <v>3502.1909999999998</v>
      </c>
      <c r="E831" s="10">
        <v>0</v>
      </c>
      <c r="F831" t="str">
        <f>VLOOKUP(A831,StoreLookup,2,FALSE)</f>
        <v>Store#1</v>
      </c>
      <c r="G831">
        <f>INDEX(CalLookUpTable,MATCH($B831,CalLookUpRow,0),MATCH(G$1,CalLookUpColumn,0))</f>
        <v>2019</v>
      </c>
      <c r="H831">
        <f>INDEX(CalLookUpTable,MATCH($B831,CalLookUpRow,0),MATCH(H$1,CalLookUpColumn,0))</f>
        <v>7</v>
      </c>
      <c r="I831">
        <f>INDEX(CalLookUpTable,MATCH($B831,CalLookUpRow,0),MATCH(I$1,CalLookUpColumn,0))</f>
        <v>4</v>
      </c>
    </row>
    <row r="832" spans="1:9" x14ac:dyDescent="0.25">
      <c r="A832" s="7">
        <v>1</v>
      </c>
      <c r="B832" s="8">
        <v>43673</v>
      </c>
      <c r="C832" s="9" t="s">
        <v>4</v>
      </c>
      <c r="D832" s="10">
        <v>4389.665</v>
      </c>
      <c r="E832" s="10">
        <v>5182.2889999999998</v>
      </c>
      <c r="F832" t="str">
        <f>VLOOKUP(A832,StoreLookup,2,FALSE)</f>
        <v>Store#1</v>
      </c>
      <c r="G832">
        <f>INDEX(CalLookUpTable,MATCH($B832,CalLookUpRow,0),MATCH(G$1,CalLookUpColumn,0))</f>
        <v>2019</v>
      </c>
      <c r="H832">
        <f>INDEX(CalLookUpTable,MATCH($B832,CalLookUpRow,0),MATCH(H$1,CalLookUpColumn,0))</f>
        <v>7</v>
      </c>
      <c r="I832">
        <f>INDEX(CalLookUpTable,MATCH($B832,CalLookUpRow,0),MATCH(I$1,CalLookUpColumn,0))</f>
        <v>4</v>
      </c>
    </row>
    <row r="833" spans="1:9" x14ac:dyDescent="0.25">
      <c r="A833" s="7">
        <v>1</v>
      </c>
      <c r="B833" s="8">
        <v>43673</v>
      </c>
      <c r="C833" s="9" t="s">
        <v>3</v>
      </c>
      <c r="D833" s="10">
        <v>226.94699999999997</v>
      </c>
      <c r="E833" s="10">
        <v>448.03499999999997</v>
      </c>
      <c r="F833" t="str">
        <f>VLOOKUP(A833,StoreLookup,2,FALSE)</f>
        <v>Store#1</v>
      </c>
      <c r="G833">
        <f>INDEX(CalLookUpTable,MATCH($B833,CalLookUpRow,0),MATCH(G$1,CalLookUpColumn,0))</f>
        <v>2019</v>
      </c>
      <c r="H833">
        <f>INDEX(CalLookUpTable,MATCH($B833,CalLookUpRow,0),MATCH(H$1,CalLookUpColumn,0))</f>
        <v>7</v>
      </c>
      <c r="I833">
        <f>INDEX(CalLookUpTable,MATCH($B833,CalLookUpRow,0),MATCH(I$1,CalLookUpColumn,0))</f>
        <v>4</v>
      </c>
    </row>
    <row r="834" spans="1:9" x14ac:dyDescent="0.25">
      <c r="A834" s="7">
        <v>1</v>
      </c>
      <c r="B834" s="8">
        <v>43674</v>
      </c>
      <c r="C834" s="9" t="s">
        <v>4</v>
      </c>
      <c r="D834" s="10">
        <v>2742.5859999999998</v>
      </c>
      <c r="E834" s="10">
        <v>3109.3929999999996</v>
      </c>
      <c r="F834" t="str">
        <f>VLOOKUP(A834,StoreLookup,2,FALSE)</f>
        <v>Store#1</v>
      </c>
      <c r="G834">
        <f>INDEX(CalLookUpTable,MATCH($B834,CalLookUpRow,0),MATCH(G$1,CalLookUpColumn,0))</f>
        <v>2019</v>
      </c>
      <c r="H834">
        <f>INDEX(CalLookUpTable,MATCH($B834,CalLookUpRow,0),MATCH(H$1,CalLookUpColumn,0))</f>
        <v>7</v>
      </c>
      <c r="I834">
        <f>INDEX(CalLookUpTable,MATCH($B834,CalLookUpRow,0),MATCH(I$1,CalLookUpColumn,0))</f>
        <v>4</v>
      </c>
    </row>
    <row r="835" spans="1:9" x14ac:dyDescent="0.25">
      <c r="A835" s="7">
        <v>1</v>
      </c>
      <c r="B835" s="8">
        <v>43674</v>
      </c>
      <c r="C835" s="9" t="s">
        <v>3</v>
      </c>
      <c r="D835" s="10">
        <v>0</v>
      </c>
      <c r="E835" s="10">
        <v>243.03999999999996</v>
      </c>
      <c r="F835" t="str">
        <f>VLOOKUP(A835,StoreLookup,2,FALSE)</f>
        <v>Store#1</v>
      </c>
      <c r="G835">
        <f>INDEX(CalLookUpTable,MATCH($B835,CalLookUpRow,0),MATCH(G$1,CalLookUpColumn,0))</f>
        <v>2019</v>
      </c>
      <c r="H835">
        <f>INDEX(CalLookUpTable,MATCH($B835,CalLookUpRow,0),MATCH(H$1,CalLookUpColumn,0))</f>
        <v>7</v>
      </c>
      <c r="I835">
        <f>INDEX(CalLookUpTable,MATCH($B835,CalLookUpRow,0),MATCH(I$1,CalLookUpColumn,0))</f>
        <v>4</v>
      </c>
    </row>
    <row r="836" spans="1:9" x14ac:dyDescent="0.25">
      <c r="A836" s="7">
        <v>1</v>
      </c>
      <c r="B836" s="8">
        <v>43674</v>
      </c>
      <c r="C836" s="9" t="s">
        <v>5</v>
      </c>
      <c r="D836" s="10">
        <v>2172.9539999999997</v>
      </c>
      <c r="E836" s="10">
        <v>0</v>
      </c>
      <c r="F836" t="str">
        <f>VLOOKUP(A836,StoreLookup,2,FALSE)</f>
        <v>Store#1</v>
      </c>
      <c r="G836">
        <f>INDEX(CalLookUpTable,MATCH($B836,CalLookUpRow,0),MATCH(G$1,CalLookUpColumn,0))</f>
        <v>2019</v>
      </c>
      <c r="H836">
        <f>INDEX(CalLookUpTable,MATCH($B836,CalLookUpRow,0),MATCH(H$1,CalLookUpColumn,0))</f>
        <v>7</v>
      </c>
      <c r="I836">
        <f>INDEX(CalLookUpTable,MATCH($B836,CalLookUpRow,0),MATCH(I$1,CalLookUpColumn,0))</f>
        <v>4</v>
      </c>
    </row>
    <row r="837" spans="1:9" x14ac:dyDescent="0.25">
      <c r="A837" s="7">
        <v>1</v>
      </c>
      <c r="B837" s="8">
        <v>43674</v>
      </c>
      <c r="C837" s="9" t="s">
        <v>6</v>
      </c>
      <c r="D837" s="10">
        <v>387.88399999999996</v>
      </c>
      <c r="E837" s="10">
        <v>414.28100000000001</v>
      </c>
      <c r="F837" t="str">
        <f>VLOOKUP(A837,StoreLookup,2,FALSE)</f>
        <v>Store#1</v>
      </c>
      <c r="G837">
        <f>INDEX(CalLookUpTable,MATCH($B837,CalLookUpRow,0),MATCH(G$1,CalLookUpColumn,0))</f>
        <v>2019</v>
      </c>
      <c r="H837">
        <f>INDEX(CalLookUpTable,MATCH($B837,CalLookUpRow,0),MATCH(H$1,CalLookUpColumn,0))</f>
        <v>7</v>
      </c>
      <c r="I837">
        <f>INDEX(CalLookUpTable,MATCH($B837,CalLookUpRow,0),MATCH(I$1,CalLookUpColumn,0))</f>
        <v>4</v>
      </c>
    </row>
    <row r="838" spans="1:9" x14ac:dyDescent="0.25">
      <c r="A838" s="7">
        <v>1</v>
      </c>
      <c r="B838" s="8">
        <v>43675</v>
      </c>
      <c r="C838" s="9" t="s">
        <v>4</v>
      </c>
      <c r="D838" s="10">
        <v>4439.8619999999992</v>
      </c>
      <c r="E838" s="10">
        <v>4351.0179999999991</v>
      </c>
      <c r="F838" t="str">
        <f>VLOOKUP(A838,StoreLookup,2,FALSE)</f>
        <v>Store#1</v>
      </c>
      <c r="G838">
        <f>INDEX(CalLookUpTable,MATCH($B838,CalLookUpRow,0),MATCH(G$1,CalLookUpColumn,0))</f>
        <v>2019</v>
      </c>
      <c r="H838">
        <f>INDEX(CalLookUpTable,MATCH($B838,CalLookUpRow,0),MATCH(H$1,CalLookUpColumn,0))</f>
        <v>8</v>
      </c>
      <c r="I838">
        <f>INDEX(CalLookUpTable,MATCH($B838,CalLookUpRow,0),MATCH(I$1,CalLookUpColumn,0))</f>
        <v>1</v>
      </c>
    </row>
    <row r="839" spans="1:9" x14ac:dyDescent="0.25">
      <c r="A839" s="7">
        <v>1</v>
      </c>
      <c r="B839" s="8">
        <v>43675</v>
      </c>
      <c r="C839" s="9" t="s">
        <v>6</v>
      </c>
      <c r="D839" s="10">
        <v>879.87199999999996</v>
      </c>
      <c r="E839" s="10">
        <v>1566.25</v>
      </c>
      <c r="F839" t="str">
        <f>VLOOKUP(A839,StoreLookup,2,FALSE)</f>
        <v>Store#1</v>
      </c>
      <c r="G839">
        <f>INDEX(CalLookUpTable,MATCH($B839,CalLookUpRow,0),MATCH(G$1,CalLookUpColumn,0))</f>
        <v>2019</v>
      </c>
      <c r="H839">
        <f>INDEX(CalLookUpTable,MATCH($B839,CalLookUpRow,0),MATCH(H$1,CalLookUpColumn,0))</f>
        <v>8</v>
      </c>
      <c r="I839">
        <f>INDEX(CalLookUpTable,MATCH($B839,CalLookUpRow,0),MATCH(I$1,CalLookUpColumn,0))</f>
        <v>1</v>
      </c>
    </row>
    <row r="840" spans="1:9" x14ac:dyDescent="0.25">
      <c r="A840" s="7">
        <v>1</v>
      </c>
      <c r="B840" s="8">
        <v>43675</v>
      </c>
      <c r="C840" s="9" t="s">
        <v>3</v>
      </c>
      <c r="D840" s="10">
        <v>0</v>
      </c>
      <c r="E840" s="10">
        <v>1140.3139999999999</v>
      </c>
      <c r="F840" t="str">
        <f>VLOOKUP(A840,StoreLookup,2,FALSE)</f>
        <v>Store#1</v>
      </c>
      <c r="G840">
        <f>INDEX(CalLookUpTable,MATCH($B840,CalLookUpRow,0),MATCH(G$1,CalLookUpColumn,0))</f>
        <v>2019</v>
      </c>
      <c r="H840">
        <f>INDEX(CalLookUpTable,MATCH($B840,CalLookUpRow,0),MATCH(H$1,CalLookUpColumn,0))</f>
        <v>8</v>
      </c>
      <c r="I840">
        <f>INDEX(CalLookUpTable,MATCH($B840,CalLookUpRow,0),MATCH(I$1,CalLookUpColumn,0))</f>
        <v>1</v>
      </c>
    </row>
    <row r="841" spans="1:9" x14ac:dyDescent="0.25">
      <c r="A841" s="7">
        <v>1</v>
      </c>
      <c r="B841" s="8">
        <v>43675</v>
      </c>
      <c r="C841" s="9" t="s">
        <v>5</v>
      </c>
      <c r="D841" s="10">
        <v>3366.2579999999994</v>
      </c>
      <c r="E841" s="10">
        <v>0</v>
      </c>
      <c r="F841" t="str">
        <f>VLOOKUP(A841,StoreLookup,2,FALSE)</f>
        <v>Store#1</v>
      </c>
      <c r="G841">
        <f>INDEX(CalLookUpTable,MATCH($B841,CalLookUpRow,0),MATCH(G$1,CalLookUpColumn,0))</f>
        <v>2019</v>
      </c>
      <c r="H841">
        <f>INDEX(CalLookUpTable,MATCH($B841,CalLookUpRow,0),MATCH(H$1,CalLookUpColumn,0))</f>
        <v>8</v>
      </c>
      <c r="I841">
        <f>INDEX(CalLookUpTable,MATCH($B841,CalLookUpRow,0),MATCH(I$1,CalLookUpColumn,0))</f>
        <v>1</v>
      </c>
    </row>
    <row r="842" spans="1:9" x14ac:dyDescent="0.25">
      <c r="A842" s="7">
        <v>1</v>
      </c>
      <c r="B842" s="8">
        <v>43676</v>
      </c>
      <c r="C842" s="9" t="s">
        <v>4</v>
      </c>
      <c r="D842" s="10">
        <v>3325.5179999999996</v>
      </c>
      <c r="E842" s="10">
        <v>4358.2910000000002</v>
      </c>
      <c r="F842" t="str">
        <f>VLOOKUP(A842,StoreLookup,2,FALSE)</f>
        <v>Store#1</v>
      </c>
      <c r="G842">
        <f>INDEX(CalLookUpTable,MATCH($B842,CalLookUpRow,0),MATCH(G$1,CalLookUpColumn,0))</f>
        <v>2019</v>
      </c>
      <c r="H842">
        <f>INDEX(CalLookUpTable,MATCH($B842,CalLookUpRow,0),MATCH(H$1,CalLookUpColumn,0))</f>
        <v>8</v>
      </c>
      <c r="I842">
        <f>INDEX(CalLookUpTable,MATCH($B842,CalLookUpRow,0),MATCH(I$1,CalLookUpColumn,0))</f>
        <v>1</v>
      </c>
    </row>
    <row r="843" spans="1:9" x14ac:dyDescent="0.25">
      <c r="A843" s="7">
        <v>1</v>
      </c>
      <c r="B843" s="8">
        <v>43676</v>
      </c>
      <c r="C843" s="9" t="s">
        <v>6</v>
      </c>
      <c r="D843" s="10">
        <v>621.76799999999992</v>
      </c>
      <c r="E843" s="10">
        <v>1090.4669999999999</v>
      </c>
      <c r="F843" t="str">
        <f>VLOOKUP(A843,StoreLookup,2,FALSE)</f>
        <v>Store#1</v>
      </c>
      <c r="G843">
        <f>INDEX(CalLookUpTable,MATCH($B843,CalLookUpRow,0),MATCH(G$1,CalLookUpColumn,0))</f>
        <v>2019</v>
      </c>
      <c r="H843">
        <f>INDEX(CalLookUpTable,MATCH($B843,CalLookUpRow,0),MATCH(H$1,CalLookUpColumn,0))</f>
        <v>8</v>
      </c>
      <c r="I843">
        <f>INDEX(CalLookUpTable,MATCH($B843,CalLookUpRow,0),MATCH(I$1,CalLookUpColumn,0))</f>
        <v>1</v>
      </c>
    </row>
    <row r="844" spans="1:9" x14ac:dyDescent="0.25">
      <c r="A844" s="7">
        <v>1</v>
      </c>
      <c r="B844" s="8">
        <v>43676</v>
      </c>
      <c r="C844" s="9" t="s">
        <v>5</v>
      </c>
      <c r="D844" s="10">
        <v>3408.6429999999996</v>
      </c>
      <c r="E844" s="10">
        <v>0</v>
      </c>
      <c r="F844" t="str">
        <f>VLOOKUP(A844,StoreLookup,2,FALSE)</f>
        <v>Store#1</v>
      </c>
      <c r="G844">
        <f>INDEX(CalLookUpTable,MATCH($B844,CalLookUpRow,0),MATCH(G$1,CalLookUpColumn,0))</f>
        <v>2019</v>
      </c>
      <c r="H844">
        <f>INDEX(CalLookUpTable,MATCH($B844,CalLookUpRow,0),MATCH(H$1,CalLookUpColumn,0))</f>
        <v>8</v>
      </c>
      <c r="I844">
        <f>INDEX(CalLookUpTable,MATCH($B844,CalLookUpRow,0),MATCH(I$1,CalLookUpColumn,0))</f>
        <v>1</v>
      </c>
    </row>
    <row r="845" spans="1:9" x14ac:dyDescent="0.25">
      <c r="A845" s="7">
        <v>1</v>
      </c>
      <c r="B845" s="8">
        <v>43676</v>
      </c>
      <c r="C845" s="9" t="s">
        <v>3</v>
      </c>
      <c r="D845" s="10">
        <v>281.00099999999998</v>
      </c>
      <c r="E845" s="10">
        <v>1428.2660000000001</v>
      </c>
      <c r="F845" t="str">
        <f>VLOOKUP(A845,StoreLookup,2,FALSE)</f>
        <v>Store#1</v>
      </c>
      <c r="G845">
        <f>INDEX(CalLookUpTable,MATCH($B845,CalLookUpRow,0),MATCH(G$1,CalLookUpColumn,0))</f>
        <v>2019</v>
      </c>
      <c r="H845">
        <f>INDEX(CalLookUpTable,MATCH($B845,CalLookUpRow,0),MATCH(H$1,CalLookUpColumn,0))</f>
        <v>8</v>
      </c>
      <c r="I845">
        <f>INDEX(CalLookUpTable,MATCH($B845,CalLookUpRow,0),MATCH(I$1,CalLookUpColumn,0))</f>
        <v>1</v>
      </c>
    </row>
    <row r="846" spans="1:9" x14ac:dyDescent="0.25">
      <c r="A846" s="7">
        <v>1</v>
      </c>
      <c r="B846" s="8">
        <v>43677</v>
      </c>
      <c r="C846" s="9" t="s">
        <v>4</v>
      </c>
      <c r="D846" s="10">
        <v>4460.4559999999992</v>
      </c>
      <c r="E846" s="10">
        <v>4735.4019999999991</v>
      </c>
      <c r="F846" t="str">
        <f>VLOOKUP(A846,StoreLookup,2,FALSE)</f>
        <v>Store#1</v>
      </c>
      <c r="G846">
        <f>INDEX(CalLookUpTable,MATCH($B846,CalLookUpRow,0),MATCH(G$1,CalLookUpColumn,0))</f>
        <v>2019</v>
      </c>
      <c r="H846">
        <f>INDEX(CalLookUpTable,MATCH($B846,CalLookUpRow,0),MATCH(H$1,CalLookUpColumn,0))</f>
        <v>8</v>
      </c>
      <c r="I846">
        <f>INDEX(CalLookUpTable,MATCH($B846,CalLookUpRow,0),MATCH(I$1,CalLookUpColumn,0))</f>
        <v>1</v>
      </c>
    </row>
    <row r="847" spans="1:9" x14ac:dyDescent="0.25">
      <c r="A847" s="7">
        <v>1</v>
      </c>
      <c r="B847" s="8">
        <v>43677</v>
      </c>
      <c r="C847" s="9" t="s">
        <v>6</v>
      </c>
      <c r="D847" s="10">
        <v>1112.4259999999999</v>
      </c>
      <c r="E847" s="10">
        <v>899.52099999999996</v>
      </c>
      <c r="F847" t="str">
        <f>VLOOKUP(A847,StoreLookup,2,FALSE)</f>
        <v>Store#1</v>
      </c>
      <c r="G847">
        <f>INDEX(CalLookUpTable,MATCH($B847,CalLookUpRow,0),MATCH(G$1,CalLookUpColumn,0))</f>
        <v>2019</v>
      </c>
      <c r="H847">
        <f>INDEX(CalLookUpTable,MATCH($B847,CalLookUpRow,0),MATCH(H$1,CalLookUpColumn,0))</f>
        <v>8</v>
      </c>
      <c r="I847">
        <f>INDEX(CalLookUpTable,MATCH($B847,CalLookUpRow,0),MATCH(I$1,CalLookUpColumn,0))</f>
        <v>1</v>
      </c>
    </row>
    <row r="848" spans="1:9" x14ac:dyDescent="0.25">
      <c r="A848" s="7">
        <v>1</v>
      </c>
      <c r="B848" s="8">
        <v>43677</v>
      </c>
      <c r="C848" s="9" t="s">
        <v>5</v>
      </c>
      <c r="D848" s="10">
        <v>3745.413</v>
      </c>
      <c r="E848" s="10">
        <v>0</v>
      </c>
      <c r="F848" t="str">
        <f>VLOOKUP(A848,StoreLookup,2,FALSE)</f>
        <v>Store#1</v>
      </c>
      <c r="G848">
        <f>INDEX(CalLookUpTable,MATCH($B848,CalLookUpRow,0),MATCH(G$1,CalLookUpColumn,0))</f>
        <v>2019</v>
      </c>
      <c r="H848">
        <f>INDEX(CalLookUpTable,MATCH($B848,CalLookUpRow,0),MATCH(H$1,CalLookUpColumn,0))</f>
        <v>8</v>
      </c>
      <c r="I848">
        <f>INDEX(CalLookUpTable,MATCH($B848,CalLookUpRow,0),MATCH(I$1,CalLookUpColumn,0))</f>
        <v>1</v>
      </c>
    </row>
    <row r="849" spans="1:9" x14ac:dyDescent="0.25">
      <c r="A849" s="7">
        <v>1</v>
      </c>
      <c r="B849" s="8">
        <v>43677</v>
      </c>
      <c r="C849" s="9" t="s">
        <v>3</v>
      </c>
      <c r="D849" s="10">
        <v>166.78899999999999</v>
      </c>
      <c r="E849" s="10">
        <v>375.02499999999998</v>
      </c>
      <c r="F849" t="str">
        <f>VLOOKUP(A849,StoreLookup,2,FALSE)</f>
        <v>Store#1</v>
      </c>
      <c r="G849">
        <f>INDEX(CalLookUpTable,MATCH($B849,CalLookUpRow,0),MATCH(G$1,CalLookUpColumn,0))</f>
        <v>2019</v>
      </c>
      <c r="H849">
        <f>INDEX(CalLookUpTable,MATCH($B849,CalLookUpRow,0),MATCH(H$1,CalLookUpColumn,0))</f>
        <v>8</v>
      </c>
      <c r="I849">
        <f>INDEX(CalLookUpTable,MATCH($B849,CalLookUpRow,0),MATCH(I$1,CalLookUpColumn,0))</f>
        <v>1</v>
      </c>
    </row>
    <row r="850" spans="1:9" x14ac:dyDescent="0.25">
      <c r="A850" s="7">
        <v>1</v>
      </c>
      <c r="B850" s="8">
        <v>43678</v>
      </c>
      <c r="C850" s="9" t="s">
        <v>3</v>
      </c>
      <c r="D850" s="10">
        <v>461.96499999999997</v>
      </c>
      <c r="E850" s="10">
        <v>158.00399999999999</v>
      </c>
      <c r="F850" t="str">
        <f>VLOOKUP(A850,StoreLookup,2,FALSE)</f>
        <v>Store#1</v>
      </c>
      <c r="G850">
        <f>INDEX(CalLookUpTable,MATCH($B850,CalLookUpRow,0),MATCH(G$1,CalLookUpColumn,0))</f>
        <v>2019</v>
      </c>
      <c r="H850">
        <f>INDEX(CalLookUpTable,MATCH($B850,CalLookUpRow,0),MATCH(H$1,CalLookUpColumn,0))</f>
        <v>8</v>
      </c>
      <c r="I850">
        <f>INDEX(CalLookUpTable,MATCH($B850,CalLookUpRow,0),MATCH(I$1,CalLookUpColumn,0))</f>
        <v>1</v>
      </c>
    </row>
    <row r="851" spans="1:9" x14ac:dyDescent="0.25">
      <c r="A851" s="7">
        <v>1</v>
      </c>
      <c r="B851" s="8">
        <v>43678</v>
      </c>
      <c r="C851" s="9" t="s">
        <v>4</v>
      </c>
      <c r="D851" s="10">
        <v>4334.6170000000002</v>
      </c>
      <c r="E851" s="10">
        <v>5095.5450000000001</v>
      </c>
      <c r="F851" t="str">
        <f>VLOOKUP(A851,StoreLookup,2,FALSE)</f>
        <v>Store#1</v>
      </c>
      <c r="G851">
        <f>INDEX(CalLookUpTable,MATCH($B851,CalLookUpRow,0),MATCH(G$1,CalLookUpColumn,0))</f>
        <v>2019</v>
      </c>
      <c r="H851">
        <f>INDEX(CalLookUpTable,MATCH($B851,CalLookUpRow,0),MATCH(H$1,CalLookUpColumn,0))</f>
        <v>8</v>
      </c>
      <c r="I851">
        <f>INDEX(CalLookUpTable,MATCH($B851,CalLookUpRow,0),MATCH(I$1,CalLookUpColumn,0))</f>
        <v>1</v>
      </c>
    </row>
    <row r="852" spans="1:9" x14ac:dyDescent="0.25">
      <c r="A852" s="7">
        <v>1</v>
      </c>
      <c r="B852" s="8">
        <v>43678</v>
      </c>
      <c r="C852" s="9" t="s">
        <v>5</v>
      </c>
      <c r="D852" s="10">
        <v>3243.3379999999997</v>
      </c>
      <c r="E852" s="10">
        <v>0</v>
      </c>
      <c r="F852" t="str">
        <f>VLOOKUP(A852,StoreLookup,2,FALSE)</f>
        <v>Store#1</v>
      </c>
      <c r="G852">
        <f>INDEX(CalLookUpTable,MATCH($B852,CalLookUpRow,0),MATCH(G$1,CalLookUpColumn,0))</f>
        <v>2019</v>
      </c>
      <c r="H852">
        <f>INDEX(CalLookUpTable,MATCH($B852,CalLookUpRow,0),MATCH(H$1,CalLookUpColumn,0))</f>
        <v>8</v>
      </c>
      <c r="I852">
        <f>INDEX(CalLookUpTable,MATCH($B852,CalLookUpRow,0),MATCH(I$1,CalLookUpColumn,0))</f>
        <v>1</v>
      </c>
    </row>
    <row r="853" spans="1:9" x14ac:dyDescent="0.25">
      <c r="A853" s="7">
        <v>1</v>
      </c>
      <c r="B853" s="8">
        <v>43678</v>
      </c>
      <c r="C853" s="9" t="s">
        <v>6</v>
      </c>
      <c r="D853" s="10">
        <v>687.673</v>
      </c>
      <c r="E853" s="10">
        <v>1136.8489999999999</v>
      </c>
      <c r="F853" t="str">
        <f>VLOOKUP(A853,StoreLookup,2,FALSE)</f>
        <v>Store#1</v>
      </c>
      <c r="G853">
        <f>INDEX(CalLookUpTable,MATCH($B853,CalLookUpRow,0),MATCH(G$1,CalLookUpColumn,0))</f>
        <v>2019</v>
      </c>
      <c r="H853">
        <f>INDEX(CalLookUpTable,MATCH($B853,CalLookUpRow,0),MATCH(H$1,CalLookUpColumn,0))</f>
        <v>8</v>
      </c>
      <c r="I853">
        <f>INDEX(CalLookUpTable,MATCH($B853,CalLookUpRow,0),MATCH(I$1,CalLookUpColumn,0))</f>
        <v>1</v>
      </c>
    </row>
    <row r="854" spans="1:9" x14ac:dyDescent="0.25">
      <c r="A854" s="7">
        <v>1</v>
      </c>
      <c r="B854" s="8">
        <v>43679</v>
      </c>
      <c r="C854" s="9" t="s">
        <v>6</v>
      </c>
      <c r="D854" s="10">
        <v>1126.636</v>
      </c>
      <c r="E854" s="10">
        <v>1825.8589999999997</v>
      </c>
      <c r="F854" t="str">
        <f>VLOOKUP(A854,StoreLookup,2,FALSE)</f>
        <v>Store#1</v>
      </c>
      <c r="G854">
        <f>INDEX(CalLookUpTable,MATCH($B854,CalLookUpRow,0),MATCH(G$1,CalLookUpColumn,0))</f>
        <v>2019</v>
      </c>
      <c r="H854">
        <f>INDEX(CalLookUpTable,MATCH($B854,CalLookUpRow,0),MATCH(H$1,CalLookUpColumn,0))</f>
        <v>8</v>
      </c>
      <c r="I854">
        <f>INDEX(CalLookUpTable,MATCH($B854,CalLookUpRow,0),MATCH(I$1,CalLookUpColumn,0))</f>
        <v>1</v>
      </c>
    </row>
    <row r="855" spans="1:9" x14ac:dyDescent="0.25">
      <c r="A855" s="7">
        <v>1</v>
      </c>
      <c r="B855" s="8">
        <v>43679</v>
      </c>
      <c r="C855" s="9" t="s">
        <v>4</v>
      </c>
      <c r="D855" s="10">
        <v>5193.5239999999994</v>
      </c>
      <c r="E855" s="10">
        <v>6123.9849999999988</v>
      </c>
      <c r="F855" t="str">
        <f>VLOOKUP(A855,StoreLookup,2,FALSE)</f>
        <v>Store#1</v>
      </c>
      <c r="G855">
        <f>INDEX(CalLookUpTable,MATCH($B855,CalLookUpRow,0),MATCH(G$1,CalLookUpColumn,0))</f>
        <v>2019</v>
      </c>
      <c r="H855">
        <f>INDEX(CalLookUpTable,MATCH($B855,CalLookUpRow,0),MATCH(H$1,CalLookUpColumn,0))</f>
        <v>8</v>
      </c>
      <c r="I855">
        <f>INDEX(CalLookUpTable,MATCH($B855,CalLookUpRow,0),MATCH(I$1,CalLookUpColumn,0))</f>
        <v>1</v>
      </c>
    </row>
    <row r="856" spans="1:9" x14ac:dyDescent="0.25">
      <c r="A856" s="7">
        <v>1</v>
      </c>
      <c r="B856" s="8">
        <v>43679</v>
      </c>
      <c r="C856" s="9" t="s">
        <v>5</v>
      </c>
      <c r="D856" s="10">
        <v>3787.1119999999996</v>
      </c>
      <c r="E856" s="10">
        <v>0</v>
      </c>
      <c r="F856" t="str">
        <f>VLOOKUP(A856,StoreLookup,2,FALSE)</f>
        <v>Store#1</v>
      </c>
      <c r="G856">
        <f>INDEX(CalLookUpTable,MATCH($B856,CalLookUpRow,0),MATCH(G$1,CalLookUpColumn,0))</f>
        <v>2019</v>
      </c>
      <c r="H856">
        <f>INDEX(CalLookUpTable,MATCH($B856,CalLookUpRow,0),MATCH(H$1,CalLookUpColumn,0))</f>
        <v>8</v>
      </c>
      <c r="I856">
        <f>INDEX(CalLookUpTable,MATCH($B856,CalLookUpRow,0),MATCH(I$1,CalLookUpColumn,0))</f>
        <v>1</v>
      </c>
    </row>
    <row r="857" spans="1:9" x14ac:dyDescent="0.25">
      <c r="A857" s="7">
        <v>1</v>
      </c>
      <c r="B857" s="8">
        <v>43679</v>
      </c>
      <c r="C857" s="9" t="s">
        <v>3</v>
      </c>
      <c r="D857" s="10">
        <v>905.46399999999994</v>
      </c>
      <c r="E857" s="10">
        <v>557.71100000000001</v>
      </c>
      <c r="F857" t="str">
        <f>VLOOKUP(A857,StoreLookup,2,FALSE)</f>
        <v>Store#1</v>
      </c>
      <c r="G857">
        <f>INDEX(CalLookUpTable,MATCH($B857,CalLookUpRow,0),MATCH(G$1,CalLookUpColumn,0))</f>
        <v>2019</v>
      </c>
      <c r="H857">
        <f>INDEX(CalLookUpTable,MATCH($B857,CalLookUpRow,0),MATCH(H$1,CalLookUpColumn,0))</f>
        <v>8</v>
      </c>
      <c r="I857">
        <f>INDEX(CalLookUpTable,MATCH($B857,CalLookUpRow,0),MATCH(I$1,CalLookUpColumn,0))</f>
        <v>1</v>
      </c>
    </row>
    <row r="858" spans="1:9" x14ac:dyDescent="0.25">
      <c r="A858" s="7">
        <v>1</v>
      </c>
      <c r="B858" s="8">
        <v>43680</v>
      </c>
      <c r="C858" s="9" t="s">
        <v>6</v>
      </c>
      <c r="D858" s="10">
        <v>865.01799999999992</v>
      </c>
      <c r="E858" s="10">
        <v>1010.8489999999999</v>
      </c>
      <c r="F858" t="str">
        <f>VLOOKUP(A858,StoreLookup,2,FALSE)</f>
        <v>Store#1</v>
      </c>
      <c r="G858">
        <f>INDEX(CalLookUpTable,MATCH($B858,CalLookUpRow,0),MATCH(G$1,CalLookUpColumn,0))</f>
        <v>2019</v>
      </c>
      <c r="H858">
        <f>INDEX(CalLookUpTable,MATCH($B858,CalLookUpRow,0),MATCH(H$1,CalLookUpColumn,0))</f>
        <v>8</v>
      </c>
      <c r="I858">
        <f>INDEX(CalLookUpTable,MATCH($B858,CalLookUpRow,0),MATCH(I$1,CalLookUpColumn,0))</f>
        <v>1</v>
      </c>
    </row>
    <row r="859" spans="1:9" x14ac:dyDescent="0.25">
      <c r="A859" s="7">
        <v>1</v>
      </c>
      <c r="B859" s="8">
        <v>43680</v>
      </c>
      <c r="C859" s="9" t="s">
        <v>4</v>
      </c>
      <c r="D859" s="10">
        <v>4893.3149999999996</v>
      </c>
      <c r="E859" s="10">
        <v>5520.6480000000001</v>
      </c>
      <c r="F859" t="str">
        <f>VLOOKUP(A859,StoreLookup,2,FALSE)</f>
        <v>Store#1</v>
      </c>
      <c r="G859">
        <f>INDEX(CalLookUpTable,MATCH($B859,CalLookUpRow,0),MATCH(G$1,CalLookUpColumn,0))</f>
        <v>2019</v>
      </c>
      <c r="H859">
        <f>INDEX(CalLookUpTable,MATCH($B859,CalLookUpRow,0),MATCH(H$1,CalLookUpColumn,0))</f>
        <v>8</v>
      </c>
      <c r="I859">
        <f>INDEX(CalLookUpTable,MATCH($B859,CalLookUpRow,0),MATCH(I$1,CalLookUpColumn,0))</f>
        <v>1</v>
      </c>
    </row>
    <row r="860" spans="1:9" x14ac:dyDescent="0.25">
      <c r="A860" s="7">
        <v>1</v>
      </c>
      <c r="B860" s="8">
        <v>43680</v>
      </c>
      <c r="C860" s="9" t="s">
        <v>3</v>
      </c>
      <c r="D860" s="10">
        <v>135.63900000000001</v>
      </c>
      <c r="E860" s="10">
        <v>46.283999999999999</v>
      </c>
      <c r="F860" t="str">
        <f>VLOOKUP(A860,StoreLookup,2,FALSE)</f>
        <v>Store#1</v>
      </c>
      <c r="G860">
        <f>INDEX(CalLookUpTable,MATCH($B860,CalLookUpRow,0),MATCH(G$1,CalLookUpColumn,0))</f>
        <v>2019</v>
      </c>
      <c r="H860">
        <f>INDEX(CalLookUpTable,MATCH($B860,CalLookUpRow,0),MATCH(H$1,CalLookUpColumn,0))</f>
        <v>8</v>
      </c>
      <c r="I860">
        <f>INDEX(CalLookUpTable,MATCH($B860,CalLookUpRow,0),MATCH(I$1,CalLookUpColumn,0))</f>
        <v>1</v>
      </c>
    </row>
    <row r="861" spans="1:9" x14ac:dyDescent="0.25">
      <c r="A861" s="7">
        <v>1</v>
      </c>
      <c r="B861" s="8">
        <v>43680</v>
      </c>
      <c r="C861" s="9" t="s">
        <v>5</v>
      </c>
      <c r="D861" s="10">
        <v>3873.66</v>
      </c>
      <c r="E861" s="10">
        <v>0</v>
      </c>
      <c r="F861" t="str">
        <f>VLOOKUP(A861,StoreLookup,2,FALSE)</f>
        <v>Store#1</v>
      </c>
      <c r="G861">
        <f>INDEX(CalLookUpTable,MATCH($B861,CalLookUpRow,0),MATCH(G$1,CalLookUpColumn,0))</f>
        <v>2019</v>
      </c>
      <c r="H861">
        <f>INDEX(CalLookUpTable,MATCH($B861,CalLookUpRow,0),MATCH(H$1,CalLookUpColumn,0))</f>
        <v>8</v>
      </c>
      <c r="I861">
        <f>INDEX(CalLookUpTable,MATCH($B861,CalLookUpRow,0),MATCH(I$1,CalLookUpColumn,0))</f>
        <v>1</v>
      </c>
    </row>
    <row r="862" spans="1:9" x14ac:dyDescent="0.25">
      <c r="A862" s="7">
        <v>1</v>
      </c>
      <c r="B862" s="8">
        <v>43681</v>
      </c>
      <c r="C862" s="9" t="s">
        <v>4</v>
      </c>
      <c r="D862" s="10">
        <v>2708.797</v>
      </c>
      <c r="E862" s="10">
        <v>2149.5809999999997</v>
      </c>
      <c r="F862" t="str">
        <f>VLOOKUP(A862,StoreLookup,2,FALSE)</f>
        <v>Store#1</v>
      </c>
      <c r="G862">
        <f>INDEX(CalLookUpTable,MATCH($B862,CalLookUpRow,0),MATCH(G$1,CalLookUpColumn,0))</f>
        <v>2019</v>
      </c>
      <c r="H862">
        <f>INDEX(CalLookUpTable,MATCH($B862,CalLookUpRow,0),MATCH(H$1,CalLookUpColumn,0))</f>
        <v>8</v>
      </c>
      <c r="I862">
        <f>INDEX(CalLookUpTable,MATCH($B862,CalLookUpRow,0),MATCH(I$1,CalLookUpColumn,0))</f>
        <v>1</v>
      </c>
    </row>
    <row r="863" spans="1:9" x14ac:dyDescent="0.25">
      <c r="A863" s="7">
        <v>1</v>
      </c>
      <c r="B863" s="8">
        <v>43681</v>
      </c>
      <c r="C863" s="9" t="s">
        <v>3</v>
      </c>
      <c r="D863" s="10">
        <v>0</v>
      </c>
      <c r="E863" s="10">
        <v>183.57499999999999</v>
      </c>
      <c r="F863" t="str">
        <f>VLOOKUP(A863,StoreLookup,2,FALSE)</f>
        <v>Store#1</v>
      </c>
      <c r="G863">
        <f>INDEX(CalLookUpTable,MATCH($B863,CalLookUpRow,0),MATCH(G$1,CalLookUpColumn,0))</f>
        <v>2019</v>
      </c>
      <c r="H863">
        <f>INDEX(CalLookUpTable,MATCH($B863,CalLookUpRow,0),MATCH(H$1,CalLookUpColumn,0))</f>
        <v>8</v>
      </c>
      <c r="I863">
        <f>INDEX(CalLookUpTable,MATCH($B863,CalLookUpRow,0),MATCH(I$1,CalLookUpColumn,0))</f>
        <v>1</v>
      </c>
    </row>
    <row r="864" spans="1:9" x14ac:dyDescent="0.25">
      <c r="A864" s="7">
        <v>1</v>
      </c>
      <c r="B864" s="8">
        <v>43681</v>
      </c>
      <c r="C864" s="9" t="s">
        <v>6</v>
      </c>
      <c r="D864" s="10">
        <v>110.73999999999998</v>
      </c>
      <c r="E864" s="10">
        <v>473.2</v>
      </c>
      <c r="F864" t="str">
        <f>VLOOKUP(A864,StoreLookup,2,FALSE)</f>
        <v>Store#1</v>
      </c>
      <c r="G864">
        <f>INDEX(CalLookUpTable,MATCH($B864,CalLookUpRow,0),MATCH(G$1,CalLookUpColumn,0))</f>
        <v>2019</v>
      </c>
      <c r="H864">
        <f>INDEX(CalLookUpTable,MATCH($B864,CalLookUpRow,0),MATCH(H$1,CalLookUpColumn,0))</f>
        <v>8</v>
      </c>
      <c r="I864">
        <f>INDEX(CalLookUpTable,MATCH($B864,CalLookUpRow,0),MATCH(I$1,CalLookUpColumn,0))</f>
        <v>1</v>
      </c>
    </row>
    <row r="865" spans="1:9" x14ac:dyDescent="0.25">
      <c r="A865" s="7">
        <v>1</v>
      </c>
      <c r="B865" s="8">
        <v>43681</v>
      </c>
      <c r="C865" s="9" t="s">
        <v>5</v>
      </c>
      <c r="D865" s="10">
        <v>1941.9889999999998</v>
      </c>
      <c r="E865" s="10">
        <v>0</v>
      </c>
      <c r="F865" t="str">
        <f>VLOOKUP(A865,StoreLookup,2,FALSE)</f>
        <v>Store#1</v>
      </c>
      <c r="G865">
        <f>INDEX(CalLookUpTable,MATCH($B865,CalLookUpRow,0),MATCH(G$1,CalLookUpColumn,0))</f>
        <v>2019</v>
      </c>
      <c r="H865">
        <f>INDEX(CalLookUpTable,MATCH($B865,CalLookUpRow,0),MATCH(H$1,CalLookUpColumn,0))</f>
        <v>8</v>
      </c>
      <c r="I865">
        <f>INDEX(CalLookUpTable,MATCH($B865,CalLookUpRow,0),MATCH(I$1,CalLookUpColumn,0))</f>
        <v>1</v>
      </c>
    </row>
    <row r="866" spans="1:9" x14ac:dyDescent="0.25">
      <c r="A866" s="7">
        <v>1</v>
      </c>
      <c r="B866" s="8">
        <v>43682</v>
      </c>
      <c r="C866" s="9" t="s">
        <v>3</v>
      </c>
      <c r="D866" s="10">
        <v>66.78</v>
      </c>
      <c r="E866" s="10">
        <v>1990.569</v>
      </c>
      <c r="F866" t="str">
        <f>VLOOKUP(A866,StoreLookup,2,FALSE)</f>
        <v>Store#1</v>
      </c>
      <c r="G866">
        <f>INDEX(CalLookUpTable,MATCH($B866,CalLookUpRow,0),MATCH(G$1,CalLookUpColumn,0))</f>
        <v>2019</v>
      </c>
      <c r="H866">
        <f>INDEX(CalLookUpTable,MATCH($B866,CalLookUpRow,0),MATCH(H$1,CalLookUpColumn,0))</f>
        <v>8</v>
      </c>
      <c r="I866">
        <f>INDEX(CalLookUpTable,MATCH($B866,CalLookUpRow,0),MATCH(I$1,CalLookUpColumn,0))</f>
        <v>2</v>
      </c>
    </row>
    <row r="867" spans="1:9" x14ac:dyDescent="0.25">
      <c r="A867" s="7">
        <v>1</v>
      </c>
      <c r="B867" s="8">
        <v>43682</v>
      </c>
      <c r="C867" s="9" t="s">
        <v>4</v>
      </c>
      <c r="D867" s="10">
        <v>4372.4799999999996</v>
      </c>
      <c r="E867" s="10">
        <v>4316.5640000000003</v>
      </c>
      <c r="F867" t="str">
        <f>VLOOKUP(A867,StoreLookup,2,FALSE)</f>
        <v>Store#1</v>
      </c>
      <c r="G867">
        <f>INDEX(CalLookUpTable,MATCH($B867,CalLookUpRow,0),MATCH(G$1,CalLookUpColumn,0))</f>
        <v>2019</v>
      </c>
      <c r="H867">
        <f>INDEX(CalLookUpTable,MATCH($B867,CalLookUpRow,0),MATCH(H$1,CalLookUpColumn,0))</f>
        <v>8</v>
      </c>
      <c r="I867">
        <f>INDEX(CalLookUpTable,MATCH($B867,CalLookUpRow,0),MATCH(I$1,CalLookUpColumn,0))</f>
        <v>2</v>
      </c>
    </row>
    <row r="868" spans="1:9" x14ac:dyDescent="0.25">
      <c r="A868" s="7">
        <v>1</v>
      </c>
      <c r="B868" s="8">
        <v>43682</v>
      </c>
      <c r="C868" s="9" t="s">
        <v>6</v>
      </c>
      <c r="D868" s="10">
        <v>858.43099999999993</v>
      </c>
      <c r="E868" s="10">
        <v>1016.568</v>
      </c>
      <c r="F868" t="str">
        <f>VLOOKUP(A868,StoreLookup,2,FALSE)</f>
        <v>Store#1</v>
      </c>
      <c r="G868">
        <f>INDEX(CalLookUpTable,MATCH($B868,CalLookUpRow,0),MATCH(G$1,CalLookUpColumn,0))</f>
        <v>2019</v>
      </c>
      <c r="H868">
        <f>INDEX(CalLookUpTable,MATCH($B868,CalLookUpRow,0),MATCH(H$1,CalLookUpColumn,0))</f>
        <v>8</v>
      </c>
      <c r="I868">
        <f>INDEX(CalLookUpTable,MATCH($B868,CalLookUpRow,0),MATCH(I$1,CalLookUpColumn,0))</f>
        <v>2</v>
      </c>
    </row>
    <row r="869" spans="1:9" x14ac:dyDescent="0.25">
      <c r="A869" s="7">
        <v>1</v>
      </c>
      <c r="B869" s="8">
        <v>43682</v>
      </c>
      <c r="C869" s="9" t="s">
        <v>5</v>
      </c>
      <c r="D869" s="10">
        <v>3052.7069999999999</v>
      </c>
      <c r="E869" s="10">
        <v>0</v>
      </c>
      <c r="F869" t="str">
        <f>VLOOKUP(A869,StoreLookup,2,FALSE)</f>
        <v>Store#1</v>
      </c>
      <c r="G869">
        <f>INDEX(CalLookUpTable,MATCH($B869,CalLookUpRow,0),MATCH(G$1,CalLookUpColumn,0))</f>
        <v>2019</v>
      </c>
      <c r="H869">
        <f>INDEX(CalLookUpTable,MATCH($B869,CalLookUpRow,0),MATCH(H$1,CalLookUpColumn,0))</f>
        <v>8</v>
      </c>
      <c r="I869">
        <f>INDEX(CalLookUpTable,MATCH($B869,CalLookUpRow,0),MATCH(I$1,CalLookUpColumn,0))</f>
        <v>2</v>
      </c>
    </row>
    <row r="870" spans="1:9" x14ac:dyDescent="0.25">
      <c r="A870" s="7">
        <v>1</v>
      </c>
      <c r="B870" s="8">
        <v>43683</v>
      </c>
      <c r="C870" s="9" t="s">
        <v>4</v>
      </c>
      <c r="D870" s="10">
        <v>4017.8109999999992</v>
      </c>
      <c r="E870" s="10">
        <v>4872.6019999999999</v>
      </c>
      <c r="F870" t="str">
        <f>VLOOKUP(A870,StoreLookup,2,FALSE)</f>
        <v>Store#1</v>
      </c>
      <c r="G870">
        <f>INDEX(CalLookUpTable,MATCH($B870,CalLookUpRow,0),MATCH(G$1,CalLookUpColumn,0))</f>
        <v>2019</v>
      </c>
      <c r="H870">
        <f>INDEX(CalLookUpTable,MATCH($B870,CalLookUpRow,0),MATCH(H$1,CalLookUpColumn,0))</f>
        <v>8</v>
      </c>
      <c r="I870">
        <f>INDEX(CalLookUpTable,MATCH($B870,CalLookUpRow,0),MATCH(I$1,CalLookUpColumn,0))</f>
        <v>2</v>
      </c>
    </row>
    <row r="871" spans="1:9" x14ac:dyDescent="0.25">
      <c r="A871" s="7">
        <v>1</v>
      </c>
      <c r="B871" s="8">
        <v>43683</v>
      </c>
      <c r="C871" s="9" t="s">
        <v>3</v>
      </c>
      <c r="D871" s="10">
        <v>32.150999999999996</v>
      </c>
      <c r="E871" s="10">
        <v>874.19499999999994</v>
      </c>
      <c r="F871" t="str">
        <f>VLOOKUP(A871,StoreLookup,2,FALSE)</f>
        <v>Store#1</v>
      </c>
      <c r="G871">
        <f>INDEX(CalLookUpTable,MATCH($B871,CalLookUpRow,0),MATCH(G$1,CalLookUpColumn,0))</f>
        <v>2019</v>
      </c>
      <c r="H871">
        <f>INDEX(CalLookUpTable,MATCH($B871,CalLookUpRow,0),MATCH(H$1,CalLookUpColumn,0))</f>
        <v>8</v>
      </c>
      <c r="I871">
        <f>INDEX(CalLookUpTable,MATCH($B871,CalLookUpRow,0),MATCH(I$1,CalLookUpColumn,0))</f>
        <v>2</v>
      </c>
    </row>
    <row r="872" spans="1:9" x14ac:dyDescent="0.25">
      <c r="A872" s="7">
        <v>1</v>
      </c>
      <c r="B872" s="8">
        <v>43683</v>
      </c>
      <c r="C872" s="9" t="s">
        <v>6</v>
      </c>
      <c r="D872" s="10">
        <v>688.51300000000003</v>
      </c>
      <c r="E872" s="10">
        <v>1200.9690000000001</v>
      </c>
      <c r="F872" t="str">
        <f>VLOOKUP(A872,StoreLookup,2,FALSE)</f>
        <v>Store#1</v>
      </c>
      <c r="G872">
        <f>INDEX(CalLookUpTable,MATCH($B872,CalLookUpRow,0),MATCH(G$1,CalLookUpColumn,0))</f>
        <v>2019</v>
      </c>
      <c r="H872">
        <f>INDEX(CalLookUpTable,MATCH($B872,CalLookUpRow,0),MATCH(H$1,CalLookUpColumn,0))</f>
        <v>8</v>
      </c>
      <c r="I872">
        <f>INDEX(CalLookUpTable,MATCH($B872,CalLookUpRow,0),MATCH(I$1,CalLookUpColumn,0))</f>
        <v>2</v>
      </c>
    </row>
    <row r="873" spans="1:9" x14ac:dyDescent="0.25">
      <c r="A873" s="7">
        <v>1</v>
      </c>
      <c r="B873" s="8">
        <v>43683</v>
      </c>
      <c r="C873" s="9" t="s">
        <v>5</v>
      </c>
      <c r="D873" s="10">
        <v>3164.4969999999998</v>
      </c>
      <c r="E873" s="10">
        <v>0</v>
      </c>
      <c r="F873" t="str">
        <f>VLOOKUP(A873,StoreLookup,2,FALSE)</f>
        <v>Store#1</v>
      </c>
      <c r="G873">
        <f>INDEX(CalLookUpTable,MATCH($B873,CalLookUpRow,0),MATCH(G$1,CalLookUpColumn,0))</f>
        <v>2019</v>
      </c>
      <c r="H873">
        <f>INDEX(CalLookUpTable,MATCH($B873,CalLookUpRow,0),MATCH(H$1,CalLookUpColumn,0))</f>
        <v>8</v>
      </c>
      <c r="I873">
        <f>INDEX(CalLookUpTable,MATCH($B873,CalLookUpRow,0),MATCH(I$1,CalLookUpColumn,0))</f>
        <v>2</v>
      </c>
    </row>
    <row r="874" spans="1:9" x14ac:dyDescent="0.25">
      <c r="A874" s="7">
        <v>1</v>
      </c>
      <c r="B874" s="8">
        <v>43684</v>
      </c>
      <c r="C874" s="9" t="s">
        <v>6</v>
      </c>
      <c r="D874" s="10">
        <v>882.56699999999989</v>
      </c>
      <c r="E874" s="10">
        <v>852.23599999999999</v>
      </c>
      <c r="F874" t="str">
        <f>VLOOKUP(A874,StoreLookup,2,FALSE)</f>
        <v>Store#1</v>
      </c>
      <c r="G874">
        <f>INDEX(CalLookUpTable,MATCH($B874,CalLookUpRow,0),MATCH(G$1,CalLookUpColumn,0))</f>
        <v>2019</v>
      </c>
      <c r="H874">
        <f>INDEX(CalLookUpTable,MATCH($B874,CalLookUpRow,0),MATCH(H$1,CalLookUpColumn,0))</f>
        <v>8</v>
      </c>
      <c r="I874">
        <f>INDEX(CalLookUpTable,MATCH($B874,CalLookUpRow,0),MATCH(I$1,CalLookUpColumn,0))</f>
        <v>2</v>
      </c>
    </row>
    <row r="875" spans="1:9" x14ac:dyDescent="0.25">
      <c r="A875" s="7">
        <v>1</v>
      </c>
      <c r="B875" s="8">
        <v>43684</v>
      </c>
      <c r="C875" s="9" t="s">
        <v>3</v>
      </c>
      <c r="D875" s="10">
        <v>0</v>
      </c>
      <c r="E875" s="10">
        <v>460.411</v>
      </c>
      <c r="F875" t="str">
        <f>VLOOKUP(A875,StoreLookup,2,FALSE)</f>
        <v>Store#1</v>
      </c>
      <c r="G875">
        <f>INDEX(CalLookUpTable,MATCH($B875,CalLookUpRow,0),MATCH(G$1,CalLookUpColumn,0))</f>
        <v>2019</v>
      </c>
      <c r="H875">
        <f>INDEX(CalLookUpTable,MATCH($B875,CalLookUpRow,0),MATCH(H$1,CalLookUpColumn,0))</f>
        <v>8</v>
      </c>
      <c r="I875">
        <f>INDEX(CalLookUpTable,MATCH($B875,CalLookUpRow,0),MATCH(I$1,CalLookUpColumn,0))</f>
        <v>2</v>
      </c>
    </row>
    <row r="876" spans="1:9" x14ac:dyDescent="0.25">
      <c r="A876" s="7">
        <v>1</v>
      </c>
      <c r="B876" s="8">
        <v>43684</v>
      </c>
      <c r="C876" s="9" t="s">
        <v>4</v>
      </c>
      <c r="D876" s="10">
        <v>4227.4119999999994</v>
      </c>
      <c r="E876" s="10">
        <v>4376.7290000000003</v>
      </c>
      <c r="F876" t="str">
        <f>VLOOKUP(A876,StoreLookup,2,FALSE)</f>
        <v>Store#1</v>
      </c>
      <c r="G876">
        <f>INDEX(CalLookUpTable,MATCH($B876,CalLookUpRow,0),MATCH(G$1,CalLookUpColumn,0))</f>
        <v>2019</v>
      </c>
      <c r="H876">
        <f>INDEX(CalLookUpTable,MATCH($B876,CalLookUpRow,0),MATCH(H$1,CalLookUpColumn,0))</f>
        <v>8</v>
      </c>
      <c r="I876">
        <f>INDEX(CalLookUpTable,MATCH($B876,CalLookUpRow,0),MATCH(I$1,CalLookUpColumn,0))</f>
        <v>2</v>
      </c>
    </row>
    <row r="877" spans="1:9" x14ac:dyDescent="0.25">
      <c r="A877" s="7">
        <v>1</v>
      </c>
      <c r="B877" s="8">
        <v>43684</v>
      </c>
      <c r="C877" s="9" t="s">
        <v>5</v>
      </c>
      <c r="D877" s="10">
        <v>3530.2539999999999</v>
      </c>
      <c r="E877" s="10">
        <v>0</v>
      </c>
      <c r="F877" t="str">
        <f>VLOOKUP(A877,StoreLookup,2,FALSE)</f>
        <v>Store#1</v>
      </c>
      <c r="G877">
        <f>INDEX(CalLookUpTable,MATCH($B877,CalLookUpRow,0),MATCH(G$1,CalLookUpColumn,0))</f>
        <v>2019</v>
      </c>
      <c r="H877">
        <f>INDEX(CalLookUpTable,MATCH($B877,CalLookUpRow,0),MATCH(H$1,CalLookUpColumn,0))</f>
        <v>8</v>
      </c>
      <c r="I877">
        <f>INDEX(CalLookUpTable,MATCH($B877,CalLookUpRow,0),MATCH(I$1,CalLookUpColumn,0))</f>
        <v>2</v>
      </c>
    </row>
    <row r="878" spans="1:9" x14ac:dyDescent="0.25">
      <c r="A878" s="7">
        <v>1</v>
      </c>
      <c r="B878" s="8">
        <v>43685</v>
      </c>
      <c r="C878" s="9" t="s">
        <v>4</v>
      </c>
      <c r="D878" s="10">
        <v>3894.0369999999998</v>
      </c>
      <c r="E878" s="10">
        <v>4457.8519999999999</v>
      </c>
      <c r="F878" t="str">
        <f>VLOOKUP(A878,StoreLookup,2,FALSE)</f>
        <v>Store#1</v>
      </c>
      <c r="G878">
        <f>INDEX(CalLookUpTable,MATCH($B878,CalLookUpRow,0),MATCH(G$1,CalLookUpColumn,0))</f>
        <v>2019</v>
      </c>
      <c r="H878">
        <f>INDEX(CalLookUpTable,MATCH($B878,CalLookUpRow,0),MATCH(H$1,CalLookUpColumn,0))</f>
        <v>8</v>
      </c>
      <c r="I878">
        <f>INDEX(CalLookUpTable,MATCH($B878,CalLookUpRow,0),MATCH(I$1,CalLookUpColumn,0))</f>
        <v>2</v>
      </c>
    </row>
    <row r="879" spans="1:9" x14ac:dyDescent="0.25">
      <c r="A879" s="7">
        <v>1</v>
      </c>
      <c r="B879" s="8">
        <v>43685</v>
      </c>
      <c r="C879" s="9" t="s">
        <v>5</v>
      </c>
      <c r="D879" s="10">
        <v>3405.8009999999999</v>
      </c>
      <c r="E879" s="10">
        <v>0</v>
      </c>
      <c r="F879" t="str">
        <f>VLOOKUP(A879,StoreLookup,2,FALSE)</f>
        <v>Store#1</v>
      </c>
      <c r="G879">
        <f>INDEX(CalLookUpTable,MATCH($B879,CalLookUpRow,0),MATCH(G$1,CalLookUpColumn,0))</f>
        <v>2019</v>
      </c>
      <c r="H879">
        <f>INDEX(CalLookUpTable,MATCH($B879,CalLookUpRow,0),MATCH(H$1,CalLookUpColumn,0))</f>
        <v>8</v>
      </c>
      <c r="I879">
        <f>INDEX(CalLookUpTable,MATCH($B879,CalLookUpRow,0),MATCH(I$1,CalLookUpColumn,0))</f>
        <v>2</v>
      </c>
    </row>
    <row r="880" spans="1:9" x14ac:dyDescent="0.25">
      <c r="A880" s="7">
        <v>1</v>
      </c>
      <c r="B880" s="8">
        <v>43685</v>
      </c>
      <c r="C880" s="9" t="s">
        <v>6</v>
      </c>
      <c r="D880" s="10">
        <v>524.27200000000005</v>
      </c>
      <c r="E880" s="10">
        <v>1191.4839999999999</v>
      </c>
      <c r="F880" t="str">
        <f>VLOOKUP(A880,StoreLookup,2,FALSE)</f>
        <v>Store#1</v>
      </c>
      <c r="G880">
        <f>INDEX(CalLookUpTable,MATCH($B880,CalLookUpRow,0),MATCH(G$1,CalLookUpColumn,0))</f>
        <v>2019</v>
      </c>
      <c r="H880">
        <f>INDEX(CalLookUpTable,MATCH($B880,CalLookUpRow,0),MATCH(H$1,CalLookUpColumn,0))</f>
        <v>8</v>
      </c>
      <c r="I880">
        <f>INDEX(CalLookUpTable,MATCH($B880,CalLookUpRow,0),MATCH(I$1,CalLookUpColumn,0))</f>
        <v>2</v>
      </c>
    </row>
    <row r="881" spans="1:9" x14ac:dyDescent="0.25">
      <c r="A881" s="7">
        <v>1</v>
      </c>
      <c r="B881" s="8">
        <v>43685</v>
      </c>
      <c r="C881" s="9" t="s">
        <v>3</v>
      </c>
      <c r="D881" s="10">
        <v>43.077999999999996</v>
      </c>
      <c r="E881" s="10">
        <v>1674.694</v>
      </c>
      <c r="F881" t="str">
        <f>VLOOKUP(A881,StoreLookup,2,FALSE)</f>
        <v>Store#1</v>
      </c>
      <c r="G881">
        <f>INDEX(CalLookUpTable,MATCH($B881,CalLookUpRow,0),MATCH(G$1,CalLookUpColumn,0))</f>
        <v>2019</v>
      </c>
      <c r="H881">
        <f>INDEX(CalLookUpTable,MATCH($B881,CalLookUpRow,0),MATCH(H$1,CalLookUpColumn,0))</f>
        <v>8</v>
      </c>
      <c r="I881">
        <f>INDEX(CalLookUpTable,MATCH($B881,CalLookUpRow,0),MATCH(I$1,CalLookUpColumn,0))</f>
        <v>2</v>
      </c>
    </row>
    <row r="882" spans="1:9" x14ac:dyDescent="0.25">
      <c r="A882" s="7">
        <v>1</v>
      </c>
      <c r="B882" s="8">
        <v>43686</v>
      </c>
      <c r="C882" s="9" t="s">
        <v>6</v>
      </c>
      <c r="D882" s="10">
        <v>1037.8059999999998</v>
      </c>
      <c r="E882" s="10">
        <v>1969.0159999999998</v>
      </c>
      <c r="F882" t="str">
        <f>VLOOKUP(A882,StoreLookup,2,FALSE)</f>
        <v>Store#1</v>
      </c>
      <c r="G882">
        <f>INDEX(CalLookUpTable,MATCH($B882,CalLookUpRow,0),MATCH(G$1,CalLookUpColumn,0))</f>
        <v>2019</v>
      </c>
      <c r="H882">
        <f>INDEX(CalLookUpTable,MATCH($B882,CalLookUpRow,0),MATCH(H$1,CalLookUpColumn,0))</f>
        <v>8</v>
      </c>
      <c r="I882">
        <f>INDEX(CalLookUpTable,MATCH($B882,CalLookUpRow,0),MATCH(I$1,CalLookUpColumn,0))</f>
        <v>2</v>
      </c>
    </row>
    <row r="883" spans="1:9" x14ac:dyDescent="0.25">
      <c r="A883" s="7">
        <v>1</v>
      </c>
      <c r="B883" s="8">
        <v>43686</v>
      </c>
      <c r="C883" s="9" t="s">
        <v>4</v>
      </c>
      <c r="D883" s="10">
        <v>5054.0349999999999</v>
      </c>
      <c r="E883" s="10">
        <v>5117.2169999999996</v>
      </c>
      <c r="F883" t="str">
        <f>VLOOKUP(A883,StoreLookup,2,FALSE)</f>
        <v>Store#1</v>
      </c>
      <c r="G883">
        <f>INDEX(CalLookUpTable,MATCH($B883,CalLookUpRow,0),MATCH(G$1,CalLookUpColumn,0))</f>
        <v>2019</v>
      </c>
      <c r="H883">
        <f>INDEX(CalLookUpTable,MATCH($B883,CalLookUpRow,0),MATCH(H$1,CalLookUpColumn,0))</f>
        <v>8</v>
      </c>
      <c r="I883">
        <f>INDEX(CalLookUpTable,MATCH($B883,CalLookUpRow,0),MATCH(I$1,CalLookUpColumn,0))</f>
        <v>2</v>
      </c>
    </row>
    <row r="884" spans="1:9" x14ac:dyDescent="0.25">
      <c r="A884" s="7">
        <v>1</v>
      </c>
      <c r="B884" s="8">
        <v>43686</v>
      </c>
      <c r="C884" s="9" t="s">
        <v>3</v>
      </c>
      <c r="D884" s="10">
        <v>0</v>
      </c>
      <c r="E884" s="10">
        <v>1567.7059999999999</v>
      </c>
      <c r="F884" t="str">
        <f>VLOOKUP(A884,StoreLookup,2,FALSE)</f>
        <v>Store#1</v>
      </c>
      <c r="G884">
        <f>INDEX(CalLookUpTable,MATCH($B884,CalLookUpRow,0),MATCH(G$1,CalLookUpColumn,0))</f>
        <v>2019</v>
      </c>
      <c r="H884">
        <f>INDEX(CalLookUpTable,MATCH($B884,CalLookUpRow,0),MATCH(H$1,CalLookUpColumn,0))</f>
        <v>8</v>
      </c>
      <c r="I884">
        <f>INDEX(CalLookUpTable,MATCH($B884,CalLookUpRow,0),MATCH(I$1,CalLookUpColumn,0))</f>
        <v>2</v>
      </c>
    </row>
    <row r="885" spans="1:9" x14ac:dyDescent="0.25">
      <c r="A885" s="7">
        <v>1</v>
      </c>
      <c r="B885" s="8">
        <v>43686</v>
      </c>
      <c r="C885" s="9" t="s">
        <v>5</v>
      </c>
      <c r="D885" s="10">
        <v>3802.0009999999997</v>
      </c>
      <c r="E885" s="10">
        <v>0</v>
      </c>
      <c r="F885" t="str">
        <f>VLOOKUP(A885,StoreLookup,2,FALSE)</f>
        <v>Store#1</v>
      </c>
      <c r="G885">
        <f>INDEX(CalLookUpTable,MATCH($B885,CalLookUpRow,0),MATCH(G$1,CalLookUpColumn,0))</f>
        <v>2019</v>
      </c>
      <c r="H885">
        <f>INDEX(CalLookUpTable,MATCH($B885,CalLookUpRow,0),MATCH(H$1,CalLookUpColumn,0))</f>
        <v>8</v>
      </c>
      <c r="I885">
        <f>INDEX(CalLookUpTable,MATCH($B885,CalLookUpRow,0),MATCH(I$1,CalLookUpColumn,0))</f>
        <v>2</v>
      </c>
    </row>
    <row r="886" spans="1:9" x14ac:dyDescent="0.25">
      <c r="A886" s="7">
        <v>1</v>
      </c>
      <c r="B886" s="8">
        <v>43687</v>
      </c>
      <c r="C886" s="9" t="s">
        <v>6</v>
      </c>
      <c r="D886" s="10">
        <v>828.05799999999999</v>
      </c>
      <c r="E886" s="10">
        <v>1204.721</v>
      </c>
      <c r="F886" t="str">
        <f>VLOOKUP(A886,StoreLookup,2,FALSE)</f>
        <v>Store#1</v>
      </c>
      <c r="G886">
        <f>INDEX(CalLookUpTable,MATCH($B886,CalLookUpRow,0),MATCH(G$1,CalLookUpColumn,0))</f>
        <v>2019</v>
      </c>
      <c r="H886">
        <f>INDEX(CalLookUpTable,MATCH($B886,CalLookUpRow,0),MATCH(H$1,CalLookUpColumn,0))</f>
        <v>8</v>
      </c>
      <c r="I886">
        <f>INDEX(CalLookUpTable,MATCH($B886,CalLookUpRow,0),MATCH(I$1,CalLookUpColumn,0))</f>
        <v>2</v>
      </c>
    </row>
    <row r="887" spans="1:9" x14ac:dyDescent="0.25">
      <c r="A887" s="7">
        <v>1</v>
      </c>
      <c r="B887" s="8">
        <v>43687</v>
      </c>
      <c r="C887" s="9" t="s">
        <v>5</v>
      </c>
      <c r="D887" s="10">
        <v>3367.5459999999998</v>
      </c>
      <c r="E887" s="10">
        <v>0</v>
      </c>
      <c r="F887" t="str">
        <f>VLOOKUP(A887,StoreLookup,2,FALSE)</f>
        <v>Store#1</v>
      </c>
      <c r="G887">
        <f>INDEX(CalLookUpTable,MATCH($B887,CalLookUpRow,0),MATCH(G$1,CalLookUpColumn,0))</f>
        <v>2019</v>
      </c>
      <c r="H887">
        <f>INDEX(CalLookUpTable,MATCH($B887,CalLookUpRow,0),MATCH(H$1,CalLookUpColumn,0))</f>
        <v>8</v>
      </c>
      <c r="I887">
        <f>INDEX(CalLookUpTable,MATCH($B887,CalLookUpRow,0),MATCH(I$1,CalLookUpColumn,0))</f>
        <v>2</v>
      </c>
    </row>
    <row r="888" spans="1:9" x14ac:dyDescent="0.25">
      <c r="A888" s="7">
        <v>1</v>
      </c>
      <c r="B888" s="8">
        <v>43687</v>
      </c>
      <c r="C888" s="9" t="s">
        <v>3</v>
      </c>
      <c r="D888" s="10">
        <v>0</v>
      </c>
      <c r="E888" s="10">
        <v>257.005</v>
      </c>
      <c r="F888" t="str">
        <f>VLOOKUP(A888,StoreLookup,2,FALSE)</f>
        <v>Store#1</v>
      </c>
      <c r="G888">
        <f>INDEX(CalLookUpTable,MATCH($B888,CalLookUpRow,0),MATCH(G$1,CalLookUpColumn,0))</f>
        <v>2019</v>
      </c>
      <c r="H888">
        <f>INDEX(CalLookUpTable,MATCH($B888,CalLookUpRow,0),MATCH(H$1,CalLookUpColumn,0))</f>
        <v>8</v>
      </c>
      <c r="I888">
        <f>INDEX(CalLookUpTable,MATCH($B888,CalLookUpRow,0),MATCH(I$1,CalLookUpColumn,0))</f>
        <v>2</v>
      </c>
    </row>
    <row r="889" spans="1:9" x14ac:dyDescent="0.25">
      <c r="A889" s="7">
        <v>1</v>
      </c>
      <c r="B889" s="8">
        <v>43687</v>
      </c>
      <c r="C889" s="9" t="s">
        <v>4</v>
      </c>
      <c r="D889" s="10">
        <v>5178.7679999999991</v>
      </c>
      <c r="E889" s="10">
        <v>5423.8309999999992</v>
      </c>
      <c r="F889" t="str">
        <f>VLOOKUP(A889,StoreLookup,2,FALSE)</f>
        <v>Store#1</v>
      </c>
      <c r="G889">
        <f>INDEX(CalLookUpTable,MATCH($B889,CalLookUpRow,0),MATCH(G$1,CalLookUpColumn,0))</f>
        <v>2019</v>
      </c>
      <c r="H889">
        <f>INDEX(CalLookUpTable,MATCH($B889,CalLookUpRow,0),MATCH(H$1,CalLookUpColumn,0))</f>
        <v>8</v>
      </c>
      <c r="I889">
        <f>INDEX(CalLookUpTable,MATCH($B889,CalLookUpRow,0),MATCH(I$1,CalLookUpColumn,0))</f>
        <v>2</v>
      </c>
    </row>
    <row r="890" spans="1:9" x14ac:dyDescent="0.25">
      <c r="A890" s="7">
        <v>1</v>
      </c>
      <c r="B890" s="8">
        <v>43688</v>
      </c>
      <c r="C890" s="9" t="s">
        <v>6</v>
      </c>
      <c r="D890" s="10">
        <v>294.82599999999996</v>
      </c>
      <c r="E890" s="10">
        <v>444.87099999999998</v>
      </c>
      <c r="F890" t="str">
        <f>VLOOKUP(A890,StoreLookup,2,FALSE)</f>
        <v>Store#1</v>
      </c>
      <c r="G890">
        <f>INDEX(CalLookUpTable,MATCH($B890,CalLookUpRow,0),MATCH(G$1,CalLookUpColumn,0))</f>
        <v>2019</v>
      </c>
      <c r="H890">
        <f>INDEX(CalLookUpTable,MATCH($B890,CalLookUpRow,0),MATCH(H$1,CalLookUpColumn,0))</f>
        <v>8</v>
      </c>
      <c r="I890">
        <f>INDEX(CalLookUpTable,MATCH($B890,CalLookUpRow,0),MATCH(I$1,CalLookUpColumn,0))</f>
        <v>2</v>
      </c>
    </row>
    <row r="891" spans="1:9" x14ac:dyDescent="0.25">
      <c r="A891" s="7">
        <v>1</v>
      </c>
      <c r="B891" s="8">
        <v>43688</v>
      </c>
      <c r="C891" s="9" t="s">
        <v>4</v>
      </c>
      <c r="D891" s="10">
        <v>2770.6349999999998</v>
      </c>
      <c r="E891" s="10">
        <v>2834.8109999999997</v>
      </c>
      <c r="F891" t="str">
        <f>VLOOKUP(A891,StoreLookup,2,FALSE)</f>
        <v>Store#1</v>
      </c>
      <c r="G891">
        <f>INDEX(CalLookUpTable,MATCH($B891,CalLookUpRow,0),MATCH(G$1,CalLookUpColumn,0))</f>
        <v>2019</v>
      </c>
      <c r="H891">
        <f>INDEX(CalLookUpTable,MATCH($B891,CalLookUpRow,0),MATCH(H$1,CalLookUpColumn,0))</f>
        <v>8</v>
      </c>
      <c r="I891">
        <f>INDEX(CalLookUpTable,MATCH($B891,CalLookUpRow,0),MATCH(I$1,CalLookUpColumn,0))</f>
        <v>2</v>
      </c>
    </row>
    <row r="892" spans="1:9" x14ac:dyDescent="0.25">
      <c r="A892" s="7">
        <v>1</v>
      </c>
      <c r="B892" s="8">
        <v>43688</v>
      </c>
      <c r="C892" s="9" t="s">
        <v>5</v>
      </c>
      <c r="D892" s="10">
        <v>2097.172</v>
      </c>
      <c r="E892" s="10">
        <v>0</v>
      </c>
      <c r="F892" t="str">
        <f>VLOOKUP(A892,StoreLookup,2,FALSE)</f>
        <v>Store#1</v>
      </c>
      <c r="G892">
        <f>INDEX(CalLookUpTable,MATCH($B892,CalLookUpRow,0),MATCH(G$1,CalLookUpColumn,0))</f>
        <v>2019</v>
      </c>
      <c r="H892">
        <f>INDEX(CalLookUpTable,MATCH($B892,CalLookUpRow,0),MATCH(H$1,CalLookUpColumn,0))</f>
        <v>8</v>
      </c>
      <c r="I892">
        <f>INDEX(CalLookUpTable,MATCH($B892,CalLookUpRow,0),MATCH(I$1,CalLookUpColumn,0))</f>
        <v>2</v>
      </c>
    </row>
    <row r="893" spans="1:9" x14ac:dyDescent="0.25">
      <c r="A893" s="7">
        <v>1</v>
      </c>
      <c r="B893" s="8">
        <v>43688</v>
      </c>
      <c r="C893" s="9" t="s">
        <v>3</v>
      </c>
      <c r="D893" s="10">
        <v>0</v>
      </c>
      <c r="E893" s="10">
        <v>269.85699999999997</v>
      </c>
      <c r="F893" t="str">
        <f>VLOOKUP(A893,StoreLookup,2,FALSE)</f>
        <v>Store#1</v>
      </c>
      <c r="G893">
        <f>INDEX(CalLookUpTable,MATCH($B893,CalLookUpRow,0),MATCH(G$1,CalLookUpColumn,0))</f>
        <v>2019</v>
      </c>
      <c r="H893">
        <f>INDEX(CalLookUpTable,MATCH($B893,CalLookUpRow,0),MATCH(H$1,CalLookUpColumn,0))</f>
        <v>8</v>
      </c>
      <c r="I893">
        <f>INDEX(CalLookUpTable,MATCH($B893,CalLookUpRow,0),MATCH(I$1,CalLookUpColumn,0))</f>
        <v>2</v>
      </c>
    </row>
    <row r="894" spans="1:9" x14ac:dyDescent="0.25">
      <c r="A894" s="7">
        <v>1</v>
      </c>
      <c r="B894" s="8">
        <v>43689</v>
      </c>
      <c r="C894" s="9" t="s">
        <v>6</v>
      </c>
      <c r="D894" s="10">
        <v>720.51699999999994</v>
      </c>
      <c r="E894" s="10">
        <v>1454.3759999999997</v>
      </c>
      <c r="F894" t="str">
        <f>VLOOKUP(A894,StoreLookup,2,FALSE)</f>
        <v>Store#1</v>
      </c>
      <c r="G894">
        <f>INDEX(CalLookUpTable,MATCH($B894,CalLookUpRow,0),MATCH(G$1,CalLookUpColumn,0))</f>
        <v>2019</v>
      </c>
      <c r="H894">
        <f>INDEX(CalLookUpTable,MATCH($B894,CalLookUpRow,0),MATCH(H$1,CalLookUpColumn,0))</f>
        <v>8</v>
      </c>
      <c r="I894">
        <f>INDEX(CalLookUpTable,MATCH($B894,CalLookUpRow,0),MATCH(I$1,CalLookUpColumn,0))</f>
        <v>3</v>
      </c>
    </row>
    <row r="895" spans="1:9" x14ac:dyDescent="0.25">
      <c r="A895" s="7">
        <v>1</v>
      </c>
      <c r="B895" s="8">
        <v>43689</v>
      </c>
      <c r="C895" s="9" t="s">
        <v>4</v>
      </c>
      <c r="D895" s="10">
        <v>3928.7429999999995</v>
      </c>
      <c r="E895" s="10">
        <v>4651.6260000000002</v>
      </c>
      <c r="F895" t="str">
        <f>VLOOKUP(A895,StoreLookup,2,FALSE)</f>
        <v>Store#1</v>
      </c>
      <c r="G895">
        <f>INDEX(CalLookUpTable,MATCH($B895,CalLookUpRow,0),MATCH(G$1,CalLookUpColumn,0))</f>
        <v>2019</v>
      </c>
      <c r="H895">
        <f>INDEX(CalLookUpTable,MATCH($B895,CalLookUpRow,0),MATCH(H$1,CalLookUpColumn,0))</f>
        <v>8</v>
      </c>
      <c r="I895">
        <f>INDEX(CalLookUpTable,MATCH($B895,CalLookUpRow,0),MATCH(I$1,CalLookUpColumn,0))</f>
        <v>3</v>
      </c>
    </row>
    <row r="896" spans="1:9" x14ac:dyDescent="0.25">
      <c r="A896" s="7">
        <v>1</v>
      </c>
      <c r="B896" s="8">
        <v>43689</v>
      </c>
      <c r="C896" s="9" t="s">
        <v>5</v>
      </c>
      <c r="D896" s="10">
        <v>3097.4089999999997</v>
      </c>
      <c r="E896" s="10">
        <v>0</v>
      </c>
      <c r="F896" t="str">
        <f>VLOOKUP(A896,StoreLookup,2,FALSE)</f>
        <v>Store#1</v>
      </c>
      <c r="G896">
        <f>INDEX(CalLookUpTable,MATCH($B896,CalLookUpRow,0),MATCH(G$1,CalLookUpColumn,0))</f>
        <v>2019</v>
      </c>
      <c r="H896">
        <f>INDEX(CalLookUpTable,MATCH($B896,CalLookUpRow,0),MATCH(H$1,CalLookUpColumn,0))</f>
        <v>8</v>
      </c>
      <c r="I896">
        <f>INDEX(CalLookUpTable,MATCH($B896,CalLookUpRow,0),MATCH(I$1,CalLookUpColumn,0))</f>
        <v>3</v>
      </c>
    </row>
    <row r="897" spans="1:9" x14ac:dyDescent="0.25">
      <c r="A897" s="7">
        <v>1</v>
      </c>
      <c r="B897" s="8">
        <v>43689</v>
      </c>
      <c r="C897" s="9" t="s">
        <v>3</v>
      </c>
      <c r="D897" s="10">
        <v>365.81299999999999</v>
      </c>
      <c r="E897" s="10">
        <v>936.14499999999987</v>
      </c>
      <c r="F897" t="str">
        <f>VLOOKUP(A897,StoreLookup,2,FALSE)</f>
        <v>Store#1</v>
      </c>
      <c r="G897">
        <f>INDEX(CalLookUpTable,MATCH($B897,CalLookUpRow,0),MATCH(G$1,CalLookUpColumn,0))</f>
        <v>2019</v>
      </c>
      <c r="H897">
        <f>INDEX(CalLookUpTable,MATCH($B897,CalLookUpRow,0),MATCH(H$1,CalLookUpColumn,0))</f>
        <v>8</v>
      </c>
      <c r="I897">
        <f>INDEX(CalLookUpTable,MATCH($B897,CalLookUpRow,0),MATCH(I$1,CalLookUpColumn,0))</f>
        <v>3</v>
      </c>
    </row>
    <row r="898" spans="1:9" x14ac:dyDescent="0.25">
      <c r="A898" s="7">
        <v>1</v>
      </c>
      <c r="B898" s="8">
        <v>43690</v>
      </c>
      <c r="C898" s="9" t="s">
        <v>4</v>
      </c>
      <c r="D898" s="10">
        <v>4837.3499999999995</v>
      </c>
      <c r="E898" s="10">
        <v>5666.99</v>
      </c>
      <c r="F898" t="str">
        <f>VLOOKUP(A898,StoreLookup,2,FALSE)</f>
        <v>Store#1</v>
      </c>
      <c r="G898">
        <f>INDEX(CalLookUpTable,MATCH($B898,CalLookUpRow,0),MATCH(G$1,CalLookUpColumn,0))</f>
        <v>2019</v>
      </c>
      <c r="H898">
        <f>INDEX(CalLookUpTable,MATCH($B898,CalLookUpRow,0),MATCH(H$1,CalLookUpColumn,0))</f>
        <v>8</v>
      </c>
      <c r="I898">
        <f>INDEX(CalLookUpTable,MATCH($B898,CalLookUpRow,0),MATCH(I$1,CalLookUpColumn,0))</f>
        <v>3</v>
      </c>
    </row>
    <row r="899" spans="1:9" x14ac:dyDescent="0.25">
      <c r="A899" s="7">
        <v>1</v>
      </c>
      <c r="B899" s="8">
        <v>43690</v>
      </c>
      <c r="C899" s="9" t="s">
        <v>3</v>
      </c>
      <c r="D899" s="10">
        <v>155.04999999999998</v>
      </c>
      <c r="E899" s="10">
        <v>0</v>
      </c>
      <c r="F899" t="str">
        <f>VLOOKUP(A899,StoreLookup,2,FALSE)</f>
        <v>Store#1</v>
      </c>
      <c r="G899">
        <f>INDEX(CalLookUpTable,MATCH($B899,CalLookUpRow,0),MATCH(G$1,CalLookUpColumn,0))</f>
        <v>2019</v>
      </c>
      <c r="H899">
        <f>INDEX(CalLookUpTable,MATCH($B899,CalLookUpRow,0),MATCH(H$1,CalLookUpColumn,0))</f>
        <v>8</v>
      </c>
      <c r="I899">
        <f>INDEX(CalLookUpTable,MATCH($B899,CalLookUpRow,0),MATCH(I$1,CalLookUpColumn,0))</f>
        <v>3</v>
      </c>
    </row>
    <row r="900" spans="1:9" x14ac:dyDescent="0.25">
      <c r="A900" s="7">
        <v>1</v>
      </c>
      <c r="B900" s="8">
        <v>43690</v>
      </c>
      <c r="C900" s="9" t="s">
        <v>5</v>
      </c>
      <c r="D900" s="10">
        <v>3616.0949999999998</v>
      </c>
      <c r="E900" s="10">
        <v>0</v>
      </c>
      <c r="F900" t="str">
        <f>VLOOKUP(A900,StoreLookup,2,FALSE)</f>
        <v>Store#1</v>
      </c>
      <c r="G900">
        <f>INDEX(CalLookUpTable,MATCH($B900,CalLookUpRow,0),MATCH(G$1,CalLookUpColumn,0))</f>
        <v>2019</v>
      </c>
      <c r="H900">
        <f>INDEX(CalLookUpTable,MATCH($B900,CalLookUpRow,0),MATCH(H$1,CalLookUpColumn,0))</f>
        <v>8</v>
      </c>
      <c r="I900">
        <f>INDEX(CalLookUpTable,MATCH($B900,CalLookUpRow,0),MATCH(I$1,CalLookUpColumn,0))</f>
        <v>3</v>
      </c>
    </row>
    <row r="901" spans="1:9" x14ac:dyDescent="0.25">
      <c r="A901" s="7">
        <v>1</v>
      </c>
      <c r="B901" s="8">
        <v>43690</v>
      </c>
      <c r="C901" s="9" t="s">
        <v>6</v>
      </c>
      <c r="D901" s="10">
        <v>701.07099999999991</v>
      </c>
      <c r="E901" s="10">
        <v>1575.7839999999999</v>
      </c>
      <c r="F901" t="str">
        <f>VLOOKUP(A901,StoreLookup,2,FALSE)</f>
        <v>Store#1</v>
      </c>
      <c r="G901">
        <f>INDEX(CalLookUpTable,MATCH($B901,CalLookUpRow,0),MATCH(G$1,CalLookUpColumn,0))</f>
        <v>2019</v>
      </c>
      <c r="H901">
        <f>INDEX(CalLookUpTable,MATCH($B901,CalLookUpRow,0),MATCH(H$1,CalLookUpColumn,0))</f>
        <v>8</v>
      </c>
      <c r="I901">
        <f>INDEX(CalLookUpTable,MATCH($B901,CalLookUpRow,0),MATCH(I$1,CalLookUpColumn,0))</f>
        <v>3</v>
      </c>
    </row>
    <row r="902" spans="1:9" x14ac:dyDescent="0.25">
      <c r="A902" s="7">
        <v>1</v>
      </c>
      <c r="B902" s="8">
        <v>43691</v>
      </c>
      <c r="C902" s="9" t="s">
        <v>6</v>
      </c>
      <c r="D902" s="10">
        <v>645.37900000000002</v>
      </c>
      <c r="E902" s="10">
        <v>1427.2929999999999</v>
      </c>
      <c r="F902" t="str">
        <f>VLOOKUP(A902,StoreLookup,2,FALSE)</f>
        <v>Store#1</v>
      </c>
      <c r="G902">
        <f>INDEX(CalLookUpTable,MATCH($B902,CalLookUpRow,0),MATCH(G$1,CalLookUpColumn,0))</f>
        <v>2019</v>
      </c>
      <c r="H902">
        <f>INDEX(CalLookUpTable,MATCH($B902,CalLookUpRow,0),MATCH(H$1,CalLookUpColumn,0))</f>
        <v>8</v>
      </c>
      <c r="I902">
        <f>INDEX(CalLookUpTable,MATCH($B902,CalLookUpRow,0),MATCH(I$1,CalLookUpColumn,0))</f>
        <v>3</v>
      </c>
    </row>
    <row r="903" spans="1:9" x14ac:dyDescent="0.25">
      <c r="A903" s="7">
        <v>1</v>
      </c>
      <c r="B903" s="8">
        <v>43691</v>
      </c>
      <c r="C903" s="9" t="s">
        <v>3</v>
      </c>
      <c r="D903" s="10">
        <v>18.186</v>
      </c>
      <c r="E903" s="10">
        <v>554.61699999999996</v>
      </c>
      <c r="F903" t="str">
        <f>VLOOKUP(A903,StoreLookup,2,FALSE)</f>
        <v>Store#1</v>
      </c>
      <c r="G903">
        <f>INDEX(CalLookUpTable,MATCH($B903,CalLookUpRow,0),MATCH(G$1,CalLookUpColumn,0))</f>
        <v>2019</v>
      </c>
      <c r="H903">
        <f>INDEX(CalLookUpTable,MATCH($B903,CalLookUpRow,0),MATCH(H$1,CalLookUpColumn,0))</f>
        <v>8</v>
      </c>
      <c r="I903">
        <f>INDEX(CalLookUpTable,MATCH($B903,CalLookUpRow,0),MATCH(I$1,CalLookUpColumn,0))</f>
        <v>3</v>
      </c>
    </row>
    <row r="904" spans="1:9" x14ac:dyDescent="0.25">
      <c r="A904" s="7">
        <v>1</v>
      </c>
      <c r="B904" s="8">
        <v>43691</v>
      </c>
      <c r="C904" s="9" t="s">
        <v>4</v>
      </c>
      <c r="D904" s="10">
        <v>4192.9719999999998</v>
      </c>
      <c r="E904" s="10">
        <v>5045.866</v>
      </c>
      <c r="F904" t="str">
        <f>VLOOKUP(A904,StoreLookup,2,FALSE)</f>
        <v>Store#1</v>
      </c>
      <c r="G904">
        <f>INDEX(CalLookUpTable,MATCH($B904,CalLookUpRow,0),MATCH(G$1,CalLookUpColumn,0))</f>
        <v>2019</v>
      </c>
      <c r="H904">
        <f>INDEX(CalLookUpTable,MATCH($B904,CalLookUpRow,0),MATCH(H$1,CalLookUpColumn,0))</f>
        <v>8</v>
      </c>
      <c r="I904">
        <f>INDEX(CalLookUpTable,MATCH($B904,CalLookUpRow,0),MATCH(I$1,CalLookUpColumn,0))</f>
        <v>3</v>
      </c>
    </row>
    <row r="905" spans="1:9" x14ac:dyDescent="0.25">
      <c r="A905" s="7">
        <v>1</v>
      </c>
      <c r="B905" s="8">
        <v>43691</v>
      </c>
      <c r="C905" s="9" t="s">
        <v>5</v>
      </c>
      <c r="D905" s="10">
        <v>3324.1039999999998</v>
      </c>
      <c r="E905" s="10">
        <v>0</v>
      </c>
      <c r="F905" t="str">
        <f>VLOOKUP(A905,StoreLookup,2,FALSE)</f>
        <v>Store#1</v>
      </c>
      <c r="G905">
        <f>INDEX(CalLookUpTable,MATCH($B905,CalLookUpRow,0),MATCH(G$1,CalLookUpColumn,0))</f>
        <v>2019</v>
      </c>
      <c r="H905">
        <f>INDEX(CalLookUpTable,MATCH($B905,CalLookUpRow,0),MATCH(H$1,CalLookUpColumn,0))</f>
        <v>8</v>
      </c>
      <c r="I905">
        <f>INDEX(CalLookUpTable,MATCH($B905,CalLookUpRow,0),MATCH(I$1,CalLookUpColumn,0))</f>
        <v>3</v>
      </c>
    </row>
    <row r="906" spans="1:9" x14ac:dyDescent="0.25">
      <c r="A906" s="7">
        <v>1</v>
      </c>
      <c r="B906" s="8">
        <v>43692</v>
      </c>
      <c r="C906" s="9" t="s">
        <v>4</v>
      </c>
      <c r="D906" s="10">
        <v>5257.1749999999993</v>
      </c>
      <c r="E906" s="10">
        <v>4862.2069999999994</v>
      </c>
      <c r="F906" t="str">
        <f>VLOOKUP(A906,StoreLookup,2,FALSE)</f>
        <v>Store#1</v>
      </c>
      <c r="G906">
        <f>INDEX(CalLookUpTable,MATCH($B906,CalLookUpRow,0),MATCH(G$1,CalLookUpColumn,0))</f>
        <v>2019</v>
      </c>
      <c r="H906">
        <f>INDEX(CalLookUpTable,MATCH($B906,CalLookUpRow,0),MATCH(H$1,CalLookUpColumn,0))</f>
        <v>8</v>
      </c>
      <c r="I906">
        <f>INDEX(CalLookUpTable,MATCH($B906,CalLookUpRow,0),MATCH(I$1,CalLookUpColumn,0))</f>
        <v>3</v>
      </c>
    </row>
    <row r="907" spans="1:9" x14ac:dyDescent="0.25">
      <c r="A907" s="7">
        <v>1</v>
      </c>
      <c r="B907" s="8">
        <v>43692</v>
      </c>
      <c r="C907" s="9" t="s">
        <v>5</v>
      </c>
      <c r="D907" s="10">
        <v>3344.5439999999999</v>
      </c>
      <c r="E907" s="10">
        <v>0</v>
      </c>
      <c r="F907" t="str">
        <f>VLOOKUP(A907,StoreLookup,2,FALSE)</f>
        <v>Store#1</v>
      </c>
      <c r="G907">
        <f>INDEX(CalLookUpTable,MATCH($B907,CalLookUpRow,0),MATCH(G$1,CalLookUpColumn,0))</f>
        <v>2019</v>
      </c>
      <c r="H907">
        <f>INDEX(CalLookUpTable,MATCH($B907,CalLookUpRow,0),MATCH(H$1,CalLookUpColumn,0))</f>
        <v>8</v>
      </c>
      <c r="I907">
        <f>INDEX(CalLookUpTable,MATCH($B907,CalLookUpRow,0),MATCH(I$1,CalLookUpColumn,0))</f>
        <v>3</v>
      </c>
    </row>
    <row r="908" spans="1:9" x14ac:dyDescent="0.25">
      <c r="A908" s="7">
        <v>1</v>
      </c>
      <c r="B908" s="8">
        <v>43692</v>
      </c>
      <c r="C908" s="9" t="s">
        <v>6</v>
      </c>
      <c r="D908" s="10">
        <v>778.75699999999995</v>
      </c>
      <c r="E908" s="10">
        <v>1234.2259999999999</v>
      </c>
      <c r="F908" t="str">
        <f>VLOOKUP(A908,StoreLookup,2,FALSE)</f>
        <v>Store#1</v>
      </c>
      <c r="G908">
        <f>INDEX(CalLookUpTable,MATCH($B908,CalLookUpRow,0),MATCH(G$1,CalLookUpColumn,0))</f>
        <v>2019</v>
      </c>
      <c r="H908">
        <f>INDEX(CalLookUpTable,MATCH($B908,CalLookUpRow,0),MATCH(H$1,CalLookUpColumn,0))</f>
        <v>8</v>
      </c>
      <c r="I908">
        <f>INDEX(CalLookUpTable,MATCH($B908,CalLookUpRow,0),MATCH(I$1,CalLookUpColumn,0))</f>
        <v>3</v>
      </c>
    </row>
    <row r="909" spans="1:9" x14ac:dyDescent="0.25">
      <c r="A909" s="7">
        <v>1</v>
      </c>
      <c r="B909" s="8">
        <v>43692</v>
      </c>
      <c r="C909" s="9" t="s">
        <v>3</v>
      </c>
      <c r="D909" s="10">
        <v>0</v>
      </c>
      <c r="E909" s="10">
        <v>1001.826</v>
      </c>
      <c r="F909" t="str">
        <f>VLOOKUP(A909,StoreLookup,2,FALSE)</f>
        <v>Store#1</v>
      </c>
      <c r="G909">
        <f>INDEX(CalLookUpTable,MATCH($B909,CalLookUpRow,0),MATCH(G$1,CalLookUpColumn,0))</f>
        <v>2019</v>
      </c>
      <c r="H909">
        <f>INDEX(CalLookUpTable,MATCH($B909,CalLookUpRow,0),MATCH(H$1,CalLookUpColumn,0))</f>
        <v>8</v>
      </c>
      <c r="I909">
        <f>INDEX(CalLookUpTable,MATCH($B909,CalLookUpRow,0),MATCH(I$1,CalLookUpColumn,0))</f>
        <v>3</v>
      </c>
    </row>
    <row r="910" spans="1:9" x14ac:dyDescent="0.25">
      <c r="A910" s="7">
        <v>1</v>
      </c>
      <c r="B910" s="8">
        <v>43693</v>
      </c>
      <c r="C910" s="9" t="s">
        <v>3</v>
      </c>
      <c r="D910" s="10">
        <v>174.559</v>
      </c>
      <c r="E910" s="10">
        <v>977.20699999999988</v>
      </c>
      <c r="F910" t="str">
        <f>VLOOKUP(A910,StoreLookup,2,FALSE)</f>
        <v>Store#1</v>
      </c>
      <c r="G910">
        <f>INDEX(CalLookUpTable,MATCH($B910,CalLookUpRow,0),MATCH(G$1,CalLookUpColumn,0))</f>
        <v>2019</v>
      </c>
      <c r="H910">
        <f>INDEX(CalLookUpTable,MATCH($B910,CalLookUpRow,0),MATCH(H$1,CalLookUpColumn,0))</f>
        <v>8</v>
      </c>
      <c r="I910">
        <f>INDEX(CalLookUpTable,MATCH($B910,CalLookUpRow,0),MATCH(I$1,CalLookUpColumn,0))</f>
        <v>3</v>
      </c>
    </row>
    <row r="911" spans="1:9" x14ac:dyDescent="0.25">
      <c r="A911" s="7">
        <v>1</v>
      </c>
      <c r="B911" s="8">
        <v>43693</v>
      </c>
      <c r="C911" s="9" t="s">
        <v>5</v>
      </c>
      <c r="D911" s="10">
        <v>3946.6559999999995</v>
      </c>
      <c r="E911" s="10">
        <v>0</v>
      </c>
      <c r="F911" t="str">
        <f>VLOOKUP(A911,StoreLookup,2,FALSE)</f>
        <v>Store#1</v>
      </c>
      <c r="G911">
        <f>INDEX(CalLookUpTable,MATCH($B911,CalLookUpRow,0),MATCH(G$1,CalLookUpColumn,0))</f>
        <v>2019</v>
      </c>
      <c r="H911">
        <f>INDEX(CalLookUpTable,MATCH($B911,CalLookUpRow,0),MATCH(H$1,CalLookUpColumn,0))</f>
        <v>8</v>
      </c>
      <c r="I911">
        <f>INDEX(CalLookUpTable,MATCH($B911,CalLookUpRow,0),MATCH(I$1,CalLookUpColumn,0))</f>
        <v>3</v>
      </c>
    </row>
    <row r="912" spans="1:9" x14ac:dyDescent="0.25">
      <c r="A912" s="7">
        <v>1</v>
      </c>
      <c r="B912" s="8">
        <v>43693</v>
      </c>
      <c r="C912" s="9" t="s">
        <v>6</v>
      </c>
      <c r="D912" s="10">
        <v>942.32600000000002</v>
      </c>
      <c r="E912" s="10">
        <v>1422.6519999999998</v>
      </c>
      <c r="F912" t="str">
        <f>VLOOKUP(A912,StoreLookup,2,FALSE)</f>
        <v>Store#1</v>
      </c>
      <c r="G912">
        <f>INDEX(CalLookUpTable,MATCH($B912,CalLookUpRow,0),MATCH(G$1,CalLookUpColumn,0))</f>
        <v>2019</v>
      </c>
      <c r="H912">
        <f>INDEX(CalLookUpTable,MATCH($B912,CalLookUpRow,0),MATCH(H$1,CalLookUpColumn,0))</f>
        <v>8</v>
      </c>
      <c r="I912">
        <f>INDEX(CalLookUpTable,MATCH($B912,CalLookUpRow,0),MATCH(I$1,CalLookUpColumn,0))</f>
        <v>3</v>
      </c>
    </row>
    <row r="913" spans="1:9" x14ac:dyDescent="0.25">
      <c r="A913" s="7">
        <v>1</v>
      </c>
      <c r="B913" s="8">
        <v>43693</v>
      </c>
      <c r="C913" s="9" t="s">
        <v>4</v>
      </c>
      <c r="D913" s="10">
        <v>5237.54</v>
      </c>
      <c r="E913" s="10">
        <v>5879.7129999999997</v>
      </c>
      <c r="F913" t="str">
        <f>VLOOKUP(A913,StoreLookup,2,FALSE)</f>
        <v>Store#1</v>
      </c>
      <c r="G913">
        <f>INDEX(CalLookUpTable,MATCH($B913,CalLookUpRow,0),MATCH(G$1,CalLookUpColumn,0))</f>
        <v>2019</v>
      </c>
      <c r="H913">
        <f>INDEX(CalLookUpTable,MATCH($B913,CalLookUpRow,0),MATCH(H$1,CalLookUpColumn,0))</f>
        <v>8</v>
      </c>
      <c r="I913">
        <f>INDEX(CalLookUpTable,MATCH($B913,CalLookUpRow,0),MATCH(I$1,CalLookUpColumn,0))</f>
        <v>3</v>
      </c>
    </row>
    <row r="914" spans="1:9" x14ac:dyDescent="0.25">
      <c r="A914" s="7">
        <v>1</v>
      </c>
      <c r="B914" s="8">
        <v>43694</v>
      </c>
      <c r="C914" s="9" t="s">
        <v>6</v>
      </c>
      <c r="D914" s="10">
        <v>567.51099999999997</v>
      </c>
      <c r="E914" s="10">
        <v>1037.8899999999999</v>
      </c>
      <c r="F914" t="str">
        <f>VLOOKUP(A914,StoreLookup,2,FALSE)</f>
        <v>Store#1</v>
      </c>
      <c r="G914">
        <f>INDEX(CalLookUpTable,MATCH($B914,CalLookUpRow,0),MATCH(G$1,CalLookUpColumn,0))</f>
        <v>2019</v>
      </c>
      <c r="H914">
        <f>INDEX(CalLookUpTable,MATCH($B914,CalLookUpRow,0),MATCH(H$1,CalLookUpColumn,0))</f>
        <v>8</v>
      </c>
      <c r="I914">
        <f>INDEX(CalLookUpTable,MATCH($B914,CalLookUpRow,0),MATCH(I$1,CalLookUpColumn,0))</f>
        <v>3</v>
      </c>
    </row>
    <row r="915" spans="1:9" x14ac:dyDescent="0.25">
      <c r="A915" s="7">
        <v>1</v>
      </c>
      <c r="B915" s="8">
        <v>43694</v>
      </c>
      <c r="C915" s="9" t="s">
        <v>3</v>
      </c>
      <c r="D915" s="10">
        <v>28.518000000000001</v>
      </c>
      <c r="E915" s="10">
        <v>1651.8809999999999</v>
      </c>
      <c r="F915" t="str">
        <f>VLOOKUP(A915,StoreLookup,2,FALSE)</f>
        <v>Store#1</v>
      </c>
      <c r="G915">
        <f>INDEX(CalLookUpTable,MATCH($B915,CalLookUpRow,0),MATCH(G$1,CalLookUpColumn,0))</f>
        <v>2019</v>
      </c>
      <c r="H915">
        <f>INDEX(CalLookUpTable,MATCH($B915,CalLookUpRow,0),MATCH(H$1,CalLookUpColumn,0))</f>
        <v>8</v>
      </c>
      <c r="I915">
        <f>INDEX(CalLookUpTable,MATCH($B915,CalLookUpRow,0),MATCH(I$1,CalLookUpColumn,0))</f>
        <v>3</v>
      </c>
    </row>
    <row r="916" spans="1:9" x14ac:dyDescent="0.25">
      <c r="A916" s="7">
        <v>1</v>
      </c>
      <c r="B916" s="8">
        <v>43694</v>
      </c>
      <c r="C916" s="9" t="s">
        <v>4</v>
      </c>
      <c r="D916" s="10">
        <v>5129.7190000000001</v>
      </c>
      <c r="E916" s="10">
        <v>5954.2840000000006</v>
      </c>
      <c r="F916" t="str">
        <f>VLOOKUP(A916,StoreLookup,2,FALSE)</f>
        <v>Store#1</v>
      </c>
      <c r="G916">
        <f>INDEX(CalLookUpTable,MATCH($B916,CalLookUpRow,0),MATCH(G$1,CalLookUpColumn,0))</f>
        <v>2019</v>
      </c>
      <c r="H916">
        <f>INDEX(CalLookUpTable,MATCH($B916,CalLookUpRow,0),MATCH(H$1,CalLookUpColumn,0))</f>
        <v>8</v>
      </c>
      <c r="I916">
        <f>INDEX(CalLookUpTable,MATCH($B916,CalLookUpRow,0),MATCH(I$1,CalLookUpColumn,0))</f>
        <v>3</v>
      </c>
    </row>
    <row r="917" spans="1:9" x14ac:dyDescent="0.25">
      <c r="A917" s="7">
        <v>1</v>
      </c>
      <c r="B917" s="8">
        <v>43694</v>
      </c>
      <c r="C917" s="9" t="s">
        <v>5</v>
      </c>
      <c r="D917" s="10">
        <v>3443.6709999999998</v>
      </c>
      <c r="E917" s="10">
        <v>0</v>
      </c>
      <c r="F917" t="str">
        <f>VLOOKUP(A917,StoreLookup,2,FALSE)</f>
        <v>Store#1</v>
      </c>
      <c r="G917">
        <f>INDEX(CalLookUpTable,MATCH($B917,CalLookUpRow,0),MATCH(G$1,CalLookUpColumn,0))</f>
        <v>2019</v>
      </c>
      <c r="H917">
        <f>INDEX(CalLookUpTable,MATCH($B917,CalLookUpRow,0),MATCH(H$1,CalLookUpColumn,0))</f>
        <v>8</v>
      </c>
      <c r="I917">
        <f>INDEX(CalLookUpTable,MATCH($B917,CalLookUpRow,0),MATCH(I$1,CalLookUpColumn,0))</f>
        <v>3</v>
      </c>
    </row>
    <row r="918" spans="1:9" x14ac:dyDescent="0.25">
      <c r="A918" s="7">
        <v>1</v>
      </c>
      <c r="B918" s="8">
        <v>43695</v>
      </c>
      <c r="C918" s="9" t="s">
        <v>5</v>
      </c>
      <c r="D918" s="10">
        <v>2071.181</v>
      </c>
      <c r="E918" s="10">
        <v>0</v>
      </c>
      <c r="F918" t="str">
        <f>VLOOKUP(A918,StoreLookup,2,FALSE)</f>
        <v>Store#1</v>
      </c>
      <c r="G918">
        <f>INDEX(CalLookUpTable,MATCH($B918,CalLookUpRow,0),MATCH(G$1,CalLookUpColumn,0))</f>
        <v>2019</v>
      </c>
      <c r="H918">
        <f>INDEX(CalLookUpTable,MATCH($B918,CalLookUpRow,0),MATCH(H$1,CalLookUpColumn,0))</f>
        <v>8</v>
      </c>
      <c r="I918">
        <f>INDEX(CalLookUpTable,MATCH($B918,CalLookUpRow,0),MATCH(I$1,CalLookUpColumn,0))</f>
        <v>3</v>
      </c>
    </row>
    <row r="919" spans="1:9" x14ac:dyDescent="0.25">
      <c r="A919" s="7">
        <v>1</v>
      </c>
      <c r="B919" s="8">
        <v>43695</v>
      </c>
      <c r="C919" s="9" t="s">
        <v>3</v>
      </c>
      <c r="D919" s="10">
        <v>0</v>
      </c>
      <c r="E919" s="10">
        <v>0</v>
      </c>
      <c r="F919" t="str">
        <f>VLOOKUP(A919,StoreLookup,2,FALSE)</f>
        <v>Store#1</v>
      </c>
      <c r="G919">
        <f>INDEX(CalLookUpTable,MATCH($B919,CalLookUpRow,0),MATCH(G$1,CalLookUpColumn,0))</f>
        <v>2019</v>
      </c>
      <c r="H919">
        <f>INDEX(CalLookUpTable,MATCH($B919,CalLookUpRow,0),MATCH(H$1,CalLookUpColumn,0))</f>
        <v>8</v>
      </c>
      <c r="I919">
        <f>INDEX(CalLookUpTable,MATCH($B919,CalLookUpRow,0),MATCH(I$1,CalLookUpColumn,0))</f>
        <v>3</v>
      </c>
    </row>
    <row r="920" spans="1:9" x14ac:dyDescent="0.25">
      <c r="A920" s="7">
        <v>1</v>
      </c>
      <c r="B920" s="8">
        <v>43695</v>
      </c>
      <c r="C920" s="9" t="s">
        <v>4</v>
      </c>
      <c r="D920" s="10">
        <v>3337.9359999999997</v>
      </c>
      <c r="E920" s="10">
        <v>3203.7179999999998</v>
      </c>
      <c r="F920" t="str">
        <f>VLOOKUP(A920,StoreLookup,2,FALSE)</f>
        <v>Store#1</v>
      </c>
      <c r="G920">
        <f>INDEX(CalLookUpTable,MATCH($B920,CalLookUpRow,0),MATCH(G$1,CalLookUpColumn,0))</f>
        <v>2019</v>
      </c>
      <c r="H920">
        <f>INDEX(CalLookUpTable,MATCH($B920,CalLookUpRow,0),MATCH(H$1,CalLookUpColumn,0))</f>
        <v>8</v>
      </c>
      <c r="I920">
        <f>INDEX(CalLookUpTable,MATCH($B920,CalLookUpRow,0),MATCH(I$1,CalLookUpColumn,0))</f>
        <v>3</v>
      </c>
    </row>
    <row r="921" spans="1:9" x14ac:dyDescent="0.25">
      <c r="A921" s="7">
        <v>1</v>
      </c>
      <c r="B921" s="8">
        <v>43695</v>
      </c>
      <c r="C921" s="9" t="s">
        <v>6</v>
      </c>
      <c r="D921" s="10">
        <v>218.827</v>
      </c>
      <c r="E921" s="10">
        <v>414.4</v>
      </c>
      <c r="F921" t="str">
        <f>VLOOKUP(A921,StoreLookup,2,FALSE)</f>
        <v>Store#1</v>
      </c>
      <c r="G921">
        <f>INDEX(CalLookUpTable,MATCH($B921,CalLookUpRow,0),MATCH(G$1,CalLookUpColumn,0))</f>
        <v>2019</v>
      </c>
      <c r="H921">
        <f>INDEX(CalLookUpTable,MATCH($B921,CalLookUpRow,0),MATCH(H$1,CalLookUpColumn,0))</f>
        <v>8</v>
      </c>
      <c r="I921">
        <f>INDEX(CalLookUpTable,MATCH($B921,CalLookUpRow,0),MATCH(I$1,CalLookUpColumn,0))</f>
        <v>3</v>
      </c>
    </row>
    <row r="922" spans="1:9" x14ac:dyDescent="0.25">
      <c r="A922" s="7">
        <v>1</v>
      </c>
      <c r="B922" s="8">
        <v>43696</v>
      </c>
      <c r="C922" s="9" t="s">
        <v>3</v>
      </c>
      <c r="D922" s="10">
        <v>0</v>
      </c>
      <c r="E922" s="10">
        <v>1768.6410000000001</v>
      </c>
      <c r="F922" t="str">
        <f>VLOOKUP(A922,StoreLookup,2,FALSE)</f>
        <v>Store#1</v>
      </c>
      <c r="G922">
        <f>INDEX(CalLookUpTable,MATCH($B922,CalLookUpRow,0),MATCH(G$1,CalLookUpColumn,0))</f>
        <v>2019</v>
      </c>
      <c r="H922">
        <f>INDEX(CalLookUpTable,MATCH($B922,CalLookUpRow,0),MATCH(H$1,CalLookUpColumn,0))</f>
        <v>8</v>
      </c>
      <c r="I922">
        <f>INDEX(CalLookUpTable,MATCH($B922,CalLookUpRow,0),MATCH(I$1,CalLookUpColumn,0))</f>
        <v>4</v>
      </c>
    </row>
    <row r="923" spans="1:9" x14ac:dyDescent="0.25">
      <c r="A923" s="7">
        <v>1</v>
      </c>
      <c r="B923" s="8">
        <v>43696</v>
      </c>
      <c r="C923" s="9" t="s">
        <v>6</v>
      </c>
      <c r="D923" s="10">
        <v>627.25599999999997</v>
      </c>
      <c r="E923" s="10">
        <v>983.80099999999993</v>
      </c>
      <c r="F923" t="str">
        <f>VLOOKUP(A923,StoreLookup,2,FALSE)</f>
        <v>Store#1</v>
      </c>
      <c r="G923">
        <f>INDEX(CalLookUpTable,MATCH($B923,CalLookUpRow,0),MATCH(G$1,CalLookUpColumn,0))</f>
        <v>2019</v>
      </c>
      <c r="H923">
        <f>INDEX(CalLookUpTable,MATCH($B923,CalLookUpRow,0),MATCH(H$1,CalLookUpColumn,0))</f>
        <v>8</v>
      </c>
      <c r="I923">
        <f>INDEX(CalLookUpTable,MATCH($B923,CalLookUpRow,0),MATCH(I$1,CalLookUpColumn,0))</f>
        <v>4</v>
      </c>
    </row>
    <row r="924" spans="1:9" x14ac:dyDescent="0.25">
      <c r="A924" s="7">
        <v>1</v>
      </c>
      <c r="B924" s="8">
        <v>43696</v>
      </c>
      <c r="C924" s="9" t="s">
        <v>4</v>
      </c>
      <c r="D924" s="10">
        <v>4432.12</v>
      </c>
      <c r="E924" s="10">
        <v>4661.4539999999997</v>
      </c>
      <c r="F924" t="str">
        <f>VLOOKUP(A924,StoreLookup,2,FALSE)</f>
        <v>Store#1</v>
      </c>
      <c r="G924">
        <f>INDEX(CalLookUpTable,MATCH($B924,CalLookUpRow,0),MATCH(G$1,CalLookUpColumn,0))</f>
        <v>2019</v>
      </c>
      <c r="H924">
        <f>INDEX(CalLookUpTable,MATCH($B924,CalLookUpRow,0),MATCH(H$1,CalLookUpColumn,0))</f>
        <v>8</v>
      </c>
      <c r="I924">
        <f>INDEX(CalLookUpTable,MATCH($B924,CalLookUpRow,0),MATCH(I$1,CalLookUpColumn,0))</f>
        <v>4</v>
      </c>
    </row>
    <row r="925" spans="1:9" x14ac:dyDescent="0.25">
      <c r="A925" s="7">
        <v>1</v>
      </c>
      <c r="B925" s="8">
        <v>43696</v>
      </c>
      <c r="C925" s="9" t="s">
        <v>5</v>
      </c>
      <c r="D925" s="10">
        <v>3131.4709999999995</v>
      </c>
      <c r="E925" s="10">
        <v>0</v>
      </c>
      <c r="F925" t="str">
        <f>VLOOKUP(A925,StoreLookup,2,FALSE)</f>
        <v>Store#1</v>
      </c>
      <c r="G925">
        <f>INDEX(CalLookUpTable,MATCH($B925,CalLookUpRow,0),MATCH(G$1,CalLookUpColumn,0))</f>
        <v>2019</v>
      </c>
      <c r="H925">
        <f>INDEX(CalLookUpTable,MATCH($B925,CalLookUpRow,0),MATCH(H$1,CalLookUpColumn,0))</f>
        <v>8</v>
      </c>
      <c r="I925">
        <f>INDEX(CalLookUpTable,MATCH($B925,CalLookUpRow,0),MATCH(I$1,CalLookUpColumn,0))</f>
        <v>4</v>
      </c>
    </row>
    <row r="926" spans="1:9" x14ac:dyDescent="0.25">
      <c r="A926" s="7">
        <v>1</v>
      </c>
      <c r="B926" s="8">
        <v>43697</v>
      </c>
      <c r="C926" s="9" t="s">
        <v>4</v>
      </c>
      <c r="D926" s="10">
        <v>4690.7420000000002</v>
      </c>
      <c r="E926" s="10">
        <v>4537.9809999999998</v>
      </c>
      <c r="F926" t="str">
        <f>VLOOKUP(A926,StoreLookup,2,FALSE)</f>
        <v>Store#1</v>
      </c>
      <c r="G926">
        <f>INDEX(CalLookUpTable,MATCH($B926,CalLookUpRow,0),MATCH(G$1,CalLookUpColumn,0))</f>
        <v>2019</v>
      </c>
      <c r="H926">
        <f>INDEX(CalLookUpTable,MATCH($B926,CalLookUpRow,0),MATCH(H$1,CalLookUpColumn,0))</f>
        <v>8</v>
      </c>
      <c r="I926">
        <f>INDEX(CalLookUpTable,MATCH($B926,CalLookUpRow,0),MATCH(I$1,CalLookUpColumn,0))</f>
        <v>4</v>
      </c>
    </row>
    <row r="927" spans="1:9" x14ac:dyDescent="0.25">
      <c r="A927" s="7">
        <v>1</v>
      </c>
      <c r="B927" s="8">
        <v>43697</v>
      </c>
      <c r="C927" s="9" t="s">
        <v>3</v>
      </c>
      <c r="D927" s="10">
        <v>24.653999999999996</v>
      </c>
      <c r="E927" s="10">
        <v>333.08099999999996</v>
      </c>
      <c r="F927" t="str">
        <f>VLOOKUP(A927,StoreLookup,2,FALSE)</f>
        <v>Store#1</v>
      </c>
      <c r="G927">
        <f>INDEX(CalLookUpTable,MATCH($B927,CalLookUpRow,0),MATCH(G$1,CalLookUpColumn,0))</f>
        <v>2019</v>
      </c>
      <c r="H927">
        <f>INDEX(CalLookUpTable,MATCH($B927,CalLookUpRow,0),MATCH(H$1,CalLookUpColumn,0))</f>
        <v>8</v>
      </c>
      <c r="I927">
        <f>INDEX(CalLookUpTable,MATCH($B927,CalLookUpRow,0),MATCH(I$1,CalLookUpColumn,0))</f>
        <v>4</v>
      </c>
    </row>
    <row r="928" spans="1:9" x14ac:dyDescent="0.25">
      <c r="A928" s="7">
        <v>1</v>
      </c>
      <c r="B928" s="8">
        <v>43697</v>
      </c>
      <c r="C928" s="9" t="s">
        <v>5</v>
      </c>
      <c r="D928" s="10">
        <v>3279.0029999999997</v>
      </c>
      <c r="E928" s="10">
        <v>0</v>
      </c>
      <c r="F928" t="str">
        <f>VLOOKUP(A928,StoreLookup,2,FALSE)</f>
        <v>Store#1</v>
      </c>
      <c r="G928">
        <f>INDEX(CalLookUpTable,MATCH($B928,CalLookUpRow,0),MATCH(G$1,CalLookUpColumn,0))</f>
        <v>2019</v>
      </c>
      <c r="H928">
        <f>INDEX(CalLookUpTable,MATCH($B928,CalLookUpRow,0),MATCH(H$1,CalLookUpColumn,0))</f>
        <v>8</v>
      </c>
      <c r="I928">
        <f>INDEX(CalLookUpTable,MATCH($B928,CalLookUpRow,0),MATCH(I$1,CalLookUpColumn,0))</f>
        <v>4</v>
      </c>
    </row>
    <row r="929" spans="1:9" x14ac:dyDescent="0.25">
      <c r="A929" s="7">
        <v>1</v>
      </c>
      <c r="B929" s="8">
        <v>43697</v>
      </c>
      <c r="C929" s="9" t="s">
        <v>6</v>
      </c>
      <c r="D929" s="10">
        <v>465.01699999999994</v>
      </c>
      <c r="E929" s="10">
        <v>697.00400000000002</v>
      </c>
      <c r="F929" t="str">
        <f>VLOOKUP(A929,StoreLookup,2,FALSE)</f>
        <v>Store#1</v>
      </c>
      <c r="G929">
        <f>INDEX(CalLookUpTable,MATCH($B929,CalLookUpRow,0),MATCH(G$1,CalLookUpColumn,0))</f>
        <v>2019</v>
      </c>
      <c r="H929">
        <f>INDEX(CalLookUpTable,MATCH($B929,CalLookUpRow,0),MATCH(H$1,CalLookUpColumn,0))</f>
        <v>8</v>
      </c>
      <c r="I929">
        <f>INDEX(CalLookUpTable,MATCH($B929,CalLookUpRow,0),MATCH(I$1,CalLookUpColumn,0))</f>
        <v>4</v>
      </c>
    </row>
    <row r="930" spans="1:9" x14ac:dyDescent="0.25">
      <c r="A930" s="7">
        <v>1</v>
      </c>
      <c r="B930" s="8">
        <v>43698</v>
      </c>
      <c r="C930" s="9" t="s">
        <v>4</v>
      </c>
      <c r="D930" s="10">
        <v>4933.3059999999996</v>
      </c>
      <c r="E930" s="10">
        <v>4106.4449999999997</v>
      </c>
      <c r="F930" t="str">
        <f>VLOOKUP(A930,StoreLookup,2,FALSE)</f>
        <v>Store#1</v>
      </c>
      <c r="G930">
        <f>INDEX(CalLookUpTable,MATCH($B930,CalLookUpRow,0),MATCH(G$1,CalLookUpColumn,0))</f>
        <v>2019</v>
      </c>
      <c r="H930">
        <f>INDEX(CalLookUpTable,MATCH($B930,CalLookUpRow,0),MATCH(H$1,CalLookUpColumn,0))</f>
        <v>8</v>
      </c>
      <c r="I930">
        <f>INDEX(CalLookUpTable,MATCH($B930,CalLookUpRow,0),MATCH(I$1,CalLookUpColumn,0))</f>
        <v>4</v>
      </c>
    </row>
    <row r="931" spans="1:9" x14ac:dyDescent="0.25">
      <c r="A931" s="7">
        <v>1</v>
      </c>
      <c r="B931" s="8">
        <v>43698</v>
      </c>
      <c r="C931" s="9" t="s">
        <v>6</v>
      </c>
      <c r="D931" s="10">
        <v>979.25099999999998</v>
      </c>
      <c r="E931" s="10">
        <v>1114.3719999999998</v>
      </c>
      <c r="F931" t="str">
        <f>VLOOKUP(A931,StoreLookup,2,FALSE)</f>
        <v>Store#1</v>
      </c>
      <c r="G931">
        <f>INDEX(CalLookUpTable,MATCH($B931,CalLookUpRow,0),MATCH(G$1,CalLookUpColumn,0))</f>
        <v>2019</v>
      </c>
      <c r="H931">
        <f>INDEX(CalLookUpTable,MATCH($B931,CalLookUpRow,0),MATCH(H$1,CalLookUpColumn,0))</f>
        <v>8</v>
      </c>
      <c r="I931">
        <f>INDEX(CalLookUpTable,MATCH($B931,CalLookUpRow,0),MATCH(I$1,CalLookUpColumn,0))</f>
        <v>4</v>
      </c>
    </row>
    <row r="932" spans="1:9" x14ac:dyDescent="0.25">
      <c r="A932" s="7">
        <v>1</v>
      </c>
      <c r="B932" s="8">
        <v>43698</v>
      </c>
      <c r="C932" s="9" t="s">
        <v>5</v>
      </c>
      <c r="D932" s="10">
        <v>3374.3920000000003</v>
      </c>
      <c r="E932" s="10">
        <v>0</v>
      </c>
      <c r="F932" t="str">
        <f>VLOOKUP(A932,StoreLookup,2,FALSE)</f>
        <v>Store#1</v>
      </c>
      <c r="G932">
        <f>INDEX(CalLookUpTable,MATCH($B932,CalLookUpRow,0),MATCH(G$1,CalLookUpColumn,0))</f>
        <v>2019</v>
      </c>
      <c r="H932">
        <f>INDEX(CalLookUpTable,MATCH($B932,CalLookUpRow,0),MATCH(H$1,CalLookUpColumn,0))</f>
        <v>8</v>
      </c>
      <c r="I932">
        <f>INDEX(CalLookUpTable,MATCH($B932,CalLookUpRow,0),MATCH(I$1,CalLookUpColumn,0))</f>
        <v>4</v>
      </c>
    </row>
    <row r="933" spans="1:9" x14ac:dyDescent="0.25">
      <c r="A933" s="7">
        <v>1</v>
      </c>
      <c r="B933" s="8">
        <v>43698</v>
      </c>
      <c r="C933" s="9" t="s">
        <v>3</v>
      </c>
      <c r="D933" s="10">
        <v>160.85999999999999</v>
      </c>
      <c r="E933" s="10">
        <v>458.24099999999999</v>
      </c>
      <c r="F933" t="str">
        <f>VLOOKUP(A933,StoreLookup,2,FALSE)</f>
        <v>Store#1</v>
      </c>
      <c r="G933">
        <f>INDEX(CalLookUpTable,MATCH($B933,CalLookUpRow,0),MATCH(G$1,CalLookUpColumn,0))</f>
        <v>2019</v>
      </c>
      <c r="H933">
        <f>INDEX(CalLookUpTable,MATCH($B933,CalLookUpRow,0),MATCH(H$1,CalLookUpColumn,0))</f>
        <v>8</v>
      </c>
      <c r="I933">
        <f>INDEX(CalLookUpTable,MATCH($B933,CalLookUpRow,0),MATCH(I$1,CalLookUpColumn,0))</f>
        <v>4</v>
      </c>
    </row>
    <row r="934" spans="1:9" x14ac:dyDescent="0.25">
      <c r="A934" s="7">
        <v>1</v>
      </c>
      <c r="B934" s="8">
        <v>43699</v>
      </c>
      <c r="C934" s="9" t="s">
        <v>4</v>
      </c>
      <c r="D934" s="10">
        <v>4866.8760000000002</v>
      </c>
      <c r="E934" s="10">
        <v>6064.73</v>
      </c>
      <c r="F934" t="str">
        <f>VLOOKUP(A934,StoreLookup,2,FALSE)</f>
        <v>Store#1</v>
      </c>
      <c r="G934">
        <f>INDEX(CalLookUpTable,MATCH($B934,CalLookUpRow,0),MATCH(G$1,CalLookUpColumn,0))</f>
        <v>2019</v>
      </c>
      <c r="H934">
        <f>INDEX(CalLookUpTable,MATCH($B934,CalLookUpRow,0),MATCH(H$1,CalLookUpColumn,0))</f>
        <v>8</v>
      </c>
      <c r="I934">
        <f>INDEX(CalLookUpTable,MATCH($B934,CalLookUpRow,0),MATCH(I$1,CalLookUpColumn,0))</f>
        <v>4</v>
      </c>
    </row>
    <row r="935" spans="1:9" x14ac:dyDescent="0.25">
      <c r="A935" s="7">
        <v>1</v>
      </c>
      <c r="B935" s="8">
        <v>43699</v>
      </c>
      <c r="C935" s="9" t="s">
        <v>6</v>
      </c>
      <c r="D935" s="10">
        <v>924.74899999999991</v>
      </c>
      <c r="E935" s="10">
        <v>1395.6809999999998</v>
      </c>
      <c r="F935" t="str">
        <f>VLOOKUP(A935,StoreLookup,2,FALSE)</f>
        <v>Store#1</v>
      </c>
      <c r="G935">
        <f>INDEX(CalLookUpTable,MATCH($B935,CalLookUpRow,0),MATCH(G$1,CalLookUpColumn,0))</f>
        <v>2019</v>
      </c>
      <c r="H935">
        <f>INDEX(CalLookUpTable,MATCH($B935,CalLookUpRow,0),MATCH(H$1,CalLookUpColumn,0))</f>
        <v>8</v>
      </c>
      <c r="I935">
        <f>INDEX(CalLookUpTable,MATCH($B935,CalLookUpRow,0),MATCH(I$1,CalLookUpColumn,0))</f>
        <v>4</v>
      </c>
    </row>
    <row r="936" spans="1:9" x14ac:dyDescent="0.25">
      <c r="A936" s="7">
        <v>1</v>
      </c>
      <c r="B936" s="8">
        <v>43699</v>
      </c>
      <c r="C936" s="9" t="s">
        <v>3</v>
      </c>
      <c r="D936" s="10">
        <v>182.875</v>
      </c>
      <c r="E936" s="10">
        <v>398.53800000000001</v>
      </c>
      <c r="F936" t="str">
        <f>VLOOKUP(A936,StoreLookup,2,FALSE)</f>
        <v>Store#1</v>
      </c>
      <c r="G936">
        <f>INDEX(CalLookUpTable,MATCH($B936,CalLookUpRow,0),MATCH(G$1,CalLookUpColumn,0))</f>
        <v>2019</v>
      </c>
      <c r="H936">
        <f>INDEX(CalLookUpTable,MATCH($B936,CalLookUpRow,0),MATCH(H$1,CalLookUpColumn,0))</f>
        <v>8</v>
      </c>
      <c r="I936">
        <f>INDEX(CalLookUpTable,MATCH($B936,CalLookUpRow,0),MATCH(I$1,CalLookUpColumn,0))</f>
        <v>4</v>
      </c>
    </row>
    <row r="937" spans="1:9" x14ac:dyDescent="0.25">
      <c r="A937" s="7">
        <v>1</v>
      </c>
      <c r="B937" s="8">
        <v>43699</v>
      </c>
      <c r="C937" s="9" t="s">
        <v>5</v>
      </c>
      <c r="D937" s="10">
        <v>3800.6499999999996</v>
      </c>
      <c r="E937" s="10">
        <v>0</v>
      </c>
      <c r="F937" t="str">
        <f>VLOOKUP(A937,StoreLookup,2,FALSE)</f>
        <v>Store#1</v>
      </c>
      <c r="G937">
        <f>INDEX(CalLookUpTable,MATCH($B937,CalLookUpRow,0),MATCH(G$1,CalLookUpColumn,0))</f>
        <v>2019</v>
      </c>
      <c r="H937">
        <f>INDEX(CalLookUpTable,MATCH($B937,CalLookUpRow,0),MATCH(H$1,CalLookUpColumn,0))</f>
        <v>8</v>
      </c>
      <c r="I937">
        <f>INDEX(CalLookUpTable,MATCH($B937,CalLookUpRow,0),MATCH(I$1,CalLookUpColumn,0))</f>
        <v>4</v>
      </c>
    </row>
    <row r="938" spans="1:9" x14ac:dyDescent="0.25">
      <c r="A938" s="7">
        <v>1</v>
      </c>
      <c r="B938" s="8">
        <v>43700</v>
      </c>
      <c r="C938" s="9" t="s">
        <v>6</v>
      </c>
      <c r="D938" s="10">
        <v>1319.2269999999999</v>
      </c>
      <c r="E938" s="10">
        <v>1560.258</v>
      </c>
      <c r="F938" t="str">
        <f>VLOOKUP(A938,StoreLookup,2,FALSE)</f>
        <v>Store#1</v>
      </c>
      <c r="G938">
        <f>INDEX(CalLookUpTable,MATCH($B938,CalLookUpRow,0),MATCH(G$1,CalLookUpColumn,0))</f>
        <v>2019</v>
      </c>
      <c r="H938">
        <f>INDEX(CalLookUpTable,MATCH($B938,CalLookUpRow,0),MATCH(H$1,CalLookUpColumn,0))</f>
        <v>8</v>
      </c>
      <c r="I938">
        <f>INDEX(CalLookUpTable,MATCH($B938,CalLookUpRow,0),MATCH(I$1,CalLookUpColumn,0))</f>
        <v>4</v>
      </c>
    </row>
    <row r="939" spans="1:9" x14ac:dyDescent="0.25">
      <c r="A939" s="7">
        <v>1</v>
      </c>
      <c r="B939" s="8">
        <v>43700</v>
      </c>
      <c r="C939" s="9" t="s">
        <v>5</v>
      </c>
      <c r="D939" s="10">
        <v>3711.3299999999995</v>
      </c>
      <c r="E939" s="10">
        <v>0</v>
      </c>
      <c r="F939" t="str">
        <f>VLOOKUP(A939,StoreLookup,2,FALSE)</f>
        <v>Store#1</v>
      </c>
      <c r="G939">
        <f>INDEX(CalLookUpTable,MATCH($B939,CalLookUpRow,0),MATCH(G$1,CalLookUpColumn,0))</f>
        <v>2019</v>
      </c>
      <c r="H939">
        <f>INDEX(CalLookUpTable,MATCH($B939,CalLookUpRow,0),MATCH(H$1,CalLookUpColumn,0))</f>
        <v>8</v>
      </c>
      <c r="I939">
        <f>INDEX(CalLookUpTable,MATCH($B939,CalLookUpRow,0),MATCH(I$1,CalLookUpColumn,0))</f>
        <v>4</v>
      </c>
    </row>
    <row r="940" spans="1:9" x14ac:dyDescent="0.25">
      <c r="A940" s="7">
        <v>1</v>
      </c>
      <c r="B940" s="8">
        <v>43700</v>
      </c>
      <c r="C940" s="9" t="s">
        <v>4</v>
      </c>
      <c r="D940" s="10">
        <v>5269.6419999999998</v>
      </c>
      <c r="E940" s="10">
        <v>5751.9139999999998</v>
      </c>
      <c r="F940" t="str">
        <f>VLOOKUP(A940,StoreLookup,2,FALSE)</f>
        <v>Store#1</v>
      </c>
      <c r="G940">
        <f>INDEX(CalLookUpTable,MATCH($B940,CalLookUpRow,0),MATCH(G$1,CalLookUpColumn,0))</f>
        <v>2019</v>
      </c>
      <c r="H940">
        <f>INDEX(CalLookUpTable,MATCH($B940,CalLookUpRow,0),MATCH(H$1,CalLookUpColumn,0))</f>
        <v>8</v>
      </c>
      <c r="I940">
        <f>INDEX(CalLookUpTable,MATCH($B940,CalLookUpRow,0),MATCH(I$1,CalLookUpColumn,0))</f>
        <v>4</v>
      </c>
    </row>
    <row r="941" spans="1:9" x14ac:dyDescent="0.25">
      <c r="A941" s="7">
        <v>1</v>
      </c>
      <c r="B941" s="8">
        <v>43700</v>
      </c>
      <c r="C941" s="9" t="s">
        <v>3</v>
      </c>
      <c r="D941" s="10">
        <v>0</v>
      </c>
      <c r="E941" s="10">
        <v>649.81699999999989</v>
      </c>
      <c r="F941" t="str">
        <f>VLOOKUP(A941,StoreLookup,2,FALSE)</f>
        <v>Store#1</v>
      </c>
      <c r="G941">
        <f>INDEX(CalLookUpTable,MATCH($B941,CalLookUpRow,0),MATCH(G$1,CalLookUpColumn,0))</f>
        <v>2019</v>
      </c>
      <c r="H941">
        <f>INDEX(CalLookUpTable,MATCH($B941,CalLookUpRow,0),MATCH(H$1,CalLookUpColumn,0))</f>
        <v>8</v>
      </c>
      <c r="I941">
        <f>INDEX(CalLookUpTable,MATCH($B941,CalLookUpRow,0),MATCH(I$1,CalLookUpColumn,0))</f>
        <v>4</v>
      </c>
    </row>
    <row r="942" spans="1:9" x14ac:dyDescent="0.25">
      <c r="A942" s="7">
        <v>1</v>
      </c>
      <c r="B942" s="8">
        <v>43701</v>
      </c>
      <c r="C942" s="9" t="s">
        <v>5</v>
      </c>
      <c r="D942" s="10">
        <v>3449.1170000000002</v>
      </c>
      <c r="E942" s="10">
        <v>0</v>
      </c>
      <c r="F942" t="str">
        <f>VLOOKUP(A942,StoreLookup,2,FALSE)</f>
        <v>Store#1</v>
      </c>
      <c r="G942">
        <f>INDEX(CalLookUpTable,MATCH($B942,CalLookUpRow,0),MATCH(G$1,CalLookUpColumn,0))</f>
        <v>2019</v>
      </c>
      <c r="H942">
        <f>INDEX(CalLookUpTable,MATCH($B942,CalLookUpRow,0),MATCH(H$1,CalLookUpColumn,0))</f>
        <v>8</v>
      </c>
      <c r="I942">
        <f>INDEX(CalLookUpTable,MATCH($B942,CalLookUpRow,0),MATCH(I$1,CalLookUpColumn,0))</f>
        <v>4</v>
      </c>
    </row>
    <row r="943" spans="1:9" x14ac:dyDescent="0.25">
      <c r="A943" s="7">
        <v>1</v>
      </c>
      <c r="B943" s="8">
        <v>43701</v>
      </c>
      <c r="C943" s="9" t="s">
        <v>6</v>
      </c>
      <c r="D943" s="10">
        <v>713.18100000000004</v>
      </c>
      <c r="E943" s="10">
        <v>1368.2619999999999</v>
      </c>
      <c r="F943" t="str">
        <f>VLOOKUP(A943,StoreLookup,2,FALSE)</f>
        <v>Store#1</v>
      </c>
      <c r="G943">
        <f>INDEX(CalLookUpTable,MATCH($B943,CalLookUpRow,0),MATCH(G$1,CalLookUpColumn,0))</f>
        <v>2019</v>
      </c>
      <c r="H943">
        <f>INDEX(CalLookUpTable,MATCH($B943,CalLookUpRow,0),MATCH(H$1,CalLookUpColumn,0))</f>
        <v>8</v>
      </c>
      <c r="I943">
        <f>INDEX(CalLookUpTable,MATCH($B943,CalLookUpRow,0),MATCH(I$1,CalLookUpColumn,0))</f>
        <v>4</v>
      </c>
    </row>
    <row r="944" spans="1:9" x14ac:dyDescent="0.25">
      <c r="A944" s="7">
        <v>1</v>
      </c>
      <c r="B944" s="8">
        <v>43701</v>
      </c>
      <c r="C944" s="9" t="s">
        <v>3</v>
      </c>
      <c r="D944" s="10">
        <v>0</v>
      </c>
      <c r="E944" s="10">
        <v>850.69599999999991</v>
      </c>
      <c r="F944" t="str">
        <f>VLOOKUP(A944,StoreLookup,2,FALSE)</f>
        <v>Store#1</v>
      </c>
      <c r="G944">
        <f>INDEX(CalLookUpTable,MATCH($B944,CalLookUpRow,0),MATCH(G$1,CalLookUpColumn,0))</f>
        <v>2019</v>
      </c>
      <c r="H944">
        <f>INDEX(CalLookUpTable,MATCH($B944,CalLookUpRow,0),MATCH(H$1,CalLookUpColumn,0))</f>
        <v>8</v>
      </c>
      <c r="I944">
        <f>INDEX(CalLookUpTable,MATCH($B944,CalLookUpRow,0),MATCH(I$1,CalLookUpColumn,0))</f>
        <v>4</v>
      </c>
    </row>
    <row r="945" spans="1:9" x14ac:dyDescent="0.25">
      <c r="A945" s="7">
        <v>1</v>
      </c>
      <c r="B945" s="8">
        <v>43701</v>
      </c>
      <c r="C945" s="9" t="s">
        <v>4</v>
      </c>
      <c r="D945" s="10">
        <v>5570.6629999999996</v>
      </c>
      <c r="E945" s="10">
        <v>6896.8130000000001</v>
      </c>
      <c r="F945" t="str">
        <f>VLOOKUP(A945,StoreLookup,2,FALSE)</f>
        <v>Store#1</v>
      </c>
      <c r="G945">
        <f>INDEX(CalLookUpTable,MATCH($B945,CalLookUpRow,0),MATCH(G$1,CalLookUpColumn,0))</f>
        <v>2019</v>
      </c>
      <c r="H945">
        <f>INDEX(CalLookUpTable,MATCH($B945,CalLookUpRow,0),MATCH(H$1,CalLookUpColumn,0))</f>
        <v>8</v>
      </c>
      <c r="I945">
        <f>INDEX(CalLookUpTable,MATCH($B945,CalLookUpRow,0),MATCH(I$1,CalLookUpColumn,0))</f>
        <v>4</v>
      </c>
    </row>
    <row r="946" spans="1:9" x14ac:dyDescent="0.25">
      <c r="A946" s="7">
        <v>1</v>
      </c>
      <c r="B946" s="8">
        <v>43702</v>
      </c>
      <c r="C946" s="9" t="s">
        <v>3</v>
      </c>
      <c r="D946" s="10">
        <v>0</v>
      </c>
      <c r="E946" s="10">
        <v>0</v>
      </c>
      <c r="F946" t="str">
        <f>VLOOKUP(A946,StoreLookup,2,FALSE)</f>
        <v>Store#1</v>
      </c>
      <c r="G946">
        <f>INDEX(CalLookUpTable,MATCH($B946,CalLookUpRow,0),MATCH(G$1,CalLookUpColumn,0))</f>
        <v>2019</v>
      </c>
      <c r="H946">
        <f>INDEX(CalLookUpTable,MATCH($B946,CalLookUpRow,0),MATCH(H$1,CalLookUpColumn,0))</f>
        <v>8</v>
      </c>
      <c r="I946">
        <f>INDEX(CalLookUpTable,MATCH($B946,CalLookUpRow,0),MATCH(I$1,CalLookUpColumn,0))</f>
        <v>4</v>
      </c>
    </row>
    <row r="947" spans="1:9" x14ac:dyDescent="0.25">
      <c r="A947" s="7">
        <v>1</v>
      </c>
      <c r="B947" s="8">
        <v>43702</v>
      </c>
      <c r="C947" s="9" t="s">
        <v>4</v>
      </c>
      <c r="D947" s="10">
        <v>2924.1239999999998</v>
      </c>
      <c r="E947" s="10">
        <v>2959.453</v>
      </c>
      <c r="F947" t="str">
        <f>VLOOKUP(A947,StoreLookup,2,FALSE)</f>
        <v>Store#1</v>
      </c>
      <c r="G947">
        <f>INDEX(CalLookUpTable,MATCH($B947,CalLookUpRow,0),MATCH(G$1,CalLookUpColumn,0))</f>
        <v>2019</v>
      </c>
      <c r="H947">
        <f>INDEX(CalLookUpTable,MATCH($B947,CalLookUpRow,0),MATCH(H$1,CalLookUpColumn,0))</f>
        <v>8</v>
      </c>
      <c r="I947">
        <f>INDEX(CalLookUpTable,MATCH($B947,CalLookUpRow,0),MATCH(I$1,CalLookUpColumn,0))</f>
        <v>4</v>
      </c>
    </row>
    <row r="948" spans="1:9" x14ac:dyDescent="0.25">
      <c r="A948" s="7">
        <v>1</v>
      </c>
      <c r="B948" s="8">
        <v>43702</v>
      </c>
      <c r="C948" s="9" t="s">
        <v>6</v>
      </c>
      <c r="D948" s="10">
        <v>127.93199999999999</v>
      </c>
      <c r="E948" s="10">
        <v>436.709</v>
      </c>
      <c r="F948" t="str">
        <f>VLOOKUP(A948,StoreLookup,2,FALSE)</f>
        <v>Store#1</v>
      </c>
      <c r="G948">
        <f>INDEX(CalLookUpTable,MATCH($B948,CalLookUpRow,0),MATCH(G$1,CalLookUpColumn,0))</f>
        <v>2019</v>
      </c>
      <c r="H948">
        <f>INDEX(CalLookUpTable,MATCH($B948,CalLookUpRow,0),MATCH(H$1,CalLookUpColumn,0))</f>
        <v>8</v>
      </c>
      <c r="I948">
        <f>INDEX(CalLookUpTable,MATCH($B948,CalLookUpRow,0),MATCH(I$1,CalLookUpColumn,0))</f>
        <v>4</v>
      </c>
    </row>
    <row r="949" spans="1:9" x14ac:dyDescent="0.25">
      <c r="A949" s="7">
        <v>1</v>
      </c>
      <c r="B949" s="8">
        <v>43702</v>
      </c>
      <c r="C949" s="9" t="s">
        <v>5</v>
      </c>
      <c r="D949" s="10">
        <v>2129.5259999999998</v>
      </c>
      <c r="E949" s="10">
        <v>0</v>
      </c>
      <c r="F949" t="str">
        <f>VLOOKUP(A949,StoreLookup,2,FALSE)</f>
        <v>Store#1</v>
      </c>
      <c r="G949">
        <f>INDEX(CalLookUpTable,MATCH($B949,CalLookUpRow,0),MATCH(G$1,CalLookUpColumn,0))</f>
        <v>2019</v>
      </c>
      <c r="H949">
        <f>INDEX(CalLookUpTable,MATCH($B949,CalLookUpRow,0),MATCH(H$1,CalLookUpColumn,0))</f>
        <v>8</v>
      </c>
      <c r="I949">
        <f>INDEX(CalLookUpTable,MATCH($B949,CalLookUpRow,0),MATCH(I$1,CalLookUpColumn,0))</f>
        <v>4</v>
      </c>
    </row>
    <row r="950" spans="1:9" x14ac:dyDescent="0.25">
      <c r="A950" s="7">
        <v>1</v>
      </c>
      <c r="B950" s="8">
        <v>43703</v>
      </c>
      <c r="C950" s="9" t="s">
        <v>3</v>
      </c>
      <c r="D950" s="10">
        <v>32.031999999999996</v>
      </c>
      <c r="E950" s="10">
        <v>1387.1410000000001</v>
      </c>
      <c r="F950" t="str">
        <f>VLOOKUP(A950,StoreLookup,2,FALSE)</f>
        <v>Store#1</v>
      </c>
      <c r="G950">
        <f>INDEX(CalLookUpTable,MATCH($B950,CalLookUpRow,0),MATCH(G$1,CalLookUpColumn,0))</f>
        <v>2019</v>
      </c>
      <c r="H950">
        <f>INDEX(CalLookUpTable,MATCH($B950,CalLookUpRow,0),MATCH(H$1,CalLookUpColumn,0))</f>
        <v>9</v>
      </c>
      <c r="I950">
        <f>INDEX(CalLookUpTable,MATCH($B950,CalLookUpRow,0),MATCH(I$1,CalLookUpColumn,0))</f>
        <v>1</v>
      </c>
    </row>
    <row r="951" spans="1:9" x14ac:dyDescent="0.25">
      <c r="A951" s="7">
        <v>1</v>
      </c>
      <c r="B951" s="8">
        <v>43703</v>
      </c>
      <c r="C951" s="9" t="s">
        <v>6</v>
      </c>
      <c r="D951" s="10">
        <v>808.05199999999991</v>
      </c>
      <c r="E951" s="10">
        <v>1245.5169999999998</v>
      </c>
      <c r="F951" t="str">
        <f>VLOOKUP(A951,StoreLookup,2,FALSE)</f>
        <v>Store#1</v>
      </c>
      <c r="G951">
        <f>INDEX(CalLookUpTable,MATCH($B951,CalLookUpRow,0),MATCH(G$1,CalLookUpColumn,0))</f>
        <v>2019</v>
      </c>
      <c r="H951">
        <f>INDEX(CalLookUpTable,MATCH($B951,CalLookUpRow,0),MATCH(H$1,CalLookUpColumn,0))</f>
        <v>9</v>
      </c>
      <c r="I951">
        <f>INDEX(CalLookUpTable,MATCH($B951,CalLookUpRow,0),MATCH(I$1,CalLookUpColumn,0))</f>
        <v>1</v>
      </c>
    </row>
    <row r="952" spans="1:9" x14ac:dyDescent="0.25">
      <c r="A952" s="7">
        <v>1</v>
      </c>
      <c r="B952" s="8">
        <v>43703</v>
      </c>
      <c r="C952" s="9" t="s">
        <v>5</v>
      </c>
      <c r="D952" s="10">
        <v>3250.6320000000001</v>
      </c>
      <c r="E952" s="10">
        <v>0</v>
      </c>
      <c r="F952" t="str">
        <f>VLOOKUP(A952,StoreLookup,2,FALSE)</f>
        <v>Store#1</v>
      </c>
      <c r="G952">
        <f>INDEX(CalLookUpTable,MATCH($B952,CalLookUpRow,0),MATCH(G$1,CalLookUpColumn,0))</f>
        <v>2019</v>
      </c>
      <c r="H952">
        <f>INDEX(CalLookUpTable,MATCH($B952,CalLookUpRow,0),MATCH(H$1,CalLookUpColumn,0))</f>
        <v>9</v>
      </c>
      <c r="I952">
        <f>INDEX(CalLookUpTable,MATCH($B952,CalLookUpRow,0),MATCH(I$1,CalLookUpColumn,0))</f>
        <v>1</v>
      </c>
    </row>
    <row r="953" spans="1:9" x14ac:dyDescent="0.25">
      <c r="A953" s="7">
        <v>1</v>
      </c>
      <c r="B953" s="8">
        <v>43703</v>
      </c>
      <c r="C953" s="9" t="s">
        <v>4</v>
      </c>
      <c r="D953" s="10">
        <v>5081.1739999999991</v>
      </c>
      <c r="E953" s="10">
        <v>5214.2019999999993</v>
      </c>
      <c r="F953" t="str">
        <f>VLOOKUP(A953,StoreLookup,2,FALSE)</f>
        <v>Store#1</v>
      </c>
      <c r="G953">
        <f>INDEX(CalLookUpTable,MATCH($B953,CalLookUpRow,0),MATCH(G$1,CalLookUpColumn,0))</f>
        <v>2019</v>
      </c>
      <c r="H953">
        <f>INDEX(CalLookUpTable,MATCH($B953,CalLookUpRow,0),MATCH(H$1,CalLookUpColumn,0))</f>
        <v>9</v>
      </c>
      <c r="I953">
        <f>INDEX(CalLookUpTable,MATCH($B953,CalLookUpRow,0),MATCH(I$1,CalLookUpColumn,0))</f>
        <v>1</v>
      </c>
    </row>
    <row r="954" spans="1:9" x14ac:dyDescent="0.25">
      <c r="A954" s="7">
        <v>1</v>
      </c>
      <c r="B954" s="8">
        <v>43704</v>
      </c>
      <c r="C954" s="9" t="s">
        <v>6</v>
      </c>
      <c r="D954" s="10">
        <v>1259.6079999999999</v>
      </c>
      <c r="E954" s="10">
        <v>1106.7489999999998</v>
      </c>
      <c r="F954" t="str">
        <f>VLOOKUP(A954,StoreLookup,2,FALSE)</f>
        <v>Store#1</v>
      </c>
      <c r="G954">
        <f>INDEX(CalLookUpTable,MATCH($B954,CalLookUpRow,0),MATCH(G$1,CalLookUpColumn,0))</f>
        <v>2019</v>
      </c>
      <c r="H954">
        <f>INDEX(CalLookUpTable,MATCH($B954,CalLookUpRow,0),MATCH(H$1,CalLookUpColumn,0))</f>
        <v>9</v>
      </c>
      <c r="I954">
        <f>INDEX(CalLookUpTable,MATCH($B954,CalLookUpRow,0),MATCH(I$1,CalLookUpColumn,0))</f>
        <v>1</v>
      </c>
    </row>
    <row r="955" spans="1:9" x14ac:dyDescent="0.25">
      <c r="A955" s="7">
        <v>1</v>
      </c>
      <c r="B955" s="8">
        <v>43704</v>
      </c>
      <c r="C955" s="9" t="s">
        <v>4</v>
      </c>
      <c r="D955" s="10">
        <v>4813.9209999999994</v>
      </c>
      <c r="E955" s="10">
        <v>5291.4889999999996</v>
      </c>
      <c r="F955" t="str">
        <f>VLOOKUP(A955,StoreLookup,2,FALSE)</f>
        <v>Store#1</v>
      </c>
      <c r="G955">
        <f>INDEX(CalLookUpTable,MATCH($B955,CalLookUpRow,0),MATCH(G$1,CalLookUpColumn,0))</f>
        <v>2019</v>
      </c>
      <c r="H955">
        <f>INDEX(CalLookUpTable,MATCH($B955,CalLookUpRow,0),MATCH(H$1,CalLookUpColumn,0))</f>
        <v>9</v>
      </c>
      <c r="I955">
        <f>INDEX(CalLookUpTable,MATCH($B955,CalLookUpRow,0),MATCH(I$1,CalLookUpColumn,0))</f>
        <v>1</v>
      </c>
    </row>
    <row r="956" spans="1:9" x14ac:dyDescent="0.25">
      <c r="A956" s="7">
        <v>1</v>
      </c>
      <c r="B956" s="8">
        <v>43704</v>
      </c>
      <c r="C956" s="9" t="s">
        <v>3</v>
      </c>
      <c r="D956" s="10">
        <v>0</v>
      </c>
      <c r="E956" s="10">
        <v>1663.046</v>
      </c>
      <c r="F956" t="str">
        <f>VLOOKUP(A956,StoreLookup,2,FALSE)</f>
        <v>Store#1</v>
      </c>
      <c r="G956">
        <f>INDEX(CalLookUpTable,MATCH($B956,CalLookUpRow,0),MATCH(G$1,CalLookUpColumn,0))</f>
        <v>2019</v>
      </c>
      <c r="H956">
        <f>INDEX(CalLookUpTable,MATCH($B956,CalLookUpRow,0),MATCH(H$1,CalLookUpColumn,0))</f>
        <v>9</v>
      </c>
      <c r="I956">
        <f>INDEX(CalLookUpTable,MATCH($B956,CalLookUpRow,0),MATCH(I$1,CalLookUpColumn,0))</f>
        <v>1</v>
      </c>
    </row>
    <row r="957" spans="1:9" x14ac:dyDescent="0.25">
      <c r="A957" s="7">
        <v>1</v>
      </c>
      <c r="B957" s="8">
        <v>43704</v>
      </c>
      <c r="C957" s="9" t="s">
        <v>5</v>
      </c>
      <c r="D957" s="10">
        <v>3193.4839999999999</v>
      </c>
      <c r="E957" s="10">
        <v>0</v>
      </c>
      <c r="F957" t="str">
        <f>VLOOKUP(A957,StoreLookup,2,FALSE)</f>
        <v>Store#1</v>
      </c>
      <c r="G957">
        <f>INDEX(CalLookUpTable,MATCH($B957,CalLookUpRow,0),MATCH(G$1,CalLookUpColumn,0))</f>
        <v>2019</v>
      </c>
      <c r="H957">
        <f>INDEX(CalLookUpTable,MATCH($B957,CalLookUpRow,0),MATCH(H$1,CalLookUpColumn,0))</f>
        <v>9</v>
      </c>
      <c r="I957">
        <f>INDEX(CalLookUpTable,MATCH($B957,CalLookUpRow,0),MATCH(I$1,CalLookUpColumn,0))</f>
        <v>1</v>
      </c>
    </row>
    <row r="958" spans="1:9" x14ac:dyDescent="0.25">
      <c r="A958" s="7">
        <v>1</v>
      </c>
      <c r="B958" s="8">
        <v>43705</v>
      </c>
      <c r="C958" s="9" t="s">
        <v>3</v>
      </c>
      <c r="D958" s="10">
        <v>0</v>
      </c>
      <c r="E958" s="10">
        <v>856.59699999999998</v>
      </c>
      <c r="F958" t="str">
        <f>VLOOKUP(A958,StoreLookup,2,FALSE)</f>
        <v>Store#1</v>
      </c>
      <c r="G958">
        <f>INDEX(CalLookUpTable,MATCH($B958,CalLookUpRow,0),MATCH(G$1,CalLookUpColumn,0))</f>
        <v>2019</v>
      </c>
      <c r="H958">
        <f>INDEX(CalLookUpTable,MATCH($B958,CalLookUpRow,0),MATCH(H$1,CalLookUpColumn,0))</f>
        <v>9</v>
      </c>
      <c r="I958">
        <f>INDEX(CalLookUpTable,MATCH($B958,CalLookUpRow,0),MATCH(I$1,CalLookUpColumn,0))</f>
        <v>1</v>
      </c>
    </row>
    <row r="959" spans="1:9" x14ac:dyDescent="0.25">
      <c r="A959" s="7">
        <v>1</v>
      </c>
      <c r="B959" s="8">
        <v>43705</v>
      </c>
      <c r="C959" s="9" t="s">
        <v>6</v>
      </c>
      <c r="D959" s="10">
        <v>864.33199999999999</v>
      </c>
      <c r="E959" s="10">
        <v>1391.2079999999999</v>
      </c>
      <c r="F959" t="str">
        <f>VLOOKUP(A959,StoreLookup,2,FALSE)</f>
        <v>Store#1</v>
      </c>
      <c r="G959">
        <f>INDEX(CalLookUpTable,MATCH($B959,CalLookUpRow,0),MATCH(G$1,CalLookUpColumn,0))</f>
        <v>2019</v>
      </c>
      <c r="H959">
        <f>INDEX(CalLookUpTable,MATCH($B959,CalLookUpRow,0),MATCH(H$1,CalLookUpColumn,0))</f>
        <v>9</v>
      </c>
      <c r="I959">
        <f>INDEX(CalLookUpTable,MATCH($B959,CalLookUpRow,0),MATCH(I$1,CalLookUpColumn,0))</f>
        <v>1</v>
      </c>
    </row>
    <row r="960" spans="1:9" x14ac:dyDescent="0.25">
      <c r="A960" s="7">
        <v>1</v>
      </c>
      <c r="B960" s="8">
        <v>43705</v>
      </c>
      <c r="C960" s="9" t="s">
        <v>4</v>
      </c>
      <c r="D960" s="10">
        <v>6331.402</v>
      </c>
      <c r="E960" s="10">
        <v>6449.5199999999995</v>
      </c>
      <c r="F960" t="str">
        <f>VLOOKUP(A960,StoreLookup,2,FALSE)</f>
        <v>Store#1</v>
      </c>
      <c r="G960">
        <f>INDEX(CalLookUpTable,MATCH($B960,CalLookUpRow,0),MATCH(G$1,CalLookUpColumn,0))</f>
        <v>2019</v>
      </c>
      <c r="H960">
        <f>INDEX(CalLookUpTable,MATCH($B960,CalLookUpRow,0),MATCH(H$1,CalLookUpColumn,0))</f>
        <v>9</v>
      </c>
      <c r="I960">
        <f>INDEX(CalLookUpTable,MATCH($B960,CalLookUpRow,0),MATCH(I$1,CalLookUpColumn,0))</f>
        <v>1</v>
      </c>
    </row>
    <row r="961" spans="1:9" x14ac:dyDescent="0.25">
      <c r="A961" s="7">
        <v>1</v>
      </c>
      <c r="B961" s="8">
        <v>43705</v>
      </c>
      <c r="C961" s="9" t="s">
        <v>5</v>
      </c>
      <c r="D961" s="10">
        <v>3364.123</v>
      </c>
      <c r="E961" s="10">
        <v>0</v>
      </c>
      <c r="F961" t="str">
        <f>VLOOKUP(A961,StoreLookup,2,FALSE)</f>
        <v>Store#1</v>
      </c>
      <c r="G961">
        <f>INDEX(CalLookUpTable,MATCH($B961,CalLookUpRow,0),MATCH(G$1,CalLookUpColumn,0))</f>
        <v>2019</v>
      </c>
      <c r="H961">
        <f>INDEX(CalLookUpTable,MATCH($B961,CalLookUpRow,0),MATCH(H$1,CalLookUpColumn,0))</f>
        <v>9</v>
      </c>
      <c r="I961">
        <f>INDEX(CalLookUpTable,MATCH($B961,CalLookUpRow,0),MATCH(I$1,CalLookUpColumn,0))</f>
        <v>1</v>
      </c>
    </row>
    <row r="962" spans="1:9" x14ac:dyDescent="0.25">
      <c r="A962" s="7">
        <v>1</v>
      </c>
      <c r="B962" s="8">
        <v>43706</v>
      </c>
      <c r="C962" s="9" t="s">
        <v>4</v>
      </c>
      <c r="D962" s="10">
        <v>6413.6239999999998</v>
      </c>
      <c r="E962" s="10">
        <v>6253.415</v>
      </c>
      <c r="F962" t="str">
        <f>VLOOKUP(A962,StoreLookup,2,FALSE)</f>
        <v>Store#1</v>
      </c>
      <c r="G962">
        <f>INDEX(CalLookUpTable,MATCH($B962,CalLookUpRow,0),MATCH(G$1,CalLookUpColumn,0))</f>
        <v>2019</v>
      </c>
      <c r="H962">
        <f>INDEX(CalLookUpTable,MATCH($B962,CalLookUpRow,0),MATCH(H$1,CalLookUpColumn,0))</f>
        <v>9</v>
      </c>
      <c r="I962">
        <f>INDEX(CalLookUpTable,MATCH($B962,CalLookUpRow,0),MATCH(I$1,CalLookUpColumn,0))</f>
        <v>1</v>
      </c>
    </row>
    <row r="963" spans="1:9" x14ac:dyDescent="0.25">
      <c r="A963" s="7">
        <v>1</v>
      </c>
      <c r="B963" s="8">
        <v>43706</v>
      </c>
      <c r="C963" s="9" t="s">
        <v>6</v>
      </c>
      <c r="D963" s="10">
        <v>844.72499999999991</v>
      </c>
      <c r="E963" s="10">
        <v>1434.4469999999999</v>
      </c>
      <c r="F963" t="str">
        <f>VLOOKUP(A963,StoreLookup,2,FALSE)</f>
        <v>Store#1</v>
      </c>
      <c r="G963">
        <f>INDEX(CalLookUpTable,MATCH($B963,CalLookUpRow,0),MATCH(G$1,CalLookUpColumn,0))</f>
        <v>2019</v>
      </c>
      <c r="H963">
        <f>INDEX(CalLookUpTable,MATCH($B963,CalLookUpRow,0),MATCH(H$1,CalLookUpColumn,0))</f>
        <v>9</v>
      </c>
      <c r="I963">
        <f>INDEX(CalLookUpTable,MATCH($B963,CalLookUpRow,0),MATCH(I$1,CalLookUpColumn,0))</f>
        <v>1</v>
      </c>
    </row>
    <row r="964" spans="1:9" x14ac:dyDescent="0.25">
      <c r="A964" s="7">
        <v>1</v>
      </c>
      <c r="B964" s="8">
        <v>43706</v>
      </c>
      <c r="C964" s="9" t="s">
        <v>5</v>
      </c>
      <c r="D964" s="10">
        <v>3678.2619999999997</v>
      </c>
      <c r="E964" s="10">
        <v>0</v>
      </c>
      <c r="F964" t="str">
        <f>VLOOKUP(A964,StoreLookup,2,FALSE)</f>
        <v>Store#1</v>
      </c>
      <c r="G964">
        <f>INDEX(CalLookUpTable,MATCH($B964,CalLookUpRow,0),MATCH(G$1,CalLookUpColumn,0))</f>
        <v>2019</v>
      </c>
      <c r="H964">
        <f>INDEX(CalLookUpTable,MATCH($B964,CalLookUpRow,0),MATCH(H$1,CalLookUpColumn,0))</f>
        <v>9</v>
      </c>
      <c r="I964">
        <f>INDEX(CalLookUpTable,MATCH($B964,CalLookUpRow,0),MATCH(I$1,CalLookUpColumn,0))</f>
        <v>1</v>
      </c>
    </row>
    <row r="965" spans="1:9" x14ac:dyDescent="0.25">
      <c r="A965" s="7">
        <v>1</v>
      </c>
      <c r="B965" s="8">
        <v>43706</v>
      </c>
      <c r="C965" s="9" t="s">
        <v>3</v>
      </c>
      <c r="D965" s="10">
        <v>280.60899999999998</v>
      </c>
      <c r="E965" s="10">
        <v>1026.396</v>
      </c>
      <c r="F965" t="str">
        <f>VLOOKUP(A965,StoreLookup,2,FALSE)</f>
        <v>Store#1</v>
      </c>
      <c r="G965">
        <f>INDEX(CalLookUpTable,MATCH($B965,CalLookUpRow,0),MATCH(G$1,CalLookUpColumn,0))</f>
        <v>2019</v>
      </c>
      <c r="H965">
        <f>INDEX(CalLookUpTable,MATCH($B965,CalLookUpRow,0),MATCH(H$1,CalLookUpColumn,0))</f>
        <v>9</v>
      </c>
      <c r="I965">
        <f>INDEX(CalLookUpTable,MATCH($B965,CalLookUpRow,0),MATCH(I$1,CalLookUpColumn,0))</f>
        <v>1</v>
      </c>
    </row>
    <row r="966" spans="1:9" x14ac:dyDescent="0.25">
      <c r="A966" s="7">
        <v>1</v>
      </c>
      <c r="B966" s="8">
        <v>43707</v>
      </c>
      <c r="C966" s="9" t="s">
        <v>6</v>
      </c>
      <c r="D966" s="10">
        <v>929.47399999999993</v>
      </c>
      <c r="E966" s="10">
        <v>1392.8809999999999</v>
      </c>
      <c r="F966" t="str">
        <f>VLOOKUP(A966,StoreLookup,2,FALSE)</f>
        <v>Store#1</v>
      </c>
      <c r="G966">
        <f>INDEX(CalLookUpTable,MATCH($B966,CalLookUpRow,0),MATCH(G$1,CalLookUpColumn,0))</f>
        <v>2019</v>
      </c>
      <c r="H966">
        <f>INDEX(CalLookUpTable,MATCH($B966,CalLookUpRow,0),MATCH(H$1,CalLookUpColumn,0))</f>
        <v>9</v>
      </c>
      <c r="I966">
        <f>INDEX(CalLookUpTable,MATCH($B966,CalLookUpRow,0),MATCH(I$1,CalLookUpColumn,0))</f>
        <v>1</v>
      </c>
    </row>
    <row r="967" spans="1:9" x14ac:dyDescent="0.25">
      <c r="A967" s="7">
        <v>1</v>
      </c>
      <c r="B967" s="8">
        <v>43707</v>
      </c>
      <c r="C967" s="9" t="s">
        <v>4</v>
      </c>
      <c r="D967" s="10">
        <v>6490.9599999999991</v>
      </c>
      <c r="E967" s="10">
        <v>6843.7460000000001</v>
      </c>
      <c r="F967" t="str">
        <f>VLOOKUP(A967,StoreLookup,2,FALSE)</f>
        <v>Store#1</v>
      </c>
      <c r="G967">
        <f>INDEX(CalLookUpTable,MATCH($B967,CalLookUpRow,0),MATCH(G$1,CalLookUpColumn,0))</f>
        <v>2019</v>
      </c>
      <c r="H967">
        <f>INDEX(CalLookUpTable,MATCH($B967,CalLookUpRow,0),MATCH(H$1,CalLookUpColumn,0))</f>
        <v>9</v>
      </c>
      <c r="I967">
        <f>INDEX(CalLookUpTable,MATCH($B967,CalLookUpRow,0),MATCH(I$1,CalLookUpColumn,0))</f>
        <v>1</v>
      </c>
    </row>
    <row r="968" spans="1:9" x14ac:dyDescent="0.25">
      <c r="A968" s="7">
        <v>1</v>
      </c>
      <c r="B968" s="8">
        <v>43707</v>
      </c>
      <c r="C968" s="9" t="s">
        <v>3</v>
      </c>
      <c r="D968" s="10">
        <v>48.131999999999998</v>
      </c>
      <c r="E968" s="10">
        <v>2342.9349999999999</v>
      </c>
      <c r="F968" t="str">
        <f>VLOOKUP(A968,StoreLookup,2,FALSE)</f>
        <v>Store#1</v>
      </c>
      <c r="G968">
        <f>INDEX(CalLookUpTable,MATCH($B968,CalLookUpRow,0),MATCH(G$1,CalLookUpColumn,0))</f>
        <v>2019</v>
      </c>
      <c r="H968">
        <f>INDEX(CalLookUpTable,MATCH($B968,CalLookUpRow,0),MATCH(H$1,CalLookUpColumn,0))</f>
        <v>9</v>
      </c>
      <c r="I968">
        <f>INDEX(CalLookUpTable,MATCH($B968,CalLookUpRow,0),MATCH(I$1,CalLookUpColumn,0))</f>
        <v>1</v>
      </c>
    </row>
    <row r="969" spans="1:9" x14ac:dyDescent="0.25">
      <c r="A969" s="7">
        <v>1</v>
      </c>
      <c r="B969" s="8">
        <v>43707</v>
      </c>
      <c r="C969" s="9" t="s">
        <v>5</v>
      </c>
      <c r="D969" s="10">
        <v>4253.7529999999997</v>
      </c>
      <c r="E969" s="10">
        <v>0</v>
      </c>
      <c r="F969" t="str">
        <f>VLOOKUP(A969,StoreLookup,2,FALSE)</f>
        <v>Store#1</v>
      </c>
      <c r="G969">
        <f>INDEX(CalLookUpTable,MATCH($B969,CalLookUpRow,0),MATCH(G$1,CalLookUpColumn,0))</f>
        <v>2019</v>
      </c>
      <c r="H969">
        <f>INDEX(CalLookUpTable,MATCH($B969,CalLookUpRow,0),MATCH(H$1,CalLookUpColumn,0))</f>
        <v>9</v>
      </c>
      <c r="I969">
        <f>INDEX(CalLookUpTable,MATCH($B969,CalLookUpRow,0),MATCH(I$1,CalLookUpColumn,0))</f>
        <v>1</v>
      </c>
    </row>
    <row r="970" spans="1:9" x14ac:dyDescent="0.25">
      <c r="A970" s="7">
        <v>1</v>
      </c>
      <c r="B970" s="8">
        <v>43708</v>
      </c>
      <c r="C970" s="9" t="s">
        <v>4</v>
      </c>
      <c r="D970" s="10">
        <v>6569.128999999999</v>
      </c>
      <c r="E970" s="10">
        <v>7490.5739999999996</v>
      </c>
      <c r="F970" t="str">
        <f>VLOOKUP(A970,StoreLookup,2,FALSE)</f>
        <v>Store#1</v>
      </c>
      <c r="G970">
        <f>INDEX(CalLookUpTable,MATCH($B970,CalLookUpRow,0),MATCH(G$1,CalLookUpColumn,0))</f>
        <v>2019</v>
      </c>
      <c r="H970">
        <f>INDEX(CalLookUpTable,MATCH($B970,CalLookUpRow,0),MATCH(H$1,CalLookUpColumn,0))</f>
        <v>9</v>
      </c>
      <c r="I970">
        <f>INDEX(CalLookUpTable,MATCH($B970,CalLookUpRow,0),MATCH(I$1,CalLookUpColumn,0))</f>
        <v>1</v>
      </c>
    </row>
    <row r="971" spans="1:9" x14ac:dyDescent="0.25">
      <c r="A971" s="7">
        <v>1</v>
      </c>
      <c r="B971" s="8">
        <v>43708</v>
      </c>
      <c r="C971" s="9" t="s">
        <v>3</v>
      </c>
      <c r="D971" s="10">
        <v>1433.5719999999999</v>
      </c>
      <c r="E971" s="10">
        <v>434.11899999999997</v>
      </c>
      <c r="F971" t="str">
        <f>VLOOKUP(A971,StoreLookup,2,FALSE)</f>
        <v>Store#1</v>
      </c>
      <c r="G971">
        <f>INDEX(CalLookUpTable,MATCH($B971,CalLookUpRow,0),MATCH(G$1,CalLookUpColumn,0))</f>
        <v>2019</v>
      </c>
      <c r="H971">
        <f>INDEX(CalLookUpTable,MATCH($B971,CalLookUpRow,0),MATCH(H$1,CalLookUpColumn,0))</f>
        <v>9</v>
      </c>
      <c r="I971">
        <f>INDEX(CalLookUpTable,MATCH($B971,CalLookUpRow,0),MATCH(I$1,CalLookUpColumn,0))</f>
        <v>1</v>
      </c>
    </row>
    <row r="972" spans="1:9" x14ac:dyDescent="0.25">
      <c r="A972" s="7">
        <v>1</v>
      </c>
      <c r="B972" s="8">
        <v>43708</v>
      </c>
      <c r="C972" s="9" t="s">
        <v>6</v>
      </c>
      <c r="D972" s="10">
        <v>844.70399999999995</v>
      </c>
      <c r="E972" s="10">
        <v>1417.7309999999998</v>
      </c>
      <c r="F972" t="str">
        <f>VLOOKUP(A972,StoreLookup,2,FALSE)</f>
        <v>Store#1</v>
      </c>
      <c r="G972">
        <f>INDEX(CalLookUpTable,MATCH($B972,CalLookUpRow,0),MATCH(G$1,CalLookUpColumn,0))</f>
        <v>2019</v>
      </c>
      <c r="H972">
        <f>INDEX(CalLookUpTable,MATCH($B972,CalLookUpRow,0),MATCH(H$1,CalLookUpColumn,0))</f>
        <v>9</v>
      </c>
      <c r="I972">
        <f>INDEX(CalLookUpTable,MATCH($B972,CalLookUpRow,0),MATCH(I$1,CalLookUpColumn,0))</f>
        <v>1</v>
      </c>
    </row>
    <row r="973" spans="1:9" x14ac:dyDescent="0.25">
      <c r="A973" s="7">
        <v>1</v>
      </c>
      <c r="B973" s="8">
        <v>43708</v>
      </c>
      <c r="C973" s="9" t="s">
        <v>5</v>
      </c>
      <c r="D973" s="10">
        <v>4005.0149999999994</v>
      </c>
      <c r="E973" s="10">
        <v>0</v>
      </c>
      <c r="F973" t="str">
        <f>VLOOKUP(A973,StoreLookup,2,FALSE)</f>
        <v>Store#1</v>
      </c>
      <c r="G973">
        <f>INDEX(CalLookUpTable,MATCH($B973,CalLookUpRow,0),MATCH(G$1,CalLookUpColumn,0))</f>
        <v>2019</v>
      </c>
      <c r="H973">
        <f>INDEX(CalLookUpTable,MATCH($B973,CalLookUpRow,0),MATCH(H$1,CalLookUpColumn,0))</f>
        <v>9</v>
      </c>
      <c r="I973">
        <f>INDEX(CalLookUpTable,MATCH($B973,CalLookUpRow,0),MATCH(I$1,CalLookUpColumn,0))</f>
        <v>1</v>
      </c>
    </row>
    <row r="974" spans="1:9" x14ac:dyDescent="0.25">
      <c r="A974" s="7">
        <v>1</v>
      </c>
      <c r="B974" s="8">
        <v>43709</v>
      </c>
      <c r="C974" s="9" t="s">
        <v>4</v>
      </c>
      <c r="D974" s="10">
        <v>3600.0089999999996</v>
      </c>
      <c r="E974" s="10">
        <v>3167.5</v>
      </c>
      <c r="F974" t="str">
        <f>VLOOKUP(A974,StoreLookup,2,FALSE)</f>
        <v>Store#1</v>
      </c>
      <c r="G974">
        <f>INDEX(CalLookUpTable,MATCH($B974,CalLookUpRow,0),MATCH(G$1,CalLookUpColumn,0))</f>
        <v>2019</v>
      </c>
      <c r="H974">
        <f>INDEX(CalLookUpTable,MATCH($B974,CalLookUpRow,0),MATCH(H$1,CalLookUpColumn,0))</f>
        <v>9</v>
      </c>
      <c r="I974">
        <f>INDEX(CalLookUpTable,MATCH($B974,CalLookUpRow,0),MATCH(I$1,CalLookUpColumn,0))</f>
        <v>1</v>
      </c>
    </row>
    <row r="975" spans="1:9" x14ac:dyDescent="0.25">
      <c r="A975" s="7">
        <v>1</v>
      </c>
      <c r="B975" s="8">
        <v>43709</v>
      </c>
      <c r="C975" s="9" t="s">
        <v>5</v>
      </c>
      <c r="D975" s="10">
        <v>1788.913</v>
      </c>
      <c r="E975" s="10">
        <v>0</v>
      </c>
      <c r="F975" t="str">
        <f>VLOOKUP(A975,StoreLookup,2,FALSE)</f>
        <v>Store#1</v>
      </c>
      <c r="G975">
        <f>INDEX(CalLookUpTable,MATCH($B975,CalLookUpRow,0),MATCH(G$1,CalLookUpColumn,0))</f>
        <v>2019</v>
      </c>
      <c r="H975">
        <f>INDEX(CalLookUpTable,MATCH($B975,CalLookUpRow,0),MATCH(H$1,CalLookUpColumn,0))</f>
        <v>9</v>
      </c>
      <c r="I975">
        <f>INDEX(CalLookUpTable,MATCH($B975,CalLookUpRow,0),MATCH(I$1,CalLookUpColumn,0))</f>
        <v>1</v>
      </c>
    </row>
    <row r="976" spans="1:9" x14ac:dyDescent="0.25">
      <c r="A976" s="7">
        <v>1</v>
      </c>
      <c r="B976" s="8">
        <v>43709</v>
      </c>
      <c r="C976" s="9" t="s">
        <v>3</v>
      </c>
      <c r="D976" s="10">
        <v>0</v>
      </c>
      <c r="E976" s="10">
        <v>0</v>
      </c>
      <c r="F976" t="str">
        <f>VLOOKUP(A976,StoreLookup,2,FALSE)</f>
        <v>Store#1</v>
      </c>
      <c r="G976">
        <f>INDEX(CalLookUpTable,MATCH($B976,CalLookUpRow,0),MATCH(G$1,CalLookUpColumn,0))</f>
        <v>2019</v>
      </c>
      <c r="H976">
        <f>INDEX(CalLookUpTable,MATCH($B976,CalLookUpRow,0),MATCH(H$1,CalLookUpColumn,0))</f>
        <v>9</v>
      </c>
      <c r="I976">
        <f>INDEX(CalLookUpTable,MATCH($B976,CalLookUpRow,0),MATCH(I$1,CalLookUpColumn,0))</f>
        <v>1</v>
      </c>
    </row>
    <row r="977" spans="1:9" x14ac:dyDescent="0.25">
      <c r="A977" s="7">
        <v>1</v>
      </c>
      <c r="B977" s="8">
        <v>43709</v>
      </c>
      <c r="C977" s="9" t="s">
        <v>6</v>
      </c>
      <c r="D977" s="10">
        <v>234.40199999999999</v>
      </c>
      <c r="E977" s="10">
        <v>469.67199999999997</v>
      </c>
      <c r="F977" t="str">
        <f>VLOOKUP(A977,StoreLookup,2,FALSE)</f>
        <v>Store#1</v>
      </c>
      <c r="G977">
        <f>INDEX(CalLookUpTable,MATCH($B977,CalLookUpRow,0),MATCH(G$1,CalLookUpColumn,0))</f>
        <v>2019</v>
      </c>
      <c r="H977">
        <f>INDEX(CalLookUpTable,MATCH($B977,CalLookUpRow,0),MATCH(H$1,CalLookUpColumn,0))</f>
        <v>9</v>
      </c>
      <c r="I977">
        <f>INDEX(CalLookUpTable,MATCH($B977,CalLookUpRow,0),MATCH(I$1,CalLookUpColumn,0))</f>
        <v>1</v>
      </c>
    </row>
    <row r="978" spans="1:9" x14ac:dyDescent="0.25">
      <c r="A978" s="7">
        <v>1</v>
      </c>
      <c r="B978" s="8">
        <v>43710</v>
      </c>
      <c r="C978" s="9" t="s">
        <v>5</v>
      </c>
      <c r="D978" s="10">
        <v>4330.5149999999994</v>
      </c>
      <c r="E978" s="10">
        <v>0</v>
      </c>
      <c r="F978" t="str">
        <f>VLOOKUP(A978,StoreLookup,2,FALSE)</f>
        <v>Store#1</v>
      </c>
      <c r="G978">
        <f>INDEX(CalLookUpTable,MATCH($B978,CalLookUpRow,0),MATCH(G$1,CalLookUpColumn,0))</f>
        <v>2019</v>
      </c>
      <c r="H978">
        <f>INDEX(CalLookUpTable,MATCH($B978,CalLookUpRow,0),MATCH(H$1,CalLookUpColumn,0))</f>
        <v>9</v>
      </c>
      <c r="I978">
        <f>INDEX(CalLookUpTable,MATCH($B978,CalLookUpRow,0),MATCH(I$1,CalLookUpColumn,0))</f>
        <v>2</v>
      </c>
    </row>
    <row r="979" spans="1:9" x14ac:dyDescent="0.25">
      <c r="A979" s="7">
        <v>1</v>
      </c>
      <c r="B979" s="8">
        <v>43710</v>
      </c>
      <c r="C979" s="9" t="s">
        <v>4</v>
      </c>
      <c r="D979" s="10">
        <v>6737.8849999999993</v>
      </c>
      <c r="E979" s="10">
        <v>6641.04</v>
      </c>
      <c r="F979" t="str">
        <f>VLOOKUP(A979,StoreLookup,2,FALSE)</f>
        <v>Store#1</v>
      </c>
      <c r="G979">
        <f>INDEX(CalLookUpTable,MATCH($B979,CalLookUpRow,0),MATCH(G$1,CalLookUpColumn,0))</f>
        <v>2019</v>
      </c>
      <c r="H979">
        <f>INDEX(CalLookUpTable,MATCH($B979,CalLookUpRow,0),MATCH(H$1,CalLookUpColumn,0))</f>
        <v>9</v>
      </c>
      <c r="I979">
        <f>INDEX(CalLookUpTable,MATCH($B979,CalLookUpRow,0),MATCH(I$1,CalLookUpColumn,0))</f>
        <v>2</v>
      </c>
    </row>
    <row r="980" spans="1:9" x14ac:dyDescent="0.25">
      <c r="A980" s="7">
        <v>1</v>
      </c>
      <c r="B980" s="8">
        <v>43710</v>
      </c>
      <c r="C980" s="9" t="s">
        <v>6</v>
      </c>
      <c r="D980" s="10">
        <v>872.15800000000002</v>
      </c>
      <c r="E980" s="10">
        <v>1228.5839999999998</v>
      </c>
      <c r="F980" t="str">
        <f>VLOOKUP(A980,StoreLookup,2,FALSE)</f>
        <v>Store#1</v>
      </c>
      <c r="G980">
        <f>INDEX(CalLookUpTable,MATCH($B980,CalLookUpRow,0),MATCH(G$1,CalLookUpColumn,0))</f>
        <v>2019</v>
      </c>
      <c r="H980">
        <f>INDEX(CalLookUpTable,MATCH($B980,CalLookUpRow,0),MATCH(H$1,CalLookUpColumn,0))</f>
        <v>9</v>
      </c>
      <c r="I980">
        <f>INDEX(CalLookUpTable,MATCH($B980,CalLookUpRow,0),MATCH(I$1,CalLookUpColumn,0))</f>
        <v>2</v>
      </c>
    </row>
    <row r="981" spans="1:9" x14ac:dyDescent="0.25">
      <c r="A981" s="7">
        <v>1</v>
      </c>
      <c r="B981" s="8">
        <v>43710</v>
      </c>
      <c r="C981" s="9" t="s">
        <v>3</v>
      </c>
      <c r="D981" s="10">
        <v>88.290999999999997</v>
      </c>
      <c r="E981" s="10">
        <v>2828.4549999999999</v>
      </c>
      <c r="F981" t="str">
        <f>VLOOKUP(A981,StoreLookup,2,FALSE)</f>
        <v>Store#1</v>
      </c>
      <c r="G981">
        <f>INDEX(CalLookUpTable,MATCH($B981,CalLookUpRow,0),MATCH(G$1,CalLookUpColumn,0))</f>
        <v>2019</v>
      </c>
      <c r="H981">
        <f>INDEX(CalLookUpTable,MATCH($B981,CalLookUpRow,0),MATCH(H$1,CalLookUpColumn,0))</f>
        <v>9</v>
      </c>
      <c r="I981">
        <f>INDEX(CalLookUpTable,MATCH($B981,CalLookUpRow,0),MATCH(I$1,CalLookUpColumn,0))</f>
        <v>2</v>
      </c>
    </row>
    <row r="982" spans="1:9" x14ac:dyDescent="0.25">
      <c r="A982" s="7">
        <v>1</v>
      </c>
      <c r="B982" s="8">
        <v>43711</v>
      </c>
      <c r="C982" s="9" t="s">
        <v>5</v>
      </c>
      <c r="D982" s="10">
        <v>3187.6669999999999</v>
      </c>
      <c r="E982" s="10">
        <v>0</v>
      </c>
      <c r="F982" t="str">
        <f>VLOOKUP(A982,StoreLookup,2,FALSE)</f>
        <v>Store#1</v>
      </c>
      <c r="G982">
        <f>INDEX(CalLookUpTable,MATCH($B982,CalLookUpRow,0),MATCH(G$1,CalLookUpColumn,0))</f>
        <v>2019</v>
      </c>
      <c r="H982">
        <f>INDEX(CalLookUpTable,MATCH($B982,CalLookUpRow,0),MATCH(H$1,CalLookUpColumn,0))</f>
        <v>9</v>
      </c>
      <c r="I982">
        <f>INDEX(CalLookUpTable,MATCH($B982,CalLookUpRow,0),MATCH(I$1,CalLookUpColumn,0))</f>
        <v>2</v>
      </c>
    </row>
    <row r="983" spans="1:9" x14ac:dyDescent="0.25">
      <c r="A983" s="7">
        <v>1</v>
      </c>
      <c r="B983" s="8">
        <v>43711</v>
      </c>
      <c r="C983" s="9" t="s">
        <v>4</v>
      </c>
      <c r="D983" s="10">
        <v>3356.2829999999994</v>
      </c>
      <c r="E983" s="10">
        <v>4843.2649999999994</v>
      </c>
      <c r="F983" t="str">
        <f>VLOOKUP(A983,StoreLookup,2,FALSE)</f>
        <v>Store#1</v>
      </c>
      <c r="G983">
        <f>INDEX(CalLookUpTable,MATCH($B983,CalLookUpRow,0),MATCH(G$1,CalLookUpColumn,0))</f>
        <v>2019</v>
      </c>
      <c r="H983">
        <f>INDEX(CalLookUpTable,MATCH($B983,CalLookUpRow,0),MATCH(H$1,CalLookUpColumn,0))</f>
        <v>9</v>
      </c>
      <c r="I983">
        <f>INDEX(CalLookUpTable,MATCH($B983,CalLookUpRow,0),MATCH(I$1,CalLookUpColumn,0))</f>
        <v>2</v>
      </c>
    </row>
    <row r="984" spans="1:9" x14ac:dyDescent="0.25">
      <c r="A984" s="7">
        <v>1</v>
      </c>
      <c r="B984" s="8">
        <v>43711</v>
      </c>
      <c r="C984" s="9" t="s">
        <v>3</v>
      </c>
      <c r="D984" s="10">
        <v>0</v>
      </c>
      <c r="E984" s="10">
        <v>1099.021</v>
      </c>
      <c r="F984" t="str">
        <f>VLOOKUP(A984,StoreLookup,2,FALSE)</f>
        <v>Store#1</v>
      </c>
      <c r="G984">
        <f>INDEX(CalLookUpTable,MATCH($B984,CalLookUpRow,0),MATCH(G$1,CalLookUpColumn,0))</f>
        <v>2019</v>
      </c>
      <c r="H984">
        <f>INDEX(CalLookUpTable,MATCH($B984,CalLookUpRow,0),MATCH(H$1,CalLookUpColumn,0))</f>
        <v>9</v>
      </c>
      <c r="I984">
        <f>INDEX(CalLookUpTable,MATCH($B984,CalLookUpRow,0),MATCH(I$1,CalLookUpColumn,0))</f>
        <v>2</v>
      </c>
    </row>
    <row r="985" spans="1:9" x14ac:dyDescent="0.25">
      <c r="A985" s="7">
        <v>1</v>
      </c>
      <c r="B985" s="8">
        <v>43711</v>
      </c>
      <c r="C985" s="9" t="s">
        <v>6</v>
      </c>
      <c r="D985" s="10">
        <v>683.81599999999992</v>
      </c>
      <c r="E985" s="10">
        <v>1097.6559999999999</v>
      </c>
      <c r="F985" t="str">
        <f>VLOOKUP(A985,StoreLookup,2,FALSE)</f>
        <v>Store#1</v>
      </c>
      <c r="G985">
        <f>INDEX(CalLookUpTable,MATCH($B985,CalLookUpRow,0),MATCH(G$1,CalLookUpColumn,0))</f>
        <v>2019</v>
      </c>
      <c r="H985">
        <f>INDEX(CalLookUpTable,MATCH($B985,CalLookUpRow,0),MATCH(H$1,CalLookUpColumn,0))</f>
        <v>9</v>
      </c>
      <c r="I985">
        <f>INDEX(CalLookUpTable,MATCH($B985,CalLookUpRow,0),MATCH(I$1,CalLookUpColumn,0))</f>
        <v>2</v>
      </c>
    </row>
    <row r="986" spans="1:9" x14ac:dyDescent="0.25">
      <c r="A986" s="7">
        <v>1</v>
      </c>
      <c r="B986" s="8">
        <v>43712</v>
      </c>
      <c r="C986" s="9" t="s">
        <v>5</v>
      </c>
      <c r="D986" s="10">
        <v>3037.2159999999999</v>
      </c>
      <c r="E986" s="10">
        <v>0</v>
      </c>
      <c r="F986" t="str">
        <f>VLOOKUP(A986,StoreLookup,2,FALSE)</f>
        <v>Store#1</v>
      </c>
      <c r="G986">
        <f>INDEX(CalLookUpTable,MATCH($B986,CalLookUpRow,0),MATCH(G$1,CalLookUpColumn,0))</f>
        <v>2019</v>
      </c>
      <c r="H986">
        <f>INDEX(CalLookUpTable,MATCH($B986,CalLookUpRow,0),MATCH(H$1,CalLookUpColumn,0))</f>
        <v>9</v>
      </c>
      <c r="I986">
        <f>INDEX(CalLookUpTable,MATCH($B986,CalLookUpRow,0),MATCH(I$1,CalLookUpColumn,0))</f>
        <v>2</v>
      </c>
    </row>
    <row r="987" spans="1:9" x14ac:dyDescent="0.25">
      <c r="A987" s="7">
        <v>1</v>
      </c>
      <c r="B987" s="8">
        <v>43712</v>
      </c>
      <c r="C987" s="9" t="s">
        <v>6</v>
      </c>
      <c r="D987" s="10">
        <v>761.5089999999999</v>
      </c>
      <c r="E987" s="10">
        <v>817.31999999999994</v>
      </c>
      <c r="F987" t="str">
        <f>VLOOKUP(A987,StoreLookup,2,FALSE)</f>
        <v>Store#1</v>
      </c>
      <c r="G987">
        <f>INDEX(CalLookUpTable,MATCH($B987,CalLookUpRow,0),MATCH(G$1,CalLookUpColumn,0))</f>
        <v>2019</v>
      </c>
      <c r="H987">
        <f>INDEX(CalLookUpTable,MATCH($B987,CalLookUpRow,0),MATCH(H$1,CalLookUpColumn,0))</f>
        <v>9</v>
      </c>
      <c r="I987">
        <f>INDEX(CalLookUpTable,MATCH($B987,CalLookUpRow,0),MATCH(I$1,CalLookUpColumn,0))</f>
        <v>2</v>
      </c>
    </row>
    <row r="988" spans="1:9" x14ac:dyDescent="0.25">
      <c r="A988" s="7">
        <v>1</v>
      </c>
      <c r="B988" s="8">
        <v>43712</v>
      </c>
      <c r="C988" s="9" t="s">
        <v>4</v>
      </c>
      <c r="D988" s="10">
        <v>3736.4809999999998</v>
      </c>
      <c r="E988" s="10">
        <v>4511.241</v>
      </c>
      <c r="F988" t="str">
        <f>VLOOKUP(A988,StoreLookup,2,FALSE)</f>
        <v>Store#1</v>
      </c>
      <c r="G988">
        <f>INDEX(CalLookUpTable,MATCH($B988,CalLookUpRow,0),MATCH(G$1,CalLookUpColumn,0))</f>
        <v>2019</v>
      </c>
      <c r="H988">
        <f>INDEX(CalLookUpTable,MATCH($B988,CalLookUpRow,0),MATCH(H$1,CalLookUpColumn,0))</f>
        <v>9</v>
      </c>
      <c r="I988">
        <f>INDEX(CalLookUpTable,MATCH($B988,CalLookUpRow,0),MATCH(I$1,CalLookUpColumn,0))</f>
        <v>2</v>
      </c>
    </row>
    <row r="989" spans="1:9" x14ac:dyDescent="0.25">
      <c r="A989" s="7">
        <v>1</v>
      </c>
      <c r="B989" s="8">
        <v>43712</v>
      </c>
      <c r="C989" s="9" t="s">
        <v>3</v>
      </c>
      <c r="D989" s="10">
        <v>176.946</v>
      </c>
      <c r="E989" s="10">
        <v>4472.4889999999996</v>
      </c>
      <c r="F989" t="str">
        <f>VLOOKUP(A989,StoreLookup,2,FALSE)</f>
        <v>Store#1</v>
      </c>
      <c r="G989">
        <f>INDEX(CalLookUpTable,MATCH($B989,CalLookUpRow,0),MATCH(G$1,CalLookUpColumn,0))</f>
        <v>2019</v>
      </c>
      <c r="H989">
        <f>INDEX(CalLookUpTable,MATCH($B989,CalLookUpRow,0),MATCH(H$1,CalLookUpColumn,0))</f>
        <v>9</v>
      </c>
      <c r="I989">
        <f>INDEX(CalLookUpTable,MATCH($B989,CalLookUpRow,0),MATCH(I$1,CalLookUpColumn,0))</f>
        <v>2</v>
      </c>
    </row>
    <row r="990" spans="1:9" x14ac:dyDescent="0.25">
      <c r="A990" s="7">
        <v>1</v>
      </c>
      <c r="B990" s="8">
        <v>43713</v>
      </c>
      <c r="C990" s="9" t="s">
        <v>5</v>
      </c>
      <c r="D990" s="10">
        <v>3413.6339999999996</v>
      </c>
      <c r="E990" s="10">
        <v>0</v>
      </c>
      <c r="F990" t="str">
        <f>VLOOKUP(A990,StoreLookup,2,FALSE)</f>
        <v>Store#1</v>
      </c>
      <c r="G990">
        <f>INDEX(CalLookUpTable,MATCH($B990,CalLookUpRow,0),MATCH(G$1,CalLookUpColumn,0))</f>
        <v>2019</v>
      </c>
      <c r="H990">
        <f>INDEX(CalLookUpTable,MATCH($B990,CalLookUpRow,0),MATCH(H$1,CalLookUpColumn,0))</f>
        <v>9</v>
      </c>
      <c r="I990">
        <f>INDEX(CalLookUpTable,MATCH($B990,CalLookUpRow,0),MATCH(I$1,CalLookUpColumn,0))</f>
        <v>2</v>
      </c>
    </row>
    <row r="991" spans="1:9" x14ac:dyDescent="0.25">
      <c r="A991" s="7">
        <v>1</v>
      </c>
      <c r="B991" s="8">
        <v>43713</v>
      </c>
      <c r="C991" s="9" t="s">
        <v>3</v>
      </c>
      <c r="D991" s="10">
        <v>131.14499999999998</v>
      </c>
      <c r="E991" s="10">
        <v>1004.0589999999999</v>
      </c>
      <c r="F991" t="str">
        <f>VLOOKUP(A991,StoreLookup,2,FALSE)</f>
        <v>Store#1</v>
      </c>
      <c r="G991">
        <f>INDEX(CalLookUpTable,MATCH($B991,CalLookUpRow,0),MATCH(G$1,CalLookUpColumn,0))</f>
        <v>2019</v>
      </c>
      <c r="H991">
        <f>INDEX(CalLookUpTable,MATCH($B991,CalLookUpRow,0),MATCH(H$1,CalLookUpColumn,0))</f>
        <v>9</v>
      </c>
      <c r="I991">
        <f>INDEX(CalLookUpTable,MATCH($B991,CalLookUpRow,0),MATCH(I$1,CalLookUpColumn,0))</f>
        <v>2</v>
      </c>
    </row>
    <row r="992" spans="1:9" x14ac:dyDescent="0.25">
      <c r="A992" s="7">
        <v>1</v>
      </c>
      <c r="B992" s="8">
        <v>43713</v>
      </c>
      <c r="C992" s="9" t="s">
        <v>4</v>
      </c>
      <c r="D992" s="10">
        <v>4162.8509999999997</v>
      </c>
      <c r="E992" s="10">
        <v>4875.4229999999998</v>
      </c>
      <c r="F992" t="str">
        <f>VLOOKUP(A992,StoreLookup,2,FALSE)</f>
        <v>Store#1</v>
      </c>
      <c r="G992">
        <f>INDEX(CalLookUpTable,MATCH($B992,CalLookUpRow,0),MATCH(G$1,CalLookUpColumn,0))</f>
        <v>2019</v>
      </c>
      <c r="H992">
        <f>INDEX(CalLookUpTable,MATCH($B992,CalLookUpRow,0),MATCH(H$1,CalLookUpColumn,0))</f>
        <v>9</v>
      </c>
      <c r="I992">
        <f>INDEX(CalLookUpTable,MATCH($B992,CalLookUpRow,0),MATCH(I$1,CalLookUpColumn,0))</f>
        <v>2</v>
      </c>
    </row>
    <row r="993" spans="1:9" x14ac:dyDescent="0.25">
      <c r="A993" s="7">
        <v>1</v>
      </c>
      <c r="B993" s="8">
        <v>43713</v>
      </c>
      <c r="C993" s="9" t="s">
        <v>6</v>
      </c>
      <c r="D993" s="10">
        <v>1458.422</v>
      </c>
      <c r="E993" s="10">
        <v>1176.665</v>
      </c>
      <c r="F993" t="str">
        <f>VLOOKUP(A993,StoreLookup,2,FALSE)</f>
        <v>Store#1</v>
      </c>
      <c r="G993">
        <f>INDEX(CalLookUpTable,MATCH($B993,CalLookUpRow,0),MATCH(G$1,CalLookUpColumn,0))</f>
        <v>2019</v>
      </c>
      <c r="H993">
        <f>INDEX(CalLookUpTable,MATCH($B993,CalLookUpRow,0),MATCH(H$1,CalLookUpColumn,0))</f>
        <v>9</v>
      </c>
      <c r="I993">
        <f>INDEX(CalLookUpTable,MATCH($B993,CalLookUpRow,0),MATCH(I$1,CalLookUpColumn,0))</f>
        <v>2</v>
      </c>
    </row>
    <row r="994" spans="1:9" x14ac:dyDescent="0.25">
      <c r="A994" s="7">
        <v>1</v>
      </c>
      <c r="B994" s="8">
        <v>43714</v>
      </c>
      <c r="C994" s="9" t="s">
        <v>3</v>
      </c>
      <c r="D994" s="10">
        <v>243.37599999999998</v>
      </c>
      <c r="E994" s="10">
        <v>1006.173</v>
      </c>
      <c r="F994" t="str">
        <f>VLOOKUP(A994,StoreLookup,2,FALSE)</f>
        <v>Store#1</v>
      </c>
      <c r="G994">
        <f>INDEX(CalLookUpTable,MATCH($B994,CalLookUpRow,0),MATCH(G$1,CalLookUpColumn,0))</f>
        <v>2019</v>
      </c>
      <c r="H994">
        <f>INDEX(CalLookUpTable,MATCH($B994,CalLookUpRow,0),MATCH(H$1,CalLookUpColumn,0))</f>
        <v>9</v>
      </c>
      <c r="I994">
        <f>INDEX(CalLookUpTable,MATCH($B994,CalLookUpRow,0),MATCH(I$1,CalLookUpColumn,0))</f>
        <v>2</v>
      </c>
    </row>
    <row r="995" spans="1:9" x14ac:dyDescent="0.25">
      <c r="A995" s="7">
        <v>1</v>
      </c>
      <c r="B995" s="8">
        <v>43714</v>
      </c>
      <c r="C995" s="9" t="s">
        <v>4</v>
      </c>
      <c r="D995" s="10">
        <v>5556.4179999999997</v>
      </c>
      <c r="E995" s="10">
        <v>5782.0909999999994</v>
      </c>
      <c r="F995" t="str">
        <f>VLOOKUP(A995,StoreLookup,2,FALSE)</f>
        <v>Store#1</v>
      </c>
      <c r="G995">
        <f>INDEX(CalLookUpTable,MATCH($B995,CalLookUpRow,0),MATCH(G$1,CalLookUpColumn,0))</f>
        <v>2019</v>
      </c>
      <c r="H995">
        <f>INDEX(CalLookUpTable,MATCH($B995,CalLookUpRow,0),MATCH(H$1,CalLookUpColumn,0))</f>
        <v>9</v>
      </c>
      <c r="I995">
        <f>INDEX(CalLookUpTable,MATCH($B995,CalLookUpRow,0),MATCH(I$1,CalLookUpColumn,0))</f>
        <v>2</v>
      </c>
    </row>
    <row r="996" spans="1:9" x14ac:dyDescent="0.25">
      <c r="A996" s="7">
        <v>1</v>
      </c>
      <c r="B996" s="8">
        <v>43714</v>
      </c>
      <c r="C996" s="9" t="s">
        <v>5</v>
      </c>
      <c r="D996" s="10">
        <v>4067.7979999999998</v>
      </c>
      <c r="E996" s="10">
        <v>0</v>
      </c>
      <c r="F996" t="str">
        <f>VLOOKUP(A996,StoreLookup,2,FALSE)</f>
        <v>Store#1</v>
      </c>
      <c r="G996">
        <f>INDEX(CalLookUpTable,MATCH($B996,CalLookUpRow,0),MATCH(G$1,CalLookUpColumn,0))</f>
        <v>2019</v>
      </c>
      <c r="H996">
        <f>INDEX(CalLookUpTable,MATCH($B996,CalLookUpRow,0),MATCH(H$1,CalLookUpColumn,0))</f>
        <v>9</v>
      </c>
      <c r="I996">
        <f>INDEX(CalLookUpTable,MATCH($B996,CalLookUpRow,0),MATCH(I$1,CalLookUpColumn,0))</f>
        <v>2</v>
      </c>
    </row>
    <row r="997" spans="1:9" x14ac:dyDescent="0.25">
      <c r="A997" s="7">
        <v>1</v>
      </c>
      <c r="B997" s="8">
        <v>43714</v>
      </c>
      <c r="C997" s="9" t="s">
        <v>6</v>
      </c>
      <c r="D997" s="10">
        <v>1549.9399999999998</v>
      </c>
      <c r="E997" s="10">
        <v>1505.0350000000001</v>
      </c>
      <c r="F997" t="str">
        <f>VLOOKUP(A997,StoreLookup,2,FALSE)</f>
        <v>Store#1</v>
      </c>
      <c r="G997">
        <f>INDEX(CalLookUpTable,MATCH($B997,CalLookUpRow,0),MATCH(G$1,CalLookUpColumn,0))</f>
        <v>2019</v>
      </c>
      <c r="H997">
        <f>INDEX(CalLookUpTable,MATCH($B997,CalLookUpRow,0),MATCH(H$1,CalLookUpColumn,0))</f>
        <v>9</v>
      </c>
      <c r="I997">
        <f>INDEX(CalLookUpTable,MATCH($B997,CalLookUpRow,0),MATCH(I$1,CalLookUpColumn,0))</f>
        <v>2</v>
      </c>
    </row>
    <row r="998" spans="1:9" x14ac:dyDescent="0.25">
      <c r="A998" s="7">
        <v>1</v>
      </c>
      <c r="B998" s="8">
        <v>43715</v>
      </c>
      <c r="C998" s="9" t="s">
        <v>4</v>
      </c>
      <c r="D998" s="10">
        <v>5687.7169999999996</v>
      </c>
      <c r="E998" s="10">
        <v>6247.7099999999991</v>
      </c>
      <c r="F998" t="str">
        <f>VLOOKUP(A998,StoreLookup,2,FALSE)</f>
        <v>Store#1</v>
      </c>
      <c r="G998">
        <f>INDEX(CalLookUpTable,MATCH($B998,CalLookUpRow,0),MATCH(G$1,CalLookUpColumn,0))</f>
        <v>2019</v>
      </c>
      <c r="H998">
        <f>INDEX(CalLookUpTable,MATCH($B998,CalLookUpRow,0),MATCH(H$1,CalLookUpColumn,0))</f>
        <v>9</v>
      </c>
      <c r="I998">
        <f>INDEX(CalLookUpTable,MATCH($B998,CalLookUpRow,0),MATCH(I$1,CalLookUpColumn,0))</f>
        <v>2</v>
      </c>
    </row>
    <row r="999" spans="1:9" x14ac:dyDescent="0.25">
      <c r="A999" s="7">
        <v>1</v>
      </c>
      <c r="B999" s="8">
        <v>43715</v>
      </c>
      <c r="C999" s="9" t="s">
        <v>5</v>
      </c>
      <c r="D999" s="10">
        <v>3976.1049999999996</v>
      </c>
      <c r="E999" s="10">
        <v>0</v>
      </c>
      <c r="F999" t="str">
        <f>VLOOKUP(A999,StoreLookup,2,FALSE)</f>
        <v>Store#1</v>
      </c>
      <c r="G999">
        <f>INDEX(CalLookUpTable,MATCH($B999,CalLookUpRow,0),MATCH(G$1,CalLookUpColumn,0))</f>
        <v>2019</v>
      </c>
      <c r="H999">
        <f>INDEX(CalLookUpTable,MATCH($B999,CalLookUpRow,0),MATCH(H$1,CalLookUpColumn,0))</f>
        <v>9</v>
      </c>
      <c r="I999">
        <f>INDEX(CalLookUpTable,MATCH($B999,CalLookUpRow,0),MATCH(I$1,CalLookUpColumn,0))</f>
        <v>2</v>
      </c>
    </row>
    <row r="1000" spans="1:9" x14ac:dyDescent="0.25">
      <c r="A1000" s="7">
        <v>1</v>
      </c>
      <c r="B1000" s="8">
        <v>43715</v>
      </c>
      <c r="C1000" s="9" t="s">
        <v>6</v>
      </c>
      <c r="D1000" s="10">
        <v>1021.4959999999999</v>
      </c>
      <c r="E1000" s="10">
        <v>1115.7439999999999</v>
      </c>
      <c r="F1000" t="str">
        <f>VLOOKUP(A1000,StoreLookup,2,FALSE)</f>
        <v>Store#1</v>
      </c>
      <c r="G1000">
        <f>INDEX(CalLookUpTable,MATCH($B1000,CalLookUpRow,0),MATCH(G$1,CalLookUpColumn,0))</f>
        <v>2019</v>
      </c>
      <c r="H1000">
        <f>INDEX(CalLookUpTable,MATCH($B1000,CalLookUpRow,0),MATCH(H$1,CalLookUpColumn,0))</f>
        <v>9</v>
      </c>
      <c r="I1000">
        <f>INDEX(CalLookUpTable,MATCH($B1000,CalLookUpRow,0),MATCH(I$1,CalLookUpColumn,0))</f>
        <v>2</v>
      </c>
    </row>
    <row r="1001" spans="1:9" x14ac:dyDescent="0.25">
      <c r="A1001" s="7">
        <v>1</v>
      </c>
      <c r="B1001" s="8">
        <v>43715</v>
      </c>
      <c r="C1001" s="9" t="s">
        <v>3</v>
      </c>
      <c r="D1001" s="10">
        <v>539.85399999999993</v>
      </c>
      <c r="E1001" s="10">
        <v>882.96600000000001</v>
      </c>
      <c r="F1001" t="str">
        <f>VLOOKUP(A1001,StoreLookup,2,FALSE)</f>
        <v>Store#1</v>
      </c>
      <c r="G1001">
        <f>INDEX(CalLookUpTable,MATCH($B1001,CalLookUpRow,0),MATCH(G$1,CalLookUpColumn,0))</f>
        <v>2019</v>
      </c>
      <c r="H1001">
        <f>INDEX(CalLookUpTable,MATCH($B1001,CalLookUpRow,0),MATCH(H$1,CalLookUpColumn,0))</f>
        <v>9</v>
      </c>
      <c r="I1001">
        <f>INDEX(CalLookUpTable,MATCH($B1001,CalLookUpRow,0),MATCH(I$1,CalLookUpColumn,0))</f>
        <v>2</v>
      </c>
    </row>
    <row r="1002" spans="1:9" x14ac:dyDescent="0.25">
      <c r="A1002" s="7">
        <v>1</v>
      </c>
      <c r="B1002" s="8">
        <v>43716</v>
      </c>
      <c r="C1002" s="9" t="s">
        <v>6</v>
      </c>
      <c r="D1002" s="10">
        <v>505.24599999999992</v>
      </c>
      <c r="E1002" s="10">
        <v>352.07199999999995</v>
      </c>
      <c r="F1002" t="str">
        <f>VLOOKUP(A1002,StoreLookup,2,FALSE)</f>
        <v>Store#1</v>
      </c>
      <c r="G1002">
        <f>INDEX(CalLookUpTable,MATCH($B1002,CalLookUpRow,0),MATCH(G$1,CalLookUpColumn,0))</f>
        <v>2019</v>
      </c>
      <c r="H1002">
        <f>INDEX(CalLookUpTable,MATCH($B1002,CalLookUpRow,0),MATCH(H$1,CalLookUpColumn,0))</f>
        <v>9</v>
      </c>
      <c r="I1002">
        <f>INDEX(CalLookUpTable,MATCH($B1002,CalLookUpRow,0),MATCH(I$1,CalLookUpColumn,0))</f>
        <v>2</v>
      </c>
    </row>
    <row r="1003" spans="1:9" x14ac:dyDescent="0.25">
      <c r="A1003" s="7">
        <v>1</v>
      </c>
      <c r="B1003" s="8">
        <v>43716</v>
      </c>
      <c r="C1003" s="9" t="s">
        <v>5</v>
      </c>
      <c r="D1003" s="10">
        <v>2428.5869999999995</v>
      </c>
      <c r="E1003" s="10">
        <v>0</v>
      </c>
      <c r="F1003" t="str">
        <f>VLOOKUP(A1003,StoreLookup,2,FALSE)</f>
        <v>Store#1</v>
      </c>
      <c r="G1003">
        <f>INDEX(CalLookUpTable,MATCH($B1003,CalLookUpRow,0),MATCH(G$1,CalLookUpColumn,0))</f>
        <v>2019</v>
      </c>
      <c r="H1003">
        <f>INDEX(CalLookUpTable,MATCH($B1003,CalLookUpRow,0),MATCH(H$1,CalLookUpColumn,0))</f>
        <v>9</v>
      </c>
      <c r="I1003">
        <f>INDEX(CalLookUpTable,MATCH($B1003,CalLookUpRow,0),MATCH(I$1,CalLookUpColumn,0))</f>
        <v>2</v>
      </c>
    </row>
    <row r="1004" spans="1:9" x14ac:dyDescent="0.25">
      <c r="A1004" s="7">
        <v>1</v>
      </c>
      <c r="B1004" s="8">
        <v>43716</v>
      </c>
      <c r="C1004" s="9" t="s">
        <v>4</v>
      </c>
      <c r="D1004" s="10">
        <v>2358.6570000000002</v>
      </c>
      <c r="E1004" s="10">
        <v>2728.145</v>
      </c>
      <c r="F1004" t="str">
        <f>VLOOKUP(A1004,StoreLookup,2,FALSE)</f>
        <v>Store#1</v>
      </c>
      <c r="G1004">
        <f>INDEX(CalLookUpTable,MATCH($B1004,CalLookUpRow,0),MATCH(G$1,CalLookUpColumn,0))</f>
        <v>2019</v>
      </c>
      <c r="H1004">
        <f>INDEX(CalLookUpTable,MATCH($B1004,CalLookUpRow,0),MATCH(H$1,CalLookUpColumn,0))</f>
        <v>9</v>
      </c>
      <c r="I1004">
        <f>INDEX(CalLookUpTable,MATCH($B1004,CalLookUpRow,0),MATCH(I$1,CalLookUpColumn,0))</f>
        <v>2</v>
      </c>
    </row>
    <row r="1005" spans="1:9" x14ac:dyDescent="0.25">
      <c r="A1005" s="7">
        <v>1</v>
      </c>
      <c r="B1005" s="8">
        <v>43716</v>
      </c>
      <c r="C1005" s="9" t="s">
        <v>3</v>
      </c>
      <c r="D1005" s="10">
        <v>0</v>
      </c>
      <c r="E1005" s="10">
        <v>146.85999999999999</v>
      </c>
      <c r="F1005" t="str">
        <f>VLOOKUP(A1005,StoreLookup,2,FALSE)</f>
        <v>Store#1</v>
      </c>
      <c r="G1005">
        <f>INDEX(CalLookUpTable,MATCH($B1005,CalLookUpRow,0),MATCH(G$1,CalLookUpColumn,0))</f>
        <v>2019</v>
      </c>
      <c r="H1005">
        <f>INDEX(CalLookUpTable,MATCH($B1005,CalLookUpRow,0),MATCH(H$1,CalLookUpColumn,0))</f>
        <v>9</v>
      </c>
      <c r="I1005">
        <f>INDEX(CalLookUpTable,MATCH($B1005,CalLookUpRow,0),MATCH(I$1,CalLookUpColumn,0))</f>
        <v>2</v>
      </c>
    </row>
    <row r="1006" spans="1:9" x14ac:dyDescent="0.25">
      <c r="A1006" s="7">
        <v>1</v>
      </c>
      <c r="B1006" s="8">
        <v>43717</v>
      </c>
      <c r="C1006" s="9" t="s">
        <v>6</v>
      </c>
      <c r="D1006" s="10">
        <v>812.11199999999997</v>
      </c>
      <c r="E1006" s="10">
        <v>1055.992</v>
      </c>
      <c r="F1006" t="str">
        <f>VLOOKUP(A1006,StoreLookup,2,FALSE)</f>
        <v>Store#1</v>
      </c>
      <c r="G1006">
        <f>INDEX(CalLookUpTable,MATCH($B1006,CalLookUpRow,0),MATCH(G$1,CalLookUpColumn,0))</f>
        <v>2019</v>
      </c>
      <c r="H1006">
        <f>INDEX(CalLookUpTable,MATCH($B1006,CalLookUpRow,0),MATCH(H$1,CalLookUpColumn,0))</f>
        <v>9</v>
      </c>
      <c r="I1006">
        <f>INDEX(CalLookUpTable,MATCH($B1006,CalLookUpRow,0),MATCH(I$1,CalLookUpColumn,0))</f>
        <v>3</v>
      </c>
    </row>
    <row r="1007" spans="1:9" x14ac:dyDescent="0.25">
      <c r="A1007" s="7">
        <v>1</v>
      </c>
      <c r="B1007" s="8">
        <v>43717</v>
      </c>
      <c r="C1007" s="9" t="s">
        <v>5</v>
      </c>
      <c r="D1007" s="10">
        <v>3121.5170000000003</v>
      </c>
      <c r="E1007" s="10">
        <v>0</v>
      </c>
      <c r="F1007" t="str">
        <f>VLOOKUP(A1007,StoreLookup,2,FALSE)</f>
        <v>Store#1</v>
      </c>
      <c r="G1007">
        <f>INDEX(CalLookUpTable,MATCH($B1007,CalLookUpRow,0),MATCH(G$1,CalLookUpColumn,0))</f>
        <v>2019</v>
      </c>
      <c r="H1007">
        <f>INDEX(CalLookUpTable,MATCH($B1007,CalLookUpRow,0),MATCH(H$1,CalLookUpColumn,0))</f>
        <v>9</v>
      </c>
      <c r="I1007">
        <f>INDEX(CalLookUpTable,MATCH($B1007,CalLookUpRow,0),MATCH(I$1,CalLookUpColumn,0))</f>
        <v>3</v>
      </c>
    </row>
    <row r="1008" spans="1:9" x14ac:dyDescent="0.25">
      <c r="A1008" s="7">
        <v>1</v>
      </c>
      <c r="B1008" s="8">
        <v>43717</v>
      </c>
      <c r="C1008" s="9" t="s">
        <v>4</v>
      </c>
      <c r="D1008" s="10">
        <v>3473.232</v>
      </c>
      <c r="E1008" s="10">
        <v>4624.116</v>
      </c>
      <c r="F1008" t="str">
        <f>VLOOKUP(A1008,StoreLookup,2,FALSE)</f>
        <v>Store#1</v>
      </c>
      <c r="G1008">
        <f>INDEX(CalLookUpTable,MATCH($B1008,CalLookUpRow,0),MATCH(G$1,CalLookUpColumn,0))</f>
        <v>2019</v>
      </c>
      <c r="H1008">
        <f>INDEX(CalLookUpTable,MATCH($B1008,CalLookUpRow,0),MATCH(H$1,CalLookUpColumn,0))</f>
        <v>9</v>
      </c>
      <c r="I1008">
        <f>INDEX(CalLookUpTable,MATCH($B1008,CalLookUpRow,0),MATCH(I$1,CalLookUpColumn,0))</f>
        <v>3</v>
      </c>
    </row>
    <row r="1009" spans="1:9" x14ac:dyDescent="0.25">
      <c r="A1009" s="7">
        <v>1</v>
      </c>
      <c r="B1009" s="8">
        <v>43717</v>
      </c>
      <c r="C1009" s="9" t="s">
        <v>3</v>
      </c>
      <c r="D1009" s="10">
        <v>848.34400000000005</v>
      </c>
      <c r="E1009" s="10">
        <v>2247.819</v>
      </c>
      <c r="F1009" t="str">
        <f>VLOOKUP(A1009,StoreLookup,2,FALSE)</f>
        <v>Store#1</v>
      </c>
      <c r="G1009">
        <f>INDEX(CalLookUpTable,MATCH($B1009,CalLookUpRow,0),MATCH(G$1,CalLookUpColumn,0))</f>
        <v>2019</v>
      </c>
      <c r="H1009">
        <f>INDEX(CalLookUpTable,MATCH($B1009,CalLookUpRow,0),MATCH(H$1,CalLookUpColumn,0))</f>
        <v>9</v>
      </c>
      <c r="I1009">
        <f>INDEX(CalLookUpTable,MATCH($B1009,CalLookUpRow,0),MATCH(I$1,CalLookUpColumn,0))</f>
        <v>3</v>
      </c>
    </row>
    <row r="1010" spans="1:9" x14ac:dyDescent="0.25">
      <c r="A1010" s="7">
        <v>1</v>
      </c>
      <c r="B1010" s="8">
        <v>43718</v>
      </c>
      <c r="C1010" s="9" t="s">
        <v>6</v>
      </c>
      <c r="D1010" s="10">
        <v>1135.8689999999999</v>
      </c>
      <c r="E1010" s="10">
        <v>845.06099999999992</v>
      </c>
      <c r="F1010" t="str">
        <f>VLOOKUP(A1010,StoreLookup,2,FALSE)</f>
        <v>Store#1</v>
      </c>
      <c r="G1010">
        <f>INDEX(CalLookUpTable,MATCH($B1010,CalLookUpRow,0),MATCH(G$1,CalLookUpColumn,0))</f>
        <v>2019</v>
      </c>
      <c r="H1010">
        <f>INDEX(CalLookUpTable,MATCH($B1010,CalLookUpRow,0),MATCH(H$1,CalLookUpColumn,0))</f>
        <v>9</v>
      </c>
      <c r="I1010">
        <f>INDEX(CalLookUpTable,MATCH($B1010,CalLookUpRow,0),MATCH(I$1,CalLookUpColumn,0))</f>
        <v>3</v>
      </c>
    </row>
    <row r="1011" spans="1:9" x14ac:dyDescent="0.25">
      <c r="A1011" s="7">
        <v>1</v>
      </c>
      <c r="B1011" s="8">
        <v>43718</v>
      </c>
      <c r="C1011" s="9" t="s">
        <v>4</v>
      </c>
      <c r="D1011" s="10">
        <v>4323.1579999999994</v>
      </c>
      <c r="E1011" s="10">
        <v>4705.6589999999997</v>
      </c>
      <c r="F1011" t="str">
        <f>VLOOKUP(A1011,StoreLookup,2,FALSE)</f>
        <v>Store#1</v>
      </c>
      <c r="G1011">
        <f>INDEX(CalLookUpTable,MATCH($B1011,CalLookUpRow,0),MATCH(G$1,CalLookUpColumn,0))</f>
        <v>2019</v>
      </c>
      <c r="H1011">
        <f>INDEX(CalLookUpTable,MATCH($B1011,CalLookUpRow,0),MATCH(H$1,CalLookUpColumn,0))</f>
        <v>9</v>
      </c>
      <c r="I1011">
        <f>INDEX(CalLookUpTable,MATCH($B1011,CalLookUpRow,0),MATCH(I$1,CalLookUpColumn,0))</f>
        <v>3</v>
      </c>
    </row>
    <row r="1012" spans="1:9" x14ac:dyDescent="0.25">
      <c r="A1012" s="7">
        <v>1</v>
      </c>
      <c r="B1012" s="8">
        <v>43718</v>
      </c>
      <c r="C1012" s="9" t="s">
        <v>3</v>
      </c>
      <c r="D1012" s="10">
        <v>39.515000000000001</v>
      </c>
      <c r="E1012" s="10">
        <v>5848.0099999999993</v>
      </c>
      <c r="F1012" t="str">
        <f>VLOOKUP(A1012,StoreLookup,2,FALSE)</f>
        <v>Store#1</v>
      </c>
      <c r="G1012">
        <f>INDEX(CalLookUpTable,MATCH($B1012,CalLookUpRow,0),MATCH(G$1,CalLookUpColumn,0))</f>
        <v>2019</v>
      </c>
      <c r="H1012">
        <f>INDEX(CalLookUpTable,MATCH($B1012,CalLookUpRow,0),MATCH(H$1,CalLookUpColumn,0))</f>
        <v>9</v>
      </c>
      <c r="I1012">
        <f>INDEX(CalLookUpTable,MATCH($B1012,CalLookUpRow,0),MATCH(I$1,CalLookUpColumn,0))</f>
        <v>3</v>
      </c>
    </row>
    <row r="1013" spans="1:9" x14ac:dyDescent="0.25">
      <c r="A1013" s="7">
        <v>1</v>
      </c>
      <c r="B1013" s="8">
        <v>43718</v>
      </c>
      <c r="C1013" s="9" t="s">
        <v>5</v>
      </c>
      <c r="D1013" s="10">
        <v>3345.3420000000001</v>
      </c>
      <c r="E1013" s="10">
        <v>0</v>
      </c>
      <c r="F1013" t="str">
        <f>VLOOKUP(A1013,StoreLookup,2,FALSE)</f>
        <v>Store#1</v>
      </c>
      <c r="G1013">
        <f>INDEX(CalLookUpTable,MATCH($B1013,CalLookUpRow,0),MATCH(G$1,CalLookUpColumn,0))</f>
        <v>2019</v>
      </c>
      <c r="H1013">
        <f>INDEX(CalLookUpTable,MATCH($B1013,CalLookUpRow,0),MATCH(H$1,CalLookUpColumn,0))</f>
        <v>9</v>
      </c>
      <c r="I1013">
        <f>INDEX(CalLookUpTable,MATCH($B1013,CalLookUpRow,0),MATCH(I$1,CalLookUpColumn,0))</f>
        <v>3</v>
      </c>
    </row>
    <row r="1014" spans="1:9" x14ac:dyDescent="0.25">
      <c r="A1014" s="7">
        <v>1</v>
      </c>
      <c r="B1014" s="8">
        <v>43719</v>
      </c>
      <c r="C1014" s="9" t="s">
        <v>6</v>
      </c>
      <c r="D1014" s="10">
        <v>959.07699999999988</v>
      </c>
      <c r="E1014" s="10">
        <v>1457.4559999999999</v>
      </c>
      <c r="F1014" t="str">
        <f>VLOOKUP(A1014,StoreLookup,2,FALSE)</f>
        <v>Store#1</v>
      </c>
      <c r="G1014">
        <f>INDEX(CalLookUpTable,MATCH($B1014,CalLookUpRow,0),MATCH(G$1,CalLookUpColumn,0))</f>
        <v>2019</v>
      </c>
      <c r="H1014">
        <f>INDEX(CalLookUpTable,MATCH($B1014,CalLookUpRow,0),MATCH(H$1,CalLookUpColumn,0))</f>
        <v>9</v>
      </c>
      <c r="I1014">
        <f>INDEX(CalLookUpTable,MATCH($B1014,CalLookUpRow,0),MATCH(I$1,CalLookUpColumn,0))</f>
        <v>3</v>
      </c>
    </row>
    <row r="1015" spans="1:9" x14ac:dyDescent="0.25">
      <c r="A1015" s="7">
        <v>1</v>
      </c>
      <c r="B1015" s="8">
        <v>43719</v>
      </c>
      <c r="C1015" s="9" t="s">
        <v>4</v>
      </c>
      <c r="D1015" s="10">
        <v>4670.1899999999996</v>
      </c>
      <c r="E1015" s="10">
        <v>4985.3719999999994</v>
      </c>
      <c r="F1015" t="str">
        <f>VLOOKUP(A1015,StoreLookup,2,FALSE)</f>
        <v>Store#1</v>
      </c>
      <c r="G1015">
        <f>INDEX(CalLookUpTable,MATCH($B1015,CalLookUpRow,0),MATCH(G$1,CalLookUpColumn,0))</f>
        <v>2019</v>
      </c>
      <c r="H1015">
        <f>INDEX(CalLookUpTable,MATCH($B1015,CalLookUpRow,0),MATCH(H$1,CalLookUpColumn,0))</f>
        <v>9</v>
      </c>
      <c r="I1015">
        <f>INDEX(CalLookUpTable,MATCH($B1015,CalLookUpRow,0),MATCH(I$1,CalLookUpColumn,0))</f>
        <v>3</v>
      </c>
    </row>
    <row r="1016" spans="1:9" x14ac:dyDescent="0.25">
      <c r="A1016" s="7">
        <v>1</v>
      </c>
      <c r="B1016" s="8">
        <v>43719</v>
      </c>
      <c r="C1016" s="9" t="s">
        <v>3</v>
      </c>
      <c r="D1016" s="10">
        <v>639.37299999999993</v>
      </c>
      <c r="E1016" s="10">
        <v>1244.432</v>
      </c>
      <c r="F1016" t="str">
        <f>VLOOKUP(A1016,StoreLookup,2,FALSE)</f>
        <v>Store#1</v>
      </c>
      <c r="G1016">
        <f>INDEX(CalLookUpTable,MATCH($B1016,CalLookUpRow,0),MATCH(G$1,CalLookUpColumn,0))</f>
        <v>2019</v>
      </c>
      <c r="H1016">
        <f>INDEX(CalLookUpTable,MATCH($B1016,CalLookUpRow,0),MATCH(H$1,CalLookUpColumn,0))</f>
        <v>9</v>
      </c>
      <c r="I1016">
        <f>INDEX(CalLookUpTable,MATCH($B1016,CalLookUpRow,0),MATCH(I$1,CalLookUpColumn,0))</f>
        <v>3</v>
      </c>
    </row>
    <row r="1017" spans="1:9" x14ac:dyDescent="0.25">
      <c r="A1017" s="7">
        <v>1</v>
      </c>
      <c r="B1017" s="8">
        <v>43719</v>
      </c>
      <c r="C1017" s="9" t="s">
        <v>5</v>
      </c>
      <c r="D1017" s="10">
        <v>3335.6260000000002</v>
      </c>
      <c r="E1017" s="10">
        <v>0</v>
      </c>
      <c r="F1017" t="str">
        <f>VLOOKUP(A1017,StoreLookup,2,FALSE)</f>
        <v>Store#1</v>
      </c>
      <c r="G1017">
        <f>INDEX(CalLookUpTable,MATCH($B1017,CalLookUpRow,0),MATCH(G$1,CalLookUpColumn,0))</f>
        <v>2019</v>
      </c>
      <c r="H1017">
        <f>INDEX(CalLookUpTable,MATCH($B1017,CalLookUpRow,0),MATCH(H$1,CalLookUpColumn,0))</f>
        <v>9</v>
      </c>
      <c r="I1017">
        <f>INDEX(CalLookUpTable,MATCH($B1017,CalLookUpRow,0),MATCH(I$1,CalLookUpColumn,0))</f>
        <v>3</v>
      </c>
    </row>
    <row r="1018" spans="1:9" x14ac:dyDescent="0.25">
      <c r="A1018" s="7">
        <v>1</v>
      </c>
      <c r="B1018" s="8">
        <v>43720</v>
      </c>
      <c r="C1018" s="9" t="s">
        <v>6</v>
      </c>
      <c r="D1018" s="10">
        <v>1261.5539999999999</v>
      </c>
      <c r="E1018" s="10">
        <v>1148.308</v>
      </c>
      <c r="F1018" t="str">
        <f>VLOOKUP(A1018,StoreLookup,2,FALSE)</f>
        <v>Store#1</v>
      </c>
      <c r="G1018">
        <f>INDEX(CalLookUpTable,MATCH($B1018,CalLookUpRow,0),MATCH(G$1,CalLookUpColumn,0))</f>
        <v>2019</v>
      </c>
      <c r="H1018">
        <f>INDEX(CalLookUpTable,MATCH($B1018,CalLookUpRow,0),MATCH(H$1,CalLookUpColumn,0))</f>
        <v>9</v>
      </c>
      <c r="I1018">
        <f>INDEX(CalLookUpTable,MATCH($B1018,CalLookUpRow,0),MATCH(I$1,CalLookUpColumn,0))</f>
        <v>3</v>
      </c>
    </row>
    <row r="1019" spans="1:9" x14ac:dyDescent="0.25">
      <c r="A1019" s="7">
        <v>1</v>
      </c>
      <c r="B1019" s="8">
        <v>43720</v>
      </c>
      <c r="C1019" s="9" t="s">
        <v>4</v>
      </c>
      <c r="D1019" s="10">
        <v>4880.6170000000002</v>
      </c>
      <c r="E1019" s="10">
        <v>5681.5149999999994</v>
      </c>
      <c r="F1019" t="str">
        <f>VLOOKUP(A1019,StoreLookup,2,FALSE)</f>
        <v>Store#1</v>
      </c>
      <c r="G1019">
        <f>INDEX(CalLookUpTable,MATCH($B1019,CalLookUpRow,0),MATCH(G$1,CalLookUpColumn,0))</f>
        <v>2019</v>
      </c>
      <c r="H1019">
        <f>INDEX(CalLookUpTable,MATCH($B1019,CalLookUpRow,0),MATCH(H$1,CalLookUpColumn,0))</f>
        <v>9</v>
      </c>
      <c r="I1019">
        <f>INDEX(CalLookUpTable,MATCH($B1019,CalLookUpRow,0),MATCH(I$1,CalLookUpColumn,0))</f>
        <v>3</v>
      </c>
    </row>
    <row r="1020" spans="1:9" x14ac:dyDescent="0.25">
      <c r="A1020" s="7">
        <v>1</v>
      </c>
      <c r="B1020" s="8">
        <v>43720</v>
      </c>
      <c r="C1020" s="9" t="s">
        <v>5</v>
      </c>
      <c r="D1020" s="10">
        <v>3921.3929999999996</v>
      </c>
      <c r="E1020" s="10">
        <v>0</v>
      </c>
      <c r="F1020" t="str">
        <f>VLOOKUP(A1020,StoreLookup,2,FALSE)</f>
        <v>Store#1</v>
      </c>
      <c r="G1020">
        <f>INDEX(CalLookUpTable,MATCH($B1020,CalLookUpRow,0),MATCH(G$1,CalLookUpColumn,0))</f>
        <v>2019</v>
      </c>
      <c r="H1020">
        <f>INDEX(CalLookUpTable,MATCH($B1020,CalLookUpRow,0),MATCH(H$1,CalLookUpColumn,0))</f>
        <v>9</v>
      </c>
      <c r="I1020">
        <f>INDEX(CalLookUpTable,MATCH($B1020,CalLookUpRow,0),MATCH(I$1,CalLookUpColumn,0))</f>
        <v>3</v>
      </c>
    </row>
    <row r="1021" spans="1:9" x14ac:dyDescent="0.25">
      <c r="A1021" s="7">
        <v>1</v>
      </c>
      <c r="B1021" s="8">
        <v>43720</v>
      </c>
      <c r="C1021" s="9" t="s">
        <v>3</v>
      </c>
      <c r="D1021" s="10">
        <v>0</v>
      </c>
      <c r="E1021" s="10">
        <v>807.70899999999983</v>
      </c>
      <c r="F1021" t="str">
        <f>VLOOKUP(A1021,StoreLookup,2,FALSE)</f>
        <v>Store#1</v>
      </c>
      <c r="G1021">
        <f>INDEX(CalLookUpTable,MATCH($B1021,CalLookUpRow,0),MATCH(G$1,CalLookUpColumn,0))</f>
        <v>2019</v>
      </c>
      <c r="H1021">
        <f>INDEX(CalLookUpTable,MATCH($B1021,CalLookUpRow,0),MATCH(H$1,CalLookUpColumn,0))</f>
        <v>9</v>
      </c>
      <c r="I1021">
        <f>INDEX(CalLookUpTable,MATCH($B1021,CalLookUpRow,0),MATCH(I$1,CalLookUpColumn,0))</f>
        <v>3</v>
      </c>
    </row>
    <row r="1022" spans="1:9" x14ac:dyDescent="0.25">
      <c r="A1022" s="7">
        <v>1</v>
      </c>
      <c r="B1022" s="8">
        <v>43721</v>
      </c>
      <c r="C1022" s="9" t="s">
        <v>4</v>
      </c>
      <c r="D1022" s="10">
        <v>6136.5569999999998</v>
      </c>
      <c r="E1022" s="10">
        <v>6071.4639999999999</v>
      </c>
      <c r="F1022" t="str">
        <f>VLOOKUP(A1022,StoreLookup,2,FALSE)</f>
        <v>Store#1</v>
      </c>
      <c r="G1022">
        <f>INDEX(CalLookUpTable,MATCH($B1022,CalLookUpRow,0),MATCH(G$1,CalLookUpColumn,0))</f>
        <v>2019</v>
      </c>
      <c r="H1022">
        <f>INDEX(CalLookUpTable,MATCH($B1022,CalLookUpRow,0),MATCH(H$1,CalLookUpColumn,0))</f>
        <v>9</v>
      </c>
      <c r="I1022">
        <f>INDEX(CalLookUpTable,MATCH($B1022,CalLookUpRow,0),MATCH(I$1,CalLookUpColumn,0))</f>
        <v>3</v>
      </c>
    </row>
    <row r="1023" spans="1:9" x14ac:dyDescent="0.25">
      <c r="A1023" s="7">
        <v>1</v>
      </c>
      <c r="B1023" s="8">
        <v>43721</v>
      </c>
      <c r="C1023" s="9" t="s">
        <v>3</v>
      </c>
      <c r="D1023" s="10">
        <v>0</v>
      </c>
      <c r="E1023" s="10">
        <v>1958.1799999999998</v>
      </c>
      <c r="F1023" t="str">
        <f>VLOOKUP(A1023,StoreLookup,2,FALSE)</f>
        <v>Store#1</v>
      </c>
      <c r="G1023">
        <f>INDEX(CalLookUpTable,MATCH($B1023,CalLookUpRow,0),MATCH(G$1,CalLookUpColumn,0))</f>
        <v>2019</v>
      </c>
      <c r="H1023">
        <f>INDEX(CalLookUpTable,MATCH($B1023,CalLookUpRow,0),MATCH(H$1,CalLookUpColumn,0))</f>
        <v>9</v>
      </c>
      <c r="I1023">
        <f>INDEX(CalLookUpTable,MATCH($B1023,CalLookUpRow,0),MATCH(I$1,CalLookUpColumn,0))</f>
        <v>3</v>
      </c>
    </row>
    <row r="1024" spans="1:9" x14ac:dyDescent="0.25">
      <c r="A1024" s="7">
        <v>1</v>
      </c>
      <c r="B1024" s="8">
        <v>43721</v>
      </c>
      <c r="C1024" s="9" t="s">
        <v>6</v>
      </c>
      <c r="D1024" s="10">
        <v>1770.8389999999999</v>
      </c>
      <c r="E1024" s="10">
        <v>1694.91</v>
      </c>
      <c r="F1024" t="str">
        <f>VLOOKUP(A1024,StoreLookup,2,FALSE)</f>
        <v>Store#1</v>
      </c>
      <c r="G1024">
        <f>INDEX(CalLookUpTable,MATCH($B1024,CalLookUpRow,0),MATCH(G$1,CalLookUpColumn,0))</f>
        <v>2019</v>
      </c>
      <c r="H1024">
        <f>INDEX(CalLookUpTable,MATCH($B1024,CalLookUpRow,0),MATCH(H$1,CalLookUpColumn,0))</f>
        <v>9</v>
      </c>
      <c r="I1024">
        <f>INDEX(CalLookUpTable,MATCH($B1024,CalLookUpRow,0),MATCH(I$1,CalLookUpColumn,0))</f>
        <v>3</v>
      </c>
    </row>
    <row r="1025" spans="1:9" x14ac:dyDescent="0.25">
      <c r="A1025" s="7">
        <v>1</v>
      </c>
      <c r="B1025" s="8">
        <v>43721</v>
      </c>
      <c r="C1025" s="9" t="s">
        <v>5</v>
      </c>
      <c r="D1025" s="10">
        <v>4357.2479999999996</v>
      </c>
      <c r="E1025" s="10">
        <v>0</v>
      </c>
      <c r="F1025" t="str">
        <f>VLOOKUP(A1025,StoreLookup,2,FALSE)</f>
        <v>Store#1</v>
      </c>
      <c r="G1025">
        <f>INDEX(CalLookUpTable,MATCH($B1025,CalLookUpRow,0),MATCH(G$1,CalLookUpColumn,0))</f>
        <v>2019</v>
      </c>
      <c r="H1025">
        <f>INDEX(CalLookUpTable,MATCH($B1025,CalLookUpRow,0),MATCH(H$1,CalLookUpColumn,0))</f>
        <v>9</v>
      </c>
      <c r="I1025">
        <f>INDEX(CalLookUpTable,MATCH($B1025,CalLookUpRow,0),MATCH(I$1,CalLookUpColumn,0))</f>
        <v>3</v>
      </c>
    </row>
    <row r="1026" spans="1:9" x14ac:dyDescent="0.25">
      <c r="A1026" s="7">
        <v>1</v>
      </c>
      <c r="B1026" s="8">
        <v>43722</v>
      </c>
      <c r="C1026" s="9" t="s">
        <v>6</v>
      </c>
      <c r="D1026" s="10">
        <v>1012.2559999999999</v>
      </c>
      <c r="E1026" s="10">
        <v>1264.1999999999998</v>
      </c>
      <c r="F1026" t="str">
        <f>VLOOKUP(A1026,StoreLookup,2,FALSE)</f>
        <v>Store#1</v>
      </c>
      <c r="G1026">
        <f>INDEX(CalLookUpTable,MATCH($B1026,CalLookUpRow,0),MATCH(G$1,CalLookUpColumn,0))</f>
        <v>2019</v>
      </c>
      <c r="H1026">
        <f>INDEX(CalLookUpTable,MATCH($B1026,CalLookUpRow,0),MATCH(H$1,CalLookUpColumn,0))</f>
        <v>9</v>
      </c>
      <c r="I1026">
        <f>INDEX(CalLookUpTable,MATCH($B1026,CalLookUpRow,0),MATCH(I$1,CalLookUpColumn,0))</f>
        <v>3</v>
      </c>
    </row>
    <row r="1027" spans="1:9" x14ac:dyDescent="0.25">
      <c r="A1027" s="7">
        <v>1</v>
      </c>
      <c r="B1027" s="8">
        <v>43722</v>
      </c>
      <c r="C1027" s="9" t="s">
        <v>5</v>
      </c>
      <c r="D1027" s="10">
        <v>3806.6979999999999</v>
      </c>
      <c r="E1027" s="10">
        <v>0</v>
      </c>
      <c r="F1027" t="str">
        <f>VLOOKUP(A1027,StoreLookup,2,FALSE)</f>
        <v>Store#1</v>
      </c>
      <c r="G1027">
        <f>INDEX(CalLookUpTable,MATCH($B1027,CalLookUpRow,0),MATCH(G$1,CalLookUpColumn,0))</f>
        <v>2019</v>
      </c>
      <c r="H1027">
        <f>INDEX(CalLookUpTable,MATCH($B1027,CalLookUpRow,0),MATCH(H$1,CalLookUpColumn,0))</f>
        <v>9</v>
      </c>
      <c r="I1027">
        <f>INDEX(CalLookUpTable,MATCH($B1027,CalLookUpRow,0),MATCH(I$1,CalLookUpColumn,0))</f>
        <v>3</v>
      </c>
    </row>
    <row r="1028" spans="1:9" x14ac:dyDescent="0.25">
      <c r="A1028" s="7">
        <v>1</v>
      </c>
      <c r="B1028" s="8">
        <v>43722</v>
      </c>
      <c r="C1028" s="9" t="s">
        <v>4</v>
      </c>
      <c r="D1028" s="10">
        <v>6497.7219999999988</v>
      </c>
      <c r="E1028" s="10">
        <v>6163.2340000000004</v>
      </c>
      <c r="F1028" t="str">
        <f>VLOOKUP(A1028,StoreLookup,2,FALSE)</f>
        <v>Store#1</v>
      </c>
      <c r="G1028">
        <f>INDEX(CalLookUpTable,MATCH($B1028,CalLookUpRow,0),MATCH(G$1,CalLookUpColumn,0))</f>
        <v>2019</v>
      </c>
      <c r="H1028">
        <f>INDEX(CalLookUpTable,MATCH($B1028,CalLookUpRow,0),MATCH(H$1,CalLookUpColumn,0))</f>
        <v>9</v>
      </c>
      <c r="I1028">
        <f>INDEX(CalLookUpTable,MATCH($B1028,CalLookUpRow,0),MATCH(I$1,CalLookUpColumn,0))</f>
        <v>3</v>
      </c>
    </row>
    <row r="1029" spans="1:9" x14ac:dyDescent="0.25">
      <c r="A1029" s="7">
        <v>1</v>
      </c>
      <c r="B1029" s="8">
        <v>43722</v>
      </c>
      <c r="C1029" s="9" t="s">
        <v>3</v>
      </c>
      <c r="D1029" s="10">
        <v>142.56899999999999</v>
      </c>
      <c r="E1029" s="10">
        <v>929.77499999999998</v>
      </c>
      <c r="F1029" t="str">
        <f>VLOOKUP(A1029,StoreLookup,2,FALSE)</f>
        <v>Store#1</v>
      </c>
      <c r="G1029">
        <f>INDEX(CalLookUpTable,MATCH($B1029,CalLookUpRow,0),MATCH(G$1,CalLookUpColumn,0))</f>
        <v>2019</v>
      </c>
      <c r="H1029">
        <f>INDEX(CalLookUpTable,MATCH($B1029,CalLookUpRow,0),MATCH(H$1,CalLookUpColumn,0))</f>
        <v>9</v>
      </c>
      <c r="I1029">
        <f>INDEX(CalLookUpTable,MATCH($B1029,CalLookUpRow,0),MATCH(I$1,CalLookUpColumn,0))</f>
        <v>3</v>
      </c>
    </row>
    <row r="1030" spans="1:9" x14ac:dyDescent="0.25">
      <c r="A1030" s="7">
        <v>1</v>
      </c>
      <c r="B1030" s="8">
        <v>43723</v>
      </c>
      <c r="C1030" s="9" t="s">
        <v>6</v>
      </c>
      <c r="D1030" s="10">
        <v>800.89800000000002</v>
      </c>
      <c r="E1030" s="10">
        <v>173.99199999999999</v>
      </c>
      <c r="F1030" t="str">
        <f>VLOOKUP(A1030,StoreLookup,2,FALSE)</f>
        <v>Store#1</v>
      </c>
      <c r="G1030">
        <f>INDEX(CalLookUpTable,MATCH($B1030,CalLookUpRow,0),MATCH(G$1,CalLookUpColumn,0))</f>
        <v>2019</v>
      </c>
      <c r="H1030">
        <f>INDEX(CalLookUpTable,MATCH($B1030,CalLookUpRow,0),MATCH(H$1,CalLookUpColumn,0))</f>
        <v>9</v>
      </c>
      <c r="I1030">
        <f>INDEX(CalLookUpTable,MATCH($B1030,CalLookUpRow,0),MATCH(I$1,CalLookUpColumn,0))</f>
        <v>3</v>
      </c>
    </row>
    <row r="1031" spans="1:9" x14ac:dyDescent="0.25">
      <c r="A1031" s="7">
        <v>1</v>
      </c>
      <c r="B1031" s="8">
        <v>43723</v>
      </c>
      <c r="C1031" s="9" t="s">
        <v>3</v>
      </c>
      <c r="D1031" s="10">
        <v>3.9129999999999998</v>
      </c>
      <c r="E1031" s="10">
        <v>0</v>
      </c>
      <c r="F1031" t="str">
        <f>VLOOKUP(A1031,StoreLookup,2,FALSE)</f>
        <v>Store#1</v>
      </c>
      <c r="G1031">
        <f>INDEX(CalLookUpTable,MATCH($B1031,CalLookUpRow,0),MATCH(G$1,CalLookUpColumn,0))</f>
        <v>2019</v>
      </c>
      <c r="H1031">
        <f>INDEX(CalLookUpTable,MATCH($B1031,CalLookUpRow,0),MATCH(H$1,CalLookUpColumn,0))</f>
        <v>9</v>
      </c>
      <c r="I1031">
        <f>INDEX(CalLookUpTable,MATCH($B1031,CalLookUpRow,0),MATCH(I$1,CalLookUpColumn,0))</f>
        <v>3</v>
      </c>
    </row>
    <row r="1032" spans="1:9" x14ac:dyDescent="0.25">
      <c r="A1032" s="7">
        <v>1</v>
      </c>
      <c r="B1032" s="8">
        <v>43723</v>
      </c>
      <c r="C1032" s="9" t="s">
        <v>5</v>
      </c>
      <c r="D1032" s="10">
        <v>2412.3399999999997</v>
      </c>
      <c r="E1032" s="10">
        <v>0</v>
      </c>
      <c r="F1032" t="str">
        <f>VLOOKUP(A1032,StoreLookup,2,FALSE)</f>
        <v>Store#1</v>
      </c>
      <c r="G1032">
        <f>INDEX(CalLookUpTable,MATCH($B1032,CalLookUpRow,0),MATCH(G$1,CalLookUpColumn,0))</f>
        <v>2019</v>
      </c>
      <c r="H1032">
        <f>INDEX(CalLookUpTable,MATCH($B1032,CalLookUpRow,0),MATCH(H$1,CalLookUpColumn,0))</f>
        <v>9</v>
      </c>
      <c r="I1032">
        <f>INDEX(CalLookUpTable,MATCH($B1032,CalLookUpRow,0),MATCH(I$1,CalLookUpColumn,0))</f>
        <v>3</v>
      </c>
    </row>
    <row r="1033" spans="1:9" x14ac:dyDescent="0.25">
      <c r="A1033" s="7">
        <v>1</v>
      </c>
      <c r="B1033" s="8">
        <v>43723</v>
      </c>
      <c r="C1033" s="9" t="s">
        <v>4</v>
      </c>
      <c r="D1033" s="10">
        <v>2770.7679999999996</v>
      </c>
      <c r="E1033" s="10">
        <v>1598.4639999999999</v>
      </c>
      <c r="F1033" t="str">
        <f>VLOOKUP(A1033,StoreLookup,2,FALSE)</f>
        <v>Store#1</v>
      </c>
      <c r="G1033">
        <f>INDEX(CalLookUpTable,MATCH($B1033,CalLookUpRow,0),MATCH(G$1,CalLookUpColumn,0))</f>
        <v>2019</v>
      </c>
      <c r="H1033">
        <f>INDEX(CalLookUpTable,MATCH($B1033,CalLookUpRow,0),MATCH(H$1,CalLookUpColumn,0))</f>
        <v>9</v>
      </c>
      <c r="I1033">
        <f>INDEX(CalLookUpTable,MATCH($B1033,CalLookUpRow,0),MATCH(I$1,CalLookUpColumn,0))</f>
        <v>3</v>
      </c>
    </row>
    <row r="1034" spans="1:9" x14ac:dyDescent="0.25">
      <c r="A1034" s="7">
        <v>1</v>
      </c>
      <c r="B1034" s="8">
        <v>43724</v>
      </c>
      <c r="C1034" s="9" t="s">
        <v>5</v>
      </c>
      <c r="D1034" s="10">
        <v>4177.74</v>
      </c>
      <c r="E1034" s="10">
        <v>0</v>
      </c>
      <c r="F1034" t="str">
        <f>VLOOKUP(A1034,StoreLookup,2,FALSE)</f>
        <v>Store#1</v>
      </c>
      <c r="G1034">
        <f>INDEX(CalLookUpTable,MATCH($B1034,CalLookUpRow,0),MATCH(G$1,CalLookUpColumn,0))</f>
        <v>2019</v>
      </c>
      <c r="H1034">
        <f>INDEX(CalLookUpTable,MATCH($B1034,CalLookUpRow,0),MATCH(H$1,CalLookUpColumn,0))</f>
        <v>9</v>
      </c>
      <c r="I1034">
        <f>INDEX(CalLookUpTable,MATCH($B1034,CalLookUpRow,0),MATCH(I$1,CalLookUpColumn,0))</f>
        <v>4</v>
      </c>
    </row>
    <row r="1035" spans="1:9" x14ac:dyDescent="0.25">
      <c r="A1035" s="7">
        <v>1</v>
      </c>
      <c r="B1035" s="8">
        <v>43724</v>
      </c>
      <c r="C1035" s="9" t="s">
        <v>4</v>
      </c>
      <c r="D1035" s="10">
        <v>4296.1519999999991</v>
      </c>
      <c r="E1035" s="10">
        <v>4783.4920000000002</v>
      </c>
      <c r="F1035" t="str">
        <f>VLOOKUP(A1035,StoreLookup,2,FALSE)</f>
        <v>Store#1</v>
      </c>
      <c r="G1035">
        <f>INDEX(CalLookUpTable,MATCH($B1035,CalLookUpRow,0),MATCH(G$1,CalLookUpColumn,0))</f>
        <v>2019</v>
      </c>
      <c r="H1035">
        <f>INDEX(CalLookUpTable,MATCH($B1035,CalLookUpRow,0),MATCH(H$1,CalLookUpColumn,0))</f>
        <v>9</v>
      </c>
      <c r="I1035">
        <f>INDEX(CalLookUpTable,MATCH($B1035,CalLookUpRow,0),MATCH(I$1,CalLookUpColumn,0))</f>
        <v>4</v>
      </c>
    </row>
    <row r="1036" spans="1:9" x14ac:dyDescent="0.25">
      <c r="A1036" s="7">
        <v>1</v>
      </c>
      <c r="B1036" s="8">
        <v>43724</v>
      </c>
      <c r="C1036" s="9" t="s">
        <v>3</v>
      </c>
      <c r="D1036" s="10">
        <v>171.06599999999997</v>
      </c>
      <c r="E1036" s="10">
        <v>1133.3209999999999</v>
      </c>
      <c r="F1036" t="str">
        <f>VLOOKUP(A1036,StoreLookup,2,FALSE)</f>
        <v>Store#1</v>
      </c>
      <c r="G1036">
        <f>INDEX(CalLookUpTable,MATCH($B1036,CalLookUpRow,0),MATCH(G$1,CalLookUpColumn,0))</f>
        <v>2019</v>
      </c>
      <c r="H1036">
        <f>INDEX(CalLookUpTable,MATCH($B1036,CalLookUpRow,0),MATCH(H$1,CalLookUpColumn,0))</f>
        <v>9</v>
      </c>
      <c r="I1036">
        <f>INDEX(CalLookUpTable,MATCH($B1036,CalLookUpRow,0),MATCH(I$1,CalLookUpColumn,0))</f>
        <v>4</v>
      </c>
    </row>
    <row r="1037" spans="1:9" x14ac:dyDescent="0.25">
      <c r="A1037" s="7">
        <v>1</v>
      </c>
      <c r="B1037" s="8">
        <v>43724</v>
      </c>
      <c r="C1037" s="9" t="s">
        <v>6</v>
      </c>
      <c r="D1037" s="10">
        <v>1157.4779999999998</v>
      </c>
      <c r="E1037" s="10">
        <v>929.2639999999999</v>
      </c>
      <c r="F1037" t="str">
        <f>VLOOKUP(A1037,StoreLookup,2,FALSE)</f>
        <v>Store#1</v>
      </c>
      <c r="G1037">
        <f>INDEX(CalLookUpTable,MATCH($B1037,CalLookUpRow,0),MATCH(G$1,CalLookUpColumn,0))</f>
        <v>2019</v>
      </c>
      <c r="H1037">
        <f>INDEX(CalLookUpTable,MATCH($B1037,CalLookUpRow,0),MATCH(H$1,CalLookUpColumn,0))</f>
        <v>9</v>
      </c>
      <c r="I1037">
        <f>INDEX(CalLookUpTable,MATCH($B1037,CalLookUpRow,0),MATCH(I$1,CalLookUpColumn,0))</f>
        <v>4</v>
      </c>
    </row>
    <row r="1038" spans="1:9" x14ac:dyDescent="0.25">
      <c r="A1038" s="7">
        <v>1</v>
      </c>
      <c r="B1038" s="8">
        <v>43725</v>
      </c>
      <c r="C1038" s="9" t="s">
        <v>6</v>
      </c>
      <c r="D1038" s="10">
        <v>918.029</v>
      </c>
      <c r="E1038" s="10">
        <v>771.58899999999994</v>
      </c>
      <c r="F1038" t="str">
        <f>VLOOKUP(A1038,StoreLookup,2,FALSE)</f>
        <v>Store#1</v>
      </c>
      <c r="G1038">
        <f>INDEX(CalLookUpTable,MATCH($B1038,CalLookUpRow,0),MATCH(G$1,CalLookUpColumn,0))</f>
        <v>2019</v>
      </c>
      <c r="H1038">
        <f>INDEX(CalLookUpTable,MATCH($B1038,CalLookUpRow,0),MATCH(H$1,CalLookUpColumn,0))</f>
        <v>9</v>
      </c>
      <c r="I1038">
        <f>INDEX(CalLookUpTable,MATCH($B1038,CalLookUpRow,0),MATCH(I$1,CalLookUpColumn,0))</f>
        <v>4</v>
      </c>
    </row>
    <row r="1039" spans="1:9" x14ac:dyDescent="0.25">
      <c r="A1039" s="7">
        <v>1</v>
      </c>
      <c r="B1039" s="8">
        <v>43725</v>
      </c>
      <c r="C1039" s="9" t="s">
        <v>5</v>
      </c>
      <c r="D1039" s="10">
        <v>3674.1950000000002</v>
      </c>
      <c r="E1039" s="10">
        <v>0</v>
      </c>
      <c r="F1039" t="str">
        <f>VLOOKUP(A1039,StoreLookup,2,FALSE)</f>
        <v>Store#1</v>
      </c>
      <c r="G1039">
        <f>INDEX(CalLookUpTable,MATCH($B1039,CalLookUpRow,0),MATCH(G$1,CalLookUpColumn,0))</f>
        <v>2019</v>
      </c>
      <c r="H1039">
        <f>INDEX(CalLookUpTable,MATCH($B1039,CalLookUpRow,0),MATCH(H$1,CalLookUpColumn,0))</f>
        <v>9</v>
      </c>
      <c r="I1039">
        <f>INDEX(CalLookUpTable,MATCH($B1039,CalLookUpRow,0),MATCH(I$1,CalLookUpColumn,0))</f>
        <v>4</v>
      </c>
    </row>
    <row r="1040" spans="1:9" x14ac:dyDescent="0.25">
      <c r="A1040" s="7">
        <v>1</v>
      </c>
      <c r="B1040" s="8">
        <v>43725</v>
      </c>
      <c r="C1040" s="9" t="s">
        <v>4</v>
      </c>
      <c r="D1040" s="10">
        <v>4000.654</v>
      </c>
      <c r="E1040" s="10">
        <v>4111.1279999999997</v>
      </c>
      <c r="F1040" t="str">
        <f>VLOOKUP(A1040,StoreLookup,2,FALSE)</f>
        <v>Store#1</v>
      </c>
      <c r="G1040">
        <f>INDEX(CalLookUpTable,MATCH($B1040,CalLookUpRow,0),MATCH(G$1,CalLookUpColumn,0))</f>
        <v>2019</v>
      </c>
      <c r="H1040">
        <f>INDEX(CalLookUpTable,MATCH($B1040,CalLookUpRow,0),MATCH(H$1,CalLookUpColumn,0))</f>
        <v>9</v>
      </c>
      <c r="I1040">
        <f>INDEX(CalLookUpTable,MATCH($B1040,CalLookUpRow,0),MATCH(I$1,CalLookUpColumn,0))</f>
        <v>4</v>
      </c>
    </row>
    <row r="1041" spans="1:9" x14ac:dyDescent="0.25">
      <c r="A1041" s="7">
        <v>1</v>
      </c>
      <c r="B1041" s="8">
        <v>43725</v>
      </c>
      <c r="C1041" s="9" t="s">
        <v>3</v>
      </c>
      <c r="D1041" s="10">
        <v>23.148999999999997</v>
      </c>
      <c r="E1041" s="10">
        <v>1335.8169999999998</v>
      </c>
      <c r="F1041" t="str">
        <f>VLOOKUP(A1041,StoreLookup,2,FALSE)</f>
        <v>Store#1</v>
      </c>
      <c r="G1041">
        <f>INDEX(CalLookUpTable,MATCH($B1041,CalLookUpRow,0),MATCH(G$1,CalLookUpColumn,0))</f>
        <v>2019</v>
      </c>
      <c r="H1041">
        <f>INDEX(CalLookUpTable,MATCH($B1041,CalLookUpRow,0),MATCH(H$1,CalLookUpColumn,0))</f>
        <v>9</v>
      </c>
      <c r="I1041">
        <f>INDEX(CalLookUpTable,MATCH($B1041,CalLookUpRow,0),MATCH(I$1,CalLookUpColumn,0))</f>
        <v>4</v>
      </c>
    </row>
    <row r="1042" spans="1:9" x14ac:dyDescent="0.25">
      <c r="A1042" s="7">
        <v>1</v>
      </c>
      <c r="B1042" s="8">
        <v>43726</v>
      </c>
      <c r="C1042" s="9" t="s">
        <v>4</v>
      </c>
      <c r="D1042" s="10">
        <v>3876.1309999999999</v>
      </c>
      <c r="E1042" s="10">
        <v>4835.2149999999992</v>
      </c>
      <c r="F1042" t="str">
        <f>VLOOKUP(A1042,StoreLookup,2,FALSE)</f>
        <v>Store#1</v>
      </c>
      <c r="G1042">
        <f>INDEX(CalLookUpTable,MATCH($B1042,CalLookUpRow,0),MATCH(G$1,CalLookUpColumn,0))</f>
        <v>2019</v>
      </c>
      <c r="H1042">
        <f>INDEX(CalLookUpTable,MATCH($B1042,CalLookUpRow,0),MATCH(H$1,CalLookUpColumn,0))</f>
        <v>9</v>
      </c>
      <c r="I1042">
        <f>INDEX(CalLookUpTable,MATCH($B1042,CalLookUpRow,0),MATCH(I$1,CalLookUpColumn,0))</f>
        <v>4</v>
      </c>
    </row>
    <row r="1043" spans="1:9" x14ac:dyDescent="0.25">
      <c r="A1043" s="7">
        <v>1</v>
      </c>
      <c r="B1043" s="8">
        <v>43726</v>
      </c>
      <c r="C1043" s="9" t="s">
        <v>3</v>
      </c>
      <c r="D1043" s="10">
        <v>189.32900000000001</v>
      </c>
      <c r="E1043" s="10">
        <v>954.17699999999991</v>
      </c>
      <c r="F1043" t="str">
        <f>VLOOKUP(A1043,StoreLookup,2,FALSE)</f>
        <v>Store#1</v>
      </c>
      <c r="G1043">
        <f>INDEX(CalLookUpTable,MATCH($B1043,CalLookUpRow,0),MATCH(G$1,CalLookUpColumn,0))</f>
        <v>2019</v>
      </c>
      <c r="H1043">
        <f>INDEX(CalLookUpTable,MATCH($B1043,CalLookUpRow,0),MATCH(H$1,CalLookUpColumn,0))</f>
        <v>9</v>
      </c>
      <c r="I1043">
        <f>INDEX(CalLookUpTable,MATCH($B1043,CalLookUpRow,0),MATCH(I$1,CalLookUpColumn,0))</f>
        <v>4</v>
      </c>
    </row>
    <row r="1044" spans="1:9" x14ac:dyDescent="0.25">
      <c r="A1044" s="7">
        <v>1</v>
      </c>
      <c r="B1044" s="8">
        <v>43726</v>
      </c>
      <c r="C1044" s="9" t="s">
        <v>6</v>
      </c>
      <c r="D1044" s="10">
        <v>967.44899999999984</v>
      </c>
      <c r="E1044" s="10">
        <v>801.47199999999998</v>
      </c>
      <c r="F1044" t="str">
        <f>VLOOKUP(A1044,StoreLookup,2,FALSE)</f>
        <v>Store#1</v>
      </c>
      <c r="G1044">
        <f>INDEX(CalLookUpTable,MATCH($B1044,CalLookUpRow,0),MATCH(G$1,CalLookUpColumn,0))</f>
        <v>2019</v>
      </c>
      <c r="H1044">
        <f>INDEX(CalLookUpTable,MATCH($B1044,CalLookUpRow,0),MATCH(H$1,CalLookUpColumn,0))</f>
        <v>9</v>
      </c>
      <c r="I1044">
        <f>INDEX(CalLookUpTable,MATCH($B1044,CalLookUpRow,0),MATCH(I$1,CalLookUpColumn,0))</f>
        <v>4</v>
      </c>
    </row>
    <row r="1045" spans="1:9" x14ac:dyDescent="0.25">
      <c r="A1045" s="7">
        <v>1</v>
      </c>
      <c r="B1045" s="8">
        <v>43726</v>
      </c>
      <c r="C1045" s="9" t="s">
        <v>5</v>
      </c>
      <c r="D1045" s="10">
        <v>3239.95</v>
      </c>
      <c r="E1045" s="10">
        <v>0</v>
      </c>
      <c r="F1045" t="str">
        <f>VLOOKUP(A1045,StoreLookup,2,FALSE)</f>
        <v>Store#1</v>
      </c>
      <c r="G1045">
        <f>INDEX(CalLookUpTable,MATCH($B1045,CalLookUpRow,0),MATCH(G$1,CalLookUpColumn,0))</f>
        <v>2019</v>
      </c>
      <c r="H1045">
        <f>INDEX(CalLookUpTable,MATCH($B1045,CalLookUpRow,0),MATCH(H$1,CalLookUpColumn,0))</f>
        <v>9</v>
      </c>
      <c r="I1045">
        <f>INDEX(CalLookUpTable,MATCH($B1045,CalLookUpRow,0),MATCH(I$1,CalLookUpColumn,0))</f>
        <v>4</v>
      </c>
    </row>
    <row r="1046" spans="1:9" x14ac:dyDescent="0.25">
      <c r="A1046" s="7">
        <v>1</v>
      </c>
      <c r="B1046" s="8">
        <v>43727</v>
      </c>
      <c r="C1046" s="9" t="s">
        <v>5</v>
      </c>
      <c r="D1046" s="10">
        <v>3579.5059999999999</v>
      </c>
      <c r="E1046" s="10">
        <v>0</v>
      </c>
      <c r="F1046" t="str">
        <f>VLOOKUP(A1046,StoreLookup,2,FALSE)</f>
        <v>Store#1</v>
      </c>
      <c r="G1046">
        <f>INDEX(CalLookUpTable,MATCH($B1046,CalLookUpRow,0),MATCH(G$1,CalLookUpColumn,0))</f>
        <v>2019</v>
      </c>
      <c r="H1046">
        <f>INDEX(CalLookUpTable,MATCH($B1046,CalLookUpRow,0),MATCH(H$1,CalLookUpColumn,0))</f>
        <v>9</v>
      </c>
      <c r="I1046">
        <f>INDEX(CalLookUpTable,MATCH($B1046,CalLookUpRow,0),MATCH(I$1,CalLookUpColumn,0))</f>
        <v>4</v>
      </c>
    </row>
    <row r="1047" spans="1:9" x14ac:dyDescent="0.25">
      <c r="A1047" s="7">
        <v>1</v>
      </c>
      <c r="B1047" s="8">
        <v>43727</v>
      </c>
      <c r="C1047" s="9" t="s">
        <v>6</v>
      </c>
      <c r="D1047" s="10">
        <v>968.86299999999983</v>
      </c>
      <c r="E1047" s="10">
        <v>945.30799999999999</v>
      </c>
      <c r="F1047" t="str">
        <f>VLOOKUP(A1047,StoreLookup,2,FALSE)</f>
        <v>Store#1</v>
      </c>
      <c r="G1047">
        <f>INDEX(CalLookUpTable,MATCH($B1047,CalLookUpRow,0),MATCH(G$1,CalLookUpColumn,0))</f>
        <v>2019</v>
      </c>
      <c r="H1047">
        <f>INDEX(CalLookUpTable,MATCH($B1047,CalLookUpRow,0),MATCH(H$1,CalLookUpColumn,0))</f>
        <v>9</v>
      </c>
      <c r="I1047">
        <f>INDEX(CalLookUpTable,MATCH($B1047,CalLookUpRow,0),MATCH(I$1,CalLookUpColumn,0))</f>
        <v>4</v>
      </c>
    </row>
    <row r="1048" spans="1:9" x14ac:dyDescent="0.25">
      <c r="A1048" s="7">
        <v>1</v>
      </c>
      <c r="B1048" s="8">
        <v>43727</v>
      </c>
      <c r="C1048" s="9" t="s">
        <v>3</v>
      </c>
      <c r="D1048" s="10">
        <v>0</v>
      </c>
      <c r="E1048" s="10">
        <v>2328.3539999999998</v>
      </c>
      <c r="F1048" t="str">
        <f>VLOOKUP(A1048,StoreLookup,2,FALSE)</f>
        <v>Store#1</v>
      </c>
      <c r="G1048">
        <f>INDEX(CalLookUpTable,MATCH($B1048,CalLookUpRow,0),MATCH(G$1,CalLookUpColumn,0))</f>
        <v>2019</v>
      </c>
      <c r="H1048">
        <f>INDEX(CalLookUpTable,MATCH($B1048,CalLookUpRow,0),MATCH(H$1,CalLookUpColumn,0))</f>
        <v>9</v>
      </c>
      <c r="I1048">
        <f>INDEX(CalLookUpTable,MATCH($B1048,CalLookUpRow,0),MATCH(I$1,CalLookUpColumn,0))</f>
        <v>4</v>
      </c>
    </row>
    <row r="1049" spans="1:9" x14ac:dyDescent="0.25">
      <c r="A1049" s="7">
        <v>1</v>
      </c>
      <c r="B1049" s="8">
        <v>43727</v>
      </c>
      <c r="C1049" s="9" t="s">
        <v>4</v>
      </c>
      <c r="D1049" s="10">
        <v>4282.866</v>
      </c>
      <c r="E1049" s="10">
        <v>5324.1929999999993</v>
      </c>
      <c r="F1049" t="str">
        <f>VLOOKUP(A1049,StoreLookup,2,FALSE)</f>
        <v>Store#1</v>
      </c>
      <c r="G1049">
        <f>INDEX(CalLookUpTable,MATCH($B1049,CalLookUpRow,0),MATCH(G$1,CalLookUpColumn,0))</f>
        <v>2019</v>
      </c>
      <c r="H1049">
        <f>INDEX(CalLookUpTable,MATCH($B1049,CalLookUpRow,0),MATCH(H$1,CalLookUpColumn,0))</f>
        <v>9</v>
      </c>
      <c r="I1049">
        <f>INDEX(CalLookUpTable,MATCH($B1049,CalLookUpRow,0),MATCH(I$1,CalLookUpColumn,0))</f>
        <v>4</v>
      </c>
    </row>
    <row r="1050" spans="1:9" x14ac:dyDescent="0.25">
      <c r="A1050" s="7">
        <v>1</v>
      </c>
      <c r="B1050" s="8">
        <v>43728</v>
      </c>
      <c r="C1050" s="9" t="s">
        <v>5</v>
      </c>
      <c r="D1050" s="10">
        <v>4654.2369999999992</v>
      </c>
      <c r="E1050" s="10">
        <v>0</v>
      </c>
      <c r="F1050" t="str">
        <f>VLOOKUP(A1050,StoreLookup,2,FALSE)</f>
        <v>Store#1</v>
      </c>
      <c r="G1050">
        <f>INDEX(CalLookUpTable,MATCH($B1050,CalLookUpRow,0),MATCH(G$1,CalLookUpColumn,0))</f>
        <v>2019</v>
      </c>
      <c r="H1050">
        <f>INDEX(CalLookUpTable,MATCH($B1050,CalLookUpRow,0),MATCH(H$1,CalLookUpColumn,0))</f>
        <v>9</v>
      </c>
      <c r="I1050">
        <f>INDEX(CalLookUpTable,MATCH($B1050,CalLookUpRow,0),MATCH(I$1,CalLookUpColumn,0))</f>
        <v>4</v>
      </c>
    </row>
    <row r="1051" spans="1:9" x14ac:dyDescent="0.25">
      <c r="A1051" s="7">
        <v>1</v>
      </c>
      <c r="B1051" s="8">
        <v>43728</v>
      </c>
      <c r="C1051" s="9" t="s">
        <v>6</v>
      </c>
      <c r="D1051" s="10">
        <v>1193.5069999999998</v>
      </c>
      <c r="E1051" s="10">
        <v>1586.5639999999999</v>
      </c>
      <c r="F1051" t="str">
        <f>VLOOKUP(A1051,StoreLookup,2,FALSE)</f>
        <v>Store#1</v>
      </c>
      <c r="G1051">
        <f>INDEX(CalLookUpTable,MATCH($B1051,CalLookUpRow,0),MATCH(G$1,CalLookUpColumn,0))</f>
        <v>2019</v>
      </c>
      <c r="H1051">
        <f>INDEX(CalLookUpTable,MATCH($B1051,CalLookUpRow,0),MATCH(H$1,CalLookUpColumn,0))</f>
        <v>9</v>
      </c>
      <c r="I1051">
        <f>INDEX(CalLookUpTable,MATCH($B1051,CalLookUpRow,0),MATCH(I$1,CalLookUpColumn,0))</f>
        <v>4</v>
      </c>
    </row>
    <row r="1052" spans="1:9" x14ac:dyDescent="0.25">
      <c r="A1052" s="7">
        <v>1</v>
      </c>
      <c r="B1052" s="8">
        <v>43728</v>
      </c>
      <c r="C1052" s="9" t="s">
        <v>4</v>
      </c>
      <c r="D1052" s="10">
        <v>5574.4849999999997</v>
      </c>
      <c r="E1052" s="10">
        <v>6379.6179999999995</v>
      </c>
      <c r="F1052" t="str">
        <f>VLOOKUP(A1052,StoreLookup,2,FALSE)</f>
        <v>Store#1</v>
      </c>
      <c r="G1052">
        <f>INDEX(CalLookUpTable,MATCH($B1052,CalLookUpRow,0),MATCH(G$1,CalLookUpColumn,0))</f>
        <v>2019</v>
      </c>
      <c r="H1052">
        <f>INDEX(CalLookUpTable,MATCH($B1052,CalLookUpRow,0),MATCH(H$1,CalLookUpColumn,0))</f>
        <v>9</v>
      </c>
      <c r="I1052">
        <f>INDEX(CalLookUpTable,MATCH($B1052,CalLookUpRow,0),MATCH(I$1,CalLookUpColumn,0))</f>
        <v>4</v>
      </c>
    </row>
    <row r="1053" spans="1:9" x14ac:dyDescent="0.25">
      <c r="A1053" s="7">
        <v>1</v>
      </c>
      <c r="B1053" s="8">
        <v>43728</v>
      </c>
      <c r="C1053" s="9" t="s">
        <v>3</v>
      </c>
      <c r="D1053" s="10">
        <v>0</v>
      </c>
      <c r="E1053" s="10">
        <v>1386.3919999999998</v>
      </c>
      <c r="F1053" t="str">
        <f>VLOOKUP(A1053,StoreLookup,2,FALSE)</f>
        <v>Store#1</v>
      </c>
      <c r="G1053">
        <f>INDEX(CalLookUpTable,MATCH($B1053,CalLookUpRow,0),MATCH(G$1,CalLookUpColumn,0))</f>
        <v>2019</v>
      </c>
      <c r="H1053">
        <f>INDEX(CalLookUpTable,MATCH($B1053,CalLookUpRow,0),MATCH(H$1,CalLookUpColumn,0))</f>
        <v>9</v>
      </c>
      <c r="I1053">
        <f>INDEX(CalLookUpTable,MATCH($B1053,CalLookUpRow,0),MATCH(I$1,CalLookUpColumn,0))</f>
        <v>4</v>
      </c>
    </row>
    <row r="1054" spans="1:9" x14ac:dyDescent="0.25">
      <c r="A1054" s="7">
        <v>1</v>
      </c>
      <c r="B1054" s="8">
        <v>43729</v>
      </c>
      <c r="C1054" s="9" t="s">
        <v>3</v>
      </c>
      <c r="D1054" s="10">
        <v>353.16399999999999</v>
      </c>
      <c r="E1054" s="10">
        <v>1392.3559999999998</v>
      </c>
      <c r="F1054" t="str">
        <f>VLOOKUP(A1054,StoreLookup,2,FALSE)</f>
        <v>Store#1</v>
      </c>
      <c r="G1054">
        <f>INDEX(CalLookUpTable,MATCH($B1054,CalLookUpRow,0),MATCH(G$1,CalLookUpColumn,0))</f>
        <v>2019</v>
      </c>
      <c r="H1054">
        <f>INDEX(CalLookUpTable,MATCH($B1054,CalLookUpRow,0),MATCH(H$1,CalLookUpColumn,0))</f>
        <v>9</v>
      </c>
      <c r="I1054">
        <f>INDEX(CalLookUpTable,MATCH($B1054,CalLookUpRow,0),MATCH(I$1,CalLookUpColumn,0))</f>
        <v>4</v>
      </c>
    </row>
    <row r="1055" spans="1:9" x14ac:dyDescent="0.25">
      <c r="A1055" s="7">
        <v>1</v>
      </c>
      <c r="B1055" s="8">
        <v>43729</v>
      </c>
      <c r="C1055" s="9" t="s">
        <v>5</v>
      </c>
      <c r="D1055" s="10">
        <v>3278.0439999999999</v>
      </c>
      <c r="E1055" s="10">
        <v>0</v>
      </c>
      <c r="F1055" t="str">
        <f>VLOOKUP(A1055,StoreLookup,2,FALSE)</f>
        <v>Store#1</v>
      </c>
      <c r="G1055">
        <f>INDEX(CalLookUpTable,MATCH($B1055,CalLookUpRow,0),MATCH(G$1,CalLookUpColumn,0))</f>
        <v>2019</v>
      </c>
      <c r="H1055">
        <f>INDEX(CalLookUpTable,MATCH($B1055,CalLookUpRow,0),MATCH(H$1,CalLookUpColumn,0))</f>
        <v>9</v>
      </c>
      <c r="I1055">
        <f>INDEX(CalLookUpTable,MATCH($B1055,CalLookUpRow,0),MATCH(I$1,CalLookUpColumn,0))</f>
        <v>4</v>
      </c>
    </row>
    <row r="1056" spans="1:9" x14ac:dyDescent="0.25">
      <c r="A1056" s="7">
        <v>1</v>
      </c>
      <c r="B1056" s="8">
        <v>43729</v>
      </c>
      <c r="C1056" s="9" t="s">
        <v>6</v>
      </c>
      <c r="D1056" s="10">
        <v>845.74</v>
      </c>
      <c r="E1056" s="10">
        <v>1435.9449999999999</v>
      </c>
      <c r="F1056" t="str">
        <f>VLOOKUP(A1056,StoreLookup,2,FALSE)</f>
        <v>Store#1</v>
      </c>
      <c r="G1056">
        <f>INDEX(CalLookUpTable,MATCH($B1056,CalLookUpRow,0),MATCH(G$1,CalLookUpColumn,0))</f>
        <v>2019</v>
      </c>
      <c r="H1056">
        <f>INDEX(CalLookUpTable,MATCH($B1056,CalLookUpRow,0),MATCH(H$1,CalLookUpColumn,0))</f>
        <v>9</v>
      </c>
      <c r="I1056">
        <f>INDEX(CalLookUpTable,MATCH($B1056,CalLookUpRow,0),MATCH(I$1,CalLookUpColumn,0))</f>
        <v>4</v>
      </c>
    </row>
    <row r="1057" spans="1:9" x14ac:dyDescent="0.25">
      <c r="A1057" s="7">
        <v>1</v>
      </c>
      <c r="B1057" s="8">
        <v>43729</v>
      </c>
      <c r="C1057" s="9" t="s">
        <v>4</v>
      </c>
      <c r="D1057" s="10">
        <v>5400.0309999999999</v>
      </c>
      <c r="E1057" s="10">
        <v>6418.9579999999996</v>
      </c>
      <c r="F1057" t="str">
        <f>VLOOKUP(A1057,StoreLookup,2,FALSE)</f>
        <v>Store#1</v>
      </c>
      <c r="G1057">
        <f>INDEX(CalLookUpTable,MATCH($B1057,CalLookUpRow,0),MATCH(G$1,CalLookUpColumn,0))</f>
        <v>2019</v>
      </c>
      <c r="H1057">
        <f>INDEX(CalLookUpTable,MATCH($B1057,CalLookUpRow,0),MATCH(H$1,CalLookUpColumn,0))</f>
        <v>9</v>
      </c>
      <c r="I1057">
        <f>INDEX(CalLookUpTable,MATCH($B1057,CalLookUpRow,0),MATCH(I$1,CalLookUpColumn,0))</f>
        <v>4</v>
      </c>
    </row>
    <row r="1058" spans="1:9" x14ac:dyDescent="0.25">
      <c r="A1058" s="7">
        <v>1</v>
      </c>
      <c r="B1058" s="8">
        <v>43730</v>
      </c>
      <c r="C1058" s="9" t="s">
        <v>6</v>
      </c>
      <c r="D1058" s="10">
        <v>472.26899999999995</v>
      </c>
      <c r="E1058" s="10">
        <v>260.05699999999996</v>
      </c>
      <c r="F1058" t="str">
        <f>VLOOKUP(A1058,StoreLookup,2,FALSE)</f>
        <v>Store#1</v>
      </c>
      <c r="G1058">
        <f>INDEX(CalLookUpTable,MATCH($B1058,CalLookUpRow,0),MATCH(G$1,CalLookUpColumn,0))</f>
        <v>2019</v>
      </c>
      <c r="H1058">
        <f>INDEX(CalLookUpTable,MATCH($B1058,CalLookUpRow,0),MATCH(H$1,CalLookUpColumn,0))</f>
        <v>9</v>
      </c>
      <c r="I1058">
        <f>INDEX(CalLookUpTable,MATCH($B1058,CalLookUpRow,0),MATCH(I$1,CalLookUpColumn,0))</f>
        <v>4</v>
      </c>
    </row>
    <row r="1059" spans="1:9" x14ac:dyDescent="0.25">
      <c r="A1059" s="7">
        <v>1</v>
      </c>
      <c r="B1059" s="8">
        <v>43730</v>
      </c>
      <c r="C1059" s="9" t="s">
        <v>4</v>
      </c>
      <c r="D1059" s="10">
        <v>2343.9499999999998</v>
      </c>
      <c r="E1059" s="10">
        <v>3063.6339999999996</v>
      </c>
      <c r="F1059" t="str">
        <f>VLOOKUP(A1059,StoreLookup,2,FALSE)</f>
        <v>Store#1</v>
      </c>
      <c r="G1059">
        <f>INDEX(CalLookUpTable,MATCH($B1059,CalLookUpRow,0),MATCH(G$1,CalLookUpColumn,0))</f>
        <v>2019</v>
      </c>
      <c r="H1059">
        <f>INDEX(CalLookUpTable,MATCH($B1059,CalLookUpRow,0),MATCH(H$1,CalLookUpColumn,0))</f>
        <v>9</v>
      </c>
      <c r="I1059">
        <f>INDEX(CalLookUpTable,MATCH($B1059,CalLookUpRow,0),MATCH(I$1,CalLookUpColumn,0))</f>
        <v>4</v>
      </c>
    </row>
    <row r="1060" spans="1:9" x14ac:dyDescent="0.25">
      <c r="A1060" s="7">
        <v>1</v>
      </c>
      <c r="B1060" s="8">
        <v>43730</v>
      </c>
      <c r="C1060" s="9" t="s">
        <v>3</v>
      </c>
      <c r="D1060" s="10">
        <v>0</v>
      </c>
      <c r="E1060" s="10">
        <v>897.33</v>
      </c>
      <c r="F1060" t="str">
        <f>VLOOKUP(A1060,StoreLookup,2,FALSE)</f>
        <v>Store#1</v>
      </c>
      <c r="G1060">
        <f>INDEX(CalLookUpTable,MATCH($B1060,CalLookUpRow,0),MATCH(G$1,CalLookUpColumn,0))</f>
        <v>2019</v>
      </c>
      <c r="H1060">
        <f>INDEX(CalLookUpTable,MATCH($B1060,CalLookUpRow,0),MATCH(H$1,CalLookUpColumn,0))</f>
        <v>9</v>
      </c>
      <c r="I1060">
        <f>INDEX(CalLookUpTable,MATCH($B1060,CalLookUpRow,0),MATCH(I$1,CalLookUpColumn,0))</f>
        <v>4</v>
      </c>
    </row>
    <row r="1061" spans="1:9" x14ac:dyDescent="0.25">
      <c r="A1061" s="7">
        <v>1</v>
      </c>
      <c r="B1061" s="8">
        <v>43730</v>
      </c>
      <c r="C1061" s="9" t="s">
        <v>5</v>
      </c>
      <c r="D1061" s="10">
        <v>2128.616</v>
      </c>
      <c r="E1061" s="10">
        <v>0</v>
      </c>
      <c r="F1061" t="str">
        <f>VLOOKUP(A1061,StoreLookup,2,FALSE)</f>
        <v>Store#1</v>
      </c>
      <c r="G1061">
        <f>INDEX(CalLookUpTable,MATCH($B1061,CalLookUpRow,0),MATCH(G$1,CalLookUpColumn,0))</f>
        <v>2019</v>
      </c>
      <c r="H1061">
        <f>INDEX(CalLookUpTable,MATCH($B1061,CalLookUpRow,0),MATCH(H$1,CalLookUpColumn,0))</f>
        <v>9</v>
      </c>
      <c r="I1061">
        <f>INDEX(CalLookUpTable,MATCH($B1061,CalLookUpRow,0),MATCH(I$1,CalLookUpColumn,0))</f>
        <v>4</v>
      </c>
    </row>
    <row r="1062" spans="1:9" x14ac:dyDescent="0.25">
      <c r="A1062" s="7">
        <v>1</v>
      </c>
      <c r="B1062" s="8">
        <v>43731</v>
      </c>
      <c r="C1062" s="9" t="s">
        <v>3</v>
      </c>
      <c r="D1062" s="10">
        <v>36.098999999999997</v>
      </c>
      <c r="E1062" s="10">
        <v>503.49599999999992</v>
      </c>
      <c r="F1062" t="str">
        <f>VLOOKUP(A1062,StoreLookup,2,FALSE)</f>
        <v>Store#1</v>
      </c>
      <c r="G1062">
        <f>INDEX(CalLookUpTable,MATCH($B1062,CalLookUpRow,0),MATCH(G$1,CalLookUpColumn,0))</f>
        <v>2019</v>
      </c>
      <c r="H1062">
        <f>INDEX(CalLookUpTable,MATCH($B1062,CalLookUpRow,0),MATCH(H$1,CalLookUpColumn,0))</f>
        <v>9</v>
      </c>
      <c r="I1062">
        <f>INDEX(CalLookUpTable,MATCH($B1062,CalLookUpRow,0),MATCH(I$1,CalLookUpColumn,0))</f>
        <v>5</v>
      </c>
    </row>
    <row r="1063" spans="1:9" x14ac:dyDescent="0.25">
      <c r="A1063" s="7">
        <v>1</v>
      </c>
      <c r="B1063" s="8">
        <v>43731</v>
      </c>
      <c r="C1063" s="9" t="s">
        <v>6</v>
      </c>
      <c r="D1063" s="10">
        <v>1075.298</v>
      </c>
      <c r="E1063" s="10">
        <v>957.74699999999996</v>
      </c>
      <c r="F1063" t="str">
        <f>VLOOKUP(A1063,StoreLookup,2,FALSE)</f>
        <v>Store#1</v>
      </c>
      <c r="G1063">
        <f>INDEX(CalLookUpTable,MATCH($B1063,CalLookUpRow,0),MATCH(G$1,CalLookUpColumn,0))</f>
        <v>2019</v>
      </c>
      <c r="H1063">
        <f>INDEX(CalLookUpTable,MATCH($B1063,CalLookUpRow,0),MATCH(H$1,CalLookUpColumn,0))</f>
        <v>9</v>
      </c>
      <c r="I1063">
        <f>INDEX(CalLookUpTable,MATCH($B1063,CalLookUpRow,0),MATCH(I$1,CalLookUpColumn,0))</f>
        <v>5</v>
      </c>
    </row>
    <row r="1064" spans="1:9" x14ac:dyDescent="0.25">
      <c r="A1064" s="7">
        <v>1</v>
      </c>
      <c r="B1064" s="8">
        <v>43731</v>
      </c>
      <c r="C1064" s="9" t="s">
        <v>4</v>
      </c>
      <c r="D1064" s="10">
        <v>3434.1299999999997</v>
      </c>
      <c r="E1064" s="10">
        <v>4536.1959999999999</v>
      </c>
      <c r="F1064" t="str">
        <f>VLOOKUP(A1064,StoreLookup,2,FALSE)</f>
        <v>Store#1</v>
      </c>
      <c r="G1064">
        <f>INDEX(CalLookUpTable,MATCH($B1064,CalLookUpRow,0),MATCH(G$1,CalLookUpColumn,0))</f>
        <v>2019</v>
      </c>
      <c r="H1064">
        <f>INDEX(CalLookUpTable,MATCH($B1064,CalLookUpRow,0),MATCH(H$1,CalLookUpColumn,0))</f>
        <v>9</v>
      </c>
      <c r="I1064">
        <f>INDEX(CalLookUpTable,MATCH($B1064,CalLookUpRow,0),MATCH(I$1,CalLookUpColumn,0))</f>
        <v>5</v>
      </c>
    </row>
    <row r="1065" spans="1:9" x14ac:dyDescent="0.25">
      <c r="A1065" s="7">
        <v>1</v>
      </c>
      <c r="B1065" s="8">
        <v>43731</v>
      </c>
      <c r="C1065" s="9" t="s">
        <v>5</v>
      </c>
      <c r="D1065" s="10">
        <v>2790.1439999999998</v>
      </c>
      <c r="E1065" s="10">
        <v>0</v>
      </c>
      <c r="F1065" t="str">
        <f>VLOOKUP(A1065,StoreLookup,2,FALSE)</f>
        <v>Store#1</v>
      </c>
      <c r="G1065">
        <f>INDEX(CalLookUpTable,MATCH($B1065,CalLookUpRow,0),MATCH(G$1,CalLookUpColumn,0))</f>
        <v>2019</v>
      </c>
      <c r="H1065">
        <f>INDEX(CalLookUpTable,MATCH($B1065,CalLookUpRow,0),MATCH(H$1,CalLookUpColumn,0))</f>
        <v>9</v>
      </c>
      <c r="I1065">
        <f>INDEX(CalLookUpTable,MATCH($B1065,CalLookUpRow,0),MATCH(I$1,CalLookUpColumn,0))</f>
        <v>5</v>
      </c>
    </row>
    <row r="1066" spans="1:9" x14ac:dyDescent="0.25">
      <c r="A1066" s="7">
        <v>1</v>
      </c>
      <c r="B1066" s="8">
        <v>43732</v>
      </c>
      <c r="C1066" s="9" t="s">
        <v>4</v>
      </c>
      <c r="D1066" s="10">
        <v>3582.0679999999998</v>
      </c>
      <c r="E1066" s="10">
        <v>4840.8850000000002</v>
      </c>
      <c r="F1066" t="str">
        <f>VLOOKUP(A1066,StoreLookup,2,FALSE)</f>
        <v>Store#1</v>
      </c>
      <c r="G1066">
        <f>INDEX(CalLookUpTable,MATCH($B1066,CalLookUpRow,0),MATCH(G$1,CalLookUpColumn,0))</f>
        <v>2019</v>
      </c>
      <c r="H1066">
        <f>INDEX(CalLookUpTable,MATCH($B1066,CalLookUpRow,0),MATCH(H$1,CalLookUpColumn,0))</f>
        <v>9</v>
      </c>
      <c r="I1066">
        <f>INDEX(CalLookUpTable,MATCH($B1066,CalLookUpRow,0),MATCH(I$1,CalLookUpColumn,0))</f>
        <v>5</v>
      </c>
    </row>
    <row r="1067" spans="1:9" x14ac:dyDescent="0.25">
      <c r="A1067" s="7">
        <v>1</v>
      </c>
      <c r="B1067" s="8">
        <v>43732</v>
      </c>
      <c r="C1067" s="9" t="s">
        <v>6</v>
      </c>
      <c r="D1067" s="10">
        <v>869.33</v>
      </c>
      <c r="E1067" s="10">
        <v>1004.101</v>
      </c>
      <c r="F1067" t="str">
        <f>VLOOKUP(A1067,StoreLookup,2,FALSE)</f>
        <v>Store#1</v>
      </c>
      <c r="G1067">
        <f>INDEX(CalLookUpTable,MATCH($B1067,CalLookUpRow,0),MATCH(G$1,CalLookUpColumn,0))</f>
        <v>2019</v>
      </c>
      <c r="H1067">
        <f>INDEX(CalLookUpTable,MATCH($B1067,CalLookUpRow,0),MATCH(H$1,CalLookUpColumn,0))</f>
        <v>9</v>
      </c>
      <c r="I1067">
        <f>INDEX(CalLookUpTable,MATCH($B1067,CalLookUpRow,0),MATCH(I$1,CalLookUpColumn,0))</f>
        <v>5</v>
      </c>
    </row>
    <row r="1068" spans="1:9" x14ac:dyDescent="0.25">
      <c r="A1068" s="7">
        <v>1</v>
      </c>
      <c r="B1068" s="8">
        <v>43732</v>
      </c>
      <c r="C1068" s="9" t="s">
        <v>5</v>
      </c>
      <c r="D1068" s="10">
        <v>3810.7299999999996</v>
      </c>
      <c r="E1068" s="10">
        <v>0</v>
      </c>
      <c r="F1068" t="str">
        <f>VLOOKUP(A1068,StoreLookup,2,FALSE)</f>
        <v>Store#1</v>
      </c>
      <c r="G1068">
        <f>INDEX(CalLookUpTable,MATCH($B1068,CalLookUpRow,0),MATCH(G$1,CalLookUpColumn,0))</f>
        <v>2019</v>
      </c>
      <c r="H1068">
        <f>INDEX(CalLookUpTable,MATCH($B1068,CalLookUpRow,0),MATCH(H$1,CalLookUpColumn,0))</f>
        <v>9</v>
      </c>
      <c r="I1068">
        <f>INDEX(CalLookUpTable,MATCH($B1068,CalLookUpRow,0),MATCH(I$1,CalLookUpColumn,0))</f>
        <v>5</v>
      </c>
    </row>
    <row r="1069" spans="1:9" x14ac:dyDescent="0.25">
      <c r="A1069" s="7">
        <v>1</v>
      </c>
      <c r="B1069" s="8">
        <v>43732</v>
      </c>
      <c r="C1069" s="9" t="s">
        <v>3</v>
      </c>
      <c r="D1069" s="10">
        <v>0</v>
      </c>
      <c r="E1069" s="10">
        <v>1242.808</v>
      </c>
      <c r="F1069" t="str">
        <f>VLOOKUP(A1069,StoreLookup,2,FALSE)</f>
        <v>Store#1</v>
      </c>
      <c r="G1069">
        <f>INDEX(CalLookUpTable,MATCH($B1069,CalLookUpRow,0),MATCH(G$1,CalLookUpColumn,0))</f>
        <v>2019</v>
      </c>
      <c r="H1069">
        <f>INDEX(CalLookUpTable,MATCH($B1069,CalLookUpRow,0),MATCH(H$1,CalLookUpColumn,0))</f>
        <v>9</v>
      </c>
      <c r="I1069">
        <f>INDEX(CalLookUpTable,MATCH($B1069,CalLookUpRow,0),MATCH(I$1,CalLookUpColumn,0))</f>
        <v>5</v>
      </c>
    </row>
    <row r="1070" spans="1:9" x14ac:dyDescent="0.25">
      <c r="A1070" s="7">
        <v>1</v>
      </c>
      <c r="B1070" s="8">
        <v>43733</v>
      </c>
      <c r="C1070" s="9" t="s">
        <v>4</v>
      </c>
      <c r="D1070" s="10">
        <v>3683.4489999999996</v>
      </c>
      <c r="E1070" s="10">
        <v>4894.2950000000001</v>
      </c>
      <c r="F1070" t="str">
        <f>VLOOKUP(A1070,StoreLookup,2,FALSE)</f>
        <v>Store#1</v>
      </c>
      <c r="G1070">
        <f>INDEX(CalLookUpTable,MATCH($B1070,CalLookUpRow,0),MATCH(G$1,CalLookUpColumn,0))</f>
        <v>2019</v>
      </c>
      <c r="H1070">
        <f>INDEX(CalLookUpTable,MATCH($B1070,CalLookUpRow,0),MATCH(H$1,CalLookUpColumn,0))</f>
        <v>9</v>
      </c>
      <c r="I1070">
        <f>INDEX(CalLookUpTable,MATCH($B1070,CalLookUpRow,0),MATCH(I$1,CalLookUpColumn,0))</f>
        <v>5</v>
      </c>
    </row>
    <row r="1071" spans="1:9" x14ac:dyDescent="0.25">
      <c r="A1071" s="7">
        <v>1</v>
      </c>
      <c r="B1071" s="8">
        <v>43733</v>
      </c>
      <c r="C1071" s="9" t="s">
        <v>3</v>
      </c>
      <c r="D1071" s="10">
        <v>407.25299999999993</v>
      </c>
      <c r="E1071" s="10">
        <v>1367.5829999999999</v>
      </c>
      <c r="F1071" t="str">
        <f>VLOOKUP(A1071,StoreLookup,2,FALSE)</f>
        <v>Store#1</v>
      </c>
      <c r="G1071">
        <f>INDEX(CalLookUpTable,MATCH($B1071,CalLookUpRow,0),MATCH(G$1,CalLookUpColumn,0))</f>
        <v>2019</v>
      </c>
      <c r="H1071">
        <f>INDEX(CalLookUpTable,MATCH($B1071,CalLookUpRow,0),MATCH(H$1,CalLookUpColumn,0))</f>
        <v>9</v>
      </c>
      <c r="I1071">
        <f>INDEX(CalLookUpTable,MATCH($B1071,CalLookUpRow,0),MATCH(I$1,CalLookUpColumn,0))</f>
        <v>5</v>
      </c>
    </row>
    <row r="1072" spans="1:9" x14ac:dyDescent="0.25">
      <c r="A1072" s="7">
        <v>1</v>
      </c>
      <c r="B1072" s="8">
        <v>43733</v>
      </c>
      <c r="C1072" s="9" t="s">
        <v>5</v>
      </c>
      <c r="D1072" s="10">
        <v>3063.3469999999998</v>
      </c>
      <c r="E1072" s="10">
        <v>0</v>
      </c>
      <c r="F1072" t="str">
        <f>VLOOKUP(A1072,StoreLookup,2,FALSE)</f>
        <v>Store#1</v>
      </c>
      <c r="G1072">
        <f>INDEX(CalLookUpTable,MATCH($B1072,CalLookUpRow,0),MATCH(G$1,CalLookUpColumn,0))</f>
        <v>2019</v>
      </c>
      <c r="H1072">
        <f>INDEX(CalLookUpTable,MATCH($B1072,CalLookUpRow,0),MATCH(H$1,CalLookUpColumn,0))</f>
        <v>9</v>
      </c>
      <c r="I1072">
        <f>INDEX(CalLookUpTable,MATCH($B1072,CalLookUpRow,0),MATCH(I$1,CalLookUpColumn,0))</f>
        <v>5</v>
      </c>
    </row>
    <row r="1073" spans="1:9" x14ac:dyDescent="0.25">
      <c r="A1073" s="7">
        <v>1</v>
      </c>
      <c r="B1073" s="8">
        <v>43733</v>
      </c>
      <c r="C1073" s="9" t="s">
        <v>6</v>
      </c>
      <c r="D1073" s="10">
        <v>855.30899999999986</v>
      </c>
      <c r="E1073" s="10">
        <v>1205.596</v>
      </c>
      <c r="F1073" t="str">
        <f>VLOOKUP(A1073,StoreLookup,2,FALSE)</f>
        <v>Store#1</v>
      </c>
      <c r="G1073">
        <f>INDEX(CalLookUpTable,MATCH($B1073,CalLookUpRow,0),MATCH(G$1,CalLookUpColumn,0))</f>
        <v>2019</v>
      </c>
      <c r="H1073">
        <f>INDEX(CalLookUpTable,MATCH($B1073,CalLookUpRow,0),MATCH(H$1,CalLookUpColumn,0))</f>
        <v>9</v>
      </c>
      <c r="I1073">
        <f>INDEX(CalLookUpTable,MATCH($B1073,CalLookUpRow,0),MATCH(I$1,CalLookUpColumn,0))</f>
        <v>5</v>
      </c>
    </row>
    <row r="1074" spans="1:9" x14ac:dyDescent="0.25">
      <c r="A1074" s="7">
        <v>1</v>
      </c>
      <c r="B1074" s="8">
        <v>43734</v>
      </c>
      <c r="C1074" s="9" t="s">
        <v>5</v>
      </c>
      <c r="D1074" s="10">
        <v>3594.451</v>
      </c>
      <c r="E1074" s="10">
        <v>0</v>
      </c>
      <c r="F1074" t="str">
        <f>VLOOKUP(A1074,StoreLookup,2,FALSE)</f>
        <v>Store#1</v>
      </c>
      <c r="G1074">
        <f>INDEX(CalLookUpTable,MATCH($B1074,CalLookUpRow,0),MATCH(G$1,CalLookUpColumn,0))</f>
        <v>2019</v>
      </c>
      <c r="H1074">
        <f>INDEX(CalLookUpTable,MATCH($B1074,CalLookUpRow,0),MATCH(H$1,CalLookUpColumn,0))</f>
        <v>9</v>
      </c>
      <c r="I1074">
        <f>INDEX(CalLookUpTable,MATCH($B1074,CalLookUpRow,0),MATCH(I$1,CalLookUpColumn,0))</f>
        <v>5</v>
      </c>
    </row>
    <row r="1075" spans="1:9" x14ac:dyDescent="0.25">
      <c r="A1075" s="7">
        <v>1</v>
      </c>
      <c r="B1075" s="8">
        <v>43734</v>
      </c>
      <c r="C1075" s="9" t="s">
        <v>3</v>
      </c>
      <c r="D1075" s="10">
        <v>0</v>
      </c>
      <c r="E1075" s="10">
        <v>555.26099999999997</v>
      </c>
      <c r="F1075" t="str">
        <f>VLOOKUP(A1075,StoreLookup,2,FALSE)</f>
        <v>Store#1</v>
      </c>
      <c r="G1075">
        <f>INDEX(CalLookUpTable,MATCH($B1075,CalLookUpRow,0),MATCH(G$1,CalLookUpColumn,0))</f>
        <v>2019</v>
      </c>
      <c r="H1075">
        <f>INDEX(CalLookUpTable,MATCH($B1075,CalLookUpRow,0),MATCH(H$1,CalLookUpColumn,0))</f>
        <v>9</v>
      </c>
      <c r="I1075">
        <f>INDEX(CalLookUpTable,MATCH($B1075,CalLookUpRow,0),MATCH(I$1,CalLookUpColumn,0))</f>
        <v>5</v>
      </c>
    </row>
    <row r="1076" spans="1:9" x14ac:dyDescent="0.25">
      <c r="A1076" s="7">
        <v>1</v>
      </c>
      <c r="B1076" s="8">
        <v>43734</v>
      </c>
      <c r="C1076" s="9" t="s">
        <v>4</v>
      </c>
      <c r="D1076" s="10">
        <v>4022.4169999999999</v>
      </c>
      <c r="E1076" s="10">
        <v>5533.9480000000003</v>
      </c>
      <c r="F1076" t="str">
        <f>VLOOKUP(A1076,StoreLookup,2,FALSE)</f>
        <v>Store#1</v>
      </c>
      <c r="G1076">
        <f>INDEX(CalLookUpTable,MATCH($B1076,CalLookUpRow,0),MATCH(G$1,CalLookUpColumn,0))</f>
        <v>2019</v>
      </c>
      <c r="H1076">
        <f>INDEX(CalLookUpTable,MATCH($B1076,CalLookUpRow,0),MATCH(H$1,CalLookUpColumn,0))</f>
        <v>9</v>
      </c>
      <c r="I1076">
        <f>INDEX(CalLookUpTable,MATCH($B1076,CalLookUpRow,0),MATCH(I$1,CalLookUpColumn,0))</f>
        <v>5</v>
      </c>
    </row>
    <row r="1077" spans="1:9" x14ac:dyDescent="0.25">
      <c r="A1077" s="7">
        <v>1</v>
      </c>
      <c r="B1077" s="8">
        <v>43734</v>
      </c>
      <c r="C1077" s="9" t="s">
        <v>6</v>
      </c>
      <c r="D1077" s="10">
        <v>726.85199999999986</v>
      </c>
      <c r="E1077" s="10">
        <v>923.32099999999991</v>
      </c>
      <c r="F1077" t="str">
        <f>VLOOKUP(A1077,StoreLookup,2,FALSE)</f>
        <v>Store#1</v>
      </c>
      <c r="G1077">
        <f>INDEX(CalLookUpTable,MATCH($B1077,CalLookUpRow,0),MATCH(G$1,CalLookUpColumn,0))</f>
        <v>2019</v>
      </c>
      <c r="H1077">
        <f>INDEX(CalLookUpTable,MATCH($B1077,CalLookUpRow,0),MATCH(H$1,CalLookUpColumn,0))</f>
        <v>9</v>
      </c>
      <c r="I1077">
        <f>INDEX(CalLookUpTable,MATCH($B1077,CalLookUpRow,0),MATCH(I$1,CalLookUpColumn,0))</f>
        <v>5</v>
      </c>
    </row>
    <row r="1078" spans="1:9" x14ac:dyDescent="0.25">
      <c r="A1078" s="7">
        <v>1</v>
      </c>
      <c r="B1078" s="8">
        <v>43735</v>
      </c>
      <c r="C1078" s="9" t="s">
        <v>5</v>
      </c>
      <c r="D1078" s="10">
        <v>4071.0109999999995</v>
      </c>
      <c r="E1078" s="10">
        <v>0</v>
      </c>
      <c r="F1078" t="str">
        <f>VLOOKUP(A1078,StoreLookup,2,FALSE)</f>
        <v>Store#1</v>
      </c>
      <c r="G1078">
        <f>INDEX(CalLookUpTable,MATCH($B1078,CalLookUpRow,0),MATCH(G$1,CalLookUpColumn,0))</f>
        <v>2019</v>
      </c>
      <c r="H1078">
        <f>INDEX(CalLookUpTable,MATCH($B1078,CalLookUpRow,0),MATCH(H$1,CalLookUpColumn,0))</f>
        <v>9</v>
      </c>
      <c r="I1078">
        <f>INDEX(CalLookUpTable,MATCH($B1078,CalLookUpRow,0),MATCH(I$1,CalLookUpColumn,0))</f>
        <v>5</v>
      </c>
    </row>
    <row r="1079" spans="1:9" x14ac:dyDescent="0.25">
      <c r="A1079" s="7">
        <v>1</v>
      </c>
      <c r="B1079" s="8">
        <v>43735</v>
      </c>
      <c r="C1079" s="9" t="s">
        <v>6</v>
      </c>
      <c r="D1079" s="10">
        <v>968.25399999999991</v>
      </c>
      <c r="E1079" s="10">
        <v>1585.038</v>
      </c>
      <c r="F1079" t="str">
        <f>VLOOKUP(A1079,StoreLookup,2,FALSE)</f>
        <v>Store#1</v>
      </c>
      <c r="G1079">
        <f>INDEX(CalLookUpTable,MATCH($B1079,CalLookUpRow,0),MATCH(G$1,CalLookUpColumn,0))</f>
        <v>2019</v>
      </c>
      <c r="H1079">
        <f>INDEX(CalLookUpTable,MATCH($B1079,CalLookUpRow,0),MATCH(H$1,CalLookUpColumn,0))</f>
        <v>9</v>
      </c>
      <c r="I1079">
        <f>INDEX(CalLookUpTable,MATCH($B1079,CalLookUpRow,0),MATCH(I$1,CalLookUpColumn,0))</f>
        <v>5</v>
      </c>
    </row>
    <row r="1080" spans="1:9" x14ac:dyDescent="0.25">
      <c r="A1080" s="7">
        <v>1</v>
      </c>
      <c r="B1080" s="8">
        <v>43735</v>
      </c>
      <c r="C1080" s="9" t="s">
        <v>4</v>
      </c>
      <c r="D1080" s="10">
        <v>5572.5109999999995</v>
      </c>
      <c r="E1080" s="10">
        <v>6398.2869999999994</v>
      </c>
      <c r="F1080" t="str">
        <f>VLOOKUP(A1080,StoreLookup,2,FALSE)</f>
        <v>Store#1</v>
      </c>
      <c r="G1080">
        <f>INDEX(CalLookUpTable,MATCH($B1080,CalLookUpRow,0),MATCH(G$1,CalLookUpColumn,0))</f>
        <v>2019</v>
      </c>
      <c r="H1080">
        <f>INDEX(CalLookUpTable,MATCH($B1080,CalLookUpRow,0),MATCH(H$1,CalLookUpColumn,0))</f>
        <v>9</v>
      </c>
      <c r="I1080">
        <f>INDEX(CalLookUpTable,MATCH($B1080,CalLookUpRow,0),MATCH(I$1,CalLookUpColumn,0))</f>
        <v>5</v>
      </c>
    </row>
    <row r="1081" spans="1:9" x14ac:dyDescent="0.25">
      <c r="A1081" s="7">
        <v>1</v>
      </c>
      <c r="B1081" s="8">
        <v>43735</v>
      </c>
      <c r="C1081" s="9" t="s">
        <v>3</v>
      </c>
      <c r="D1081" s="10">
        <v>26.361999999999995</v>
      </c>
      <c r="E1081" s="10">
        <v>370.56599999999997</v>
      </c>
      <c r="F1081" t="str">
        <f>VLOOKUP(A1081,StoreLookup,2,FALSE)</f>
        <v>Store#1</v>
      </c>
      <c r="G1081">
        <f>INDEX(CalLookUpTable,MATCH($B1081,CalLookUpRow,0),MATCH(G$1,CalLookUpColumn,0))</f>
        <v>2019</v>
      </c>
      <c r="H1081">
        <f>INDEX(CalLookUpTable,MATCH($B1081,CalLookUpRow,0),MATCH(H$1,CalLookUpColumn,0))</f>
        <v>9</v>
      </c>
      <c r="I1081">
        <f>INDEX(CalLookUpTable,MATCH($B1081,CalLookUpRow,0),MATCH(I$1,CalLookUpColumn,0))</f>
        <v>5</v>
      </c>
    </row>
    <row r="1082" spans="1:9" x14ac:dyDescent="0.25">
      <c r="A1082" s="7">
        <v>1</v>
      </c>
      <c r="B1082" s="8">
        <v>43736</v>
      </c>
      <c r="C1082" s="9" t="s">
        <v>6</v>
      </c>
      <c r="D1082" s="10">
        <v>902.25099999999998</v>
      </c>
      <c r="E1082" s="10">
        <v>1130.08</v>
      </c>
      <c r="F1082" t="str">
        <f>VLOOKUP(A1082,StoreLookup,2,FALSE)</f>
        <v>Store#1</v>
      </c>
      <c r="G1082">
        <f>INDEX(CalLookUpTable,MATCH($B1082,CalLookUpRow,0),MATCH(G$1,CalLookUpColumn,0))</f>
        <v>2019</v>
      </c>
      <c r="H1082">
        <f>INDEX(CalLookUpTable,MATCH($B1082,CalLookUpRow,0),MATCH(H$1,CalLookUpColumn,0))</f>
        <v>9</v>
      </c>
      <c r="I1082">
        <f>INDEX(CalLookUpTable,MATCH($B1082,CalLookUpRow,0),MATCH(I$1,CalLookUpColumn,0))</f>
        <v>5</v>
      </c>
    </row>
    <row r="1083" spans="1:9" x14ac:dyDescent="0.25">
      <c r="A1083" s="7">
        <v>1</v>
      </c>
      <c r="B1083" s="8">
        <v>43736</v>
      </c>
      <c r="C1083" s="9" t="s">
        <v>4</v>
      </c>
      <c r="D1083" s="10">
        <v>5517.2529999999997</v>
      </c>
      <c r="E1083" s="10">
        <v>6655.201</v>
      </c>
      <c r="F1083" t="str">
        <f>VLOOKUP(A1083,StoreLookup,2,FALSE)</f>
        <v>Store#1</v>
      </c>
      <c r="G1083">
        <f>INDEX(CalLookUpTable,MATCH($B1083,CalLookUpRow,0),MATCH(G$1,CalLookUpColumn,0))</f>
        <v>2019</v>
      </c>
      <c r="H1083">
        <f>INDEX(CalLookUpTable,MATCH($B1083,CalLookUpRow,0),MATCH(H$1,CalLookUpColumn,0))</f>
        <v>9</v>
      </c>
      <c r="I1083">
        <f>INDEX(CalLookUpTable,MATCH($B1083,CalLookUpRow,0),MATCH(I$1,CalLookUpColumn,0))</f>
        <v>5</v>
      </c>
    </row>
    <row r="1084" spans="1:9" x14ac:dyDescent="0.25">
      <c r="A1084" s="7">
        <v>1</v>
      </c>
      <c r="B1084" s="8">
        <v>43736</v>
      </c>
      <c r="C1084" s="9" t="s">
        <v>3</v>
      </c>
      <c r="D1084" s="10">
        <v>174.846</v>
      </c>
      <c r="E1084" s="10">
        <v>413.35699999999997</v>
      </c>
      <c r="F1084" t="str">
        <f>VLOOKUP(A1084,StoreLookup,2,FALSE)</f>
        <v>Store#1</v>
      </c>
      <c r="G1084">
        <f>INDEX(CalLookUpTable,MATCH($B1084,CalLookUpRow,0),MATCH(G$1,CalLookUpColumn,0))</f>
        <v>2019</v>
      </c>
      <c r="H1084">
        <f>INDEX(CalLookUpTable,MATCH($B1084,CalLookUpRow,0),MATCH(H$1,CalLookUpColumn,0))</f>
        <v>9</v>
      </c>
      <c r="I1084">
        <f>INDEX(CalLookUpTable,MATCH($B1084,CalLookUpRow,0),MATCH(I$1,CalLookUpColumn,0))</f>
        <v>5</v>
      </c>
    </row>
    <row r="1085" spans="1:9" x14ac:dyDescent="0.25">
      <c r="A1085" s="7">
        <v>1</v>
      </c>
      <c r="B1085" s="8">
        <v>43736</v>
      </c>
      <c r="C1085" s="9" t="s">
        <v>5</v>
      </c>
      <c r="D1085" s="10">
        <v>4025.6649999999995</v>
      </c>
      <c r="E1085" s="10">
        <v>0</v>
      </c>
      <c r="F1085" t="str">
        <f>VLOOKUP(A1085,StoreLookup,2,FALSE)</f>
        <v>Store#1</v>
      </c>
      <c r="G1085">
        <f>INDEX(CalLookUpTable,MATCH($B1085,CalLookUpRow,0),MATCH(G$1,CalLookUpColumn,0))</f>
        <v>2019</v>
      </c>
      <c r="H1085">
        <f>INDEX(CalLookUpTable,MATCH($B1085,CalLookUpRow,0),MATCH(H$1,CalLookUpColumn,0))</f>
        <v>9</v>
      </c>
      <c r="I1085">
        <f>INDEX(CalLookUpTable,MATCH($B1085,CalLookUpRow,0),MATCH(I$1,CalLookUpColumn,0))</f>
        <v>5</v>
      </c>
    </row>
    <row r="1086" spans="1:9" x14ac:dyDescent="0.25">
      <c r="A1086" s="7">
        <v>1</v>
      </c>
      <c r="B1086" s="8">
        <v>43737</v>
      </c>
      <c r="C1086" s="9" t="s">
        <v>5</v>
      </c>
      <c r="D1086" s="10">
        <v>2058.2939999999999</v>
      </c>
      <c r="E1086" s="10">
        <v>0</v>
      </c>
      <c r="F1086" t="str">
        <f>VLOOKUP(A1086,StoreLookup,2,FALSE)</f>
        <v>Store#1</v>
      </c>
      <c r="G1086">
        <f>INDEX(CalLookUpTable,MATCH($B1086,CalLookUpRow,0),MATCH(G$1,CalLookUpColumn,0))</f>
        <v>2019</v>
      </c>
      <c r="H1086">
        <f>INDEX(CalLookUpTable,MATCH($B1086,CalLookUpRow,0),MATCH(H$1,CalLookUpColumn,0))</f>
        <v>9</v>
      </c>
      <c r="I1086">
        <f>INDEX(CalLookUpTable,MATCH($B1086,CalLookUpRow,0),MATCH(I$1,CalLookUpColumn,0))</f>
        <v>5</v>
      </c>
    </row>
    <row r="1087" spans="1:9" x14ac:dyDescent="0.25">
      <c r="A1087" s="7">
        <v>1</v>
      </c>
      <c r="B1087" s="8">
        <v>43737</v>
      </c>
      <c r="C1087" s="9" t="s">
        <v>3</v>
      </c>
      <c r="D1087" s="10">
        <v>0</v>
      </c>
      <c r="E1087" s="10">
        <v>0</v>
      </c>
      <c r="F1087" t="str">
        <f>VLOOKUP(A1087,StoreLookup,2,FALSE)</f>
        <v>Store#1</v>
      </c>
      <c r="G1087">
        <f>INDEX(CalLookUpTable,MATCH($B1087,CalLookUpRow,0),MATCH(G$1,CalLookUpColumn,0))</f>
        <v>2019</v>
      </c>
      <c r="H1087">
        <f>INDEX(CalLookUpTable,MATCH($B1087,CalLookUpRow,0),MATCH(H$1,CalLookUpColumn,0))</f>
        <v>9</v>
      </c>
      <c r="I1087">
        <f>INDEX(CalLookUpTable,MATCH($B1087,CalLookUpRow,0),MATCH(I$1,CalLookUpColumn,0))</f>
        <v>5</v>
      </c>
    </row>
    <row r="1088" spans="1:9" x14ac:dyDescent="0.25">
      <c r="A1088" s="7">
        <v>1</v>
      </c>
      <c r="B1088" s="8">
        <v>43737</v>
      </c>
      <c r="C1088" s="9" t="s">
        <v>4</v>
      </c>
      <c r="D1088" s="10">
        <v>2089.5349999999999</v>
      </c>
      <c r="E1088" s="10">
        <v>2811.319</v>
      </c>
      <c r="F1088" t="str">
        <f>VLOOKUP(A1088,StoreLookup,2,FALSE)</f>
        <v>Store#1</v>
      </c>
      <c r="G1088">
        <f>INDEX(CalLookUpTable,MATCH($B1088,CalLookUpRow,0),MATCH(G$1,CalLookUpColumn,0))</f>
        <v>2019</v>
      </c>
      <c r="H1088">
        <f>INDEX(CalLookUpTable,MATCH($B1088,CalLookUpRow,0),MATCH(H$1,CalLookUpColumn,0))</f>
        <v>9</v>
      </c>
      <c r="I1088">
        <f>INDEX(CalLookUpTable,MATCH($B1088,CalLookUpRow,0),MATCH(I$1,CalLookUpColumn,0))</f>
        <v>5</v>
      </c>
    </row>
    <row r="1089" spans="1:9" x14ac:dyDescent="0.25">
      <c r="A1089" s="7">
        <v>1</v>
      </c>
      <c r="B1089" s="8">
        <v>43737</v>
      </c>
      <c r="C1089" s="9" t="s">
        <v>6</v>
      </c>
      <c r="D1089" s="10">
        <v>283.07299999999998</v>
      </c>
      <c r="E1089" s="10">
        <v>256.529</v>
      </c>
      <c r="F1089" t="str">
        <f>VLOOKUP(A1089,StoreLookup,2,FALSE)</f>
        <v>Store#1</v>
      </c>
      <c r="G1089">
        <f>INDEX(CalLookUpTable,MATCH($B1089,CalLookUpRow,0),MATCH(G$1,CalLookUpColumn,0))</f>
        <v>2019</v>
      </c>
      <c r="H1089">
        <f>INDEX(CalLookUpTable,MATCH($B1089,CalLookUpRow,0),MATCH(H$1,CalLookUpColumn,0))</f>
        <v>9</v>
      </c>
      <c r="I1089">
        <f>INDEX(CalLookUpTable,MATCH($B1089,CalLookUpRow,0),MATCH(I$1,CalLookUpColumn,0))</f>
        <v>5</v>
      </c>
    </row>
    <row r="1090" spans="1:9" x14ac:dyDescent="0.25">
      <c r="A1090" s="7">
        <v>1</v>
      </c>
      <c r="B1090" s="8">
        <v>43738</v>
      </c>
      <c r="C1090" s="9" t="s">
        <v>6</v>
      </c>
      <c r="D1090" s="10">
        <v>774.99099999999999</v>
      </c>
      <c r="E1090" s="10">
        <v>1200.836</v>
      </c>
      <c r="F1090" t="str">
        <f>VLOOKUP(A1090,StoreLookup,2,FALSE)</f>
        <v>Store#1</v>
      </c>
      <c r="G1090">
        <f>INDEX(CalLookUpTable,MATCH($B1090,CalLookUpRow,0),MATCH(G$1,CalLookUpColumn,0))</f>
        <v>2019</v>
      </c>
      <c r="H1090">
        <f>INDEX(CalLookUpTable,MATCH($B1090,CalLookUpRow,0),MATCH(H$1,CalLookUpColumn,0))</f>
        <v>10</v>
      </c>
      <c r="I1090">
        <f>INDEX(CalLookUpTable,MATCH($B1090,CalLookUpRow,0),MATCH(I$1,CalLookUpColumn,0))</f>
        <v>1</v>
      </c>
    </row>
    <row r="1091" spans="1:9" x14ac:dyDescent="0.25">
      <c r="A1091" s="7">
        <v>1</v>
      </c>
      <c r="B1091" s="8">
        <v>43738</v>
      </c>
      <c r="C1091" s="9" t="s">
        <v>4</v>
      </c>
      <c r="D1091" s="10">
        <v>2961.3920000000003</v>
      </c>
      <c r="E1091" s="10">
        <v>4731.8809999999994</v>
      </c>
      <c r="F1091" t="str">
        <f>VLOOKUP(A1091,StoreLookup,2,FALSE)</f>
        <v>Store#1</v>
      </c>
      <c r="G1091">
        <f>INDEX(CalLookUpTable,MATCH($B1091,CalLookUpRow,0),MATCH(G$1,CalLookUpColumn,0))</f>
        <v>2019</v>
      </c>
      <c r="H1091">
        <f>INDEX(CalLookUpTable,MATCH($B1091,CalLookUpRow,0),MATCH(H$1,CalLookUpColumn,0))</f>
        <v>10</v>
      </c>
      <c r="I1091">
        <f>INDEX(CalLookUpTable,MATCH($B1091,CalLookUpRow,0),MATCH(I$1,CalLookUpColumn,0))</f>
        <v>1</v>
      </c>
    </row>
    <row r="1092" spans="1:9" x14ac:dyDescent="0.25">
      <c r="A1092" s="7">
        <v>1</v>
      </c>
      <c r="B1092" s="8">
        <v>43738</v>
      </c>
      <c r="C1092" s="9" t="s">
        <v>3</v>
      </c>
      <c r="D1092" s="10">
        <v>207.38899999999998</v>
      </c>
      <c r="E1092" s="10">
        <v>1385.818</v>
      </c>
      <c r="F1092" t="str">
        <f>VLOOKUP(A1092,StoreLookup,2,FALSE)</f>
        <v>Store#1</v>
      </c>
      <c r="G1092">
        <f>INDEX(CalLookUpTable,MATCH($B1092,CalLookUpRow,0),MATCH(G$1,CalLookUpColumn,0))</f>
        <v>2019</v>
      </c>
      <c r="H1092">
        <f>INDEX(CalLookUpTable,MATCH($B1092,CalLookUpRow,0),MATCH(H$1,CalLookUpColumn,0))</f>
        <v>10</v>
      </c>
      <c r="I1092">
        <f>INDEX(CalLookUpTable,MATCH($B1092,CalLookUpRow,0),MATCH(I$1,CalLookUpColumn,0))</f>
        <v>1</v>
      </c>
    </row>
    <row r="1093" spans="1:9" x14ac:dyDescent="0.25">
      <c r="A1093" s="7">
        <v>1</v>
      </c>
      <c r="B1093" s="8">
        <v>43738</v>
      </c>
      <c r="C1093" s="9" t="s">
        <v>5</v>
      </c>
      <c r="D1093" s="10">
        <v>3182.4380000000001</v>
      </c>
      <c r="E1093" s="10">
        <v>0</v>
      </c>
      <c r="F1093" t="str">
        <f>VLOOKUP(A1093,StoreLookup,2,FALSE)</f>
        <v>Store#1</v>
      </c>
      <c r="G1093">
        <f>INDEX(CalLookUpTable,MATCH($B1093,CalLookUpRow,0),MATCH(G$1,CalLookUpColumn,0))</f>
        <v>2019</v>
      </c>
      <c r="H1093">
        <f>INDEX(CalLookUpTable,MATCH($B1093,CalLookUpRow,0),MATCH(H$1,CalLookUpColumn,0))</f>
        <v>10</v>
      </c>
      <c r="I1093">
        <f>INDEX(CalLookUpTable,MATCH($B1093,CalLookUpRow,0),MATCH(I$1,CalLookUpColumn,0))</f>
        <v>1</v>
      </c>
    </row>
    <row r="1094" spans="1:9" x14ac:dyDescent="0.25">
      <c r="A1094" s="7">
        <v>1</v>
      </c>
      <c r="B1094" s="8">
        <v>43739</v>
      </c>
      <c r="C1094" s="9" t="s">
        <v>6</v>
      </c>
      <c r="D1094" s="10">
        <v>716.96799999999996</v>
      </c>
      <c r="E1094" s="10">
        <v>1213.8839999999998</v>
      </c>
      <c r="F1094" t="str">
        <f>VLOOKUP(A1094,StoreLookup,2,FALSE)</f>
        <v>Store#1</v>
      </c>
      <c r="G1094">
        <f>INDEX(CalLookUpTable,MATCH($B1094,CalLookUpRow,0),MATCH(G$1,CalLookUpColumn,0))</f>
        <v>2019</v>
      </c>
      <c r="H1094">
        <f>INDEX(CalLookUpTable,MATCH($B1094,CalLookUpRow,0),MATCH(H$1,CalLookUpColumn,0))</f>
        <v>10</v>
      </c>
      <c r="I1094">
        <f>INDEX(CalLookUpTable,MATCH($B1094,CalLookUpRow,0),MATCH(I$1,CalLookUpColumn,0))</f>
        <v>1</v>
      </c>
    </row>
    <row r="1095" spans="1:9" x14ac:dyDescent="0.25">
      <c r="A1095" s="7">
        <v>1</v>
      </c>
      <c r="B1095" s="8">
        <v>43739</v>
      </c>
      <c r="C1095" s="9" t="s">
        <v>5</v>
      </c>
      <c r="D1095" s="10">
        <v>3216.3319999999999</v>
      </c>
      <c r="E1095" s="10">
        <v>0</v>
      </c>
      <c r="F1095" t="str">
        <f>VLOOKUP(A1095,StoreLookup,2,FALSE)</f>
        <v>Store#1</v>
      </c>
      <c r="G1095">
        <f>INDEX(CalLookUpTable,MATCH($B1095,CalLookUpRow,0),MATCH(G$1,CalLookUpColumn,0))</f>
        <v>2019</v>
      </c>
      <c r="H1095">
        <f>INDEX(CalLookUpTable,MATCH($B1095,CalLookUpRow,0),MATCH(H$1,CalLookUpColumn,0))</f>
        <v>10</v>
      </c>
      <c r="I1095">
        <f>INDEX(CalLookUpTable,MATCH($B1095,CalLookUpRow,0),MATCH(I$1,CalLookUpColumn,0))</f>
        <v>1</v>
      </c>
    </row>
    <row r="1096" spans="1:9" x14ac:dyDescent="0.25">
      <c r="A1096" s="7">
        <v>1</v>
      </c>
      <c r="B1096" s="8">
        <v>43739</v>
      </c>
      <c r="C1096" s="9" t="s">
        <v>4</v>
      </c>
      <c r="D1096" s="10">
        <v>3860.4859999999994</v>
      </c>
      <c r="E1096" s="10">
        <v>4774.7699999999995</v>
      </c>
      <c r="F1096" t="str">
        <f>VLOOKUP(A1096,StoreLookup,2,FALSE)</f>
        <v>Store#1</v>
      </c>
      <c r="G1096">
        <f>INDEX(CalLookUpTable,MATCH($B1096,CalLookUpRow,0),MATCH(G$1,CalLookUpColumn,0))</f>
        <v>2019</v>
      </c>
      <c r="H1096">
        <f>INDEX(CalLookUpTable,MATCH($B1096,CalLookUpRow,0),MATCH(H$1,CalLookUpColumn,0))</f>
        <v>10</v>
      </c>
      <c r="I1096">
        <f>INDEX(CalLookUpTable,MATCH($B1096,CalLookUpRow,0),MATCH(I$1,CalLookUpColumn,0))</f>
        <v>1</v>
      </c>
    </row>
    <row r="1097" spans="1:9" x14ac:dyDescent="0.25">
      <c r="A1097" s="7">
        <v>1</v>
      </c>
      <c r="B1097" s="8">
        <v>43739</v>
      </c>
      <c r="C1097" s="9" t="s">
        <v>3</v>
      </c>
      <c r="D1097" s="10">
        <v>0</v>
      </c>
      <c r="E1097" s="10">
        <v>874.96500000000003</v>
      </c>
      <c r="F1097" t="str">
        <f>VLOOKUP(A1097,StoreLookup,2,FALSE)</f>
        <v>Store#1</v>
      </c>
      <c r="G1097">
        <f>INDEX(CalLookUpTable,MATCH($B1097,CalLookUpRow,0),MATCH(G$1,CalLookUpColumn,0))</f>
        <v>2019</v>
      </c>
      <c r="H1097">
        <f>INDEX(CalLookUpTable,MATCH($B1097,CalLookUpRow,0),MATCH(H$1,CalLookUpColumn,0))</f>
        <v>10</v>
      </c>
      <c r="I1097">
        <f>INDEX(CalLookUpTable,MATCH($B1097,CalLookUpRow,0),MATCH(I$1,CalLookUpColumn,0))</f>
        <v>1</v>
      </c>
    </row>
    <row r="1098" spans="1:9" x14ac:dyDescent="0.25">
      <c r="A1098" s="7">
        <v>1</v>
      </c>
      <c r="B1098" s="8">
        <v>43740</v>
      </c>
      <c r="C1098" s="9" t="s">
        <v>4</v>
      </c>
      <c r="D1098" s="10">
        <v>3409.4479999999999</v>
      </c>
      <c r="E1098" s="10">
        <v>5294.4989999999998</v>
      </c>
      <c r="F1098" t="str">
        <f>VLOOKUP(A1098,StoreLookup,2,FALSE)</f>
        <v>Store#1</v>
      </c>
      <c r="G1098">
        <f>INDEX(CalLookUpTable,MATCH($B1098,CalLookUpRow,0),MATCH(G$1,CalLookUpColumn,0))</f>
        <v>2019</v>
      </c>
      <c r="H1098">
        <f>INDEX(CalLookUpTable,MATCH($B1098,CalLookUpRow,0),MATCH(H$1,CalLookUpColumn,0))</f>
        <v>10</v>
      </c>
      <c r="I1098">
        <f>INDEX(CalLookUpTable,MATCH($B1098,CalLookUpRow,0),MATCH(I$1,CalLookUpColumn,0))</f>
        <v>1</v>
      </c>
    </row>
    <row r="1099" spans="1:9" x14ac:dyDescent="0.25">
      <c r="A1099" s="7">
        <v>1</v>
      </c>
      <c r="B1099" s="8">
        <v>43740</v>
      </c>
      <c r="C1099" s="9" t="s">
        <v>3</v>
      </c>
      <c r="D1099" s="10">
        <v>0</v>
      </c>
      <c r="E1099" s="10">
        <v>8.0359999999999996</v>
      </c>
      <c r="F1099" t="str">
        <f>VLOOKUP(A1099,StoreLookup,2,FALSE)</f>
        <v>Store#1</v>
      </c>
      <c r="G1099">
        <f>INDEX(CalLookUpTable,MATCH($B1099,CalLookUpRow,0),MATCH(G$1,CalLookUpColumn,0))</f>
        <v>2019</v>
      </c>
      <c r="H1099">
        <f>INDEX(CalLookUpTable,MATCH($B1099,CalLookUpRow,0),MATCH(H$1,CalLookUpColumn,0))</f>
        <v>10</v>
      </c>
      <c r="I1099">
        <f>INDEX(CalLookUpTable,MATCH($B1099,CalLookUpRow,0),MATCH(I$1,CalLookUpColumn,0))</f>
        <v>1</v>
      </c>
    </row>
    <row r="1100" spans="1:9" x14ac:dyDescent="0.25">
      <c r="A1100" s="7">
        <v>1</v>
      </c>
      <c r="B1100" s="8">
        <v>43740</v>
      </c>
      <c r="C1100" s="9" t="s">
        <v>5</v>
      </c>
      <c r="D1100" s="10">
        <v>2951.2</v>
      </c>
      <c r="E1100" s="10">
        <v>0</v>
      </c>
      <c r="F1100" t="str">
        <f>VLOOKUP(A1100,StoreLookup,2,FALSE)</f>
        <v>Store#1</v>
      </c>
      <c r="G1100">
        <f>INDEX(CalLookUpTable,MATCH($B1100,CalLookUpRow,0),MATCH(G$1,CalLookUpColumn,0))</f>
        <v>2019</v>
      </c>
      <c r="H1100">
        <f>INDEX(CalLookUpTable,MATCH($B1100,CalLookUpRow,0),MATCH(H$1,CalLookUpColumn,0))</f>
        <v>10</v>
      </c>
      <c r="I1100">
        <f>INDEX(CalLookUpTable,MATCH($B1100,CalLookUpRow,0),MATCH(I$1,CalLookUpColumn,0))</f>
        <v>1</v>
      </c>
    </row>
    <row r="1101" spans="1:9" x14ac:dyDescent="0.25">
      <c r="A1101" s="7">
        <v>1</v>
      </c>
      <c r="B1101" s="8">
        <v>43740</v>
      </c>
      <c r="C1101" s="9" t="s">
        <v>6</v>
      </c>
      <c r="D1101" s="10">
        <v>842.226</v>
      </c>
      <c r="E1101" s="10">
        <v>1257.9769999999999</v>
      </c>
      <c r="F1101" t="str">
        <f>VLOOKUP(A1101,StoreLookup,2,FALSE)</f>
        <v>Store#1</v>
      </c>
      <c r="G1101">
        <f>INDEX(CalLookUpTable,MATCH($B1101,CalLookUpRow,0),MATCH(G$1,CalLookUpColumn,0))</f>
        <v>2019</v>
      </c>
      <c r="H1101">
        <f>INDEX(CalLookUpTable,MATCH($B1101,CalLookUpRow,0),MATCH(H$1,CalLookUpColumn,0))</f>
        <v>10</v>
      </c>
      <c r="I1101">
        <f>INDEX(CalLookUpTable,MATCH($B1101,CalLookUpRow,0),MATCH(I$1,CalLookUpColumn,0))</f>
        <v>1</v>
      </c>
    </row>
    <row r="1102" spans="1:9" x14ac:dyDescent="0.25">
      <c r="A1102" s="7">
        <v>1</v>
      </c>
      <c r="B1102" s="8">
        <v>43741</v>
      </c>
      <c r="C1102" s="9" t="s">
        <v>6</v>
      </c>
      <c r="D1102" s="10">
        <v>744.10699999999997</v>
      </c>
      <c r="E1102" s="10">
        <v>1007.3349999999999</v>
      </c>
      <c r="F1102" t="str">
        <f>VLOOKUP(A1102,StoreLookup,2,FALSE)</f>
        <v>Store#1</v>
      </c>
      <c r="G1102">
        <f>INDEX(CalLookUpTable,MATCH($B1102,CalLookUpRow,0),MATCH(G$1,CalLookUpColumn,0))</f>
        <v>2019</v>
      </c>
      <c r="H1102">
        <f>INDEX(CalLookUpTable,MATCH($B1102,CalLookUpRow,0),MATCH(H$1,CalLookUpColumn,0))</f>
        <v>10</v>
      </c>
      <c r="I1102">
        <f>INDEX(CalLookUpTable,MATCH($B1102,CalLookUpRow,0),MATCH(I$1,CalLookUpColumn,0))</f>
        <v>1</v>
      </c>
    </row>
    <row r="1103" spans="1:9" x14ac:dyDescent="0.25">
      <c r="A1103" s="7">
        <v>1</v>
      </c>
      <c r="B1103" s="8">
        <v>43741</v>
      </c>
      <c r="C1103" s="9" t="s">
        <v>3</v>
      </c>
      <c r="D1103" s="10">
        <v>196.96599999999998</v>
      </c>
      <c r="E1103" s="10">
        <v>830.22799999999995</v>
      </c>
      <c r="F1103" t="str">
        <f>VLOOKUP(A1103,StoreLookup,2,FALSE)</f>
        <v>Store#1</v>
      </c>
      <c r="G1103">
        <f>INDEX(CalLookUpTable,MATCH($B1103,CalLookUpRow,0),MATCH(G$1,CalLookUpColumn,0))</f>
        <v>2019</v>
      </c>
      <c r="H1103">
        <f>INDEX(CalLookUpTable,MATCH($B1103,CalLookUpRow,0),MATCH(H$1,CalLookUpColumn,0))</f>
        <v>10</v>
      </c>
      <c r="I1103">
        <f>INDEX(CalLookUpTable,MATCH($B1103,CalLookUpRow,0),MATCH(I$1,CalLookUpColumn,0))</f>
        <v>1</v>
      </c>
    </row>
    <row r="1104" spans="1:9" x14ac:dyDescent="0.25">
      <c r="A1104" s="7">
        <v>1</v>
      </c>
      <c r="B1104" s="8">
        <v>43741</v>
      </c>
      <c r="C1104" s="9" t="s">
        <v>5</v>
      </c>
      <c r="D1104" s="10">
        <v>3477.614</v>
      </c>
      <c r="E1104" s="10">
        <v>0</v>
      </c>
      <c r="F1104" t="str">
        <f>VLOOKUP(A1104,StoreLookup,2,FALSE)</f>
        <v>Store#1</v>
      </c>
      <c r="G1104">
        <f>INDEX(CalLookUpTable,MATCH($B1104,CalLookUpRow,0),MATCH(G$1,CalLookUpColumn,0))</f>
        <v>2019</v>
      </c>
      <c r="H1104">
        <f>INDEX(CalLookUpTable,MATCH($B1104,CalLookUpRow,0),MATCH(H$1,CalLookUpColumn,0))</f>
        <v>10</v>
      </c>
      <c r="I1104">
        <f>INDEX(CalLookUpTable,MATCH($B1104,CalLookUpRow,0),MATCH(I$1,CalLookUpColumn,0))</f>
        <v>1</v>
      </c>
    </row>
    <row r="1105" spans="1:9" x14ac:dyDescent="0.25">
      <c r="A1105" s="7">
        <v>1</v>
      </c>
      <c r="B1105" s="8">
        <v>43741</v>
      </c>
      <c r="C1105" s="9" t="s">
        <v>4</v>
      </c>
      <c r="D1105" s="10">
        <v>4572.82</v>
      </c>
      <c r="E1105" s="10">
        <v>6099.1629999999996</v>
      </c>
      <c r="F1105" t="str">
        <f>VLOOKUP(A1105,StoreLookup,2,FALSE)</f>
        <v>Store#1</v>
      </c>
      <c r="G1105">
        <f>INDEX(CalLookUpTable,MATCH($B1105,CalLookUpRow,0),MATCH(G$1,CalLookUpColumn,0))</f>
        <v>2019</v>
      </c>
      <c r="H1105">
        <f>INDEX(CalLookUpTable,MATCH($B1105,CalLookUpRow,0),MATCH(H$1,CalLookUpColumn,0))</f>
        <v>10</v>
      </c>
      <c r="I1105">
        <f>INDEX(CalLookUpTable,MATCH($B1105,CalLookUpRow,0),MATCH(I$1,CalLookUpColumn,0))</f>
        <v>1</v>
      </c>
    </row>
    <row r="1106" spans="1:9" x14ac:dyDescent="0.25">
      <c r="A1106" s="7">
        <v>1</v>
      </c>
      <c r="B1106" s="8">
        <v>43742</v>
      </c>
      <c r="C1106" s="9" t="s">
        <v>6</v>
      </c>
      <c r="D1106" s="10">
        <v>1227.3309999999999</v>
      </c>
      <c r="E1106" s="10">
        <v>1465.7649999999999</v>
      </c>
      <c r="F1106" t="str">
        <f>VLOOKUP(A1106,StoreLookup,2,FALSE)</f>
        <v>Store#1</v>
      </c>
      <c r="G1106">
        <f>INDEX(CalLookUpTable,MATCH($B1106,CalLookUpRow,0),MATCH(G$1,CalLookUpColumn,0))</f>
        <v>2019</v>
      </c>
      <c r="H1106">
        <f>INDEX(CalLookUpTable,MATCH($B1106,CalLookUpRow,0),MATCH(H$1,CalLookUpColumn,0))</f>
        <v>10</v>
      </c>
      <c r="I1106">
        <f>INDEX(CalLookUpTable,MATCH($B1106,CalLookUpRow,0),MATCH(I$1,CalLookUpColumn,0))</f>
        <v>1</v>
      </c>
    </row>
    <row r="1107" spans="1:9" x14ac:dyDescent="0.25">
      <c r="A1107" s="7">
        <v>1</v>
      </c>
      <c r="B1107" s="8">
        <v>43742</v>
      </c>
      <c r="C1107" s="9" t="s">
        <v>4</v>
      </c>
      <c r="D1107" s="10">
        <v>6309.9469999999992</v>
      </c>
      <c r="E1107" s="10">
        <v>7390.8029999999999</v>
      </c>
      <c r="F1107" t="str">
        <f>VLOOKUP(A1107,StoreLookup,2,FALSE)</f>
        <v>Store#1</v>
      </c>
      <c r="G1107">
        <f>INDEX(CalLookUpTable,MATCH($B1107,CalLookUpRow,0),MATCH(G$1,CalLookUpColumn,0))</f>
        <v>2019</v>
      </c>
      <c r="H1107">
        <f>INDEX(CalLookUpTable,MATCH($B1107,CalLookUpRow,0),MATCH(H$1,CalLookUpColumn,0))</f>
        <v>10</v>
      </c>
      <c r="I1107">
        <f>INDEX(CalLookUpTable,MATCH($B1107,CalLookUpRow,0),MATCH(I$1,CalLookUpColumn,0))</f>
        <v>1</v>
      </c>
    </row>
    <row r="1108" spans="1:9" x14ac:dyDescent="0.25">
      <c r="A1108" s="7">
        <v>1</v>
      </c>
      <c r="B1108" s="8">
        <v>43742</v>
      </c>
      <c r="C1108" s="9" t="s">
        <v>3</v>
      </c>
      <c r="D1108" s="10">
        <v>0</v>
      </c>
      <c r="E1108" s="10">
        <v>2224.25</v>
      </c>
      <c r="F1108" t="str">
        <f>VLOOKUP(A1108,StoreLookup,2,FALSE)</f>
        <v>Store#1</v>
      </c>
      <c r="G1108">
        <f>INDEX(CalLookUpTable,MATCH($B1108,CalLookUpRow,0),MATCH(G$1,CalLookUpColumn,0))</f>
        <v>2019</v>
      </c>
      <c r="H1108">
        <f>INDEX(CalLookUpTable,MATCH($B1108,CalLookUpRow,0),MATCH(H$1,CalLookUpColumn,0))</f>
        <v>10</v>
      </c>
      <c r="I1108">
        <f>INDEX(CalLookUpTable,MATCH($B1108,CalLookUpRow,0),MATCH(I$1,CalLookUpColumn,0))</f>
        <v>1</v>
      </c>
    </row>
    <row r="1109" spans="1:9" x14ac:dyDescent="0.25">
      <c r="A1109" s="7">
        <v>1</v>
      </c>
      <c r="B1109" s="8">
        <v>43742</v>
      </c>
      <c r="C1109" s="9" t="s">
        <v>5</v>
      </c>
      <c r="D1109" s="10">
        <v>4389.0839999999998</v>
      </c>
      <c r="E1109" s="10">
        <v>0</v>
      </c>
      <c r="F1109" t="str">
        <f>VLOOKUP(A1109,StoreLookup,2,FALSE)</f>
        <v>Store#1</v>
      </c>
      <c r="G1109">
        <f>INDEX(CalLookUpTable,MATCH($B1109,CalLookUpRow,0),MATCH(G$1,CalLookUpColumn,0))</f>
        <v>2019</v>
      </c>
      <c r="H1109">
        <f>INDEX(CalLookUpTable,MATCH($B1109,CalLookUpRow,0),MATCH(H$1,CalLookUpColumn,0))</f>
        <v>10</v>
      </c>
      <c r="I1109">
        <f>INDEX(CalLookUpTable,MATCH($B1109,CalLookUpRow,0),MATCH(I$1,CalLookUpColumn,0))</f>
        <v>1</v>
      </c>
    </row>
    <row r="1110" spans="1:9" x14ac:dyDescent="0.25">
      <c r="A1110" s="7">
        <v>1</v>
      </c>
      <c r="B1110" s="8">
        <v>43743</v>
      </c>
      <c r="C1110" s="9" t="s">
        <v>4</v>
      </c>
      <c r="D1110" s="10">
        <v>4782.7709999999997</v>
      </c>
      <c r="E1110" s="10">
        <v>5405.0779999999995</v>
      </c>
      <c r="F1110" t="str">
        <f>VLOOKUP(A1110,StoreLookup,2,FALSE)</f>
        <v>Store#1</v>
      </c>
      <c r="G1110">
        <f>INDEX(CalLookUpTable,MATCH($B1110,CalLookUpRow,0),MATCH(G$1,CalLookUpColumn,0))</f>
        <v>2019</v>
      </c>
      <c r="H1110">
        <f>INDEX(CalLookUpTable,MATCH($B1110,CalLookUpRow,0),MATCH(H$1,CalLookUpColumn,0))</f>
        <v>10</v>
      </c>
      <c r="I1110">
        <f>INDEX(CalLookUpTable,MATCH($B1110,CalLookUpRow,0),MATCH(I$1,CalLookUpColumn,0))</f>
        <v>1</v>
      </c>
    </row>
    <row r="1111" spans="1:9" x14ac:dyDescent="0.25">
      <c r="A1111" s="7">
        <v>1</v>
      </c>
      <c r="B1111" s="8">
        <v>43743</v>
      </c>
      <c r="C1111" s="9" t="s">
        <v>5</v>
      </c>
      <c r="D1111" s="10">
        <v>3980.06</v>
      </c>
      <c r="E1111" s="10">
        <v>0</v>
      </c>
      <c r="F1111" t="str">
        <f>VLOOKUP(A1111,StoreLookup,2,FALSE)</f>
        <v>Store#1</v>
      </c>
      <c r="G1111">
        <f>INDEX(CalLookUpTable,MATCH($B1111,CalLookUpRow,0),MATCH(G$1,CalLookUpColumn,0))</f>
        <v>2019</v>
      </c>
      <c r="H1111">
        <f>INDEX(CalLookUpTable,MATCH($B1111,CalLookUpRow,0),MATCH(H$1,CalLookUpColumn,0))</f>
        <v>10</v>
      </c>
      <c r="I1111">
        <f>INDEX(CalLookUpTable,MATCH($B1111,CalLookUpRow,0),MATCH(I$1,CalLookUpColumn,0))</f>
        <v>1</v>
      </c>
    </row>
    <row r="1112" spans="1:9" x14ac:dyDescent="0.25">
      <c r="A1112" s="7">
        <v>1</v>
      </c>
      <c r="B1112" s="8">
        <v>43743</v>
      </c>
      <c r="C1112" s="9" t="s">
        <v>6</v>
      </c>
      <c r="D1112" s="10">
        <v>1019.2839999999999</v>
      </c>
      <c r="E1112" s="10">
        <v>1619.163</v>
      </c>
      <c r="F1112" t="str">
        <f>VLOOKUP(A1112,StoreLookup,2,FALSE)</f>
        <v>Store#1</v>
      </c>
      <c r="G1112">
        <f>INDEX(CalLookUpTable,MATCH($B1112,CalLookUpRow,0),MATCH(G$1,CalLookUpColumn,0))</f>
        <v>2019</v>
      </c>
      <c r="H1112">
        <f>INDEX(CalLookUpTable,MATCH($B1112,CalLookUpRow,0),MATCH(H$1,CalLookUpColumn,0))</f>
        <v>10</v>
      </c>
      <c r="I1112">
        <f>INDEX(CalLookUpTable,MATCH($B1112,CalLookUpRow,0),MATCH(I$1,CalLookUpColumn,0))</f>
        <v>1</v>
      </c>
    </row>
    <row r="1113" spans="1:9" x14ac:dyDescent="0.25">
      <c r="A1113" s="7">
        <v>1</v>
      </c>
      <c r="B1113" s="8">
        <v>43743</v>
      </c>
      <c r="C1113" s="9" t="s">
        <v>3</v>
      </c>
      <c r="D1113" s="10">
        <v>0</v>
      </c>
      <c r="E1113" s="10">
        <v>246.11299999999997</v>
      </c>
      <c r="F1113" t="str">
        <f>VLOOKUP(A1113,StoreLookup,2,FALSE)</f>
        <v>Store#1</v>
      </c>
      <c r="G1113">
        <f>INDEX(CalLookUpTable,MATCH($B1113,CalLookUpRow,0),MATCH(G$1,CalLookUpColumn,0))</f>
        <v>2019</v>
      </c>
      <c r="H1113">
        <f>INDEX(CalLookUpTable,MATCH($B1113,CalLookUpRow,0),MATCH(H$1,CalLookUpColumn,0))</f>
        <v>10</v>
      </c>
      <c r="I1113">
        <f>INDEX(CalLookUpTable,MATCH($B1113,CalLookUpRow,0),MATCH(I$1,CalLookUpColumn,0))</f>
        <v>1</v>
      </c>
    </row>
    <row r="1114" spans="1:9" x14ac:dyDescent="0.25">
      <c r="A1114" s="7">
        <v>1</v>
      </c>
      <c r="B1114" s="8">
        <v>43744</v>
      </c>
      <c r="C1114" s="9" t="s">
        <v>5</v>
      </c>
      <c r="D1114" s="10">
        <v>1912.127</v>
      </c>
      <c r="E1114" s="10">
        <v>0</v>
      </c>
      <c r="F1114" t="str">
        <f>VLOOKUP(A1114,StoreLookup,2,FALSE)</f>
        <v>Store#1</v>
      </c>
      <c r="G1114">
        <f>INDEX(CalLookUpTable,MATCH($B1114,CalLookUpRow,0),MATCH(G$1,CalLookUpColumn,0))</f>
        <v>2019</v>
      </c>
      <c r="H1114">
        <f>INDEX(CalLookUpTable,MATCH($B1114,CalLookUpRow,0),MATCH(H$1,CalLookUpColumn,0))</f>
        <v>10</v>
      </c>
      <c r="I1114">
        <f>INDEX(CalLookUpTable,MATCH($B1114,CalLookUpRow,0),MATCH(I$1,CalLookUpColumn,0))</f>
        <v>1</v>
      </c>
    </row>
    <row r="1115" spans="1:9" x14ac:dyDescent="0.25">
      <c r="A1115" s="7">
        <v>1</v>
      </c>
      <c r="B1115" s="8">
        <v>43744</v>
      </c>
      <c r="C1115" s="9" t="s">
        <v>6</v>
      </c>
      <c r="D1115" s="10">
        <v>529.08100000000002</v>
      </c>
      <c r="E1115" s="10">
        <v>288.09899999999999</v>
      </c>
      <c r="F1115" t="str">
        <f>VLOOKUP(A1115,StoreLookup,2,FALSE)</f>
        <v>Store#1</v>
      </c>
      <c r="G1115">
        <f>INDEX(CalLookUpTable,MATCH($B1115,CalLookUpRow,0),MATCH(G$1,CalLookUpColumn,0))</f>
        <v>2019</v>
      </c>
      <c r="H1115">
        <f>INDEX(CalLookUpTable,MATCH($B1115,CalLookUpRow,0),MATCH(H$1,CalLookUpColumn,0))</f>
        <v>10</v>
      </c>
      <c r="I1115">
        <f>INDEX(CalLookUpTable,MATCH($B1115,CalLookUpRow,0),MATCH(I$1,CalLookUpColumn,0))</f>
        <v>1</v>
      </c>
    </row>
    <row r="1116" spans="1:9" x14ac:dyDescent="0.25">
      <c r="A1116" s="7">
        <v>1</v>
      </c>
      <c r="B1116" s="8">
        <v>43744</v>
      </c>
      <c r="C1116" s="9" t="s">
        <v>3</v>
      </c>
      <c r="D1116" s="10">
        <v>59.996999999999993</v>
      </c>
      <c r="E1116" s="10">
        <v>0</v>
      </c>
      <c r="F1116" t="str">
        <f>VLOOKUP(A1116,StoreLookup,2,FALSE)</f>
        <v>Store#1</v>
      </c>
      <c r="G1116">
        <f>INDEX(CalLookUpTable,MATCH($B1116,CalLookUpRow,0),MATCH(G$1,CalLookUpColumn,0))</f>
        <v>2019</v>
      </c>
      <c r="H1116">
        <f>INDEX(CalLookUpTable,MATCH($B1116,CalLookUpRow,0),MATCH(H$1,CalLookUpColumn,0))</f>
        <v>10</v>
      </c>
      <c r="I1116">
        <f>INDEX(CalLookUpTable,MATCH($B1116,CalLookUpRow,0),MATCH(I$1,CalLookUpColumn,0))</f>
        <v>1</v>
      </c>
    </row>
    <row r="1117" spans="1:9" x14ac:dyDescent="0.25">
      <c r="A1117" s="7">
        <v>1</v>
      </c>
      <c r="B1117" s="8">
        <v>43744</v>
      </c>
      <c r="C1117" s="9" t="s">
        <v>4</v>
      </c>
      <c r="D1117" s="10">
        <v>2494.0929999999998</v>
      </c>
      <c r="E1117" s="10">
        <v>2548.1119999999996</v>
      </c>
      <c r="F1117" t="str">
        <f>VLOOKUP(A1117,StoreLookup,2,FALSE)</f>
        <v>Store#1</v>
      </c>
      <c r="G1117">
        <f>INDEX(CalLookUpTable,MATCH($B1117,CalLookUpRow,0),MATCH(G$1,CalLookUpColumn,0))</f>
        <v>2019</v>
      </c>
      <c r="H1117">
        <f>INDEX(CalLookUpTable,MATCH($B1117,CalLookUpRow,0),MATCH(H$1,CalLookUpColumn,0))</f>
        <v>10</v>
      </c>
      <c r="I1117">
        <f>INDEX(CalLookUpTable,MATCH($B1117,CalLookUpRow,0),MATCH(I$1,CalLookUpColumn,0))</f>
        <v>1</v>
      </c>
    </row>
    <row r="1118" spans="1:9" x14ac:dyDescent="0.25">
      <c r="A1118" s="7">
        <v>1</v>
      </c>
      <c r="B1118" s="8">
        <v>43745</v>
      </c>
      <c r="C1118" s="9" t="s">
        <v>5</v>
      </c>
      <c r="D1118" s="10">
        <v>2408.3989999999999</v>
      </c>
      <c r="E1118" s="10">
        <v>0</v>
      </c>
      <c r="F1118" t="str">
        <f>VLOOKUP(A1118,StoreLookup,2,FALSE)</f>
        <v>Store#1</v>
      </c>
      <c r="G1118">
        <f>INDEX(CalLookUpTable,MATCH($B1118,CalLookUpRow,0),MATCH(G$1,CalLookUpColumn,0))</f>
        <v>2019</v>
      </c>
      <c r="H1118">
        <f>INDEX(CalLookUpTable,MATCH($B1118,CalLookUpRow,0),MATCH(H$1,CalLookUpColumn,0))</f>
        <v>10</v>
      </c>
      <c r="I1118">
        <f>INDEX(CalLookUpTable,MATCH($B1118,CalLookUpRow,0),MATCH(I$1,CalLookUpColumn,0))</f>
        <v>2</v>
      </c>
    </row>
    <row r="1119" spans="1:9" x14ac:dyDescent="0.25">
      <c r="A1119" s="7">
        <v>1</v>
      </c>
      <c r="B1119" s="8">
        <v>43745</v>
      </c>
      <c r="C1119" s="9" t="s">
        <v>6</v>
      </c>
      <c r="D1119" s="10">
        <v>353.70299999999997</v>
      </c>
      <c r="E1119" s="10">
        <v>933.46399999999994</v>
      </c>
      <c r="F1119" t="str">
        <f>VLOOKUP(A1119,StoreLookup,2,FALSE)</f>
        <v>Store#1</v>
      </c>
      <c r="G1119">
        <f>INDEX(CalLookUpTable,MATCH($B1119,CalLookUpRow,0),MATCH(G$1,CalLookUpColumn,0))</f>
        <v>2019</v>
      </c>
      <c r="H1119">
        <f>INDEX(CalLookUpTable,MATCH($B1119,CalLookUpRow,0),MATCH(H$1,CalLookUpColumn,0))</f>
        <v>10</v>
      </c>
      <c r="I1119">
        <f>INDEX(CalLookUpTable,MATCH($B1119,CalLookUpRow,0),MATCH(I$1,CalLookUpColumn,0))</f>
        <v>2</v>
      </c>
    </row>
    <row r="1120" spans="1:9" x14ac:dyDescent="0.25">
      <c r="A1120" s="7">
        <v>1</v>
      </c>
      <c r="B1120" s="8">
        <v>43745</v>
      </c>
      <c r="C1120" s="9" t="s">
        <v>3</v>
      </c>
      <c r="D1120" s="10">
        <v>0</v>
      </c>
      <c r="E1120" s="10">
        <v>1936.6059999999998</v>
      </c>
      <c r="F1120" t="str">
        <f>VLOOKUP(A1120,StoreLookup,2,FALSE)</f>
        <v>Store#1</v>
      </c>
      <c r="G1120">
        <f>INDEX(CalLookUpTable,MATCH($B1120,CalLookUpRow,0),MATCH(G$1,CalLookUpColumn,0))</f>
        <v>2019</v>
      </c>
      <c r="H1120">
        <f>INDEX(CalLookUpTable,MATCH($B1120,CalLookUpRow,0),MATCH(H$1,CalLookUpColumn,0))</f>
        <v>10</v>
      </c>
      <c r="I1120">
        <f>INDEX(CalLookUpTable,MATCH($B1120,CalLookUpRow,0),MATCH(I$1,CalLookUpColumn,0))</f>
        <v>2</v>
      </c>
    </row>
    <row r="1121" spans="1:9" x14ac:dyDescent="0.25">
      <c r="A1121" s="7">
        <v>1</v>
      </c>
      <c r="B1121" s="8">
        <v>43745</v>
      </c>
      <c r="C1121" s="9" t="s">
        <v>4</v>
      </c>
      <c r="D1121" s="10">
        <v>2985.241</v>
      </c>
      <c r="E1121" s="10">
        <v>5184.4309999999996</v>
      </c>
      <c r="F1121" t="str">
        <f>VLOOKUP(A1121,StoreLookup,2,FALSE)</f>
        <v>Store#1</v>
      </c>
      <c r="G1121">
        <f>INDEX(CalLookUpTable,MATCH($B1121,CalLookUpRow,0),MATCH(G$1,CalLookUpColumn,0))</f>
        <v>2019</v>
      </c>
      <c r="H1121">
        <f>INDEX(CalLookUpTable,MATCH($B1121,CalLookUpRow,0),MATCH(H$1,CalLookUpColumn,0))</f>
        <v>10</v>
      </c>
      <c r="I1121">
        <f>INDEX(CalLookUpTable,MATCH($B1121,CalLookUpRow,0),MATCH(I$1,CalLookUpColumn,0))</f>
        <v>2</v>
      </c>
    </row>
    <row r="1122" spans="1:9" x14ac:dyDescent="0.25">
      <c r="A1122" s="7">
        <v>1</v>
      </c>
      <c r="B1122" s="8">
        <v>43746</v>
      </c>
      <c r="C1122" s="9" t="s">
        <v>5</v>
      </c>
      <c r="D1122" s="10">
        <v>3339.4549999999995</v>
      </c>
      <c r="E1122" s="10">
        <v>0</v>
      </c>
      <c r="F1122" t="str">
        <f>VLOOKUP(A1122,StoreLookup,2,FALSE)</f>
        <v>Store#1</v>
      </c>
      <c r="G1122">
        <f>INDEX(CalLookUpTable,MATCH($B1122,CalLookUpRow,0),MATCH(G$1,CalLookUpColumn,0))</f>
        <v>2019</v>
      </c>
      <c r="H1122">
        <f>INDEX(CalLookUpTable,MATCH($B1122,CalLookUpRow,0),MATCH(H$1,CalLookUpColumn,0))</f>
        <v>10</v>
      </c>
      <c r="I1122">
        <f>INDEX(CalLookUpTable,MATCH($B1122,CalLookUpRow,0),MATCH(I$1,CalLookUpColumn,0))</f>
        <v>2</v>
      </c>
    </row>
    <row r="1123" spans="1:9" x14ac:dyDescent="0.25">
      <c r="A1123" s="7">
        <v>1</v>
      </c>
      <c r="B1123" s="8">
        <v>43746</v>
      </c>
      <c r="C1123" s="9" t="s">
        <v>4</v>
      </c>
      <c r="D1123" s="10">
        <v>3607.1279999999997</v>
      </c>
      <c r="E1123" s="10">
        <v>4644.4719999999998</v>
      </c>
      <c r="F1123" t="str">
        <f>VLOOKUP(A1123,StoreLookup,2,FALSE)</f>
        <v>Store#1</v>
      </c>
      <c r="G1123">
        <f>INDEX(CalLookUpTable,MATCH($B1123,CalLookUpRow,0),MATCH(G$1,CalLookUpColumn,0))</f>
        <v>2019</v>
      </c>
      <c r="H1123">
        <f>INDEX(CalLookUpTable,MATCH($B1123,CalLookUpRow,0),MATCH(H$1,CalLookUpColumn,0))</f>
        <v>10</v>
      </c>
      <c r="I1123">
        <f>INDEX(CalLookUpTable,MATCH($B1123,CalLookUpRow,0),MATCH(I$1,CalLookUpColumn,0))</f>
        <v>2</v>
      </c>
    </row>
    <row r="1124" spans="1:9" x14ac:dyDescent="0.25">
      <c r="A1124" s="7">
        <v>1</v>
      </c>
      <c r="B1124" s="8">
        <v>43746</v>
      </c>
      <c r="C1124" s="9" t="s">
        <v>3</v>
      </c>
      <c r="D1124" s="10">
        <v>0</v>
      </c>
      <c r="E1124" s="10">
        <v>492.84899999999999</v>
      </c>
      <c r="F1124" t="str">
        <f>VLOOKUP(A1124,StoreLookup,2,FALSE)</f>
        <v>Store#1</v>
      </c>
      <c r="G1124">
        <f>INDEX(CalLookUpTable,MATCH($B1124,CalLookUpRow,0),MATCH(G$1,CalLookUpColumn,0))</f>
        <v>2019</v>
      </c>
      <c r="H1124">
        <f>INDEX(CalLookUpTable,MATCH($B1124,CalLookUpRow,0),MATCH(H$1,CalLookUpColumn,0))</f>
        <v>10</v>
      </c>
      <c r="I1124">
        <f>INDEX(CalLookUpTable,MATCH($B1124,CalLookUpRow,0),MATCH(I$1,CalLookUpColumn,0))</f>
        <v>2</v>
      </c>
    </row>
    <row r="1125" spans="1:9" x14ac:dyDescent="0.25">
      <c r="A1125" s="7">
        <v>1</v>
      </c>
      <c r="B1125" s="8">
        <v>43746</v>
      </c>
      <c r="C1125" s="9" t="s">
        <v>6</v>
      </c>
      <c r="D1125" s="10">
        <v>929.78899999999987</v>
      </c>
      <c r="E1125" s="10">
        <v>885.74499999999989</v>
      </c>
      <c r="F1125" t="str">
        <f>VLOOKUP(A1125,StoreLookup,2,FALSE)</f>
        <v>Store#1</v>
      </c>
      <c r="G1125">
        <f>INDEX(CalLookUpTable,MATCH($B1125,CalLookUpRow,0),MATCH(G$1,CalLookUpColumn,0))</f>
        <v>2019</v>
      </c>
      <c r="H1125">
        <f>INDEX(CalLookUpTable,MATCH($B1125,CalLookUpRow,0),MATCH(H$1,CalLookUpColumn,0))</f>
        <v>10</v>
      </c>
      <c r="I1125">
        <f>INDEX(CalLookUpTable,MATCH($B1125,CalLookUpRow,0),MATCH(I$1,CalLookUpColumn,0))</f>
        <v>2</v>
      </c>
    </row>
    <row r="1126" spans="1:9" x14ac:dyDescent="0.25">
      <c r="A1126" s="7">
        <v>1</v>
      </c>
      <c r="B1126" s="8">
        <v>43747</v>
      </c>
      <c r="C1126" s="9" t="s">
        <v>5</v>
      </c>
      <c r="D1126" s="10">
        <v>3223.0309999999999</v>
      </c>
      <c r="E1126" s="10">
        <v>0</v>
      </c>
      <c r="F1126" t="str">
        <f>VLOOKUP(A1126,StoreLookup,2,FALSE)</f>
        <v>Store#1</v>
      </c>
      <c r="G1126">
        <f>INDEX(CalLookUpTable,MATCH($B1126,CalLookUpRow,0),MATCH(G$1,CalLookUpColumn,0))</f>
        <v>2019</v>
      </c>
      <c r="H1126">
        <f>INDEX(CalLookUpTable,MATCH($B1126,CalLookUpRow,0),MATCH(H$1,CalLookUpColumn,0))</f>
        <v>10</v>
      </c>
      <c r="I1126">
        <f>INDEX(CalLookUpTable,MATCH($B1126,CalLookUpRow,0),MATCH(I$1,CalLookUpColumn,0))</f>
        <v>2</v>
      </c>
    </row>
    <row r="1127" spans="1:9" x14ac:dyDescent="0.25">
      <c r="A1127" s="7">
        <v>1</v>
      </c>
      <c r="B1127" s="8">
        <v>43747</v>
      </c>
      <c r="C1127" s="9" t="s">
        <v>3</v>
      </c>
      <c r="D1127" s="10">
        <v>63.307999999999993</v>
      </c>
      <c r="E1127" s="10">
        <v>1056.4749999999999</v>
      </c>
      <c r="F1127" t="str">
        <f>VLOOKUP(A1127,StoreLookup,2,FALSE)</f>
        <v>Store#1</v>
      </c>
      <c r="G1127">
        <f>INDEX(CalLookUpTable,MATCH($B1127,CalLookUpRow,0),MATCH(G$1,CalLookUpColumn,0))</f>
        <v>2019</v>
      </c>
      <c r="H1127">
        <f>INDEX(CalLookUpTable,MATCH($B1127,CalLookUpRow,0),MATCH(H$1,CalLookUpColumn,0))</f>
        <v>10</v>
      </c>
      <c r="I1127">
        <f>INDEX(CalLookUpTable,MATCH($B1127,CalLookUpRow,0),MATCH(I$1,CalLookUpColumn,0))</f>
        <v>2</v>
      </c>
    </row>
    <row r="1128" spans="1:9" x14ac:dyDescent="0.25">
      <c r="A1128" s="7">
        <v>1</v>
      </c>
      <c r="B1128" s="8">
        <v>43747</v>
      </c>
      <c r="C1128" s="9" t="s">
        <v>6</v>
      </c>
      <c r="D1128" s="10">
        <v>848.17600000000004</v>
      </c>
      <c r="E1128" s="10">
        <v>1146.6629999999998</v>
      </c>
      <c r="F1128" t="str">
        <f>VLOOKUP(A1128,StoreLookup,2,FALSE)</f>
        <v>Store#1</v>
      </c>
      <c r="G1128">
        <f>INDEX(CalLookUpTable,MATCH($B1128,CalLookUpRow,0),MATCH(G$1,CalLookUpColumn,0))</f>
        <v>2019</v>
      </c>
      <c r="H1128">
        <f>INDEX(CalLookUpTable,MATCH($B1128,CalLookUpRow,0),MATCH(H$1,CalLookUpColumn,0))</f>
        <v>10</v>
      </c>
      <c r="I1128">
        <f>INDEX(CalLookUpTable,MATCH($B1128,CalLookUpRow,0),MATCH(I$1,CalLookUpColumn,0))</f>
        <v>2</v>
      </c>
    </row>
    <row r="1129" spans="1:9" x14ac:dyDescent="0.25">
      <c r="A1129" s="7">
        <v>1</v>
      </c>
      <c r="B1129" s="8">
        <v>43747</v>
      </c>
      <c r="C1129" s="9" t="s">
        <v>4</v>
      </c>
      <c r="D1129" s="10">
        <v>3586.8839999999996</v>
      </c>
      <c r="E1129" s="10">
        <v>4888.0369999999994</v>
      </c>
      <c r="F1129" t="str">
        <f>VLOOKUP(A1129,StoreLookup,2,FALSE)</f>
        <v>Store#1</v>
      </c>
      <c r="G1129">
        <f>INDEX(CalLookUpTable,MATCH($B1129,CalLookUpRow,0),MATCH(G$1,CalLookUpColumn,0))</f>
        <v>2019</v>
      </c>
      <c r="H1129">
        <f>INDEX(CalLookUpTable,MATCH($B1129,CalLookUpRow,0),MATCH(H$1,CalLookUpColumn,0))</f>
        <v>10</v>
      </c>
      <c r="I1129">
        <f>INDEX(CalLookUpTable,MATCH($B1129,CalLookUpRow,0),MATCH(I$1,CalLookUpColumn,0))</f>
        <v>2</v>
      </c>
    </row>
    <row r="1130" spans="1:9" x14ac:dyDescent="0.25">
      <c r="A1130" s="7">
        <v>1</v>
      </c>
      <c r="B1130" s="8">
        <v>43748</v>
      </c>
      <c r="C1130" s="9" t="s">
        <v>5</v>
      </c>
      <c r="D1130" s="10">
        <v>3281.6909999999998</v>
      </c>
      <c r="E1130" s="10">
        <v>0</v>
      </c>
      <c r="F1130" t="str">
        <f>VLOOKUP(A1130,StoreLookup,2,FALSE)</f>
        <v>Store#1</v>
      </c>
      <c r="G1130">
        <f>INDEX(CalLookUpTable,MATCH($B1130,CalLookUpRow,0),MATCH(G$1,CalLookUpColumn,0))</f>
        <v>2019</v>
      </c>
      <c r="H1130">
        <f>INDEX(CalLookUpTable,MATCH($B1130,CalLookUpRow,0),MATCH(H$1,CalLookUpColumn,0))</f>
        <v>10</v>
      </c>
      <c r="I1130">
        <f>INDEX(CalLookUpTable,MATCH($B1130,CalLookUpRow,0),MATCH(I$1,CalLookUpColumn,0))</f>
        <v>2</v>
      </c>
    </row>
    <row r="1131" spans="1:9" x14ac:dyDescent="0.25">
      <c r="A1131" s="7">
        <v>1</v>
      </c>
      <c r="B1131" s="8">
        <v>43748</v>
      </c>
      <c r="C1131" s="9" t="s">
        <v>4</v>
      </c>
      <c r="D1131" s="10">
        <v>4702.3549999999996</v>
      </c>
      <c r="E1131" s="10">
        <v>5345.3119999999999</v>
      </c>
      <c r="F1131" t="str">
        <f>VLOOKUP(A1131,StoreLookup,2,FALSE)</f>
        <v>Store#1</v>
      </c>
      <c r="G1131">
        <f>INDEX(CalLookUpTable,MATCH($B1131,CalLookUpRow,0),MATCH(G$1,CalLookUpColumn,0))</f>
        <v>2019</v>
      </c>
      <c r="H1131">
        <f>INDEX(CalLookUpTable,MATCH($B1131,CalLookUpRow,0),MATCH(H$1,CalLookUpColumn,0))</f>
        <v>10</v>
      </c>
      <c r="I1131">
        <f>INDEX(CalLookUpTable,MATCH($B1131,CalLookUpRow,0),MATCH(I$1,CalLookUpColumn,0))</f>
        <v>2</v>
      </c>
    </row>
    <row r="1132" spans="1:9" x14ac:dyDescent="0.25">
      <c r="A1132" s="7">
        <v>1</v>
      </c>
      <c r="B1132" s="8">
        <v>43748</v>
      </c>
      <c r="C1132" s="9" t="s">
        <v>3</v>
      </c>
      <c r="D1132" s="10">
        <v>194.41800000000001</v>
      </c>
      <c r="E1132" s="10">
        <v>2749.2429999999995</v>
      </c>
      <c r="F1132" t="str">
        <f>VLOOKUP(A1132,StoreLookup,2,FALSE)</f>
        <v>Store#1</v>
      </c>
      <c r="G1132">
        <f>INDEX(CalLookUpTable,MATCH($B1132,CalLookUpRow,0),MATCH(G$1,CalLookUpColumn,0))</f>
        <v>2019</v>
      </c>
      <c r="H1132">
        <f>INDEX(CalLookUpTable,MATCH($B1132,CalLookUpRow,0),MATCH(H$1,CalLookUpColumn,0))</f>
        <v>10</v>
      </c>
      <c r="I1132">
        <f>INDEX(CalLookUpTable,MATCH($B1132,CalLookUpRow,0),MATCH(I$1,CalLookUpColumn,0))</f>
        <v>2</v>
      </c>
    </row>
    <row r="1133" spans="1:9" x14ac:dyDescent="0.25">
      <c r="A1133" s="7">
        <v>1</v>
      </c>
      <c r="B1133" s="8">
        <v>43748</v>
      </c>
      <c r="C1133" s="9" t="s">
        <v>6</v>
      </c>
      <c r="D1133" s="10">
        <v>995.81999999999982</v>
      </c>
      <c r="E1133" s="10">
        <v>766.16399999999999</v>
      </c>
      <c r="F1133" t="str">
        <f>VLOOKUP(A1133,StoreLookup,2,FALSE)</f>
        <v>Store#1</v>
      </c>
      <c r="G1133">
        <f>INDEX(CalLookUpTable,MATCH($B1133,CalLookUpRow,0),MATCH(G$1,CalLookUpColumn,0))</f>
        <v>2019</v>
      </c>
      <c r="H1133">
        <f>INDEX(CalLookUpTable,MATCH($B1133,CalLookUpRow,0),MATCH(H$1,CalLookUpColumn,0))</f>
        <v>10</v>
      </c>
      <c r="I1133">
        <f>INDEX(CalLookUpTable,MATCH($B1133,CalLookUpRow,0),MATCH(I$1,CalLookUpColumn,0))</f>
        <v>2</v>
      </c>
    </row>
    <row r="1134" spans="1:9" x14ac:dyDescent="0.25">
      <c r="A1134" s="7">
        <v>1</v>
      </c>
      <c r="B1134" s="8">
        <v>43749</v>
      </c>
      <c r="C1134" s="9" t="s">
        <v>5</v>
      </c>
      <c r="D1134" s="10">
        <v>3900.6379999999999</v>
      </c>
      <c r="E1134" s="10">
        <v>0</v>
      </c>
      <c r="F1134" t="str">
        <f>VLOOKUP(A1134,StoreLookup,2,FALSE)</f>
        <v>Store#1</v>
      </c>
      <c r="G1134">
        <f>INDEX(CalLookUpTable,MATCH($B1134,CalLookUpRow,0),MATCH(G$1,CalLookUpColumn,0))</f>
        <v>2019</v>
      </c>
      <c r="H1134">
        <f>INDEX(CalLookUpTable,MATCH($B1134,CalLookUpRow,0),MATCH(H$1,CalLookUpColumn,0))</f>
        <v>10</v>
      </c>
      <c r="I1134">
        <f>INDEX(CalLookUpTable,MATCH($B1134,CalLookUpRow,0),MATCH(I$1,CalLookUpColumn,0))</f>
        <v>2</v>
      </c>
    </row>
    <row r="1135" spans="1:9" x14ac:dyDescent="0.25">
      <c r="A1135" s="7">
        <v>1</v>
      </c>
      <c r="B1135" s="8">
        <v>43749</v>
      </c>
      <c r="C1135" s="9" t="s">
        <v>4</v>
      </c>
      <c r="D1135" s="10">
        <v>5478.4029999999993</v>
      </c>
      <c r="E1135" s="10">
        <v>7565.0679999999993</v>
      </c>
      <c r="F1135" t="str">
        <f>VLOOKUP(A1135,StoreLookup,2,FALSE)</f>
        <v>Store#1</v>
      </c>
      <c r="G1135">
        <f>INDEX(CalLookUpTable,MATCH($B1135,CalLookUpRow,0),MATCH(G$1,CalLookUpColumn,0))</f>
        <v>2019</v>
      </c>
      <c r="H1135">
        <f>INDEX(CalLookUpTable,MATCH($B1135,CalLookUpRow,0),MATCH(H$1,CalLookUpColumn,0))</f>
        <v>10</v>
      </c>
      <c r="I1135">
        <f>INDEX(CalLookUpTable,MATCH($B1135,CalLookUpRow,0),MATCH(I$1,CalLookUpColumn,0))</f>
        <v>2</v>
      </c>
    </row>
    <row r="1136" spans="1:9" x14ac:dyDescent="0.25">
      <c r="A1136" s="7">
        <v>1</v>
      </c>
      <c r="B1136" s="8">
        <v>43749</v>
      </c>
      <c r="C1136" s="9" t="s">
        <v>6</v>
      </c>
      <c r="D1136" s="10">
        <v>1235.8009999999999</v>
      </c>
      <c r="E1136" s="10">
        <v>2235.0299999999997</v>
      </c>
      <c r="F1136" t="str">
        <f>VLOOKUP(A1136,StoreLookup,2,FALSE)</f>
        <v>Store#1</v>
      </c>
      <c r="G1136">
        <f>INDEX(CalLookUpTable,MATCH($B1136,CalLookUpRow,0),MATCH(G$1,CalLookUpColumn,0))</f>
        <v>2019</v>
      </c>
      <c r="H1136">
        <f>INDEX(CalLookUpTable,MATCH($B1136,CalLookUpRow,0),MATCH(H$1,CalLookUpColumn,0))</f>
        <v>10</v>
      </c>
      <c r="I1136">
        <f>INDEX(CalLookUpTable,MATCH($B1136,CalLookUpRow,0),MATCH(I$1,CalLookUpColumn,0))</f>
        <v>2</v>
      </c>
    </row>
    <row r="1137" spans="1:9" x14ac:dyDescent="0.25">
      <c r="A1137" s="7">
        <v>1</v>
      </c>
      <c r="B1137" s="8">
        <v>43749</v>
      </c>
      <c r="C1137" s="9" t="s">
        <v>3</v>
      </c>
      <c r="D1137" s="10">
        <v>306.00499999999994</v>
      </c>
      <c r="E1137" s="10">
        <v>853.08299999999997</v>
      </c>
      <c r="F1137" t="str">
        <f>VLOOKUP(A1137,StoreLookup,2,FALSE)</f>
        <v>Store#1</v>
      </c>
      <c r="G1137">
        <f>INDEX(CalLookUpTable,MATCH($B1137,CalLookUpRow,0),MATCH(G$1,CalLookUpColumn,0))</f>
        <v>2019</v>
      </c>
      <c r="H1137">
        <f>INDEX(CalLookUpTable,MATCH($B1137,CalLookUpRow,0),MATCH(H$1,CalLookUpColumn,0))</f>
        <v>10</v>
      </c>
      <c r="I1137">
        <f>INDEX(CalLookUpTable,MATCH($B1137,CalLookUpRow,0),MATCH(I$1,CalLookUpColumn,0))</f>
        <v>2</v>
      </c>
    </row>
    <row r="1138" spans="1:9" x14ac:dyDescent="0.25">
      <c r="A1138" s="7">
        <v>1</v>
      </c>
      <c r="B1138" s="8">
        <v>43750</v>
      </c>
      <c r="C1138" s="9" t="s">
        <v>6</v>
      </c>
      <c r="D1138" s="10">
        <v>1077.6289999999999</v>
      </c>
      <c r="E1138" s="10">
        <v>1524.8869999999997</v>
      </c>
      <c r="F1138" t="str">
        <f>VLOOKUP(A1138,StoreLookup,2,FALSE)</f>
        <v>Store#1</v>
      </c>
      <c r="G1138">
        <f>INDEX(CalLookUpTable,MATCH($B1138,CalLookUpRow,0),MATCH(G$1,CalLookUpColumn,0))</f>
        <v>2019</v>
      </c>
      <c r="H1138">
        <f>INDEX(CalLookUpTable,MATCH($B1138,CalLookUpRow,0),MATCH(H$1,CalLookUpColumn,0))</f>
        <v>10</v>
      </c>
      <c r="I1138">
        <f>INDEX(CalLookUpTable,MATCH($B1138,CalLookUpRow,0),MATCH(I$1,CalLookUpColumn,0))</f>
        <v>2</v>
      </c>
    </row>
    <row r="1139" spans="1:9" x14ac:dyDescent="0.25">
      <c r="A1139" s="7">
        <v>1</v>
      </c>
      <c r="B1139" s="8">
        <v>43750</v>
      </c>
      <c r="C1139" s="9" t="s">
        <v>4</v>
      </c>
      <c r="D1139" s="10">
        <v>6966.3159999999989</v>
      </c>
      <c r="E1139" s="10">
        <v>7048.0479999999989</v>
      </c>
      <c r="F1139" t="str">
        <f>VLOOKUP(A1139,StoreLookup,2,FALSE)</f>
        <v>Store#1</v>
      </c>
      <c r="G1139">
        <f>INDEX(CalLookUpTable,MATCH($B1139,CalLookUpRow,0),MATCH(G$1,CalLookUpColumn,0))</f>
        <v>2019</v>
      </c>
      <c r="H1139">
        <f>INDEX(CalLookUpTable,MATCH($B1139,CalLookUpRow,0),MATCH(H$1,CalLookUpColumn,0))</f>
        <v>10</v>
      </c>
      <c r="I1139">
        <f>INDEX(CalLookUpTable,MATCH($B1139,CalLookUpRow,0),MATCH(I$1,CalLookUpColumn,0))</f>
        <v>2</v>
      </c>
    </row>
    <row r="1140" spans="1:9" x14ac:dyDescent="0.25">
      <c r="A1140" s="7">
        <v>1</v>
      </c>
      <c r="B1140" s="8">
        <v>43750</v>
      </c>
      <c r="C1140" s="9" t="s">
        <v>3</v>
      </c>
      <c r="D1140" s="10">
        <v>534.82799999999997</v>
      </c>
      <c r="E1140" s="10">
        <v>462.245</v>
      </c>
      <c r="F1140" t="str">
        <f>VLOOKUP(A1140,StoreLookup,2,FALSE)</f>
        <v>Store#1</v>
      </c>
      <c r="G1140">
        <f>INDEX(CalLookUpTable,MATCH($B1140,CalLookUpRow,0),MATCH(G$1,CalLookUpColumn,0))</f>
        <v>2019</v>
      </c>
      <c r="H1140">
        <f>INDEX(CalLookUpTable,MATCH($B1140,CalLookUpRow,0),MATCH(H$1,CalLookUpColumn,0))</f>
        <v>10</v>
      </c>
      <c r="I1140">
        <f>INDEX(CalLookUpTable,MATCH($B1140,CalLookUpRow,0),MATCH(I$1,CalLookUpColumn,0))</f>
        <v>2</v>
      </c>
    </row>
    <row r="1141" spans="1:9" x14ac:dyDescent="0.25">
      <c r="A1141" s="7">
        <v>1</v>
      </c>
      <c r="B1141" s="8">
        <v>43750</v>
      </c>
      <c r="C1141" s="9" t="s">
        <v>5</v>
      </c>
      <c r="D1141" s="10">
        <v>4508.2309999999998</v>
      </c>
      <c r="E1141" s="10">
        <v>0</v>
      </c>
      <c r="F1141" t="str">
        <f>VLOOKUP(A1141,StoreLookup,2,FALSE)</f>
        <v>Store#1</v>
      </c>
      <c r="G1141">
        <f>INDEX(CalLookUpTable,MATCH($B1141,CalLookUpRow,0),MATCH(G$1,CalLookUpColumn,0))</f>
        <v>2019</v>
      </c>
      <c r="H1141">
        <f>INDEX(CalLookUpTable,MATCH($B1141,CalLookUpRow,0),MATCH(H$1,CalLookUpColumn,0))</f>
        <v>10</v>
      </c>
      <c r="I1141">
        <f>INDEX(CalLookUpTable,MATCH($B1141,CalLookUpRow,0),MATCH(I$1,CalLookUpColumn,0))</f>
        <v>2</v>
      </c>
    </row>
    <row r="1142" spans="1:9" x14ac:dyDescent="0.25">
      <c r="A1142" s="7">
        <v>1</v>
      </c>
      <c r="B1142" s="8">
        <v>43751</v>
      </c>
      <c r="C1142" s="9" t="s">
        <v>4</v>
      </c>
      <c r="D1142" s="10">
        <v>2502.2129999999997</v>
      </c>
      <c r="E1142" s="10">
        <v>3008.2570000000001</v>
      </c>
      <c r="F1142" t="str">
        <f>VLOOKUP(A1142,StoreLookup,2,FALSE)</f>
        <v>Store#1</v>
      </c>
      <c r="G1142">
        <f>INDEX(CalLookUpTable,MATCH($B1142,CalLookUpRow,0),MATCH(G$1,CalLookUpColumn,0))</f>
        <v>2019</v>
      </c>
      <c r="H1142">
        <f>INDEX(CalLookUpTable,MATCH($B1142,CalLookUpRow,0),MATCH(H$1,CalLookUpColumn,0))</f>
        <v>10</v>
      </c>
      <c r="I1142">
        <f>INDEX(CalLookUpTable,MATCH($B1142,CalLookUpRow,0),MATCH(I$1,CalLookUpColumn,0))</f>
        <v>2</v>
      </c>
    </row>
    <row r="1143" spans="1:9" x14ac:dyDescent="0.25">
      <c r="A1143" s="7">
        <v>1</v>
      </c>
      <c r="B1143" s="8">
        <v>43751</v>
      </c>
      <c r="C1143" s="9" t="s">
        <v>6</v>
      </c>
      <c r="D1143" s="10">
        <v>504.94499999999999</v>
      </c>
      <c r="E1143" s="10">
        <v>284.41699999999997</v>
      </c>
      <c r="F1143" t="str">
        <f>VLOOKUP(A1143,StoreLookup,2,FALSE)</f>
        <v>Store#1</v>
      </c>
      <c r="G1143">
        <f>INDEX(CalLookUpTable,MATCH($B1143,CalLookUpRow,0),MATCH(G$1,CalLookUpColumn,0))</f>
        <v>2019</v>
      </c>
      <c r="H1143">
        <f>INDEX(CalLookUpTable,MATCH($B1143,CalLookUpRow,0),MATCH(H$1,CalLookUpColumn,0))</f>
        <v>10</v>
      </c>
      <c r="I1143">
        <f>INDEX(CalLookUpTable,MATCH($B1143,CalLookUpRow,0),MATCH(I$1,CalLookUpColumn,0))</f>
        <v>2</v>
      </c>
    </row>
    <row r="1144" spans="1:9" x14ac:dyDescent="0.25">
      <c r="A1144" s="7">
        <v>1</v>
      </c>
      <c r="B1144" s="8">
        <v>43751</v>
      </c>
      <c r="C1144" s="9" t="s">
        <v>5</v>
      </c>
      <c r="D1144" s="10">
        <v>2056.1589999999997</v>
      </c>
      <c r="E1144" s="10">
        <v>0</v>
      </c>
      <c r="F1144" t="str">
        <f>VLOOKUP(A1144,StoreLookup,2,FALSE)</f>
        <v>Store#1</v>
      </c>
      <c r="G1144">
        <f>INDEX(CalLookUpTable,MATCH($B1144,CalLookUpRow,0),MATCH(G$1,CalLookUpColumn,0))</f>
        <v>2019</v>
      </c>
      <c r="H1144">
        <f>INDEX(CalLookUpTable,MATCH($B1144,CalLookUpRow,0),MATCH(H$1,CalLookUpColumn,0))</f>
        <v>10</v>
      </c>
      <c r="I1144">
        <f>INDEX(CalLookUpTable,MATCH($B1144,CalLookUpRow,0),MATCH(I$1,CalLookUpColumn,0))</f>
        <v>2</v>
      </c>
    </row>
    <row r="1145" spans="1:9" x14ac:dyDescent="0.25">
      <c r="A1145" s="7">
        <v>1</v>
      </c>
      <c r="B1145" s="8">
        <v>43751</v>
      </c>
      <c r="C1145" s="9" t="s">
        <v>3</v>
      </c>
      <c r="D1145" s="10">
        <v>0</v>
      </c>
      <c r="E1145" s="10">
        <v>0</v>
      </c>
      <c r="F1145" t="str">
        <f>VLOOKUP(A1145,StoreLookup,2,FALSE)</f>
        <v>Store#1</v>
      </c>
      <c r="G1145">
        <f>INDEX(CalLookUpTable,MATCH($B1145,CalLookUpRow,0),MATCH(G$1,CalLookUpColumn,0))</f>
        <v>2019</v>
      </c>
      <c r="H1145">
        <f>INDEX(CalLookUpTable,MATCH($B1145,CalLookUpRow,0),MATCH(H$1,CalLookUpColumn,0))</f>
        <v>10</v>
      </c>
      <c r="I1145">
        <f>INDEX(CalLookUpTable,MATCH($B1145,CalLookUpRow,0),MATCH(I$1,CalLookUpColumn,0))</f>
        <v>2</v>
      </c>
    </row>
    <row r="1146" spans="1:9" x14ac:dyDescent="0.25">
      <c r="A1146" s="7">
        <v>1</v>
      </c>
      <c r="B1146" s="8">
        <v>43752</v>
      </c>
      <c r="C1146" s="9" t="s">
        <v>5</v>
      </c>
      <c r="D1146" s="10">
        <v>3388.098</v>
      </c>
      <c r="E1146" s="10">
        <v>0</v>
      </c>
      <c r="F1146" t="str">
        <f>VLOOKUP(A1146,StoreLookup,2,FALSE)</f>
        <v>Store#1</v>
      </c>
      <c r="G1146">
        <f>INDEX(CalLookUpTable,MATCH($B1146,CalLookUpRow,0),MATCH(G$1,CalLookUpColumn,0))</f>
        <v>2019</v>
      </c>
      <c r="H1146">
        <f>INDEX(CalLookUpTable,MATCH($B1146,CalLookUpRow,0),MATCH(H$1,CalLookUpColumn,0))</f>
        <v>10</v>
      </c>
      <c r="I1146">
        <f>INDEX(CalLookUpTable,MATCH($B1146,CalLookUpRow,0),MATCH(I$1,CalLookUpColumn,0))</f>
        <v>3</v>
      </c>
    </row>
    <row r="1147" spans="1:9" x14ac:dyDescent="0.25">
      <c r="A1147" s="7">
        <v>1</v>
      </c>
      <c r="B1147" s="8">
        <v>43752</v>
      </c>
      <c r="C1147" s="9" t="s">
        <v>3</v>
      </c>
      <c r="D1147" s="10">
        <v>298.291</v>
      </c>
      <c r="E1147" s="10">
        <v>539.67200000000003</v>
      </c>
      <c r="F1147" t="str">
        <f>VLOOKUP(A1147,StoreLookup,2,FALSE)</f>
        <v>Store#1</v>
      </c>
      <c r="G1147">
        <f>INDEX(CalLookUpTable,MATCH($B1147,CalLookUpRow,0),MATCH(G$1,CalLookUpColumn,0))</f>
        <v>2019</v>
      </c>
      <c r="H1147">
        <f>INDEX(CalLookUpTable,MATCH($B1147,CalLookUpRow,0),MATCH(H$1,CalLookUpColumn,0))</f>
        <v>10</v>
      </c>
      <c r="I1147">
        <f>INDEX(CalLookUpTable,MATCH($B1147,CalLookUpRow,0),MATCH(I$1,CalLookUpColumn,0))</f>
        <v>3</v>
      </c>
    </row>
    <row r="1148" spans="1:9" x14ac:dyDescent="0.25">
      <c r="A1148" s="7">
        <v>1</v>
      </c>
      <c r="B1148" s="8">
        <v>43752</v>
      </c>
      <c r="C1148" s="9" t="s">
        <v>6</v>
      </c>
      <c r="D1148" s="10">
        <v>600.03300000000002</v>
      </c>
      <c r="E1148" s="10">
        <v>1061.6759999999999</v>
      </c>
      <c r="F1148" t="str">
        <f>VLOOKUP(A1148,StoreLookup,2,FALSE)</f>
        <v>Store#1</v>
      </c>
      <c r="G1148">
        <f>INDEX(CalLookUpTable,MATCH($B1148,CalLookUpRow,0),MATCH(G$1,CalLookUpColumn,0))</f>
        <v>2019</v>
      </c>
      <c r="H1148">
        <f>INDEX(CalLookUpTable,MATCH($B1148,CalLookUpRow,0),MATCH(H$1,CalLookUpColumn,0))</f>
        <v>10</v>
      </c>
      <c r="I1148">
        <f>INDEX(CalLookUpTable,MATCH($B1148,CalLookUpRow,0),MATCH(I$1,CalLookUpColumn,0))</f>
        <v>3</v>
      </c>
    </row>
    <row r="1149" spans="1:9" x14ac:dyDescent="0.25">
      <c r="A1149" s="7">
        <v>1</v>
      </c>
      <c r="B1149" s="8">
        <v>43752</v>
      </c>
      <c r="C1149" s="9" t="s">
        <v>4</v>
      </c>
      <c r="D1149" s="10">
        <v>3491.7679999999996</v>
      </c>
      <c r="E1149" s="10">
        <v>3974.6909999999998</v>
      </c>
      <c r="F1149" t="str">
        <f>VLOOKUP(A1149,StoreLookup,2,FALSE)</f>
        <v>Store#1</v>
      </c>
      <c r="G1149">
        <f>INDEX(CalLookUpTable,MATCH($B1149,CalLookUpRow,0),MATCH(G$1,CalLookUpColumn,0))</f>
        <v>2019</v>
      </c>
      <c r="H1149">
        <f>INDEX(CalLookUpTable,MATCH($B1149,CalLookUpRow,0),MATCH(H$1,CalLookUpColumn,0))</f>
        <v>10</v>
      </c>
      <c r="I1149">
        <f>INDEX(CalLookUpTable,MATCH($B1149,CalLookUpRow,0),MATCH(I$1,CalLookUpColumn,0))</f>
        <v>3</v>
      </c>
    </row>
    <row r="1150" spans="1:9" x14ac:dyDescent="0.25">
      <c r="A1150" s="7">
        <v>1</v>
      </c>
      <c r="B1150" s="8">
        <v>43753</v>
      </c>
      <c r="C1150" s="9" t="s">
        <v>6</v>
      </c>
      <c r="D1150" s="10">
        <v>851.07399999999996</v>
      </c>
      <c r="E1150" s="10">
        <v>874.54499999999985</v>
      </c>
      <c r="F1150" t="str">
        <f>VLOOKUP(A1150,StoreLookup,2,FALSE)</f>
        <v>Store#1</v>
      </c>
      <c r="G1150">
        <f>INDEX(CalLookUpTable,MATCH($B1150,CalLookUpRow,0),MATCH(G$1,CalLookUpColumn,0))</f>
        <v>2019</v>
      </c>
      <c r="H1150">
        <f>INDEX(CalLookUpTable,MATCH($B1150,CalLookUpRow,0),MATCH(H$1,CalLookUpColumn,0))</f>
        <v>10</v>
      </c>
      <c r="I1150">
        <f>INDEX(CalLookUpTable,MATCH($B1150,CalLookUpRow,0),MATCH(I$1,CalLookUpColumn,0))</f>
        <v>3</v>
      </c>
    </row>
    <row r="1151" spans="1:9" x14ac:dyDescent="0.25">
      <c r="A1151" s="7">
        <v>1</v>
      </c>
      <c r="B1151" s="8">
        <v>43753</v>
      </c>
      <c r="C1151" s="9" t="s">
        <v>4</v>
      </c>
      <c r="D1151" s="10">
        <v>3628.2890000000002</v>
      </c>
      <c r="E1151" s="10">
        <v>4409.7129999999997</v>
      </c>
      <c r="F1151" t="str">
        <f>VLOOKUP(A1151,StoreLookup,2,FALSE)</f>
        <v>Store#1</v>
      </c>
      <c r="G1151">
        <f>INDEX(CalLookUpTable,MATCH($B1151,CalLookUpRow,0),MATCH(G$1,CalLookUpColumn,0))</f>
        <v>2019</v>
      </c>
      <c r="H1151">
        <f>INDEX(CalLookUpTable,MATCH($B1151,CalLookUpRow,0),MATCH(H$1,CalLookUpColumn,0))</f>
        <v>10</v>
      </c>
      <c r="I1151">
        <f>INDEX(CalLookUpTable,MATCH($B1151,CalLookUpRow,0),MATCH(I$1,CalLookUpColumn,0))</f>
        <v>3</v>
      </c>
    </row>
    <row r="1152" spans="1:9" x14ac:dyDescent="0.25">
      <c r="A1152" s="7">
        <v>1</v>
      </c>
      <c r="B1152" s="8">
        <v>43753</v>
      </c>
      <c r="C1152" s="9" t="s">
        <v>3</v>
      </c>
      <c r="D1152" s="10">
        <v>0</v>
      </c>
      <c r="E1152" s="10">
        <v>896.48299999999995</v>
      </c>
      <c r="F1152" t="str">
        <f>VLOOKUP(A1152,StoreLookup,2,FALSE)</f>
        <v>Store#1</v>
      </c>
      <c r="G1152">
        <f>INDEX(CalLookUpTable,MATCH($B1152,CalLookUpRow,0),MATCH(G$1,CalLookUpColumn,0))</f>
        <v>2019</v>
      </c>
      <c r="H1152">
        <f>INDEX(CalLookUpTable,MATCH($B1152,CalLookUpRow,0),MATCH(H$1,CalLookUpColumn,0))</f>
        <v>10</v>
      </c>
      <c r="I1152">
        <f>INDEX(CalLookUpTable,MATCH($B1152,CalLookUpRow,0),MATCH(I$1,CalLookUpColumn,0))</f>
        <v>3</v>
      </c>
    </row>
    <row r="1153" spans="1:9" x14ac:dyDescent="0.25">
      <c r="A1153" s="7">
        <v>1</v>
      </c>
      <c r="B1153" s="8">
        <v>43753</v>
      </c>
      <c r="C1153" s="9" t="s">
        <v>5</v>
      </c>
      <c r="D1153" s="10">
        <v>3120.9850000000001</v>
      </c>
      <c r="E1153" s="10">
        <v>0</v>
      </c>
      <c r="F1153" t="str">
        <f>VLOOKUP(A1153,StoreLookup,2,FALSE)</f>
        <v>Store#1</v>
      </c>
      <c r="G1153">
        <f>INDEX(CalLookUpTable,MATCH($B1153,CalLookUpRow,0),MATCH(G$1,CalLookUpColumn,0))</f>
        <v>2019</v>
      </c>
      <c r="H1153">
        <f>INDEX(CalLookUpTable,MATCH($B1153,CalLookUpRow,0),MATCH(H$1,CalLookUpColumn,0))</f>
        <v>10</v>
      </c>
      <c r="I1153">
        <f>INDEX(CalLookUpTable,MATCH($B1153,CalLookUpRow,0),MATCH(I$1,CalLookUpColumn,0))</f>
        <v>3</v>
      </c>
    </row>
    <row r="1154" spans="1:9" x14ac:dyDescent="0.25">
      <c r="A1154" s="7">
        <v>1</v>
      </c>
      <c r="B1154" s="8">
        <v>43754</v>
      </c>
      <c r="C1154" s="9" t="s">
        <v>6</v>
      </c>
      <c r="D1154" s="10">
        <v>499.03699999999992</v>
      </c>
      <c r="E1154" s="10">
        <v>1038.576</v>
      </c>
      <c r="F1154" t="str">
        <f>VLOOKUP(A1154,StoreLookup,2,FALSE)</f>
        <v>Store#1</v>
      </c>
      <c r="G1154">
        <f>INDEX(CalLookUpTable,MATCH($B1154,CalLookUpRow,0),MATCH(G$1,CalLookUpColumn,0))</f>
        <v>2019</v>
      </c>
      <c r="H1154">
        <f>INDEX(CalLookUpTable,MATCH($B1154,CalLookUpRow,0),MATCH(H$1,CalLookUpColumn,0))</f>
        <v>10</v>
      </c>
      <c r="I1154">
        <f>INDEX(CalLookUpTable,MATCH($B1154,CalLookUpRow,0),MATCH(I$1,CalLookUpColumn,0))</f>
        <v>3</v>
      </c>
    </row>
    <row r="1155" spans="1:9" x14ac:dyDescent="0.25">
      <c r="A1155" s="7">
        <v>1</v>
      </c>
      <c r="B1155" s="8">
        <v>43754</v>
      </c>
      <c r="C1155" s="9" t="s">
        <v>4</v>
      </c>
      <c r="D1155" s="10">
        <v>3719.7089999999998</v>
      </c>
      <c r="E1155" s="10">
        <v>4481.1899999999996</v>
      </c>
      <c r="F1155" t="str">
        <f>VLOOKUP(A1155,StoreLookup,2,FALSE)</f>
        <v>Store#1</v>
      </c>
      <c r="G1155">
        <f>INDEX(CalLookUpTable,MATCH($B1155,CalLookUpRow,0),MATCH(G$1,CalLookUpColumn,0))</f>
        <v>2019</v>
      </c>
      <c r="H1155">
        <f>INDEX(CalLookUpTable,MATCH($B1155,CalLookUpRow,0),MATCH(H$1,CalLookUpColumn,0))</f>
        <v>10</v>
      </c>
      <c r="I1155">
        <f>INDEX(CalLookUpTable,MATCH($B1155,CalLookUpRow,0),MATCH(I$1,CalLookUpColumn,0))</f>
        <v>3</v>
      </c>
    </row>
    <row r="1156" spans="1:9" x14ac:dyDescent="0.25">
      <c r="A1156" s="7">
        <v>1</v>
      </c>
      <c r="B1156" s="8">
        <v>43754</v>
      </c>
      <c r="C1156" s="9" t="s">
        <v>3</v>
      </c>
      <c r="D1156" s="10">
        <v>0</v>
      </c>
      <c r="E1156" s="10">
        <v>1.0429999999999999</v>
      </c>
      <c r="F1156" t="str">
        <f>VLOOKUP(A1156,StoreLookup,2,FALSE)</f>
        <v>Store#1</v>
      </c>
      <c r="G1156">
        <f>INDEX(CalLookUpTable,MATCH($B1156,CalLookUpRow,0),MATCH(G$1,CalLookUpColumn,0))</f>
        <v>2019</v>
      </c>
      <c r="H1156">
        <f>INDEX(CalLookUpTable,MATCH($B1156,CalLookUpRow,0),MATCH(H$1,CalLookUpColumn,0))</f>
        <v>10</v>
      </c>
      <c r="I1156">
        <f>INDEX(CalLookUpTable,MATCH($B1156,CalLookUpRow,0),MATCH(I$1,CalLookUpColumn,0))</f>
        <v>3</v>
      </c>
    </row>
    <row r="1157" spans="1:9" x14ac:dyDescent="0.25">
      <c r="A1157" s="7">
        <v>1</v>
      </c>
      <c r="B1157" s="8">
        <v>43754</v>
      </c>
      <c r="C1157" s="9" t="s">
        <v>5</v>
      </c>
      <c r="D1157" s="10">
        <v>2948.0429999999997</v>
      </c>
      <c r="E1157" s="10">
        <v>2576.1610000000001</v>
      </c>
      <c r="F1157" t="str">
        <f>VLOOKUP(A1157,StoreLookup,2,FALSE)</f>
        <v>Store#1</v>
      </c>
      <c r="G1157">
        <f>INDEX(CalLookUpTable,MATCH($B1157,CalLookUpRow,0),MATCH(G$1,CalLookUpColumn,0))</f>
        <v>2019</v>
      </c>
      <c r="H1157">
        <f>INDEX(CalLookUpTable,MATCH($B1157,CalLookUpRow,0),MATCH(H$1,CalLookUpColumn,0))</f>
        <v>10</v>
      </c>
      <c r="I1157">
        <f>INDEX(CalLookUpTable,MATCH($B1157,CalLookUpRow,0),MATCH(I$1,CalLookUpColumn,0))</f>
        <v>3</v>
      </c>
    </row>
    <row r="1158" spans="1:9" x14ac:dyDescent="0.25">
      <c r="A1158" s="7">
        <v>1</v>
      </c>
      <c r="B1158" s="8">
        <v>43755</v>
      </c>
      <c r="C1158" s="9" t="s">
        <v>4</v>
      </c>
      <c r="D1158" s="10">
        <v>4679.9690000000001</v>
      </c>
      <c r="E1158" s="10">
        <v>5672.1629999999996</v>
      </c>
      <c r="F1158" t="str">
        <f>VLOOKUP(A1158,StoreLookup,2,FALSE)</f>
        <v>Store#1</v>
      </c>
      <c r="G1158">
        <f>INDEX(CalLookUpTable,MATCH($B1158,CalLookUpRow,0),MATCH(G$1,CalLookUpColumn,0))</f>
        <v>2019</v>
      </c>
      <c r="H1158">
        <f>INDEX(CalLookUpTable,MATCH($B1158,CalLookUpRow,0),MATCH(H$1,CalLookUpColumn,0))</f>
        <v>10</v>
      </c>
      <c r="I1158">
        <f>INDEX(CalLookUpTable,MATCH($B1158,CalLookUpRow,0),MATCH(I$1,CalLookUpColumn,0))</f>
        <v>3</v>
      </c>
    </row>
    <row r="1159" spans="1:9" x14ac:dyDescent="0.25">
      <c r="A1159" s="7">
        <v>1</v>
      </c>
      <c r="B1159" s="8">
        <v>43755</v>
      </c>
      <c r="C1159" s="9" t="s">
        <v>6</v>
      </c>
      <c r="D1159" s="10">
        <v>710.07999999999993</v>
      </c>
      <c r="E1159" s="10">
        <v>1124.2069999999999</v>
      </c>
      <c r="F1159" t="str">
        <f>VLOOKUP(A1159,StoreLookup,2,FALSE)</f>
        <v>Store#1</v>
      </c>
      <c r="G1159">
        <f>INDEX(CalLookUpTable,MATCH($B1159,CalLookUpRow,0),MATCH(G$1,CalLookUpColumn,0))</f>
        <v>2019</v>
      </c>
      <c r="H1159">
        <f>INDEX(CalLookUpTable,MATCH($B1159,CalLookUpRow,0),MATCH(H$1,CalLookUpColumn,0))</f>
        <v>10</v>
      </c>
      <c r="I1159">
        <f>INDEX(CalLookUpTable,MATCH($B1159,CalLookUpRow,0),MATCH(I$1,CalLookUpColumn,0))</f>
        <v>3</v>
      </c>
    </row>
    <row r="1160" spans="1:9" x14ac:dyDescent="0.25">
      <c r="A1160" s="7">
        <v>1</v>
      </c>
      <c r="B1160" s="8">
        <v>43755</v>
      </c>
      <c r="C1160" s="9" t="s">
        <v>3</v>
      </c>
      <c r="D1160" s="10">
        <v>65.435999999999993</v>
      </c>
      <c r="E1160" s="10">
        <v>220.29</v>
      </c>
      <c r="F1160" t="str">
        <f>VLOOKUP(A1160,StoreLookup,2,FALSE)</f>
        <v>Store#1</v>
      </c>
      <c r="G1160">
        <f>INDEX(CalLookUpTable,MATCH($B1160,CalLookUpRow,0),MATCH(G$1,CalLookUpColumn,0))</f>
        <v>2019</v>
      </c>
      <c r="H1160">
        <f>INDEX(CalLookUpTable,MATCH($B1160,CalLookUpRow,0),MATCH(H$1,CalLookUpColumn,0))</f>
        <v>10</v>
      </c>
      <c r="I1160">
        <f>INDEX(CalLookUpTable,MATCH($B1160,CalLookUpRow,0),MATCH(I$1,CalLookUpColumn,0))</f>
        <v>3</v>
      </c>
    </row>
    <row r="1161" spans="1:9" x14ac:dyDescent="0.25">
      <c r="A1161" s="7">
        <v>1</v>
      </c>
      <c r="B1161" s="8">
        <v>43755</v>
      </c>
      <c r="C1161" s="9" t="s">
        <v>5</v>
      </c>
      <c r="D1161" s="10">
        <v>3555.2089999999998</v>
      </c>
      <c r="E1161" s="10">
        <v>3094.7769999999996</v>
      </c>
      <c r="F1161" t="str">
        <f>VLOOKUP(A1161,StoreLookup,2,FALSE)</f>
        <v>Store#1</v>
      </c>
      <c r="G1161">
        <f>INDEX(CalLookUpTable,MATCH($B1161,CalLookUpRow,0),MATCH(G$1,CalLookUpColumn,0))</f>
        <v>2019</v>
      </c>
      <c r="H1161">
        <f>INDEX(CalLookUpTable,MATCH($B1161,CalLookUpRow,0),MATCH(H$1,CalLookUpColumn,0))</f>
        <v>10</v>
      </c>
      <c r="I1161">
        <f>INDEX(CalLookUpTable,MATCH($B1161,CalLookUpRow,0),MATCH(I$1,CalLookUpColumn,0))</f>
        <v>3</v>
      </c>
    </row>
    <row r="1162" spans="1:9" x14ac:dyDescent="0.25">
      <c r="A1162" s="7">
        <v>1</v>
      </c>
      <c r="B1162" s="8">
        <v>43756</v>
      </c>
      <c r="C1162" s="9" t="s">
        <v>6</v>
      </c>
      <c r="D1162" s="10">
        <v>915.173</v>
      </c>
      <c r="E1162" s="10">
        <v>1822.394</v>
      </c>
      <c r="F1162" t="str">
        <f>VLOOKUP(A1162,StoreLookup,2,FALSE)</f>
        <v>Store#1</v>
      </c>
      <c r="G1162">
        <f>INDEX(CalLookUpTable,MATCH($B1162,CalLookUpRow,0),MATCH(G$1,CalLookUpColumn,0))</f>
        <v>2019</v>
      </c>
      <c r="H1162">
        <f>INDEX(CalLookUpTable,MATCH($B1162,CalLookUpRow,0),MATCH(H$1,CalLookUpColumn,0))</f>
        <v>10</v>
      </c>
      <c r="I1162">
        <f>INDEX(CalLookUpTable,MATCH($B1162,CalLookUpRow,0),MATCH(I$1,CalLookUpColumn,0))</f>
        <v>3</v>
      </c>
    </row>
    <row r="1163" spans="1:9" x14ac:dyDescent="0.25">
      <c r="A1163" s="7">
        <v>1</v>
      </c>
      <c r="B1163" s="8">
        <v>43756</v>
      </c>
      <c r="C1163" s="9" t="s">
        <v>4</v>
      </c>
      <c r="D1163" s="10">
        <v>5198.0389999999998</v>
      </c>
      <c r="E1163" s="10">
        <v>6625.5209999999997</v>
      </c>
      <c r="F1163" t="str">
        <f>VLOOKUP(A1163,StoreLookup,2,FALSE)</f>
        <v>Store#1</v>
      </c>
      <c r="G1163">
        <f>INDEX(CalLookUpTable,MATCH($B1163,CalLookUpRow,0),MATCH(G$1,CalLookUpColumn,0))</f>
        <v>2019</v>
      </c>
      <c r="H1163">
        <f>INDEX(CalLookUpTable,MATCH($B1163,CalLookUpRow,0),MATCH(H$1,CalLookUpColumn,0))</f>
        <v>10</v>
      </c>
      <c r="I1163">
        <f>INDEX(CalLookUpTable,MATCH($B1163,CalLookUpRow,0),MATCH(I$1,CalLookUpColumn,0))</f>
        <v>3</v>
      </c>
    </row>
    <row r="1164" spans="1:9" x14ac:dyDescent="0.25">
      <c r="A1164" s="7">
        <v>1</v>
      </c>
      <c r="B1164" s="8">
        <v>43756</v>
      </c>
      <c r="C1164" s="9" t="s">
        <v>3</v>
      </c>
      <c r="D1164" s="10">
        <v>40.564999999999998</v>
      </c>
      <c r="E1164" s="10">
        <v>220.29</v>
      </c>
      <c r="F1164" t="str">
        <f>VLOOKUP(A1164,StoreLookup,2,FALSE)</f>
        <v>Store#1</v>
      </c>
      <c r="G1164">
        <f>INDEX(CalLookUpTable,MATCH($B1164,CalLookUpRow,0),MATCH(G$1,CalLookUpColumn,0))</f>
        <v>2019</v>
      </c>
      <c r="H1164">
        <f>INDEX(CalLookUpTable,MATCH($B1164,CalLookUpRow,0),MATCH(H$1,CalLookUpColumn,0))</f>
        <v>10</v>
      </c>
      <c r="I1164">
        <f>INDEX(CalLookUpTable,MATCH($B1164,CalLookUpRow,0),MATCH(I$1,CalLookUpColumn,0))</f>
        <v>3</v>
      </c>
    </row>
    <row r="1165" spans="1:9" x14ac:dyDescent="0.25">
      <c r="A1165" s="7">
        <v>1</v>
      </c>
      <c r="B1165" s="8">
        <v>43756</v>
      </c>
      <c r="C1165" s="9" t="s">
        <v>5</v>
      </c>
      <c r="D1165" s="10">
        <v>3642.1209999999996</v>
      </c>
      <c r="E1165" s="10">
        <v>3000.7040000000002</v>
      </c>
      <c r="F1165" t="str">
        <f>VLOOKUP(A1165,StoreLookup,2,FALSE)</f>
        <v>Store#1</v>
      </c>
      <c r="G1165">
        <f>INDEX(CalLookUpTable,MATCH($B1165,CalLookUpRow,0),MATCH(G$1,CalLookUpColumn,0))</f>
        <v>2019</v>
      </c>
      <c r="H1165">
        <f>INDEX(CalLookUpTable,MATCH($B1165,CalLookUpRow,0),MATCH(H$1,CalLookUpColumn,0))</f>
        <v>10</v>
      </c>
      <c r="I1165">
        <f>INDEX(CalLookUpTable,MATCH($B1165,CalLookUpRow,0),MATCH(I$1,CalLookUpColumn,0))</f>
        <v>3</v>
      </c>
    </row>
    <row r="1166" spans="1:9" x14ac:dyDescent="0.25">
      <c r="A1166" s="7">
        <v>1</v>
      </c>
      <c r="B1166" s="8">
        <v>43757</v>
      </c>
      <c r="C1166" s="9" t="s">
        <v>4</v>
      </c>
      <c r="D1166" s="10">
        <v>5533.2619999999997</v>
      </c>
      <c r="E1166" s="10">
        <v>5141.3040000000001</v>
      </c>
      <c r="F1166" t="str">
        <f>VLOOKUP(A1166,StoreLookup,2,FALSE)</f>
        <v>Store#1</v>
      </c>
      <c r="G1166">
        <f>INDEX(CalLookUpTable,MATCH($B1166,CalLookUpRow,0),MATCH(G$1,CalLookUpColumn,0))</f>
        <v>2019</v>
      </c>
      <c r="H1166">
        <f>INDEX(CalLookUpTable,MATCH($B1166,CalLookUpRow,0),MATCH(H$1,CalLookUpColumn,0))</f>
        <v>10</v>
      </c>
      <c r="I1166">
        <f>INDEX(CalLookUpTable,MATCH($B1166,CalLookUpRow,0),MATCH(I$1,CalLookUpColumn,0))</f>
        <v>3</v>
      </c>
    </row>
    <row r="1167" spans="1:9" x14ac:dyDescent="0.25">
      <c r="A1167" s="7">
        <v>1</v>
      </c>
      <c r="B1167" s="8">
        <v>43757</v>
      </c>
      <c r="C1167" s="9" t="s">
        <v>6</v>
      </c>
      <c r="D1167" s="10">
        <v>684.63499999999988</v>
      </c>
      <c r="E1167" s="10">
        <v>1051.932</v>
      </c>
      <c r="F1167" t="str">
        <f>VLOOKUP(A1167,StoreLookup,2,FALSE)</f>
        <v>Store#1</v>
      </c>
      <c r="G1167">
        <f>INDEX(CalLookUpTable,MATCH($B1167,CalLookUpRow,0),MATCH(G$1,CalLookUpColumn,0))</f>
        <v>2019</v>
      </c>
      <c r="H1167">
        <f>INDEX(CalLookUpTable,MATCH($B1167,CalLookUpRow,0),MATCH(H$1,CalLookUpColumn,0))</f>
        <v>10</v>
      </c>
      <c r="I1167">
        <f>INDEX(CalLookUpTable,MATCH($B1167,CalLookUpRow,0),MATCH(I$1,CalLookUpColumn,0))</f>
        <v>3</v>
      </c>
    </row>
    <row r="1168" spans="1:9" x14ac:dyDescent="0.25">
      <c r="A1168" s="7">
        <v>1</v>
      </c>
      <c r="B1168" s="8">
        <v>43757</v>
      </c>
      <c r="C1168" s="9" t="s">
        <v>3</v>
      </c>
      <c r="D1168" s="10">
        <v>12.032999999999999</v>
      </c>
      <c r="E1168" s="10">
        <v>188.07599999999999</v>
      </c>
      <c r="F1168" t="str">
        <f>VLOOKUP(A1168,StoreLookup,2,FALSE)</f>
        <v>Store#1</v>
      </c>
      <c r="G1168">
        <f>INDEX(CalLookUpTable,MATCH($B1168,CalLookUpRow,0),MATCH(G$1,CalLookUpColumn,0))</f>
        <v>2019</v>
      </c>
      <c r="H1168">
        <f>INDEX(CalLookUpTable,MATCH($B1168,CalLookUpRow,0),MATCH(H$1,CalLookUpColumn,0))</f>
        <v>10</v>
      </c>
      <c r="I1168">
        <f>INDEX(CalLookUpTable,MATCH($B1168,CalLookUpRow,0),MATCH(I$1,CalLookUpColumn,0))</f>
        <v>3</v>
      </c>
    </row>
    <row r="1169" spans="1:9" x14ac:dyDescent="0.25">
      <c r="A1169" s="7">
        <v>1</v>
      </c>
      <c r="B1169" s="8">
        <v>43757</v>
      </c>
      <c r="C1169" s="9" t="s">
        <v>5</v>
      </c>
      <c r="D1169" s="10">
        <v>3352.0549999999994</v>
      </c>
      <c r="E1169" s="10">
        <v>2506.2379999999998</v>
      </c>
      <c r="F1169" t="str">
        <f>VLOOKUP(A1169,StoreLookup,2,FALSE)</f>
        <v>Store#1</v>
      </c>
      <c r="G1169">
        <f>INDEX(CalLookUpTable,MATCH($B1169,CalLookUpRow,0),MATCH(G$1,CalLookUpColumn,0))</f>
        <v>2019</v>
      </c>
      <c r="H1169">
        <f>INDEX(CalLookUpTable,MATCH($B1169,CalLookUpRow,0),MATCH(H$1,CalLookUpColumn,0))</f>
        <v>10</v>
      </c>
      <c r="I1169">
        <f>INDEX(CalLookUpTable,MATCH($B1169,CalLookUpRow,0),MATCH(I$1,CalLookUpColumn,0))</f>
        <v>3</v>
      </c>
    </row>
    <row r="1170" spans="1:9" x14ac:dyDescent="0.25">
      <c r="A1170" s="7">
        <v>1</v>
      </c>
      <c r="B1170" s="8">
        <v>43758</v>
      </c>
      <c r="C1170" s="9" t="s">
        <v>5</v>
      </c>
      <c r="D1170" s="10">
        <v>1823.605</v>
      </c>
      <c r="E1170" s="10">
        <v>1764.0350000000001</v>
      </c>
      <c r="F1170" t="str">
        <f>VLOOKUP(A1170,StoreLookup,2,FALSE)</f>
        <v>Store#1</v>
      </c>
      <c r="G1170">
        <f>INDEX(CalLookUpTable,MATCH($B1170,CalLookUpRow,0),MATCH(G$1,CalLookUpColumn,0))</f>
        <v>2019</v>
      </c>
      <c r="H1170">
        <f>INDEX(CalLookUpTable,MATCH($B1170,CalLookUpRow,0),MATCH(H$1,CalLookUpColumn,0))</f>
        <v>10</v>
      </c>
      <c r="I1170">
        <f>INDEX(CalLookUpTable,MATCH($B1170,CalLookUpRow,0),MATCH(I$1,CalLookUpColumn,0))</f>
        <v>3</v>
      </c>
    </row>
    <row r="1171" spans="1:9" x14ac:dyDescent="0.25">
      <c r="A1171" s="7">
        <v>1</v>
      </c>
      <c r="B1171" s="8">
        <v>43758</v>
      </c>
      <c r="C1171" s="9" t="s">
        <v>3</v>
      </c>
      <c r="D1171" s="10">
        <v>0</v>
      </c>
      <c r="E1171" s="10">
        <v>19.564999999999998</v>
      </c>
      <c r="F1171" t="str">
        <f>VLOOKUP(A1171,StoreLookup,2,FALSE)</f>
        <v>Store#1</v>
      </c>
      <c r="G1171">
        <f>INDEX(CalLookUpTable,MATCH($B1171,CalLookUpRow,0),MATCH(G$1,CalLookUpColumn,0))</f>
        <v>2019</v>
      </c>
      <c r="H1171">
        <f>INDEX(CalLookUpTable,MATCH($B1171,CalLookUpRow,0),MATCH(H$1,CalLookUpColumn,0))</f>
        <v>10</v>
      </c>
      <c r="I1171">
        <f>INDEX(CalLookUpTable,MATCH($B1171,CalLookUpRow,0),MATCH(I$1,CalLookUpColumn,0))</f>
        <v>3</v>
      </c>
    </row>
    <row r="1172" spans="1:9" x14ac:dyDescent="0.25">
      <c r="A1172" s="7">
        <v>1</v>
      </c>
      <c r="B1172" s="8">
        <v>43758</v>
      </c>
      <c r="C1172" s="9" t="s">
        <v>4</v>
      </c>
      <c r="D1172" s="10">
        <v>1912.1479999999997</v>
      </c>
      <c r="E1172" s="10">
        <v>2477.1320000000001</v>
      </c>
      <c r="F1172" t="str">
        <f>VLOOKUP(A1172,StoreLookup,2,FALSE)</f>
        <v>Store#1</v>
      </c>
      <c r="G1172">
        <f>INDEX(CalLookUpTable,MATCH($B1172,CalLookUpRow,0),MATCH(G$1,CalLookUpColumn,0))</f>
        <v>2019</v>
      </c>
      <c r="H1172">
        <f>INDEX(CalLookUpTable,MATCH($B1172,CalLookUpRow,0),MATCH(H$1,CalLookUpColumn,0))</f>
        <v>10</v>
      </c>
      <c r="I1172">
        <f>INDEX(CalLookUpTable,MATCH($B1172,CalLookUpRow,0),MATCH(I$1,CalLookUpColumn,0))</f>
        <v>3</v>
      </c>
    </row>
    <row r="1173" spans="1:9" x14ac:dyDescent="0.25">
      <c r="A1173" s="7">
        <v>1</v>
      </c>
      <c r="B1173" s="8">
        <v>43758</v>
      </c>
      <c r="C1173" s="9" t="s">
        <v>6</v>
      </c>
      <c r="D1173" s="10">
        <v>592.85799999999995</v>
      </c>
      <c r="E1173" s="10">
        <v>376.93599999999998</v>
      </c>
      <c r="F1173" t="str">
        <f>VLOOKUP(A1173,StoreLookup,2,FALSE)</f>
        <v>Store#1</v>
      </c>
      <c r="G1173">
        <f>INDEX(CalLookUpTable,MATCH($B1173,CalLookUpRow,0),MATCH(G$1,CalLookUpColumn,0))</f>
        <v>2019</v>
      </c>
      <c r="H1173">
        <f>INDEX(CalLookUpTable,MATCH($B1173,CalLookUpRow,0),MATCH(H$1,CalLookUpColumn,0))</f>
        <v>10</v>
      </c>
      <c r="I1173">
        <f>INDEX(CalLookUpTable,MATCH($B1173,CalLookUpRow,0),MATCH(I$1,CalLookUpColumn,0))</f>
        <v>3</v>
      </c>
    </row>
    <row r="1174" spans="1:9" x14ac:dyDescent="0.25">
      <c r="A1174" s="7">
        <v>1</v>
      </c>
      <c r="B1174" s="8">
        <v>43759</v>
      </c>
      <c r="C1174" s="9" t="s">
        <v>6</v>
      </c>
      <c r="D1174" s="10">
        <v>801.77300000000002</v>
      </c>
      <c r="E1174" s="10">
        <v>1000.1039999999999</v>
      </c>
      <c r="F1174" t="str">
        <f>VLOOKUP(A1174,StoreLookup,2,FALSE)</f>
        <v>Store#1</v>
      </c>
      <c r="G1174">
        <f>INDEX(CalLookUpTable,MATCH($B1174,CalLookUpRow,0),MATCH(G$1,CalLookUpColumn,0))</f>
        <v>2019</v>
      </c>
      <c r="H1174">
        <f>INDEX(CalLookUpTable,MATCH($B1174,CalLookUpRow,0),MATCH(H$1,CalLookUpColumn,0))</f>
        <v>10</v>
      </c>
      <c r="I1174">
        <f>INDEX(CalLookUpTable,MATCH($B1174,CalLookUpRow,0),MATCH(I$1,CalLookUpColumn,0))</f>
        <v>4</v>
      </c>
    </row>
    <row r="1175" spans="1:9" x14ac:dyDescent="0.25">
      <c r="A1175" s="7">
        <v>1</v>
      </c>
      <c r="B1175" s="8">
        <v>43759</v>
      </c>
      <c r="C1175" s="9" t="s">
        <v>4</v>
      </c>
      <c r="D1175" s="10">
        <v>3381.8329999999996</v>
      </c>
      <c r="E1175" s="10">
        <v>4266.22</v>
      </c>
      <c r="F1175" t="str">
        <f>VLOOKUP(A1175,StoreLookup,2,FALSE)</f>
        <v>Store#1</v>
      </c>
      <c r="G1175">
        <f>INDEX(CalLookUpTable,MATCH($B1175,CalLookUpRow,0),MATCH(G$1,CalLookUpColumn,0))</f>
        <v>2019</v>
      </c>
      <c r="H1175">
        <f>INDEX(CalLookUpTable,MATCH($B1175,CalLookUpRow,0),MATCH(H$1,CalLookUpColumn,0))</f>
        <v>10</v>
      </c>
      <c r="I1175">
        <f>INDEX(CalLookUpTable,MATCH($B1175,CalLookUpRow,0),MATCH(I$1,CalLookUpColumn,0))</f>
        <v>4</v>
      </c>
    </row>
    <row r="1176" spans="1:9" x14ac:dyDescent="0.25">
      <c r="A1176" s="7">
        <v>1</v>
      </c>
      <c r="B1176" s="8">
        <v>43759</v>
      </c>
      <c r="C1176" s="9" t="s">
        <v>5</v>
      </c>
      <c r="D1176" s="10">
        <v>2899.904</v>
      </c>
      <c r="E1176" s="10">
        <v>2736.125</v>
      </c>
      <c r="F1176" t="str">
        <f>VLOOKUP(A1176,StoreLookup,2,FALSE)</f>
        <v>Store#1</v>
      </c>
      <c r="G1176">
        <f>INDEX(CalLookUpTable,MATCH($B1176,CalLookUpRow,0),MATCH(G$1,CalLookUpColumn,0))</f>
        <v>2019</v>
      </c>
      <c r="H1176">
        <f>INDEX(CalLookUpTable,MATCH($B1176,CalLookUpRow,0),MATCH(H$1,CalLookUpColumn,0))</f>
        <v>10</v>
      </c>
      <c r="I1176">
        <f>INDEX(CalLookUpTable,MATCH($B1176,CalLookUpRow,0),MATCH(I$1,CalLookUpColumn,0))</f>
        <v>4</v>
      </c>
    </row>
    <row r="1177" spans="1:9" x14ac:dyDescent="0.25">
      <c r="A1177" s="7">
        <v>1</v>
      </c>
      <c r="B1177" s="8">
        <v>43759</v>
      </c>
      <c r="C1177" s="9" t="s">
        <v>3</v>
      </c>
      <c r="D1177" s="10">
        <v>165.96299999999999</v>
      </c>
      <c r="E1177" s="10">
        <v>218.47</v>
      </c>
      <c r="F1177" t="str">
        <f>VLOOKUP(A1177,StoreLookup,2,FALSE)</f>
        <v>Store#1</v>
      </c>
      <c r="G1177">
        <f>INDEX(CalLookUpTable,MATCH($B1177,CalLookUpRow,0),MATCH(G$1,CalLookUpColumn,0))</f>
        <v>2019</v>
      </c>
      <c r="H1177">
        <f>INDEX(CalLookUpTable,MATCH($B1177,CalLookUpRow,0),MATCH(H$1,CalLookUpColumn,0))</f>
        <v>10</v>
      </c>
      <c r="I1177">
        <f>INDEX(CalLookUpTable,MATCH($B1177,CalLookUpRow,0),MATCH(I$1,CalLookUpColumn,0))</f>
        <v>4</v>
      </c>
    </row>
    <row r="1178" spans="1:9" x14ac:dyDescent="0.25">
      <c r="A1178" s="7">
        <v>1</v>
      </c>
      <c r="B1178" s="8">
        <v>43760</v>
      </c>
      <c r="C1178" s="9" t="s">
        <v>6</v>
      </c>
      <c r="D1178" s="10">
        <v>784.67200000000003</v>
      </c>
      <c r="E1178" s="10">
        <v>1364.8809999999999</v>
      </c>
      <c r="F1178" t="str">
        <f>VLOOKUP(A1178,StoreLookup,2,FALSE)</f>
        <v>Store#1</v>
      </c>
      <c r="G1178">
        <f>INDEX(CalLookUpTable,MATCH($B1178,CalLookUpRow,0),MATCH(G$1,CalLookUpColumn,0))</f>
        <v>2019</v>
      </c>
      <c r="H1178">
        <f>INDEX(CalLookUpTable,MATCH($B1178,CalLookUpRow,0),MATCH(H$1,CalLookUpColumn,0))</f>
        <v>10</v>
      </c>
      <c r="I1178">
        <f>INDEX(CalLookUpTable,MATCH($B1178,CalLookUpRow,0),MATCH(I$1,CalLookUpColumn,0))</f>
        <v>4</v>
      </c>
    </row>
    <row r="1179" spans="1:9" x14ac:dyDescent="0.25">
      <c r="A1179" s="7">
        <v>1</v>
      </c>
      <c r="B1179" s="8">
        <v>43760</v>
      </c>
      <c r="C1179" s="9" t="s">
        <v>4</v>
      </c>
      <c r="D1179" s="10">
        <v>3587.1079999999993</v>
      </c>
      <c r="E1179" s="10">
        <v>4209.4079999999994</v>
      </c>
      <c r="F1179" t="str">
        <f>VLOOKUP(A1179,StoreLookup,2,FALSE)</f>
        <v>Store#1</v>
      </c>
      <c r="G1179">
        <f>INDEX(CalLookUpTable,MATCH($B1179,CalLookUpRow,0),MATCH(G$1,CalLookUpColumn,0))</f>
        <v>2019</v>
      </c>
      <c r="H1179">
        <f>INDEX(CalLookUpTable,MATCH($B1179,CalLookUpRow,0),MATCH(H$1,CalLookUpColumn,0))</f>
        <v>10</v>
      </c>
      <c r="I1179">
        <f>INDEX(CalLookUpTable,MATCH($B1179,CalLookUpRow,0),MATCH(I$1,CalLookUpColumn,0))</f>
        <v>4</v>
      </c>
    </row>
    <row r="1180" spans="1:9" x14ac:dyDescent="0.25">
      <c r="A1180" s="7">
        <v>1</v>
      </c>
      <c r="B1180" s="8">
        <v>43760</v>
      </c>
      <c r="C1180" s="9" t="s">
        <v>3</v>
      </c>
      <c r="D1180" s="10">
        <v>0</v>
      </c>
      <c r="E1180" s="10">
        <v>0</v>
      </c>
      <c r="F1180" t="str">
        <f>VLOOKUP(A1180,StoreLookup,2,FALSE)</f>
        <v>Store#1</v>
      </c>
      <c r="G1180">
        <f>INDEX(CalLookUpTable,MATCH($B1180,CalLookUpRow,0),MATCH(G$1,CalLookUpColumn,0))</f>
        <v>2019</v>
      </c>
      <c r="H1180">
        <f>INDEX(CalLookUpTable,MATCH($B1180,CalLookUpRow,0),MATCH(H$1,CalLookUpColumn,0))</f>
        <v>10</v>
      </c>
      <c r="I1180">
        <f>INDEX(CalLookUpTable,MATCH($B1180,CalLookUpRow,0),MATCH(I$1,CalLookUpColumn,0))</f>
        <v>4</v>
      </c>
    </row>
    <row r="1181" spans="1:9" x14ac:dyDescent="0.25">
      <c r="A1181" s="7">
        <v>1</v>
      </c>
      <c r="B1181" s="8">
        <v>43760</v>
      </c>
      <c r="C1181" s="9" t="s">
        <v>5</v>
      </c>
      <c r="D1181" s="10">
        <v>3168.8649999999998</v>
      </c>
      <c r="E1181" s="10">
        <v>2539.2149999999997</v>
      </c>
      <c r="F1181" t="str">
        <f>VLOOKUP(A1181,StoreLookup,2,FALSE)</f>
        <v>Store#1</v>
      </c>
      <c r="G1181">
        <f>INDEX(CalLookUpTable,MATCH($B1181,CalLookUpRow,0),MATCH(G$1,CalLookUpColumn,0))</f>
        <v>2019</v>
      </c>
      <c r="H1181">
        <f>INDEX(CalLookUpTable,MATCH($B1181,CalLookUpRow,0),MATCH(H$1,CalLookUpColumn,0))</f>
        <v>10</v>
      </c>
      <c r="I1181">
        <f>INDEX(CalLookUpTable,MATCH($B1181,CalLookUpRow,0),MATCH(I$1,CalLookUpColumn,0))</f>
        <v>4</v>
      </c>
    </row>
    <row r="1182" spans="1:9" x14ac:dyDescent="0.25">
      <c r="A1182" s="7">
        <v>1</v>
      </c>
      <c r="B1182" s="8">
        <v>43761</v>
      </c>
      <c r="C1182" s="9" t="s">
        <v>3</v>
      </c>
      <c r="D1182" s="10">
        <v>241.28999999999996</v>
      </c>
      <c r="E1182" s="10">
        <v>370.63599999999997</v>
      </c>
      <c r="F1182" t="str">
        <f>VLOOKUP(A1182,StoreLookup,2,FALSE)</f>
        <v>Store#1</v>
      </c>
      <c r="G1182">
        <f>INDEX(CalLookUpTable,MATCH($B1182,CalLookUpRow,0),MATCH(G$1,CalLookUpColumn,0))</f>
        <v>2019</v>
      </c>
      <c r="H1182">
        <f>INDEX(CalLookUpTable,MATCH($B1182,CalLookUpRow,0),MATCH(H$1,CalLookUpColumn,0))</f>
        <v>10</v>
      </c>
      <c r="I1182">
        <f>INDEX(CalLookUpTable,MATCH($B1182,CalLookUpRow,0),MATCH(I$1,CalLookUpColumn,0))</f>
        <v>4</v>
      </c>
    </row>
    <row r="1183" spans="1:9" x14ac:dyDescent="0.25">
      <c r="A1183" s="7">
        <v>1</v>
      </c>
      <c r="B1183" s="8">
        <v>43761</v>
      </c>
      <c r="C1183" s="9" t="s">
        <v>4</v>
      </c>
      <c r="D1183" s="10">
        <v>3025.9109999999996</v>
      </c>
      <c r="E1183" s="10">
        <v>4153.4079999999994</v>
      </c>
      <c r="F1183" t="str">
        <f>VLOOKUP(A1183,StoreLookup,2,FALSE)</f>
        <v>Store#1</v>
      </c>
      <c r="G1183">
        <f>INDEX(CalLookUpTable,MATCH($B1183,CalLookUpRow,0),MATCH(G$1,CalLookUpColumn,0))</f>
        <v>2019</v>
      </c>
      <c r="H1183">
        <f>INDEX(CalLookUpTable,MATCH($B1183,CalLookUpRow,0),MATCH(H$1,CalLookUpColumn,0))</f>
        <v>10</v>
      </c>
      <c r="I1183">
        <f>INDEX(CalLookUpTable,MATCH($B1183,CalLookUpRow,0),MATCH(I$1,CalLookUpColumn,0))</f>
        <v>4</v>
      </c>
    </row>
    <row r="1184" spans="1:9" x14ac:dyDescent="0.25">
      <c r="A1184" s="7">
        <v>1</v>
      </c>
      <c r="B1184" s="8">
        <v>43761</v>
      </c>
      <c r="C1184" s="9" t="s">
        <v>5</v>
      </c>
      <c r="D1184" s="10">
        <v>3170.4049999999997</v>
      </c>
      <c r="E1184" s="10">
        <v>2451.9110000000001</v>
      </c>
      <c r="F1184" t="str">
        <f>VLOOKUP(A1184,StoreLookup,2,FALSE)</f>
        <v>Store#1</v>
      </c>
      <c r="G1184">
        <f>INDEX(CalLookUpTable,MATCH($B1184,CalLookUpRow,0),MATCH(G$1,CalLookUpColumn,0))</f>
        <v>2019</v>
      </c>
      <c r="H1184">
        <f>INDEX(CalLookUpTable,MATCH($B1184,CalLookUpRow,0),MATCH(H$1,CalLookUpColumn,0))</f>
        <v>10</v>
      </c>
      <c r="I1184">
        <f>INDEX(CalLookUpTable,MATCH($B1184,CalLookUpRow,0),MATCH(I$1,CalLookUpColumn,0))</f>
        <v>4</v>
      </c>
    </row>
    <row r="1185" spans="1:9" x14ac:dyDescent="0.25">
      <c r="A1185" s="7">
        <v>1</v>
      </c>
      <c r="B1185" s="8">
        <v>43761</v>
      </c>
      <c r="C1185" s="9" t="s">
        <v>6</v>
      </c>
      <c r="D1185" s="10">
        <v>480.73199999999997</v>
      </c>
      <c r="E1185" s="10">
        <v>953.25299999999993</v>
      </c>
      <c r="F1185" t="str">
        <f>VLOOKUP(A1185,StoreLookup,2,FALSE)</f>
        <v>Store#1</v>
      </c>
      <c r="G1185">
        <f>INDEX(CalLookUpTable,MATCH($B1185,CalLookUpRow,0),MATCH(G$1,CalLookUpColumn,0))</f>
        <v>2019</v>
      </c>
      <c r="H1185">
        <f>INDEX(CalLookUpTable,MATCH($B1185,CalLookUpRow,0),MATCH(H$1,CalLookUpColumn,0))</f>
        <v>10</v>
      </c>
      <c r="I1185">
        <f>INDEX(CalLookUpTable,MATCH($B1185,CalLookUpRow,0),MATCH(I$1,CalLookUpColumn,0))</f>
        <v>4</v>
      </c>
    </row>
    <row r="1186" spans="1:9" x14ac:dyDescent="0.25">
      <c r="A1186" s="7">
        <v>1</v>
      </c>
      <c r="B1186" s="8">
        <v>43762</v>
      </c>
      <c r="C1186" s="9" t="s">
        <v>4</v>
      </c>
      <c r="D1186" s="10">
        <v>4006.3239999999996</v>
      </c>
      <c r="E1186" s="10">
        <v>4329.2689999999993</v>
      </c>
      <c r="F1186" t="str">
        <f>VLOOKUP(A1186,StoreLookup,2,FALSE)</f>
        <v>Store#1</v>
      </c>
      <c r="G1186">
        <f>INDEX(CalLookUpTable,MATCH($B1186,CalLookUpRow,0),MATCH(G$1,CalLookUpColumn,0))</f>
        <v>2019</v>
      </c>
      <c r="H1186">
        <f>INDEX(CalLookUpTable,MATCH($B1186,CalLookUpRow,0),MATCH(H$1,CalLookUpColumn,0))</f>
        <v>10</v>
      </c>
      <c r="I1186">
        <f>INDEX(CalLookUpTable,MATCH($B1186,CalLookUpRow,0),MATCH(I$1,CalLookUpColumn,0))</f>
        <v>4</v>
      </c>
    </row>
    <row r="1187" spans="1:9" x14ac:dyDescent="0.25">
      <c r="A1187" s="7">
        <v>1</v>
      </c>
      <c r="B1187" s="8">
        <v>43762</v>
      </c>
      <c r="C1187" s="9" t="s">
        <v>3</v>
      </c>
      <c r="D1187" s="10">
        <v>0</v>
      </c>
      <c r="E1187" s="10">
        <v>83.908999999999992</v>
      </c>
      <c r="F1187" t="str">
        <f>VLOOKUP(A1187,StoreLookup,2,FALSE)</f>
        <v>Store#1</v>
      </c>
      <c r="G1187">
        <f>INDEX(CalLookUpTable,MATCH($B1187,CalLookUpRow,0),MATCH(G$1,CalLookUpColumn,0))</f>
        <v>2019</v>
      </c>
      <c r="H1187">
        <f>INDEX(CalLookUpTable,MATCH($B1187,CalLookUpRow,0),MATCH(H$1,CalLookUpColumn,0))</f>
        <v>10</v>
      </c>
      <c r="I1187">
        <f>INDEX(CalLookUpTable,MATCH($B1187,CalLookUpRow,0),MATCH(I$1,CalLookUpColumn,0))</f>
        <v>4</v>
      </c>
    </row>
    <row r="1188" spans="1:9" x14ac:dyDescent="0.25">
      <c r="A1188" s="7">
        <v>1</v>
      </c>
      <c r="B1188" s="8">
        <v>43762</v>
      </c>
      <c r="C1188" s="9" t="s">
        <v>5</v>
      </c>
      <c r="D1188" s="10">
        <v>3237.7730000000001</v>
      </c>
      <c r="E1188" s="10">
        <v>2820.1949999999997</v>
      </c>
      <c r="F1188" t="str">
        <f>VLOOKUP(A1188,StoreLookup,2,FALSE)</f>
        <v>Store#1</v>
      </c>
      <c r="G1188">
        <f>INDEX(CalLookUpTable,MATCH($B1188,CalLookUpRow,0),MATCH(G$1,CalLookUpColumn,0))</f>
        <v>2019</v>
      </c>
      <c r="H1188">
        <f>INDEX(CalLookUpTable,MATCH($B1188,CalLookUpRow,0),MATCH(H$1,CalLookUpColumn,0))</f>
        <v>10</v>
      </c>
      <c r="I1188">
        <f>INDEX(CalLookUpTable,MATCH($B1188,CalLookUpRow,0),MATCH(I$1,CalLookUpColumn,0))</f>
        <v>4</v>
      </c>
    </row>
    <row r="1189" spans="1:9" x14ac:dyDescent="0.25">
      <c r="A1189" s="7">
        <v>1</v>
      </c>
      <c r="B1189" s="8">
        <v>43762</v>
      </c>
      <c r="C1189" s="9" t="s">
        <v>6</v>
      </c>
      <c r="D1189" s="10">
        <v>732.99099999999999</v>
      </c>
      <c r="E1189" s="10">
        <v>905.64599999999996</v>
      </c>
      <c r="F1189" t="str">
        <f>VLOOKUP(A1189,StoreLookup,2,FALSE)</f>
        <v>Store#1</v>
      </c>
      <c r="G1189">
        <f>INDEX(CalLookUpTable,MATCH($B1189,CalLookUpRow,0),MATCH(G$1,CalLookUpColumn,0))</f>
        <v>2019</v>
      </c>
      <c r="H1189">
        <f>INDEX(CalLookUpTable,MATCH($B1189,CalLookUpRow,0),MATCH(H$1,CalLookUpColumn,0))</f>
        <v>10</v>
      </c>
      <c r="I1189">
        <f>INDEX(CalLookUpTable,MATCH($B1189,CalLookUpRow,0),MATCH(I$1,CalLookUpColumn,0))</f>
        <v>4</v>
      </c>
    </row>
    <row r="1190" spans="1:9" x14ac:dyDescent="0.25">
      <c r="A1190" s="7">
        <v>1</v>
      </c>
      <c r="B1190" s="8">
        <v>43763</v>
      </c>
      <c r="C1190" s="9" t="s">
        <v>4</v>
      </c>
      <c r="D1190" s="10">
        <v>4488.4489999999996</v>
      </c>
      <c r="E1190" s="10">
        <v>5387.76</v>
      </c>
      <c r="F1190" t="str">
        <f>VLOOKUP(A1190,StoreLookup,2,FALSE)</f>
        <v>Store#1</v>
      </c>
      <c r="G1190">
        <f>INDEX(CalLookUpTable,MATCH($B1190,CalLookUpRow,0),MATCH(G$1,CalLookUpColumn,0))</f>
        <v>2019</v>
      </c>
      <c r="H1190">
        <f>INDEX(CalLookUpTable,MATCH($B1190,CalLookUpRow,0),MATCH(H$1,CalLookUpColumn,0))</f>
        <v>10</v>
      </c>
      <c r="I1190">
        <f>INDEX(CalLookUpTable,MATCH($B1190,CalLookUpRow,0),MATCH(I$1,CalLookUpColumn,0))</f>
        <v>4</v>
      </c>
    </row>
    <row r="1191" spans="1:9" x14ac:dyDescent="0.25">
      <c r="A1191" s="7">
        <v>1</v>
      </c>
      <c r="B1191" s="8">
        <v>43763</v>
      </c>
      <c r="C1191" s="9" t="s">
        <v>5</v>
      </c>
      <c r="D1191" s="10">
        <v>3554.9079999999994</v>
      </c>
      <c r="E1191" s="10">
        <v>3531.5630000000001</v>
      </c>
      <c r="F1191" t="str">
        <f>VLOOKUP(A1191,StoreLookup,2,FALSE)</f>
        <v>Store#1</v>
      </c>
      <c r="G1191">
        <f>INDEX(CalLookUpTable,MATCH($B1191,CalLookUpRow,0),MATCH(G$1,CalLookUpColumn,0))</f>
        <v>2019</v>
      </c>
      <c r="H1191">
        <f>INDEX(CalLookUpTable,MATCH($B1191,CalLookUpRow,0),MATCH(H$1,CalLookUpColumn,0))</f>
        <v>10</v>
      </c>
      <c r="I1191">
        <f>INDEX(CalLookUpTable,MATCH($B1191,CalLookUpRow,0),MATCH(I$1,CalLookUpColumn,0))</f>
        <v>4</v>
      </c>
    </row>
    <row r="1192" spans="1:9" x14ac:dyDescent="0.25">
      <c r="A1192" s="7">
        <v>1</v>
      </c>
      <c r="B1192" s="8">
        <v>43763</v>
      </c>
      <c r="C1192" s="9" t="s">
        <v>6</v>
      </c>
      <c r="D1192" s="10">
        <v>801.92699999999991</v>
      </c>
      <c r="E1192" s="10">
        <v>1748.5089999999998</v>
      </c>
      <c r="F1192" t="str">
        <f>VLOOKUP(A1192,StoreLookup,2,FALSE)</f>
        <v>Store#1</v>
      </c>
      <c r="G1192">
        <f>INDEX(CalLookUpTable,MATCH($B1192,CalLookUpRow,0),MATCH(G$1,CalLookUpColumn,0))</f>
        <v>2019</v>
      </c>
      <c r="H1192">
        <f>INDEX(CalLookUpTable,MATCH($B1192,CalLookUpRow,0),MATCH(H$1,CalLookUpColumn,0))</f>
        <v>10</v>
      </c>
      <c r="I1192">
        <f>INDEX(CalLookUpTable,MATCH($B1192,CalLookUpRow,0),MATCH(I$1,CalLookUpColumn,0))</f>
        <v>4</v>
      </c>
    </row>
    <row r="1193" spans="1:9" x14ac:dyDescent="0.25">
      <c r="A1193" s="7">
        <v>1</v>
      </c>
      <c r="B1193" s="8">
        <v>43763</v>
      </c>
      <c r="C1193" s="9" t="s">
        <v>3</v>
      </c>
      <c r="D1193" s="10">
        <v>295.512</v>
      </c>
      <c r="E1193" s="10">
        <v>36.196999999999996</v>
      </c>
      <c r="F1193" t="str">
        <f>VLOOKUP(A1193,StoreLookup,2,FALSE)</f>
        <v>Store#1</v>
      </c>
      <c r="G1193">
        <f>INDEX(CalLookUpTable,MATCH($B1193,CalLookUpRow,0),MATCH(G$1,CalLookUpColumn,0))</f>
        <v>2019</v>
      </c>
      <c r="H1193">
        <f>INDEX(CalLookUpTable,MATCH($B1193,CalLookUpRow,0),MATCH(H$1,CalLookUpColumn,0))</f>
        <v>10</v>
      </c>
      <c r="I1193">
        <f>INDEX(CalLookUpTable,MATCH($B1193,CalLookUpRow,0),MATCH(I$1,CalLookUpColumn,0))</f>
        <v>4</v>
      </c>
    </row>
    <row r="1194" spans="1:9" x14ac:dyDescent="0.25">
      <c r="A1194" s="7">
        <v>1</v>
      </c>
      <c r="B1194" s="8">
        <v>43764</v>
      </c>
      <c r="C1194" s="9" t="s">
        <v>4</v>
      </c>
      <c r="D1194" s="10">
        <v>5767.2089999999998</v>
      </c>
      <c r="E1194" s="10">
        <v>6453.7830000000004</v>
      </c>
      <c r="F1194" t="str">
        <f>VLOOKUP(A1194,StoreLookup,2,FALSE)</f>
        <v>Store#1</v>
      </c>
      <c r="G1194">
        <f>INDEX(CalLookUpTable,MATCH($B1194,CalLookUpRow,0),MATCH(G$1,CalLookUpColumn,0))</f>
        <v>2019</v>
      </c>
      <c r="H1194">
        <f>INDEX(CalLookUpTable,MATCH($B1194,CalLookUpRow,0),MATCH(H$1,CalLookUpColumn,0))</f>
        <v>10</v>
      </c>
      <c r="I1194">
        <f>INDEX(CalLookUpTable,MATCH($B1194,CalLookUpRow,0),MATCH(I$1,CalLookUpColumn,0))</f>
        <v>4</v>
      </c>
    </row>
    <row r="1195" spans="1:9" x14ac:dyDescent="0.25">
      <c r="A1195" s="7">
        <v>1</v>
      </c>
      <c r="B1195" s="8">
        <v>43764</v>
      </c>
      <c r="C1195" s="9" t="s">
        <v>3</v>
      </c>
      <c r="D1195" s="10">
        <v>0</v>
      </c>
      <c r="E1195" s="10">
        <v>84.951999999999998</v>
      </c>
      <c r="F1195" t="str">
        <f>VLOOKUP(A1195,StoreLookup,2,FALSE)</f>
        <v>Store#1</v>
      </c>
      <c r="G1195">
        <f>INDEX(CalLookUpTable,MATCH($B1195,CalLookUpRow,0),MATCH(G$1,CalLookUpColumn,0))</f>
        <v>2019</v>
      </c>
      <c r="H1195">
        <f>INDEX(CalLookUpTable,MATCH($B1195,CalLookUpRow,0),MATCH(H$1,CalLookUpColumn,0))</f>
        <v>10</v>
      </c>
      <c r="I1195">
        <f>INDEX(CalLookUpTable,MATCH($B1195,CalLookUpRow,0),MATCH(I$1,CalLookUpColumn,0))</f>
        <v>4</v>
      </c>
    </row>
    <row r="1196" spans="1:9" x14ac:dyDescent="0.25">
      <c r="A1196" s="7">
        <v>1</v>
      </c>
      <c r="B1196" s="8">
        <v>43764</v>
      </c>
      <c r="C1196" s="9" t="s">
        <v>5</v>
      </c>
      <c r="D1196" s="10">
        <v>3492.944</v>
      </c>
      <c r="E1196" s="10">
        <v>3283.4829999999997</v>
      </c>
      <c r="F1196" t="str">
        <f>VLOOKUP(A1196,StoreLookup,2,FALSE)</f>
        <v>Store#1</v>
      </c>
      <c r="G1196">
        <f>INDEX(CalLookUpTable,MATCH($B1196,CalLookUpRow,0),MATCH(G$1,CalLookUpColumn,0))</f>
        <v>2019</v>
      </c>
      <c r="H1196">
        <f>INDEX(CalLookUpTable,MATCH($B1196,CalLookUpRow,0),MATCH(H$1,CalLookUpColumn,0))</f>
        <v>10</v>
      </c>
      <c r="I1196">
        <f>INDEX(CalLookUpTable,MATCH($B1196,CalLookUpRow,0),MATCH(I$1,CalLookUpColumn,0))</f>
        <v>4</v>
      </c>
    </row>
    <row r="1197" spans="1:9" x14ac:dyDescent="0.25">
      <c r="A1197" s="7">
        <v>1</v>
      </c>
      <c r="B1197" s="8">
        <v>43764</v>
      </c>
      <c r="C1197" s="9" t="s">
        <v>6</v>
      </c>
      <c r="D1197" s="10">
        <v>1093.2179999999998</v>
      </c>
      <c r="E1197" s="10">
        <v>1056.2860000000001</v>
      </c>
      <c r="F1197" t="str">
        <f>VLOOKUP(A1197,StoreLookup,2,FALSE)</f>
        <v>Store#1</v>
      </c>
      <c r="G1197">
        <f>INDEX(CalLookUpTable,MATCH($B1197,CalLookUpRow,0),MATCH(G$1,CalLookUpColumn,0))</f>
        <v>2019</v>
      </c>
      <c r="H1197">
        <f>INDEX(CalLookUpTable,MATCH($B1197,CalLookUpRow,0),MATCH(H$1,CalLookUpColumn,0))</f>
        <v>10</v>
      </c>
      <c r="I1197">
        <f>INDEX(CalLookUpTable,MATCH($B1197,CalLookUpRow,0),MATCH(I$1,CalLookUpColumn,0))</f>
        <v>4</v>
      </c>
    </row>
    <row r="1198" spans="1:9" x14ac:dyDescent="0.25">
      <c r="A1198" s="7">
        <v>1</v>
      </c>
      <c r="B1198" s="8">
        <v>43765</v>
      </c>
      <c r="C1198" s="9" t="s">
        <v>6</v>
      </c>
      <c r="D1198" s="10">
        <v>422.51299999999998</v>
      </c>
      <c r="E1198" s="10">
        <v>255.654</v>
      </c>
      <c r="F1198" t="str">
        <f>VLOOKUP(A1198,StoreLookup,2,FALSE)</f>
        <v>Store#1</v>
      </c>
      <c r="G1198">
        <f>INDEX(CalLookUpTable,MATCH($B1198,CalLookUpRow,0),MATCH(G$1,CalLookUpColumn,0))</f>
        <v>2019</v>
      </c>
      <c r="H1198">
        <f>INDEX(CalLookUpTable,MATCH($B1198,CalLookUpRow,0),MATCH(H$1,CalLookUpColumn,0))</f>
        <v>10</v>
      </c>
      <c r="I1198">
        <f>INDEX(CalLookUpTable,MATCH($B1198,CalLookUpRow,0),MATCH(I$1,CalLookUpColumn,0))</f>
        <v>4</v>
      </c>
    </row>
    <row r="1199" spans="1:9" x14ac:dyDescent="0.25">
      <c r="A1199" s="7">
        <v>1</v>
      </c>
      <c r="B1199" s="8">
        <v>43765</v>
      </c>
      <c r="C1199" s="9" t="s">
        <v>4</v>
      </c>
      <c r="D1199" s="10">
        <v>2001.7199999999998</v>
      </c>
      <c r="E1199" s="10">
        <v>2699.172</v>
      </c>
      <c r="F1199" t="str">
        <f>VLOOKUP(A1199,StoreLookup,2,FALSE)</f>
        <v>Store#1</v>
      </c>
      <c r="G1199">
        <f>INDEX(CalLookUpTable,MATCH($B1199,CalLookUpRow,0),MATCH(G$1,CalLookUpColumn,0))</f>
        <v>2019</v>
      </c>
      <c r="H1199">
        <f>INDEX(CalLookUpTable,MATCH($B1199,CalLookUpRow,0),MATCH(H$1,CalLookUpColumn,0))</f>
        <v>10</v>
      </c>
      <c r="I1199">
        <f>INDEX(CalLookUpTable,MATCH($B1199,CalLookUpRow,0),MATCH(I$1,CalLookUpColumn,0))</f>
        <v>4</v>
      </c>
    </row>
    <row r="1200" spans="1:9" x14ac:dyDescent="0.25">
      <c r="A1200" s="7">
        <v>1</v>
      </c>
      <c r="B1200" s="8">
        <v>43765</v>
      </c>
      <c r="C1200" s="9" t="s">
        <v>5</v>
      </c>
      <c r="D1200" s="10">
        <v>2046.8419999999999</v>
      </c>
      <c r="E1200" s="10">
        <v>1875.7059999999999</v>
      </c>
      <c r="F1200" t="str">
        <f>VLOOKUP(A1200,StoreLookup,2,FALSE)</f>
        <v>Store#1</v>
      </c>
      <c r="G1200">
        <f>INDEX(CalLookUpTable,MATCH($B1200,CalLookUpRow,0),MATCH(G$1,CalLookUpColumn,0))</f>
        <v>2019</v>
      </c>
      <c r="H1200">
        <f>INDEX(CalLookUpTable,MATCH($B1200,CalLookUpRow,0),MATCH(H$1,CalLookUpColumn,0))</f>
        <v>10</v>
      </c>
      <c r="I1200">
        <f>INDEX(CalLookUpTable,MATCH($B1200,CalLookUpRow,0),MATCH(I$1,CalLookUpColumn,0))</f>
        <v>4</v>
      </c>
    </row>
    <row r="1201" spans="1:9" x14ac:dyDescent="0.25">
      <c r="A1201" s="7">
        <v>1</v>
      </c>
      <c r="B1201" s="8">
        <v>43765</v>
      </c>
      <c r="C1201" s="9" t="s">
        <v>3</v>
      </c>
      <c r="D1201" s="10">
        <v>0</v>
      </c>
      <c r="E1201" s="10">
        <v>0</v>
      </c>
      <c r="F1201" t="str">
        <f>VLOOKUP(A1201,StoreLookup,2,FALSE)</f>
        <v>Store#1</v>
      </c>
      <c r="G1201">
        <f>INDEX(CalLookUpTable,MATCH($B1201,CalLookUpRow,0),MATCH(G$1,CalLookUpColumn,0))</f>
        <v>2019</v>
      </c>
      <c r="H1201">
        <f>INDEX(CalLookUpTable,MATCH($B1201,CalLookUpRow,0),MATCH(H$1,CalLookUpColumn,0))</f>
        <v>10</v>
      </c>
      <c r="I1201">
        <f>INDEX(CalLookUpTable,MATCH($B1201,CalLookUpRow,0),MATCH(I$1,CalLookUpColumn,0))</f>
        <v>4</v>
      </c>
    </row>
    <row r="1202" spans="1:9" x14ac:dyDescent="0.25">
      <c r="A1202" s="7">
        <v>1</v>
      </c>
      <c r="B1202" s="8">
        <v>43766</v>
      </c>
      <c r="C1202" s="9" t="s">
        <v>4</v>
      </c>
      <c r="D1202" s="10">
        <v>3006.85</v>
      </c>
      <c r="E1202" s="10">
        <v>3569.4259999999999</v>
      </c>
      <c r="F1202" t="str">
        <f>VLOOKUP(A1202,StoreLookup,2,FALSE)</f>
        <v>Store#1</v>
      </c>
      <c r="G1202">
        <f>INDEX(CalLookUpTable,MATCH($B1202,CalLookUpRow,0),MATCH(G$1,CalLookUpColumn,0))</f>
        <v>2019</v>
      </c>
      <c r="H1202">
        <f>INDEX(CalLookUpTable,MATCH($B1202,CalLookUpRow,0),MATCH(H$1,CalLookUpColumn,0))</f>
        <v>11</v>
      </c>
      <c r="I1202">
        <f>INDEX(CalLookUpTable,MATCH($B1202,CalLookUpRow,0),MATCH(I$1,CalLookUpColumn,0))</f>
        <v>1</v>
      </c>
    </row>
    <row r="1203" spans="1:9" x14ac:dyDescent="0.25">
      <c r="A1203" s="7">
        <v>1</v>
      </c>
      <c r="B1203" s="8">
        <v>43766</v>
      </c>
      <c r="C1203" s="9" t="s">
        <v>6</v>
      </c>
      <c r="D1203" s="10">
        <v>843.17099999999994</v>
      </c>
      <c r="E1203" s="10">
        <v>1011.2969999999999</v>
      </c>
      <c r="F1203" t="str">
        <f>VLOOKUP(A1203,StoreLookup,2,FALSE)</f>
        <v>Store#1</v>
      </c>
      <c r="G1203">
        <f>INDEX(CalLookUpTable,MATCH($B1203,CalLookUpRow,0),MATCH(G$1,CalLookUpColumn,0))</f>
        <v>2019</v>
      </c>
      <c r="H1203">
        <f>INDEX(CalLookUpTable,MATCH($B1203,CalLookUpRow,0),MATCH(H$1,CalLookUpColumn,0))</f>
        <v>11</v>
      </c>
      <c r="I1203">
        <f>INDEX(CalLookUpTable,MATCH($B1203,CalLookUpRow,0),MATCH(I$1,CalLookUpColumn,0))</f>
        <v>1</v>
      </c>
    </row>
    <row r="1204" spans="1:9" x14ac:dyDescent="0.25">
      <c r="A1204" s="7">
        <v>1</v>
      </c>
      <c r="B1204" s="8">
        <v>43766</v>
      </c>
      <c r="C1204" s="9" t="s">
        <v>5</v>
      </c>
      <c r="D1204" s="10">
        <v>3089.5829999999996</v>
      </c>
      <c r="E1204" s="10">
        <v>2751.9029999999998</v>
      </c>
      <c r="F1204" t="str">
        <f>VLOOKUP(A1204,StoreLookup,2,FALSE)</f>
        <v>Store#1</v>
      </c>
      <c r="G1204">
        <f>INDEX(CalLookUpTable,MATCH($B1204,CalLookUpRow,0),MATCH(G$1,CalLookUpColumn,0))</f>
        <v>2019</v>
      </c>
      <c r="H1204">
        <f>INDEX(CalLookUpTable,MATCH($B1204,CalLookUpRow,0),MATCH(H$1,CalLookUpColumn,0))</f>
        <v>11</v>
      </c>
      <c r="I1204">
        <f>INDEX(CalLookUpTable,MATCH($B1204,CalLookUpRow,0),MATCH(I$1,CalLookUpColumn,0))</f>
        <v>1</v>
      </c>
    </row>
    <row r="1205" spans="1:9" x14ac:dyDescent="0.25">
      <c r="A1205" s="7">
        <v>1</v>
      </c>
      <c r="B1205" s="8">
        <v>43766</v>
      </c>
      <c r="C1205" s="9" t="s">
        <v>3</v>
      </c>
      <c r="D1205" s="10">
        <v>323.036</v>
      </c>
      <c r="E1205" s="10">
        <v>697.58499999999992</v>
      </c>
      <c r="F1205" t="str">
        <f>VLOOKUP(A1205,StoreLookup,2,FALSE)</f>
        <v>Store#1</v>
      </c>
      <c r="G1205">
        <f>INDEX(CalLookUpTable,MATCH($B1205,CalLookUpRow,0),MATCH(G$1,CalLookUpColumn,0))</f>
        <v>2019</v>
      </c>
      <c r="H1205">
        <f>INDEX(CalLookUpTable,MATCH($B1205,CalLookUpRow,0),MATCH(H$1,CalLookUpColumn,0))</f>
        <v>11</v>
      </c>
      <c r="I1205">
        <f>INDEX(CalLookUpTable,MATCH($B1205,CalLookUpRow,0),MATCH(I$1,CalLookUpColumn,0))</f>
        <v>1</v>
      </c>
    </row>
    <row r="1206" spans="1:9" x14ac:dyDescent="0.25">
      <c r="A1206" s="7">
        <v>1</v>
      </c>
      <c r="B1206" s="8">
        <v>43767</v>
      </c>
      <c r="C1206" s="9" t="s">
        <v>6</v>
      </c>
      <c r="D1206" s="10">
        <v>923.41899999999998</v>
      </c>
      <c r="E1206" s="10">
        <v>1154.3559999999998</v>
      </c>
      <c r="F1206" t="str">
        <f>VLOOKUP(A1206,StoreLookup,2,FALSE)</f>
        <v>Store#1</v>
      </c>
      <c r="G1206">
        <f>INDEX(CalLookUpTable,MATCH($B1206,CalLookUpRow,0),MATCH(G$1,CalLookUpColumn,0))</f>
        <v>2019</v>
      </c>
      <c r="H1206">
        <f>INDEX(CalLookUpTable,MATCH($B1206,CalLookUpRow,0),MATCH(H$1,CalLookUpColumn,0))</f>
        <v>11</v>
      </c>
      <c r="I1206">
        <f>INDEX(CalLookUpTable,MATCH($B1206,CalLookUpRow,0),MATCH(I$1,CalLookUpColumn,0))</f>
        <v>1</v>
      </c>
    </row>
    <row r="1207" spans="1:9" x14ac:dyDescent="0.25">
      <c r="A1207" s="7">
        <v>1</v>
      </c>
      <c r="B1207" s="8">
        <v>43767</v>
      </c>
      <c r="C1207" s="9" t="s">
        <v>3</v>
      </c>
      <c r="D1207" s="10">
        <v>0</v>
      </c>
      <c r="E1207" s="10">
        <v>0</v>
      </c>
      <c r="F1207" t="str">
        <f>VLOOKUP(A1207,StoreLookup,2,FALSE)</f>
        <v>Store#1</v>
      </c>
      <c r="G1207">
        <f>INDEX(CalLookUpTable,MATCH($B1207,CalLookUpRow,0),MATCH(G$1,CalLookUpColumn,0))</f>
        <v>2019</v>
      </c>
      <c r="H1207">
        <f>INDEX(CalLookUpTable,MATCH($B1207,CalLookUpRow,0),MATCH(H$1,CalLookUpColumn,0))</f>
        <v>11</v>
      </c>
      <c r="I1207">
        <f>INDEX(CalLookUpTable,MATCH($B1207,CalLookUpRow,0),MATCH(I$1,CalLookUpColumn,0))</f>
        <v>1</v>
      </c>
    </row>
    <row r="1208" spans="1:9" x14ac:dyDescent="0.25">
      <c r="A1208" s="7">
        <v>1</v>
      </c>
      <c r="B1208" s="8">
        <v>43767</v>
      </c>
      <c r="C1208" s="9" t="s">
        <v>4</v>
      </c>
      <c r="D1208" s="10">
        <v>3172.2040000000002</v>
      </c>
      <c r="E1208" s="10">
        <v>3716.3489999999997</v>
      </c>
      <c r="F1208" t="str">
        <f>VLOOKUP(A1208,StoreLookup,2,FALSE)</f>
        <v>Store#1</v>
      </c>
      <c r="G1208">
        <f>INDEX(CalLookUpTable,MATCH($B1208,CalLookUpRow,0),MATCH(G$1,CalLookUpColumn,0))</f>
        <v>2019</v>
      </c>
      <c r="H1208">
        <f>INDEX(CalLookUpTable,MATCH($B1208,CalLookUpRow,0),MATCH(H$1,CalLookUpColumn,0))</f>
        <v>11</v>
      </c>
      <c r="I1208">
        <f>INDEX(CalLookUpTable,MATCH($B1208,CalLookUpRow,0),MATCH(I$1,CalLookUpColumn,0))</f>
        <v>1</v>
      </c>
    </row>
    <row r="1209" spans="1:9" x14ac:dyDescent="0.25">
      <c r="A1209" s="7">
        <v>1</v>
      </c>
      <c r="B1209" s="8">
        <v>43767</v>
      </c>
      <c r="C1209" s="9" t="s">
        <v>5</v>
      </c>
      <c r="D1209" s="10">
        <v>3634.8899999999994</v>
      </c>
      <c r="E1209" s="10">
        <v>2485.5949999999998</v>
      </c>
      <c r="F1209" t="str">
        <f>VLOOKUP(A1209,StoreLookup,2,FALSE)</f>
        <v>Store#1</v>
      </c>
      <c r="G1209">
        <f>INDEX(CalLookUpTable,MATCH($B1209,CalLookUpRow,0),MATCH(G$1,CalLookUpColumn,0))</f>
        <v>2019</v>
      </c>
      <c r="H1209">
        <f>INDEX(CalLookUpTable,MATCH($B1209,CalLookUpRow,0),MATCH(H$1,CalLookUpColumn,0))</f>
        <v>11</v>
      </c>
      <c r="I1209">
        <f>INDEX(CalLookUpTable,MATCH($B1209,CalLookUpRow,0),MATCH(I$1,CalLookUpColumn,0))</f>
        <v>1</v>
      </c>
    </row>
    <row r="1210" spans="1:9" x14ac:dyDescent="0.25">
      <c r="A1210" s="7">
        <v>1</v>
      </c>
      <c r="B1210" s="8">
        <v>43768</v>
      </c>
      <c r="C1210" s="9" t="s">
        <v>4</v>
      </c>
      <c r="D1210" s="10">
        <v>3736.8449999999998</v>
      </c>
      <c r="E1210" s="10">
        <v>4169.1440000000002</v>
      </c>
      <c r="F1210" t="str">
        <f>VLOOKUP(A1210,StoreLookup,2,FALSE)</f>
        <v>Store#1</v>
      </c>
      <c r="G1210">
        <f>INDEX(CalLookUpTable,MATCH($B1210,CalLookUpRow,0),MATCH(G$1,CalLookUpColumn,0))</f>
        <v>2019</v>
      </c>
      <c r="H1210">
        <f>INDEX(CalLookUpTable,MATCH($B1210,CalLookUpRow,0),MATCH(H$1,CalLookUpColumn,0))</f>
        <v>11</v>
      </c>
      <c r="I1210">
        <f>INDEX(CalLookUpTable,MATCH($B1210,CalLookUpRow,0),MATCH(I$1,CalLookUpColumn,0))</f>
        <v>1</v>
      </c>
    </row>
    <row r="1211" spans="1:9" x14ac:dyDescent="0.25">
      <c r="A1211" s="7">
        <v>1</v>
      </c>
      <c r="B1211" s="8">
        <v>43768</v>
      </c>
      <c r="C1211" s="9" t="s">
        <v>5</v>
      </c>
      <c r="D1211" s="10">
        <v>3044.3140000000003</v>
      </c>
      <c r="E1211" s="10">
        <v>3039.5889999999999</v>
      </c>
      <c r="F1211" t="str">
        <f>VLOOKUP(A1211,StoreLookup,2,FALSE)</f>
        <v>Store#1</v>
      </c>
      <c r="G1211">
        <f>INDEX(CalLookUpTable,MATCH($B1211,CalLookUpRow,0),MATCH(G$1,CalLookUpColumn,0))</f>
        <v>2019</v>
      </c>
      <c r="H1211">
        <f>INDEX(CalLookUpTable,MATCH($B1211,CalLookUpRow,0),MATCH(H$1,CalLookUpColumn,0))</f>
        <v>11</v>
      </c>
      <c r="I1211">
        <f>INDEX(CalLookUpTable,MATCH($B1211,CalLookUpRow,0),MATCH(I$1,CalLookUpColumn,0))</f>
        <v>1</v>
      </c>
    </row>
    <row r="1212" spans="1:9" x14ac:dyDescent="0.25">
      <c r="A1212" s="7">
        <v>1</v>
      </c>
      <c r="B1212" s="8">
        <v>43768</v>
      </c>
      <c r="C1212" s="9" t="s">
        <v>6</v>
      </c>
      <c r="D1212" s="10">
        <v>1118.635</v>
      </c>
      <c r="E1212" s="10">
        <v>1063.2860000000001</v>
      </c>
      <c r="F1212" t="str">
        <f>VLOOKUP(A1212,StoreLookup,2,FALSE)</f>
        <v>Store#1</v>
      </c>
      <c r="G1212">
        <f>INDEX(CalLookUpTable,MATCH($B1212,CalLookUpRow,0),MATCH(G$1,CalLookUpColumn,0))</f>
        <v>2019</v>
      </c>
      <c r="H1212">
        <f>INDEX(CalLookUpTable,MATCH($B1212,CalLookUpRow,0),MATCH(H$1,CalLookUpColumn,0))</f>
        <v>11</v>
      </c>
      <c r="I1212">
        <f>INDEX(CalLookUpTable,MATCH($B1212,CalLookUpRow,0),MATCH(I$1,CalLookUpColumn,0))</f>
        <v>1</v>
      </c>
    </row>
    <row r="1213" spans="1:9" x14ac:dyDescent="0.25">
      <c r="A1213" s="7">
        <v>1</v>
      </c>
      <c r="B1213" s="8">
        <v>43768</v>
      </c>
      <c r="C1213" s="9" t="s">
        <v>3</v>
      </c>
      <c r="D1213" s="10">
        <v>83.971999999999994</v>
      </c>
      <c r="E1213" s="10">
        <v>0</v>
      </c>
      <c r="F1213" t="str">
        <f>VLOOKUP(A1213,StoreLookup,2,FALSE)</f>
        <v>Store#1</v>
      </c>
      <c r="G1213">
        <f>INDEX(CalLookUpTable,MATCH($B1213,CalLookUpRow,0),MATCH(G$1,CalLookUpColumn,0))</f>
        <v>2019</v>
      </c>
      <c r="H1213">
        <f>INDEX(CalLookUpTable,MATCH($B1213,CalLookUpRow,0),MATCH(H$1,CalLookUpColumn,0))</f>
        <v>11</v>
      </c>
      <c r="I1213">
        <f>INDEX(CalLookUpTable,MATCH($B1213,CalLookUpRow,0),MATCH(I$1,CalLookUpColumn,0))</f>
        <v>1</v>
      </c>
    </row>
    <row r="1214" spans="1:9" x14ac:dyDescent="0.25">
      <c r="A1214" s="7">
        <v>1</v>
      </c>
      <c r="B1214" s="8">
        <v>43769</v>
      </c>
      <c r="C1214" s="9" t="s">
        <v>4</v>
      </c>
      <c r="D1214" s="10">
        <v>3902.2549999999997</v>
      </c>
      <c r="E1214" s="10">
        <v>4691.735999999999</v>
      </c>
      <c r="F1214" t="str">
        <f>VLOOKUP(A1214,StoreLookup,2,FALSE)</f>
        <v>Store#1</v>
      </c>
      <c r="G1214">
        <f>INDEX(CalLookUpTable,MATCH($B1214,CalLookUpRow,0),MATCH(G$1,CalLookUpColumn,0))</f>
        <v>2019</v>
      </c>
      <c r="H1214">
        <f>INDEX(CalLookUpTable,MATCH($B1214,CalLookUpRow,0),MATCH(H$1,CalLookUpColumn,0))</f>
        <v>11</v>
      </c>
      <c r="I1214">
        <f>INDEX(CalLookUpTable,MATCH($B1214,CalLookUpRow,0),MATCH(I$1,CalLookUpColumn,0))</f>
        <v>1</v>
      </c>
    </row>
    <row r="1215" spans="1:9" x14ac:dyDescent="0.25">
      <c r="A1215" s="7">
        <v>1</v>
      </c>
      <c r="B1215" s="8">
        <v>43769</v>
      </c>
      <c r="C1215" s="9" t="s">
        <v>3</v>
      </c>
      <c r="D1215" s="10">
        <v>0</v>
      </c>
      <c r="E1215" s="10">
        <v>318.51399999999995</v>
      </c>
      <c r="F1215" t="str">
        <f>VLOOKUP(A1215,StoreLookup,2,FALSE)</f>
        <v>Store#1</v>
      </c>
      <c r="G1215">
        <f>INDEX(CalLookUpTable,MATCH($B1215,CalLookUpRow,0),MATCH(G$1,CalLookUpColumn,0))</f>
        <v>2019</v>
      </c>
      <c r="H1215">
        <f>INDEX(CalLookUpTable,MATCH($B1215,CalLookUpRow,0),MATCH(H$1,CalLookUpColumn,0))</f>
        <v>11</v>
      </c>
      <c r="I1215">
        <f>INDEX(CalLookUpTable,MATCH($B1215,CalLookUpRow,0),MATCH(I$1,CalLookUpColumn,0))</f>
        <v>1</v>
      </c>
    </row>
    <row r="1216" spans="1:9" x14ac:dyDescent="0.25">
      <c r="A1216" s="7">
        <v>1</v>
      </c>
      <c r="B1216" s="8">
        <v>43769</v>
      </c>
      <c r="C1216" s="9" t="s">
        <v>6</v>
      </c>
      <c r="D1216" s="10">
        <v>1485.085</v>
      </c>
      <c r="E1216" s="10">
        <v>775.88700000000006</v>
      </c>
      <c r="F1216" t="str">
        <f>VLOOKUP(A1216,StoreLookup,2,FALSE)</f>
        <v>Store#1</v>
      </c>
      <c r="G1216">
        <f>INDEX(CalLookUpTable,MATCH($B1216,CalLookUpRow,0),MATCH(G$1,CalLookUpColumn,0))</f>
        <v>2019</v>
      </c>
      <c r="H1216">
        <f>INDEX(CalLookUpTable,MATCH($B1216,CalLookUpRow,0),MATCH(H$1,CalLookUpColumn,0))</f>
        <v>11</v>
      </c>
      <c r="I1216">
        <f>INDEX(CalLookUpTable,MATCH($B1216,CalLookUpRow,0),MATCH(I$1,CalLookUpColumn,0))</f>
        <v>1</v>
      </c>
    </row>
    <row r="1217" spans="1:9" x14ac:dyDescent="0.25">
      <c r="A1217" s="7">
        <v>1</v>
      </c>
      <c r="B1217" s="8">
        <v>43769</v>
      </c>
      <c r="C1217" s="9" t="s">
        <v>5</v>
      </c>
      <c r="D1217" s="10">
        <v>3682.2659999999996</v>
      </c>
      <c r="E1217" s="10">
        <v>3427.1439999999998</v>
      </c>
      <c r="F1217" t="str">
        <f>VLOOKUP(A1217,StoreLookup,2,FALSE)</f>
        <v>Store#1</v>
      </c>
      <c r="G1217">
        <f>INDEX(CalLookUpTable,MATCH($B1217,CalLookUpRow,0),MATCH(G$1,CalLookUpColumn,0))</f>
        <v>2019</v>
      </c>
      <c r="H1217">
        <f>INDEX(CalLookUpTable,MATCH($B1217,CalLookUpRow,0),MATCH(H$1,CalLookUpColumn,0))</f>
        <v>11</v>
      </c>
      <c r="I1217">
        <f>INDEX(CalLookUpTable,MATCH($B1217,CalLookUpRow,0),MATCH(I$1,CalLookUpColumn,0))</f>
        <v>1</v>
      </c>
    </row>
    <row r="1218" spans="1:9" x14ac:dyDescent="0.25">
      <c r="A1218" s="7">
        <v>1</v>
      </c>
      <c r="B1218" s="8">
        <v>43770</v>
      </c>
      <c r="C1218" s="9" t="s">
        <v>6</v>
      </c>
      <c r="D1218" s="10">
        <v>1178.1279999999999</v>
      </c>
      <c r="E1218" s="10">
        <v>1536.9829999999999</v>
      </c>
      <c r="F1218" t="str">
        <f>VLOOKUP(A1218,StoreLookup,2,FALSE)</f>
        <v>Store#1</v>
      </c>
      <c r="G1218">
        <f>INDEX(CalLookUpTable,MATCH($B1218,CalLookUpRow,0),MATCH(G$1,CalLookUpColumn,0))</f>
        <v>2019</v>
      </c>
      <c r="H1218">
        <f>INDEX(CalLookUpTable,MATCH($B1218,CalLookUpRow,0),MATCH(H$1,CalLookUpColumn,0))</f>
        <v>11</v>
      </c>
      <c r="I1218">
        <f>INDEX(CalLookUpTable,MATCH($B1218,CalLookUpRow,0),MATCH(I$1,CalLookUpColumn,0))</f>
        <v>1</v>
      </c>
    </row>
    <row r="1219" spans="1:9" x14ac:dyDescent="0.25">
      <c r="A1219" s="7">
        <v>1</v>
      </c>
      <c r="B1219" s="8">
        <v>43770</v>
      </c>
      <c r="C1219" s="9" t="s">
        <v>3</v>
      </c>
      <c r="D1219" s="10">
        <v>28.202999999999996</v>
      </c>
      <c r="E1219" s="10">
        <v>74.465999999999994</v>
      </c>
      <c r="F1219" t="str">
        <f>VLOOKUP(A1219,StoreLookup,2,FALSE)</f>
        <v>Store#1</v>
      </c>
      <c r="G1219">
        <f>INDEX(CalLookUpTable,MATCH($B1219,CalLookUpRow,0),MATCH(G$1,CalLookUpColumn,0))</f>
        <v>2019</v>
      </c>
      <c r="H1219">
        <f>INDEX(CalLookUpTable,MATCH($B1219,CalLookUpRow,0),MATCH(H$1,CalLookUpColumn,0))</f>
        <v>11</v>
      </c>
      <c r="I1219">
        <f>INDEX(CalLookUpTable,MATCH($B1219,CalLookUpRow,0),MATCH(I$1,CalLookUpColumn,0))</f>
        <v>1</v>
      </c>
    </row>
    <row r="1220" spans="1:9" x14ac:dyDescent="0.25">
      <c r="A1220" s="7">
        <v>1</v>
      </c>
      <c r="B1220" s="8">
        <v>43770</v>
      </c>
      <c r="C1220" s="9" t="s">
        <v>4</v>
      </c>
      <c r="D1220" s="10">
        <v>5159.6439999999993</v>
      </c>
      <c r="E1220" s="10">
        <v>5979.6239999999998</v>
      </c>
      <c r="F1220" t="str">
        <f>VLOOKUP(A1220,StoreLookup,2,FALSE)</f>
        <v>Store#1</v>
      </c>
      <c r="G1220">
        <f>INDEX(CalLookUpTable,MATCH($B1220,CalLookUpRow,0),MATCH(G$1,CalLookUpColumn,0))</f>
        <v>2019</v>
      </c>
      <c r="H1220">
        <f>INDEX(CalLookUpTable,MATCH($B1220,CalLookUpRow,0),MATCH(H$1,CalLookUpColumn,0))</f>
        <v>11</v>
      </c>
      <c r="I1220">
        <f>INDEX(CalLookUpTable,MATCH($B1220,CalLookUpRow,0),MATCH(I$1,CalLookUpColumn,0))</f>
        <v>1</v>
      </c>
    </row>
    <row r="1221" spans="1:9" x14ac:dyDescent="0.25">
      <c r="A1221" s="7">
        <v>1</v>
      </c>
      <c r="B1221" s="8">
        <v>43770</v>
      </c>
      <c r="C1221" s="9" t="s">
        <v>5</v>
      </c>
      <c r="D1221" s="10">
        <v>4032.5529999999999</v>
      </c>
      <c r="E1221" s="10">
        <v>3780.2449999999999</v>
      </c>
      <c r="F1221" t="str">
        <f>VLOOKUP(A1221,StoreLookup,2,FALSE)</f>
        <v>Store#1</v>
      </c>
      <c r="G1221">
        <f>INDEX(CalLookUpTable,MATCH($B1221,CalLookUpRow,0),MATCH(G$1,CalLookUpColumn,0))</f>
        <v>2019</v>
      </c>
      <c r="H1221">
        <f>INDEX(CalLookUpTable,MATCH($B1221,CalLookUpRow,0),MATCH(H$1,CalLookUpColumn,0))</f>
        <v>11</v>
      </c>
      <c r="I1221">
        <f>INDEX(CalLookUpTable,MATCH($B1221,CalLookUpRow,0),MATCH(I$1,CalLookUpColumn,0))</f>
        <v>1</v>
      </c>
    </row>
    <row r="1222" spans="1:9" x14ac:dyDescent="0.25">
      <c r="A1222" s="7">
        <v>1</v>
      </c>
      <c r="B1222" s="8">
        <v>43771</v>
      </c>
      <c r="C1222" s="9" t="s">
        <v>6</v>
      </c>
      <c r="D1222" s="10">
        <v>1048.9079999999999</v>
      </c>
      <c r="E1222" s="10">
        <v>1317.33</v>
      </c>
      <c r="F1222" t="str">
        <f>VLOOKUP(A1222,StoreLookup,2,FALSE)</f>
        <v>Store#1</v>
      </c>
      <c r="G1222">
        <f>INDEX(CalLookUpTable,MATCH($B1222,CalLookUpRow,0),MATCH(G$1,CalLookUpColumn,0))</f>
        <v>2019</v>
      </c>
      <c r="H1222">
        <f>INDEX(CalLookUpTable,MATCH($B1222,CalLookUpRow,0),MATCH(H$1,CalLookUpColumn,0))</f>
        <v>11</v>
      </c>
      <c r="I1222">
        <f>INDEX(CalLookUpTable,MATCH($B1222,CalLookUpRow,0),MATCH(I$1,CalLookUpColumn,0))</f>
        <v>1</v>
      </c>
    </row>
    <row r="1223" spans="1:9" x14ac:dyDescent="0.25">
      <c r="A1223" s="7">
        <v>1</v>
      </c>
      <c r="B1223" s="8">
        <v>43771</v>
      </c>
      <c r="C1223" s="9" t="s">
        <v>4</v>
      </c>
      <c r="D1223" s="10">
        <v>5450.3819999999996</v>
      </c>
      <c r="E1223" s="10">
        <v>5783.3649999999998</v>
      </c>
      <c r="F1223" t="str">
        <f>VLOOKUP(A1223,StoreLookup,2,FALSE)</f>
        <v>Store#1</v>
      </c>
      <c r="G1223">
        <f>INDEX(CalLookUpTable,MATCH($B1223,CalLookUpRow,0),MATCH(G$1,CalLookUpColumn,0))</f>
        <v>2019</v>
      </c>
      <c r="H1223">
        <f>INDEX(CalLookUpTable,MATCH($B1223,CalLookUpRow,0),MATCH(H$1,CalLookUpColumn,0))</f>
        <v>11</v>
      </c>
      <c r="I1223">
        <f>INDEX(CalLookUpTable,MATCH($B1223,CalLookUpRow,0),MATCH(I$1,CalLookUpColumn,0))</f>
        <v>1</v>
      </c>
    </row>
    <row r="1224" spans="1:9" x14ac:dyDescent="0.25">
      <c r="A1224" s="7">
        <v>1</v>
      </c>
      <c r="B1224" s="8">
        <v>43771</v>
      </c>
      <c r="C1224" s="9" t="s">
        <v>5</v>
      </c>
      <c r="D1224" s="10">
        <v>3400.1869999999999</v>
      </c>
      <c r="E1224" s="10">
        <v>3831.2260000000001</v>
      </c>
      <c r="F1224" t="str">
        <f>VLOOKUP(A1224,StoreLookup,2,FALSE)</f>
        <v>Store#1</v>
      </c>
      <c r="G1224">
        <f>INDEX(CalLookUpTable,MATCH($B1224,CalLookUpRow,0),MATCH(G$1,CalLookUpColumn,0))</f>
        <v>2019</v>
      </c>
      <c r="H1224">
        <f>INDEX(CalLookUpTable,MATCH($B1224,CalLookUpRow,0),MATCH(H$1,CalLookUpColumn,0))</f>
        <v>11</v>
      </c>
      <c r="I1224">
        <f>INDEX(CalLookUpTable,MATCH($B1224,CalLookUpRow,0),MATCH(I$1,CalLookUpColumn,0))</f>
        <v>1</v>
      </c>
    </row>
    <row r="1225" spans="1:9" x14ac:dyDescent="0.25">
      <c r="A1225" s="7">
        <v>1</v>
      </c>
      <c r="B1225" s="8">
        <v>43771</v>
      </c>
      <c r="C1225" s="9" t="s">
        <v>3</v>
      </c>
      <c r="D1225" s="10">
        <v>24.128999999999998</v>
      </c>
      <c r="E1225" s="10">
        <v>146.85999999999999</v>
      </c>
      <c r="F1225" t="str">
        <f>VLOOKUP(A1225,StoreLookup,2,FALSE)</f>
        <v>Store#1</v>
      </c>
      <c r="G1225">
        <f>INDEX(CalLookUpTable,MATCH($B1225,CalLookUpRow,0),MATCH(G$1,CalLookUpColumn,0))</f>
        <v>2019</v>
      </c>
      <c r="H1225">
        <f>INDEX(CalLookUpTable,MATCH($B1225,CalLookUpRow,0),MATCH(H$1,CalLookUpColumn,0))</f>
        <v>11</v>
      </c>
      <c r="I1225">
        <f>INDEX(CalLookUpTable,MATCH($B1225,CalLookUpRow,0),MATCH(I$1,CalLookUpColumn,0))</f>
        <v>1</v>
      </c>
    </row>
    <row r="1226" spans="1:9" x14ac:dyDescent="0.25">
      <c r="A1226" s="7">
        <v>1</v>
      </c>
      <c r="B1226" s="8">
        <v>43772</v>
      </c>
      <c r="C1226" s="9" t="s">
        <v>6</v>
      </c>
      <c r="D1226" s="10">
        <v>253.07099999999997</v>
      </c>
      <c r="E1226" s="10">
        <v>318.62599999999998</v>
      </c>
      <c r="F1226" t="str">
        <f>VLOOKUP(A1226,StoreLookup,2,FALSE)</f>
        <v>Store#1</v>
      </c>
      <c r="G1226">
        <f>INDEX(CalLookUpTable,MATCH($B1226,CalLookUpRow,0),MATCH(G$1,CalLookUpColumn,0))</f>
        <v>2019</v>
      </c>
      <c r="H1226">
        <f>INDEX(CalLookUpTable,MATCH($B1226,CalLookUpRow,0),MATCH(H$1,CalLookUpColumn,0))</f>
        <v>11</v>
      </c>
      <c r="I1226">
        <f>INDEX(CalLookUpTable,MATCH($B1226,CalLookUpRow,0),MATCH(I$1,CalLookUpColumn,0))</f>
        <v>1</v>
      </c>
    </row>
    <row r="1227" spans="1:9" x14ac:dyDescent="0.25">
      <c r="A1227" s="7">
        <v>1</v>
      </c>
      <c r="B1227" s="8">
        <v>43772</v>
      </c>
      <c r="C1227" s="9" t="s">
        <v>3</v>
      </c>
      <c r="D1227" s="10">
        <v>0</v>
      </c>
      <c r="E1227" s="10">
        <v>0</v>
      </c>
      <c r="F1227" t="str">
        <f>VLOOKUP(A1227,StoreLookup,2,FALSE)</f>
        <v>Store#1</v>
      </c>
      <c r="G1227">
        <f>INDEX(CalLookUpTable,MATCH($B1227,CalLookUpRow,0),MATCH(G$1,CalLookUpColumn,0))</f>
        <v>2019</v>
      </c>
      <c r="H1227">
        <f>INDEX(CalLookUpTable,MATCH($B1227,CalLookUpRow,0),MATCH(H$1,CalLookUpColumn,0))</f>
        <v>11</v>
      </c>
      <c r="I1227">
        <f>INDEX(CalLookUpTable,MATCH($B1227,CalLookUpRow,0),MATCH(I$1,CalLookUpColumn,0))</f>
        <v>1</v>
      </c>
    </row>
    <row r="1228" spans="1:9" x14ac:dyDescent="0.25">
      <c r="A1228" s="7">
        <v>1</v>
      </c>
      <c r="B1228" s="8">
        <v>43772</v>
      </c>
      <c r="C1228" s="9" t="s">
        <v>4</v>
      </c>
      <c r="D1228" s="10">
        <v>2131.08</v>
      </c>
      <c r="E1228" s="10">
        <v>1921.1499999999999</v>
      </c>
      <c r="F1228" t="str">
        <f>VLOOKUP(A1228,StoreLookup,2,FALSE)</f>
        <v>Store#1</v>
      </c>
      <c r="G1228">
        <f>INDEX(CalLookUpTable,MATCH($B1228,CalLookUpRow,0),MATCH(G$1,CalLookUpColumn,0))</f>
        <v>2019</v>
      </c>
      <c r="H1228">
        <f>INDEX(CalLookUpTable,MATCH($B1228,CalLookUpRow,0),MATCH(H$1,CalLookUpColumn,0))</f>
        <v>11</v>
      </c>
      <c r="I1228">
        <f>INDEX(CalLookUpTable,MATCH($B1228,CalLookUpRow,0),MATCH(I$1,CalLookUpColumn,0))</f>
        <v>1</v>
      </c>
    </row>
    <row r="1229" spans="1:9" x14ac:dyDescent="0.25">
      <c r="A1229" s="7">
        <v>1</v>
      </c>
      <c r="B1229" s="8">
        <v>43772</v>
      </c>
      <c r="C1229" s="9" t="s">
        <v>5</v>
      </c>
      <c r="D1229" s="10">
        <v>1486.1419999999998</v>
      </c>
      <c r="E1229" s="10">
        <v>1836.982</v>
      </c>
      <c r="F1229" t="str">
        <f>VLOOKUP(A1229,StoreLookup,2,FALSE)</f>
        <v>Store#1</v>
      </c>
      <c r="G1229">
        <f>INDEX(CalLookUpTable,MATCH($B1229,CalLookUpRow,0),MATCH(G$1,CalLookUpColumn,0))</f>
        <v>2019</v>
      </c>
      <c r="H1229">
        <f>INDEX(CalLookUpTable,MATCH($B1229,CalLookUpRow,0),MATCH(H$1,CalLookUpColumn,0))</f>
        <v>11</v>
      </c>
      <c r="I1229">
        <f>INDEX(CalLookUpTable,MATCH($B1229,CalLookUpRow,0),MATCH(I$1,CalLookUpColumn,0))</f>
        <v>1</v>
      </c>
    </row>
    <row r="1230" spans="1:9" x14ac:dyDescent="0.25">
      <c r="A1230" s="7">
        <v>1</v>
      </c>
      <c r="B1230" s="8">
        <v>43773</v>
      </c>
      <c r="C1230" s="9" t="s">
        <v>4</v>
      </c>
      <c r="D1230" s="10">
        <v>3118.7869999999998</v>
      </c>
      <c r="E1230" s="10">
        <v>4039.49</v>
      </c>
      <c r="F1230" t="str">
        <f>VLOOKUP(A1230,StoreLookup,2,FALSE)</f>
        <v>Store#1</v>
      </c>
      <c r="G1230">
        <f>INDEX(CalLookUpTable,MATCH($B1230,CalLookUpRow,0),MATCH(G$1,CalLookUpColumn,0))</f>
        <v>2019</v>
      </c>
      <c r="H1230">
        <f>INDEX(CalLookUpTable,MATCH($B1230,CalLookUpRow,0),MATCH(H$1,CalLookUpColumn,0))</f>
        <v>11</v>
      </c>
      <c r="I1230">
        <f>INDEX(CalLookUpTable,MATCH($B1230,CalLookUpRow,0),MATCH(I$1,CalLookUpColumn,0))</f>
        <v>2</v>
      </c>
    </row>
    <row r="1231" spans="1:9" x14ac:dyDescent="0.25">
      <c r="A1231" s="7">
        <v>1</v>
      </c>
      <c r="B1231" s="8">
        <v>43773</v>
      </c>
      <c r="C1231" s="9" t="s">
        <v>6</v>
      </c>
      <c r="D1231" s="10">
        <v>592.53599999999994</v>
      </c>
      <c r="E1231" s="10">
        <v>754.15899999999988</v>
      </c>
      <c r="F1231" t="str">
        <f>VLOOKUP(A1231,StoreLookup,2,FALSE)</f>
        <v>Store#1</v>
      </c>
      <c r="G1231">
        <f>INDEX(CalLookUpTable,MATCH($B1231,CalLookUpRow,0),MATCH(G$1,CalLookUpColumn,0))</f>
        <v>2019</v>
      </c>
      <c r="H1231">
        <f>INDEX(CalLookUpTable,MATCH($B1231,CalLookUpRow,0),MATCH(H$1,CalLookUpColumn,0))</f>
        <v>11</v>
      </c>
      <c r="I1231">
        <f>INDEX(CalLookUpTable,MATCH($B1231,CalLookUpRow,0),MATCH(I$1,CalLookUpColumn,0))</f>
        <v>2</v>
      </c>
    </row>
    <row r="1232" spans="1:9" x14ac:dyDescent="0.25">
      <c r="A1232" s="7">
        <v>1</v>
      </c>
      <c r="B1232" s="8">
        <v>43773</v>
      </c>
      <c r="C1232" s="9" t="s">
        <v>3</v>
      </c>
      <c r="D1232" s="10">
        <v>0</v>
      </c>
      <c r="E1232" s="10">
        <v>34.467999999999996</v>
      </c>
      <c r="F1232" t="str">
        <f>VLOOKUP(A1232,StoreLookup,2,FALSE)</f>
        <v>Store#1</v>
      </c>
      <c r="G1232">
        <f>INDEX(CalLookUpTable,MATCH($B1232,CalLookUpRow,0),MATCH(G$1,CalLookUpColumn,0))</f>
        <v>2019</v>
      </c>
      <c r="H1232">
        <f>INDEX(CalLookUpTable,MATCH($B1232,CalLookUpRow,0),MATCH(H$1,CalLookUpColumn,0))</f>
        <v>11</v>
      </c>
      <c r="I1232">
        <f>INDEX(CalLookUpTable,MATCH($B1232,CalLookUpRow,0),MATCH(I$1,CalLookUpColumn,0))</f>
        <v>2</v>
      </c>
    </row>
    <row r="1233" spans="1:9" x14ac:dyDescent="0.25">
      <c r="A1233" s="7">
        <v>1</v>
      </c>
      <c r="B1233" s="8">
        <v>43773</v>
      </c>
      <c r="C1233" s="9" t="s">
        <v>5</v>
      </c>
      <c r="D1233" s="10">
        <v>3161.6269999999995</v>
      </c>
      <c r="E1233" s="10">
        <v>2713.9839999999999</v>
      </c>
      <c r="F1233" t="str">
        <f>VLOOKUP(A1233,StoreLookup,2,FALSE)</f>
        <v>Store#1</v>
      </c>
      <c r="G1233">
        <f>INDEX(CalLookUpTable,MATCH($B1233,CalLookUpRow,0),MATCH(G$1,CalLookUpColumn,0))</f>
        <v>2019</v>
      </c>
      <c r="H1233">
        <f>INDEX(CalLookUpTable,MATCH($B1233,CalLookUpRow,0),MATCH(H$1,CalLookUpColumn,0))</f>
        <v>11</v>
      </c>
      <c r="I1233">
        <f>INDEX(CalLookUpTable,MATCH($B1233,CalLookUpRow,0),MATCH(I$1,CalLookUpColumn,0))</f>
        <v>2</v>
      </c>
    </row>
    <row r="1234" spans="1:9" x14ac:dyDescent="0.25">
      <c r="A1234" s="7">
        <v>1</v>
      </c>
      <c r="B1234" s="8">
        <v>43774</v>
      </c>
      <c r="C1234" s="9" t="s">
        <v>6</v>
      </c>
      <c r="D1234" s="10">
        <v>1392.3629999999998</v>
      </c>
      <c r="E1234" s="10">
        <v>730.19799999999998</v>
      </c>
      <c r="F1234" t="str">
        <f>VLOOKUP(A1234,StoreLookup,2,FALSE)</f>
        <v>Store#1</v>
      </c>
      <c r="G1234">
        <f>INDEX(CalLookUpTable,MATCH($B1234,CalLookUpRow,0),MATCH(G$1,CalLookUpColumn,0))</f>
        <v>2019</v>
      </c>
      <c r="H1234">
        <f>INDEX(CalLookUpTable,MATCH($B1234,CalLookUpRow,0),MATCH(H$1,CalLookUpColumn,0))</f>
        <v>11</v>
      </c>
      <c r="I1234">
        <f>INDEX(CalLookUpTable,MATCH($B1234,CalLookUpRow,0),MATCH(I$1,CalLookUpColumn,0))</f>
        <v>2</v>
      </c>
    </row>
    <row r="1235" spans="1:9" x14ac:dyDescent="0.25">
      <c r="A1235" s="7">
        <v>1</v>
      </c>
      <c r="B1235" s="8">
        <v>43774</v>
      </c>
      <c r="C1235" s="9" t="s">
        <v>3</v>
      </c>
      <c r="D1235" s="10">
        <v>0</v>
      </c>
      <c r="E1235" s="10">
        <v>20.278999999999996</v>
      </c>
      <c r="F1235" t="str">
        <f>VLOOKUP(A1235,StoreLookup,2,FALSE)</f>
        <v>Store#1</v>
      </c>
      <c r="G1235">
        <f>INDEX(CalLookUpTable,MATCH($B1235,CalLookUpRow,0),MATCH(G$1,CalLookUpColumn,0))</f>
        <v>2019</v>
      </c>
      <c r="H1235">
        <f>INDEX(CalLookUpTable,MATCH($B1235,CalLookUpRow,0),MATCH(H$1,CalLookUpColumn,0))</f>
        <v>11</v>
      </c>
      <c r="I1235">
        <f>INDEX(CalLookUpTable,MATCH($B1235,CalLookUpRow,0),MATCH(I$1,CalLookUpColumn,0))</f>
        <v>2</v>
      </c>
    </row>
    <row r="1236" spans="1:9" x14ac:dyDescent="0.25">
      <c r="A1236" s="7">
        <v>1</v>
      </c>
      <c r="B1236" s="8">
        <v>43774</v>
      </c>
      <c r="C1236" s="9" t="s">
        <v>4</v>
      </c>
      <c r="D1236" s="10">
        <v>3294.0739999999996</v>
      </c>
      <c r="E1236" s="10">
        <v>4067.35</v>
      </c>
      <c r="F1236" t="str">
        <f>VLOOKUP(A1236,StoreLookup,2,FALSE)</f>
        <v>Store#1</v>
      </c>
      <c r="G1236">
        <f>INDEX(CalLookUpTable,MATCH($B1236,CalLookUpRow,0),MATCH(G$1,CalLookUpColumn,0))</f>
        <v>2019</v>
      </c>
      <c r="H1236">
        <f>INDEX(CalLookUpTable,MATCH($B1236,CalLookUpRow,0),MATCH(H$1,CalLookUpColumn,0))</f>
        <v>11</v>
      </c>
      <c r="I1236">
        <f>INDEX(CalLookUpTable,MATCH($B1236,CalLookUpRow,0),MATCH(I$1,CalLookUpColumn,0))</f>
        <v>2</v>
      </c>
    </row>
    <row r="1237" spans="1:9" x14ac:dyDescent="0.25">
      <c r="A1237" s="7">
        <v>1</v>
      </c>
      <c r="B1237" s="8">
        <v>43774</v>
      </c>
      <c r="C1237" s="9" t="s">
        <v>5</v>
      </c>
      <c r="D1237" s="10">
        <v>3074.7919999999999</v>
      </c>
      <c r="E1237" s="10">
        <v>2887.3459999999995</v>
      </c>
      <c r="F1237" t="str">
        <f>VLOOKUP(A1237,StoreLookup,2,FALSE)</f>
        <v>Store#1</v>
      </c>
      <c r="G1237">
        <f>INDEX(CalLookUpTable,MATCH($B1237,CalLookUpRow,0),MATCH(G$1,CalLookUpColumn,0))</f>
        <v>2019</v>
      </c>
      <c r="H1237">
        <f>INDEX(CalLookUpTable,MATCH($B1237,CalLookUpRow,0),MATCH(H$1,CalLookUpColumn,0))</f>
        <v>11</v>
      </c>
      <c r="I1237">
        <f>INDEX(CalLookUpTable,MATCH($B1237,CalLookUpRow,0),MATCH(I$1,CalLookUpColumn,0))</f>
        <v>2</v>
      </c>
    </row>
    <row r="1238" spans="1:9" x14ac:dyDescent="0.25">
      <c r="A1238" s="7">
        <v>1</v>
      </c>
      <c r="B1238" s="8">
        <v>43775</v>
      </c>
      <c r="C1238" s="9" t="s">
        <v>6</v>
      </c>
      <c r="D1238" s="10">
        <v>709.74399999999991</v>
      </c>
      <c r="E1238" s="10">
        <v>920.70999999999992</v>
      </c>
      <c r="F1238" t="str">
        <f>VLOOKUP(A1238,StoreLookup,2,FALSE)</f>
        <v>Store#1</v>
      </c>
      <c r="G1238">
        <f>INDEX(CalLookUpTable,MATCH($B1238,CalLookUpRow,0),MATCH(G$1,CalLookUpColumn,0))</f>
        <v>2019</v>
      </c>
      <c r="H1238">
        <f>INDEX(CalLookUpTable,MATCH($B1238,CalLookUpRow,0),MATCH(H$1,CalLookUpColumn,0))</f>
        <v>11</v>
      </c>
      <c r="I1238">
        <f>INDEX(CalLookUpTable,MATCH($B1238,CalLookUpRow,0),MATCH(I$1,CalLookUpColumn,0))</f>
        <v>2</v>
      </c>
    </row>
    <row r="1239" spans="1:9" x14ac:dyDescent="0.25">
      <c r="A1239" s="7">
        <v>1</v>
      </c>
      <c r="B1239" s="8">
        <v>43775</v>
      </c>
      <c r="C1239" s="9" t="s">
        <v>4</v>
      </c>
      <c r="D1239" s="10">
        <v>3664.8289999999997</v>
      </c>
      <c r="E1239" s="10">
        <v>4533.3189999999995</v>
      </c>
      <c r="F1239" t="str">
        <f>VLOOKUP(A1239,StoreLookup,2,FALSE)</f>
        <v>Store#1</v>
      </c>
      <c r="G1239">
        <f>INDEX(CalLookUpTable,MATCH($B1239,CalLookUpRow,0),MATCH(G$1,CalLookUpColumn,0))</f>
        <v>2019</v>
      </c>
      <c r="H1239">
        <f>INDEX(CalLookUpTable,MATCH($B1239,CalLookUpRow,0),MATCH(H$1,CalLookUpColumn,0))</f>
        <v>11</v>
      </c>
      <c r="I1239">
        <f>INDEX(CalLookUpTable,MATCH($B1239,CalLookUpRow,0),MATCH(I$1,CalLookUpColumn,0))</f>
        <v>2</v>
      </c>
    </row>
    <row r="1240" spans="1:9" x14ac:dyDescent="0.25">
      <c r="A1240" s="7">
        <v>1</v>
      </c>
      <c r="B1240" s="8">
        <v>43775</v>
      </c>
      <c r="C1240" s="9" t="s">
        <v>5</v>
      </c>
      <c r="D1240" s="10">
        <v>3236.0790000000002</v>
      </c>
      <c r="E1240" s="10">
        <v>3043.4879999999998</v>
      </c>
      <c r="F1240" t="str">
        <f>VLOOKUP(A1240,StoreLookup,2,FALSE)</f>
        <v>Store#1</v>
      </c>
      <c r="G1240">
        <f>INDEX(CalLookUpTable,MATCH($B1240,CalLookUpRow,0),MATCH(G$1,CalLookUpColumn,0))</f>
        <v>2019</v>
      </c>
      <c r="H1240">
        <f>INDEX(CalLookUpTable,MATCH($B1240,CalLookUpRow,0),MATCH(H$1,CalLookUpColumn,0))</f>
        <v>11</v>
      </c>
      <c r="I1240">
        <f>INDEX(CalLookUpTable,MATCH($B1240,CalLookUpRow,0),MATCH(I$1,CalLookUpColumn,0))</f>
        <v>2</v>
      </c>
    </row>
    <row r="1241" spans="1:9" x14ac:dyDescent="0.25">
      <c r="A1241" s="7">
        <v>1</v>
      </c>
      <c r="B1241" s="8">
        <v>43775</v>
      </c>
      <c r="C1241" s="9" t="s">
        <v>3</v>
      </c>
      <c r="D1241" s="10">
        <v>0</v>
      </c>
      <c r="E1241" s="10">
        <v>143.78699999999998</v>
      </c>
      <c r="F1241" t="str">
        <f>VLOOKUP(A1241,StoreLookup,2,FALSE)</f>
        <v>Store#1</v>
      </c>
      <c r="G1241">
        <f>INDEX(CalLookUpTable,MATCH($B1241,CalLookUpRow,0),MATCH(G$1,CalLookUpColumn,0))</f>
        <v>2019</v>
      </c>
      <c r="H1241">
        <f>INDEX(CalLookUpTable,MATCH($B1241,CalLookUpRow,0),MATCH(H$1,CalLookUpColumn,0))</f>
        <v>11</v>
      </c>
      <c r="I1241">
        <f>INDEX(CalLookUpTable,MATCH($B1241,CalLookUpRow,0),MATCH(I$1,CalLookUpColumn,0))</f>
        <v>2</v>
      </c>
    </row>
    <row r="1242" spans="1:9" x14ac:dyDescent="0.25">
      <c r="A1242" s="7">
        <v>1</v>
      </c>
      <c r="B1242" s="8">
        <v>43776</v>
      </c>
      <c r="C1242" s="9" t="s">
        <v>6</v>
      </c>
      <c r="D1242" s="10">
        <v>828.34499999999991</v>
      </c>
      <c r="E1242" s="10">
        <v>1424.9269999999999</v>
      </c>
      <c r="F1242" t="str">
        <f>VLOOKUP(A1242,StoreLookup,2,FALSE)</f>
        <v>Store#1</v>
      </c>
      <c r="G1242">
        <f>INDEX(CalLookUpTable,MATCH($B1242,CalLookUpRow,0),MATCH(G$1,CalLookUpColumn,0))</f>
        <v>2019</v>
      </c>
      <c r="H1242">
        <f>INDEX(CalLookUpTable,MATCH($B1242,CalLookUpRow,0),MATCH(H$1,CalLookUpColumn,0))</f>
        <v>11</v>
      </c>
      <c r="I1242">
        <f>INDEX(CalLookUpTable,MATCH($B1242,CalLookUpRow,0),MATCH(I$1,CalLookUpColumn,0))</f>
        <v>2</v>
      </c>
    </row>
    <row r="1243" spans="1:9" x14ac:dyDescent="0.25">
      <c r="A1243" s="7">
        <v>1</v>
      </c>
      <c r="B1243" s="8">
        <v>43776</v>
      </c>
      <c r="C1243" s="9" t="s">
        <v>3</v>
      </c>
      <c r="D1243" s="10">
        <v>0</v>
      </c>
      <c r="E1243" s="10">
        <v>302.80599999999998</v>
      </c>
      <c r="F1243" t="str">
        <f>VLOOKUP(A1243,StoreLookup,2,FALSE)</f>
        <v>Store#1</v>
      </c>
      <c r="G1243">
        <f>INDEX(CalLookUpTable,MATCH($B1243,CalLookUpRow,0),MATCH(G$1,CalLookUpColumn,0))</f>
        <v>2019</v>
      </c>
      <c r="H1243">
        <f>INDEX(CalLookUpTable,MATCH($B1243,CalLookUpRow,0),MATCH(H$1,CalLookUpColumn,0))</f>
        <v>11</v>
      </c>
      <c r="I1243">
        <f>INDEX(CalLookUpTable,MATCH($B1243,CalLookUpRow,0),MATCH(I$1,CalLookUpColumn,0))</f>
        <v>2</v>
      </c>
    </row>
    <row r="1244" spans="1:9" x14ac:dyDescent="0.25">
      <c r="A1244" s="7">
        <v>1</v>
      </c>
      <c r="B1244" s="8">
        <v>43776</v>
      </c>
      <c r="C1244" s="9" t="s">
        <v>4</v>
      </c>
      <c r="D1244" s="10">
        <v>4114.5510000000004</v>
      </c>
      <c r="E1244" s="10">
        <v>4754.7709999999997</v>
      </c>
      <c r="F1244" t="str">
        <f>VLOOKUP(A1244,StoreLookup,2,FALSE)</f>
        <v>Store#1</v>
      </c>
      <c r="G1244">
        <f>INDEX(CalLookUpTable,MATCH($B1244,CalLookUpRow,0),MATCH(G$1,CalLookUpColumn,0))</f>
        <v>2019</v>
      </c>
      <c r="H1244">
        <f>INDEX(CalLookUpTable,MATCH($B1244,CalLookUpRow,0),MATCH(H$1,CalLookUpColumn,0))</f>
        <v>11</v>
      </c>
      <c r="I1244">
        <f>INDEX(CalLookUpTable,MATCH($B1244,CalLookUpRow,0),MATCH(I$1,CalLookUpColumn,0))</f>
        <v>2</v>
      </c>
    </row>
    <row r="1245" spans="1:9" x14ac:dyDescent="0.25">
      <c r="A1245" s="7">
        <v>1</v>
      </c>
      <c r="B1245" s="8">
        <v>43776</v>
      </c>
      <c r="C1245" s="9" t="s">
        <v>5</v>
      </c>
      <c r="D1245" s="10">
        <v>3567.8719999999998</v>
      </c>
      <c r="E1245" s="10">
        <v>3430.2449999999999</v>
      </c>
      <c r="F1245" t="str">
        <f>VLOOKUP(A1245,StoreLookup,2,FALSE)</f>
        <v>Store#1</v>
      </c>
      <c r="G1245">
        <f>INDEX(CalLookUpTable,MATCH($B1245,CalLookUpRow,0),MATCH(G$1,CalLookUpColumn,0))</f>
        <v>2019</v>
      </c>
      <c r="H1245">
        <f>INDEX(CalLookUpTable,MATCH($B1245,CalLookUpRow,0),MATCH(H$1,CalLookUpColumn,0))</f>
        <v>11</v>
      </c>
      <c r="I1245">
        <f>INDEX(CalLookUpTable,MATCH($B1245,CalLookUpRow,0),MATCH(I$1,CalLookUpColumn,0))</f>
        <v>2</v>
      </c>
    </row>
    <row r="1246" spans="1:9" x14ac:dyDescent="0.25">
      <c r="A1246" s="7">
        <v>1</v>
      </c>
      <c r="B1246" s="8">
        <v>43777</v>
      </c>
      <c r="C1246" s="9" t="s">
        <v>6</v>
      </c>
      <c r="D1246" s="10">
        <v>1397.4870000000001</v>
      </c>
      <c r="E1246" s="10">
        <v>1122.5409999999999</v>
      </c>
      <c r="F1246" t="str">
        <f>VLOOKUP(A1246,StoreLookup,2,FALSE)</f>
        <v>Store#1</v>
      </c>
      <c r="G1246">
        <f>INDEX(CalLookUpTable,MATCH($B1246,CalLookUpRow,0),MATCH(G$1,CalLookUpColumn,0))</f>
        <v>2019</v>
      </c>
      <c r="H1246">
        <f>INDEX(CalLookUpTable,MATCH($B1246,CalLookUpRow,0),MATCH(H$1,CalLookUpColumn,0))</f>
        <v>11</v>
      </c>
      <c r="I1246">
        <f>INDEX(CalLookUpTable,MATCH($B1246,CalLookUpRow,0),MATCH(I$1,CalLookUpColumn,0))</f>
        <v>2</v>
      </c>
    </row>
    <row r="1247" spans="1:9" x14ac:dyDescent="0.25">
      <c r="A1247" s="7">
        <v>1</v>
      </c>
      <c r="B1247" s="8">
        <v>43777</v>
      </c>
      <c r="C1247" s="9" t="s">
        <v>4</v>
      </c>
      <c r="D1247" s="10">
        <v>5360.0329999999994</v>
      </c>
      <c r="E1247" s="10">
        <v>5767.4049999999997</v>
      </c>
      <c r="F1247" t="str">
        <f>VLOOKUP(A1247,StoreLookup,2,FALSE)</f>
        <v>Store#1</v>
      </c>
      <c r="G1247">
        <f>INDEX(CalLookUpTable,MATCH($B1247,CalLookUpRow,0),MATCH(G$1,CalLookUpColumn,0))</f>
        <v>2019</v>
      </c>
      <c r="H1247">
        <f>INDEX(CalLookUpTable,MATCH($B1247,CalLookUpRow,0),MATCH(H$1,CalLookUpColumn,0))</f>
        <v>11</v>
      </c>
      <c r="I1247">
        <f>INDEX(CalLookUpTable,MATCH($B1247,CalLookUpRow,0),MATCH(I$1,CalLookUpColumn,0))</f>
        <v>2</v>
      </c>
    </row>
    <row r="1248" spans="1:9" x14ac:dyDescent="0.25">
      <c r="A1248" s="7">
        <v>1</v>
      </c>
      <c r="B1248" s="8">
        <v>43777</v>
      </c>
      <c r="C1248" s="9" t="s">
        <v>3</v>
      </c>
      <c r="D1248" s="10">
        <v>0</v>
      </c>
      <c r="E1248" s="10">
        <v>718.39599999999996</v>
      </c>
      <c r="F1248" t="str">
        <f>VLOOKUP(A1248,StoreLookup,2,FALSE)</f>
        <v>Store#1</v>
      </c>
      <c r="G1248">
        <f>INDEX(CalLookUpTable,MATCH($B1248,CalLookUpRow,0),MATCH(G$1,CalLookUpColumn,0))</f>
        <v>2019</v>
      </c>
      <c r="H1248">
        <f>INDEX(CalLookUpTable,MATCH($B1248,CalLookUpRow,0),MATCH(H$1,CalLookUpColumn,0))</f>
        <v>11</v>
      </c>
      <c r="I1248">
        <f>INDEX(CalLookUpTable,MATCH($B1248,CalLookUpRow,0),MATCH(I$1,CalLookUpColumn,0))</f>
        <v>2</v>
      </c>
    </row>
    <row r="1249" spans="1:9" x14ac:dyDescent="0.25">
      <c r="A1249" s="7">
        <v>1</v>
      </c>
      <c r="B1249" s="8">
        <v>43777</v>
      </c>
      <c r="C1249" s="9" t="s">
        <v>5</v>
      </c>
      <c r="D1249" s="10">
        <v>3681.3629999999998</v>
      </c>
      <c r="E1249" s="10">
        <v>3622.4019999999996</v>
      </c>
      <c r="F1249" t="str">
        <f>VLOOKUP(A1249,StoreLookup,2,FALSE)</f>
        <v>Store#1</v>
      </c>
      <c r="G1249">
        <f>INDEX(CalLookUpTable,MATCH($B1249,CalLookUpRow,0),MATCH(G$1,CalLookUpColumn,0))</f>
        <v>2019</v>
      </c>
      <c r="H1249">
        <f>INDEX(CalLookUpTable,MATCH($B1249,CalLookUpRow,0),MATCH(H$1,CalLookUpColumn,0))</f>
        <v>11</v>
      </c>
      <c r="I1249">
        <f>INDEX(CalLookUpTable,MATCH($B1249,CalLookUpRow,0),MATCH(I$1,CalLookUpColumn,0))</f>
        <v>2</v>
      </c>
    </row>
    <row r="1250" spans="1:9" x14ac:dyDescent="0.25">
      <c r="A1250" s="7">
        <v>1</v>
      </c>
      <c r="B1250" s="8">
        <v>43778</v>
      </c>
      <c r="C1250" s="9" t="s">
        <v>6</v>
      </c>
      <c r="D1250" s="10">
        <v>1220.8699999999999</v>
      </c>
      <c r="E1250" s="10">
        <v>999.64899999999989</v>
      </c>
      <c r="F1250" t="str">
        <f>VLOOKUP(A1250,StoreLookup,2,FALSE)</f>
        <v>Store#1</v>
      </c>
      <c r="G1250">
        <f>INDEX(CalLookUpTable,MATCH($B1250,CalLookUpRow,0),MATCH(G$1,CalLookUpColumn,0))</f>
        <v>2019</v>
      </c>
      <c r="H1250">
        <f>INDEX(CalLookUpTable,MATCH($B1250,CalLookUpRow,0),MATCH(H$1,CalLookUpColumn,0))</f>
        <v>11</v>
      </c>
      <c r="I1250">
        <f>INDEX(CalLookUpTable,MATCH($B1250,CalLookUpRow,0),MATCH(I$1,CalLookUpColumn,0))</f>
        <v>2</v>
      </c>
    </row>
    <row r="1251" spans="1:9" x14ac:dyDescent="0.25">
      <c r="A1251" s="7">
        <v>1</v>
      </c>
      <c r="B1251" s="8">
        <v>43778</v>
      </c>
      <c r="C1251" s="9" t="s">
        <v>3</v>
      </c>
      <c r="D1251" s="10">
        <v>193.38899999999998</v>
      </c>
      <c r="E1251" s="10">
        <v>0</v>
      </c>
      <c r="F1251" t="str">
        <f>VLOOKUP(A1251,StoreLookup,2,FALSE)</f>
        <v>Store#1</v>
      </c>
      <c r="G1251">
        <f>INDEX(CalLookUpTable,MATCH($B1251,CalLookUpRow,0),MATCH(G$1,CalLookUpColumn,0))</f>
        <v>2019</v>
      </c>
      <c r="H1251">
        <f>INDEX(CalLookUpTable,MATCH($B1251,CalLookUpRow,0),MATCH(H$1,CalLookUpColumn,0))</f>
        <v>11</v>
      </c>
      <c r="I1251">
        <f>INDEX(CalLookUpTable,MATCH($B1251,CalLookUpRow,0),MATCH(I$1,CalLookUpColumn,0))</f>
        <v>2</v>
      </c>
    </row>
    <row r="1252" spans="1:9" x14ac:dyDescent="0.25">
      <c r="A1252" s="7">
        <v>1</v>
      </c>
      <c r="B1252" s="8">
        <v>43778</v>
      </c>
      <c r="C1252" s="9" t="s">
        <v>4</v>
      </c>
      <c r="D1252" s="10">
        <v>5963.7830000000004</v>
      </c>
      <c r="E1252" s="10">
        <v>5101.5649999999996</v>
      </c>
      <c r="F1252" t="str">
        <f>VLOOKUP(A1252,StoreLookup,2,FALSE)</f>
        <v>Store#1</v>
      </c>
      <c r="G1252">
        <f>INDEX(CalLookUpTable,MATCH($B1252,CalLookUpRow,0),MATCH(G$1,CalLookUpColumn,0))</f>
        <v>2019</v>
      </c>
      <c r="H1252">
        <f>INDEX(CalLookUpTable,MATCH($B1252,CalLookUpRow,0),MATCH(H$1,CalLookUpColumn,0))</f>
        <v>11</v>
      </c>
      <c r="I1252">
        <f>INDEX(CalLookUpTable,MATCH($B1252,CalLookUpRow,0),MATCH(I$1,CalLookUpColumn,0))</f>
        <v>2</v>
      </c>
    </row>
    <row r="1253" spans="1:9" x14ac:dyDescent="0.25">
      <c r="A1253" s="7">
        <v>1</v>
      </c>
      <c r="B1253" s="8">
        <v>43778</v>
      </c>
      <c r="C1253" s="9" t="s">
        <v>5</v>
      </c>
      <c r="D1253" s="10">
        <v>3824.3239999999996</v>
      </c>
      <c r="E1253" s="10">
        <v>3490.8369999999995</v>
      </c>
      <c r="F1253" t="str">
        <f>VLOOKUP(A1253,StoreLookup,2,FALSE)</f>
        <v>Store#1</v>
      </c>
      <c r="G1253">
        <f>INDEX(CalLookUpTable,MATCH($B1253,CalLookUpRow,0),MATCH(G$1,CalLookUpColumn,0))</f>
        <v>2019</v>
      </c>
      <c r="H1253">
        <f>INDEX(CalLookUpTable,MATCH($B1253,CalLookUpRow,0),MATCH(H$1,CalLookUpColumn,0))</f>
        <v>11</v>
      </c>
      <c r="I1253">
        <f>INDEX(CalLookUpTable,MATCH($B1253,CalLookUpRow,0),MATCH(I$1,CalLookUpColumn,0))</f>
        <v>2</v>
      </c>
    </row>
    <row r="1254" spans="1:9" x14ac:dyDescent="0.25">
      <c r="A1254" s="7">
        <v>1</v>
      </c>
      <c r="B1254" s="8">
        <v>43779</v>
      </c>
      <c r="C1254" s="9" t="s">
        <v>6</v>
      </c>
      <c r="D1254" s="10">
        <v>415.33800000000002</v>
      </c>
      <c r="E1254" s="10">
        <v>187.10999999999999</v>
      </c>
      <c r="F1254" t="str">
        <f>VLOOKUP(A1254,StoreLookup,2,FALSE)</f>
        <v>Store#1</v>
      </c>
      <c r="G1254">
        <f>INDEX(CalLookUpTable,MATCH($B1254,CalLookUpRow,0),MATCH(G$1,CalLookUpColumn,0))</f>
        <v>2019</v>
      </c>
      <c r="H1254">
        <f>INDEX(CalLookUpTable,MATCH($B1254,CalLookUpRow,0),MATCH(H$1,CalLookUpColumn,0))</f>
        <v>11</v>
      </c>
      <c r="I1254">
        <f>INDEX(CalLookUpTable,MATCH($B1254,CalLookUpRow,0),MATCH(I$1,CalLookUpColumn,0))</f>
        <v>2</v>
      </c>
    </row>
    <row r="1255" spans="1:9" x14ac:dyDescent="0.25">
      <c r="A1255" s="7">
        <v>1</v>
      </c>
      <c r="B1255" s="8">
        <v>43779</v>
      </c>
      <c r="C1255" s="9" t="s">
        <v>4</v>
      </c>
      <c r="D1255" s="10">
        <v>2142.5250000000001</v>
      </c>
      <c r="E1255" s="10">
        <v>2178.4699999999998</v>
      </c>
      <c r="F1255" t="str">
        <f>VLOOKUP(A1255,StoreLookup,2,FALSE)</f>
        <v>Store#1</v>
      </c>
      <c r="G1255">
        <f>INDEX(CalLookUpTable,MATCH($B1255,CalLookUpRow,0),MATCH(G$1,CalLookUpColumn,0))</f>
        <v>2019</v>
      </c>
      <c r="H1255">
        <f>INDEX(CalLookUpTable,MATCH($B1255,CalLookUpRow,0),MATCH(H$1,CalLookUpColumn,0))</f>
        <v>11</v>
      </c>
      <c r="I1255">
        <f>INDEX(CalLookUpTable,MATCH($B1255,CalLookUpRow,0),MATCH(I$1,CalLookUpColumn,0))</f>
        <v>2</v>
      </c>
    </row>
    <row r="1256" spans="1:9" x14ac:dyDescent="0.25">
      <c r="A1256" s="7">
        <v>1</v>
      </c>
      <c r="B1256" s="8">
        <v>43779</v>
      </c>
      <c r="C1256" s="9" t="s">
        <v>3</v>
      </c>
      <c r="D1256" s="10">
        <v>0</v>
      </c>
      <c r="E1256" s="10">
        <v>452.14399999999995</v>
      </c>
      <c r="F1256" t="str">
        <f>VLOOKUP(A1256,StoreLookup,2,FALSE)</f>
        <v>Store#1</v>
      </c>
      <c r="G1256">
        <f>INDEX(CalLookUpTable,MATCH($B1256,CalLookUpRow,0),MATCH(G$1,CalLookUpColumn,0))</f>
        <v>2019</v>
      </c>
      <c r="H1256">
        <f>INDEX(CalLookUpTable,MATCH($B1256,CalLookUpRow,0),MATCH(H$1,CalLookUpColumn,0))</f>
        <v>11</v>
      </c>
      <c r="I1256">
        <f>INDEX(CalLookUpTable,MATCH($B1256,CalLookUpRow,0),MATCH(I$1,CalLookUpColumn,0))</f>
        <v>2</v>
      </c>
    </row>
    <row r="1257" spans="1:9" x14ac:dyDescent="0.25">
      <c r="A1257" s="7">
        <v>1</v>
      </c>
      <c r="B1257" s="8">
        <v>43779</v>
      </c>
      <c r="C1257" s="9" t="s">
        <v>5</v>
      </c>
      <c r="D1257" s="10">
        <v>1886.1499999999999</v>
      </c>
      <c r="E1257" s="10">
        <v>1610.9309999999998</v>
      </c>
      <c r="F1257" t="str">
        <f>VLOOKUP(A1257,StoreLookup,2,FALSE)</f>
        <v>Store#1</v>
      </c>
      <c r="G1257">
        <f>INDEX(CalLookUpTable,MATCH($B1257,CalLookUpRow,0),MATCH(G$1,CalLookUpColumn,0))</f>
        <v>2019</v>
      </c>
      <c r="H1257">
        <f>INDEX(CalLookUpTable,MATCH($B1257,CalLookUpRow,0),MATCH(H$1,CalLookUpColumn,0))</f>
        <v>11</v>
      </c>
      <c r="I1257">
        <f>INDEX(CalLookUpTable,MATCH($B1257,CalLookUpRow,0),MATCH(I$1,CalLookUpColumn,0))</f>
        <v>2</v>
      </c>
    </row>
    <row r="1258" spans="1:9" x14ac:dyDescent="0.25">
      <c r="A1258" s="7">
        <v>1</v>
      </c>
      <c r="B1258" s="8">
        <v>43780</v>
      </c>
      <c r="C1258" s="9" t="s">
        <v>6</v>
      </c>
      <c r="D1258" s="10">
        <v>844.52199999999993</v>
      </c>
      <c r="E1258" s="10">
        <v>768.6629999999999</v>
      </c>
      <c r="F1258" t="str">
        <f>VLOOKUP(A1258,StoreLookup,2,FALSE)</f>
        <v>Store#1</v>
      </c>
      <c r="G1258">
        <f>INDEX(CalLookUpTable,MATCH($B1258,CalLookUpRow,0),MATCH(G$1,CalLookUpColumn,0))</f>
        <v>2019</v>
      </c>
      <c r="H1258">
        <f>INDEX(CalLookUpTable,MATCH($B1258,CalLookUpRow,0),MATCH(H$1,CalLookUpColumn,0))</f>
        <v>11</v>
      </c>
      <c r="I1258">
        <f>INDEX(CalLookUpTable,MATCH($B1258,CalLookUpRow,0),MATCH(I$1,CalLookUpColumn,0))</f>
        <v>3</v>
      </c>
    </row>
    <row r="1259" spans="1:9" x14ac:dyDescent="0.25">
      <c r="A1259" s="7">
        <v>1</v>
      </c>
      <c r="B1259" s="8">
        <v>43780</v>
      </c>
      <c r="C1259" s="9" t="s">
        <v>4</v>
      </c>
      <c r="D1259" s="10">
        <v>3746.1269999999995</v>
      </c>
      <c r="E1259" s="10">
        <v>3656.5479999999998</v>
      </c>
      <c r="F1259" t="str">
        <f>VLOOKUP(A1259,StoreLookup,2,FALSE)</f>
        <v>Store#1</v>
      </c>
      <c r="G1259">
        <f>INDEX(CalLookUpTable,MATCH($B1259,CalLookUpRow,0),MATCH(G$1,CalLookUpColumn,0))</f>
        <v>2019</v>
      </c>
      <c r="H1259">
        <f>INDEX(CalLookUpTable,MATCH($B1259,CalLookUpRow,0),MATCH(H$1,CalLookUpColumn,0))</f>
        <v>11</v>
      </c>
      <c r="I1259">
        <f>INDEX(CalLookUpTable,MATCH($B1259,CalLookUpRow,0),MATCH(I$1,CalLookUpColumn,0))</f>
        <v>3</v>
      </c>
    </row>
    <row r="1260" spans="1:9" x14ac:dyDescent="0.25">
      <c r="A1260" s="7">
        <v>1</v>
      </c>
      <c r="B1260" s="8">
        <v>43780</v>
      </c>
      <c r="C1260" s="9" t="s">
        <v>3</v>
      </c>
      <c r="D1260" s="10">
        <v>48.110999999999997</v>
      </c>
      <c r="E1260" s="10">
        <v>0</v>
      </c>
      <c r="F1260" t="str">
        <f>VLOOKUP(A1260,StoreLookup,2,FALSE)</f>
        <v>Store#1</v>
      </c>
      <c r="G1260">
        <f>INDEX(CalLookUpTable,MATCH($B1260,CalLookUpRow,0),MATCH(G$1,CalLookUpColumn,0))</f>
        <v>2019</v>
      </c>
      <c r="H1260">
        <f>INDEX(CalLookUpTable,MATCH($B1260,CalLookUpRow,0),MATCH(H$1,CalLookUpColumn,0))</f>
        <v>11</v>
      </c>
      <c r="I1260">
        <f>INDEX(CalLookUpTable,MATCH($B1260,CalLookUpRow,0),MATCH(I$1,CalLookUpColumn,0))</f>
        <v>3</v>
      </c>
    </row>
    <row r="1261" spans="1:9" x14ac:dyDescent="0.25">
      <c r="A1261" s="7">
        <v>1</v>
      </c>
      <c r="B1261" s="8">
        <v>43780</v>
      </c>
      <c r="C1261" s="9" t="s">
        <v>5</v>
      </c>
      <c r="D1261" s="10">
        <v>3246.3130000000001</v>
      </c>
      <c r="E1261" s="10">
        <v>2890.86</v>
      </c>
      <c r="F1261" t="str">
        <f>VLOOKUP(A1261,StoreLookup,2,FALSE)</f>
        <v>Store#1</v>
      </c>
      <c r="G1261">
        <f>INDEX(CalLookUpTable,MATCH($B1261,CalLookUpRow,0),MATCH(G$1,CalLookUpColumn,0))</f>
        <v>2019</v>
      </c>
      <c r="H1261">
        <f>INDEX(CalLookUpTable,MATCH($B1261,CalLookUpRow,0),MATCH(H$1,CalLookUpColumn,0))</f>
        <v>11</v>
      </c>
      <c r="I1261">
        <f>INDEX(CalLookUpTable,MATCH($B1261,CalLookUpRow,0),MATCH(I$1,CalLookUpColumn,0))</f>
        <v>3</v>
      </c>
    </row>
    <row r="1262" spans="1:9" x14ac:dyDescent="0.25">
      <c r="A1262" s="7">
        <v>1</v>
      </c>
      <c r="B1262" s="8">
        <v>43781</v>
      </c>
      <c r="C1262" s="9" t="s">
        <v>6</v>
      </c>
      <c r="D1262" s="10">
        <v>729.351</v>
      </c>
      <c r="E1262" s="10">
        <v>1138.2839999999999</v>
      </c>
      <c r="F1262" t="str">
        <f>VLOOKUP(A1262,StoreLookup,2,FALSE)</f>
        <v>Store#1</v>
      </c>
      <c r="G1262">
        <f>INDEX(CalLookUpTable,MATCH($B1262,CalLookUpRow,0),MATCH(G$1,CalLookUpColumn,0))</f>
        <v>2019</v>
      </c>
      <c r="H1262">
        <f>INDEX(CalLookUpTable,MATCH($B1262,CalLookUpRow,0),MATCH(H$1,CalLookUpColumn,0))</f>
        <v>11</v>
      </c>
      <c r="I1262">
        <f>INDEX(CalLookUpTable,MATCH($B1262,CalLookUpRow,0),MATCH(I$1,CalLookUpColumn,0))</f>
        <v>3</v>
      </c>
    </row>
    <row r="1263" spans="1:9" x14ac:dyDescent="0.25">
      <c r="A1263" s="7">
        <v>1</v>
      </c>
      <c r="B1263" s="8">
        <v>43781</v>
      </c>
      <c r="C1263" s="9" t="s">
        <v>4</v>
      </c>
      <c r="D1263" s="10">
        <v>2975.0769999999998</v>
      </c>
      <c r="E1263" s="10">
        <v>3784.6899999999996</v>
      </c>
      <c r="F1263" t="str">
        <f>VLOOKUP(A1263,StoreLookup,2,FALSE)</f>
        <v>Store#1</v>
      </c>
      <c r="G1263">
        <f>INDEX(CalLookUpTable,MATCH($B1263,CalLookUpRow,0),MATCH(G$1,CalLookUpColumn,0))</f>
        <v>2019</v>
      </c>
      <c r="H1263">
        <f>INDEX(CalLookUpTable,MATCH($B1263,CalLookUpRow,0),MATCH(H$1,CalLookUpColumn,0))</f>
        <v>11</v>
      </c>
      <c r="I1263">
        <f>INDEX(CalLookUpTable,MATCH($B1263,CalLookUpRow,0),MATCH(I$1,CalLookUpColumn,0))</f>
        <v>3</v>
      </c>
    </row>
    <row r="1264" spans="1:9" x14ac:dyDescent="0.25">
      <c r="A1264" s="7">
        <v>1</v>
      </c>
      <c r="B1264" s="8">
        <v>43781</v>
      </c>
      <c r="C1264" s="9" t="s">
        <v>3</v>
      </c>
      <c r="D1264" s="10">
        <v>165.96299999999999</v>
      </c>
      <c r="E1264" s="10">
        <v>26.901</v>
      </c>
      <c r="F1264" t="str">
        <f>VLOOKUP(A1264,StoreLookup,2,FALSE)</f>
        <v>Store#1</v>
      </c>
      <c r="G1264">
        <f>INDEX(CalLookUpTable,MATCH($B1264,CalLookUpRow,0),MATCH(G$1,CalLookUpColumn,0))</f>
        <v>2019</v>
      </c>
      <c r="H1264">
        <f>INDEX(CalLookUpTable,MATCH($B1264,CalLookUpRow,0),MATCH(H$1,CalLookUpColumn,0))</f>
        <v>11</v>
      </c>
      <c r="I1264">
        <f>INDEX(CalLookUpTable,MATCH($B1264,CalLookUpRow,0),MATCH(I$1,CalLookUpColumn,0))</f>
        <v>3</v>
      </c>
    </row>
    <row r="1265" spans="1:9" x14ac:dyDescent="0.25">
      <c r="A1265" s="7">
        <v>1</v>
      </c>
      <c r="B1265" s="8">
        <v>43781</v>
      </c>
      <c r="C1265" s="9" t="s">
        <v>5</v>
      </c>
      <c r="D1265" s="10">
        <v>3000.6480000000001</v>
      </c>
      <c r="E1265" s="10">
        <v>3003.7980000000002</v>
      </c>
      <c r="F1265" t="str">
        <f>VLOOKUP(A1265,StoreLookup,2,FALSE)</f>
        <v>Store#1</v>
      </c>
      <c r="G1265">
        <f>INDEX(CalLookUpTable,MATCH($B1265,CalLookUpRow,0),MATCH(G$1,CalLookUpColumn,0))</f>
        <v>2019</v>
      </c>
      <c r="H1265">
        <f>INDEX(CalLookUpTable,MATCH($B1265,CalLookUpRow,0),MATCH(H$1,CalLookUpColumn,0))</f>
        <v>11</v>
      </c>
      <c r="I1265">
        <f>INDEX(CalLookUpTable,MATCH($B1265,CalLookUpRow,0),MATCH(I$1,CalLookUpColumn,0))</f>
        <v>3</v>
      </c>
    </row>
    <row r="1266" spans="1:9" x14ac:dyDescent="0.25">
      <c r="A1266" s="7">
        <v>1</v>
      </c>
      <c r="B1266" s="8">
        <v>43782</v>
      </c>
      <c r="C1266" s="9" t="s">
        <v>4</v>
      </c>
      <c r="D1266" s="10">
        <v>3138.0859999999993</v>
      </c>
      <c r="E1266" s="10">
        <v>3818.0729999999999</v>
      </c>
      <c r="F1266" t="str">
        <f>VLOOKUP(A1266,StoreLookup,2,FALSE)</f>
        <v>Store#1</v>
      </c>
      <c r="G1266">
        <f>INDEX(CalLookUpTable,MATCH($B1266,CalLookUpRow,0),MATCH(G$1,CalLookUpColumn,0))</f>
        <v>2019</v>
      </c>
      <c r="H1266">
        <f>INDEX(CalLookUpTable,MATCH($B1266,CalLookUpRow,0),MATCH(H$1,CalLookUpColumn,0))</f>
        <v>11</v>
      </c>
      <c r="I1266">
        <f>INDEX(CalLookUpTable,MATCH($B1266,CalLookUpRow,0),MATCH(I$1,CalLookUpColumn,0))</f>
        <v>3</v>
      </c>
    </row>
    <row r="1267" spans="1:9" x14ac:dyDescent="0.25">
      <c r="A1267" s="7">
        <v>1</v>
      </c>
      <c r="B1267" s="8">
        <v>43782</v>
      </c>
      <c r="C1267" s="9" t="s">
        <v>5</v>
      </c>
      <c r="D1267" s="10">
        <v>3126.6899999999996</v>
      </c>
      <c r="E1267" s="10">
        <v>3068.7510000000002</v>
      </c>
      <c r="F1267" t="str">
        <f>VLOOKUP(A1267,StoreLookup,2,FALSE)</f>
        <v>Store#1</v>
      </c>
      <c r="G1267">
        <f>INDEX(CalLookUpTable,MATCH($B1267,CalLookUpRow,0),MATCH(G$1,CalLookUpColumn,0))</f>
        <v>2019</v>
      </c>
      <c r="H1267">
        <f>INDEX(CalLookUpTable,MATCH($B1267,CalLookUpRow,0),MATCH(H$1,CalLookUpColumn,0))</f>
        <v>11</v>
      </c>
      <c r="I1267">
        <f>INDEX(CalLookUpTable,MATCH($B1267,CalLookUpRow,0),MATCH(I$1,CalLookUpColumn,0))</f>
        <v>3</v>
      </c>
    </row>
    <row r="1268" spans="1:9" x14ac:dyDescent="0.25">
      <c r="A1268" s="7">
        <v>1</v>
      </c>
      <c r="B1268" s="8">
        <v>43782</v>
      </c>
      <c r="C1268" s="9" t="s">
        <v>6</v>
      </c>
      <c r="D1268" s="10">
        <v>753.22799999999995</v>
      </c>
      <c r="E1268" s="10">
        <v>923.06200000000001</v>
      </c>
      <c r="F1268" t="str">
        <f>VLOOKUP(A1268,StoreLookup,2,FALSE)</f>
        <v>Store#1</v>
      </c>
      <c r="G1268">
        <f>INDEX(CalLookUpTable,MATCH($B1268,CalLookUpRow,0),MATCH(G$1,CalLookUpColumn,0))</f>
        <v>2019</v>
      </c>
      <c r="H1268">
        <f>INDEX(CalLookUpTable,MATCH($B1268,CalLookUpRow,0),MATCH(H$1,CalLookUpColumn,0))</f>
        <v>11</v>
      </c>
      <c r="I1268">
        <f>INDEX(CalLookUpTable,MATCH($B1268,CalLookUpRow,0),MATCH(I$1,CalLookUpColumn,0))</f>
        <v>3</v>
      </c>
    </row>
    <row r="1269" spans="1:9" x14ac:dyDescent="0.25">
      <c r="A1269" s="7">
        <v>1</v>
      </c>
      <c r="B1269" s="8">
        <v>43782</v>
      </c>
      <c r="C1269" s="9" t="s">
        <v>3</v>
      </c>
      <c r="D1269" s="10">
        <v>0</v>
      </c>
      <c r="E1269" s="10">
        <v>0</v>
      </c>
      <c r="F1269" t="str">
        <f>VLOOKUP(A1269,StoreLookup,2,FALSE)</f>
        <v>Store#1</v>
      </c>
      <c r="G1269">
        <f>INDEX(CalLookUpTable,MATCH($B1269,CalLookUpRow,0),MATCH(G$1,CalLookUpColumn,0))</f>
        <v>2019</v>
      </c>
      <c r="H1269">
        <f>INDEX(CalLookUpTable,MATCH($B1269,CalLookUpRow,0),MATCH(H$1,CalLookUpColumn,0))</f>
        <v>11</v>
      </c>
      <c r="I1269">
        <f>INDEX(CalLookUpTable,MATCH($B1269,CalLookUpRow,0),MATCH(I$1,CalLookUpColumn,0))</f>
        <v>3</v>
      </c>
    </row>
    <row r="1270" spans="1:9" x14ac:dyDescent="0.25">
      <c r="A1270" s="7">
        <v>1</v>
      </c>
      <c r="B1270" s="8">
        <v>43783</v>
      </c>
      <c r="C1270" s="9" t="s">
        <v>3</v>
      </c>
      <c r="D1270" s="10">
        <v>0</v>
      </c>
      <c r="E1270" s="10">
        <v>0</v>
      </c>
      <c r="F1270" t="str">
        <f>VLOOKUP(A1270,StoreLookup,2,FALSE)</f>
        <v>Store#1</v>
      </c>
      <c r="G1270">
        <f>INDEX(CalLookUpTable,MATCH($B1270,CalLookUpRow,0),MATCH(G$1,CalLookUpColumn,0))</f>
        <v>2019</v>
      </c>
      <c r="H1270">
        <f>INDEX(CalLookUpTable,MATCH($B1270,CalLookUpRow,0),MATCH(H$1,CalLookUpColumn,0))</f>
        <v>11</v>
      </c>
      <c r="I1270">
        <f>INDEX(CalLookUpTable,MATCH($B1270,CalLookUpRow,0),MATCH(I$1,CalLookUpColumn,0))</f>
        <v>3</v>
      </c>
    </row>
    <row r="1271" spans="1:9" x14ac:dyDescent="0.25">
      <c r="A1271" s="7">
        <v>1</v>
      </c>
      <c r="B1271" s="8">
        <v>43783</v>
      </c>
      <c r="C1271" s="9" t="s">
        <v>5</v>
      </c>
      <c r="D1271" s="10">
        <v>3480.82</v>
      </c>
      <c r="E1271" s="10">
        <v>3676.232</v>
      </c>
      <c r="F1271" t="str">
        <f>VLOOKUP(A1271,StoreLookup,2,FALSE)</f>
        <v>Store#1</v>
      </c>
      <c r="G1271">
        <f>INDEX(CalLookUpTable,MATCH($B1271,CalLookUpRow,0),MATCH(G$1,CalLookUpColumn,0))</f>
        <v>2019</v>
      </c>
      <c r="H1271">
        <f>INDEX(CalLookUpTable,MATCH($B1271,CalLookUpRow,0),MATCH(H$1,CalLookUpColumn,0))</f>
        <v>11</v>
      </c>
      <c r="I1271">
        <f>INDEX(CalLookUpTable,MATCH($B1271,CalLookUpRow,0),MATCH(I$1,CalLookUpColumn,0))</f>
        <v>3</v>
      </c>
    </row>
    <row r="1272" spans="1:9" x14ac:dyDescent="0.25">
      <c r="A1272" s="7">
        <v>1</v>
      </c>
      <c r="B1272" s="8">
        <v>43783</v>
      </c>
      <c r="C1272" s="9" t="s">
        <v>4</v>
      </c>
      <c r="D1272" s="10">
        <v>3671.2759999999998</v>
      </c>
      <c r="E1272" s="10">
        <v>4739.28</v>
      </c>
      <c r="F1272" t="str">
        <f>VLOOKUP(A1272,StoreLookup,2,FALSE)</f>
        <v>Store#1</v>
      </c>
      <c r="G1272">
        <f>INDEX(CalLookUpTable,MATCH($B1272,CalLookUpRow,0),MATCH(G$1,CalLookUpColumn,0))</f>
        <v>2019</v>
      </c>
      <c r="H1272">
        <f>INDEX(CalLookUpTable,MATCH($B1272,CalLookUpRow,0),MATCH(H$1,CalLookUpColumn,0))</f>
        <v>11</v>
      </c>
      <c r="I1272">
        <f>INDEX(CalLookUpTable,MATCH($B1272,CalLookUpRow,0),MATCH(I$1,CalLookUpColumn,0))</f>
        <v>3</v>
      </c>
    </row>
    <row r="1273" spans="1:9" x14ac:dyDescent="0.25">
      <c r="A1273" s="7">
        <v>1</v>
      </c>
      <c r="B1273" s="8">
        <v>43783</v>
      </c>
      <c r="C1273" s="9" t="s">
        <v>6</v>
      </c>
      <c r="D1273" s="10">
        <v>782.51600000000008</v>
      </c>
      <c r="E1273" s="10">
        <v>1371.1879999999999</v>
      </c>
      <c r="F1273" t="str">
        <f>VLOOKUP(A1273,StoreLookup,2,FALSE)</f>
        <v>Store#1</v>
      </c>
      <c r="G1273">
        <f>INDEX(CalLookUpTable,MATCH($B1273,CalLookUpRow,0),MATCH(G$1,CalLookUpColumn,0))</f>
        <v>2019</v>
      </c>
      <c r="H1273">
        <f>INDEX(CalLookUpTable,MATCH($B1273,CalLookUpRow,0),MATCH(H$1,CalLookUpColumn,0))</f>
        <v>11</v>
      </c>
      <c r="I1273">
        <f>INDEX(CalLookUpTable,MATCH($B1273,CalLookUpRow,0),MATCH(I$1,CalLookUpColumn,0))</f>
        <v>3</v>
      </c>
    </row>
    <row r="1274" spans="1:9" x14ac:dyDescent="0.25">
      <c r="A1274" s="7">
        <v>1</v>
      </c>
      <c r="B1274" s="8">
        <v>43784</v>
      </c>
      <c r="C1274" s="9" t="s">
        <v>6</v>
      </c>
      <c r="D1274" s="10">
        <v>1191.4769999999999</v>
      </c>
      <c r="E1274" s="10">
        <v>1214.7169999999999</v>
      </c>
      <c r="F1274" t="str">
        <f>VLOOKUP(A1274,StoreLookup,2,FALSE)</f>
        <v>Store#1</v>
      </c>
      <c r="G1274">
        <f>INDEX(CalLookUpTable,MATCH($B1274,CalLookUpRow,0),MATCH(G$1,CalLookUpColumn,0))</f>
        <v>2019</v>
      </c>
      <c r="H1274">
        <f>INDEX(CalLookUpTable,MATCH($B1274,CalLookUpRow,0),MATCH(H$1,CalLookUpColumn,0))</f>
        <v>11</v>
      </c>
      <c r="I1274">
        <f>INDEX(CalLookUpTable,MATCH($B1274,CalLookUpRow,0),MATCH(I$1,CalLookUpColumn,0))</f>
        <v>3</v>
      </c>
    </row>
    <row r="1275" spans="1:9" x14ac:dyDescent="0.25">
      <c r="A1275" s="7">
        <v>1</v>
      </c>
      <c r="B1275" s="8">
        <v>43784</v>
      </c>
      <c r="C1275" s="9" t="s">
        <v>4</v>
      </c>
      <c r="D1275" s="10">
        <v>5209.8760000000002</v>
      </c>
      <c r="E1275" s="10">
        <v>5839.2179999999998</v>
      </c>
      <c r="F1275" t="str">
        <f>VLOOKUP(A1275,StoreLookup,2,FALSE)</f>
        <v>Store#1</v>
      </c>
      <c r="G1275">
        <f>INDEX(CalLookUpTable,MATCH($B1275,CalLookUpRow,0),MATCH(G$1,CalLookUpColumn,0))</f>
        <v>2019</v>
      </c>
      <c r="H1275">
        <f>INDEX(CalLookUpTable,MATCH($B1275,CalLookUpRow,0),MATCH(H$1,CalLookUpColumn,0))</f>
        <v>11</v>
      </c>
      <c r="I1275">
        <f>INDEX(CalLookUpTable,MATCH($B1275,CalLookUpRow,0),MATCH(I$1,CalLookUpColumn,0))</f>
        <v>3</v>
      </c>
    </row>
    <row r="1276" spans="1:9" x14ac:dyDescent="0.25">
      <c r="A1276" s="7">
        <v>1</v>
      </c>
      <c r="B1276" s="8">
        <v>43784</v>
      </c>
      <c r="C1276" s="9" t="s">
        <v>5</v>
      </c>
      <c r="D1276" s="10">
        <v>3965.6959999999995</v>
      </c>
      <c r="E1276" s="10">
        <v>3802.4839999999995</v>
      </c>
      <c r="F1276" t="str">
        <f>VLOOKUP(A1276,StoreLookup,2,FALSE)</f>
        <v>Store#1</v>
      </c>
      <c r="G1276">
        <f>INDEX(CalLookUpTable,MATCH($B1276,CalLookUpRow,0),MATCH(G$1,CalLookUpColumn,0))</f>
        <v>2019</v>
      </c>
      <c r="H1276">
        <f>INDEX(CalLookUpTable,MATCH($B1276,CalLookUpRow,0),MATCH(H$1,CalLookUpColumn,0))</f>
        <v>11</v>
      </c>
      <c r="I1276">
        <f>INDEX(CalLookUpTable,MATCH($B1276,CalLookUpRow,0),MATCH(I$1,CalLookUpColumn,0))</f>
        <v>3</v>
      </c>
    </row>
    <row r="1277" spans="1:9" x14ac:dyDescent="0.25">
      <c r="A1277" s="7">
        <v>1</v>
      </c>
      <c r="B1277" s="8">
        <v>43784</v>
      </c>
      <c r="C1277" s="9" t="s">
        <v>3</v>
      </c>
      <c r="D1277" s="10">
        <v>36.098999999999997</v>
      </c>
      <c r="E1277" s="10">
        <v>29.364999999999998</v>
      </c>
      <c r="F1277" t="str">
        <f>VLOOKUP(A1277,StoreLookup,2,FALSE)</f>
        <v>Store#1</v>
      </c>
      <c r="G1277">
        <f>INDEX(CalLookUpTable,MATCH($B1277,CalLookUpRow,0),MATCH(G$1,CalLookUpColumn,0))</f>
        <v>2019</v>
      </c>
      <c r="H1277">
        <f>INDEX(CalLookUpTable,MATCH($B1277,CalLookUpRow,0),MATCH(H$1,CalLookUpColumn,0))</f>
        <v>11</v>
      </c>
      <c r="I1277">
        <f>INDEX(CalLookUpTable,MATCH($B1277,CalLookUpRow,0),MATCH(I$1,CalLookUpColumn,0))</f>
        <v>3</v>
      </c>
    </row>
    <row r="1278" spans="1:9" x14ac:dyDescent="0.25">
      <c r="A1278" s="7">
        <v>1</v>
      </c>
      <c r="B1278" s="8">
        <v>43785</v>
      </c>
      <c r="C1278" s="9" t="s">
        <v>4</v>
      </c>
      <c r="D1278" s="10">
        <v>5361.79</v>
      </c>
      <c r="E1278" s="10">
        <v>5722.7659999999996</v>
      </c>
      <c r="F1278" t="str">
        <f>VLOOKUP(A1278,StoreLookup,2,FALSE)</f>
        <v>Store#1</v>
      </c>
      <c r="G1278">
        <f>INDEX(CalLookUpTable,MATCH($B1278,CalLookUpRow,0),MATCH(G$1,CalLookUpColumn,0))</f>
        <v>2019</v>
      </c>
      <c r="H1278">
        <f>INDEX(CalLookUpTable,MATCH($B1278,CalLookUpRow,0),MATCH(H$1,CalLookUpColumn,0))</f>
        <v>11</v>
      </c>
      <c r="I1278">
        <f>INDEX(CalLookUpTable,MATCH($B1278,CalLookUpRow,0),MATCH(I$1,CalLookUpColumn,0))</f>
        <v>3</v>
      </c>
    </row>
    <row r="1279" spans="1:9" x14ac:dyDescent="0.25">
      <c r="A1279" s="7">
        <v>1</v>
      </c>
      <c r="B1279" s="8">
        <v>43785</v>
      </c>
      <c r="C1279" s="9" t="s">
        <v>3</v>
      </c>
      <c r="D1279" s="10">
        <v>254.94699999999997</v>
      </c>
      <c r="E1279" s="10">
        <v>492.03</v>
      </c>
      <c r="F1279" t="str">
        <f>VLOOKUP(A1279,StoreLookup,2,FALSE)</f>
        <v>Store#1</v>
      </c>
      <c r="G1279">
        <f>INDEX(CalLookUpTable,MATCH($B1279,CalLookUpRow,0),MATCH(G$1,CalLookUpColumn,0))</f>
        <v>2019</v>
      </c>
      <c r="H1279">
        <f>INDEX(CalLookUpTable,MATCH($B1279,CalLookUpRow,0),MATCH(H$1,CalLookUpColumn,0))</f>
        <v>11</v>
      </c>
      <c r="I1279">
        <f>INDEX(CalLookUpTable,MATCH($B1279,CalLookUpRow,0),MATCH(I$1,CalLookUpColumn,0))</f>
        <v>3</v>
      </c>
    </row>
    <row r="1280" spans="1:9" x14ac:dyDescent="0.25">
      <c r="A1280" s="7">
        <v>1</v>
      </c>
      <c r="B1280" s="8">
        <v>43785</v>
      </c>
      <c r="C1280" s="9" t="s">
        <v>6</v>
      </c>
      <c r="D1280" s="10">
        <v>1055.0119999999999</v>
      </c>
      <c r="E1280" s="10">
        <v>1123.5909999999999</v>
      </c>
      <c r="F1280" t="str">
        <f>VLOOKUP(A1280,StoreLookup,2,FALSE)</f>
        <v>Store#1</v>
      </c>
      <c r="G1280">
        <f>INDEX(CalLookUpTable,MATCH($B1280,CalLookUpRow,0),MATCH(G$1,CalLookUpColumn,0))</f>
        <v>2019</v>
      </c>
      <c r="H1280">
        <f>INDEX(CalLookUpTable,MATCH($B1280,CalLookUpRow,0),MATCH(H$1,CalLookUpColumn,0))</f>
        <v>11</v>
      </c>
      <c r="I1280">
        <f>INDEX(CalLookUpTable,MATCH($B1280,CalLookUpRow,0),MATCH(I$1,CalLookUpColumn,0))</f>
        <v>3</v>
      </c>
    </row>
    <row r="1281" spans="1:9" x14ac:dyDescent="0.25">
      <c r="A1281" s="7">
        <v>1</v>
      </c>
      <c r="B1281" s="8">
        <v>43785</v>
      </c>
      <c r="C1281" s="9" t="s">
        <v>5</v>
      </c>
      <c r="D1281" s="10">
        <v>3376.625</v>
      </c>
      <c r="E1281" s="10">
        <v>3838.8420000000001</v>
      </c>
      <c r="F1281" t="str">
        <f>VLOOKUP(A1281,StoreLookup,2,FALSE)</f>
        <v>Store#1</v>
      </c>
      <c r="G1281">
        <f>INDEX(CalLookUpTable,MATCH($B1281,CalLookUpRow,0),MATCH(G$1,CalLookUpColumn,0))</f>
        <v>2019</v>
      </c>
      <c r="H1281">
        <f>INDEX(CalLookUpTable,MATCH($B1281,CalLookUpRow,0),MATCH(H$1,CalLookUpColumn,0))</f>
        <v>11</v>
      </c>
      <c r="I1281">
        <f>INDEX(CalLookUpTable,MATCH($B1281,CalLookUpRow,0),MATCH(I$1,CalLookUpColumn,0))</f>
        <v>3</v>
      </c>
    </row>
    <row r="1282" spans="1:9" x14ac:dyDescent="0.25">
      <c r="A1282" s="7">
        <v>1</v>
      </c>
      <c r="B1282" s="8">
        <v>43786</v>
      </c>
      <c r="C1282" s="9" t="s">
        <v>5</v>
      </c>
      <c r="D1282" s="10">
        <v>1685.0399999999997</v>
      </c>
      <c r="E1282" s="10">
        <v>1903.944</v>
      </c>
      <c r="F1282" t="str">
        <f>VLOOKUP(A1282,StoreLookup,2,FALSE)</f>
        <v>Store#1</v>
      </c>
      <c r="G1282">
        <f>INDEX(CalLookUpTable,MATCH($B1282,CalLookUpRow,0),MATCH(G$1,CalLookUpColumn,0))</f>
        <v>2019</v>
      </c>
      <c r="H1282">
        <f>INDEX(CalLookUpTable,MATCH($B1282,CalLookUpRow,0),MATCH(H$1,CalLookUpColumn,0))</f>
        <v>11</v>
      </c>
      <c r="I1282">
        <f>INDEX(CalLookUpTable,MATCH($B1282,CalLookUpRow,0),MATCH(I$1,CalLookUpColumn,0))</f>
        <v>3</v>
      </c>
    </row>
    <row r="1283" spans="1:9" x14ac:dyDescent="0.25">
      <c r="A1283" s="7">
        <v>1</v>
      </c>
      <c r="B1283" s="8">
        <v>43786</v>
      </c>
      <c r="C1283" s="9" t="s">
        <v>6</v>
      </c>
      <c r="D1283" s="10">
        <v>486.46499999999997</v>
      </c>
      <c r="E1283" s="10">
        <v>251.37</v>
      </c>
      <c r="F1283" t="str">
        <f>VLOOKUP(A1283,StoreLookup,2,FALSE)</f>
        <v>Store#1</v>
      </c>
      <c r="G1283">
        <f>INDEX(CalLookUpTable,MATCH($B1283,CalLookUpRow,0),MATCH(G$1,CalLookUpColumn,0))</f>
        <v>2019</v>
      </c>
      <c r="H1283">
        <f>INDEX(CalLookUpTable,MATCH($B1283,CalLookUpRow,0),MATCH(H$1,CalLookUpColumn,0))</f>
        <v>11</v>
      </c>
      <c r="I1283">
        <f>INDEX(CalLookUpTable,MATCH($B1283,CalLookUpRow,0),MATCH(I$1,CalLookUpColumn,0))</f>
        <v>3</v>
      </c>
    </row>
    <row r="1284" spans="1:9" x14ac:dyDescent="0.25">
      <c r="A1284" s="7">
        <v>1</v>
      </c>
      <c r="B1284" s="8">
        <v>43786</v>
      </c>
      <c r="C1284" s="9" t="s">
        <v>4</v>
      </c>
      <c r="D1284" s="10">
        <v>1866.816</v>
      </c>
      <c r="E1284" s="10">
        <v>2429.3289999999997</v>
      </c>
      <c r="F1284" t="str">
        <f>VLOOKUP(A1284,StoreLookup,2,FALSE)</f>
        <v>Store#1</v>
      </c>
      <c r="G1284">
        <f>INDEX(CalLookUpTable,MATCH($B1284,CalLookUpRow,0),MATCH(G$1,CalLookUpColumn,0))</f>
        <v>2019</v>
      </c>
      <c r="H1284">
        <f>INDEX(CalLookUpTable,MATCH($B1284,CalLookUpRow,0),MATCH(H$1,CalLookUpColumn,0))</f>
        <v>11</v>
      </c>
      <c r="I1284">
        <f>INDEX(CalLookUpTable,MATCH($B1284,CalLookUpRow,0),MATCH(I$1,CalLookUpColumn,0))</f>
        <v>3</v>
      </c>
    </row>
    <row r="1285" spans="1:9" x14ac:dyDescent="0.25">
      <c r="A1285" s="7">
        <v>1</v>
      </c>
      <c r="B1285" s="8">
        <v>43786</v>
      </c>
      <c r="C1285" s="9" t="s">
        <v>3</v>
      </c>
      <c r="D1285" s="10">
        <v>7.5879999999999992</v>
      </c>
      <c r="E1285" s="10">
        <v>25.178999999999998</v>
      </c>
      <c r="F1285" t="str">
        <f>VLOOKUP(A1285,StoreLookup,2,FALSE)</f>
        <v>Store#1</v>
      </c>
      <c r="G1285">
        <f>INDEX(CalLookUpTable,MATCH($B1285,CalLookUpRow,0),MATCH(G$1,CalLookUpColumn,0))</f>
        <v>2019</v>
      </c>
      <c r="H1285">
        <f>INDEX(CalLookUpTable,MATCH($B1285,CalLookUpRow,0),MATCH(H$1,CalLookUpColumn,0))</f>
        <v>11</v>
      </c>
      <c r="I1285">
        <f>INDEX(CalLookUpTable,MATCH($B1285,CalLookUpRow,0),MATCH(I$1,CalLookUpColumn,0))</f>
        <v>3</v>
      </c>
    </row>
    <row r="1286" spans="1:9" x14ac:dyDescent="0.25">
      <c r="A1286" s="7">
        <v>1</v>
      </c>
      <c r="B1286" s="8">
        <v>43787</v>
      </c>
      <c r="C1286" s="9" t="s">
        <v>5</v>
      </c>
      <c r="D1286" s="10">
        <v>2946.7829999999994</v>
      </c>
      <c r="E1286" s="10">
        <v>3170.0549999999994</v>
      </c>
      <c r="F1286" t="str">
        <f>VLOOKUP(A1286,StoreLookup,2,FALSE)</f>
        <v>Store#1</v>
      </c>
      <c r="G1286">
        <f>INDEX(CalLookUpTable,MATCH($B1286,CalLookUpRow,0),MATCH(G$1,CalLookUpColumn,0))</f>
        <v>2019</v>
      </c>
      <c r="H1286">
        <f>INDEX(CalLookUpTable,MATCH($B1286,CalLookUpRow,0),MATCH(H$1,CalLookUpColumn,0))</f>
        <v>11</v>
      </c>
      <c r="I1286">
        <f>INDEX(CalLookUpTable,MATCH($B1286,CalLookUpRow,0),MATCH(I$1,CalLookUpColumn,0))</f>
        <v>4</v>
      </c>
    </row>
    <row r="1287" spans="1:9" x14ac:dyDescent="0.25">
      <c r="A1287" s="7">
        <v>1</v>
      </c>
      <c r="B1287" s="8">
        <v>43787</v>
      </c>
      <c r="C1287" s="9" t="s">
        <v>6</v>
      </c>
      <c r="D1287" s="10">
        <v>1034.8309999999999</v>
      </c>
      <c r="E1287" s="10">
        <v>1157.1769999999999</v>
      </c>
      <c r="F1287" t="str">
        <f>VLOOKUP(A1287,StoreLookup,2,FALSE)</f>
        <v>Store#1</v>
      </c>
      <c r="G1287">
        <f>INDEX(CalLookUpTable,MATCH($B1287,CalLookUpRow,0),MATCH(G$1,CalLookUpColumn,0))</f>
        <v>2019</v>
      </c>
      <c r="H1287">
        <f>INDEX(CalLookUpTable,MATCH($B1287,CalLookUpRow,0),MATCH(H$1,CalLookUpColumn,0))</f>
        <v>11</v>
      </c>
      <c r="I1287">
        <f>INDEX(CalLookUpTable,MATCH($B1287,CalLookUpRow,0),MATCH(I$1,CalLookUpColumn,0))</f>
        <v>4</v>
      </c>
    </row>
    <row r="1288" spans="1:9" x14ac:dyDescent="0.25">
      <c r="A1288" s="7">
        <v>1</v>
      </c>
      <c r="B1288" s="8">
        <v>43787</v>
      </c>
      <c r="C1288" s="9" t="s">
        <v>4</v>
      </c>
      <c r="D1288" s="10">
        <v>2698.7660000000001</v>
      </c>
      <c r="E1288" s="10">
        <v>4214.1959999999999</v>
      </c>
      <c r="F1288" t="str">
        <f>VLOOKUP(A1288,StoreLookup,2,FALSE)</f>
        <v>Store#1</v>
      </c>
      <c r="G1288">
        <f>INDEX(CalLookUpTable,MATCH($B1288,CalLookUpRow,0),MATCH(G$1,CalLookUpColumn,0))</f>
        <v>2019</v>
      </c>
      <c r="H1288">
        <f>INDEX(CalLookUpTable,MATCH($B1288,CalLookUpRow,0),MATCH(H$1,CalLookUpColumn,0))</f>
        <v>11</v>
      </c>
      <c r="I1288">
        <f>INDEX(CalLookUpTable,MATCH($B1288,CalLookUpRow,0),MATCH(I$1,CalLookUpColumn,0))</f>
        <v>4</v>
      </c>
    </row>
    <row r="1289" spans="1:9" x14ac:dyDescent="0.25">
      <c r="A1289" s="7">
        <v>1</v>
      </c>
      <c r="B1289" s="8">
        <v>43787</v>
      </c>
      <c r="C1289" s="9" t="s">
        <v>3</v>
      </c>
      <c r="D1289" s="10">
        <v>866.404</v>
      </c>
      <c r="E1289" s="10">
        <v>0</v>
      </c>
      <c r="F1289" t="str">
        <f>VLOOKUP(A1289,StoreLookup,2,FALSE)</f>
        <v>Store#1</v>
      </c>
      <c r="G1289">
        <f>INDEX(CalLookUpTable,MATCH($B1289,CalLookUpRow,0),MATCH(G$1,CalLookUpColumn,0))</f>
        <v>2019</v>
      </c>
      <c r="H1289">
        <f>INDEX(CalLookUpTable,MATCH($B1289,CalLookUpRow,0),MATCH(H$1,CalLookUpColumn,0))</f>
        <v>11</v>
      </c>
      <c r="I1289">
        <f>INDEX(CalLookUpTable,MATCH($B1289,CalLookUpRow,0),MATCH(I$1,CalLookUpColumn,0))</f>
        <v>4</v>
      </c>
    </row>
    <row r="1290" spans="1:9" x14ac:dyDescent="0.25">
      <c r="A1290" s="7">
        <v>1</v>
      </c>
      <c r="B1290" s="8">
        <v>43788</v>
      </c>
      <c r="C1290" s="9" t="s">
        <v>3</v>
      </c>
      <c r="D1290" s="10">
        <v>0</v>
      </c>
      <c r="E1290" s="10">
        <v>0</v>
      </c>
      <c r="F1290" t="str">
        <f>VLOOKUP(A1290,StoreLookup,2,FALSE)</f>
        <v>Store#1</v>
      </c>
      <c r="G1290">
        <f>INDEX(CalLookUpTable,MATCH($B1290,CalLookUpRow,0),MATCH(G$1,CalLookUpColumn,0))</f>
        <v>2019</v>
      </c>
      <c r="H1290">
        <f>INDEX(CalLookUpTable,MATCH($B1290,CalLookUpRow,0),MATCH(H$1,CalLookUpColumn,0))</f>
        <v>11</v>
      </c>
      <c r="I1290">
        <f>INDEX(CalLookUpTable,MATCH($B1290,CalLookUpRow,0),MATCH(I$1,CalLookUpColumn,0))</f>
        <v>4</v>
      </c>
    </row>
    <row r="1291" spans="1:9" x14ac:dyDescent="0.25">
      <c r="A1291" s="7">
        <v>1</v>
      </c>
      <c r="B1291" s="8">
        <v>43788</v>
      </c>
      <c r="C1291" s="9" t="s">
        <v>4</v>
      </c>
      <c r="D1291" s="10">
        <v>3125.6749999999997</v>
      </c>
      <c r="E1291" s="10">
        <v>4740.0919999999996</v>
      </c>
      <c r="F1291" t="str">
        <f>VLOOKUP(A1291,StoreLookup,2,FALSE)</f>
        <v>Store#1</v>
      </c>
      <c r="G1291">
        <f>INDEX(CalLookUpTable,MATCH($B1291,CalLookUpRow,0),MATCH(G$1,CalLookUpColumn,0))</f>
        <v>2019</v>
      </c>
      <c r="H1291">
        <f>INDEX(CalLookUpTable,MATCH($B1291,CalLookUpRow,0),MATCH(H$1,CalLookUpColumn,0))</f>
        <v>11</v>
      </c>
      <c r="I1291">
        <f>INDEX(CalLookUpTable,MATCH($B1291,CalLookUpRow,0),MATCH(I$1,CalLookUpColumn,0))</f>
        <v>4</v>
      </c>
    </row>
    <row r="1292" spans="1:9" x14ac:dyDescent="0.25">
      <c r="A1292" s="7">
        <v>1</v>
      </c>
      <c r="B1292" s="8">
        <v>43788</v>
      </c>
      <c r="C1292" s="9" t="s">
        <v>5</v>
      </c>
      <c r="D1292" s="10">
        <v>2989.0839999999998</v>
      </c>
      <c r="E1292" s="10">
        <v>2863.3149999999996</v>
      </c>
      <c r="F1292" t="str">
        <f>VLOOKUP(A1292,StoreLookup,2,FALSE)</f>
        <v>Store#1</v>
      </c>
      <c r="G1292">
        <f>INDEX(CalLookUpTable,MATCH($B1292,CalLookUpRow,0),MATCH(G$1,CalLookUpColumn,0))</f>
        <v>2019</v>
      </c>
      <c r="H1292">
        <f>INDEX(CalLookUpTable,MATCH($B1292,CalLookUpRow,0),MATCH(H$1,CalLookUpColumn,0))</f>
        <v>11</v>
      </c>
      <c r="I1292">
        <f>INDEX(CalLookUpTable,MATCH($B1292,CalLookUpRow,0),MATCH(I$1,CalLookUpColumn,0))</f>
        <v>4</v>
      </c>
    </row>
    <row r="1293" spans="1:9" x14ac:dyDescent="0.25">
      <c r="A1293" s="7">
        <v>1</v>
      </c>
      <c r="B1293" s="8">
        <v>43788</v>
      </c>
      <c r="C1293" s="9" t="s">
        <v>6</v>
      </c>
      <c r="D1293" s="10">
        <v>1033.8440000000001</v>
      </c>
      <c r="E1293" s="10">
        <v>794.67499999999995</v>
      </c>
      <c r="F1293" t="str">
        <f>VLOOKUP(A1293,StoreLookup,2,FALSE)</f>
        <v>Store#1</v>
      </c>
      <c r="G1293">
        <f>INDEX(CalLookUpTable,MATCH($B1293,CalLookUpRow,0),MATCH(G$1,CalLookUpColumn,0))</f>
        <v>2019</v>
      </c>
      <c r="H1293">
        <f>INDEX(CalLookUpTable,MATCH($B1293,CalLookUpRow,0),MATCH(H$1,CalLookUpColumn,0))</f>
        <v>11</v>
      </c>
      <c r="I1293">
        <f>INDEX(CalLookUpTable,MATCH($B1293,CalLookUpRow,0),MATCH(I$1,CalLookUpColumn,0))</f>
        <v>4</v>
      </c>
    </row>
    <row r="1294" spans="1:9" x14ac:dyDescent="0.25">
      <c r="A1294" s="7">
        <v>1</v>
      </c>
      <c r="B1294" s="8">
        <v>43789</v>
      </c>
      <c r="C1294" s="9" t="s">
        <v>6</v>
      </c>
      <c r="D1294" s="10">
        <v>754.29899999999986</v>
      </c>
      <c r="E1294" s="10">
        <v>1188.8029999999999</v>
      </c>
      <c r="F1294" t="str">
        <f>VLOOKUP(A1294,StoreLookup,2,FALSE)</f>
        <v>Store#1</v>
      </c>
      <c r="G1294">
        <f>INDEX(CalLookUpTable,MATCH($B1294,CalLookUpRow,0),MATCH(G$1,CalLookUpColumn,0))</f>
        <v>2019</v>
      </c>
      <c r="H1294">
        <f>INDEX(CalLookUpTable,MATCH($B1294,CalLookUpRow,0),MATCH(H$1,CalLookUpColumn,0))</f>
        <v>11</v>
      </c>
      <c r="I1294">
        <f>INDEX(CalLookUpTable,MATCH($B1294,CalLookUpRow,0),MATCH(I$1,CalLookUpColumn,0))</f>
        <v>4</v>
      </c>
    </row>
    <row r="1295" spans="1:9" x14ac:dyDescent="0.25">
      <c r="A1295" s="7">
        <v>1</v>
      </c>
      <c r="B1295" s="8">
        <v>43789</v>
      </c>
      <c r="C1295" s="9" t="s">
        <v>4</v>
      </c>
      <c r="D1295" s="10">
        <v>4062.4009999999998</v>
      </c>
      <c r="E1295" s="10">
        <v>4206.3980000000001</v>
      </c>
      <c r="F1295" t="str">
        <f>VLOOKUP(A1295,StoreLookup,2,FALSE)</f>
        <v>Store#1</v>
      </c>
      <c r="G1295">
        <f>INDEX(CalLookUpTable,MATCH($B1295,CalLookUpRow,0),MATCH(G$1,CalLookUpColumn,0))</f>
        <v>2019</v>
      </c>
      <c r="H1295">
        <f>INDEX(CalLookUpTable,MATCH($B1295,CalLookUpRow,0),MATCH(H$1,CalLookUpColumn,0))</f>
        <v>11</v>
      </c>
      <c r="I1295">
        <f>INDEX(CalLookUpTable,MATCH($B1295,CalLookUpRow,0),MATCH(I$1,CalLookUpColumn,0))</f>
        <v>4</v>
      </c>
    </row>
    <row r="1296" spans="1:9" x14ac:dyDescent="0.25">
      <c r="A1296" s="7">
        <v>1</v>
      </c>
      <c r="B1296" s="8">
        <v>43789</v>
      </c>
      <c r="C1296" s="9" t="s">
        <v>3</v>
      </c>
      <c r="D1296" s="10">
        <v>0</v>
      </c>
      <c r="E1296" s="10">
        <v>0</v>
      </c>
      <c r="F1296" t="str">
        <f>VLOOKUP(A1296,StoreLookup,2,FALSE)</f>
        <v>Store#1</v>
      </c>
      <c r="G1296">
        <f>INDEX(CalLookUpTable,MATCH($B1296,CalLookUpRow,0),MATCH(G$1,CalLookUpColumn,0))</f>
        <v>2019</v>
      </c>
      <c r="H1296">
        <f>INDEX(CalLookUpTable,MATCH($B1296,CalLookUpRow,0),MATCH(H$1,CalLookUpColumn,0))</f>
        <v>11</v>
      </c>
      <c r="I1296">
        <f>INDEX(CalLookUpTable,MATCH($B1296,CalLookUpRow,0),MATCH(I$1,CalLookUpColumn,0))</f>
        <v>4</v>
      </c>
    </row>
    <row r="1297" spans="1:9" x14ac:dyDescent="0.25">
      <c r="A1297" s="7">
        <v>1</v>
      </c>
      <c r="B1297" s="8">
        <v>43789</v>
      </c>
      <c r="C1297" s="9" t="s">
        <v>5</v>
      </c>
      <c r="D1297" s="10">
        <v>3377.241</v>
      </c>
      <c r="E1297" s="10">
        <v>2635.7589999999996</v>
      </c>
      <c r="F1297" t="str">
        <f>VLOOKUP(A1297,StoreLookup,2,FALSE)</f>
        <v>Store#1</v>
      </c>
      <c r="G1297">
        <f>INDEX(CalLookUpTable,MATCH($B1297,CalLookUpRow,0),MATCH(G$1,CalLookUpColumn,0))</f>
        <v>2019</v>
      </c>
      <c r="H1297">
        <f>INDEX(CalLookUpTable,MATCH($B1297,CalLookUpRow,0),MATCH(H$1,CalLookUpColumn,0))</f>
        <v>11</v>
      </c>
      <c r="I1297">
        <f>INDEX(CalLookUpTable,MATCH($B1297,CalLookUpRow,0),MATCH(I$1,CalLookUpColumn,0))</f>
        <v>4</v>
      </c>
    </row>
    <row r="1298" spans="1:9" x14ac:dyDescent="0.25">
      <c r="A1298" s="7">
        <v>1</v>
      </c>
      <c r="B1298" s="8">
        <v>43790</v>
      </c>
      <c r="C1298" s="9" t="s">
        <v>4</v>
      </c>
      <c r="D1298" s="10">
        <v>3536.029</v>
      </c>
      <c r="E1298" s="10">
        <v>0</v>
      </c>
      <c r="F1298" t="str">
        <f>VLOOKUP(A1298,StoreLookup,2,FALSE)</f>
        <v>Store#1</v>
      </c>
      <c r="G1298">
        <f>INDEX(CalLookUpTable,MATCH($B1298,CalLookUpRow,0),MATCH(G$1,CalLookUpColumn,0))</f>
        <v>2019</v>
      </c>
      <c r="H1298">
        <f>INDEX(CalLookUpTable,MATCH($B1298,CalLookUpRow,0),MATCH(H$1,CalLookUpColumn,0))</f>
        <v>11</v>
      </c>
      <c r="I1298">
        <f>INDEX(CalLookUpTable,MATCH($B1298,CalLookUpRow,0),MATCH(I$1,CalLookUpColumn,0))</f>
        <v>4</v>
      </c>
    </row>
    <row r="1299" spans="1:9" x14ac:dyDescent="0.25">
      <c r="A1299" s="7">
        <v>1</v>
      </c>
      <c r="B1299" s="8">
        <v>43790</v>
      </c>
      <c r="C1299" s="9" t="s">
        <v>3</v>
      </c>
      <c r="D1299" s="10">
        <v>10.002999999999998</v>
      </c>
      <c r="E1299" s="10">
        <v>0</v>
      </c>
      <c r="F1299" t="str">
        <f>VLOOKUP(A1299,StoreLookup,2,FALSE)</f>
        <v>Store#1</v>
      </c>
      <c r="G1299">
        <f>INDEX(CalLookUpTable,MATCH($B1299,CalLookUpRow,0),MATCH(G$1,CalLookUpColumn,0))</f>
        <v>2019</v>
      </c>
      <c r="H1299">
        <f>INDEX(CalLookUpTable,MATCH($B1299,CalLookUpRow,0),MATCH(H$1,CalLookUpColumn,0))</f>
        <v>11</v>
      </c>
      <c r="I1299">
        <f>INDEX(CalLookUpTable,MATCH($B1299,CalLookUpRow,0),MATCH(I$1,CalLookUpColumn,0))</f>
        <v>4</v>
      </c>
    </row>
    <row r="1300" spans="1:9" x14ac:dyDescent="0.25">
      <c r="A1300" s="7">
        <v>1</v>
      </c>
      <c r="B1300" s="8">
        <v>43790</v>
      </c>
      <c r="C1300" s="9" t="s">
        <v>6</v>
      </c>
      <c r="D1300" s="10">
        <v>840.21699999999987</v>
      </c>
      <c r="E1300" s="10">
        <v>0</v>
      </c>
      <c r="F1300" t="str">
        <f>VLOOKUP(A1300,StoreLookup,2,FALSE)</f>
        <v>Store#1</v>
      </c>
      <c r="G1300">
        <f>INDEX(CalLookUpTable,MATCH($B1300,CalLookUpRow,0),MATCH(G$1,CalLookUpColumn,0))</f>
        <v>2019</v>
      </c>
      <c r="H1300">
        <f>INDEX(CalLookUpTable,MATCH($B1300,CalLookUpRow,0),MATCH(H$1,CalLookUpColumn,0))</f>
        <v>11</v>
      </c>
      <c r="I1300">
        <f>INDEX(CalLookUpTable,MATCH($B1300,CalLookUpRow,0),MATCH(I$1,CalLookUpColumn,0))</f>
        <v>4</v>
      </c>
    </row>
    <row r="1301" spans="1:9" x14ac:dyDescent="0.25">
      <c r="A1301" s="7">
        <v>1</v>
      </c>
      <c r="B1301" s="8">
        <v>43790</v>
      </c>
      <c r="C1301" s="9" t="s">
        <v>5</v>
      </c>
      <c r="D1301" s="10">
        <v>3407.1589999999997</v>
      </c>
      <c r="E1301" s="10">
        <v>0</v>
      </c>
      <c r="F1301" t="str">
        <f>VLOOKUP(A1301,StoreLookup,2,FALSE)</f>
        <v>Store#1</v>
      </c>
      <c r="G1301">
        <f>INDEX(CalLookUpTable,MATCH($B1301,CalLookUpRow,0),MATCH(G$1,CalLookUpColumn,0))</f>
        <v>2019</v>
      </c>
      <c r="H1301">
        <f>INDEX(CalLookUpTable,MATCH($B1301,CalLookUpRow,0),MATCH(H$1,CalLookUpColumn,0))</f>
        <v>11</v>
      </c>
      <c r="I1301">
        <f>INDEX(CalLookUpTable,MATCH($B1301,CalLookUpRow,0),MATCH(I$1,CalLookUpColumn,0))</f>
        <v>4</v>
      </c>
    </row>
    <row r="1302" spans="1:9" x14ac:dyDescent="0.25">
      <c r="A1302" s="7">
        <v>1</v>
      </c>
      <c r="B1302" s="8">
        <v>43791</v>
      </c>
      <c r="C1302" s="9" t="s">
        <v>6</v>
      </c>
      <c r="D1302" s="10">
        <v>844.29100000000005</v>
      </c>
      <c r="E1302" s="10">
        <v>699.31399999999996</v>
      </c>
      <c r="F1302" t="str">
        <f>VLOOKUP(A1302,StoreLookup,2,FALSE)</f>
        <v>Store#1</v>
      </c>
      <c r="G1302">
        <f>INDEX(CalLookUpTable,MATCH($B1302,CalLookUpRow,0),MATCH(G$1,CalLookUpColumn,0))</f>
        <v>2019</v>
      </c>
      <c r="H1302">
        <f>INDEX(CalLookUpTable,MATCH($B1302,CalLookUpRow,0),MATCH(H$1,CalLookUpColumn,0))</f>
        <v>11</v>
      </c>
      <c r="I1302">
        <f>INDEX(CalLookUpTable,MATCH($B1302,CalLookUpRow,0),MATCH(I$1,CalLookUpColumn,0))</f>
        <v>4</v>
      </c>
    </row>
    <row r="1303" spans="1:9" x14ac:dyDescent="0.25">
      <c r="A1303" s="7">
        <v>1</v>
      </c>
      <c r="B1303" s="8">
        <v>43791</v>
      </c>
      <c r="C1303" s="9" t="s">
        <v>4</v>
      </c>
      <c r="D1303" s="10">
        <v>4730.348</v>
      </c>
      <c r="E1303" s="10">
        <v>4398.1769999999997</v>
      </c>
      <c r="F1303" t="str">
        <f>VLOOKUP(A1303,StoreLookup,2,FALSE)</f>
        <v>Store#1</v>
      </c>
      <c r="G1303">
        <f>INDEX(CalLookUpTable,MATCH($B1303,CalLookUpRow,0),MATCH(G$1,CalLookUpColumn,0))</f>
        <v>2019</v>
      </c>
      <c r="H1303">
        <f>INDEX(CalLookUpTable,MATCH($B1303,CalLookUpRow,0),MATCH(H$1,CalLookUpColumn,0))</f>
        <v>11</v>
      </c>
      <c r="I1303">
        <f>INDEX(CalLookUpTable,MATCH($B1303,CalLookUpRow,0),MATCH(I$1,CalLookUpColumn,0))</f>
        <v>4</v>
      </c>
    </row>
    <row r="1304" spans="1:9" x14ac:dyDescent="0.25">
      <c r="A1304" s="7">
        <v>1</v>
      </c>
      <c r="B1304" s="8">
        <v>43791</v>
      </c>
      <c r="C1304" s="9" t="s">
        <v>5</v>
      </c>
      <c r="D1304" s="10">
        <v>4015.6899999999996</v>
      </c>
      <c r="E1304" s="10">
        <v>2239.8179999999998</v>
      </c>
      <c r="F1304" t="str">
        <f>VLOOKUP(A1304,StoreLookup,2,FALSE)</f>
        <v>Store#1</v>
      </c>
      <c r="G1304">
        <f>INDEX(CalLookUpTable,MATCH($B1304,CalLookUpRow,0),MATCH(G$1,CalLookUpColumn,0))</f>
        <v>2019</v>
      </c>
      <c r="H1304">
        <f>INDEX(CalLookUpTable,MATCH($B1304,CalLookUpRow,0),MATCH(H$1,CalLookUpColumn,0))</f>
        <v>11</v>
      </c>
      <c r="I1304">
        <f>INDEX(CalLookUpTable,MATCH($B1304,CalLookUpRow,0),MATCH(I$1,CalLookUpColumn,0))</f>
        <v>4</v>
      </c>
    </row>
    <row r="1305" spans="1:9" x14ac:dyDescent="0.25">
      <c r="A1305" s="7">
        <v>1</v>
      </c>
      <c r="B1305" s="8">
        <v>43791</v>
      </c>
      <c r="C1305" s="9" t="s">
        <v>3</v>
      </c>
      <c r="D1305" s="10">
        <v>426.22299999999996</v>
      </c>
      <c r="E1305" s="10">
        <v>0</v>
      </c>
      <c r="F1305" t="str">
        <f>VLOOKUP(A1305,StoreLookup,2,FALSE)</f>
        <v>Store#1</v>
      </c>
      <c r="G1305">
        <f>INDEX(CalLookUpTable,MATCH($B1305,CalLookUpRow,0),MATCH(G$1,CalLookUpColumn,0))</f>
        <v>2019</v>
      </c>
      <c r="H1305">
        <f>INDEX(CalLookUpTable,MATCH($B1305,CalLookUpRow,0),MATCH(H$1,CalLookUpColumn,0))</f>
        <v>11</v>
      </c>
      <c r="I1305">
        <f>INDEX(CalLookUpTable,MATCH($B1305,CalLookUpRow,0),MATCH(I$1,CalLookUpColumn,0))</f>
        <v>4</v>
      </c>
    </row>
    <row r="1306" spans="1:9" x14ac:dyDescent="0.25">
      <c r="A1306" s="7">
        <v>1</v>
      </c>
      <c r="B1306" s="8">
        <v>43792</v>
      </c>
      <c r="C1306" s="9" t="s">
        <v>6</v>
      </c>
      <c r="D1306" s="10">
        <v>1230.1239999999998</v>
      </c>
      <c r="E1306" s="10">
        <v>496.32799999999992</v>
      </c>
      <c r="F1306" t="str">
        <f>VLOOKUP(A1306,StoreLookup,2,FALSE)</f>
        <v>Store#1</v>
      </c>
      <c r="G1306">
        <f>INDEX(CalLookUpTable,MATCH($B1306,CalLookUpRow,0),MATCH(G$1,CalLookUpColumn,0))</f>
        <v>2019</v>
      </c>
      <c r="H1306">
        <f>INDEX(CalLookUpTable,MATCH($B1306,CalLookUpRow,0),MATCH(H$1,CalLookUpColumn,0))</f>
        <v>11</v>
      </c>
      <c r="I1306">
        <f>INDEX(CalLookUpTable,MATCH($B1306,CalLookUpRow,0),MATCH(I$1,CalLookUpColumn,0))</f>
        <v>4</v>
      </c>
    </row>
    <row r="1307" spans="1:9" x14ac:dyDescent="0.25">
      <c r="A1307" s="7">
        <v>1</v>
      </c>
      <c r="B1307" s="8">
        <v>43792</v>
      </c>
      <c r="C1307" s="9" t="s">
        <v>3</v>
      </c>
      <c r="D1307" s="10">
        <v>167.85999999999999</v>
      </c>
      <c r="E1307" s="10">
        <v>0</v>
      </c>
      <c r="F1307" t="str">
        <f>VLOOKUP(A1307,StoreLookup,2,FALSE)</f>
        <v>Store#1</v>
      </c>
      <c r="G1307">
        <f>INDEX(CalLookUpTable,MATCH($B1307,CalLookUpRow,0),MATCH(G$1,CalLookUpColumn,0))</f>
        <v>2019</v>
      </c>
      <c r="H1307">
        <f>INDEX(CalLookUpTable,MATCH($B1307,CalLookUpRow,0),MATCH(H$1,CalLookUpColumn,0))</f>
        <v>11</v>
      </c>
      <c r="I1307">
        <f>INDEX(CalLookUpTable,MATCH($B1307,CalLookUpRow,0),MATCH(I$1,CalLookUpColumn,0))</f>
        <v>4</v>
      </c>
    </row>
    <row r="1308" spans="1:9" x14ac:dyDescent="0.25">
      <c r="A1308" s="7">
        <v>1</v>
      </c>
      <c r="B1308" s="8">
        <v>43792</v>
      </c>
      <c r="C1308" s="9" t="s">
        <v>4</v>
      </c>
      <c r="D1308" s="10">
        <v>4847.8639999999996</v>
      </c>
      <c r="E1308" s="10">
        <v>4103.3089999999993</v>
      </c>
      <c r="F1308" t="str">
        <f>VLOOKUP(A1308,StoreLookup,2,FALSE)</f>
        <v>Store#1</v>
      </c>
      <c r="G1308">
        <f>INDEX(CalLookUpTable,MATCH($B1308,CalLookUpRow,0),MATCH(G$1,CalLookUpColumn,0))</f>
        <v>2019</v>
      </c>
      <c r="H1308">
        <f>INDEX(CalLookUpTable,MATCH($B1308,CalLookUpRow,0),MATCH(H$1,CalLookUpColumn,0))</f>
        <v>11</v>
      </c>
      <c r="I1308">
        <f>INDEX(CalLookUpTable,MATCH($B1308,CalLookUpRow,0),MATCH(I$1,CalLookUpColumn,0))</f>
        <v>4</v>
      </c>
    </row>
    <row r="1309" spans="1:9" x14ac:dyDescent="0.25">
      <c r="A1309" s="7">
        <v>1</v>
      </c>
      <c r="B1309" s="8">
        <v>43792</v>
      </c>
      <c r="C1309" s="9" t="s">
        <v>5</v>
      </c>
      <c r="D1309" s="10">
        <v>3023.3839999999996</v>
      </c>
      <c r="E1309" s="10">
        <v>2458.5329999999999</v>
      </c>
      <c r="F1309" t="str">
        <f>VLOOKUP(A1309,StoreLookup,2,FALSE)</f>
        <v>Store#1</v>
      </c>
      <c r="G1309">
        <f>INDEX(CalLookUpTable,MATCH($B1309,CalLookUpRow,0),MATCH(G$1,CalLookUpColumn,0))</f>
        <v>2019</v>
      </c>
      <c r="H1309">
        <f>INDEX(CalLookUpTable,MATCH($B1309,CalLookUpRow,0),MATCH(H$1,CalLookUpColumn,0))</f>
        <v>11</v>
      </c>
      <c r="I1309">
        <f>INDEX(CalLookUpTable,MATCH($B1309,CalLookUpRow,0),MATCH(I$1,CalLookUpColumn,0))</f>
        <v>4</v>
      </c>
    </row>
    <row r="1310" spans="1:9" x14ac:dyDescent="0.25">
      <c r="A1310" s="7">
        <v>1</v>
      </c>
      <c r="B1310" s="8">
        <v>43793</v>
      </c>
      <c r="C1310" s="9" t="s">
        <v>6</v>
      </c>
      <c r="D1310" s="10">
        <v>408.61799999999999</v>
      </c>
      <c r="E1310" s="10">
        <v>313.13799999999998</v>
      </c>
      <c r="F1310" t="str">
        <f>VLOOKUP(A1310,StoreLookup,2,FALSE)</f>
        <v>Store#1</v>
      </c>
      <c r="G1310">
        <f>INDEX(CalLookUpTable,MATCH($B1310,CalLookUpRow,0),MATCH(G$1,CalLookUpColumn,0))</f>
        <v>2019</v>
      </c>
      <c r="H1310">
        <f>INDEX(CalLookUpTable,MATCH($B1310,CalLookUpRow,0),MATCH(H$1,CalLookUpColumn,0))</f>
        <v>11</v>
      </c>
      <c r="I1310">
        <f>INDEX(CalLookUpTable,MATCH($B1310,CalLookUpRow,0),MATCH(I$1,CalLookUpColumn,0))</f>
        <v>4</v>
      </c>
    </row>
    <row r="1311" spans="1:9" x14ac:dyDescent="0.25">
      <c r="A1311" s="7">
        <v>1</v>
      </c>
      <c r="B1311" s="8">
        <v>43793</v>
      </c>
      <c r="C1311" s="9" t="s">
        <v>5</v>
      </c>
      <c r="D1311" s="10">
        <v>1987.7969999999998</v>
      </c>
      <c r="E1311" s="10">
        <v>1819.6639999999998</v>
      </c>
      <c r="F1311" t="str">
        <f>VLOOKUP(A1311,StoreLookup,2,FALSE)</f>
        <v>Store#1</v>
      </c>
      <c r="G1311">
        <f>INDEX(CalLookUpTable,MATCH($B1311,CalLookUpRow,0),MATCH(G$1,CalLookUpColumn,0))</f>
        <v>2019</v>
      </c>
      <c r="H1311">
        <f>INDEX(CalLookUpTable,MATCH($B1311,CalLookUpRow,0),MATCH(H$1,CalLookUpColumn,0))</f>
        <v>11</v>
      </c>
      <c r="I1311">
        <f>INDEX(CalLookUpTable,MATCH($B1311,CalLookUpRow,0),MATCH(I$1,CalLookUpColumn,0))</f>
        <v>4</v>
      </c>
    </row>
    <row r="1312" spans="1:9" x14ac:dyDescent="0.25">
      <c r="A1312" s="7">
        <v>1</v>
      </c>
      <c r="B1312" s="8">
        <v>43793</v>
      </c>
      <c r="C1312" s="9" t="s">
        <v>4</v>
      </c>
      <c r="D1312" s="10">
        <v>2202.9070000000002</v>
      </c>
      <c r="E1312" s="10">
        <v>2267.433</v>
      </c>
      <c r="F1312" t="str">
        <f>VLOOKUP(A1312,StoreLookup,2,FALSE)</f>
        <v>Store#1</v>
      </c>
      <c r="G1312">
        <f>INDEX(CalLookUpTable,MATCH($B1312,CalLookUpRow,0),MATCH(G$1,CalLookUpColumn,0))</f>
        <v>2019</v>
      </c>
      <c r="H1312">
        <f>INDEX(CalLookUpTable,MATCH($B1312,CalLookUpRow,0),MATCH(H$1,CalLookUpColumn,0))</f>
        <v>11</v>
      </c>
      <c r="I1312">
        <f>INDEX(CalLookUpTable,MATCH($B1312,CalLookUpRow,0),MATCH(I$1,CalLookUpColumn,0))</f>
        <v>4</v>
      </c>
    </row>
    <row r="1313" spans="1:9" x14ac:dyDescent="0.25">
      <c r="A1313" s="7">
        <v>1</v>
      </c>
      <c r="B1313" s="8">
        <v>43793</v>
      </c>
      <c r="C1313" s="9" t="s">
        <v>3</v>
      </c>
      <c r="D1313" s="10">
        <v>0</v>
      </c>
      <c r="E1313" s="10">
        <v>26.781999999999996</v>
      </c>
      <c r="F1313" t="str">
        <f>VLOOKUP(A1313,StoreLookup,2,FALSE)</f>
        <v>Store#1</v>
      </c>
      <c r="G1313">
        <f>INDEX(CalLookUpTable,MATCH($B1313,CalLookUpRow,0),MATCH(G$1,CalLookUpColumn,0))</f>
        <v>2019</v>
      </c>
      <c r="H1313">
        <f>INDEX(CalLookUpTable,MATCH($B1313,CalLookUpRow,0),MATCH(H$1,CalLookUpColumn,0))</f>
        <v>11</v>
      </c>
      <c r="I1313">
        <f>INDEX(CalLookUpTable,MATCH($B1313,CalLookUpRow,0),MATCH(I$1,CalLookUpColumn,0))</f>
        <v>4</v>
      </c>
    </row>
    <row r="1314" spans="1:9" x14ac:dyDescent="0.25">
      <c r="A1314" s="7">
        <v>1</v>
      </c>
      <c r="B1314" s="8">
        <v>43794</v>
      </c>
      <c r="C1314" s="9" t="s">
        <v>3</v>
      </c>
      <c r="D1314" s="10">
        <v>34.125</v>
      </c>
      <c r="E1314" s="10">
        <v>384.65</v>
      </c>
      <c r="F1314" t="str">
        <f>VLOOKUP(A1314,StoreLookup,2,FALSE)</f>
        <v>Store#1</v>
      </c>
      <c r="G1314">
        <f>INDEX(CalLookUpTable,MATCH($B1314,CalLookUpRow,0),MATCH(G$1,CalLookUpColumn,0))</f>
        <v>2019</v>
      </c>
      <c r="H1314">
        <f>INDEX(CalLookUpTable,MATCH($B1314,CalLookUpRow,0),MATCH(H$1,CalLookUpColumn,0))</f>
        <v>12</v>
      </c>
      <c r="I1314">
        <f>INDEX(CalLookUpTable,MATCH($B1314,CalLookUpRow,0),MATCH(I$1,CalLookUpColumn,0))</f>
        <v>1</v>
      </c>
    </row>
    <row r="1315" spans="1:9" x14ac:dyDescent="0.25">
      <c r="A1315" s="7">
        <v>1</v>
      </c>
      <c r="B1315" s="8">
        <v>43794</v>
      </c>
      <c r="C1315" s="9" t="s">
        <v>5</v>
      </c>
      <c r="D1315" s="10">
        <v>3096.4009999999998</v>
      </c>
      <c r="E1315" s="10">
        <v>2607.5279999999998</v>
      </c>
      <c r="F1315" t="str">
        <f>VLOOKUP(A1315,StoreLookup,2,FALSE)</f>
        <v>Store#1</v>
      </c>
      <c r="G1315">
        <f>INDEX(CalLookUpTable,MATCH($B1315,CalLookUpRow,0),MATCH(G$1,CalLookUpColumn,0))</f>
        <v>2019</v>
      </c>
      <c r="H1315">
        <f>INDEX(CalLookUpTable,MATCH($B1315,CalLookUpRow,0),MATCH(H$1,CalLookUpColumn,0))</f>
        <v>12</v>
      </c>
      <c r="I1315">
        <f>INDEX(CalLookUpTable,MATCH($B1315,CalLookUpRow,0),MATCH(I$1,CalLookUpColumn,0))</f>
        <v>1</v>
      </c>
    </row>
    <row r="1316" spans="1:9" x14ac:dyDescent="0.25">
      <c r="A1316" s="7">
        <v>1</v>
      </c>
      <c r="B1316" s="8">
        <v>43794</v>
      </c>
      <c r="C1316" s="9" t="s">
        <v>4</v>
      </c>
      <c r="D1316" s="10">
        <v>3541.692</v>
      </c>
      <c r="E1316" s="10">
        <v>3802.7779999999998</v>
      </c>
      <c r="F1316" t="str">
        <f>VLOOKUP(A1316,StoreLookup,2,FALSE)</f>
        <v>Store#1</v>
      </c>
      <c r="G1316">
        <f>INDEX(CalLookUpTable,MATCH($B1316,CalLookUpRow,0),MATCH(G$1,CalLookUpColumn,0))</f>
        <v>2019</v>
      </c>
      <c r="H1316">
        <f>INDEX(CalLookUpTable,MATCH($B1316,CalLookUpRow,0),MATCH(H$1,CalLookUpColumn,0))</f>
        <v>12</v>
      </c>
      <c r="I1316">
        <f>INDEX(CalLookUpTable,MATCH($B1316,CalLookUpRow,0),MATCH(I$1,CalLookUpColumn,0))</f>
        <v>1</v>
      </c>
    </row>
    <row r="1317" spans="1:9" x14ac:dyDescent="0.25">
      <c r="A1317" s="7">
        <v>1</v>
      </c>
      <c r="B1317" s="8">
        <v>43794</v>
      </c>
      <c r="C1317" s="9" t="s">
        <v>6</v>
      </c>
      <c r="D1317" s="10">
        <v>898.35199999999986</v>
      </c>
      <c r="E1317" s="10">
        <v>1030.8059999999998</v>
      </c>
      <c r="F1317" t="str">
        <f>VLOOKUP(A1317,StoreLookup,2,FALSE)</f>
        <v>Store#1</v>
      </c>
      <c r="G1317">
        <f>INDEX(CalLookUpTable,MATCH($B1317,CalLookUpRow,0),MATCH(G$1,CalLookUpColumn,0))</f>
        <v>2019</v>
      </c>
      <c r="H1317">
        <f>INDEX(CalLookUpTable,MATCH($B1317,CalLookUpRow,0),MATCH(H$1,CalLookUpColumn,0))</f>
        <v>12</v>
      </c>
      <c r="I1317">
        <f>INDEX(CalLookUpTable,MATCH($B1317,CalLookUpRow,0),MATCH(I$1,CalLookUpColumn,0))</f>
        <v>1</v>
      </c>
    </row>
    <row r="1318" spans="1:9" x14ac:dyDescent="0.25">
      <c r="A1318" s="7">
        <v>1</v>
      </c>
      <c r="B1318" s="8">
        <v>43795</v>
      </c>
      <c r="C1318" s="9" t="s">
        <v>6</v>
      </c>
      <c r="D1318" s="10">
        <v>798.51099999999997</v>
      </c>
      <c r="E1318" s="10">
        <v>1013.9919999999998</v>
      </c>
      <c r="F1318" t="str">
        <f>VLOOKUP(A1318,StoreLookup,2,FALSE)</f>
        <v>Store#1</v>
      </c>
      <c r="G1318">
        <f>INDEX(CalLookUpTable,MATCH($B1318,CalLookUpRow,0),MATCH(G$1,CalLookUpColumn,0))</f>
        <v>2019</v>
      </c>
      <c r="H1318">
        <f>INDEX(CalLookUpTable,MATCH($B1318,CalLookUpRow,0),MATCH(H$1,CalLookUpColumn,0))</f>
        <v>12</v>
      </c>
      <c r="I1318">
        <f>INDEX(CalLookUpTable,MATCH($B1318,CalLookUpRow,0),MATCH(I$1,CalLookUpColumn,0))</f>
        <v>1</v>
      </c>
    </row>
    <row r="1319" spans="1:9" x14ac:dyDescent="0.25">
      <c r="A1319" s="7">
        <v>1</v>
      </c>
      <c r="B1319" s="8">
        <v>43795</v>
      </c>
      <c r="C1319" s="9" t="s">
        <v>4</v>
      </c>
      <c r="D1319" s="10">
        <v>3847.2069999999999</v>
      </c>
      <c r="E1319" s="10">
        <v>3751.4259999999999</v>
      </c>
      <c r="F1319" t="str">
        <f>VLOOKUP(A1319,StoreLookup,2,FALSE)</f>
        <v>Store#1</v>
      </c>
      <c r="G1319">
        <f>INDEX(CalLookUpTable,MATCH($B1319,CalLookUpRow,0),MATCH(G$1,CalLookUpColumn,0))</f>
        <v>2019</v>
      </c>
      <c r="H1319">
        <f>INDEX(CalLookUpTable,MATCH($B1319,CalLookUpRow,0),MATCH(H$1,CalLookUpColumn,0))</f>
        <v>12</v>
      </c>
      <c r="I1319">
        <f>INDEX(CalLookUpTable,MATCH($B1319,CalLookUpRow,0),MATCH(I$1,CalLookUpColumn,0))</f>
        <v>1</v>
      </c>
    </row>
    <row r="1320" spans="1:9" x14ac:dyDescent="0.25">
      <c r="A1320" s="7">
        <v>1</v>
      </c>
      <c r="B1320" s="8">
        <v>43795</v>
      </c>
      <c r="C1320" s="9" t="s">
        <v>3</v>
      </c>
      <c r="D1320" s="10">
        <v>281.50499999999994</v>
      </c>
      <c r="E1320" s="10">
        <v>116.96299999999999</v>
      </c>
      <c r="F1320" t="str">
        <f>VLOOKUP(A1320,StoreLookup,2,FALSE)</f>
        <v>Store#1</v>
      </c>
      <c r="G1320">
        <f>INDEX(CalLookUpTable,MATCH($B1320,CalLookUpRow,0),MATCH(G$1,CalLookUpColumn,0))</f>
        <v>2019</v>
      </c>
      <c r="H1320">
        <f>INDEX(CalLookUpTable,MATCH($B1320,CalLookUpRow,0),MATCH(H$1,CalLookUpColumn,0))</f>
        <v>12</v>
      </c>
      <c r="I1320">
        <f>INDEX(CalLookUpTable,MATCH($B1320,CalLookUpRow,0),MATCH(I$1,CalLookUpColumn,0))</f>
        <v>1</v>
      </c>
    </row>
    <row r="1321" spans="1:9" x14ac:dyDescent="0.25">
      <c r="A1321" s="7">
        <v>1</v>
      </c>
      <c r="B1321" s="8">
        <v>43795</v>
      </c>
      <c r="C1321" s="9" t="s">
        <v>5</v>
      </c>
      <c r="D1321" s="10">
        <v>2867.011</v>
      </c>
      <c r="E1321" s="10">
        <v>2529.6109999999999</v>
      </c>
      <c r="F1321" t="str">
        <f>VLOOKUP(A1321,StoreLookup,2,FALSE)</f>
        <v>Store#1</v>
      </c>
      <c r="G1321">
        <f>INDEX(CalLookUpTable,MATCH($B1321,CalLookUpRow,0),MATCH(G$1,CalLookUpColumn,0))</f>
        <v>2019</v>
      </c>
      <c r="H1321">
        <f>INDEX(CalLookUpTable,MATCH($B1321,CalLookUpRow,0),MATCH(H$1,CalLookUpColumn,0))</f>
        <v>12</v>
      </c>
      <c r="I1321">
        <f>INDEX(CalLookUpTable,MATCH($B1321,CalLookUpRow,0),MATCH(I$1,CalLookUpColumn,0))</f>
        <v>1</v>
      </c>
    </row>
    <row r="1322" spans="1:9" x14ac:dyDescent="0.25">
      <c r="A1322" s="7">
        <v>1</v>
      </c>
      <c r="B1322" s="8">
        <v>43796</v>
      </c>
      <c r="C1322" s="9" t="s">
        <v>4</v>
      </c>
      <c r="D1322" s="10">
        <v>3221.3999999999996</v>
      </c>
      <c r="E1322" s="10">
        <v>3804.2969999999996</v>
      </c>
      <c r="F1322" t="str">
        <f>VLOOKUP(A1322,StoreLookup,2,FALSE)</f>
        <v>Store#1</v>
      </c>
      <c r="G1322">
        <f>INDEX(CalLookUpTable,MATCH($B1322,CalLookUpRow,0),MATCH(G$1,CalLookUpColumn,0))</f>
        <v>2019</v>
      </c>
      <c r="H1322">
        <f>INDEX(CalLookUpTable,MATCH($B1322,CalLookUpRow,0),MATCH(H$1,CalLookUpColumn,0))</f>
        <v>12</v>
      </c>
      <c r="I1322">
        <f>INDEX(CalLookUpTable,MATCH($B1322,CalLookUpRow,0),MATCH(I$1,CalLookUpColumn,0))</f>
        <v>1</v>
      </c>
    </row>
    <row r="1323" spans="1:9" x14ac:dyDescent="0.25">
      <c r="A1323" s="7">
        <v>1</v>
      </c>
      <c r="B1323" s="8">
        <v>43796</v>
      </c>
      <c r="C1323" s="9" t="s">
        <v>6</v>
      </c>
      <c r="D1323" s="10">
        <v>1129.6599999999999</v>
      </c>
      <c r="E1323" s="10">
        <v>471.63199999999995</v>
      </c>
      <c r="F1323" t="str">
        <f>VLOOKUP(A1323,StoreLookup,2,FALSE)</f>
        <v>Store#1</v>
      </c>
      <c r="G1323">
        <f>INDEX(CalLookUpTable,MATCH($B1323,CalLookUpRow,0),MATCH(G$1,CalLookUpColumn,0))</f>
        <v>2019</v>
      </c>
      <c r="H1323">
        <f>INDEX(CalLookUpTable,MATCH($B1323,CalLookUpRow,0),MATCH(H$1,CalLookUpColumn,0))</f>
        <v>12</v>
      </c>
      <c r="I1323">
        <f>INDEX(CalLookUpTable,MATCH($B1323,CalLookUpRow,0),MATCH(I$1,CalLookUpColumn,0))</f>
        <v>1</v>
      </c>
    </row>
    <row r="1324" spans="1:9" x14ac:dyDescent="0.25">
      <c r="A1324" s="7">
        <v>1</v>
      </c>
      <c r="B1324" s="8">
        <v>43796</v>
      </c>
      <c r="C1324" s="9" t="s">
        <v>5</v>
      </c>
      <c r="D1324" s="10">
        <v>2780.9039999999995</v>
      </c>
      <c r="E1324" s="10">
        <v>2734.4309999999996</v>
      </c>
      <c r="F1324" t="str">
        <f>VLOOKUP(A1324,StoreLookup,2,FALSE)</f>
        <v>Store#1</v>
      </c>
      <c r="G1324">
        <f>INDEX(CalLookUpTable,MATCH($B1324,CalLookUpRow,0),MATCH(G$1,CalLookUpColumn,0))</f>
        <v>2019</v>
      </c>
      <c r="H1324">
        <f>INDEX(CalLookUpTable,MATCH($B1324,CalLookUpRow,0),MATCH(H$1,CalLookUpColumn,0))</f>
        <v>12</v>
      </c>
      <c r="I1324">
        <f>INDEX(CalLookUpTable,MATCH($B1324,CalLookUpRow,0),MATCH(I$1,CalLookUpColumn,0))</f>
        <v>1</v>
      </c>
    </row>
    <row r="1325" spans="1:9" x14ac:dyDescent="0.25">
      <c r="A1325" s="7">
        <v>1</v>
      </c>
      <c r="B1325" s="8">
        <v>43796</v>
      </c>
      <c r="C1325" s="9" t="s">
        <v>3</v>
      </c>
      <c r="D1325" s="10">
        <v>359.97499999999997</v>
      </c>
      <c r="E1325" s="10">
        <v>0</v>
      </c>
      <c r="F1325" t="str">
        <f>VLOOKUP(A1325,StoreLookup,2,FALSE)</f>
        <v>Store#1</v>
      </c>
      <c r="G1325">
        <f>INDEX(CalLookUpTable,MATCH($B1325,CalLookUpRow,0),MATCH(G$1,CalLookUpColumn,0))</f>
        <v>2019</v>
      </c>
      <c r="H1325">
        <f>INDEX(CalLookUpTable,MATCH($B1325,CalLookUpRow,0),MATCH(H$1,CalLookUpColumn,0))</f>
        <v>12</v>
      </c>
      <c r="I1325">
        <f>INDEX(CalLookUpTable,MATCH($B1325,CalLookUpRow,0),MATCH(I$1,CalLookUpColumn,0))</f>
        <v>1</v>
      </c>
    </row>
    <row r="1326" spans="1:9" x14ac:dyDescent="0.25">
      <c r="A1326" s="7">
        <v>1</v>
      </c>
      <c r="B1326" s="8">
        <v>43797</v>
      </c>
      <c r="C1326" s="9" t="s">
        <v>4</v>
      </c>
      <c r="D1326" s="10">
        <v>0</v>
      </c>
      <c r="E1326" s="10">
        <v>4078.2839999999997</v>
      </c>
      <c r="F1326" t="str">
        <f>VLOOKUP(A1326,StoreLookup,2,FALSE)</f>
        <v>Store#1</v>
      </c>
      <c r="G1326">
        <f>INDEX(CalLookUpTable,MATCH($B1326,CalLookUpRow,0),MATCH(G$1,CalLookUpColumn,0))</f>
        <v>2019</v>
      </c>
      <c r="H1326">
        <f>INDEX(CalLookUpTable,MATCH($B1326,CalLookUpRow,0),MATCH(H$1,CalLookUpColumn,0))</f>
        <v>12</v>
      </c>
      <c r="I1326">
        <f>INDEX(CalLookUpTable,MATCH($B1326,CalLookUpRow,0),MATCH(I$1,CalLookUpColumn,0))</f>
        <v>1</v>
      </c>
    </row>
    <row r="1327" spans="1:9" x14ac:dyDescent="0.25">
      <c r="A1327" s="7">
        <v>1</v>
      </c>
      <c r="B1327" s="8">
        <v>43797</v>
      </c>
      <c r="C1327" s="9" t="s">
        <v>3</v>
      </c>
      <c r="D1327" s="10">
        <v>0</v>
      </c>
      <c r="E1327" s="10">
        <v>0</v>
      </c>
      <c r="F1327" t="str">
        <f>VLOOKUP(A1327,StoreLookup,2,FALSE)</f>
        <v>Store#1</v>
      </c>
      <c r="G1327">
        <f>INDEX(CalLookUpTable,MATCH($B1327,CalLookUpRow,0),MATCH(G$1,CalLookUpColumn,0))</f>
        <v>2019</v>
      </c>
      <c r="H1327">
        <f>INDEX(CalLookUpTable,MATCH($B1327,CalLookUpRow,0),MATCH(H$1,CalLookUpColumn,0))</f>
        <v>12</v>
      </c>
      <c r="I1327">
        <f>INDEX(CalLookUpTable,MATCH($B1327,CalLookUpRow,0),MATCH(I$1,CalLookUpColumn,0))</f>
        <v>1</v>
      </c>
    </row>
    <row r="1328" spans="1:9" x14ac:dyDescent="0.25">
      <c r="A1328" s="7">
        <v>1</v>
      </c>
      <c r="B1328" s="8">
        <v>43797</v>
      </c>
      <c r="C1328" s="9" t="s">
        <v>5</v>
      </c>
      <c r="D1328" s="10">
        <v>0</v>
      </c>
      <c r="E1328" s="10">
        <v>3138.7089999999998</v>
      </c>
      <c r="F1328" t="str">
        <f>VLOOKUP(A1328,StoreLookup,2,FALSE)</f>
        <v>Store#1</v>
      </c>
      <c r="G1328">
        <f>INDEX(CalLookUpTable,MATCH($B1328,CalLookUpRow,0),MATCH(G$1,CalLookUpColumn,0))</f>
        <v>2019</v>
      </c>
      <c r="H1328">
        <f>INDEX(CalLookUpTable,MATCH($B1328,CalLookUpRow,0),MATCH(H$1,CalLookUpColumn,0))</f>
        <v>12</v>
      </c>
      <c r="I1328">
        <f>INDEX(CalLookUpTable,MATCH($B1328,CalLookUpRow,0),MATCH(I$1,CalLookUpColumn,0))</f>
        <v>1</v>
      </c>
    </row>
    <row r="1329" spans="1:9" x14ac:dyDescent="0.25">
      <c r="A1329" s="7">
        <v>1</v>
      </c>
      <c r="B1329" s="8">
        <v>43797</v>
      </c>
      <c r="C1329" s="9" t="s">
        <v>6</v>
      </c>
      <c r="D1329" s="10">
        <v>0</v>
      </c>
      <c r="E1329" s="10">
        <v>604.77199999999993</v>
      </c>
      <c r="F1329" t="str">
        <f>VLOOKUP(A1329,StoreLookup,2,FALSE)</f>
        <v>Store#1</v>
      </c>
      <c r="G1329">
        <f>INDEX(CalLookUpTable,MATCH($B1329,CalLookUpRow,0),MATCH(G$1,CalLookUpColumn,0))</f>
        <v>2019</v>
      </c>
      <c r="H1329">
        <f>INDEX(CalLookUpTable,MATCH($B1329,CalLookUpRow,0),MATCH(H$1,CalLookUpColumn,0))</f>
        <v>12</v>
      </c>
      <c r="I1329">
        <f>INDEX(CalLookUpTable,MATCH($B1329,CalLookUpRow,0),MATCH(I$1,CalLookUpColumn,0))</f>
        <v>1</v>
      </c>
    </row>
    <row r="1330" spans="1:9" x14ac:dyDescent="0.25">
      <c r="A1330" s="7">
        <v>1</v>
      </c>
      <c r="B1330" s="8">
        <v>43798</v>
      </c>
      <c r="C1330" s="9" t="s">
        <v>6</v>
      </c>
      <c r="D1330" s="10">
        <v>1608.271</v>
      </c>
      <c r="E1330" s="10">
        <v>1594.3899999999999</v>
      </c>
      <c r="F1330" t="str">
        <f>VLOOKUP(A1330,StoreLookup,2,FALSE)</f>
        <v>Store#1</v>
      </c>
      <c r="G1330">
        <f>INDEX(CalLookUpTable,MATCH($B1330,CalLookUpRow,0),MATCH(G$1,CalLookUpColumn,0))</f>
        <v>2019</v>
      </c>
      <c r="H1330">
        <f>INDEX(CalLookUpTable,MATCH($B1330,CalLookUpRow,0),MATCH(H$1,CalLookUpColumn,0))</f>
        <v>12</v>
      </c>
      <c r="I1330">
        <f>INDEX(CalLookUpTable,MATCH($B1330,CalLookUpRow,0),MATCH(I$1,CalLookUpColumn,0))</f>
        <v>1</v>
      </c>
    </row>
    <row r="1331" spans="1:9" x14ac:dyDescent="0.25">
      <c r="A1331" s="7">
        <v>1</v>
      </c>
      <c r="B1331" s="8">
        <v>43798</v>
      </c>
      <c r="C1331" s="9" t="s">
        <v>4</v>
      </c>
      <c r="D1331" s="10">
        <v>3740.5969999999998</v>
      </c>
      <c r="E1331" s="10">
        <v>5780.32</v>
      </c>
      <c r="F1331" t="str">
        <f>VLOOKUP(A1331,StoreLookup,2,FALSE)</f>
        <v>Store#1</v>
      </c>
      <c r="G1331">
        <f>INDEX(CalLookUpTable,MATCH($B1331,CalLookUpRow,0),MATCH(G$1,CalLookUpColumn,0))</f>
        <v>2019</v>
      </c>
      <c r="H1331">
        <f>INDEX(CalLookUpTable,MATCH($B1331,CalLookUpRow,0),MATCH(H$1,CalLookUpColumn,0))</f>
        <v>12</v>
      </c>
      <c r="I1331">
        <f>INDEX(CalLookUpTable,MATCH($B1331,CalLookUpRow,0),MATCH(I$1,CalLookUpColumn,0))</f>
        <v>1</v>
      </c>
    </row>
    <row r="1332" spans="1:9" x14ac:dyDescent="0.25">
      <c r="A1332" s="7">
        <v>1</v>
      </c>
      <c r="B1332" s="8">
        <v>43798</v>
      </c>
      <c r="C1332" s="9" t="s">
        <v>3</v>
      </c>
      <c r="D1332" s="10">
        <v>0</v>
      </c>
      <c r="E1332" s="10">
        <v>1749.7479999999998</v>
      </c>
      <c r="F1332" t="str">
        <f>VLOOKUP(A1332,StoreLookup,2,FALSE)</f>
        <v>Store#1</v>
      </c>
      <c r="G1332">
        <f>INDEX(CalLookUpTable,MATCH($B1332,CalLookUpRow,0),MATCH(G$1,CalLookUpColumn,0))</f>
        <v>2019</v>
      </c>
      <c r="H1332">
        <f>INDEX(CalLookUpTable,MATCH($B1332,CalLookUpRow,0),MATCH(H$1,CalLookUpColumn,0))</f>
        <v>12</v>
      </c>
      <c r="I1332">
        <f>INDEX(CalLookUpTable,MATCH($B1332,CalLookUpRow,0),MATCH(I$1,CalLookUpColumn,0))</f>
        <v>1</v>
      </c>
    </row>
    <row r="1333" spans="1:9" x14ac:dyDescent="0.25">
      <c r="A1333" s="7">
        <v>1</v>
      </c>
      <c r="B1333" s="8">
        <v>43798</v>
      </c>
      <c r="C1333" s="9" t="s">
        <v>5</v>
      </c>
      <c r="D1333" s="10">
        <v>2139.116</v>
      </c>
      <c r="E1333" s="10">
        <v>3686.8649999999998</v>
      </c>
      <c r="F1333" t="str">
        <f>VLOOKUP(A1333,StoreLookup,2,FALSE)</f>
        <v>Store#1</v>
      </c>
      <c r="G1333">
        <f>INDEX(CalLookUpTable,MATCH($B1333,CalLookUpRow,0),MATCH(G$1,CalLookUpColumn,0))</f>
        <v>2019</v>
      </c>
      <c r="H1333">
        <f>INDEX(CalLookUpTable,MATCH($B1333,CalLookUpRow,0),MATCH(H$1,CalLookUpColumn,0))</f>
        <v>12</v>
      </c>
      <c r="I1333">
        <f>INDEX(CalLookUpTable,MATCH($B1333,CalLookUpRow,0),MATCH(I$1,CalLookUpColumn,0))</f>
        <v>1</v>
      </c>
    </row>
    <row r="1334" spans="1:9" x14ac:dyDescent="0.25">
      <c r="A1334" s="7">
        <v>1</v>
      </c>
      <c r="B1334" s="8">
        <v>43799</v>
      </c>
      <c r="C1334" s="9" t="s">
        <v>6</v>
      </c>
      <c r="D1334" s="10">
        <v>1081.5</v>
      </c>
      <c r="E1334" s="10">
        <v>1204.7139999999999</v>
      </c>
      <c r="F1334" t="str">
        <f>VLOOKUP(A1334,StoreLookup,2,FALSE)</f>
        <v>Store#1</v>
      </c>
      <c r="G1334">
        <f>INDEX(CalLookUpTable,MATCH($B1334,CalLookUpRow,0),MATCH(G$1,CalLookUpColumn,0))</f>
        <v>2019</v>
      </c>
      <c r="H1334">
        <f>INDEX(CalLookUpTable,MATCH($B1334,CalLookUpRow,0),MATCH(H$1,CalLookUpColumn,0))</f>
        <v>12</v>
      </c>
      <c r="I1334">
        <f>INDEX(CalLookUpTable,MATCH($B1334,CalLookUpRow,0),MATCH(I$1,CalLookUpColumn,0))</f>
        <v>1</v>
      </c>
    </row>
    <row r="1335" spans="1:9" x14ac:dyDescent="0.25">
      <c r="A1335" s="7">
        <v>1</v>
      </c>
      <c r="B1335" s="8">
        <v>43799</v>
      </c>
      <c r="C1335" s="9" t="s">
        <v>4</v>
      </c>
      <c r="D1335" s="10">
        <v>3508.5049999999997</v>
      </c>
      <c r="E1335" s="10">
        <v>5624.6679999999997</v>
      </c>
      <c r="F1335" t="str">
        <f>VLOOKUP(A1335,StoreLookup,2,FALSE)</f>
        <v>Store#1</v>
      </c>
      <c r="G1335">
        <f>INDEX(CalLookUpTable,MATCH($B1335,CalLookUpRow,0),MATCH(G$1,CalLookUpColumn,0))</f>
        <v>2019</v>
      </c>
      <c r="H1335">
        <f>INDEX(CalLookUpTable,MATCH($B1335,CalLookUpRow,0),MATCH(H$1,CalLookUpColumn,0))</f>
        <v>12</v>
      </c>
      <c r="I1335">
        <f>INDEX(CalLookUpTable,MATCH($B1335,CalLookUpRow,0),MATCH(I$1,CalLookUpColumn,0))</f>
        <v>1</v>
      </c>
    </row>
    <row r="1336" spans="1:9" x14ac:dyDescent="0.25">
      <c r="A1336" s="7">
        <v>1</v>
      </c>
      <c r="B1336" s="8">
        <v>43799</v>
      </c>
      <c r="C1336" s="9" t="s">
        <v>3</v>
      </c>
      <c r="D1336" s="10">
        <v>0</v>
      </c>
      <c r="E1336" s="10">
        <v>989.947</v>
      </c>
      <c r="F1336" t="str">
        <f>VLOOKUP(A1336,StoreLookup,2,FALSE)</f>
        <v>Store#1</v>
      </c>
      <c r="G1336">
        <f>INDEX(CalLookUpTable,MATCH($B1336,CalLookUpRow,0),MATCH(G$1,CalLookUpColumn,0))</f>
        <v>2019</v>
      </c>
      <c r="H1336">
        <f>INDEX(CalLookUpTable,MATCH($B1336,CalLookUpRow,0),MATCH(H$1,CalLookUpColumn,0))</f>
        <v>12</v>
      </c>
      <c r="I1336">
        <f>INDEX(CalLookUpTable,MATCH($B1336,CalLookUpRow,0),MATCH(I$1,CalLookUpColumn,0))</f>
        <v>1</v>
      </c>
    </row>
    <row r="1337" spans="1:9" x14ac:dyDescent="0.25">
      <c r="A1337" s="7">
        <v>1</v>
      </c>
      <c r="B1337" s="8">
        <v>43799</v>
      </c>
      <c r="C1337" s="9" t="s">
        <v>5</v>
      </c>
      <c r="D1337" s="10">
        <v>3177.16</v>
      </c>
      <c r="E1337" s="10">
        <v>3281.9850000000001</v>
      </c>
      <c r="F1337" t="str">
        <f>VLOOKUP(A1337,StoreLookup,2,FALSE)</f>
        <v>Store#1</v>
      </c>
      <c r="G1337">
        <f>INDEX(CalLookUpTable,MATCH($B1337,CalLookUpRow,0),MATCH(G$1,CalLookUpColumn,0))</f>
        <v>2019</v>
      </c>
      <c r="H1337">
        <f>INDEX(CalLookUpTable,MATCH($B1337,CalLookUpRow,0),MATCH(H$1,CalLookUpColumn,0))</f>
        <v>12</v>
      </c>
      <c r="I1337">
        <f>INDEX(CalLookUpTable,MATCH($B1337,CalLookUpRow,0),MATCH(I$1,CalLookUpColumn,0))</f>
        <v>1</v>
      </c>
    </row>
    <row r="1338" spans="1:9" x14ac:dyDescent="0.25">
      <c r="A1338" s="7">
        <v>1</v>
      </c>
      <c r="B1338" s="8">
        <v>43800</v>
      </c>
      <c r="C1338" s="9" t="s">
        <v>4</v>
      </c>
      <c r="D1338" s="10">
        <v>2157.3719999999998</v>
      </c>
      <c r="E1338" s="10">
        <v>1980.0479999999998</v>
      </c>
      <c r="F1338" t="str">
        <f>VLOOKUP(A1338,StoreLookup,2,FALSE)</f>
        <v>Store#1</v>
      </c>
      <c r="G1338">
        <f>INDEX(CalLookUpTable,MATCH($B1338,CalLookUpRow,0),MATCH(G$1,CalLookUpColumn,0))</f>
        <v>2019</v>
      </c>
      <c r="H1338">
        <f>INDEX(CalLookUpTable,MATCH($B1338,CalLookUpRow,0),MATCH(H$1,CalLookUpColumn,0))</f>
        <v>12</v>
      </c>
      <c r="I1338">
        <f>INDEX(CalLookUpTable,MATCH($B1338,CalLookUpRow,0),MATCH(I$1,CalLookUpColumn,0))</f>
        <v>1</v>
      </c>
    </row>
    <row r="1339" spans="1:9" x14ac:dyDescent="0.25">
      <c r="A1339" s="7">
        <v>1</v>
      </c>
      <c r="B1339" s="8">
        <v>43800</v>
      </c>
      <c r="C1339" s="9" t="s">
        <v>6</v>
      </c>
      <c r="D1339" s="10">
        <v>415.98899999999998</v>
      </c>
      <c r="E1339" s="10">
        <v>203.09799999999998</v>
      </c>
      <c r="F1339" t="str">
        <f>VLOOKUP(A1339,StoreLookup,2,FALSE)</f>
        <v>Store#1</v>
      </c>
      <c r="G1339">
        <f>INDEX(CalLookUpTable,MATCH($B1339,CalLookUpRow,0),MATCH(G$1,CalLookUpColumn,0))</f>
        <v>2019</v>
      </c>
      <c r="H1339">
        <f>INDEX(CalLookUpTable,MATCH($B1339,CalLookUpRow,0),MATCH(H$1,CalLookUpColumn,0))</f>
        <v>12</v>
      </c>
      <c r="I1339">
        <f>INDEX(CalLookUpTable,MATCH($B1339,CalLookUpRow,0),MATCH(I$1,CalLookUpColumn,0))</f>
        <v>1</v>
      </c>
    </row>
    <row r="1340" spans="1:9" x14ac:dyDescent="0.25">
      <c r="A1340" s="7">
        <v>1</v>
      </c>
      <c r="B1340" s="8">
        <v>43800</v>
      </c>
      <c r="C1340" s="9" t="s">
        <v>3</v>
      </c>
      <c r="D1340" s="10">
        <v>0</v>
      </c>
      <c r="E1340" s="10">
        <v>0</v>
      </c>
      <c r="F1340" t="str">
        <f>VLOOKUP(A1340,StoreLookup,2,FALSE)</f>
        <v>Store#1</v>
      </c>
      <c r="G1340">
        <f>INDEX(CalLookUpTable,MATCH($B1340,CalLookUpRow,0),MATCH(G$1,CalLookUpColumn,0))</f>
        <v>2019</v>
      </c>
      <c r="H1340">
        <f>INDEX(CalLookUpTable,MATCH($B1340,CalLookUpRow,0),MATCH(H$1,CalLookUpColumn,0))</f>
        <v>12</v>
      </c>
      <c r="I1340">
        <f>INDEX(CalLookUpTable,MATCH($B1340,CalLookUpRow,0),MATCH(I$1,CalLookUpColumn,0))</f>
        <v>1</v>
      </c>
    </row>
    <row r="1341" spans="1:9" x14ac:dyDescent="0.25">
      <c r="A1341" s="7">
        <v>1</v>
      </c>
      <c r="B1341" s="8">
        <v>43800</v>
      </c>
      <c r="C1341" s="9" t="s">
        <v>5</v>
      </c>
      <c r="D1341" s="10">
        <v>2086.2660000000001</v>
      </c>
      <c r="E1341" s="10">
        <v>1627.836</v>
      </c>
      <c r="F1341" t="str">
        <f>VLOOKUP(A1341,StoreLookup,2,FALSE)</f>
        <v>Store#1</v>
      </c>
      <c r="G1341">
        <f>INDEX(CalLookUpTable,MATCH($B1341,CalLookUpRow,0),MATCH(G$1,CalLookUpColumn,0))</f>
        <v>2019</v>
      </c>
      <c r="H1341">
        <f>INDEX(CalLookUpTable,MATCH($B1341,CalLookUpRow,0),MATCH(H$1,CalLookUpColumn,0))</f>
        <v>12</v>
      </c>
      <c r="I1341">
        <f>INDEX(CalLookUpTable,MATCH($B1341,CalLookUpRow,0),MATCH(I$1,CalLookUpColumn,0))</f>
        <v>1</v>
      </c>
    </row>
    <row r="1342" spans="1:9" x14ac:dyDescent="0.25">
      <c r="A1342" s="7">
        <v>1</v>
      </c>
      <c r="B1342" s="8">
        <v>43801</v>
      </c>
      <c r="C1342" s="9" t="s">
        <v>6</v>
      </c>
      <c r="D1342" s="10">
        <v>853.81799999999998</v>
      </c>
      <c r="E1342" s="10">
        <v>663.80299999999988</v>
      </c>
      <c r="F1342" t="str">
        <f>VLOOKUP(A1342,StoreLookup,2,FALSE)</f>
        <v>Store#1</v>
      </c>
      <c r="G1342">
        <f>INDEX(CalLookUpTable,MATCH($B1342,CalLookUpRow,0),MATCH(G$1,CalLookUpColumn,0))</f>
        <v>2019</v>
      </c>
      <c r="H1342">
        <f>INDEX(CalLookUpTable,MATCH($B1342,CalLookUpRow,0),MATCH(H$1,CalLookUpColumn,0))</f>
        <v>12</v>
      </c>
      <c r="I1342">
        <f>INDEX(CalLookUpTable,MATCH($B1342,CalLookUpRow,0),MATCH(I$1,CalLookUpColumn,0))</f>
        <v>2</v>
      </c>
    </row>
    <row r="1343" spans="1:9" x14ac:dyDescent="0.25">
      <c r="A1343" s="7">
        <v>1</v>
      </c>
      <c r="B1343" s="8">
        <v>43801</v>
      </c>
      <c r="C1343" s="9" t="s">
        <v>4</v>
      </c>
      <c r="D1343" s="10">
        <v>3688.0619999999994</v>
      </c>
      <c r="E1343" s="10">
        <v>3820.4739999999997</v>
      </c>
      <c r="F1343" t="str">
        <f>VLOOKUP(A1343,StoreLookup,2,FALSE)</f>
        <v>Store#1</v>
      </c>
      <c r="G1343">
        <f>INDEX(CalLookUpTable,MATCH($B1343,CalLookUpRow,0),MATCH(G$1,CalLookUpColumn,0))</f>
        <v>2019</v>
      </c>
      <c r="H1343">
        <f>INDEX(CalLookUpTable,MATCH($B1343,CalLookUpRow,0),MATCH(H$1,CalLookUpColumn,0))</f>
        <v>12</v>
      </c>
      <c r="I1343">
        <f>INDEX(CalLookUpTable,MATCH($B1343,CalLookUpRow,0),MATCH(I$1,CalLookUpColumn,0))</f>
        <v>2</v>
      </c>
    </row>
    <row r="1344" spans="1:9" x14ac:dyDescent="0.25">
      <c r="A1344" s="7">
        <v>1</v>
      </c>
      <c r="B1344" s="8">
        <v>43801</v>
      </c>
      <c r="C1344" s="9" t="s">
        <v>3</v>
      </c>
      <c r="D1344" s="10">
        <v>0</v>
      </c>
      <c r="E1344" s="10">
        <v>423.11500000000001</v>
      </c>
      <c r="F1344" t="str">
        <f>VLOOKUP(A1344,StoreLookup,2,FALSE)</f>
        <v>Store#1</v>
      </c>
      <c r="G1344">
        <f>INDEX(CalLookUpTable,MATCH($B1344,CalLookUpRow,0),MATCH(G$1,CalLookUpColumn,0))</f>
        <v>2019</v>
      </c>
      <c r="H1344">
        <f>INDEX(CalLookUpTable,MATCH($B1344,CalLookUpRow,0),MATCH(H$1,CalLookUpColumn,0))</f>
        <v>12</v>
      </c>
      <c r="I1344">
        <f>INDEX(CalLookUpTable,MATCH($B1344,CalLookUpRow,0),MATCH(I$1,CalLookUpColumn,0))</f>
        <v>2</v>
      </c>
    </row>
    <row r="1345" spans="1:9" x14ac:dyDescent="0.25">
      <c r="A1345" s="7">
        <v>1</v>
      </c>
      <c r="B1345" s="8">
        <v>43801</v>
      </c>
      <c r="C1345" s="9" t="s">
        <v>5</v>
      </c>
      <c r="D1345" s="10">
        <v>3654.9869999999996</v>
      </c>
      <c r="E1345" s="10">
        <v>3075.9609999999993</v>
      </c>
      <c r="F1345" t="str">
        <f>VLOOKUP(A1345,StoreLookup,2,FALSE)</f>
        <v>Store#1</v>
      </c>
      <c r="G1345">
        <f>INDEX(CalLookUpTable,MATCH($B1345,CalLookUpRow,0),MATCH(G$1,CalLookUpColumn,0))</f>
        <v>2019</v>
      </c>
      <c r="H1345">
        <f>INDEX(CalLookUpTable,MATCH($B1345,CalLookUpRow,0),MATCH(H$1,CalLookUpColumn,0))</f>
        <v>12</v>
      </c>
      <c r="I1345">
        <f>INDEX(CalLookUpTable,MATCH($B1345,CalLookUpRow,0),MATCH(I$1,CalLookUpColumn,0))</f>
        <v>2</v>
      </c>
    </row>
    <row r="1346" spans="1:9" x14ac:dyDescent="0.25">
      <c r="A1346" s="7">
        <v>1</v>
      </c>
      <c r="B1346" s="8">
        <v>43802</v>
      </c>
      <c r="C1346" s="9" t="s">
        <v>4</v>
      </c>
      <c r="D1346" s="10">
        <v>3390.0579999999995</v>
      </c>
      <c r="E1346" s="10">
        <v>4746.4059999999999</v>
      </c>
      <c r="F1346" t="str">
        <f>VLOOKUP(A1346,StoreLookup,2,FALSE)</f>
        <v>Store#1</v>
      </c>
      <c r="G1346">
        <f>INDEX(CalLookUpTable,MATCH($B1346,CalLookUpRow,0),MATCH(G$1,CalLookUpColumn,0))</f>
        <v>2019</v>
      </c>
      <c r="H1346">
        <f>INDEX(CalLookUpTable,MATCH($B1346,CalLookUpRow,0),MATCH(H$1,CalLookUpColumn,0))</f>
        <v>12</v>
      </c>
      <c r="I1346">
        <f>INDEX(CalLookUpTable,MATCH($B1346,CalLookUpRow,0),MATCH(I$1,CalLookUpColumn,0))</f>
        <v>2</v>
      </c>
    </row>
    <row r="1347" spans="1:9" x14ac:dyDescent="0.25">
      <c r="A1347" s="7">
        <v>1</v>
      </c>
      <c r="B1347" s="8">
        <v>43802</v>
      </c>
      <c r="C1347" s="9" t="s">
        <v>3</v>
      </c>
      <c r="D1347" s="10">
        <v>81.557000000000002</v>
      </c>
      <c r="E1347" s="10">
        <v>0</v>
      </c>
      <c r="F1347" t="str">
        <f>VLOOKUP(A1347,StoreLookup,2,FALSE)</f>
        <v>Store#1</v>
      </c>
      <c r="G1347">
        <f>INDEX(CalLookUpTable,MATCH($B1347,CalLookUpRow,0),MATCH(G$1,CalLookUpColumn,0))</f>
        <v>2019</v>
      </c>
      <c r="H1347">
        <f>INDEX(CalLookUpTable,MATCH($B1347,CalLookUpRow,0),MATCH(H$1,CalLookUpColumn,0))</f>
        <v>12</v>
      </c>
      <c r="I1347">
        <f>INDEX(CalLookUpTable,MATCH($B1347,CalLookUpRow,0),MATCH(I$1,CalLookUpColumn,0))</f>
        <v>2</v>
      </c>
    </row>
    <row r="1348" spans="1:9" x14ac:dyDescent="0.25">
      <c r="A1348" s="7">
        <v>1</v>
      </c>
      <c r="B1348" s="8">
        <v>43802</v>
      </c>
      <c r="C1348" s="9" t="s">
        <v>6</v>
      </c>
      <c r="D1348" s="10">
        <v>1040.0039999999999</v>
      </c>
      <c r="E1348" s="10">
        <v>1272.558</v>
      </c>
      <c r="F1348" t="str">
        <f>VLOOKUP(A1348,StoreLookup,2,FALSE)</f>
        <v>Store#1</v>
      </c>
      <c r="G1348">
        <f>INDEX(CalLookUpTable,MATCH($B1348,CalLookUpRow,0),MATCH(G$1,CalLookUpColumn,0))</f>
        <v>2019</v>
      </c>
      <c r="H1348">
        <f>INDEX(CalLookUpTable,MATCH($B1348,CalLookUpRow,0),MATCH(H$1,CalLookUpColumn,0))</f>
        <v>12</v>
      </c>
      <c r="I1348">
        <f>INDEX(CalLookUpTable,MATCH($B1348,CalLookUpRow,0),MATCH(I$1,CalLookUpColumn,0))</f>
        <v>2</v>
      </c>
    </row>
    <row r="1349" spans="1:9" x14ac:dyDescent="0.25">
      <c r="A1349" s="7">
        <v>1</v>
      </c>
      <c r="B1349" s="8">
        <v>43802</v>
      </c>
      <c r="C1349" s="9" t="s">
        <v>5</v>
      </c>
      <c r="D1349" s="10">
        <v>3295.194</v>
      </c>
      <c r="E1349" s="10">
        <v>3310.4049999999997</v>
      </c>
      <c r="F1349" t="str">
        <f>VLOOKUP(A1349,StoreLookup,2,FALSE)</f>
        <v>Store#1</v>
      </c>
      <c r="G1349">
        <f>INDEX(CalLookUpTable,MATCH($B1349,CalLookUpRow,0),MATCH(G$1,CalLookUpColumn,0))</f>
        <v>2019</v>
      </c>
      <c r="H1349">
        <f>INDEX(CalLookUpTable,MATCH($B1349,CalLookUpRow,0),MATCH(H$1,CalLookUpColumn,0))</f>
        <v>12</v>
      </c>
      <c r="I1349">
        <f>INDEX(CalLookUpTable,MATCH($B1349,CalLookUpRow,0),MATCH(I$1,CalLookUpColumn,0))</f>
        <v>2</v>
      </c>
    </row>
    <row r="1350" spans="1:9" x14ac:dyDescent="0.25">
      <c r="A1350" s="7">
        <v>1</v>
      </c>
      <c r="B1350" s="8">
        <v>43803</v>
      </c>
      <c r="C1350" s="9" t="s">
        <v>6</v>
      </c>
      <c r="D1350" s="10">
        <v>761.27099999999996</v>
      </c>
      <c r="E1350" s="10">
        <v>1043.3150000000001</v>
      </c>
      <c r="F1350" t="str">
        <f>VLOOKUP(A1350,StoreLookup,2,FALSE)</f>
        <v>Store#1</v>
      </c>
      <c r="G1350">
        <f>INDEX(CalLookUpTable,MATCH($B1350,CalLookUpRow,0),MATCH(G$1,CalLookUpColumn,0))</f>
        <v>2019</v>
      </c>
      <c r="H1350">
        <f>INDEX(CalLookUpTable,MATCH($B1350,CalLookUpRow,0),MATCH(H$1,CalLookUpColumn,0))</f>
        <v>12</v>
      </c>
      <c r="I1350">
        <f>INDEX(CalLookUpTable,MATCH($B1350,CalLookUpRow,0),MATCH(I$1,CalLookUpColumn,0))</f>
        <v>2</v>
      </c>
    </row>
    <row r="1351" spans="1:9" x14ac:dyDescent="0.25">
      <c r="A1351" s="7">
        <v>1</v>
      </c>
      <c r="B1351" s="8">
        <v>43803</v>
      </c>
      <c r="C1351" s="9" t="s">
        <v>5</v>
      </c>
      <c r="D1351" s="10">
        <v>3088.6170000000002</v>
      </c>
      <c r="E1351" s="10">
        <v>3017.7279999999996</v>
      </c>
      <c r="F1351" t="str">
        <f>VLOOKUP(A1351,StoreLookup,2,FALSE)</f>
        <v>Store#1</v>
      </c>
      <c r="G1351">
        <f>INDEX(CalLookUpTable,MATCH($B1351,CalLookUpRow,0),MATCH(G$1,CalLookUpColumn,0))</f>
        <v>2019</v>
      </c>
      <c r="H1351">
        <f>INDEX(CalLookUpTable,MATCH($B1351,CalLookUpRow,0),MATCH(H$1,CalLookUpColumn,0))</f>
        <v>12</v>
      </c>
      <c r="I1351">
        <f>INDEX(CalLookUpTable,MATCH($B1351,CalLookUpRow,0),MATCH(I$1,CalLookUpColumn,0))</f>
        <v>2</v>
      </c>
    </row>
    <row r="1352" spans="1:9" x14ac:dyDescent="0.25">
      <c r="A1352" s="7">
        <v>1</v>
      </c>
      <c r="B1352" s="8">
        <v>43803</v>
      </c>
      <c r="C1352" s="9" t="s">
        <v>3</v>
      </c>
      <c r="D1352" s="10">
        <v>913.101</v>
      </c>
      <c r="E1352" s="10">
        <v>251.34899999999999</v>
      </c>
      <c r="F1352" t="str">
        <f>VLOOKUP(A1352,StoreLookup,2,FALSE)</f>
        <v>Store#1</v>
      </c>
      <c r="G1352">
        <f>INDEX(CalLookUpTable,MATCH($B1352,CalLookUpRow,0),MATCH(G$1,CalLookUpColumn,0))</f>
        <v>2019</v>
      </c>
      <c r="H1352">
        <f>INDEX(CalLookUpTable,MATCH($B1352,CalLookUpRow,0),MATCH(H$1,CalLookUpColumn,0))</f>
        <v>12</v>
      </c>
      <c r="I1352">
        <f>INDEX(CalLookUpTable,MATCH($B1352,CalLookUpRow,0),MATCH(I$1,CalLookUpColumn,0))</f>
        <v>2</v>
      </c>
    </row>
    <row r="1353" spans="1:9" x14ac:dyDescent="0.25">
      <c r="A1353" s="7">
        <v>1</v>
      </c>
      <c r="B1353" s="8">
        <v>43803</v>
      </c>
      <c r="C1353" s="9" t="s">
        <v>4</v>
      </c>
      <c r="D1353" s="10">
        <v>3319.5399999999995</v>
      </c>
      <c r="E1353" s="10">
        <v>3694.2919999999999</v>
      </c>
      <c r="F1353" t="str">
        <f>VLOOKUP(A1353,StoreLookup,2,FALSE)</f>
        <v>Store#1</v>
      </c>
      <c r="G1353">
        <f>INDEX(CalLookUpTable,MATCH($B1353,CalLookUpRow,0),MATCH(G$1,CalLookUpColumn,0))</f>
        <v>2019</v>
      </c>
      <c r="H1353">
        <f>INDEX(CalLookUpTable,MATCH($B1353,CalLookUpRow,0),MATCH(H$1,CalLookUpColumn,0))</f>
        <v>12</v>
      </c>
      <c r="I1353">
        <f>INDEX(CalLookUpTable,MATCH($B1353,CalLookUpRow,0),MATCH(I$1,CalLookUpColumn,0))</f>
        <v>2</v>
      </c>
    </row>
    <row r="1354" spans="1:9" x14ac:dyDescent="0.25">
      <c r="A1354" s="7">
        <v>1</v>
      </c>
      <c r="B1354" s="8">
        <v>43804</v>
      </c>
      <c r="C1354" s="9" t="s">
        <v>6</v>
      </c>
      <c r="D1354" s="10">
        <v>1000.111</v>
      </c>
      <c r="E1354" s="10">
        <v>1319.43</v>
      </c>
      <c r="F1354" t="str">
        <f>VLOOKUP(A1354,StoreLookup,2,FALSE)</f>
        <v>Store#1</v>
      </c>
      <c r="G1354">
        <f>INDEX(CalLookUpTable,MATCH($B1354,CalLookUpRow,0),MATCH(G$1,CalLookUpColumn,0))</f>
        <v>2019</v>
      </c>
      <c r="H1354">
        <f>INDEX(CalLookUpTable,MATCH($B1354,CalLookUpRow,0),MATCH(H$1,CalLookUpColumn,0))</f>
        <v>12</v>
      </c>
      <c r="I1354">
        <f>INDEX(CalLookUpTable,MATCH($B1354,CalLookUpRow,0),MATCH(I$1,CalLookUpColumn,0))</f>
        <v>2</v>
      </c>
    </row>
    <row r="1355" spans="1:9" x14ac:dyDescent="0.25">
      <c r="A1355" s="7">
        <v>1</v>
      </c>
      <c r="B1355" s="8">
        <v>43804</v>
      </c>
      <c r="C1355" s="9" t="s">
        <v>4</v>
      </c>
      <c r="D1355" s="10">
        <v>3422.1880000000001</v>
      </c>
      <c r="E1355" s="10">
        <v>4565.7989999999991</v>
      </c>
      <c r="F1355" t="str">
        <f>VLOOKUP(A1355,StoreLookup,2,FALSE)</f>
        <v>Store#1</v>
      </c>
      <c r="G1355">
        <f>INDEX(CalLookUpTable,MATCH($B1355,CalLookUpRow,0),MATCH(G$1,CalLookUpColumn,0))</f>
        <v>2019</v>
      </c>
      <c r="H1355">
        <f>INDEX(CalLookUpTable,MATCH($B1355,CalLookUpRow,0),MATCH(H$1,CalLookUpColumn,0))</f>
        <v>12</v>
      </c>
      <c r="I1355">
        <f>INDEX(CalLookUpTable,MATCH($B1355,CalLookUpRow,0),MATCH(I$1,CalLookUpColumn,0))</f>
        <v>2</v>
      </c>
    </row>
    <row r="1356" spans="1:9" x14ac:dyDescent="0.25">
      <c r="A1356" s="7">
        <v>1</v>
      </c>
      <c r="B1356" s="8">
        <v>43804</v>
      </c>
      <c r="C1356" s="9" t="s">
        <v>5</v>
      </c>
      <c r="D1356" s="10">
        <v>3690.8129999999996</v>
      </c>
      <c r="E1356" s="10">
        <v>3347.9459999999995</v>
      </c>
      <c r="F1356" t="str">
        <f>VLOOKUP(A1356,StoreLookup,2,FALSE)</f>
        <v>Store#1</v>
      </c>
      <c r="G1356">
        <f>INDEX(CalLookUpTable,MATCH($B1356,CalLookUpRow,0),MATCH(G$1,CalLookUpColumn,0))</f>
        <v>2019</v>
      </c>
      <c r="H1356">
        <f>INDEX(CalLookUpTable,MATCH($B1356,CalLookUpRow,0),MATCH(H$1,CalLookUpColumn,0))</f>
        <v>12</v>
      </c>
      <c r="I1356">
        <f>INDEX(CalLookUpTable,MATCH($B1356,CalLookUpRow,0),MATCH(I$1,CalLookUpColumn,0))</f>
        <v>2</v>
      </c>
    </row>
    <row r="1357" spans="1:9" x14ac:dyDescent="0.25">
      <c r="A1357" s="7">
        <v>1</v>
      </c>
      <c r="B1357" s="8">
        <v>43804</v>
      </c>
      <c r="C1357" s="9" t="s">
        <v>3</v>
      </c>
      <c r="D1357" s="10">
        <v>60.164999999999999</v>
      </c>
      <c r="E1357" s="10">
        <v>461.61500000000001</v>
      </c>
      <c r="F1357" t="str">
        <f>VLOOKUP(A1357,StoreLookup,2,FALSE)</f>
        <v>Store#1</v>
      </c>
      <c r="G1357">
        <f>INDEX(CalLookUpTable,MATCH($B1357,CalLookUpRow,0),MATCH(G$1,CalLookUpColumn,0))</f>
        <v>2019</v>
      </c>
      <c r="H1357">
        <f>INDEX(CalLookUpTable,MATCH($B1357,CalLookUpRow,0),MATCH(H$1,CalLookUpColumn,0))</f>
        <v>12</v>
      </c>
      <c r="I1357">
        <f>INDEX(CalLookUpTable,MATCH($B1357,CalLookUpRow,0),MATCH(I$1,CalLookUpColumn,0))</f>
        <v>2</v>
      </c>
    </row>
    <row r="1358" spans="1:9" x14ac:dyDescent="0.25">
      <c r="A1358" s="7">
        <v>1</v>
      </c>
      <c r="B1358" s="8">
        <v>43805</v>
      </c>
      <c r="C1358" s="9" t="s">
        <v>6</v>
      </c>
      <c r="D1358" s="10">
        <v>778.87599999999998</v>
      </c>
      <c r="E1358" s="10">
        <v>1561.4479999999999</v>
      </c>
      <c r="F1358" t="str">
        <f>VLOOKUP(A1358,StoreLookup,2,FALSE)</f>
        <v>Store#1</v>
      </c>
      <c r="G1358">
        <f>INDEX(CalLookUpTable,MATCH($B1358,CalLookUpRow,0),MATCH(G$1,CalLookUpColumn,0))</f>
        <v>2019</v>
      </c>
      <c r="H1358">
        <f>INDEX(CalLookUpTable,MATCH($B1358,CalLookUpRow,0),MATCH(H$1,CalLookUpColumn,0))</f>
        <v>12</v>
      </c>
      <c r="I1358">
        <f>INDEX(CalLookUpTable,MATCH($B1358,CalLookUpRow,0),MATCH(I$1,CalLookUpColumn,0))</f>
        <v>2</v>
      </c>
    </row>
    <row r="1359" spans="1:9" x14ac:dyDescent="0.25">
      <c r="A1359" s="7">
        <v>1</v>
      </c>
      <c r="B1359" s="8">
        <v>43805</v>
      </c>
      <c r="C1359" s="9" t="s">
        <v>5</v>
      </c>
      <c r="D1359" s="10">
        <v>4370.576</v>
      </c>
      <c r="E1359" s="10">
        <v>3554.922</v>
      </c>
      <c r="F1359" t="str">
        <f>VLOOKUP(A1359,StoreLookup,2,FALSE)</f>
        <v>Store#1</v>
      </c>
      <c r="G1359">
        <f>INDEX(CalLookUpTable,MATCH($B1359,CalLookUpRow,0),MATCH(G$1,CalLookUpColumn,0))</f>
        <v>2019</v>
      </c>
      <c r="H1359">
        <f>INDEX(CalLookUpTable,MATCH($B1359,CalLookUpRow,0),MATCH(H$1,CalLookUpColumn,0))</f>
        <v>12</v>
      </c>
      <c r="I1359">
        <f>INDEX(CalLookUpTable,MATCH($B1359,CalLookUpRow,0),MATCH(I$1,CalLookUpColumn,0))</f>
        <v>2</v>
      </c>
    </row>
    <row r="1360" spans="1:9" x14ac:dyDescent="0.25">
      <c r="A1360" s="7">
        <v>1</v>
      </c>
      <c r="B1360" s="8">
        <v>43805</v>
      </c>
      <c r="C1360" s="9" t="s">
        <v>4</v>
      </c>
      <c r="D1360" s="10">
        <v>4742.6189999999997</v>
      </c>
      <c r="E1360" s="10">
        <v>5184.8019999999997</v>
      </c>
      <c r="F1360" t="str">
        <f>VLOOKUP(A1360,StoreLookup,2,FALSE)</f>
        <v>Store#1</v>
      </c>
      <c r="G1360">
        <f>INDEX(CalLookUpTable,MATCH($B1360,CalLookUpRow,0),MATCH(G$1,CalLookUpColumn,0))</f>
        <v>2019</v>
      </c>
      <c r="H1360">
        <f>INDEX(CalLookUpTable,MATCH($B1360,CalLookUpRow,0),MATCH(H$1,CalLookUpColumn,0))</f>
        <v>12</v>
      </c>
      <c r="I1360">
        <f>INDEX(CalLookUpTable,MATCH($B1360,CalLookUpRow,0),MATCH(I$1,CalLookUpColumn,0))</f>
        <v>2</v>
      </c>
    </row>
    <row r="1361" spans="1:9" x14ac:dyDescent="0.25">
      <c r="A1361" s="7">
        <v>1</v>
      </c>
      <c r="B1361" s="8">
        <v>43805</v>
      </c>
      <c r="C1361" s="9" t="s">
        <v>3</v>
      </c>
      <c r="D1361" s="10">
        <v>33.271000000000001</v>
      </c>
      <c r="E1361" s="10">
        <v>262.976</v>
      </c>
      <c r="F1361" t="str">
        <f>VLOOKUP(A1361,StoreLookup,2,FALSE)</f>
        <v>Store#1</v>
      </c>
      <c r="G1361">
        <f>INDEX(CalLookUpTable,MATCH($B1361,CalLookUpRow,0),MATCH(G$1,CalLookUpColumn,0))</f>
        <v>2019</v>
      </c>
      <c r="H1361">
        <f>INDEX(CalLookUpTable,MATCH($B1361,CalLookUpRow,0),MATCH(H$1,CalLookUpColumn,0))</f>
        <v>12</v>
      </c>
      <c r="I1361">
        <f>INDEX(CalLookUpTable,MATCH($B1361,CalLookUpRow,0),MATCH(I$1,CalLookUpColumn,0))</f>
        <v>2</v>
      </c>
    </row>
    <row r="1362" spans="1:9" x14ac:dyDescent="0.25">
      <c r="A1362" s="7">
        <v>1</v>
      </c>
      <c r="B1362" s="8">
        <v>43806</v>
      </c>
      <c r="C1362" s="9" t="s">
        <v>4</v>
      </c>
      <c r="D1362" s="10">
        <v>4751.8939999999993</v>
      </c>
      <c r="E1362" s="10">
        <v>5411.973</v>
      </c>
      <c r="F1362" t="str">
        <f>VLOOKUP(A1362,StoreLookup,2,FALSE)</f>
        <v>Store#1</v>
      </c>
      <c r="G1362">
        <f>INDEX(CalLookUpTable,MATCH($B1362,CalLookUpRow,0),MATCH(G$1,CalLookUpColumn,0))</f>
        <v>2019</v>
      </c>
      <c r="H1362">
        <f>INDEX(CalLookUpTable,MATCH($B1362,CalLookUpRow,0),MATCH(H$1,CalLookUpColumn,0))</f>
        <v>12</v>
      </c>
      <c r="I1362">
        <f>INDEX(CalLookUpTable,MATCH($B1362,CalLookUpRow,0),MATCH(I$1,CalLookUpColumn,0))</f>
        <v>2</v>
      </c>
    </row>
    <row r="1363" spans="1:9" x14ac:dyDescent="0.25">
      <c r="A1363" s="7">
        <v>1</v>
      </c>
      <c r="B1363" s="8">
        <v>43806</v>
      </c>
      <c r="C1363" s="9" t="s">
        <v>6</v>
      </c>
      <c r="D1363" s="10">
        <v>738.14299999999992</v>
      </c>
      <c r="E1363" s="10">
        <v>1295.798</v>
      </c>
      <c r="F1363" t="str">
        <f>VLOOKUP(A1363,StoreLookup,2,FALSE)</f>
        <v>Store#1</v>
      </c>
      <c r="G1363">
        <f>INDEX(CalLookUpTable,MATCH($B1363,CalLookUpRow,0),MATCH(G$1,CalLookUpColumn,0))</f>
        <v>2019</v>
      </c>
      <c r="H1363">
        <f>INDEX(CalLookUpTable,MATCH($B1363,CalLookUpRow,0),MATCH(H$1,CalLookUpColumn,0))</f>
        <v>12</v>
      </c>
      <c r="I1363">
        <f>INDEX(CalLookUpTable,MATCH($B1363,CalLookUpRow,0),MATCH(I$1,CalLookUpColumn,0))</f>
        <v>2</v>
      </c>
    </row>
    <row r="1364" spans="1:9" x14ac:dyDescent="0.25">
      <c r="A1364" s="7">
        <v>1</v>
      </c>
      <c r="B1364" s="8">
        <v>43806</v>
      </c>
      <c r="C1364" s="9" t="s">
        <v>3</v>
      </c>
      <c r="D1364" s="10">
        <v>1039.2619999999999</v>
      </c>
      <c r="E1364" s="10">
        <v>1314.7329999999999</v>
      </c>
      <c r="F1364" t="str">
        <f>VLOOKUP(A1364,StoreLookup,2,FALSE)</f>
        <v>Store#1</v>
      </c>
      <c r="G1364">
        <f>INDEX(CalLookUpTable,MATCH($B1364,CalLookUpRow,0),MATCH(G$1,CalLookUpColumn,0))</f>
        <v>2019</v>
      </c>
      <c r="H1364">
        <f>INDEX(CalLookUpTable,MATCH($B1364,CalLookUpRow,0),MATCH(H$1,CalLookUpColumn,0))</f>
        <v>12</v>
      </c>
      <c r="I1364">
        <f>INDEX(CalLookUpTable,MATCH($B1364,CalLookUpRow,0),MATCH(I$1,CalLookUpColumn,0))</f>
        <v>2</v>
      </c>
    </row>
    <row r="1365" spans="1:9" x14ac:dyDescent="0.25">
      <c r="A1365" s="7">
        <v>1</v>
      </c>
      <c r="B1365" s="8">
        <v>43806</v>
      </c>
      <c r="C1365" s="9" t="s">
        <v>5</v>
      </c>
      <c r="D1365" s="10">
        <v>3461.3529999999996</v>
      </c>
      <c r="E1365" s="10">
        <v>3333.2670000000003</v>
      </c>
      <c r="F1365" t="str">
        <f>VLOOKUP(A1365,StoreLookup,2,FALSE)</f>
        <v>Store#1</v>
      </c>
      <c r="G1365">
        <f>INDEX(CalLookUpTable,MATCH($B1365,CalLookUpRow,0),MATCH(G$1,CalLookUpColumn,0))</f>
        <v>2019</v>
      </c>
      <c r="H1365">
        <f>INDEX(CalLookUpTable,MATCH($B1365,CalLookUpRow,0),MATCH(H$1,CalLookUpColumn,0))</f>
        <v>12</v>
      </c>
      <c r="I1365">
        <f>INDEX(CalLookUpTable,MATCH($B1365,CalLookUpRow,0),MATCH(I$1,CalLookUpColumn,0))</f>
        <v>2</v>
      </c>
    </row>
    <row r="1366" spans="1:9" x14ac:dyDescent="0.25">
      <c r="A1366" s="7">
        <v>1</v>
      </c>
      <c r="B1366" s="8">
        <v>43807</v>
      </c>
      <c r="C1366" s="9" t="s">
        <v>6</v>
      </c>
      <c r="D1366" s="10">
        <v>292.48799999999994</v>
      </c>
      <c r="E1366" s="10">
        <v>193.578</v>
      </c>
      <c r="F1366" t="str">
        <f>VLOOKUP(A1366,StoreLookup,2,FALSE)</f>
        <v>Store#1</v>
      </c>
      <c r="G1366">
        <f>INDEX(CalLookUpTable,MATCH($B1366,CalLookUpRow,0),MATCH(G$1,CalLookUpColumn,0))</f>
        <v>2019</v>
      </c>
      <c r="H1366">
        <f>INDEX(CalLookUpTable,MATCH($B1366,CalLookUpRow,0),MATCH(H$1,CalLookUpColumn,0))</f>
        <v>12</v>
      </c>
      <c r="I1366">
        <f>INDEX(CalLookUpTable,MATCH($B1366,CalLookUpRow,0),MATCH(I$1,CalLookUpColumn,0))</f>
        <v>2</v>
      </c>
    </row>
    <row r="1367" spans="1:9" x14ac:dyDescent="0.25">
      <c r="A1367" s="7">
        <v>1</v>
      </c>
      <c r="B1367" s="8">
        <v>43807</v>
      </c>
      <c r="C1367" s="9" t="s">
        <v>3</v>
      </c>
      <c r="D1367" s="10">
        <v>15.519</v>
      </c>
      <c r="E1367" s="10">
        <v>257.44599999999997</v>
      </c>
      <c r="F1367" t="str">
        <f>VLOOKUP(A1367,StoreLookup,2,FALSE)</f>
        <v>Store#1</v>
      </c>
      <c r="G1367">
        <f>INDEX(CalLookUpTable,MATCH($B1367,CalLookUpRow,0),MATCH(G$1,CalLookUpColumn,0))</f>
        <v>2019</v>
      </c>
      <c r="H1367">
        <f>INDEX(CalLookUpTable,MATCH($B1367,CalLookUpRow,0),MATCH(H$1,CalLookUpColumn,0))</f>
        <v>12</v>
      </c>
      <c r="I1367">
        <f>INDEX(CalLookUpTable,MATCH($B1367,CalLookUpRow,0),MATCH(I$1,CalLookUpColumn,0))</f>
        <v>2</v>
      </c>
    </row>
    <row r="1368" spans="1:9" x14ac:dyDescent="0.25">
      <c r="A1368" s="7">
        <v>1</v>
      </c>
      <c r="B1368" s="8">
        <v>43807</v>
      </c>
      <c r="C1368" s="9" t="s">
        <v>4</v>
      </c>
      <c r="D1368" s="10">
        <v>1429.127</v>
      </c>
      <c r="E1368" s="10">
        <v>1261.54</v>
      </c>
      <c r="F1368" t="str">
        <f>VLOOKUP(A1368,StoreLookup,2,FALSE)</f>
        <v>Store#1</v>
      </c>
      <c r="G1368">
        <f>INDEX(CalLookUpTable,MATCH($B1368,CalLookUpRow,0),MATCH(G$1,CalLookUpColumn,0))</f>
        <v>2019</v>
      </c>
      <c r="H1368">
        <f>INDEX(CalLookUpTable,MATCH($B1368,CalLookUpRow,0),MATCH(H$1,CalLookUpColumn,0))</f>
        <v>12</v>
      </c>
      <c r="I1368">
        <f>INDEX(CalLookUpTable,MATCH($B1368,CalLookUpRow,0),MATCH(I$1,CalLookUpColumn,0))</f>
        <v>2</v>
      </c>
    </row>
    <row r="1369" spans="1:9" x14ac:dyDescent="0.25">
      <c r="A1369" s="7">
        <v>1</v>
      </c>
      <c r="B1369" s="8">
        <v>43807</v>
      </c>
      <c r="C1369" s="9" t="s">
        <v>5</v>
      </c>
      <c r="D1369" s="10">
        <v>1211.5039999999999</v>
      </c>
      <c r="E1369" s="10">
        <v>1007.972</v>
      </c>
      <c r="F1369" t="str">
        <f>VLOOKUP(A1369,StoreLookup,2,FALSE)</f>
        <v>Store#1</v>
      </c>
      <c r="G1369">
        <f>INDEX(CalLookUpTable,MATCH($B1369,CalLookUpRow,0),MATCH(G$1,CalLookUpColumn,0))</f>
        <v>2019</v>
      </c>
      <c r="H1369">
        <f>INDEX(CalLookUpTable,MATCH($B1369,CalLookUpRow,0),MATCH(H$1,CalLookUpColumn,0))</f>
        <v>12</v>
      </c>
      <c r="I1369">
        <f>INDEX(CalLookUpTable,MATCH($B1369,CalLookUpRow,0),MATCH(I$1,CalLookUpColumn,0))</f>
        <v>2</v>
      </c>
    </row>
    <row r="1370" spans="1:9" x14ac:dyDescent="0.25">
      <c r="A1370" s="7">
        <v>1</v>
      </c>
      <c r="B1370" s="8">
        <v>43808</v>
      </c>
      <c r="C1370" s="9" t="s">
        <v>3</v>
      </c>
      <c r="D1370" s="10">
        <v>992.28499999999985</v>
      </c>
      <c r="E1370" s="10">
        <v>632.84900000000005</v>
      </c>
      <c r="F1370" t="str">
        <f>VLOOKUP(A1370,StoreLookup,2,FALSE)</f>
        <v>Store#1</v>
      </c>
      <c r="G1370">
        <f>INDEX(CalLookUpTable,MATCH($B1370,CalLookUpRow,0),MATCH(G$1,CalLookUpColumn,0))</f>
        <v>2019</v>
      </c>
      <c r="H1370">
        <f>INDEX(CalLookUpTable,MATCH($B1370,CalLookUpRow,0),MATCH(H$1,CalLookUpColumn,0))</f>
        <v>12</v>
      </c>
      <c r="I1370">
        <f>INDEX(CalLookUpTable,MATCH($B1370,CalLookUpRow,0),MATCH(I$1,CalLookUpColumn,0))</f>
        <v>3</v>
      </c>
    </row>
    <row r="1371" spans="1:9" x14ac:dyDescent="0.25">
      <c r="A1371" s="7">
        <v>1</v>
      </c>
      <c r="B1371" s="8">
        <v>43808</v>
      </c>
      <c r="C1371" s="9" t="s">
        <v>4</v>
      </c>
      <c r="D1371" s="10">
        <v>3354.8829999999994</v>
      </c>
      <c r="E1371" s="10">
        <v>3991.498</v>
      </c>
      <c r="F1371" t="str">
        <f>VLOOKUP(A1371,StoreLookup,2,FALSE)</f>
        <v>Store#1</v>
      </c>
      <c r="G1371">
        <f>INDEX(CalLookUpTable,MATCH($B1371,CalLookUpRow,0),MATCH(G$1,CalLookUpColumn,0))</f>
        <v>2019</v>
      </c>
      <c r="H1371">
        <f>INDEX(CalLookUpTable,MATCH($B1371,CalLookUpRow,0),MATCH(H$1,CalLookUpColumn,0))</f>
        <v>12</v>
      </c>
      <c r="I1371">
        <f>INDEX(CalLookUpTable,MATCH($B1371,CalLookUpRow,0),MATCH(I$1,CalLookUpColumn,0))</f>
        <v>3</v>
      </c>
    </row>
    <row r="1372" spans="1:9" x14ac:dyDescent="0.25">
      <c r="A1372" s="7">
        <v>1</v>
      </c>
      <c r="B1372" s="8">
        <v>43808</v>
      </c>
      <c r="C1372" s="9" t="s">
        <v>6</v>
      </c>
      <c r="D1372" s="10">
        <v>1043.4480000000001</v>
      </c>
      <c r="E1372" s="10">
        <v>983.68899999999996</v>
      </c>
      <c r="F1372" t="str">
        <f>VLOOKUP(A1372,StoreLookup,2,FALSE)</f>
        <v>Store#1</v>
      </c>
      <c r="G1372">
        <f>INDEX(CalLookUpTable,MATCH($B1372,CalLookUpRow,0),MATCH(G$1,CalLookUpColumn,0))</f>
        <v>2019</v>
      </c>
      <c r="H1372">
        <f>INDEX(CalLookUpTable,MATCH($B1372,CalLookUpRow,0),MATCH(H$1,CalLookUpColumn,0))</f>
        <v>12</v>
      </c>
      <c r="I1372">
        <f>INDEX(CalLookUpTable,MATCH($B1372,CalLookUpRow,0),MATCH(I$1,CalLookUpColumn,0))</f>
        <v>3</v>
      </c>
    </row>
    <row r="1373" spans="1:9" x14ac:dyDescent="0.25">
      <c r="A1373" s="7">
        <v>1</v>
      </c>
      <c r="B1373" s="8">
        <v>43808</v>
      </c>
      <c r="C1373" s="9" t="s">
        <v>5</v>
      </c>
      <c r="D1373" s="10">
        <v>3439.163</v>
      </c>
      <c r="E1373" s="10">
        <v>3288.0049999999997</v>
      </c>
      <c r="F1373" t="str">
        <f>VLOOKUP(A1373,StoreLookup,2,FALSE)</f>
        <v>Store#1</v>
      </c>
      <c r="G1373">
        <f>INDEX(CalLookUpTable,MATCH($B1373,CalLookUpRow,0),MATCH(G$1,CalLookUpColumn,0))</f>
        <v>2019</v>
      </c>
      <c r="H1373">
        <f>INDEX(CalLookUpTable,MATCH($B1373,CalLookUpRow,0),MATCH(H$1,CalLookUpColumn,0))</f>
        <v>12</v>
      </c>
      <c r="I1373">
        <f>INDEX(CalLookUpTable,MATCH($B1373,CalLookUpRow,0),MATCH(I$1,CalLookUpColumn,0))</f>
        <v>3</v>
      </c>
    </row>
    <row r="1374" spans="1:9" x14ac:dyDescent="0.25">
      <c r="A1374" s="7">
        <v>1</v>
      </c>
      <c r="B1374" s="8">
        <v>43809</v>
      </c>
      <c r="C1374" s="9" t="s">
        <v>4</v>
      </c>
      <c r="D1374" s="10">
        <v>3861.9069999999997</v>
      </c>
      <c r="E1374" s="10">
        <v>4305.7839999999997</v>
      </c>
      <c r="F1374" t="str">
        <f>VLOOKUP(A1374,StoreLookup,2,FALSE)</f>
        <v>Store#1</v>
      </c>
      <c r="G1374">
        <f>INDEX(CalLookUpTable,MATCH($B1374,CalLookUpRow,0),MATCH(G$1,CalLookUpColumn,0))</f>
        <v>2019</v>
      </c>
      <c r="H1374">
        <f>INDEX(CalLookUpTable,MATCH($B1374,CalLookUpRow,0),MATCH(H$1,CalLookUpColumn,0))</f>
        <v>12</v>
      </c>
      <c r="I1374">
        <f>INDEX(CalLookUpTable,MATCH($B1374,CalLookUpRow,0),MATCH(I$1,CalLookUpColumn,0))</f>
        <v>3</v>
      </c>
    </row>
    <row r="1375" spans="1:9" x14ac:dyDescent="0.25">
      <c r="A1375" s="7">
        <v>1</v>
      </c>
      <c r="B1375" s="8">
        <v>43809</v>
      </c>
      <c r="C1375" s="9" t="s">
        <v>6</v>
      </c>
      <c r="D1375" s="10">
        <v>664.43999999999994</v>
      </c>
      <c r="E1375" s="10">
        <v>963.45899999999983</v>
      </c>
      <c r="F1375" t="str">
        <f>VLOOKUP(A1375,StoreLookup,2,FALSE)</f>
        <v>Store#1</v>
      </c>
      <c r="G1375">
        <f>INDEX(CalLookUpTable,MATCH($B1375,CalLookUpRow,0),MATCH(G$1,CalLookUpColumn,0))</f>
        <v>2019</v>
      </c>
      <c r="H1375">
        <f>INDEX(CalLookUpTable,MATCH($B1375,CalLookUpRow,0),MATCH(H$1,CalLookUpColumn,0))</f>
        <v>12</v>
      </c>
      <c r="I1375">
        <f>INDEX(CalLookUpTable,MATCH($B1375,CalLookUpRow,0),MATCH(I$1,CalLookUpColumn,0))</f>
        <v>3</v>
      </c>
    </row>
    <row r="1376" spans="1:9" x14ac:dyDescent="0.25">
      <c r="A1376" s="7">
        <v>1</v>
      </c>
      <c r="B1376" s="8">
        <v>43809</v>
      </c>
      <c r="C1376" s="9" t="s">
        <v>5</v>
      </c>
      <c r="D1376" s="10">
        <v>3776.3179999999998</v>
      </c>
      <c r="E1376" s="10">
        <v>3270.1759999999999</v>
      </c>
      <c r="F1376" t="str">
        <f>VLOOKUP(A1376,StoreLookup,2,FALSE)</f>
        <v>Store#1</v>
      </c>
      <c r="G1376">
        <f>INDEX(CalLookUpTable,MATCH($B1376,CalLookUpRow,0),MATCH(G$1,CalLookUpColumn,0))</f>
        <v>2019</v>
      </c>
      <c r="H1376">
        <f>INDEX(CalLookUpTable,MATCH($B1376,CalLookUpRow,0),MATCH(H$1,CalLookUpColumn,0))</f>
        <v>12</v>
      </c>
      <c r="I1376">
        <f>INDEX(CalLookUpTable,MATCH($B1376,CalLookUpRow,0),MATCH(I$1,CalLookUpColumn,0))</f>
        <v>3</v>
      </c>
    </row>
    <row r="1377" spans="1:9" x14ac:dyDescent="0.25">
      <c r="A1377" s="7">
        <v>1</v>
      </c>
      <c r="B1377" s="8">
        <v>43809</v>
      </c>
      <c r="C1377" s="9" t="s">
        <v>3</v>
      </c>
      <c r="D1377" s="10">
        <v>2.8559999999999999</v>
      </c>
      <c r="E1377" s="10">
        <v>40.585999999999999</v>
      </c>
      <c r="F1377" t="str">
        <f>VLOOKUP(A1377,StoreLookup,2,FALSE)</f>
        <v>Store#1</v>
      </c>
      <c r="G1377">
        <f>INDEX(CalLookUpTable,MATCH($B1377,CalLookUpRow,0),MATCH(G$1,CalLookUpColumn,0))</f>
        <v>2019</v>
      </c>
      <c r="H1377">
        <f>INDEX(CalLookUpTable,MATCH($B1377,CalLookUpRow,0),MATCH(H$1,CalLookUpColumn,0))</f>
        <v>12</v>
      </c>
      <c r="I1377">
        <f>INDEX(CalLookUpTable,MATCH($B1377,CalLookUpRow,0),MATCH(I$1,CalLookUpColumn,0))</f>
        <v>3</v>
      </c>
    </row>
    <row r="1378" spans="1:9" x14ac:dyDescent="0.25">
      <c r="A1378" s="7">
        <v>1</v>
      </c>
      <c r="B1378" s="8">
        <v>43810</v>
      </c>
      <c r="C1378" s="9" t="s">
        <v>4</v>
      </c>
      <c r="D1378" s="10">
        <v>3678.3809999999999</v>
      </c>
      <c r="E1378" s="10">
        <v>4216.7159999999994</v>
      </c>
      <c r="F1378" t="str">
        <f>VLOOKUP(A1378,StoreLookup,2,FALSE)</f>
        <v>Store#1</v>
      </c>
      <c r="G1378">
        <f>INDEX(CalLookUpTable,MATCH($B1378,CalLookUpRow,0),MATCH(G$1,CalLookUpColumn,0))</f>
        <v>2019</v>
      </c>
      <c r="H1378">
        <f>INDEX(CalLookUpTable,MATCH($B1378,CalLookUpRow,0),MATCH(H$1,CalLookUpColumn,0))</f>
        <v>12</v>
      </c>
      <c r="I1378">
        <f>INDEX(CalLookUpTable,MATCH($B1378,CalLookUpRow,0),MATCH(I$1,CalLookUpColumn,0))</f>
        <v>3</v>
      </c>
    </row>
    <row r="1379" spans="1:9" x14ac:dyDescent="0.25">
      <c r="A1379" s="7">
        <v>1</v>
      </c>
      <c r="B1379" s="8">
        <v>43810</v>
      </c>
      <c r="C1379" s="9" t="s">
        <v>3</v>
      </c>
      <c r="D1379" s="10">
        <v>533.87599999999998</v>
      </c>
      <c r="E1379" s="10">
        <v>0</v>
      </c>
      <c r="F1379" t="str">
        <f>VLOOKUP(A1379,StoreLookup,2,FALSE)</f>
        <v>Store#1</v>
      </c>
      <c r="G1379">
        <f>INDEX(CalLookUpTable,MATCH($B1379,CalLookUpRow,0),MATCH(G$1,CalLookUpColumn,0))</f>
        <v>2019</v>
      </c>
      <c r="H1379">
        <f>INDEX(CalLookUpTable,MATCH($B1379,CalLookUpRow,0),MATCH(H$1,CalLookUpColumn,0))</f>
        <v>12</v>
      </c>
      <c r="I1379">
        <f>INDEX(CalLookUpTable,MATCH($B1379,CalLookUpRow,0),MATCH(I$1,CalLookUpColumn,0))</f>
        <v>3</v>
      </c>
    </row>
    <row r="1380" spans="1:9" x14ac:dyDescent="0.25">
      <c r="A1380" s="7">
        <v>1</v>
      </c>
      <c r="B1380" s="8">
        <v>43810</v>
      </c>
      <c r="C1380" s="9" t="s">
        <v>6</v>
      </c>
      <c r="D1380" s="10">
        <v>1010.6249999999999</v>
      </c>
      <c r="E1380" s="10">
        <v>899.19899999999984</v>
      </c>
      <c r="F1380" t="str">
        <f>VLOOKUP(A1380,StoreLookup,2,FALSE)</f>
        <v>Store#1</v>
      </c>
      <c r="G1380">
        <f>INDEX(CalLookUpTable,MATCH($B1380,CalLookUpRow,0),MATCH(G$1,CalLookUpColumn,0))</f>
        <v>2019</v>
      </c>
      <c r="H1380">
        <f>INDEX(CalLookUpTable,MATCH($B1380,CalLookUpRow,0),MATCH(H$1,CalLookUpColumn,0))</f>
        <v>12</v>
      </c>
      <c r="I1380">
        <f>INDEX(CalLookUpTable,MATCH($B1380,CalLookUpRow,0),MATCH(I$1,CalLookUpColumn,0))</f>
        <v>3</v>
      </c>
    </row>
    <row r="1381" spans="1:9" x14ac:dyDescent="0.25">
      <c r="A1381" s="7">
        <v>1</v>
      </c>
      <c r="B1381" s="8">
        <v>43810</v>
      </c>
      <c r="C1381" s="9" t="s">
        <v>5</v>
      </c>
      <c r="D1381" s="10">
        <v>3628.3869999999997</v>
      </c>
      <c r="E1381" s="10">
        <v>3182.9209999999998</v>
      </c>
      <c r="F1381" t="str">
        <f>VLOOKUP(A1381,StoreLookup,2,FALSE)</f>
        <v>Store#1</v>
      </c>
      <c r="G1381">
        <f>INDEX(CalLookUpTable,MATCH($B1381,CalLookUpRow,0),MATCH(G$1,CalLookUpColumn,0))</f>
        <v>2019</v>
      </c>
      <c r="H1381">
        <f>INDEX(CalLookUpTable,MATCH($B1381,CalLookUpRow,0),MATCH(H$1,CalLookUpColumn,0))</f>
        <v>12</v>
      </c>
      <c r="I1381">
        <f>INDEX(CalLookUpTable,MATCH($B1381,CalLookUpRow,0),MATCH(I$1,CalLookUpColumn,0))</f>
        <v>3</v>
      </c>
    </row>
    <row r="1382" spans="1:9" x14ac:dyDescent="0.25">
      <c r="A1382" s="7">
        <v>1</v>
      </c>
      <c r="B1382" s="8">
        <v>43811</v>
      </c>
      <c r="C1382" s="9" t="s">
        <v>4</v>
      </c>
      <c r="D1382" s="10">
        <v>4496.415</v>
      </c>
      <c r="E1382" s="10">
        <v>4281.2700000000004</v>
      </c>
      <c r="F1382" t="str">
        <f>VLOOKUP(A1382,StoreLookup,2,FALSE)</f>
        <v>Store#1</v>
      </c>
      <c r="G1382">
        <f>INDEX(CalLookUpTable,MATCH($B1382,CalLookUpRow,0),MATCH(G$1,CalLookUpColumn,0))</f>
        <v>2019</v>
      </c>
      <c r="H1382">
        <f>INDEX(CalLookUpTable,MATCH($B1382,CalLookUpRow,0),MATCH(H$1,CalLookUpColumn,0))</f>
        <v>12</v>
      </c>
      <c r="I1382">
        <f>INDEX(CalLookUpTable,MATCH($B1382,CalLookUpRow,0),MATCH(I$1,CalLookUpColumn,0))</f>
        <v>3</v>
      </c>
    </row>
    <row r="1383" spans="1:9" x14ac:dyDescent="0.25">
      <c r="A1383" s="7">
        <v>1</v>
      </c>
      <c r="B1383" s="8">
        <v>43811</v>
      </c>
      <c r="C1383" s="9" t="s">
        <v>3</v>
      </c>
      <c r="D1383" s="10">
        <v>39.661999999999992</v>
      </c>
      <c r="E1383" s="10">
        <v>1399.5519999999999</v>
      </c>
      <c r="F1383" t="str">
        <f>VLOOKUP(A1383,StoreLookup,2,FALSE)</f>
        <v>Store#1</v>
      </c>
      <c r="G1383">
        <f>INDEX(CalLookUpTable,MATCH($B1383,CalLookUpRow,0),MATCH(G$1,CalLookUpColumn,0))</f>
        <v>2019</v>
      </c>
      <c r="H1383">
        <f>INDEX(CalLookUpTable,MATCH($B1383,CalLookUpRow,0),MATCH(H$1,CalLookUpColumn,0))</f>
        <v>12</v>
      </c>
      <c r="I1383">
        <f>INDEX(CalLookUpTable,MATCH($B1383,CalLookUpRow,0),MATCH(I$1,CalLookUpColumn,0))</f>
        <v>3</v>
      </c>
    </row>
    <row r="1384" spans="1:9" x14ac:dyDescent="0.25">
      <c r="A1384" s="7">
        <v>1</v>
      </c>
      <c r="B1384" s="8">
        <v>43811</v>
      </c>
      <c r="C1384" s="9" t="s">
        <v>6</v>
      </c>
      <c r="D1384" s="10">
        <v>912.779</v>
      </c>
      <c r="E1384" s="10">
        <v>953.80599999999993</v>
      </c>
      <c r="F1384" t="str">
        <f>VLOOKUP(A1384,StoreLookup,2,FALSE)</f>
        <v>Store#1</v>
      </c>
      <c r="G1384">
        <f>INDEX(CalLookUpTable,MATCH($B1384,CalLookUpRow,0),MATCH(G$1,CalLookUpColumn,0))</f>
        <v>2019</v>
      </c>
      <c r="H1384">
        <f>INDEX(CalLookUpTable,MATCH($B1384,CalLookUpRow,0),MATCH(H$1,CalLookUpColumn,0))</f>
        <v>12</v>
      </c>
      <c r="I1384">
        <f>INDEX(CalLookUpTable,MATCH($B1384,CalLookUpRow,0),MATCH(I$1,CalLookUpColumn,0))</f>
        <v>3</v>
      </c>
    </row>
    <row r="1385" spans="1:9" x14ac:dyDescent="0.25">
      <c r="A1385" s="7">
        <v>1</v>
      </c>
      <c r="B1385" s="8">
        <v>43811</v>
      </c>
      <c r="C1385" s="9" t="s">
        <v>5</v>
      </c>
      <c r="D1385" s="10">
        <v>3333.5329999999994</v>
      </c>
      <c r="E1385" s="10">
        <v>3237.703</v>
      </c>
      <c r="F1385" t="str">
        <f>VLOOKUP(A1385,StoreLookup,2,FALSE)</f>
        <v>Store#1</v>
      </c>
      <c r="G1385">
        <f>INDEX(CalLookUpTable,MATCH($B1385,CalLookUpRow,0),MATCH(G$1,CalLookUpColumn,0))</f>
        <v>2019</v>
      </c>
      <c r="H1385">
        <f>INDEX(CalLookUpTable,MATCH($B1385,CalLookUpRow,0),MATCH(H$1,CalLookUpColumn,0))</f>
        <v>12</v>
      </c>
      <c r="I1385">
        <f>INDEX(CalLookUpTable,MATCH($B1385,CalLookUpRow,0),MATCH(I$1,CalLookUpColumn,0))</f>
        <v>3</v>
      </c>
    </row>
    <row r="1386" spans="1:9" x14ac:dyDescent="0.25">
      <c r="A1386" s="7">
        <v>1</v>
      </c>
      <c r="B1386" s="8">
        <v>43812</v>
      </c>
      <c r="C1386" s="9" t="s">
        <v>4</v>
      </c>
      <c r="D1386" s="10">
        <v>4704.2379999999994</v>
      </c>
      <c r="E1386" s="10">
        <v>5578.9719999999998</v>
      </c>
      <c r="F1386" t="str">
        <f>VLOOKUP(A1386,StoreLookup,2,FALSE)</f>
        <v>Store#1</v>
      </c>
      <c r="G1386">
        <f>INDEX(CalLookUpTable,MATCH($B1386,CalLookUpRow,0),MATCH(G$1,CalLookUpColumn,0))</f>
        <v>2019</v>
      </c>
      <c r="H1386">
        <f>INDEX(CalLookUpTable,MATCH($B1386,CalLookUpRow,0),MATCH(H$1,CalLookUpColumn,0))</f>
        <v>12</v>
      </c>
      <c r="I1386">
        <f>INDEX(CalLookUpTable,MATCH($B1386,CalLookUpRow,0),MATCH(I$1,CalLookUpColumn,0))</f>
        <v>3</v>
      </c>
    </row>
    <row r="1387" spans="1:9" x14ac:dyDescent="0.25">
      <c r="A1387" s="7">
        <v>1</v>
      </c>
      <c r="B1387" s="8">
        <v>43812</v>
      </c>
      <c r="C1387" s="9" t="s">
        <v>6</v>
      </c>
      <c r="D1387" s="10">
        <v>1100.5889999999999</v>
      </c>
      <c r="E1387" s="10">
        <v>910.18899999999996</v>
      </c>
      <c r="F1387" t="str">
        <f>VLOOKUP(A1387,StoreLookup,2,FALSE)</f>
        <v>Store#1</v>
      </c>
      <c r="G1387">
        <f>INDEX(CalLookUpTable,MATCH($B1387,CalLookUpRow,0),MATCH(G$1,CalLookUpColumn,0))</f>
        <v>2019</v>
      </c>
      <c r="H1387">
        <f>INDEX(CalLookUpTable,MATCH($B1387,CalLookUpRow,0),MATCH(H$1,CalLookUpColumn,0))</f>
        <v>12</v>
      </c>
      <c r="I1387">
        <f>INDEX(CalLookUpTable,MATCH($B1387,CalLookUpRow,0),MATCH(I$1,CalLookUpColumn,0))</f>
        <v>3</v>
      </c>
    </row>
    <row r="1388" spans="1:9" x14ac:dyDescent="0.25">
      <c r="A1388" s="7">
        <v>1</v>
      </c>
      <c r="B1388" s="8">
        <v>43812</v>
      </c>
      <c r="C1388" s="9" t="s">
        <v>5</v>
      </c>
      <c r="D1388" s="10">
        <v>3984.5189999999998</v>
      </c>
      <c r="E1388" s="10">
        <v>3339.7279999999996</v>
      </c>
      <c r="F1388" t="str">
        <f>VLOOKUP(A1388,StoreLookup,2,FALSE)</f>
        <v>Store#1</v>
      </c>
      <c r="G1388">
        <f>INDEX(CalLookUpTable,MATCH($B1388,CalLookUpRow,0),MATCH(G$1,CalLookUpColumn,0))</f>
        <v>2019</v>
      </c>
      <c r="H1388">
        <f>INDEX(CalLookUpTable,MATCH($B1388,CalLookUpRow,0),MATCH(H$1,CalLookUpColumn,0))</f>
        <v>12</v>
      </c>
      <c r="I1388">
        <f>INDEX(CalLookUpTable,MATCH($B1388,CalLookUpRow,0),MATCH(I$1,CalLookUpColumn,0))</f>
        <v>3</v>
      </c>
    </row>
    <row r="1389" spans="1:9" x14ac:dyDescent="0.25">
      <c r="A1389" s="7">
        <v>1</v>
      </c>
      <c r="B1389" s="8">
        <v>43812</v>
      </c>
      <c r="C1389" s="9" t="s">
        <v>3</v>
      </c>
      <c r="D1389" s="10">
        <v>434.49700000000001</v>
      </c>
      <c r="E1389" s="10">
        <v>158.84399999999999</v>
      </c>
      <c r="F1389" t="str">
        <f>VLOOKUP(A1389,StoreLookup,2,FALSE)</f>
        <v>Store#1</v>
      </c>
      <c r="G1389">
        <f>INDEX(CalLookUpTable,MATCH($B1389,CalLookUpRow,0),MATCH(G$1,CalLookUpColumn,0))</f>
        <v>2019</v>
      </c>
      <c r="H1389">
        <f>INDEX(CalLookUpTable,MATCH($B1389,CalLookUpRow,0),MATCH(H$1,CalLookUpColumn,0))</f>
        <v>12</v>
      </c>
      <c r="I1389">
        <f>INDEX(CalLookUpTable,MATCH($B1389,CalLookUpRow,0),MATCH(I$1,CalLookUpColumn,0))</f>
        <v>3</v>
      </c>
    </row>
    <row r="1390" spans="1:9" x14ac:dyDescent="0.25">
      <c r="A1390" s="7">
        <v>1</v>
      </c>
      <c r="B1390" s="8">
        <v>43813</v>
      </c>
      <c r="C1390" s="9" t="s">
        <v>6</v>
      </c>
      <c r="D1390" s="10">
        <v>892.43700000000001</v>
      </c>
      <c r="E1390" s="10">
        <v>835.02300000000002</v>
      </c>
      <c r="F1390" t="str">
        <f>VLOOKUP(A1390,StoreLookup,2,FALSE)</f>
        <v>Store#1</v>
      </c>
      <c r="G1390">
        <f>INDEX(CalLookUpTable,MATCH($B1390,CalLookUpRow,0),MATCH(G$1,CalLookUpColumn,0))</f>
        <v>2019</v>
      </c>
      <c r="H1390">
        <f>INDEX(CalLookUpTable,MATCH($B1390,CalLookUpRow,0),MATCH(H$1,CalLookUpColumn,0))</f>
        <v>12</v>
      </c>
      <c r="I1390">
        <f>INDEX(CalLookUpTable,MATCH($B1390,CalLookUpRow,0),MATCH(I$1,CalLookUpColumn,0))</f>
        <v>3</v>
      </c>
    </row>
    <row r="1391" spans="1:9" x14ac:dyDescent="0.25">
      <c r="A1391" s="7">
        <v>1</v>
      </c>
      <c r="B1391" s="8">
        <v>43813</v>
      </c>
      <c r="C1391" s="9" t="s">
        <v>3</v>
      </c>
      <c r="D1391" s="10">
        <v>228.89999999999998</v>
      </c>
      <c r="E1391" s="10">
        <v>31.100999999999999</v>
      </c>
      <c r="F1391" t="str">
        <f>VLOOKUP(A1391,StoreLookup,2,FALSE)</f>
        <v>Store#1</v>
      </c>
      <c r="G1391">
        <f>INDEX(CalLookUpTable,MATCH($B1391,CalLookUpRow,0),MATCH(G$1,CalLookUpColumn,0))</f>
        <v>2019</v>
      </c>
      <c r="H1391">
        <f>INDEX(CalLookUpTable,MATCH($B1391,CalLookUpRow,0),MATCH(H$1,CalLookUpColumn,0))</f>
        <v>12</v>
      </c>
      <c r="I1391">
        <f>INDEX(CalLookUpTable,MATCH($B1391,CalLookUpRow,0),MATCH(I$1,CalLookUpColumn,0))</f>
        <v>3</v>
      </c>
    </row>
    <row r="1392" spans="1:9" x14ac:dyDescent="0.25">
      <c r="A1392" s="7">
        <v>1</v>
      </c>
      <c r="B1392" s="8">
        <v>43813</v>
      </c>
      <c r="C1392" s="9" t="s">
        <v>5</v>
      </c>
      <c r="D1392" s="10">
        <v>3560.2350000000001</v>
      </c>
      <c r="E1392" s="10">
        <v>3121.4540000000002</v>
      </c>
      <c r="F1392" t="str">
        <f>VLOOKUP(A1392,StoreLookup,2,FALSE)</f>
        <v>Store#1</v>
      </c>
      <c r="G1392">
        <f>INDEX(CalLookUpTable,MATCH($B1392,CalLookUpRow,0),MATCH(G$1,CalLookUpColumn,0))</f>
        <v>2019</v>
      </c>
      <c r="H1392">
        <f>INDEX(CalLookUpTable,MATCH($B1392,CalLookUpRow,0),MATCH(H$1,CalLookUpColumn,0))</f>
        <v>12</v>
      </c>
      <c r="I1392">
        <f>INDEX(CalLookUpTable,MATCH($B1392,CalLookUpRow,0),MATCH(I$1,CalLookUpColumn,0))</f>
        <v>3</v>
      </c>
    </row>
    <row r="1393" spans="1:9" x14ac:dyDescent="0.25">
      <c r="A1393" s="7">
        <v>1</v>
      </c>
      <c r="B1393" s="8">
        <v>43813</v>
      </c>
      <c r="C1393" s="9" t="s">
        <v>4</v>
      </c>
      <c r="D1393" s="10">
        <v>5143.5859999999993</v>
      </c>
      <c r="E1393" s="10">
        <v>5115.1449999999995</v>
      </c>
      <c r="F1393" t="str">
        <f>VLOOKUP(A1393,StoreLookup,2,FALSE)</f>
        <v>Store#1</v>
      </c>
      <c r="G1393">
        <f>INDEX(CalLookUpTable,MATCH($B1393,CalLookUpRow,0),MATCH(G$1,CalLookUpColumn,0))</f>
        <v>2019</v>
      </c>
      <c r="H1393">
        <f>INDEX(CalLookUpTable,MATCH($B1393,CalLookUpRow,0),MATCH(H$1,CalLookUpColumn,0))</f>
        <v>12</v>
      </c>
      <c r="I1393">
        <f>INDEX(CalLookUpTable,MATCH($B1393,CalLookUpRow,0),MATCH(I$1,CalLookUpColumn,0))</f>
        <v>3</v>
      </c>
    </row>
    <row r="1394" spans="1:9" x14ac:dyDescent="0.25">
      <c r="A1394" s="7">
        <v>1</v>
      </c>
      <c r="B1394" s="8">
        <v>43814</v>
      </c>
      <c r="C1394" s="9" t="s">
        <v>4</v>
      </c>
      <c r="D1394" s="10">
        <v>2031.0359999999998</v>
      </c>
      <c r="E1394" s="10">
        <v>1732.752</v>
      </c>
      <c r="F1394" t="str">
        <f>VLOOKUP(A1394,StoreLookup,2,FALSE)</f>
        <v>Store#1</v>
      </c>
      <c r="G1394">
        <f>INDEX(CalLookUpTable,MATCH($B1394,CalLookUpRow,0),MATCH(G$1,CalLookUpColumn,0))</f>
        <v>2019</v>
      </c>
      <c r="H1394">
        <f>INDEX(CalLookUpTable,MATCH($B1394,CalLookUpRow,0),MATCH(H$1,CalLookUpColumn,0))</f>
        <v>12</v>
      </c>
      <c r="I1394">
        <f>INDEX(CalLookUpTable,MATCH($B1394,CalLookUpRow,0),MATCH(I$1,CalLookUpColumn,0))</f>
        <v>3</v>
      </c>
    </row>
    <row r="1395" spans="1:9" x14ac:dyDescent="0.25">
      <c r="A1395" s="7">
        <v>1</v>
      </c>
      <c r="B1395" s="8">
        <v>43814</v>
      </c>
      <c r="C1395" s="9" t="s">
        <v>6</v>
      </c>
      <c r="D1395" s="10">
        <v>727.06200000000001</v>
      </c>
      <c r="E1395" s="10">
        <v>226.10699999999997</v>
      </c>
      <c r="F1395" t="str">
        <f>VLOOKUP(A1395,StoreLookup,2,FALSE)</f>
        <v>Store#1</v>
      </c>
      <c r="G1395">
        <f>INDEX(CalLookUpTable,MATCH($B1395,CalLookUpRow,0),MATCH(G$1,CalLookUpColumn,0))</f>
        <v>2019</v>
      </c>
      <c r="H1395">
        <f>INDEX(CalLookUpTable,MATCH($B1395,CalLookUpRow,0),MATCH(H$1,CalLookUpColumn,0))</f>
        <v>12</v>
      </c>
      <c r="I1395">
        <f>INDEX(CalLookUpTable,MATCH($B1395,CalLookUpRow,0),MATCH(I$1,CalLookUpColumn,0))</f>
        <v>3</v>
      </c>
    </row>
    <row r="1396" spans="1:9" x14ac:dyDescent="0.25">
      <c r="A1396" s="7">
        <v>1</v>
      </c>
      <c r="B1396" s="8">
        <v>43814</v>
      </c>
      <c r="C1396" s="9" t="s">
        <v>5</v>
      </c>
      <c r="D1396" s="10">
        <v>1992.816</v>
      </c>
      <c r="E1396" s="10">
        <v>1762.4880000000001</v>
      </c>
      <c r="F1396" t="str">
        <f>VLOOKUP(A1396,StoreLookup,2,FALSE)</f>
        <v>Store#1</v>
      </c>
      <c r="G1396">
        <f>INDEX(CalLookUpTable,MATCH($B1396,CalLookUpRow,0),MATCH(G$1,CalLookUpColumn,0))</f>
        <v>2019</v>
      </c>
      <c r="H1396">
        <f>INDEX(CalLookUpTable,MATCH($B1396,CalLookUpRow,0),MATCH(H$1,CalLookUpColumn,0))</f>
        <v>12</v>
      </c>
      <c r="I1396">
        <f>INDEX(CalLookUpTable,MATCH($B1396,CalLookUpRow,0),MATCH(I$1,CalLookUpColumn,0))</f>
        <v>3</v>
      </c>
    </row>
    <row r="1397" spans="1:9" x14ac:dyDescent="0.25">
      <c r="A1397" s="7">
        <v>1</v>
      </c>
      <c r="B1397" s="8">
        <v>43814</v>
      </c>
      <c r="C1397" s="9" t="s">
        <v>3</v>
      </c>
      <c r="D1397" s="10">
        <v>965.15999999999985</v>
      </c>
      <c r="E1397" s="10">
        <v>0</v>
      </c>
      <c r="F1397" t="str">
        <f>VLOOKUP(A1397,StoreLookup,2,FALSE)</f>
        <v>Store#1</v>
      </c>
      <c r="G1397">
        <f>INDEX(CalLookUpTable,MATCH($B1397,CalLookUpRow,0),MATCH(G$1,CalLookUpColumn,0))</f>
        <v>2019</v>
      </c>
      <c r="H1397">
        <f>INDEX(CalLookUpTable,MATCH($B1397,CalLookUpRow,0),MATCH(H$1,CalLookUpColumn,0))</f>
        <v>12</v>
      </c>
      <c r="I1397">
        <f>INDEX(CalLookUpTable,MATCH($B1397,CalLookUpRow,0),MATCH(I$1,CalLookUpColumn,0))</f>
        <v>3</v>
      </c>
    </row>
    <row r="1398" spans="1:9" x14ac:dyDescent="0.25">
      <c r="A1398" s="7">
        <v>1</v>
      </c>
      <c r="B1398" s="8">
        <v>43815</v>
      </c>
      <c r="C1398" s="9" t="s">
        <v>5</v>
      </c>
      <c r="D1398" s="10">
        <v>3790.4719999999998</v>
      </c>
      <c r="E1398" s="10">
        <v>3114.8529999999996</v>
      </c>
      <c r="F1398" t="str">
        <f>VLOOKUP(A1398,StoreLookup,2,FALSE)</f>
        <v>Store#1</v>
      </c>
      <c r="G1398">
        <f>INDEX(CalLookUpTable,MATCH($B1398,CalLookUpRow,0),MATCH(G$1,CalLookUpColumn,0))</f>
        <v>2019</v>
      </c>
      <c r="H1398">
        <f>INDEX(CalLookUpTable,MATCH($B1398,CalLookUpRow,0),MATCH(H$1,CalLookUpColumn,0))</f>
        <v>12</v>
      </c>
      <c r="I1398">
        <f>INDEX(CalLookUpTable,MATCH($B1398,CalLookUpRow,0),MATCH(I$1,CalLookUpColumn,0))</f>
        <v>4</v>
      </c>
    </row>
    <row r="1399" spans="1:9" x14ac:dyDescent="0.25">
      <c r="A1399" s="7">
        <v>1</v>
      </c>
      <c r="B1399" s="8">
        <v>43815</v>
      </c>
      <c r="C1399" s="9" t="s">
        <v>6</v>
      </c>
      <c r="D1399" s="10">
        <v>1196.2649999999999</v>
      </c>
      <c r="E1399" s="10">
        <v>833.45500000000004</v>
      </c>
      <c r="F1399" t="str">
        <f>VLOOKUP(A1399,StoreLookup,2,FALSE)</f>
        <v>Store#1</v>
      </c>
      <c r="G1399">
        <f>INDEX(CalLookUpTable,MATCH($B1399,CalLookUpRow,0),MATCH(G$1,CalLookUpColumn,0))</f>
        <v>2019</v>
      </c>
      <c r="H1399">
        <f>INDEX(CalLookUpTable,MATCH($B1399,CalLookUpRow,0),MATCH(H$1,CalLookUpColumn,0))</f>
        <v>12</v>
      </c>
      <c r="I1399">
        <f>INDEX(CalLookUpTable,MATCH($B1399,CalLookUpRow,0),MATCH(I$1,CalLookUpColumn,0))</f>
        <v>4</v>
      </c>
    </row>
    <row r="1400" spans="1:9" x14ac:dyDescent="0.25">
      <c r="A1400" s="7">
        <v>1</v>
      </c>
      <c r="B1400" s="8">
        <v>43815</v>
      </c>
      <c r="C1400" s="9" t="s">
        <v>4</v>
      </c>
      <c r="D1400" s="10">
        <v>3838.4639999999999</v>
      </c>
      <c r="E1400" s="10">
        <v>4157.9160000000002</v>
      </c>
      <c r="F1400" t="str">
        <f>VLOOKUP(A1400,StoreLookup,2,FALSE)</f>
        <v>Store#1</v>
      </c>
      <c r="G1400">
        <f>INDEX(CalLookUpTable,MATCH($B1400,CalLookUpRow,0),MATCH(G$1,CalLookUpColumn,0))</f>
        <v>2019</v>
      </c>
      <c r="H1400">
        <f>INDEX(CalLookUpTable,MATCH($B1400,CalLookUpRow,0),MATCH(H$1,CalLookUpColumn,0))</f>
        <v>12</v>
      </c>
      <c r="I1400">
        <f>INDEX(CalLookUpTable,MATCH($B1400,CalLookUpRow,0),MATCH(I$1,CalLookUpColumn,0))</f>
        <v>4</v>
      </c>
    </row>
    <row r="1401" spans="1:9" x14ac:dyDescent="0.25">
      <c r="A1401" s="7">
        <v>1</v>
      </c>
      <c r="B1401" s="8">
        <v>43815</v>
      </c>
      <c r="C1401" s="9" t="s">
        <v>3</v>
      </c>
      <c r="D1401" s="10">
        <v>201.684</v>
      </c>
      <c r="E1401" s="10">
        <v>184.48499999999999</v>
      </c>
      <c r="F1401" t="str">
        <f>VLOOKUP(A1401,StoreLookup,2,FALSE)</f>
        <v>Store#1</v>
      </c>
      <c r="G1401">
        <f>INDEX(CalLookUpTable,MATCH($B1401,CalLookUpRow,0),MATCH(G$1,CalLookUpColumn,0))</f>
        <v>2019</v>
      </c>
      <c r="H1401">
        <f>INDEX(CalLookUpTable,MATCH($B1401,CalLookUpRow,0),MATCH(H$1,CalLookUpColumn,0))</f>
        <v>12</v>
      </c>
      <c r="I1401">
        <f>INDEX(CalLookUpTable,MATCH($B1401,CalLookUpRow,0),MATCH(I$1,CalLookUpColumn,0))</f>
        <v>4</v>
      </c>
    </row>
    <row r="1402" spans="1:9" x14ac:dyDescent="0.25">
      <c r="A1402" s="7">
        <v>1</v>
      </c>
      <c r="B1402" s="8">
        <v>43816</v>
      </c>
      <c r="C1402" s="9" t="s">
        <v>4</v>
      </c>
      <c r="D1402" s="10">
        <v>3811.6259999999997</v>
      </c>
      <c r="E1402" s="10">
        <v>4640.0549999999994</v>
      </c>
      <c r="F1402" t="str">
        <f>VLOOKUP(A1402,StoreLookup,2,FALSE)</f>
        <v>Store#1</v>
      </c>
      <c r="G1402">
        <f>INDEX(CalLookUpTable,MATCH($B1402,CalLookUpRow,0),MATCH(G$1,CalLookUpColumn,0))</f>
        <v>2019</v>
      </c>
      <c r="H1402">
        <f>INDEX(CalLookUpTable,MATCH($B1402,CalLookUpRow,0),MATCH(H$1,CalLookUpColumn,0))</f>
        <v>12</v>
      </c>
      <c r="I1402">
        <f>INDEX(CalLookUpTable,MATCH($B1402,CalLookUpRow,0),MATCH(I$1,CalLookUpColumn,0))</f>
        <v>4</v>
      </c>
    </row>
    <row r="1403" spans="1:9" x14ac:dyDescent="0.25">
      <c r="A1403" s="7">
        <v>1</v>
      </c>
      <c r="B1403" s="8">
        <v>43816</v>
      </c>
      <c r="C1403" s="9" t="s">
        <v>6</v>
      </c>
      <c r="D1403" s="10">
        <v>1007.265</v>
      </c>
      <c r="E1403" s="10">
        <v>1378.8949999999998</v>
      </c>
      <c r="F1403" t="str">
        <f>VLOOKUP(A1403,StoreLookup,2,FALSE)</f>
        <v>Store#1</v>
      </c>
      <c r="G1403">
        <f>INDEX(CalLookUpTable,MATCH($B1403,CalLookUpRow,0),MATCH(G$1,CalLookUpColumn,0))</f>
        <v>2019</v>
      </c>
      <c r="H1403">
        <f>INDEX(CalLookUpTable,MATCH($B1403,CalLookUpRow,0),MATCH(H$1,CalLookUpColumn,0))</f>
        <v>12</v>
      </c>
      <c r="I1403">
        <f>INDEX(CalLookUpTable,MATCH($B1403,CalLookUpRow,0),MATCH(I$1,CalLookUpColumn,0))</f>
        <v>4</v>
      </c>
    </row>
    <row r="1404" spans="1:9" x14ac:dyDescent="0.25">
      <c r="A1404" s="7">
        <v>1</v>
      </c>
      <c r="B1404" s="8">
        <v>43816</v>
      </c>
      <c r="C1404" s="9" t="s">
        <v>3</v>
      </c>
      <c r="D1404" s="10">
        <v>493.96199999999993</v>
      </c>
      <c r="E1404" s="10">
        <v>213.185</v>
      </c>
      <c r="F1404" t="str">
        <f>VLOOKUP(A1404,StoreLookup,2,FALSE)</f>
        <v>Store#1</v>
      </c>
      <c r="G1404">
        <f>INDEX(CalLookUpTable,MATCH($B1404,CalLookUpRow,0),MATCH(G$1,CalLookUpColumn,0))</f>
        <v>2019</v>
      </c>
      <c r="H1404">
        <f>INDEX(CalLookUpTable,MATCH($B1404,CalLookUpRow,0),MATCH(H$1,CalLookUpColumn,0))</f>
        <v>12</v>
      </c>
      <c r="I1404">
        <f>INDEX(CalLookUpTable,MATCH($B1404,CalLookUpRow,0),MATCH(I$1,CalLookUpColumn,0))</f>
        <v>4</v>
      </c>
    </row>
    <row r="1405" spans="1:9" x14ac:dyDescent="0.25">
      <c r="A1405" s="7">
        <v>1</v>
      </c>
      <c r="B1405" s="8">
        <v>43816</v>
      </c>
      <c r="C1405" s="9" t="s">
        <v>5</v>
      </c>
      <c r="D1405" s="10">
        <v>3325.8049999999994</v>
      </c>
      <c r="E1405" s="10">
        <v>2826.145</v>
      </c>
      <c r="F1405" t="str">
        <f>VLOOKUP(A1405,StoreLookup,2,FALSE)</f>
        <v>Store#1</v>
      </c>
      <c r="G1405">
        <f>INDEX(CalLookUpTable,MATCH($B1405,CalLookUpRow,0),MATCH(G$1,CalLookUpColumn,0))</f>
        <v>2019</v>
      </c>
      <c r="H1405">
        <f>INDEX(CalLookUpTable,MATCH($B1405,CalLookUpRow,0),MATCH(H$1,CalLookUpColumn,0))</f>
        <v>12</v>
      </c>
      <c r="I1405">
        <f>INDEX(CalLookUpTable,MATCH($B1405,CalLookUpRow,0),MATCH(I$1,CalLookUpColumn,0))</f>
        <v>4</v>
      </c>
    </row>
    <row r="1406" spans="1:9" x14ac:dyDescent="0.25">
      <c r="A1406" s="7">
        <v>1</v>
      </c>
      <c r="B1406" s="8">
        <v>43817</v>
      </c>
      <c r="C1406" s="9" t="s">
        <v>4</v>
      </c>
      <c r="D1406" s="10">
        <v>3931.8159999999998</v>
      </c>
      <c r="E1406" s="10">
        <v>4443.1589999999997</v>
      </c>
      <c r="F1406" t="str">
        <f>VLOOKUP(A1406,StoreLookup,2,FALSE)</f>
        <v>Store#1</v>
      </c>
      <c r="G1406">
        <f>INDEX(CalLookUpTable,MATCH($B1406,CalLookUpRow,0),MATCH(G$1,CalLookUpColumn,0))</f>
        <v>2019</v>
      </c>
      <c r="H1406">
        <f>INDEX(CalLookUpTable,MATCH($B1406,CalLookUpRow,0),MATCH(H$1,CalLookUpColumn,0))</f>
        <v>12</v>
      </c>
      <c r="I1406">
        <f>INDEX(CalLookUpTable,MATCH($B1406,CalLookUpRow,0),MATCH(I$1,CalLookUpColumn,0))</f>
        <v>4</v>
      </c>
    </row>
    <row r="1407" spans="1:9" x14ac:dyDescent="0.25">
      <c r="A1407" s="7">
        <v>1</v>
      </c>
      <c r="B1407" s="8">
        <v>43817</v>
      </c>
      <c r="C1407" s="9" t="s">
        <v>5</v>
      </c>
      <c r="D1407" s="10">
        <v>3213.3429999999998</v>
      </c>
      <c r="E1407" s="10">
        <v>2749.2289999999998</v>
      </c>
      <c r="F1407" t="str">
        <f>VLOOKUP(A1407,StoreLookup,2,FALSE)</f>
        <v>Store#1</v>
      </c>
      <c r="G1407">
        <f>INDEX(CalLookUpTable,MATCH($B1407,CalLookUpRow,0),MATCH(G$1,CalLookUpColumn,0))</f>
        <v>2019</v>
      </c>
      <c r="H1407">
        <f>INDEX(CalLookUpTable,MATCH($B1407,CalLookUpRow,0),MATCH(H$1,CalLookUpColumn,0))</f>
        <v>12</v>
      </c>
      <c r="I1407">
        <f>INDEX(CalLookUpTable,MATCH($B1407,CalLookUpRow,0),MATCH(I$1,CalLookUpColumn,0))</f>
        <v>4</v>
      </c>
    </row>
    <row r="1408" spans="1:9" x14ac:dyDescent="0.25">
      <c r="A1408" s="7">
        <v>1</v>
      </c>
      <c r="B1408" s="8">
        <v>43817</v>
      </c>
      <c r="C1408" s="9" t="s">
        <v>6</v>
      </c>
      <c r="D1408" s="10">
        <v>811.3069999999999</v>
      </c>
      <c r="E1408" s="10">
        <v>1242.0309999999999</v>
      </c>
      <c r="F1408" t="str">
        <f>VLOOKUP(A1408,StoreLookup,2,FALSE)</f>
        <v>Store#1</v>
      </c>
      <c r="G1408">
        <f>INDEX(CalLookUpTable,MATCH($B1408,CalLookUpRow,0),MATCH(G$1,CalLookUpColumn,0))</f>
        <v>2019</v>
      </c>
      <c r="H1408">
        <f>INDEX(CalLookUpTable,MATCH($B1408,CalLookUpRow,0),MATCH(H$1,CalLookUpColumn,0))</f>
        <v>12</v>
      </c>
      <c r="I1408">
        <f>INDEX(CalLookUpTable,MATCH($B1408,CalLookUpRow,0),MATCH(I$1,CalLookUpColumn,0))</f>
        <v>4</v>
      </c>
    </row>
    <row r="1409" spans="1:9" x14ac:dyDescent="0.25">
      <c r="A1409" s="7">
        <v>1</v>
      </c>
      <c r="B1409" s="8">
        <v>43817</v>
      </c>
      <c r="C1409" s="9" t="s">
        <v>3</v>
      </c>
      <c r="D1409" s="10">
        <v>129.24799999999999</v>
      </c>
      <c r="E1409" s="10">
        <v>261.53399999999999</v>
      </c>
      <c r="F1409" t="str">
        <f>VLOOKUP(A1409,StoreLookup,2,FALSE)</f>
        <v>Store#1</v>
      </c>
      <c r="G1409">
        <f>INDEX(CalLookUpTable,MATCH($B1409,CalLookUpRow,0),MATCH(G$1,CalLookUpColumn,0))</f>
        <v>2019</v>
      </c>
      <c r="H1409">
        <f>INDEX(CalLookUpTable,MATCH($B1409,CalLookUpRow,0),MATCH(H$1,CalLookUpColumn,0))</f>
        <v>12</v>
      </c>
      <c r="I1409">
        <f>INDEX(CalLookUpTable,MATCH($B1409,CalLookUpRow,0),MATCH(I$1,CalLookUpColumn,0))</f>
        <v>4</v>
      </c>
    </row>
    <row r="1410" spans="1:9" x14ac:dyDescent="0.25">
      <c r="A1410" s="7">
        <v>1</v>
      </c>
      <c r="B1410" s="8">
        <v>43818</v>
      </c>
      <c r="C1410" s="9" t="s">
        <v>4</v>
      </c>
      <c r="D1410" s="10">
        <v>3958.3179999999998</v>
      </c>
      <c r="E1410" s="10">
        <v>5041.7219999999998</v>
      </c>
      <c r="F1410" t="str">
        <f>VLOOKUP(A1410,StoreLookup,2,FALSE)</f>
        <v>Store#1</v>
      </c>
      <c r="G1410">
        <f>INDEX(CalLookUpTable,MATCH($B1410,CalLookUpRow,0),MATCH(G$1,CalLookUpColumn,0))</f>
        <v>2019</v>
      </c>
      <c r="H1410">
        <f>INDEX(CalLookUpTable,MATCH($B1410,CalLookUpRow,0),MATCH(H$1,CalLookUpColumn,0))</f>
        <v>12</v>
      </c>
      <c r="I1410">
        <f>INDEX(CalLookUpTable,MATCH($B1410,CalLookUpRow,0),MATCH(I$1,CalLookUpColumn,0))</f>
        <v>4</v>
      </c>
    </row>
    <row r="1411" spans="1:9" x14ac:dyDescent="0.25">
      <c r="A1411" s="7">
        <v>1</v>
      </c>
      <c r="B1411" s="8">
        <v>43818</v>
      </c>
      <c r="C1411" s="9" t="s">
        <v>6</v>
      </c>
      <c r="D1411" s="10">
        <v>1199.9469999999999</v>
      </c>
      <c r="E1411" s="10">
        <v>1013.0469999999999</v>
      </c>
      <c r="F1411" t="str">
        <f>VLOOKUP(A1411,StoreLookup,2,FALSE)</f>
        <v>Store#1</v>
      </c>
      <c r="G1411">
        <f>INDEX(CalLookUpTable,MATCH($B1411,CalLookUpRow,0),MATCH(G$1,CalLookUpColumn,0))</f>
        <v>2019</v>
      </c>
      <c r="H1411">
        <f>INDEX(CalLookUpTable,MATCH($B1411,CalLookUpRow,0),MATCH(H$1,CalLookUpColumn,0))</f>
        <v>12</v>
      </c>
      <c r="I1411">
        <f>INDEX(CalLookUpTable,MATCH($B1411,CalLookUpRow,0),MATCH(I$1,CalLookUpColumn,0))</f>
        <v>4</v>
      </c>
    </row>
    <row r="1412" spans="1:9" x14ac:dyDescent="0.25">
      <c r="A1412" s="7">
        <v>1</v>
      </c>
      <c r="B1412" s="8">
        <v>43818</v>
      </c>
      <c r="C1412" s="9" t="s">
        <v>3</v>
      </c>
      <c r="D1412" s="10">
        <v>651.76300000000003</v>
      </c>
      <c r="E1412" s="10">
        <v>319.26299999999998</v>
      </c>
      <c r="F1412" t="str">
        <f>VLOOKUP(A1412,StoreLookup,2,FALSE)</f>
        <v>Store#1</v>
      </c>
      <c r="G1412">
        <f>INDEX(CalLookUpTable,MATCH($B1412,CalLookUpRow,0),MATCH(G$1,CalLookUpColumn,0))</f>
        <v>2019</v>
      </c>
      <c r="H1412">
        <f>INDEX(CalLookUpTable,MATCH($B1412,CalLookUpRow,0),MATCH(H$1,CalLookUpColumn,0))</f>
        <v>12</v>
      </c>
      <c r="I1412">
        <f>INDEX(CalLookUpTable,MATCH($B1412,CalLookUpRow,0),MATCH(I$1,CalLookUpColumn,0))</f>
        <v>4</v>
      </c>
    </row>
    <row r="1413" spans="1:9" x14ac:dyDescent="0.25">
      <c r="A1413" s="7">
        <v>1</v>
      </c>
      <c r="B1413" s="8">
        <v>43818</v>
      </c>
      <c r="C1413" s="9" t="s">
        <v>5</v>
      </c>
      <c r="D1413" s="10">
        <v>3455.5429999999997</v>
      </c>
      <c r="E1413" s="10">
        <v>2875.6839999999997</v>
      </c>
      <c r="F1413" t="str">
        <f>VLOOKUP(A1413,StoreLookup,2,FALSE)</f>
        <v>Store#1</v>
      </c>
      <c r="G1413">
        <f>INDEX(CalLookUpTable,MATCH($B1413,CalLookUpRow,0),MATCH(G$1,CalLookUpColumn,0))</f>
        <v>2019</v>
      </c>
      <c r="H1413">
        <f>INDEX(CalLookUpTable,MATCH($B1413,CalLookUpRow,0),MATCH(H$1,CalLookUpColumn,0))</f>
        <v>12</v>
      </c>
      <c r="I1413">
        <f>INDEX(CalLookUpTable,MATCH($B1413,CalLookUpRow,0),MATCH(I$1,CalLookUpColumn,0))</f>
        <v>4</v>
      </c>
    </row>
    <row r="1414" spans="1:9" x14ac:dyDescent="0.25">
      <c r="A1414" s="7">
        <v>1</v>
      </c>
      <c r="B1414" s="8">
        <v>43819</v>
      </c>
      <c r="C1414" s="9" t="s">
        <v>3</v>
      </c>
      <c r="D1414" s="10">
        <v>774.53599999999994</v>
      </c>
      <c r="E1414" s="10">
        <v>1097.9499999999998</v>
      </c>
      <c r="F1414" t="str">
        <f>VLOOKUP(A1414,StoreLookup,2,FALSE)</f>
        <v>Store#1</v>
      </c>
      <c r="G1414">
        <f>INDEX(CalLookUpTable,MATCH($B1414,CalLookUpRow,0),MATCH(G$1,CalLookUpColumn,0))</f>
        <v>2019</v>
      </c>
      <c r="H1414">
        <f>INDEX(CalLookUpTable,MATCH($B1414,CalLookUpRow,0),MATCH(H$1,CalLookUpColumn,0))</f>
        <v>12</v>
      </c>
      <c r="I1414">
        <f>INDEX(CalLookUpTable,MATCH($B1414,CalLookUpRow,0),MATCH(I$1,CalLookUpColumn,0))</f>
        <v>4</v>
      </c>
    </row>
    <row r="1415" spans="1:9" x14ac:dyDescent="0.25">
      <c r="A1415" s="7">
        <v>1</v>
      </c>
      <c r="B1415" s="8">
        <v>43819</v>
      </c>
      <c r="C1415" s="9" t="s">
        <v>6</v>
      </c>
      <c r="D1415" s="10">
        <v>1459.78</v>
      </c>
      <c r="E1415" s="10">
        <v>1230.5650000000001</v>
      </c>
      <c r="F1415" t="str">
        <f>VLOOKUP(A1415,StoreLookup,2,FALSE)</f>
        <v>Store#1</v>
      </c>
      <c r="G1415">
        <f>INDEX(CalLookUpTable,MATCH($B1415,CalLookUpRow,0),MATCH(G$1,CalLookUpColumn,0))</f>
        <v>2019</v>
      </c>
      <c r="H1415">
        <f>INDEX(CalLookUpTable,MATCH($B1415,CalLookUpRow,0),MATCH(H$1,CalLookUpColumn,0))</f>
        <v>12</v>
      </c>
      <c r="I1415">
        <f>INDEX(CalLookUpTable,MATCH($B1415,CalLookUpRow,0),MATCH(I$1,CalLookUpColumn,0))</f>
        <v>4</v>
      </c>
    </row>
    <row r="1416" spans="1:9" x14ac:dyDescent="0.25">
      <c r="A1416" s="7">
        <v>1</v>
      </c>
      <c r="B1416" s="8">
        <v>43819</v>
      </c>
      <c r="C1416" s="9" t="s">
        <v>4</v>
      </c>
      <c r="D1416" s="10">
        <v>3864.9029999999998</v>
      </c>
      <c r="E1416" s="10">
        <v>4130.8119999999999</v>
      </c>
      <c r="F1416" t="str">
        <f>VLOOKUP(A1416,StoreLookup,2,FALSE)</f>
        <v>Store#1</v>
      </c>
      <c r="G1416">
        <f>INDEX(CalLookUpTable,MATCH($B1416,CalLookUpRow,0),MATCH(G$1,CalLookUpColumn,0))</f>
        <v>2019</v>
      </c>
      <c r="H1416">
        <f>INDEX(CalLookUpTable,MATCH($B1416,CalLookUpRow,0),MATCH(H$1,CalLookUpColumn,0))</f>
        <v>12</v>
      </c>
      <c r="I1416">
        <f>INDEX(CalLookUpTable,MATCH($B1416,CalLookUpRow,0),MATCH(I$1,CalLookUpColumn,0))</f>
        <v>4</v>
      </c>
    </row>
    <row r="1417" spans="1:9" x14ac:dyDescent="0.25">
      <c r="A1417" s="7">
        <v>1</v>
      </c>
      <c r="B1417" s="8">
        <v>43819</v>
      </c>
      <c r="C1417" s="9" t="s">
        <v>5</v>
      </c>
      <c r="D1417" s="10">
        <v>3431.8549999999996</v>
      </c>
      <c r="E1417" s="10">
        <v>2818.5429999999997</v>
      </c>
      <c r="F1417" t="str">
        <f>VLOOKUP(A1417,StoreLookup,2,FALSE)</f>
        <v>Store#1</v>
      </c>
      <c r="G1417">
        <f>INDEX(CalLookUpTable,MATCH($B1417,CalLookUpRow,0),MATCH(G$1,CalLookUpColumn,0))</f>
        <v>2019</v>
      </c>
      <c r="H1417">
        <f>INDEX(CalLookUpTable,MATCH($B1417,CalLookUpRow,0),MATCH(H$1,CalLookUpColumn,0))</f>
        <v>12</v>
      </c>
      <c r="I1417">
        <f>INDEX(CalLookUpTable,MATCH($B1417,CalLookUpRow,0),MATCH(I$1,CalLookUpColumn,0))</f>
        <v>4</v>
      </c>
    </row>
    <row r="1418" spans="1:9" x14ac:dyDescent="0.25">
      <c r="A1418" s="7">
        <v>1</v>
      </c>
      <c r="B1418" s="8">
        <v>43820</v>
      </c>
      <c r="C1418" s="9" t="s">
        <v>5</v>
      </c>
      <c r="D1418" s="10">
        <v>2702.3710000000001</v>
      </c>
      <c r="E1418" s="10">
        <v>2640.6309999999999</v>
      </c>
      <c r="F1418" t="str">
        <f>VLOOKUP(A1418,StoreLookup,2,FALSE)</f>
        <v>Store#1</v>
      </c>
      <c r="G1418">
        <f>INDEX(CalLookUpTable,MATCH($B1418,CalLookUpRow,0),MATCH(G$1,CalLookUpColumn,0))</f>
        <v>2019</v>
      </c>
      <c r="H1418">
        <f>INDEX(CalLookUpTable,MATCH($B1418,CalLookUpRow,0),MATCH(H$1,CalLookUpColumn,0))</f>
        <v>12</v>
      </c>
      <c r="I1418">
        <f>INDEX(CalLookUpTable,MATCH($B1418,CalLookUpRow,0),MATCH(I$1,CalLookUpColumn,0))</f>
        <v>4</v>
      </c>
    </row>
    <row r="1419" spans="1:9" x14ac:dyDescent="0.25">
      <c r="A1419" s="7">
        <v>1</v>
      </c>
      <c r="B1419" s="8">
        <v>43820</v>
      </c>
      <c r="C1419" s="9" t="s">
        <v>6</v>
      </c>
      <c r="D1419" s="10">
        <v>774.31200000000001</v>
      </c>
      <c r="E1419" s="10">
        <v>915.81699999999989</v>
      </c>
      <c r="F1419" t="str">
        <f>VLOOKUP(A1419,StoreLookup,2,FALSE)</f>
        <v>Store#1</v>
      </c>
      <c r="G1419">
        <f>INDEX(CalLookUpTable,MATCH($B1419,CalLookUpRow,0),MATCH(G$1,CalLookUpColumn,0))</f>
        <v>2019</v>
      </c>
      <c r="H1419">
        <f>INDEX(CalLookUpTable,MATCH($B1419,CalLookUpRow,0),MATCH(H$1,CalLookUpColumn,0))</f>
        <v>12</v>
      </c>
      <c r="I1419">
        <f>INDEX(CalLookUpTable,MATCH($B1419,CalLookUpRow,0),MATCH(I$1,CalLookUpColumn,0))</f>
        <v>4</v>
      </c>
    </row>
    <row r="1420" spans="1:9" x14ac:dyDescent="0.25">
      <c r="A1420" s="7">
        <v>1</v>
      </c>
      <c r="B1420" s="8">
        <v>43820</v>
      </c>
      <c r="C1420" s="9" t="s">
        <v>4</v>
      </c>
      <c r="D1420" s="10">
        <v>3743.1099999999997</v>
      </c>
      <c r="E1420" s="10">
        <v>3879.3999999999996</v>
      </c>
      <c r="F1420" t="str">
        <f>VLOOKUP(A1420,StoreLookup,2,FALSE)</f>
        <v>Store#1</v>
      </c>
      <c r="G1420">
        <f>INDEX(CalLookUpTable,MATCH($B1420,CalLookUpRow,0),MATCH(G$1,CalLookUpColumn,0))</f>
        <v>2019</v>
      </c>
      <c r="H1420">
        <f>INDEX(CalLookUpTable,MATCH($B1420,CalLookUpRow,0),MATCH(H$1,CalLookUpColumn,0))</f>
        <v>12</v>
      </c>
      <c r="I1420">
        <f>INDEX(CalLookUpTable,MATCH($B1420,CalLookUpRow,0),MATCH(I$1,CalLookUpColumn,0))</f>
        <v>4</v>
      </c>
    </row>
    <row r="1421" spans="1:9" x14ac:dyDescent="0.25">
      <c r="A1421" s="7">
        <v>1</v>
      </c>
      <c r="B1421" s="8">
        <v>43820</v>
      </c>
      <c r="C1421" s="9" t="s">
        <v>3</v>
      </c>
      <c r="D1421" s="10">
        <v>0</v>
      </c>
      <c r="E1421" s="10">
        <v>1432.6479999999999</v>
      </c>
      <c r="F1421" t="str">
        <f>VLOOKUP(A1421,StoreLookup,2,FALSE)</f>
        <v>Store#1</v>
      </c>
      <c r="G1421">
        <f>INDEX(CalLookUpTable,MATCH($B1421,CalLookUpRow,0),MATCH(G$1,CalLookUpColumn,0))</f>
        <v>2019</v>
      </c>
      <c r="H1421">
        <f>INDEX(CalLookUpTable,MATCH($B1421,CalLookUpRow,0),MATCH(H$1,CalLookUpColumn,0))</f>
        <v>12</v>
      </c>
      <c r="I1421">
        <f>INDEX(CalLookUpTable,MATCH($B1421,CalLookUpRow,0),MATCH(I$1,CalLookUpColumn,0))</f>
        <v>4</v>
      </c>
    </row>
    <row r="1422" spans="1:9" x14ac:dyDescent="0.25">
      <c r="A1422" s="7">
        <v>1</v>
      </c>
      <c r="B1422" s="8">
        <v>43821</v>
      </c>
      <c r="C1422" s="9" t="s">
        <v>4</v>
      </c>
      <c r="D1422" s="10">
        <v>1576.5889999999999</v>
      </c>
      <c r="E1422" s="10">
        <v>1437.289</v>
      </c>
      <c r="F1422" t="str">
        <f>VLOOKUP(A1422,StoreLookup,2,FALSE)</f>
        <v>Store#1</v>
      </c>
      <c r="G1422">
        <f>INDEX(CalLookUpTable,MATCH($B1422,CalLookUpRow,0),MATCH(G$1,CalLookUpColumn,0))</f>
        <v>2019</v>
      </c>
      <c r="H1422">
        <f>INDEX(CalLookUpTable,MATCH($B1422,CalLookUpRow,0),MATCH(H$1,CalLookUpColumn,0))</f>
        <v>12</v>
      </c>
      <c r="I1422">
        <f>INDEX(CalLookUpTable,MATCH($B1422,CalLookUpRow,0),MATCH(I$1,CalLookUpColumn,0))</f>
        <v>4</v>
      </c>
    </row>
    <row r="1423" spans="1:9" x14ac:dyDescent="0.25">
      <c r="A1423" s="7">
        <v>1</v>
      </c>
      <c r="B1423" s="8">
        <v>43821</v>
      </c>
      <c r="C1423" s="9" t="s">
        <v>6</v>
      </c>
      <c r="D1423" s="10">
        <v>565.96399999999994</v>
      </c>
      <c r="E1423" s="10">
        <v>218.01499999999999</v>
      </c>
      <c r="F1423" t="str">
        <f>VLOOKUP(A1423,StoreLookup,2,FALSE)</f>
        <v>Store#1</v>
      </c>
      <c r="G1423">
        <f>INDEX(CalLookUpTable,MATCH($B1423,CalLookUpRow,0),MATCH(G$1,CalLookUpColumn,0))</f>
        <v>2019</v>
      </c>
      <c r="H1423">
        <f>INDEX(CalLookUpTable,MATCH($B1423,CalLookUpRow,0),MATCH(H$1,CalLookUpColumn,0))</f>
        <v>12</v>
      </c>
      <c r="I1423">
        <f>INDEX(CalLookUpTable,MATCH($B1423,CalLookUpRow,0),MATCH(I$1,CalLookUpColumn,0))</f>
        <v>4</v>
      </c>
    </row>
    <row r="1424" spans="1:9" x14ac:dyDescent="0.25">
      <c r="A1424" s="7">
        <v>1</v>
      </c>
      <c r="B1424" s="8">
        <v>43821</v>
      </c>
      <c r="C1424" s="9" t="s">
        <v>5</v>
      </c>
      <c r="D1424" s="10">
        <v>1344.7629999999999</v>
      </c>
      <c r="E1424" s="10">
        <v>1193.1989999999998</v>
      </c>
      <c r="F1424" t="str">
        <f>VLOOKUP(A1424,StoreLookup,2,FALSE)</f>
        <v>Store#1</v>
      </c>
      <c r="G1424">
        <f>INDEX(CalLookUpTable,MATCH($B1424,CalLookUpRow,0),MATCH(G$1,CalLookUpColumn,0))</f>
        <v>2019</v>
      </c>
      <c r="H1424">
        <f>INDEX(CalLookUpTable,MATCH($B1424,CalLookUpRow,0),MATCH(H$1,CalLookUpColumn,0))</f>
        <v>12</v>
      </c>
      <c r="I1424">
        <f>INDEX(CalLookUpTable,MATCH($B1424,CalLookUpRow,0),MATCH(I$1,CalLookUpColumn,0))</f>
        <v>4</v>
      </c>
    </row>
    <row r="1425" spans="1:9" x14ac:dyDescent="0.25">
      <c r="A1425" s="7">
        <v>1</v>
      </c>
      <c r="B1425" s="8">
        <v>43821</v>
      </c>
      <c r="C1425" s="9" t="s">
        <v>3</v>
      </c>
      <c r="D1425" s="10">
        <v>123.61999999999999</v>
      </c>
      <c r="E1425" s="10">
        <v>8.7359999999999989</v>
      </c>
      <c r="F1425" t="str">
        <f>VLOOKUP(A1425,StoreLookup,2,FALSE)</f>
        <v>Store#1</v>
      </c>
      <c r="G1425">
        <f>INDEX(CalLookUpTable,MATCH($B1425,CalLookUpRow,0),MATCH(G$1,CalLookUpColumn,0))</f>
        <v>2019</v>
      </c>
      <c r="H1425">
        <f>INDEX(CalLookUpTable,MATCH($B1425,CalLookUpRow,0),MATCH(H$1,CalLookUpColumn,0))</f>
        <v>12</v>
      </c>
      <c r="I1425">
        <f>INDEX(CalLookUpTable,MATCH($B1425,CalLookUpRow,0),MATCH(I$1,CalLookUpColumn,0))</f>
        <v>4</v>
      </c>
    </row>
    <row r="1426" spans="1:9" x14ac:dyDescent="0.25">
      <c r="A1426" s="7">
        <v>1</v>
      </c>
      <c r="B1426" s="8">
        <v>43822</v>
      </c>
      <c r="C1426" s="9" t="s">
        <v>6</v>
      </c>
      <c r="D1426" s="10">
        <v>957.726</v>
      </c>
      <c r="E1426" s="10">
        <v>741.88099999999986</v>
      </c>
      <c r="F1426" t="str">
        <f>VLOOKUP(A1426,StoreLookup,2,FALSE)</f>
        <v>Store#1</v>
      </c>
      <c r="G1426">
        <f>INDEX(CalLookUpTable,MATCH($B1426,CalLookUpRow,0),MATCH(G$1,CalLookUpColumn,0))</f>
        <v>2019</v>
      </c>
      <c r="H1426">
        <f>INDEX(CalLookUpTable,MATCH($B1426,CalLookUpRow,0),MATCH(H$1,CalLookUpColumn,0))</f>
        <v>12</v>
      </c>
      <c r="I1426">
        <f>INDEX(CalLookUpTable,MATCH($B1426,CalLookUpRow,0),MATCH(I$1,CalLookUpColumn,0))</f>
        <v>5</v>
      </c>
    </row>
    <row r="1427" spans="1:9" x14ac:dyDescent="0.25">
      <c r="A1427" s="7">
        <v>1</v>
      </c>
      <c r="B1427" s="8">
        <v>43822</v>
      </c>
      <c r="C1427" s="9" t="s">
        <v>4</v>
      </c>
      <c r="D1427" s="10">
        <v>3580.2619999999997</v>
      </c>
      <c r="E1427" s="10">
        <v>3276.0909999999999</v>
      </c>
      <c r="F1427" t="str">
        <f>VLOOKUP(A1427,StoreLookup,2,FALSE)</f>
        <v>Store#1</v>
      </c>
      <c r="G1427">
        <f>INDEX(CalLookUpTable,MATCH($B1427,CalLookUpRow,0),MATCH(G$1,CalLookUpColumn,0))</f>
        <v>2019</v>
      </c>
      <c r="H1427">
        <f>INDEX(CalLookUpTable,MATCH($B1427,CalLookUpRow,0),MATCH(H$1,CalLookUpColumn,0))</f>
        <v>12</v>
      </c>
      <c r="I1427">
        <f>INDEX(CalLookUpTable,MATCH($B1427,CalLookUpRow,0),MATCH(I$1,CalLookUpColumn,0))</f>
        <v>5</v>
      </c>
    </row>
    <row r="1428" spans="1:9" x14ac:dyDescent="0.25">
      <c r="A1428" s="7">
        <v>1</v>
      </c>
      <c r="B1428" s="8">
        <v>43822</v>
      </c>
      <c r="C1428" s="9" t="s">
        <v>3</v>
      </c>
      <c r="D1428" s="10">
        <v>614.93599999999992</v>
      </c>
      <c r="E1428" s="10">
        <v>717.31799999999998</v>
      </c>
      <c r="F1428" t="str">
        <f>VLOOKUP(A1428,StoreLookup,2,FALSE)</f>
        <v>Store#1</v>
      </c>
      <c r="G1428">
        <f>INDEX(CalLookUpTable,MATCH($B1428,CalLookUpRow,0),MATCH(G$1,CalLookUpColumn,0))</f>
        <v>2019</v>
      </c>
      <c r="H1428">
        <f>INDEX(CalLookUpTable,MATCH($B1428,CalLookUpRow,0),MATCH(H$1,CalLookUpColumn,0))</f>
        <v>12</v>
      </c>
      <c r="I1428">
        <f>INDEX(CalLookUpTable,MATCH($B1428,CalLookUpRow,0),MATCH(I$1,CalLookUpColumn,0))</f>
        <v>5</v>
      </c>
    </row>
    <row r="1429" spans="1:9" x14ac:dyDescent="0.25">
      <c r="A1429" s="7">
        <v>1</v>
      </c>
      <c r="B1429" s="8">
        <v>43822</v>
      </c>
      <c r="C1429" s="9" t="s">
        <v>5</v>
      </c>
      <c r="D1429" s="10">
        <v>3061.5619999999999</v>
      </c>
      <c r="E1429" s="10">
        <v>1377.425</v>
      </c>
      <c r="F1429" t="str">
        <f>VLOOKUP(A1429,StoreLookup,2,FALSE)</f>
        <v>Store#1</v>
      </c>
      <c r="G1429">
        <f>INDEX(CalLookUpTable,MATCH($B1429,CalLookUpRow,0),MATCH(G$1,CalLookUpColumn,0))</f>
        <v>2019</v>
      </c>
      <c r="H1429">
        <f>INDEX(CalLookUpTable,MATCH($B1429,CalLookUpRow,0),MATCH(H$1,CalLookUpColumn,0))</f>
        <v>12</v>
      </c>
      <c r="I1429">
        <f>INDEX(CalLookUpTable,MATCH($B1429,CalLookUpRow,0),MATCH(I$1,CalLookUpColumn,0))</f>
        <v>5</v>
      </c>
    </row>
    <row r="1430" spans="1:9" x14ac:dyDescent="0.25">
      <c r="A1430" s="7">
        <v>1</v>
      </c>
      <c r="B1430" s="8">
        <v>43823</v>
      </c>
      <c r="C1430" s="9" t="s">
        <v>4</v>
      </c>
      <c r="D1430" s="10">
        <v>2150.0639999999999</v>
      </c>
      <c r="E1430" s="10">
        <v>0</v>
      </c>
      <c r="F1430" t="str">
        <f>VLOOKUP(A1430,StoreLookup,2,FALSE)</f>
        <v>Store#1</v>
      </c>
      <c r="G1430">
        <f>INDEX(CalLookUpTable,MATCH($B1430,CalLookUpRow,0),MATCH(G$1,CalLookUpColumn,0))</f>
        <v>2019</v>
      </c>
      <c r="H1430">
        <f>INDEX(CalLookUpTable,MATCH($B1430,CalLookUpRow,0),MATCH(H$1,CalLookUpColumn,0))</f>
        <v>12</v>
      </c>
      <c r="I1430">
        <f>INDEX(CalLookUpTable,MATCH($B1430,CalLookUpRow,0),MATCH(I$1,CalLookUpColumn,0))</f>
        <v>5</v>
      </c>
    </row>
    <row r="1431" spans="1:9" x14ac:dyDescent="0.25">
      <c r="A1431" s="7">
        <v>1</v>
      </c>
      <c r="B1431" s="8">
        <v>43823</v>
      </c>
      <c r="C1431" s="9" t="s">
        <v>3</v>
      </c>
      <c r="D1431" s="10">
        <v>713.02</v>
      </c>
      <c r="E1431" s="10">
        <v>0</v>
      </c>
      <c r="F1431" t="str">
        <f>VLOOKUP(A1431,StoreLookup,2,FALSE)</f>
        <v>Store#1</v>
      </c>
      <c r="G1431">
        <f>INDEX(CalLookUpTable,MATCH($B1431,CalLookUpRow,0),MATCH(G$1,CalLookUpColumn,0))</f>
        <v>2019</v>
      </c>
      <c r="H1431">
        <f>INDEX(CalLookUpTable,MATCH($B1431,CalLookUpRow,0),MATCH(H$1,CalLookUpColumn,0))</f>
        <v>12</v>
      </c>
      <c r="I1431">
        <f>INDEX(CalLookUpTable,MATCH($B1431,CalLookUpRow,0),MATCH(I$1,CalLookUpColumn,0))</f>
        <v>5</v>
      </c>
    </row>
    <row r="1432" spans="1:9" x14ac:dyDescent="0.25">
      <c r="A1432" s="7">
        <v>1</v>
      </c>
      <c r="B1432" s="8">
        <v>43823</v>
      </c>
      <c r="C1432" s="9" t="s">
        <v>6</v>
      </c>
      <c r="D1432" s="10">
        <v>1160.9359999999999</v>
      </c>
      <c r="E1432" s="10">
        <v>0</v>
      </c>
      <c r="F1432" t="str">
        <f>VLOOKUP(A1432,StoreLookup,2,FALSE)</f>
        <v>Store#1</v>
      </c>
      <c r="G1432">
        <f>INDEX(CalLookUpTable,MATCH($B1432,CalLookUpRow,0),MATCH(G$1,CalLookUpColumn,0))</f>
        <v>2019</v>
      </c>
      <c r="H1432">
        <f>INDEX(CalLookUpTable,MATCH($B1432,CalLookUpRow,0),MATCH(H$1,CalLookUpColumn,0))</f>
        <v>12</v>
      </c>
      <c r="I1432">
        <f>INDEX(CalLookUpTable,MATCH($B1432,CalLookUpRow,0),MATCH(I$1,CalLookUpColumn,0))</f>
        <v>5</v>
      </c>
    </row>
    <row r="1433" spans="1:9" x14ac:dyDescent="0.25">
      <c r="A1433" s="7">
        <v>1</v>
      </c>
      <c r="B1433" s="8">
        <v>43823</v>
      </c>
      <c r="C1433" s="9" t="s">
        <v>5</v>
      </c>
      <c r="D1433" s="10">
        <v>1455.2929999999997</v>
      </c>
      <c r="E1433" s="10">
        <v>0</v>
      </c>
      <c r="F1433" t="str">
        <f>VLOOKUP(A1433,StoreLookup,2,FALSE)</f>
        <v>Store#1</v>
      </c>
      <c r="G1433">
        <f>INDEX(CalLookUpTable,MATCH($B1433,CalLookUpRow,0),MATCH(G$1,CalLookUpColumn,0))</f>
        <v>2019</v>
      </c>
      <c r="H1433">
        <f>INDEX(CalLookUpTable,MATCH($B1433,CalLookUpRow,0),MATCH(H$1,CalLookUpColumn,0))</f>
        <v>12</v>
      </c>
      <c r="I1433">
        <f>INDEX(CalLookUpTable,MATCH($B1433,CalLookUpRow,0),MATCH(I$1,CalLookUpColumn,0))</f>
        <v>5</v>
      </c>
    </row>
    <row r="1434" spans="1:9" x14ac:dyDescent="0.25">
      <c r="A1434" s="7">
        <v>1</v>
      </c>
      <c r="B1434" s="8">
        <v>43824</v>
      </c>
      <c r="C1434" s="9" t="s">
        <v>3</v>
      </c>
      <c r="D1434" s="10">
        <v>0</v>
      </c>
      <c r="E1434" s="10">
        <v>193.31200000000001</v>
      </c>
      <c r="F1434" t="str">
        <f>VLOOKUP(A1434,StoreLookup,2,FALSE)</f>
        <v>Store#1</v>
      </c>
      <c r="G1434">
        <f>INDEX(CalLookUpTable,MATCH($B1434,CalLookUpRow,0),MATCH(G$1,CalLookUpColumn,0))</f>
        <v>2019</v>
      </c>
      <c r="H1434">
        <f>INDEX(CalLookUpTable,MATCH($B1434,CalLookUpRow,0),MATCH(H$1,CalLookUpColumn,0))</f>
        <v>12</v>
      </c>
      <c r="I1434">
        <f>INDEX(CalLookUpTable,MATCH($B1434,CalLookUpRow,0),MATCH(I$1,CalLookUpColumn,0))</f>
        <v>5</v>
      </c>
    </row>
    <row r="1435" spans="1:9" x14ac:dyDescent="0.25">
      <c r="A1435" s="7">
        <v>1</v>
      </c>
      <c r="B1435" s="8">
        <v>43824</v>
      </c>
      <c r="C1435" s="9" t="s">
        <v>4</v>
      </c>
      <c r="D1435" s="10">
        <v>0</v>
      </c>
      <c r="E1435" s="10">
        <v>3834.2779999999998</v>
      </c>
      <c r="F1435" t="str">
        <f>VLOOKUP(A1435,StoreLookup,2,FALSE)</f>
        <v>Store#1</v>
      </c>
      <c r="G1435">
        <f>INDEX(CalLookUpTable,MATCH($B1435,CalLookUpRow,0),MATCH(G$1,CalLookUpColumn,0))</f>
        <v>2019</v>
      </c>
      <c r="H1435">
        <f>INDEX(CalLookUpTable,MATCH($B1435,CalLookUpRow,0),MATCH(H$1,CalLookUpColumn,0))</f>
        <v>12</v>
      </c>
      <c r="I1435">
        <f>INDEX(CalLookUpTable,MATCH($B1435,CalLookUpRow,0),MATCH(I$1,CalLookUpColumn,0))</f>
        <v>5</v>
      </c>
    </row>
    <row r="1436" spans="1:9" x14ac:dyDescent="0.25">
      <c r="A1436" s="7">
        <v>1</v>
      </c>
      <c r="B1436" s="8">
        <v>43824</v>
      </c>
      <c r="C1436" s="9" t="s">
        <v>6</v>
      </c>
      <c r="D1436" s="10">
        <v>0</v>
      </c>
      <c r="E1436" s="10">
        <v>917.98</v>
      </c>
      <c r="F1436" t="str">
        <f>VLOOKUP(A1436,StoreLookup,2,FALSE)</f>
        <v>Store#1</v>
      </c>
      <c r="G1436">
        <f>INDEX(CalLookUpTable,MATCH($B1436,CalLookUpRow,0),MATCH(G$1,CalLookUpColumn,0))</f>
        <v>2019</v>
      </c>
      <c r="H1436">
        <f>INDEX(CalLookUpTable,MATCH($B1436,CalLookUpRow,0),MATCH(H$1,CalLookUpColumn,0))</f>
        <v>12</v>
      </c>
      <c r="I1436">
        <f>INDEX(CalLookUpTable,MATCH($B1436,CalLookUpRow,0),MATCH(I$1,CalLookUpColumn,0))</f>
        <v>5</v>
      </c>
    </row>
    <row r="1437" spans="1:9" x14ac:dyDescent="0.25">
      <c r="A1437" s="7">
        <v>1</v>
      </c>
      <c r="B1437" s="8">
        <v>43824</v>
      </c>
      <c r="C1437" s="9" t="s">
        <v>5</v>
      </c>
      <c r="D1437" s="10">
        <v>0</v>
      </c>
      <c r="E1437" s="10">
        <v>2597.7419999999997</v>
      </c>
      <c r="F1437" t="str">
        <f>VLOOKUP(A1437,StoreLookup,2,FALSE)</f>
        <v>Store#1</v>
      </c>
      <c r="G1437">
        <f>INDEX(CalLookUpTable,MATCH($B1437,CalLookUpRow,0),MATCH(G$1,CalLookUpColumn,0))</f>
        <v>2019</v>
      </c>
      <c r="H1437">
        <f>INDEX(CalLookUpTable,MATCH($B1437,CalLookUpRow,0),MATCH(H$1,CalLookUpColumn,0))</f>
        <v>12</v>
      </c>
      <c r="I1437">
        <f>INDEX(CalLookUpTable,MATCH($B1437,CalLookUpRow,0),MATCH(I$1,CalLookUpColumn,0))</f>
        <v>5</v>
      </c>
    </row>
    <row r="1438" spans="1:9" x14ac:dyDescent="0.25">
      <c r="A1438" s="7">
        <v>1</v>
      </c>
      <c r="B1438" s="8">
        <v>43825</v>
      </c>
      <c r="C1438" s="9" t="s">
        <v>5</v>
      </c>
      <c r="D1438" s="10">
        <v>2921.4079999999994</v>
      </c>
      <c r="E1438" s="10">
        <v>2683.66</v>
      </c>
      <c r="F1438" t="str">
        <f>VLOOKUP(A1438,StoreLookup,2,FALSE)</f>
        <v>Store#1</v>
      </c>
      <c r="G1438">
        <f>INDEX(CalLookUpTable,MATCH($B1438,CalLookUpRow,0),MATCH(G$1,CalLookUpColumn,0))</f>
        <v>2019</v>
      </c>
      <c r="H1438">
        <f>INDEX(CalLookUpTable,MATCH($B1438,CalLookUpRow,0),MATCH(H$1,CalLookUpColumn,0))</f>
        <v>12</v>
      </c>
      <c r="I1438">
        <f>INDEX(CalLookUpTable,MATCH($B1438,CalLookUpRow,0),MATCH(I$1,CalLookUpColumn,0))</f>
        <v>5</v>
      </c>
    </row>
    <row r="1439" spans="1:9" x14ac:dyDescent="0.25">
      <c r="A1439" s="7">
        <v>1</v>
      </c>
      <c r="B1439" s="8">
        <v>43825</v>
      </c>
      <c r="C1439" s="9" t="s">
        <v>6</v>
      </c>
      <c r="D1439" s="10">
        <v>1338.6029999999998</v>
      </c>
      <c r="E1439" s="10">
        <v>1236.0459999999998</v>
      </c>
      <c r="F1439" t="str">
        <f>VLOOKUP(A1439,StoreLookup,2,FALSE)</f>
        <v>Store#1</v>
      </c>
      <c r="G1439">
        <f>INDEX(CalLookUpTable,MATCH($B1439,CalLookUpRow,0),MATCH(G$1,CalLookUpColumn,0))</f>
        <v>2019</v>
      </c>
      <c r="H1439">
        <f>INDEX(CalLookUpTable,MATCH($B1439,CalLookUpRow,0),MATCH(H$1,CalLookUpColumn,0))</f>
        <v>12</v>
      </c>
      <c r="I1439">
        <f>INDEX(CalLookUpTable,MATCH($B1439,CalLookUpRow,0),MATCH(I$1,CalLookUpColumn,0))</f>
        <v>5</v>
      </c>
    </row>
    <row r="1440" spans="1:9" x14ac:dyDescent="0.25">
      <c r="A1440" s="7">
        <v>1</v>
      </c>
      <c r="B1440" s="8">
        <v>43825</v>
      </c>
      <c r="C1440" s="9" t="s">
        <v>3</v>
      </c>
      <c r="D1440" s="10">
        <v>60.55</v>
      </c>
      <c r="E1440" s="10">
        <v>0</v>
      </c>
      <c r="F1440" t="str">
        <f>VLOOKUP(A1440,StoreLookup,2,FALSE)</f>
        <v>Store#1</v>
      </c>
      <c r="G1440">
        <f>INDEX(CalLookUpTable,MATCH($B1440,CalLookUpRow,0),MATCH(G$1,CalLookUpColumn,0))</f>
        <v>2019</v>
      </c>
      <c r="H1440">
        <f>INDEX(CalLookUpTable,MATCH($B1440,CalLookUpRow,0),MATCH(H$1,CalLookUpColumn,0))</f>
        <v>12</v>
      </c>
      <c r="I1440">
        <f>INDEX(CalLookUpTable,MATCH($B1440,CalLookUpRow,0),MATCH(I$1,CalLookUpColumn,0))</f>
        <v>5</v>
      </c>
    </row>
    <row r="1441" spans="1:9" x14ac:dyDescent="0.25">
      <c r="A1441" s="7">
        <v>1</v>
      </c>
      <c r="B1441" s="8">
        <v>43825</v>
      </c>
      <c r="C1441" s="9" t="s">
        <v>4</v>
      </c>
      <c r="D1441" s="10">
        <v>3961.8040000000001</v>
      </c>
      <c r="E1441" s="10">
        <v>3967.5509999999999</v>
      </c>
      <c r="F1441" t="str">
        <f>VLOOKUP(A1441,StoreLookup,2,FALSE)</f>
        <v>Store#1</v>
      </c>
      <c r="G1441">
        <f>INDEX(CalLookUpTable,MATCH($B1441,CalLookUpRow,0),MATCH(G$1,CalLookUpColumn,0))</f>
        <v>2019</v>
      </c>
      <c r="H1441">
        <f>INDEX(CalLookUpTable,MATCH($B1441,CalLookUpRow,0),MATCH(H$1,CalLookUpColumn,0))</f>
        <v>12</v>
      </c>
      <c r="I1441">
        <f>INDEX(CalLookUpTable,MATCH($B1441,CalLookUpRow,0),MATCH(I$1,CalLookUpColumn,0))</f>
        <v>5</v>
      </c>
    </row>
    <row r="1442" spans="1:9" x14ac:dyDescent="0.25">
      <c r="A1442" s="7">
        <v>1</v>
      </c>
      <c r="B1442" s="8">
        <v>43826</v>
      </c>
      <c r="C1442" s="9" t="s">
        <v>3</v>
      </c>
      <c r="D1442" s="10">
        <v>54.865999999999993</v>
      </c>
      <c r="E1442" s="10">
        <v>138.47399999999999</v>
      </c>
      <c r="F1442" t="str">
        <f>VLOOKUP(A1442,StoreLookup,2,FALSE)</f>
        <v>Store#1</v>
      </c>
      <c r="G1442">
        <f>INDEX(CalLookUpTable,MATCH($B1442,CalLookUpRow,0),MATCH(G$1,CalLookUpColumn,0))</f>
        <v>2019</v>
      </c>
      <c r="H1442">
        <f>INDEX(CalLookUpTable,MATCH($B1442,CalLookUpRow,0),MATCH(H$1,CalLookUpColumn,0))</f>
        <v>12</v>
      </c>
      <c r="I1442">
        <f>INDEX(CalLookUpTable,MATCH($B1442,CalLookUpRow,0),MATCH(I$1,CalLookUpColumn,0))</f>
        <v>5</v>
      </c>
    </row>
    <row r="1443" spans="1:9" x14ac:dyDescent="0.25">
      <c r="A1443" s="7">
        <v>1</v>
      </c>
      <c r="B1443" s="8">
        <v>43826</v>
      </c>
      <c r="C1443" s="9" t="s">
        <v>4</v>
      </c>
      <c r="D1443" s="10">
        <v>4014.8989999999994</v>
      </c>
      <c r="E1443" s="10">
        <v>4193.7979999999998</v>
      </c>
      <c r="F1443" t="str">
        <f>VLOOKUP(A1443,StoreLookup,2,FALSE)</f>
        <v>Store#1</v>
      </c>
      <c r="G1443">
        <f>INDEX(CalLookUpTable,MATCH($B1443,CalLookUpRow,0),MATCH(G$1,CalLookUpColumn,0))</f>
        <v>2019</v>
      </c>
      <c r="H1443">
        <f>INDEX(CalLookUpTable,MATCH($B1443,CalLookUpRow,0),MATCH(H$1,CalLookUpColumn,0))</f>
        <v>12</v>
      </c>
      <c r="I1443">
        <f>INDEX(CalLookUpTable,MATCH($B1443,CalLookUpRow,0),MATCH(I$1,CalLookUpColumn,0))</f>
        <v>5</v>
      </c>
    </row>
    <row r="1444" spans="1:9" x14ac:dyDescent="0.25">
      <c r="A1444" s="7">
        <v>1</v>
      </c>
      <c r="B1444" s="8">
        <v>43826</v>
      </c>
      <c r="C1444" s="9" t="s">
        <v>6</v>
      </c>
      <c r="D1444" s="10">
        <v>1349.5719999999999</v>
      </c>
      <c r="E1444" s="10">
        <v>1346.961</v>
      </c>
      <c r="F1444" t="str">
        <f>VLOOKUP(A1444,StoreLookup,2,FALSE)</f>
        <v>Store#1</v>
      </c>
      <c r="G1444">
        <f>INDEX(CalLookUpTable,MATCH($B1444,CalLookUpRow,0),MATCH(G$1,CalLookUpColumn,0))</f>
        <v>2019</v>
      </c>
      <c r="H1444">
        <f>INDEX(CalLookUpTable,MATCH($B1444,CalLookUpRow,0),MATCH(H$1,CalLookUpColumn,0))</f>
        <v>12</v>
      </c>
      <c r="I1444">
        <f>INDEX(CalLookUpTable,MATCH($B1444,CalLookUpRow,0),MATCH(I$1,CalLookUpColumn,0))</f>
        <v>5</v>
      </c>
    </row>
    <row r="1445" spans="1:9" x14ac:dyDescent="0.25">
      <c r="A1445" s="7">
        <v>1</v>
      </c>
      <c r="B1445" s="8">
        <v>43826</v>
      </c>
      <c r="C1445" s="9" t="s">
        <v>5</v>
      </c>
      <c r="D1445" s="10">
        <v>3535.1959999999995</v>
      </c>
      <c r="E1445" s="10">
        <v>2710.4839999999999</v>
      </c>
      <c r="F1445" t="str">
        <f>VLOOKUP(A1445,StoreLookup,2,FALSE)</f>
        <v>Store#1</v>
      </c>
      <c r="G1445">
        <f>INDEX(CalLookUpTable,MATCH($B1445,CalLookUpRow,0),MATCH(G$1,CalLookUpColumn,0))</f>
        <v>2019</v>
      </c>
      <c r="H1445">
        <f>INDEX(CalLookUpTable,MATCH($B1445,CalLookUpRow,0),MATCH(H$1,CalLookUpColumn,0))</f>
        <v>12</v>
      </c>
      <c r="I1445">
        <f>INDEX(CalLookUpTable,MATCH($B1445,CalLookUpRow,0),MATCH(I$1,CalLookUpColumn,0))</f>
        <v>5</v>
      </c>
    </row>
    <row r="1446" spans="1:9" x14ac:dyDescent="0.25">
      <c r="A1446" s="7">
        <v>1</v>
      </c>
      <c r="B1446" s="8">
        <v>43827</v>
      </c>
      <c r="C1446" s="9" t="s">
        <v>5</v>
      </c>
      <c r="D1446" s="10">
        <v>2660.7839999999997</v>
      </c>
      <c r="E1446" s="10">
        <v>2787.9319999999998</v>
      </c>
      <c r="F1446" t="str">
        <f>VLOOKUP(A1446,StoreLookup,2,FALSE)</f>
        <v>Store#1</v>
      </c>
      <c r="G1446">
        <f>INDEX(CalLookUpTable,MATCH($B1446,CalLookUpRow,0),MATCH(G$1,CalLookUpColumn,0))</f>
        <v>2019</v>
      </c>
      <c r="H1446">
        <f>INDEX(CalLookUpTable,MATCH($B1446,CalLookUpRow,0),MATCH(H$1,CalLookUpColumn,0))</f>
        <v>12</v>
      </c>
      <c r="I1446">
        <f>INDEX(CalLookUpTable,MATCH($B1446,CalLookUpRow,0),MATCH(I$1,CalLookUpColumn,0))</f>
        <v>5</v>
      </c>
    </row>
    <row r="1447" spans="1:9" x14ac:dyDescent="0.25">
      <c r="A1447" s="7">
        <v>1</v>
      </c>
      <c r="B1447" s="8">
        <v>43827</v>
      </c>
      <c r="C1447" s="9" t="s">
        <v>4</v>
      </c>
      <c r="D1447" s="10">
        <v>4028.7869999999998</v>
      </c>
      <c r="E1447" s="10">
        <v>4338.9849999999997</v>
      </c>
      <c r="F1447" t="str">
        <f>VLOOKUP(A1447,StoreLookup,2,FALSE)</f>
        <v>Store#1</v>
      </c>
      <c r="G1447">
        <f>INDEX(CalLookUpTable,MATCH($B1447,CalLookUpRow,0),MATCH(G$1,CalLookUpColumn,0))</f>
        <v>2019</v>
      </c>
      <c r="H1447">
        <f>INDEX(CalLookUpTable,MATCH($B1447,CalLookUpRow,0),MATCH(H$1,CalLookUpColumn,0))</f>
        <v>12</v>
      </c>
      <c r="I1447">
        <f>INDEX(CalLookUpTable,MATCH($B1447,CalLookUpRow,0),MATCH(I$1,CalLookUpColumn,0))</f>
        <v>5</v>
      </c>
    </row>
    <row r="1448" spans="1:9" x14ac:dyDescent="0.25">
      <c r="A1448" s="7">
        <v>1</v>
      </c>
      <c r="B1448" s="8">
        <v>43827</v>
      </c>
      <c r="C1448" s="9" t="s">
        <v>6</v>
      </c>
      <c r="D1448" s="10">
        <v>1121.8059999999998</v>
      </c>
      <c r="E1448" s="10">
        <v>1096.2699999999998</v>
      </c>
      <c r="F1448" t="str">
        <f>VLOOKUP(A1448,StoreLookup,2,FALSE)</f>
        <v>Store#1</v>
      </c>
      <c r="G1448">
        <f>INDEX(CalLookUpTable,MATCH($B1448,CalLookUpRow,0),MATCH(G$1,CalLookUpColumn,0))</f>
        <v>2019</v>
      </c>
      <c r="H1448">
        <f>INDEX(CalLookUpTable,MATCH($B1448,CalLookUpRow,0),MATCH(H$1,CalLookUpColumn,0))</f>
        <v>12</v>
      </c>
      <c r="I1448">
        <f>INDEX(CalLookUpTable,MATCH($B1448,CalLookUpRow,0),MATCH(I$1,CalLookUpColumn,0))</f>
        <v>5</v>
      </c>
    </row>
    <row r="1449" spans="1:9" x14ac:dyDescent="0.25">
      <c r="A1449" s="7">
        <v>1</v>
      </c>
      <c r="B1449" s="8">
        <v>43827</v>
      </c>
      <c r="C1449" s="9" t="s">
        <v>3</v>
      </c>
      <c r="D1449" s="10">
        <v>25.591999999999999</v>
      </c>
      <c r="E1449" s="10">
        <v>247.58299999999997</v>
      </c>
      <c r="F1449" t="str">
        <f>VLOOKUP(A1449,StoreLookup,2,FALSE)</f>
        <v>Store#1</v>
      </c>
      <c r="G1449">
        <f>INDEX(CalLookUpTable,MATCH($B1449,CalLookUpRow,0),MATCH(G$1,CalLookUpColumn,0))</f>
        <v>2019</v>
      </c>
      <c r="H1449">
        <f>INDEX(CalLookUpTable,MATCH($B1449,CalLookUpRow,0),MATCH(H$1,CalLookUpColumn,0))</f>
        <v>12</v>
      </c>
      <c r="I1449">
        <f>INDEX(CalLookUpTable,MATCH($B1449,CalLookUpRow,0),MATCH(I$1,CalLookUpColumn,0))</f>
        <v>5</v>
      </c>
    </row>
    <row r="1450" spans="1:9" x14ac:dyDescent="0.25">
      <c r="A1450" s="7">
        <v>1</v>
      </c>
      <c r="B1450" s="8">
        <v>43828</v>
      </c>
      <c r="C1450" s="9" t="s">
        <v>4</v>
      </c>
      <c r="D1450" s="10">
        <v>1856.0359999999998</v>
      </c>
      <c r="E1450" s="10">
        <v>1789.319</v>
      </c>
      <c r="F1450" t="str">
        <f>VLOOKUP(A1450,StoreLookup,2,FALSE)</f>
        <v>Store#1</v>
      </c>
      <c r="G1450">
        <f>INDEX(CalLookUpTable,MATCH($B1450,CalLookUpRow,0),MATCH(G$1,CalLookUpColumn,0))</f>
        <v>2019</v>
      </c>
      <c r="H1450">
        <f>INDEX(CalLookUpTable,MATCH($B1450,CalLookUpRow,0),MATCH(H$1,CalLookUpColumn,0))</f>
        <v>12</v>
      </c>
      <c r="I1450">
        <f>INDEX(CalLookUpTable,MATCH($B1450,CalLookUpRow,0),MATCH(I$1,CalLookUpColumn,0))</f>
        <v>5</v>
      </c>
    </row>
    <row r="1451" spans="1:9" x14ac:dyDescent="0.25">
      <c r="A1451" s="7">
        <v>1</v>
      </c>
      <c r="B1451" s="8">
        <v>43828</v>
      </c>
      <c r="C1451" s="9" t="s">
        <v>6</v>
      </c>
      <c r="D1451" s="10">
        <v>391.67799999999994</v>
      </c>
      <c r="E1451" s="10">
        <v>363.50299999999993</v>
      </c>
      <c r="F1451" t="str">
        <f>VLOOKUP(A1451,StoreLookup,2,FALSE)</f>
        <v>Store#1</v>
      </c>
      <c r="G1451">
        <f>INDEX(CalLookUpTable,MATCH($B1451,CalLookUpRow,0),MATCH(G$1,CalLookUpColumn,0))</f>
        <v>2019</v>
      </c>
      <c r="H1451">
        <f>INDEX(CalLookUpTable,MATCH($B1451,CalLookUpRow,0),MATCH(H$1,CalLookUpColumn,0))</f>
        <v>12</v>
      </c>
      <c r="I1451">
        <f>INDEX(CalLookUpTable,MATCH($B1451,CalLookUpRow,0),MATCH(I$1,CalLookUpColumn,0))</f>
        <v>5</v>
      </c>
    </row>
    <row r="1452" spans="1:9" x14ac:dyDescent="0.25">
      <c r="A1452" s="7">
        <v>1</v>
      </c>
      <c r="B1452" s="8">
        <v>43828</v>
      </c>
      <c r="C1452" s="9" t="s">
        <v>5</v>
      </c>
      <c r="D1452" s="10">
        <v>1568.4549999999999</v>
      </c>
      <c r="E1452" s="10">
        <v>1316.1399999999999</v>
      </c>
      <c r="F1452" t="str">
        <f>VLOOKUP(A1452,StoreLookup,2,FALSE)</f>
        <v>Store#1</v>
      </c>
      <c r="G1452">
        <f>INDEX(CalLookUpTable,MATCH($B1452,CalLookUpRow,0),MATCH(G$1,CalLookUpColumn,0))</f>
        <v>2019</v>
      </c>
      <c r="H1452">
        <f>INDEX(CalLookUpTable,MATCH($B1452,CalLookUpRow,0),MATCH(H$1,CalLookUpColumn,0))</f>
        <v>12</v>
      </c>
      <c r="I1452">
        <f>INDEX(CalLookUpTable,MATCH($B1452,CalLookUpRow,0),MATCH(I$1,CalLookUpColumn,0))</f>
        <v>5</v>
      </c>
    </row>
    <row r="1453" spans="1:9" x14ac:dyDescent="0.25">
      <c r="A1453" s="7">
        <v>1</v>
      </c>
      <c r="B1453" s="8">
        <v>43828</v>
      </c>
      <c r="C1453" s="9" t="s">
        <v>3</v>
      </c>
      <c r="D1453" s="10">
        <v>0</v>
      </c>
      <c r="E1453" s="10">
        <v>0</v>
      </c>
      <c r="F1453" t="str">
        <f>VLOOKUP(A1453,StoreLookup,2,FALSE)</f>
        <v>Store#1</v>
      </c>
      <c r="G1453">
        <f>INDEX(CalLookUpTable,MATCH($B1453,CalLookUpRow,0),MATCH(G$1,CalLookUpColumn,0))</f>
        <v>2019</v>
      </c>
      <c r="H1453">
        <f>INDEX(CalLookUpTable,MATCH($B1453,CalLookUpRow,0),MATCH(H$1,CalLookUpColumn,0))</f>
        <v>12</v>
      </c>
      <c r="I1453">
        <f>INDEX(CalLookUpTable,MATCH($B1453,CalLookUpRow,0),MATCH(I$1,CalLookUpColumn,0))</f>
        <v>5</v>
      </c>
    </row>
    <row r="1454" spans="1:9" x14ac:dyDescent="0.25">
      <c r="A1454" s="7">
        <v>1</v>
      </c>
      <c r="B1454" s="8">
        <v>43829</v>
      </c>
      <c r="C1454" s="9" t="s">
        <v>6</v>
      </c>
      <c r="D1454" s="10">
        <v>768.15199999999993</v>
      </c>
      <c r="E1454" s="10">
        <v>963.32600000000002</v>
      </c>
      <c r="F1454" t="str">
        <f>VLOOKUP(A1454,StoreLookup,2,FALSE)</f>
        <v>Store#1</v>
      </c>
      <c r="G1454">
        <f>INDEX(CalLookUpTable,MATCH($B1454,CalLookUpRow,0),MATCH(G$1,CalLookUpColumn,0))</f>
        <v>2020</v>
      </c>
      <c r="H1454">
        <f>INDEX(CalLookUpTable,MATCH($B1454,CalLookUpRow,0),MATCH(H$1,CalLookUpColumn,0))</f>
        <v>1</v>
      </c>
      <c r="I1454">
        <f>INDEX(CalLookUpTable,MATCH($B1454,CalLookUpRow,0),MATCH(I$1,CalLookUpColumn,0))</f>
        <v>1</v>
      </c>
    </row>
    <row r="1455" spans="1:9" x14ac:dyDescent="0.25">
      <c r="A1455" s="7">
        <v>1</v>
      </c>
      <c r="B1455" s="8">
        <v>43829</v>
      </c>
      <c r="C1455" s="9" t="s">
        <v>3</v>
      </c>
      <c r="D1455" s="10">
        <v>0</v>
      </c>
      <c r="E1455" s="10">
        <v>18.172000000000001</v>
      </c>
      <c r="F1455" t="str">
        <f>VLOOKUP(A1455,StoreLookup,2,FALSE)</f>
        <v>Store#1</v>
      </c>
      <c r="G1455">
        <f>INDEX(CalLookUpTable,MATCH($B1455,CalLookUpRow,0),MATCH(G$1,CalLookUpColumn,0))</f>
        <v>2020</v>
      </c>
      <c r="H1455">
        <f>INDEX(CalLookUpTable,MATCH($B1455,CalLookUpRow,0),MATCH(H$1,CalLookUpColumn,0))</f>
        <v>1</v>
      </c>
      <c r="I1455">
        <f>INDEX(CalLookUpTable,MATCH($B1455,CalLookUpRow,0),MATCH(I$1,CalLookUpColumn,0))</f>
        <v>1</v>
      </c>
    </row>
    <row r="1456" spans="1:9" x14ac:dyDescent="0.25">
      <c r="A1456" s="7">
        <v>1</v>
      </c>
      <c r="B1456" s="8">
        <v>43829</v>
      </c>
      <c r="C1456" s="9" t="s">
        <v>4</v>
      </c>
      <c r="D1456" s="10">
        <v>3679.319</v>
      </c>
      <c r="E1456" s="10">
        <v>3603.4109999999996</v>
      </c>
      <c r="F1456" t="str">
        <f>VLOOKUP(A1456,StoreLookup,2,FALSE)</f>
        <v>Store#1</v>
      </c>
      <c r="G1456">
        <f>INDEX(CalLookUpTable,MATCH($B1456,CalLookUpRow,0),MATCH(G$1,CalLookUpColumn,0))</f>
        <v>2020</v>
      </c>
      <c r="H1456">
        <f>INDEX(CalLookUpTable,MATCH($B1456,CalLookUpRow,0),MATCH(H$1,CalLookUpColumn,0))</f>
        <v>1</v>
      </c>
      <c r="I1456">
        <f>INDEX(CalLookUpTable,MATCH($B1456,CalLookUpRow,0),MATCH(I$1,CalLookUpColumn,0))</f>
        <v>1</v>
      </c>
    </row>
    <row r="1457" spans="1:9" x14ac:dyDescent="0.25">
      <c r="A1457" s="7">
        <v>1</v>
      </c>
      <c r="B1457" s="8">
        <v>43829</v>
      </c>
      <c r="C1457" s="9" t="s">
        <v>5</v>
      </c>
      <c r="D1457" s="10">
        <v>3012.3869999999997</v>
      </c>
      <c r="E1457" s="10">
        <v>2449.2649999999999</v>
      </c>
      <c r="F1457" t="str">
        <f>VLOOKUP(A1457,StoreLookup,2,FALSE)</f>
        <v>Store#1</v>
      </c>
      <c r="G1457">
        <f>INDEX(CalLookUpTable,MATCH($B1457,CalLookUpRow,0),MATCH(G$1,CalLookUpColumn,0))</f>
        <v>2020</v>
      </c>
      <c r="H1457">
        <f>INDEX(CalLookUpTable,MATCH($B1457,CalLookUpRow,0),MATCH(H$1,CalLookUpColumn,0))</f>
        <v>1</v>
      </c>
      <c r="I1457">
        <f>INDEX(CalLookUpTable,MATCH($B1457,CalLookUpRow,0),MATCH(I$1,CalLookUpColumn,0))</f>
        <v>1</v>
      </c>
    </row>
    <row r="1458" spans="1:9" x14ac:dyDescent="0.25">
      <c r="A1458" s="7">
        <v>1</v>
      </c>
      <c r="B1458" s="8">
        <v>43830</v>
      </c>
      <c r="C1458" s="9" t="s">
        <v>3</v>
      </c>
      <c r="D1458" s="10">
        <v>179.87199999999999</v>
      </c>
      <c r="E1458" s="10">
        <v>11.186</v>
      </c>
      <c r="F1458" t="str">
        <f>VLOOKUP(A1458,StoreLookup,2,FALSE)</f>
        <v>Store#1</v>
      </c>
      <c r="G1458">
        <f>INDEX(CalLookUpTable,MATCH($B1458,CalLookUpRow,0),MATCH(G$1,CalLookUpColumn,0))</f>
        <v>2020</v>
      </c>
      <c r="H1458">
        <f>INDEX(CalLookUpTable,MATCH($B1458,CalLookUpRow,0),MATCH(H$1,CalLookUpColumn,0))</f>
        <v>1</v>
      </c>
      <c r="I1458">
        <f>INDEX(CalLookUpTable,MATCH($B1458,CalLookUpRow,0),MATCH(I$1,CalLookUpColumn,0))</f>
        <v>1</v>
      </c>
    </row>
    <row r="1459" spans="1:9" x14ac:dyDescent="0.25">
      <c r="A1459" s="7">
        <v>1</v>
      </c>
      <c r="B1459" s="8">
        <v>43830</v>
      </c>
      <c r="C1459" s="9" t="s">
        <v>6</v>
      </c>
      <c r="D1459" s="10">
        <v>968.13499999999988</v>
      </c>
      <c r="E1459" s="10">
        <v>937.3839999999999</v>
      </c>
      <c r="F1459" t="str">
        <f>VLOOKUP(A1459,StoreLookup,2,FALSE)</f>
        <v>Store#1</v>
      </c>
      <c r="G1459">
        <f>INDEX(CalLookUpTable,MATCH($B1459,CalLookUpRow,0),MATCH(G$1,CalLookUpColumn,0))</f>
        <v>2020</v>
      </c>
      <c r="H1459">
        <f>INDEX(CalLookUpTable,MATCH($B1459,CalLookUpRow,0),MATCH(H$1,CalLookUpColumn,0))</f>
        <v>1</v>
      </c>
      <c r="I1459">
        <f>INDEX(CalLookUpTable,MATCH($B1459,CalLookUpRow,0),MATCH(I$1,CalLookUpColumn,0))</f>
        <v>1</v>
      </c>
    </row>
    <row r="1460" spans="1:9" x14ac:dyDescent="0.25">
      <c r="A1460" s="7">
        <v>1</v>
      </c>
      <c r="B1460" s="8">
        <v>43830</v>
      </c>
      <c r="C1460" s="9" t="s">
        <v>4</v>
      </c>
      <c r="D1460" s="10">
        <v>3010.4409999999998</v>
      </c>
      <c r="E1460" s="10">
        <v>4381.2649999999994</v>
      </c>
      <c r="F1460" t="str">
        <f>VLOOKUP(A1460,StoreLookup,2,FALSE)</f>
        <v>Store#1</v>
      </c>
      <c r="G1460">
        <f>INDEX(CalLookUpTable,MATCH($B1460,CalLookUpRow,0),MATCH(G$1,CalLookUpColumn,0))</f>
        <v>2020</v>
      </c>
      <c r="H1460">
        <f>INDEX(CalLookUpTable,MATCH($B1460,CalLookUpRow,0),MATCH(H$1,CalLookUpColumn,0))</f>
        <v>1</v>
      </c>
      <c r="I1460">
        <f>INDEX(CalLookUpTable,MATCH($B1460,CalLookUpRow,0),MATCH(I$1,CalLookUpColumn,0))</f>
        <v>1</v>
      </c>
    </row>
    <row r="1461" spans="1:9" x14ac:dyDescent="0.25">
      <c r="A1461" s="7">
        <v>1</v>
      </c>
      <c r="B1461" s="8">
        <v>43830</v>
      </c>
      <c r="C1461" s="9" t="s">
        <v>5</v>
      </c>
      <c r="D1461" s="10">
        <v>2813.489</v>
      </c>
      <c r="E1461" s="10">
        <v>2567.4459999999999</v>
      </c>
      <c r="F1461" t="str">
        <f>VLOOKUP(A1461,StoreLookup,2,FALSE)</f>
        <v>Store#1</v>
      </c>
      <c r="G1461">
        <f>INDEX(CalLookUpTable,MATCH($B1461,CalLookUpRow,0),MATCH(G$1,CalLookUpColumn,0))</f>
        <v>2020</v>
      </c>
      <c r="H1461">
        <f>INDEX(CalLookUpTable,MATCH($B1461,CalLookUpRow,0),MATCH(H$1,CalLookUpColumn,0))</f>
        <v>1</v>
      </c>
      <c r="I1461">
        <f>INDEX(CalLookUpTable,MATCH($B1461,CalLookUpRow,0),MATCH(I$1,CalLookUpColumn,0))</f>
        <v>1</v>
      </c>
    </row>
    <row r="1462" spans="1:9" x14ac:dyDescent="0.25">
      <c r="A1462" s="7">
        <v>1</v>
      </c>
      <c r="B1462" s="8">
        <v>43831</v>
      </c>
      <c r="C1462" s="9" t="s">
        <v>4</v>
      </c>
      <c r="D1462" s="10">
        <v>2665.8379999999997</v>
      </c>
      <c r="E1462" s="10">
        <v>4489.317</v>
      </c>
      <c r="F1462" t="str">
        <f>VLOOKUP(A1462,StoreLookup,2,FALSE)</f>
        <v>Store#1</v>
      </c>
      <c r="G1462">
        <f>INDEX(CalLookUpTable,MATCH($B1462,CalLookUpRow,0),MATCH(G$1,CalLookUpColumn,0))</f>
        <v>2020</v>
      </c>
      <c r="H1462">
        <f>INDEX(CalLookUpTable,MATCH($B1462,CalLookUpRow,0),MATCH(H$1,CalLookUpColumn,0))</f>
        <v>1</v>
      </c>
      <c r="I1462">
        <f>INDEX(CalLookUpTable,MATCH($B1462,CalLookUpRow,0),MATCH(I$1,CalLookUpColumn,0))</f>
        <v>1</v>
      </c>
    </row>
    <row r="1463" spans="1:9" x14ac:dyDescent="0.25">
      <c r="A1463" s="7">
        <v>1</v>
      </c>
      <c r="B1463" s="8">
        <v>43831</v>
      </c>
      <c r="C1463" s="9" t="s">
        <v>5</v>
      </c>
      <c r="D1463" s="10">
        <v>2465.8409999999999</v>
      </c>
      <c r="E1463" s="10">
        <v>2551.3249999999998</v>
      </c>
      <c r="F1463" t="str">
        <f>VLOOKUP(A1463,StoreLookup,2,FALSE)</f>
        <v>Store#1</v>
      </c>
      <c r="G1463">
        <f>INDEX(CalLookUpTable,MATCH($B1463,CalLookUpRow,0),MATCH(G$1,CalLookUpColumn,0))</f>
        <v>2020</v>
      </c>
      <c r="H1463">
        <f>INDEX(CalLookUpTable,MATCH($B1463,CalLookUpRow,0),MATCH(H$1,CalLookUpColumn,0))</f>
        <v>1</v>
      </c>
      <c r="I1463">
        <f>INDEX(CalLookUpTable,MATCH($B1463,CalLookUpRow,0),MATCH(I$1,CalLookUpColumn,0))</f>
        <v>1</v>
      </c>
    </row>
    <row r="1464" spans="1:9" x14ac:dyDescent="0.25">
      <c r="A1464" s="7">
        <v>1</v>
      </c>
      <c r="B1464" s="8">
        <v>43831</v>
      </c>
      <c r="C1464" s="9" t="s">
        <v>6</v>
      </c>
      <c r="D1464" s="10">
        <v>909.88099999999986</v>
      </c>
      <c r="E1464" s="10">
        <v>768.08199999999999</v>
      </c>
      <c r="F1464" t="str">
        <f>VLOOKUP(A1464,StoreLookup,2,FALSE)</f>
        <v>Store#1</v>
      </c>
      <c r="G1464">
        <f>INDEX(CalLookUpTable,MATCH($B1464,CalLookUpRow,0),MATCH(G$1,CalLookUpColumn,0))</f>
        <v>2020</v>
      </c>
      <c r="H1464">
        <f>INDEX(CalLookUpTable,MATCH($B1464,CalLookUpRow,0),MATCH(H$1,CalLookUpColumn,0))</f>
        <v>1</v>
      </c>
      <c r="I1464">
        <f>INDEX(CalLookUpTable,MATCH($B1464,CalLookUpRow,0),MATCH(I$1,CalLookUpColumn,0))</f>
        <v>1</v>
      </c>
    </row>
    <row r="1465" spans="1:9" x14ac:dyDescent="0.25">
      <c r="A1465" s="7">
        <v>1</v>
      </c>
      <c r="B1465" s="8">
        <v>43831</v>
      </c>
      <c r="C1465" s="9" t="s">
        <v>3</v>
      </c>
      <c r="D1465" s="10">
        <v>0</v>
      </c>
      <c r="E1465" s="10">
        <v>0</v>
      </c>
      <c r="F1465" t="str">
        <f>VLOOKUP(A1465,StoreLookup,2,FALSE)</f>
        <v>Store#1</v>
      </c>
      <c r="G1465">
        <f>INDEX(CalLookUpTable,MATCH($B1465,CalLookUpRow,0),MATCH(G$1,CalLookUpColumn,0))</f>
        <v>2020</v>
      </c>
      <c r="H1465">
        <f>INDEX(CalLookUpTable,MATCH($B1465,CalLookUpRow,0),MATCH(H$1,CalLookUpColumn,0))</f>
        <v>1</v>
      </c>
      <c r="I1465">
        <f>INDEX(CalLookUpTable,MATCH($B1465,CalLookUpRow,0),MATCH(I$1,CalLookUpColumn,0))</f>
        <v>1</v>
      </c>
    </row>
    <row r="1466" spans="1:9" x14ac:dyDescent="0.25">
      <c r="A1466" s="7">
        <v>1</v>
      </c>
      <c r="B1466" s="8">
        <v>43832</v>
      </c>
      <c r="C1466" s="9" t="s">
        <v>6</v>
      </c>
      <c r="D1466" s="10">
        <v>949.64800000000002</v>
      </c>
      <c r="E1466" s="10">
        <v>752.77300000000002</v>
      </c>
      <c r="F1466" t="str">
        <f>VLOOKUP(A1466,StoreLookup,2,FALSE)</f>
        <v>Store#1</v>
      </c>
      <c r="G1466">
        <f>INDEX(CalLookUpTable,MATCH($B1466,CalLookUpRow,0),MATCH(G$1,CalLookUpColumn,0))</f>
        <v>2020</v>
      </c>
      <c r="H1466">
        <f>INDEX(CalLookUpTable,MATCH($B1466,CalLookUpRow,0),MATCH(H$1,CalLookUpColumn,0))</f>
        <v>1</v>
      </c>
      <c r="I1466">
        <f>INDEX(CalLookUpTable,MATCH($B1466,CalLookUpRow,0),MATCH(I$1,CalLookUpColumn,0))</f>
        <v>1</v>
      </c>
    </row>
    <row r="1467" spans="1:9" x14ac:dyDescent="0.25">
      <c r="A1467" s="7">
        <v>1</v>
      </c>
      <c r="B1467" s="8">
        <v>43832</v>
      </c>
      <c r="C1467" s="9" t="s">
        <v>4</v>
      </c>
      <c r="D1467" s="10">
        <v>3978.6320000000001</v>
      </c>
      <c r="E1467" s="10">
        <v>4832.2820000000002</v>
      </c>
      <c r="F1467" t="str">
        <f>VLOOKUP(A1467,StoreLookup,2,FALSE)</f>
        <v>Store#1</v>
      </c>
      <c r="G1467">
        <f>INDEX(CalLookUpTable,MATCH($B1467,CalLookUpRow,0),MATCH(G$1,CalLookUpColumn,0))</f>
        <v>2020</v>
      </c>
      <c r="H1467">
        <f>INDEX(CalLookUpTable,MATCH($B1467,CalLookUpRow,0),MATCH(H$1,CalLookUpColumn,0))</f>
        <v>1</v>
      </c>
      <c r="I1467">
        <f>INDEX(CalLookUpTable,MATCH($B1467,CalLookUpRow,0),MATCH(I$1,CalLookUpColumn,0))</f>
        <v>1</v>
      </c>
    </row>
    <row r="1468" spans="1:9" x14ac:dyDescent="0.25">
      <c r="A1468" s="7">
        <v>1</v>
      </c>
      <c r="B1468" s="8">
        <v>43832</v>
      </c>
      <c r="C1468" s="9" t="s">
        <v>3</v>
      </c>
      <c r="D1468" s="10">
        <v>0</v>
      </c>
      <c r="E1468" s="10">
        <v>0</v>
      </c>
      <c r="F1468" t="str">
        <f>VLOOKUP(A1468,StoreLookup,2,FALSE)</f>
        <v>Store#1</v>
      </c>
      <c r="G1468">
        <f>INDEX(CalLookUpTable,MATCH($B1468,CalLookUpRow,0),MATCH(G$1,CalLookUpColumn,0))</f>
        <v>2020</v>
      </c>
      <c r="H1468">
        <f>INDEX(CalLookUpTable,MATCH($B1468,CalLookUpRow,0),MATCH(H$1,CalLookUpColumn,0))</f>
        <v>1</v>
      </c>
      <c r="I1468">
        <f>INDEX(CalLookUpTable,MATCH($B1468,CalLookUpRow,0),MATCH(I$1,CalLookUpColumn,0))</f>
        <v>1</v>
      </c>
    </row>
    <row r="1469" spans="1:9" x14ac:dyDescent="0.25">
      <c r="A1469" s="7">
        <v>1</v>
      </c>
      <c r="B1469" s="8">
        <v>43832</v>
      </c>
      <c r="C1469" s="9" t="s">
        <v>5</v>
      </c>
      <c r="D1469" s="10">
        <v>3361.2529999999997</v>
      </c>
      <c r="E1469" s="10">
        <v>3296.9649999999997</v>
      </c>
      <c r="F1469" t="str">
        <f>VLOOKUP(A1469,StoreLookup,2,FALSE)</f>
        <v>Store#1</v>
      </c>
      <c r="G1469">
        <f>INDEX(CalLookUpTable,MATCH($B1469,CalLookUpRow,0),MATCH(G$1,CalLookUpColumn,0))</f>
        <v>2020</v>
      </c>
      <c r="H1469">
        <f>INDEX(CalLookUpTable,MATCH($B1469,CalLookUpRow,0),MATCH(H$1,CalLookUpColumn,0))</f>
        <v>1</v>
      </c>
      <c r="I1469">
        <f>INDEX(CalLookUpTable,MATCH($B1469,CalLookUpRow,0),MATCH(I$1,CalLookUpColumn,0))</f>
        <v>1</v>
      </c>
    </row>
    <row r="1470" spans="1:9" x14ac:dyDescent="0.25">
      <c r="A1470" s="7">
        <v>1</v>
      </c>
      <c r="B1470" s="8">
        <v>43833</v>
      </c>
      <c r="C1470" s="9" t="s">
        <v>4</v>
      </c>
      <c r="D1470" s="10">
        <v>5023.9979999999996</v>
      </c>
      <c r="E1470" s="10">
        <v>5844.1739999999991</v>
      </c>
      <c r="F1470" t="str">
        <f>VLOOKUP(A1470,StoreLookup,2,FALSE)</f>
        <v>Store#1</v>
      </c>
      <c r="G1470">
        <f>INDEX(CalLookUpTable,MATCH($B1470,CalLookUpRow,0),MATCH(G$1,CalLookUpColumn,0))</f>
        <v>2020</v>
      </c>
      <c r="H1470">
        <f>INDEX(CalLookUpTable,MATCH($B1470,CalLookUpRow,0),MATCH(H$1,CalLookUpColumn,0))</f>
        <v>1</v>
      </c>
      <c r="I1470">
        <f>INDEX(CalLookUpTable,MATCH($B1470,CalLookUpRow,0),MATCH(I$1,CalLookUpColumn,0))</f>
        <v>1</v>
      </c>
    </row>
    <row r="1471" spans="1:9" x14ac:dyDescent="0.25">
      <c r="A1471" s="7">
        <v>1</v>
      </c>
      <c r="B1471" s="8">
        <v>43833</v>
      </c>
      <c r="C1471" s="9" t="s">
        <v>6</v>
      </c>
      <c r="D1471" s="10">
        <v>1170.2739999999999</v>
      </c>
      <c r="E1471" s="10">
        <v>991.49400000000003</v>
      </c>
      <c r="F1471" t="str">
        <f>VLOOKUP(A1471,StoreLookup,2,FALSE)</f>
        <v>Store#1</v>
      </c>
      <c r="G1471">
        <f>INDEX(CalLookUpTable,MATCH($B1471,CalLookUpRow,0),MATCH(G$1,CalLookUpColumn,0))</f>
        <v>2020</v>
      </c>
      <c r="H1471">
        <f>INDEX(CalLookUpTable,MATCH($B1471,CalLookUpRow,0),MATCH(H$1,CalLookUpColumn,0))</f>
        <v>1</v>
      </c>
      <c r="I1471">
        <f>INDEX(CalLookUpTable,MATCH($B1471,CalLookUpRow,0),MATCH(I$1,CalLookUpColumn,0))</f>
        <v>1</v>
      </c>
    </row>
    <row r="1472" spans="1:9" x14ac:dyDescent="0.25">
      <c r="A1472" s="7">
        <v>1</v>
      </c>
      <c r="B1472" s="8">
        <v>43833</v>
      </c>
      <c r="C1472" s="9" t="s">
        <v>5</v>
      </c>
      <c r="D1472" s="10">
        <v>3521.8049999999994</v>
      </c>
      <c r="E1472" s="10">
        <v>3297.8890000000001</v>
      </c>
      <c r="F1472" t="str">
        <f>VLOOKUP(A1472,StoreLookup,2,FALSE)</f>
        <v>Store#1</v>
      </c>
      <c r="G1472">
        <f>INDEX(CalLookUpTable,MATCH($B1472,CalLookUpRow,0),MATCH(G$1,CalLookUpColumn,0))</f>
        <v>2020</v>
      </c>
      <c r="H1472">
        <f>INDEX(CalLookUpTable,MATCH($B1472,CalLookUpRow,0),MATCH(H$1,CalLookUpColumn,0))</f>
        <v>1</v>
      </c>
      <c r="I1472">
        <f>INDEX(CalLookUpTable,MATCH($B1472,CalLookUpRow,0),MATCH(I$1,CalLookUpColumn,0))</f>
        <v>1</v>
      </c>
    </row>
    <row r="1473" spans="1:9" x14ac:dyDescent="0.25">
      <c r="A1473" s="7">
        <v>1</v>
      </c>
      <c r="B1473" s="8">
        <v>43833</v>
      </c>
      <c r="C1473" s="9" t="s">
        <v>3</v>
      </c>
      <c r="D1473" s="10">
        <v>0</v>
      </c>
      <c r="E1473" s="10">
        <v>254.86299999999997</v>
      </c>
      <c r="F1473" t="str">
        <f>VLOOKUP(A1473,StoreLookup,2,FALSE)</f>
        <v>Store#1</v>
      </c>
      <c r="G1473">
        <f>INDEX(CalLookUpTable,MATCH($B1473,CalLookUpRow,0),MATCH(G$1,CalLookUpColumn,0))</f>
        <v>2020</v>
      </c>
      <c r="H1473">
        <f>INDEX(CalLookUpTable,MATCH($B1473,CalLookUpRow,0),MATCH(H$1,CalLookUpColumn,0))</f>
        <v>1</v>
      </c>
      <c r="I1473">
        <f>INDEX(CalLookUpTable,MATCH($B1473,CalLookUpRow,0),MATCH(I$1,CalLookUpColumn,0))</f>
        <v>1</v>
      </c>
    </row>
    <row r="1474" spans="1:9" x14ac:dyDescent="0.25">
      <c r="A1474" s="7">
        <v>1</v>
      </c>
      <c r="B1474" s="8">
        <v>43834</v>
      </c>
      <c r="C1474" s="9" t="s">
        <v>6</v>
      </c>
      <c r="D1474" s="10">
        <v>1378.8389999999999</v>
      </c>
      <c r="E1474" s="10">
        <v>1457.5049999999999</v>
      </c>
      <c r="F1474" t="str">
        <f>VLOOKUP(A1474,StoreLookup,2,FALSE)</f>
        <v>Store#1</v>
      </c>
      <c r="G1474">
        <f>INDEX(CalLookUpTable,MATCH($B1474,CalLookUpRow,0),MATCH(G$1,CalLookUpColumn,0))</f>
        <v>2020</v>
      </c>
      <c r="H1474">
        <f>INDEX(CalLookUpTable,MATCH($B1474,CalLookUpRow,0),MATCH(H$1,CalLookUpColumn,0))</f>
        <v>1</v>
      </c>
      <c r="I1474">
        <f>INDEX(CalLookUpTable,MATCH($B1474,CalLookUpRow,0),MATCH(I$1,CalLookUpColumn,0))</f>
        <v>1</v>
      </c>
    </row>
    <row r="1475" spans="1:9" x14ac:dyDescent="0.25">
      <c r="A1475" s="7">
        <v>1</v>
      </c>
      <c r="B1475" s="8">
        <v>43834</v>
      </c>
      <c r="C1475" s="9" t="s">
        <v>4</v>
      </c>
      <c r="D1475" s="10">
        <v>5334.5950000000003</v>
      </c>
      <c r="E1475" s="10">
        <v>6107.0169999999989</v>
      </c>
      <c r="F1475" t="str">
        <f>VLOOKUP(A1475,StoreLookup,2,FALSE)</f>
        <v>Store#1</v>
      </c>
      <c r="G1475">
        <f>INDEX(CalLookUpTable,MATCH($B1475,CalLookUpRow,0),MATCH(G$1,CalLookUpColumn,0))</f>
        <v>2020</v>
      </c>
      <c r="H1475">
        <f>INDEX(CalLookUpTable,MATCH($B1475,CalLookUpRow,0),MATCH(H$1,CalLookUpColumn,0))</f>
        <v>1</v>
      </c>
      <c r="I1475">
        <f>INDEX(CalLookUpTable,MATCH($B1475,CalLookUpRow,0),MATCH(I$1,CalLookUpColumn,0))</f>
        <v>1</v>
      </c>
    </row>
    <row r="1476" spans="1:9" x14ac:dyDescent="0.25">
      <c r="A1476" s="7">
        <v>1</v>
      </c>
      <c r="B1476" s="8">
        <v>43834</v>
      </c>
      <c r="C1476" s="9" t="s">
        <v>5</v>
      </c>
      <c r="D1476" s="10">
        <v>3647.3779999999997</v>
      </c>
      <c r="E1476" s="10">
        <v>3523.4920000000002</v>
      </c>
      <c r="F1476" t="str">
        <f>VLOOKUP(A1476,StoreLookup,2,FALSE)</f>
        <v>Store#1</v>
      </c>
      <c r="G1476">
        <f>INDEX(CalLookUpTable,MATCH($B1476,CalLookUpRow,0),MATCH(G$1,CalLookUpColumn,0))</f>
        <v>2020</v>
      </c>
      <c r="H1476">
        <f>INDEX(CalLookUpTable,MATCH($B1476,CalLookUpRow,0),MATCH(H$1,CalLookUpColumn,0))</f>
        <v>1</v>
      </c>
      <c r="I1476">
        <f>INDEX(CalLookUpTable,MATCH($B1476,CalLookUpRow,0),MATCH(I$1,CalLookUpColumn,0))</f>
        <v>1</v>
      </c>
    </row>
    <row r="1477" spans="1:9" x14ac:dyDescent="0.25">
      <c r="A1477" s="7">
        <v>1</v>
      </c>
      <c r="B1477" s="8">
        <v>43834</v>
      </c>
      <c r="C1477" s="9" t="s">
        <v>3</v>
      </c>
      <c r="D1477" s="10">
        <v>0</v>
      </c>
      <c r="E1477" s="10">
        <v>18.402999999999999</v>
      </c>
      <c r="F1477" t="str">
        <f>VLOOKUP(A1477,StoreLookup,2,FALSE)</f>
        <v>Store#1</v>
      </c>
      <c r="G1477">
        <f>INDEX(CalLookUpTable,MATCH($B1477,CalLookUpRow,0),MATCH(G$1,CalLookUpColumn,0))</f>
        <v>2020</v>
      </c>
      <c r="H1477">
        <f>INDEX(CalLookUpTable,MATCH($B1477,CalLookUpRow,0),MATCH(H$1,CalLookUpColumn,0))</f>
        <v>1</v>
      </c>
      <c r="I1477">
        <f>INDEX(CalLookUpTable,MATCH($B1477,CalLookUpRow,0),MATCH(I$1,CalLookUpColumn,0))</f>
        <v>1</v>
      </c>
    </row>
    <row r="1478" spans="1:9" x14ac:dyDescent="0.25">
      <c r="A1478" s="7">
        <v>1</v>
      </c>
      <c r="B1478" s="8">
        <v>43835</v>
      </c>
      <c r="C1478" s="9" t="s">
        <v>5</v>
      </c>
      <c r="D1478" s="10">
        <v>1946.7979999999998</v>
      </c>
      <c r="E1478" s="10">
        <v>1735.1809999999998</v>
      </c>
      <c r="F1478" t="str">
        <f>VLOOKUP(A1478,StoreLookup,2,FALSE)</f>
        <v>Store#1</v>
      </c>
      <c r="G1478">
        <f>INDEX(CalLookUpTable,MATCH($B1478,CalLookUpRow,0),MATCH(G$1,CalLookUpColumn,0))</f>
        <v>2020</v>
      </c>
      <c r="H1478">
        <f>INDEX(CalLookUpTable,MATCH($B1478,CalLookUpRow,0),MATCH(H$1,CalLookUpColumn,0))</f>
        <v>1</v>
      </c>
      <c r="I1478">
        <f>INDEX(CalLookUpTable,MATCH($B1478,CalLookUpRow,0),MATCH(I$1,CalLookUpColumn,0))</f>
        <v>1</v>
      </c>
    </row>
    <row r="1479" spans="1:9" x14ac:dyDescent="0.25">
      <c r="A1479" s="7">
        <v>1</v>
      </c>
      <c r="B1479" s="8">
        <v>43835</v>
      </c>
      <c r="C1479" s="9" t="s">
        <v>3</v>
      </c>
      <c r="D1479" s="10">
        <v>167.804</v>
      </c>
      <c r="E1479" s="10">
        <v>41.495999999999995</v>
      </c>
      <c r="F1479" t="str">
        <f>VLOOKUP(A1479,StoreLookup,2,FALSE)</f>
        <v>Store#1</v>
      </c>
      <c r="G1479">
        <f>INDEX(CalLookUpTable,MATCH($B1479,CalLookUpRow,0),MATCH(G$1,CalLookUpColumn,0))</f>
        <v>2020</v>
      </c>
      <c r="H1479">
        <f>INDEX(CalLookUpTable,MATCH($B1479,CalLookUpRow,0),MATCH(H$1,CalLookUpColumn,0))</f>
        <v>1</v>
      </c>
      <c r="I1479">
        <f>INDEX(CalLookUpTable,MATCH($B1479,CalLookUpRow,0),MATCH(I$1,CalLookUpColumn,0))</f>
        <v>1</v>
      </c>
    </row>
    <row r="1480" spans="1:9" x14ac:dyDescent="0.25">
      <c r="A1480" s="7">
        <v>1</v>
      </c>
      <c r="B1480" s="8">
        <v>43835</v>
      </c>
      <c r="C1480" s="9" t="s">
        <v>6</v>
      </c>
      <c r="D1480" s="10">
        <v>563.19199999999989</v>
      </c>
      <c r="E1480" s="10">
        <v>383.52299999999997</v>
      </c>
      <c r="F1480" t="str">
        <f>VLOOKUP(A1480,StoreLookup,2,FALSE)</f>
        <v>Store#1</v>
      </c>
      <c r="G1480">
        <f>INDEX(CalLookUpTable,MATCH($B1480,CalLookUpRow,0),MATCH(G$1,CalLookUpColumn,0))</f>
        <v>2020</v>
      </c>
      <c r="H1480">
        <f>INDEX(CalLookUpTable,MATCH($B1480,CalLookUpRow,0),MATCH(H$1,CalLookUpColumn,0))</f>
        <v>1</v>
      </c>
      <c r="I1480">
        <f>INDEX(CalLookUpTable,MATCH($B1480,CalLookUpRow,0),MATCH(I$1,CalLookUpColumn,0))</f>
        <v>1</v>
      </c>
    </row>
    <row r="1481" spans="1:9" x14ac:dyDescent="0.25">
      <c r="A1481" s="7">
        <v>1</v>
      </c>
      <c r="B1481" s="8">
        <v>43835</v>
      </c>
      <c r="C1481" s="9" t="s">
        <v>4</v>
      </c>
      <c r="D1481" s="10">
        <v>2614.5630000000001</v>
      </c>
      <c r="E1481" s="10">
        <v>2105.5229999999997</v>
      </c>
      <c r="F1481" t="str">
        <f>VLOOKUP(A1481,StoreLookup,2,FALSE)</f>
        <v>Store#1</v>
      </c>
      <c r="G1481">
        <f>INDEX(CalLookUpTable,MATCH($B1481,CalLookUpRow,0),MATCH(G$1,CalLookUpColumn,0))</f>
        <v>2020</v>
      </c>
      <c r="H1481">
        <f>INDEX(CalLookUpTable,MATCH($B1481,CalLookUpRow,0),MATCH(H$1,CalLookUpColumn,0))</f>
        <v>1</v>
      </c>
      <c r="I1481">
        <f>INDEX(CalLookUpTable,MATCH($B1481,CalLookUpRow,0),MATCH(I$1,CalLookUpColumn,0))</f>
        <v>1</v>
      </c>
    </row>
    <row r="1482" spans="1:9" x14ac:dyDescent="0.25">
      <c r="A1482" s="7">
        <v>1</v>
      </c>
      <c r="B1482" s="8">
        <v>43836</v>
      </c>
      <c r="C1482" s="9" t="s">
        <v>4</v>
      </c>
      <c r="D1482" s="10">
        <v>3821.8670000000002</v>
      </c>
      <c r="E1482" s="10">
        <v>4181.3310000000001</v>
      </c>
      <c r="F1482" t="str">
        <f>VLOOKUP(A1482,StoreLookup,2,FALSE)</f>
        <v>Store#1</v>
      </c>
      <c r="G1482">
        <f>INDEX(CalLookUpTable,MATCH($B1482,CalLookUpRow,0),MATCH(G$1,CalLookUpColumn,0))</f>
        <v>2020</v>
      </c>
      <c r="H1482">
        <f>INDEX(CalLookUpTable,MATCH($B1482,CalLookUpRow,0),MATCH(H$1,CalLookUpColumn,0))</f>
        <v>1</v>
      </c>
      <c r="I1482">
        <f>INDEX(CalLookUpTable,MATCH($B1482,CalLookUpRow,0),MATCH(I$1,CalLookUpColumn,0))</f>
        <v>2</v>
      </c>
    </row>
    <row r="1483" spans="1:9" x14ac:dyDescent="0.25">
      <c r="A1483" s="7">
        <v>1</v>
      </c>
      <c r="B1483" s="8">
        <v>43836</v>
      </c>
      <c r="C1483" s="9" t="s">
        <v>3</v>
      </c>
      <c r="D1483" s="10">
        <v>767.92799999999988</v>
      </c>
      <c r="E1483" s="10">
        <v>0</v>
      </c>
      <c r="F1483" t="str">
        <f>VLOOKUP(A1483,StoreLookup,2,FALSE)</f>
        <v>Store#1</v>
      </c>
      <c r="G1483">
        <f>INDEX(CalLookUpTable,MATCH($B1483,CalLookUpRow,0),MATCH(G$1,CalLookUpColumn,0))</f>
        <v>2020</v>
      </c>
      <c r="H1483">
        <f>INDEX(CalLookUpTable,MATCH($B1483,CalLookUpRow,0),MATCH(H$1,CalLookUpColumn,0))</f>
        <v>1</v>
      </c>
      <c r="I1483">
        <f>INDEX(CalLookUpTable,MATCH($B1483,CalLookUpRow,0),MATCH(I$1,CalLookUpColumn,0))</f>
        <v>2</v>
      </c>
    </row>
    <row r="1484" spans="1:9" x14ac:dyDescent="0.25">
      <c r="A1484" s="7">
        <v>1</v>
      </c>
      <c r="B1484" s="8">
        <v>43836</v>
      </c>
      <c r="C1484" s="9" t="s">
        <v>6</v>
      </c>
      <c r="D1484" s="10">
        <v>965.67099999999994</v>
      </c>
      <c r="E1484" s="10">
        <v>1151.9759999999999</v>
      </c>
      <c r="F1484" t="str">
        <f>VLOOKUP(A1484,StoreLookup,2,FALSE)</f>
        <v>Store#1</v>
      </c>
      <c r="G1484">
        <f>INDEX(CalLookUpTable,MATCH($B1484,CalLookUpRow,0),MATCH(G$1,CalLookUpColumn,0))</f>
        <v>2020</v>
      </c>
      <c r="H1484">
        <f>INDEX(CalLookUpTable,MATCH($B1484,CalLookUpRow,0),MATCH(H$1,CalLookUpColumn,0))</f>
        <v>1</v>
      </c>
      <c r="I1484">
        <f>INDEX(CalLookUpTable,MATCH($B1484,CalLookUpRow,0),MATCH(I$1,CalLookUpColumn,0))</f>
        <v>2</v>
      </c>
    </row>
    <row r="1485" spans="1:9" x14ac:dyDescent="0.25">
      <c r="A1485" s="7">
        <v>1</v>
      </c>
      <c r="B1485" s="8">
        <v>43836</v>
      </c>
      <c r="C1485" s="9" t="s">
        <v>5</v>
      </c>
      <c r="D1485" s="10">
        <v>3154.5079999999994</v>
      </c>
      <c r="E1485" s="10">
        <v>2980.3760000000002</v>
      </c>
      <c r="F1485" t="str">
        <f>VLOOKUP(A1485,StoreLookup,2,FALSE)</f>
        <v>Store#1</v>
      </c>
      <c r="G1485">
        <f>INDEX(CalLookUpTable,MATCH($B1485,CalLookUpRow,0),MATCH(G$1,CalLookUpColumn,0))</f>
        <v>2020</v>
      </c>
      <c r="H1485">
        <f>INDEX(CalLookUpTable,MATCH($B1485,CalLookUpRow,0),MATCH(H$1,CalLookUpColumn,0))</f>
        <v>1</v>
      </c>
      <c r="I1485">
        <f>INDEX(CalLookUpTable,MATCH($B1485,CalLookUpRow,0),MATCH(I$1,CalLookUpColumn,0))</f>
        <v>2</v>
      </c>
    </row>
    <row r="1486" spans="1:9" x14ac:dyDescent="0.25">
      <c r="A1486" s="7">
        <v>1</v>
      </c>
      <c r="B1486" s="8">
        <v>43837</v>
      </c>
      <c r="C1486" s="9" t="s">
        <v>6</v>
      </c>
      <c r="D1486" s="10">
        <v>778.01499999999999</v>
      </c>
      <c r="E1486" s="10">
        <v>671.08299999999997</v>
      </c>
      <c r="F1486" t="str">
        <f>VLOOKUP(A1486,StoreLookup,2,FALSE)</f>
        <v>Store#1</v>
      </c>
      <c r="G1486">
        <f>INDEX(CalLookUpTable,MATCH($B1486,CalLookUpRow,0),MATCH(G$1,CalLookUpColumn,0))</f>
        <v>2020</v>
      </c>
      <c r="H1486">
        <f>INDEX(CalLookUpTable,MATCH($B1486,CalLookUpRow,0),MATCH(H$1,CalLookUpColumn,0))</f>
        <v>1</v>
      </c>
      <c r="I1486">
        <f>INDEX(CalLookUpTable,MATCH($B1486,CalLookUpRow,0),MATCH(I$1,CalLookUpColumn,0))</f>
        <v>2</v>
      </c>
    </row>
    <row r="1487" spans="1:9" x14ac:dyDescent="0.25">
      <c r="A1487" s="7">
        <v>1</v>
      </c>
      <c r="B1487" s="8">
        <v>43837</v>
      </c>
      <c r="C1487" s="9" t="s">
        <v>5</v>
      </c>
      <c r="D1487" s="10">
        <v>3036.3619999999996</v>
      </c>
      <c r="E1487" s="10">
        <v>2824.5699999999997</v>
      </c>
      <c r="F1487" t="str">
        <f>VLOOKUP(A1487,StoreLookup,2,FALSE)</f>
        <v>Store#1</v>
      </c>
      <c r="G1487">
        <f>INDEX(CalLookUpTable,MATCH($B1487,CalLookUpRow,0),MATCH(G$1,CalLookUpColumn,0))</f>
        <v>2020</v>
      </c>
      <c r="H1487">
        <f>INDEX(CalLookUpTable,MATCH($B1487,CalLookUpRow,0),MATCH(H$1,CalLookUpColumn,0))</f>
        <v>1</v>
      </c>
      <c r="I1487">
        <f>INDEX(CalLookUpTable,MATCH($B1487,CalLookUpRow,0),MATCH(I$1,CalLookUpColumn,0))</f>
        <v>2</v>
      </c>
    </row>
    <row r="1488" spans="1:9" x14ac:dyDescent="0.25">
      <c r="A1488" s="7">
        <v>1</v>
      </c>
      <c r="B1488" s="8">
        <v>43837</v>
      </c>
      <c r="C1488" s="9" t="s">
        <v>4</v>
      </c>
      <c r="D1488" s="10">
        <v>3691.2890000000002</v>
      </c>
      <c r="E1488" s="10">
        <v>4098.9829999999993</v>
      </c>
      <c r="F1488" t="str">
        <f>VLOOKUP(A1488,StoreLookup,2,FALSE)</f>
        <v>Store#1</v>
      </c>
      <c r="G1488">
        <f>INDEX(CalLookUpTable,MATCH($B1488,CalLookUpRow,0),MATCH(G$1,CalLookUpColumn,0))</f>
        <v>2020</v>
      </c>
      <c r="H1488">
        <f>INDEX(CalLookUpTable,MATCH($B1488,CalLookUpRow,0),MATCH(H$1,CalLookUpColumn,0))</f>
        <v>1</v>
      </c>
      <c r="I1488">
        <f>INDEX(CalLookUpTable,MATCH($B1488,CalLookUpRow,0),MATCH(I$1,CalLookUpColumn,0))</f>
        <v>2</v>
      </c>
    </row>
    <row r="1489" spans="1:9" x14ac:dyDescent="0.25">
      <c r="A1489" s="7">
        <v>1</v>
      </c>
      <c r="B1489" s="8">
        <v>43837</v>
      </c>
      <c r="C1489" s="9" t="s">
        <v>3</v>
      </c>
      <c r="D1489" s="10">
        <v>0</v>
      </c>
      <c r="E1489" s="10">
        <v>0</v>
      </c>
      <c r="F1489" t="str">
        <f>VLOOKUP(A1489,StoreLookup,2,FALSE)</f>
        <v>Store#1</v>
      </c>
      <c r="G1489">
        <f>INDEX(CalLookUpTable,MATCH($B1489,CalLookUpRow,0),MATCH(G$1,CalLookUpColumn,0))</f>
        <v>2020</v>
      </c>
      <c r="H1489">
        <f>INDEX(CalLookUpTable,MATCH($B1489,CalLookUpRow,0),MATCH(H$1,CalLookUpColumn,0))</f>
        <v>1</v>
      </c>
      <c r="I1489">
        <f>INDEX(CalLookUpTable,MATCH($B1489,CalLookUpRow,0),MATCH(I$1,CalLookUpColumn,0))</f>
        <v>2</v>
      </c>
    </row>
    <row r="1490" spans="1:9" x14ac:dyDescent="0.25">
      <c r="A1490" s="7">
        <v>1</v>
      </c>
      <c r="B1490" s="8">
        <v>43838</v>
      </c>
      <c r="C1490" s="9" t="s">
        <v>3</v>
      </c>
      <c r="D1490" s="10">
        <v>16.498999999999999</v>
      </c>
      <c r="E1490" s="10">
        <v>18.507999999999999</v>
      </c>
      <c r="F1490" t="str">
        <f>VLOOKUP(A1490,StoreLookup,2,FALSE)</f>
        <v>Store#1</v>
      </c>
      <c r="G1490">
        <f>INDEX(CalLookUpTable,MATCH($B1490,CalLookUpRow,0),MATCH(G$1,CalLookUpColumn,0))</f>
        <v>2020</v>
      </c>
      <c r="H1490">
        <f>INDEX(CalLookUpTable,MATCH($B1490,CalLookUpRow,0),MATCH(H$1,CalLookUpColumn,0))</f>
        <v>1</v>
      </c>
      <c r="I1490">
        <f>INDEX(CalLookUpTable,MATCH($B1490,CalLookUpRow,0),MATCH(I$1,CalLookUpColumn,0))</f>
        <v>2</v>
      </c>
    </row>
    <row r="1491" spans="1:9" x14ac:dyDescent="0.25">
      <c r="A1491" s="7">
        <v>1</v>
      </c>
      <c r="B1491" s="8">
        <v>43838</v>
      </c>
      <c r="C1491" s="9" t="s">
        <v>4</v>
      </c>
      <c r="D1491" s="10">
        <v>3504.8019999999997</v>
      </c>
      <c r="E1491" s="10">
        <v>3912.1809999999996</v>
      </c>
      <c r="F1491" t="str">
        <f>VLOOKUP(A1491,StoreLookup,2,FALSE)</f>
        <v>Store#1</v>
      </c>
      <c r="G1491">
        <f>INDEX(CalLookUpTable,MATCH($B1491,CalLookUpRow,0),MATCH(G$1,CalLookUpColumn,0))</f>
        <v>2020</v>
      </c>
      <c r="H1491">
        <f>INDEX(CalLookUpTable,MATCH($B1491,CalLookUpRow,0),MATCH(H$1,CalLookUpColumn,0))</f>
        <v>1</v>
      </c>
      <c r="I1491">
        <f>INDEX(CalLookUpTable,MATCH($B1491,CalLookUpRow,0),MATCH(I$1,CalLookUpColumn,0))</f>
        <v>2</v>
      </c>
    </row>
    <row r="1492" spans="1:9" x14ac:dyDescent="0.25">
      <c r="A1492" s="7">
        <v>1</v>
      </c>
      <c r="B1492" s="8">
        <v>43838</v>
      </c>
      <c r="C1492" s="9" t="s">
        <v>6</v>
      </c>
      <c r="D1492" s="10">
        <v>1041.5929999999998</v>
      </c>
      <c r="E1492" s="10">
        <v>1226.19</v>
      </c>
      <c r="F1492" t="str">
        <f>VLOOKUP(A1492,StoreLookup,2,FALSE)</f>
        <v>Store#1</v>
      </c>
      <c r="G1492">
        <f>INDEX(CalLookUpTable,MATCH($B1492,CalLookUpRow,0),MATCH(G$1,CalLookUpColumn,0))</f>
        <v>2020</v>
      </c>
      <c r="H1492">
        <f>INDEX(CalLookUpTable,MATCH($B1492,CalLookUpRow,0),MATCH(H$1,CalLookUpColumn,0))</f>
        <v>1</v>
      </c>
      <c r="I1492">
        <f>INDEX(CalLookUpTable,MATCH($B1492,CalLookUpRow,0),MATCH(I$1,CalLookUpColumn,0))</f>
        <v>2</v>
      </c>
    </row>
    <row r="1493" spans="1:9" x14ac:dyDescent="0.25">
      <c r="A1493" s="7">
        <v>1</v>
      </c>
      <c r="B1493" s="8">
        <v>43838</v>
      </c>
      <c r="C1493" s="9" t="s">
        <v>5</v>
      </c>
      <c r="D1493" s="10">
        <v>2845.2759999999998</v>
      </c>
      <c r="E1493" s="10">
        <v>2985.2200000000003</v>
      </c>
      <c r="F1493" t="str">
        <f>VLOOKUP(A1493,StoreLookup,2,FALSE)</f>
        <v>Store#1</v>
      </c>
      <c r="G1493">
        <f>INDEX(CalLookUpTable,MATCH($B1493,CalLookUpRow,0),MATCH(G$1,CalLookUpColumn,0))</f>
        <v>2020</v>
      </c>
      <c r="H1493">
        <f>INDEX(CalLookUpTable,MATCH($B1493,CalLookUpRow,0),MATCH(H$1,CalLookUpColumn,0))</f>
        <v>1</v>
      </c>
      <c r="I1493">
        <f>INDEX(CalLookUpTable,MATCH($B1493,CalLookUpRow,0),MATCH(I$1,CalLookUpColumn,0))</f>
        <v>2</v>
      </c>
    </row>
    <row r="1494" spans="1:9" x14ac:dyDescent="0.25">
      <c r="A1494" s="7">
        <v>1</v>
      </c>
      <c r="B1494" s="8">
        <v>43839</v>
      </c>
      <c r="C1494" s="9" t="s">
        <v>4</v>
      </c>
      <c r="D1494" s="10">
        <v>3934.826</v>
      </c>
      <c r="E1494" s="10">
        <v>4760.91</v>
      </c>
      <c r="F1494" t="str">
        <f>VLOOKUP(A1494,StoreLookup,2,FALSE)</f>
        <v>Store#1</v>
      </c>
      <c r="G1494">
        <f>INDEX(CalLookUpTable,MATCH($B1494,CalLookUpRow,0),MATCH(G$1,CalLookUpColumn,0))</f>
        <v>2020</v>
      </c>
      <c r="H1494">
        <f>INDEX(CalLookUpTable,MATCH($B1494,CalLookUpRow,0),MATCH(H$1,CalLookUpColumn,0))</f>
        <v>1</v>
      </c>
      <c r="I1494">
        <f>INDEX(CalLookUpTable,MATCH($B1494,CalLookUpRow,0),MATCH(I$1,CalLookUpColumn,0))</f>
        <v>2</v>
      </c>
    </row>
    <row r="1495" spans="1:9" x14ac:dyDescent="0.25">
      <c r="A1495" s="7">
        <v>1</v>
      </c>
      <c r="B1495" s="8">
        <v>43839</v>
      </c>
      <c r="C1495" s="9" t="s">
        <v>6</v>
      </c>
      <c r="D1495" s="10">
        <v>946.64499999999987</v>
      </c>
      <c r="E1495" s="10">
        <v>1006.5999999999999</v>
      </c>
      <c r="F1495" t="str">
        <f>VLOOKUP(A1495,StoreLookup,2,FALSE)</f>
        <v>Store#1</v>
      </c>
      <c r="G1495">
        <f>INDEX(CalLookUpTable,MATCH($B1495,CalLookUpRow,0),MATCH(G$1,CalLookUpColumn,0))</f>
        <v>2020</v>
      </c>
      <c r="H1495">
        <f>INDEX(CalLookUpTable,MATCH($B1495,CalLookUpRow,0),MATCH(H$1,CalLookUpColumn,0))</f>
        <v>1</v>
      </c>
      <c r="I1495">
        <f>INDEX(CalLookUpTable,MATCH($B1495,CalLookUpRow,0),MATCH(I$1,CalLookUpColumn,0))</f>
        <v>2</v>
      </c>
    </row>
    <row r="1496" spans="1:9" x14ac:dyDescent="0.25">
      <c r="A1496" s="7">
        <v>1</v>
      </c>
      <c r="B1496" s="8">
        <v>43839</v>
      </c>
      <c r="C1496" s="9" t="s">
        <v>3</v>
      </c>
      <c r="D1496" s="10">
        <v>0</v>
      </c>
      <c r="E1496" s="10">
        <v>0</v>
      </c>
      <c r="F1496" t="str">
        <f>VLOOKUP(A1496,StoreLookup,2,FALSE)</f>
        <v>Store#1</v>
      </c>
      <c r="G1496">
        <f>INDEX(CalLookUpTable,MATCH($B1496,CalLookUpRow,0),MATCH(G$1,CalLookUpColumn,0))</f>
        <v>2020</v>
      </c>
      <c r="H1496">
        <f>INDEX(CalLookUpTable,MATCH($B1496,CalLookUpRow,0),MATCH(H$1,CalLookUpColumn,0))</f>
        <v>1</v>
      </c>
      <c r="I1496">
        <f>INDEX(CalLookUpTable,MATCH($B1496,CalLookUpRow,0),MATCH(I$1,CalLookUpColumn,0))</f>
        <v>2</v>
      </c>
    </row>
    <row r="1497" spans="1:9" x14ac:dyDescent="0.25">
      <c r="A1497" s="7">
        <v>1</v>
      </c>
      <c r="B1497" s="8">
        <v>43839</v>
      </c>
      <c r="C1497" s="9" t="s">
        <v>5</v>
      </c>
      <c r="D1497" s="10">
        <v>3859.6879999999996</v>
      </c>
      <c r="E1497" s="10">
        <v>3402.357</v>
      </c>
      <c r="F1497" t="str">
        <f>VLOOKUP(A1497,StoreLookup,2,FALSE)</f>
        <v>Store#1</v>
      </c>
      <c r="G1497">
        <f>INDEX(CalLookUpTable,MATCH($B1497,CalLookUpRow,0),MATCH(G$1,CalLookUpColumn,0))</f>
        <v>2020</v>
      </c>
      <c r="H1497">
        <f>INDEX(CalLookUpTable,MATCH($B1497,CalLookUpRow,0),MATCH(H$1,CalLookUpColumn,0))</f>
        <v>1</v>
      </c>
      <c r="I1497">
        <f>INDEX(CalLookUpTable,MATCH($B1497,CalLookUpRow,0),MATCH(I$1,CalLookUpColumn,0))</f>
        <v>2</v>
      </c>
    </row>
    <row r="1498" spans="1:9" x14ac:dyDescent="0.25">
      <c r="A1498" s="7">
        <v>1</v>
      </c>
      <c r="B1498" s="8">
        <v>43840</v>
      </c>
      <c r="C1498" s="9" t="s">
        <v>6</v>
      </c>
      <c r="D1498" s="10">
        <v>1120.4480000000001</v>
      </c>
      <c r="E1498" s="10">
        <v>1299.991</v>
      </c>
      <c r="F1498" t="str">
        <f>VLOOKUP(A1498,StoreLookup,2,FALSE)</f>
        <v>Store#1</v>
      </c>
      <c r="G1498">
        <f>INDEX(CalLookUpTable,MATCH($B1498,CalLookUpRow,0),MATCH(G$1,CalLookUpColumn,0))</f>
        <v>2020</v>
      </c>
      <c r="H1498">
        <f>INDEX(CalLookUpTable,MATCH($B1498,CalLookUpRow,0),MATCH(H$1,CalLookUpColumn,0))</f>
        <v>1</v>
      </c>
      <c r="I1498">
        <f>INDEX(CalLookUpTable,MATCH($B1498,CalLookUpRow,0),MATCH(I$1,CalLookUpColumn,0))</f>
        <v>2</v>
      </c>
    </row>
    <row r="1499" spans="1:9" x14ac:dyDescent="0.25">
      <c r="A1499" s="7">
        <v>1</v>
      </c>
      <c r="B1499" s="8">
        <v>43840</v>
      </c>
      <c r="C1499" s="9" t="s">
        <v>4</v>
      </c>
      <c r="D1499" s="10">
        <v>5080.6629999999996</v>
      </c>
      <c r="E1499" s="10">
        <v>6356.1119999999992</v>
      </c>
      <c r="F1499" t="str">
        <f>VLOOKUP(A1499,StoreLookup,2,FALSE)</f>
        <v>Store#1</v>
      </c>
      <c r="G1499">
        <f>INDEX(CalLookUpTable,MATCH($B1499,CalLookUpRow,0),MATCH(G$1,CalLookUpColumn,0))</f>
        <v>2020</v>
      </c>
      <c r="H1499">
        <f>INDEX(CalLookUpTable,MATCH($B1499,CalLookUpRow,0),MATCH(H$1,CalLookUpColumn,0))</f>
        <v>1</v>
      </c>
      <c r="I1499">
        <f>INDEX(CalLookUpTable,MATCH($B1499,CalLookUpRow,0),MATCH(I$1,CalLookUpColumn,0))</f>
        <v>2</v>
      </c>
    </row>
    <row r="1500" spans="1:9" x14ac:dyDescent="0.25">
      <c r="A1500" s="7">
        <v>1</v>
      </c>
      <c r="B1500" s="8">
        <v>43840</v>
      </c>
      <c r="C1500" s="9" t="s">
        <v>3</v>
      </c>
      <c r="D1500" s="10">
        <v>94.08</v>
      </c>
      <c r="E1500" s="10">
        <v>0</v>
      </c>
      <c r="F1500" t="str">
        <f>VLOOKUP(A1500,StoreLookup,2,FALSE)</f>
        <v>Store#1</v>
      </c>
      <c r="G1500">
        <f>INDEX(CalLookUpTable,MATCH($B1500,CalLookUpRow,0),MATCH(G$1,CalLookUpColumn,0))</f>
        <v>2020</v>
      </c>
      <c r="H1500">
        <f>INDEX(CalLookUpTable,MATCH($B1500,CalLookUpRow,0),MATCH(H$1,CalLookUpColumn,0))</f>
        <v>1</v>
      </c>
      <c r="I1500">
        <f>INDEX(CalLookUpTable,MATCH($B1500,CalLookUpRow,0),MATCH(I$1,CalLookUpColumn,0))</f>
        <v>2</v>
      </c>
    </row>
    <row r="1501" spans="1:9" x14ac:dyDescent="0.25">
      <c r="A1501" s="7">
        <v>1</v>
      </c>
      <c r="B1501" s="8">
        <v>43840</v>
      </c>
      <c r="C1501" s="9" t="s">
        <v>5</v>
      </c>
      <c r="D1501" s="10">
        <v>4254.0889999999999</v>
      </c>
      <c r="E1501" s="10">
        <v>3693.6549999999993</v>
      </c>
      <c r="F1501" t="str">
        <f>VLOOKUP(A1501,StoreLookup,2,FALSE)</f>
        <v>Store#1</v>
      </c>
      <c r="G1501">
        <f>INDEX(CalLookUpTable,MATCH($B1501,CalLookUpRow,0),MATCH(G$1,CalLookUpColumn,0))</f>
        <v>2020</v>
      </c>
      <c r="H1501">
        <f>INDEX(CalLookUpTable,MATCH($B1501,CalLookUpRow,0),MATCH(H$1,CalLookUpColumn,0))</f>
        <v>1</v>
      </c>
      <c r="I1501">
        <f>INDEX(CalLookUpTable,MATCH($B1501,CalLookUpRow,0),MATCH(I$1,CalLookUpColumn,0))</f>
        <v>2</v>
      </c>
    </row>
    <row r="1502" spans="1:9" x14ac:dyDescent="0.25">
      <c r="A1502" s="7">
        <v>1</v>
      </c>
      <c r="B1502" s="8">
        <v>43841</v>
      </c>
      <c r="C1502" s="9" t="s">
        <v>4</v>
      </c>
      <c r="D1502" s="10">
        <v>5684.9519999999993</v>
      </c>
      <c r="E1502" s="10">
        <v>6734.5879999999997</v>
      </c>
      <c r="F1502" t="str">
        <f>VLOOKUP(A1502,StoreLookup,2,FALSE)</f>
        <v>Store#1</v>
      </c>
      <c r="G1502">
        <f>INDEX(CalLookUpTable,MATCH($B1502,CalLookUpRow,0),MATCH(G$1,CalLookUpColumn,0))</f>
        <v>2020</v>
      </c>
      <c r="H1502">
        <f>INDEX(CalLookUpTable,MATCH($B1502,CalLookUpRow,0),MATCH(H$1,CalLookUpColumn,0))</f>
        <v>1</v>
      </c>
      <c r="I1502">
        <f>INDEX(CalLookUpTable,MATCH($B1502,CalLookUpRow,0),MATCH(I$1,CalLookUpColumn,0))</f>
        <v>2</v>
      </c>
    </row>
    <row r="1503" spans="1:9" x14ac:dyDescent="0.25">
      <c r="A1503" s="7">
        <v>1</v>
      </c>
      <c r="B1503" s="8">
        <v>43841</v>
      </c>
      <c r="C1503" s="9" t="s">
        <v>6</v>
      </c>
      <c r="D1503" s="10">
        <v>1222.529</v>
      </c>
      <c r="E1503" s="10">
        <v>1192.4359999999999</v>
      </c>
      <c r="F1503" t="str">
        <f>VLOOKUP(A1503,StoreLookup,2,FALSE)</f>
        <v>Store#1</v>
      </c>
      <c r="G1503">
        <f>INDEX(CalLookUpTable,MATCH($B1503,CalLookUpRow,0),MATCH(G$1,CalLookUpColumn,0))</f>
        <v>2020</v>
      </c>
      <c r="H1503">
        <f>INDEX(CalLookUpTable,MATCH($B1503,CalLookUpRow,0),MATCH(H$1,CalLookUpColumn,0))</f>
        <v>1</v>
      </c>
      <c r="I1503">
        <f>INDEX(CalLookUpTable,MATCH($B1503,CalLookUpRow,0),MATCH(I$1,CalLookUpColumn,0))</f>
        <v>2</v>
      </c>
    </row>
    <row r="1504" spans="1:9" x14ac:dyDescent="0.25">
      <c r="A1504" s="7">
        <v>1</v>
      </c>
      <c r="B1504" s="8">
        <v>43841</v>
      </c>
      <c r="C1504" s="9" t="s">
        <v>3</v>
      </c>
      <c r="D1504" s="10">
        <v>0</v>
      </c>
      <c r="E1504" s="10">
        <v>648.33299999999997</v>
      </c>
      <c r="F1504" t="str">
        <f>VLOOKUP(A1504,StoreLookup,2,FALSE)</f>
        <v>Store#1</v>
      </c>
      <c r="G1504">
        <f>INDEX(CalLookUpTable,MATCH($B1504,CalLookUpRow,0),MATCH(G$1,CalLookUpColumn,0))</f>
        <v>2020</v>
      </c>
      <c r="H1504">
        <f>INDEX(CalLookUpTable,MATCH($B1504,CalLookUpRow,0),MATCH(H$1,CalLookUpColumn,0))</f>
        <v>1</v>
      </c>
      <c r="I1504">
        <f>INDEX(CalLookUpTable,MATCH($B1504,CalLookUpRow,0),MATCH(I$1,CalLookUpColumn,0))</f>
        <v>2</v>
      </c>
    </row>
    <row r="1505" spans="1:9" x14ac:dyDescent="0.25">
      <c r="A1505" s="7">
        <v>1</v>
      </c>
      <c r="B1505" s="8">
        <v>43841</v>
      </c>
      <c r="C1505" s="9" t="s">
        <v>5</v>
      </c>
      <c r="D1505" s="10">
        <v>3809.6659999999997</v>
      </c>
      <c r="E1505" s="10">
        <v>4097.5059999999994</v>
      </c>
      <c r="F1505" t="str">
        <f>VLOOKUP(A1505,StoreLookup,2,FALSE)</f>
        <v>Store#1</v>
      </c>
      <c r="G1505">
        <f>INDEX(CalLookUpTable,MATCH($B1505,CalLookUpRow,0),MATCH(G$1,CalLookUpColumn,0))</f>
        <v>2020</v>
      </c>
      <c r="H1505">
        <f>INDEX(CalLookUpTable,MATCH($B1505,CalLookUpRow,0),MATCH(H$1,CalLookUpColumn,0))</f>
        <v>1</v>
      </c>
      <c r="I1505">
        <f>INDEX(CalLookUpTable,MATCH($B1505,CalLookUpRow,0),MATCH(I$1,CalLookUpColumn,0))</f>
        <v>2</v>
      </c>
    </row>
    <row r="1506" spans="1:9" x14ac:dyDescent="0.25">
      <c r="A1506" s="7">
        <v>1</v>
      </c>
      <c r="B1506" s="8">
        <v>43842</v>
      </c>
      <c r="C1506" s="9" t="s">
        <v>6</v>
      </c>
      <c r="D1506" s="10">
        <v>1174.8519999999999</v>
      </c>
      <c r="E1506" s="10">
        <v>241.39500000000001</v>
      </c>
      <c r="F1506" t="str">
        <f>VLOOKUP(A1506,StoreLookup,2,FALSE)</f>
        <v>Store#1</v>
      </c>
      <c r="G1506">
        <f>INDEX(CalLookUpTable,MATCH($B1506,CalLookUpRow,0),MATCH(G$1,CalLookUpColumn,0))</f>
        <v>2020</v>
      </c>
      <c r="H1506">
        <f>INDEX(CalLookUpTable,MATCH($B1506,CalLookUpRow,0),MATCH(H$1,CalLookUpColumn,0))</f>
        <v>1</v>
      </c>
      <c r="I1506">
        <f>INDEX(CalLookUpTable,MATCH($B1506,CalLookUpRow,0),MATCH(I$1,CalLookUpColumn,0))</f>
        <v>2</v>
      </c>
    </row>
    <row r="1507" spans="1:9" x14ac:dyDescent="0.25">
      <c r="A1507" s="7">
        <v>1</v>
      </c>
      <c r="B1507" s="8">
        <v>43842</v>
      </c>
      <c r="C1507" s="9" t="s">
        <v>4</v>
      </c>
      <c r="D1507" s="10">
        <v>1680.749</v>
      </c>
      <c r="E1507" s="10">
        <v>1821.421</v>
      </c>
      <c r="F1507" t="str">
        <f>VLOOKUP(A1507,StoreLookup,2,FALSE)</f>
        <v>Store#1</v>
      </c>
      <c r="G1507">
        <f>INDEX(CalLookUpTable,MATCH($B1507,CalLookUpRow,0),MATCH(G$1,CalLookUpColumn,0))</f>
        <v>2020</v>
      </c>
      <c r="H1507">
        <f>INDEX(CalLookUpTable,MATCH($B1507,CalLookUpRow,0),MATCH(H$1,CalLookUpColumn,0))</f>
        <v>1</v>
      </c>
      <c r="I1507">
        <f>INDEX(CalLookUpTable,MATCH($B1507,CalLookUpRow,0),MATCH(I$1,CalLookUpColumn,0))</f>
        <v>2</v>
      </c>
    </row>
    <row r="1508" spans="1:9" x14ac:dyDescent="0.25">
      <c r="A1508" s="7">
        <v>1</v>
      </c>
      <c r="B1508" s="8">
        <v>43842</v>
      </c>
      <c r="C1508" s="9" t="s">
        <v>5</v>
      </c>
      <c r="D1508" s="10">
        <v>1705.76</v>
      </c>
      <c r="E1508" s="10">
        <v>1646.7919999999999</v>
      </c>
      <c r="F1508" t="str">
        <f>VLOOKUP(A1508,StoreLookup,2,FALSE)</f>
        <v>Store#1</v>
      </c>
      <c r="G1508">
        <f>INDEX(CalLookUpTable,MATCH($B1508,CalLookUpRow,0),MATCH(G$1,CalLookUpColumn,0))</f>
        <v>2020</v>
      </c>
      <c r="H1508">
        <f>INDEX(CalLookUpTable,MATCH($B1508,CalLookUpRow,0),MATCH(H$1,CalLookUpColumn,0))</f>
        <v>1</v>
      </c>
      <c r="I1508">
        <f>INDEX(CalLookUpTable,MATCH($B1508,CalLookUpRow,0),MATCH(I$1,CalLookUpColumn,0))</f>
        <v>2</v>
      </c>
    </row>
    <row r="1509" spans="1:9" x14ac:dyDescent="0.25">
      <c r="A1509" s="7">
        <v>1</v>
      </c>
      <c r="B1509" s="8">
        <v>43842</v>
      </c>
      <c r="C1509" s="9" t="s">
        <v>3</v>
      </c>
      <c r="D1509" s="10">
        <v>0</v>
      </c>
      <c r="E1509" s="10">
        <v>0</v>
      </c>
      <c r="F1509" t="str">
        <f>VLOOKUP(A1509,StoreLookup,2,FALSE)</f>
        <v>Store#1</v>
      </c>
      <c r="G1509">
        <f>INDEX(CalLookUpTable,MATCH($B1509,CalLookUpRow,0),MATCH(G$1,CalLookUpColumn,0))</f>
        <v>2020</v>
      </c>
      <c r="H1509">
        <f>INDEX(CalLookUpTable,MATCH($B1509,CalLookUpRow,0),MATCH(H$1,CalLookUpColumn,0))</f>
        <v>1</v>
      </c>
      <c r="I1509">
        <f>INDEX(CalLookUpTable,MATCH($B1509,CalLookUpRow,0),MATCH(I$1,CalLookUpColumn,0))</f>
        <v>2</v>
      </c>
    </row>
    <row r="1510" spans="1:9" x14ac:dyDescent="0.25">
      <c r="A1510" s="7">
        <v>1</v>
      </c>
      <c r="B1510" s="8">
        <v>43843</v>
      </c>
      <c r="C1510" s="9" t="s">
        <v>3</v>
      </c>
      <c r="D1510" s="10">
        <v>174.85999999999999</v>
      </c>
      <c r="E1510" s="10">
        <v>168.53899999999999</v>
      </c>
      <c r="F1510" t="str">
        <f>VLOOKUP(A1510,StoreLookup,2,FALSE)</f>
        <v>Store#1</v>
      </c>
      <c r="G1510">
        <f>INDEX(CalLookUpTable,MATCH($B1510,CalLookUpRow,0),MATCH(G$1,CalLookUpColumn,0))</f>
        <v>2020</v>
      </c>
      <c r="H1510">
        <f>INDEX(CalLookUpTable,MATCH($B1510,CalLookUpRow,0),MATCH(H$1,CalLookUpColumn,0))</f>
        <v>1</v>
      </c>
      <c r="I1510">
        <f>INDEX(CalLookUpTable,MATCH($B1510,CalLookUpRow,0),MATCH(I$1,CalLookUpColumn,0))</f>
        <v>3</v>
      </c>
    </row>
    <row r="1511" spans="1:9" x14ac:dyDescent="0.25">
      <c r="A1511" s="7">
        <v>1</v>
      </c>
      <c r="B1511" s="8">
        <v>43843</v>
      </c>
      <c r="C1511" s="9" t="s">
        <v>6</v>
      </c>
      <c r="D1511" s="10">
        <v>1067.5069999999998</v>
      </c>
      <c r="E1511" s="10">
        <v>567.02799999999991</v>
      </c>
      <c r="F1511" t="str">
        <f>VLOOKUP(A1511,StoreLookup,2,FALSE)</f>
        <v>Store#1</v>
      </c>
      <c r="G1511">
        <f>INDEX(CalLookUpTable,MATCH($B1511,CalLookUpRow,0),MATCH(G$1,CalLookUpColumn,0))</f>
        <v>2020</v>
      </c>
      <c r="H1511">
        <f>INDEX(CalLookUpTable,MATCH($B1511,CalLookUpRow,0),MATCH(H$1,CalLookUpColumn,0))</f>
        <v>1</v>
      </c>
      <c r="I1511">
        <f>INDEX(CalLookUpTable,MATCH($B1511,CalLookUpRow,0),MATCH(I$1,CalLookUpColumn,0))</f>
        <v>3</v>
      </c>
    </row>
    <row r="1512" spans="1:9" x14ac:dyDescent="0.25">
      <c r="A1512" s="7">
        <v>1</v>
      </c>
      <c r="B1512" s="8">
        <v>43843</v>
      </c>
      <c r="C1512" s="9" t="s">
        <v>4</v>
      </c>
      <c r="D1512" s="10">
        <v>3203.326</v>
      </c>
      <c r="E1512" s="10">
        <v>3610.194</v>
      </c>
      <c r="F1512" t="str">
        <f>VLOOKUP(A1512,StoreLookup,2,FALSE)</f>
        <v>Store#1</v>
      </c>
      <c r="G1512">
        <f>INDEX(CalLookUpTable,MATCH($B1512,CalLookUpRow,0),MATCH(G$1,CalLookUpColumn,0))</f>
        <v>2020</v>
      </c>
      <c r="H1512">
        <f>INDEX(CalLookUpTable,MATCH($B1512,CalLookUpRow,0),MATCH(H$1,CalLookUpColumn,0))</f>
        <v>1</v>
      </c>
      <c r="I1512">
        <f>INDEX(CalLookUpTable,MATCH($B1512,CalLookUpRow,0),MATCH(I$1,CalLookUpColumn,0))</f>
        <v>3</v>
      </c>
    </row>
    <row r="1513" spans="1:9" x14ac:dyDescent="0.25">
      <c r="A1513" s="7">
        <v>1</v>
      </c>
      <c r="B1513" s="8">
        <v>43843</v>
      </c>
      <c r="C1513" s="9" t="s">
        <v>5</v>
      </c>
      <c r="D1513" s="10">
        <v>3201.828</v>
      </c>
      <c r="E1513" s="10">
        <v>2546.2919999999999</v>
      </c>
      <c r="F1513" t="str">
        <f>VLOOKUP(A1513,StoreLookup,2,FALSE)</f>
        <v>Store#1</v>
      </c>
      <c r="G1513">
        <f>INDEX(CalLookUpTable,MATCH($B1513,CalLookUpRow,0),MATCH(G$1,CalLookUpColumn,0))</f>
        <v>2020</v>
      </c>
      <c r="H1513">
        <f>INDEX(CalLookUpTable,MATCH($B1513,CalLookUpRow,0),MATCH(H$1,CalLookUpColumn,0))</f>
        <v>1</v>
      </c>
      <c r="I1513">
        <f>INDEX(CalLookUpTable,MATCH($B1513,CalLookUpRow,0),MATCH(I$1,CalLookUpColumn,0))</f>
        <v>3</v>
      </c>
    </row>
    <row r="1514" spans="1:9" x14ac:dyDescent="0.25">
      <c r="A1514" s="7">
        <v>1</v>
      </c>
      <c r="B1514" s="8">
        <v>43844</v>
      </c>
      <c r="C1514" s="9" t="s">
        <v>4</v>
      </c>
      <c r="D1514" s="10">
        <v>3194.2890000000002</v>
      </c>
      <c r="E1514" s="10">
        <v>3437.0489999999995</v>
      </c>
      <c r="F1514" t="str">
        <f>VLOOKUP(A1514,StoreLookup,2,FALSE)</f>
        <v>Store#1</v>
      </c>
      <c r="G1514">
        <f>INDEX(CalLookUpTable,MATCH($B1514,CalLookUpRow,0),MATCH(G$1,CalLookUpColumn,0))</f>
        <v>2020</v>
      </c>
      <c r="H1514">
        <f>INDEX(CalLookUpTable,MATCH($B1514,CalLookUpRow,0),MATCH(H$1,CalLookUpColumn,0))</f>
        <v>1</v>
      </c>
      <c r="I1514">
        <f>INDEX(CalLookUpTable,MATCH($B1514,CalLookUpRow,0),MATCH(I$1,CalLookUpColumn,0))</f>
        <v>3</v>
      </c>
    </row>
    <row r="1515" spans="1:9" x14ac:dyDescent="0.25">
      <c r="A1515" s="7">
        <v>1</v>
      </c>
      <c r="B1515" s="8">
        <v>43844</v>
      </c>
      <c r="C1515" s="9" t="s">
        <v>6</v>
      </c>
      <c r="D1515" s="10">
        <v>1021.783</v>
      </c>
      <c r="E1515" s="10">
        <v>592.35399999999993</v>
      </c>
      <c r="F1515" t="str">
        <f>VLOOKUP(A1515,StoreLookup,2,FALSE)</f>
        <v>Store#1</v>
      </c>
      <c r="G1515">
        <f>INDEX(CalLookUpTable,MATCH($B1515,CalLookUpRow,0),MATCH(G$1,CalLookUpColumn,0))</f>
        <v>2020</v>
      </c>
      <c r="H1515">
        <f>INDEX(CalLookUpTable,MATCH($B1515,CalLookUpRow,0),MATCH(H$1,CalLookUpColumn,0))</f>
        <v>1</v>
      </c>
      <c r="I1515">
        <f>INDEX(CalLookUpTable,MATCH($B1515,CalLookUpRow,0),MATCH(I$1,CalLookUpColumn,0))</f>
        <v>3</v>
      </c>
    </row>
    <row r="1516" spans="1:9" x14ac:dyDescent="0.25">
      <c r="A1516" s="7">
        <v>1</v>
      </c>
      <c r="B1516" s="8">
        <v>43844</v>
      </c>
      <c r="C1516" s="9" t="s">
        <v>3</v>
      </c>
      <c r="D1516" s="10">
        <v>0</v>
      </c>
      <c r="E1516" s="10">
        <v>230.08299999999997</v>
      </c>
      <c r="F1516" t="str">
        <f>VLOOKUP(A1516,StoreLookup,2,FALSE)</f>
        <v>Store#1</v>
      </c>
      <c r="G1516">
        <f>INDEX(CalLookUpTable,MATCH($B1516,CalLookUpRow,0),MATCH(G$1,CalLookUpColumn,0))</f>
        <v>2020</v>
      </c>
      <c r="H1516">
        <f>INDEX(CalLookUpTable,MATCH($B1516,CalLookUpRow,0),MATCH(H$1,CalLookUpColumn,0))</f>
        <v>1</v>
      </c>
      <c r="I1516">
        <f>INDEX(CalLookUpTable,MATCH($B1516,CalLookUpRow,0),MATCH(I$1,CalLookUpColumn,0))</f>
        <v>3</v>
      </c>
    </row>
    <row r="1517" spans="1:9" x14ac:dyDescent="0.25">
      <c r="A1517" s="7">
        <v>1</v>
      </c>
      <c r="B1517" s="8">
        <v>43844</v>
      </c>
      <c r="C1517" s="9" t="s">
        <v>5</v>
      </c>
      <c r="D1517" s="10">
        <v>3341.9540000000002</v>
      </c>
      <c r="E1517" s="10">
        <v>3061.4920000000002</v>
      </c>
      <c r="F1517" t="str">
        <f>VLOOKUP(A1517,StoreLookup,2,FALSE)</f>
        <v>Store#1</v>
      </c>
      <c r="G1517">
        <f>INDEX(CalLookUpTable,MATCH($B1517,CalLookUpRow,0),MATCH(G$1,CalLookUpColumn,0))</f>
        <v>2020</v>
      </c>
      <c r="H1517">
        <f>INDEX(CalLookUpTable,MATCH($B1517,CalLookUpRow,0),MATCH(H$1,CalLookUpColumn,0))</f>
        <v>1</v>
      </c>
      <c r="I1517">
        <f>INDEX(CalLookUpTable,MATCH($B1517,CalLookUpRow,0),MATCH(I$1,CalLookUpColumn,0))</f>
        <v>3</v>
      </c>
    </row>
    <row r="1518" spans="1:9" x14ac:dyDescent="0.25">
      <c r="A1518" s="7">
        <v>1</v>
      </c>
      <c r="B1518" s="8">
        <v>43845</v>
      </c>
      <c r="C1518" s="9" t="s">
        <v>6</v>
      </c>
      <c r="D1518" s="10">
        <v>843.23399999999992</v>
      </c>
      <c r="E1518" s="10">
        <v>955.26199999999994</v>
      </c>
      <c r="F1518" t="str">
        <f>VLOOKUP(A1518,StoreLookup,2,FALSE)</f>
        <v>Store#1</v>
      </c>
      <c r="G1518">
        <f>INDEX(CalLookUpTable,MATCH($B1518,CalLookUpRow,0),MATCH(G$1,CalLookUpColumn,0))</f>
        <v>2020</v>
      </c>
      <c r="H1518">
        <f>INDEX(CalLookUpTable,MATCH($B1518,CalLookUpRow,0),MATCH(H$1,CalLookUpColumn,0))</f>
        <v>1</v>
      </c>
      <c r="I1518">
        <f>INDEX(CalLookUpTable,MATCH($B1518,CalLookUpRow,0),MATCH(I$1,CalLookUpColumn,0))</f>
        <v>3</v>
      </c>
    </row>
    <row r="1519" spans="1:9" x14ac:dyDescent="0.25">
      <c r="A1519" s="7">
        <v>1</v>
      </c>
      <c r="B1519" s="8">
        <v>43845</v>
      </c>
      <c r="C1519" s="9" t="s">
        <v>4</v>
      </c>
      <c r="D1519" s="10">
        <v>3419.0099999999998</v>
      </c>
      <c r="E1519" s="10">
        <v>4823.8890000000001</v>
      </c>
      <c r="F1519" t="str">
        <f>VLOOKUP(A1519,StoreLookup,2,FALSE)</f>
        <v>Store#1</v>
      </c>
      <c r="G1519">
        <f>INDEX(CalLookUpTable,MATCH($B1519,CalLookUpRow,0),MATCH(G$1,CalLookUpColumn,0))</f>
        <v>2020</v>
      </c>
      <c r="H1519">
        <f>INDEX(CalLookUpTable,MATCH($B1519,CalLookUpRow,0),MATCH(H$1,CalLookUpColumn,0))</f>
        <v>1</v>
      </c>
      <c r="I1519">
        <f>INDEX(CalLookUpTable,MATCH($B1519,CalLookUpRow,0),MATCH(I$1,CalLookUpColumn,0))</f>
        <v>3</v>
      </c>
    </row>
    <row r="1520" spans="1:9" x14ac:dyDescent="0.25">
      <c r="A1520" s="7">
        <v>1</v>
      </c>
      <c r="B1520" s="8">
        <v>43845</v>
      </c>
      <c r="C1520" s="9" t="s">
        <v>3</v>
      </c>
      <c r="D1520" s="10">
        <v>185.95499999999998</v>
      </c>
      <c r="E1520" s="10">
        <v>154.88199999999998</v>
      </c>
      <c r="F1520" t="str">
        <f>VLOOKUP(A1520,StoreLookup,2,FALSE)</f>
        <v>Store#1</v>
      </c>
      <c r="G1520">
        <f>INDEX(CalLookUpTable,MATCH($B1520,CalLookUpRow,0),MATCH(G$1,CalLookUpColumn,0))</f>
        <v>2020</v>
      </c>
      <c r="H1520">
        <f>INDEX(CalLookUpTable,MATCH($B1520,CalLookUpRow,0),MATCH(H$1,CalLookUpColumn,0))</f>
        <v>1</v>
      </c>
      <c r="I1520">
        <f>INDEX(CalLookUpTable,MATCH($B1520,CalLookUpRow,0),MATCH(I$1,CalLookUpColumn,0))</f>
        <v>3</v>
      </c>
    </row>
    <row r="1521" spans="1:9" x14ac:dyDescent="0.25">
      <c r="A1521" s="7">
        <v>1</v>
      </c>
      <c r="B1521" s="8">
        <v>43845</v>
      </c>
      <c r="C1521" s="9" t="s">
        <v>5</v>
      </c>
      <c r="D1521" s="10">
        <v>3258.5140000000001</v>
      </c>
      <c r="E1521" s="10">
        <v>3109.3440000000001</v>
      </c>
      <c r="F1521" t="str">
        <f>VLOOKUP(A1521,StoreLookup,2,FALSE)</f>
        <v>Store#1</v>
      </c>
      <c r="G1521">
        <f>INDEX(CalLookUpTable,MATCH($B1521,CalLookUpRow,0),MATCH(G$1,CalLookUpColumn,0))</f>
        <v>2020</v>
      </c>
      <c r="H1521">
        <f>INDEX(CalLookUpTable,MATCH($B1521,CalLookUpRow,0),MATCH(H$1,CalLookUpColumn,0))</f>
        <v>1</v>
      </c>
      <c r="I1521">
        <f>INDEX(CalLookUpTable,MATCH($B1521,CalLookUpRow,0),MATCH(I$1,CalLookUpColumn,0))</f>
        <v>3</v>
      </c>
    </row>
    <row r="1522" spans="1:9" x14ac:dyDescent="0.25">
      <c r="A1522" s="7">
        <v>1</v>
      </c>
      <c r="B1522" s="8">
        <v>43846</v>
      </c>
      <c r="C1522" s="9" t="s">
        <v>3</v>
      </c>
      <c r="D1522" s="10">
        <v>196.54599999999996</v>
      </c>
      <c r="E1522" s="10">
        <v>47.746999999999993</v>
      </c>
      <c r="F1522" t="str">
        <f>VLOOKUP(A1522,StoreLookup,2,FALSE)</f>
        <v>Store#1</v>
      </c>
      <c r="G1522">
        <f>INDEX(CalLookUpTable,MATCH($B1522,CalLookUpRow,0),MATCH(G$1,CalLookUpColumn,0))</f>
        <v>2020</v>
      </c>
      <c r="H1522">
        <f>INDEX(CalLookUpTable,MATCH($B1522,CalLookUpRow,0),MATCH(H$1,CalLookUpColumn,0))</f>
        <v>1</v>
      </c>
      <c r="I1522">
        <f>INDEX(CalLookUpTable,MATCH($B1522,CalLookUpRow,0),MATCH(I$1,CalLookUpColumn,0))</f>
        <v>3</v>
      </c>
    </row>
    <row r="1523" spans="1:9" x14ac:dyDescent="0.25">
      <c r="A1523" s="7">
        <v>1</v>
      </c>
      <c r="B1523" s="8">
        <v>43846</v>
      </c>
      <c r="C1523" s="9" t="s">
        <v>4</v>
      </c>
      <c r="D1523" s="10">
        <v>4322.1429999999991</v>
      </c>
      <c r="E1523" s="10">
        <v>4240.4459999999999</v>
      </c>
      <c r="F1523" t="str">
        <f>VLOOKUP(A1523,StoreLookup,2,FALSE)</f>
        <v>Store#1</v>
      </c>
      <c r="G1523">
        <f>INDEX(CalLookUpTable,MATCH($B1523,CalLookUpRow,0),MATCH(G$1,CalLookUpColumn,0))</f>
        <v>2020</v>
      </c>
      <c r="H1523">
        <f>INDEX(CalLookUpTable,MATCH($B1523,CalLookUpRow,0),MATCH(H$1,CalLookUpColumn,0))</f>
        <v>1</v>
      </c>
      <c r="I1523">
        <f>INDEX(CalLookUpTable,MATCH($B1523,CalLookUpRow,0),MATCH(I$1,CalLookUpColumn,0))</f>
        <v>3</v>
      </c>
    </row>
    <row r="1524" spans="1:9" x14ac:dyDescent="0.25">
      <c r="A1524" s="7">
        <v>1</v>
      </c>
      <c r="B1524" s="8">
        <v>43846</v>
      </c>
      <c r="C1524" s="9" t="s">
        <v>6</v>
      </c>
      <c r="D1524" s="10">
        <v>806.7639999999999</v>
      </c>
      <c r="E1524" s="10">
        <v>774.89299999999992</v>
      </c>
      <c r="F1524" t="str">
        <f>VLOOKUP(A1524,StoreLookup,2,FALSE)</f>
        <v>Store#1</v>
      </c>
      <c r="G1524">
        <f>INDEX(CalLookUpTable,MATCH($B1524,CalLookUpRow,0),MATCH(G$1,CalLookUpColumn,0))</f>
        <v>2020</v>
      </c>
      <c r="H1524">
        <f>INDEX(CalLookUpTable,MATCH($B1524,CalLookUpRow,0),MATCH(H$1,CalLookUpColumn,0))</f>
        <v>1</v>
      </c>
      <c r="I1524">
        <f>INDEX(CalLookUpTable,MATCH($B1524,CalLookUpRow,0),MATCH(I$1,CalLookUpColumn,0))</f>
        <v>3</v>
      </c>
    </row>
    <row r="1525" spans="1:9" x14ac:dyDescent="0.25">
      <c r="A1525" s="7">
        <v>1</v>
      </c>
      <c r="B1525" s="8">
        <v>43846</v>
      </c>
      <c r="C1525" s="9" t="s">
        <v>5</v>
      </c>
      <c r="D1525" s="10">
        <v>3316.3339999999998</v>
      </c>
      <c r="E1525" s="10">
        <v>3295.6349999999998</v>
      </c>
      <c r="F1525" t="str">
        <f>VLOOKUP(A1525,StoreLookup,2,FALSE)</f>
        <v>Store#1</v>
      </c>
      <c r="G1525">
        <f>INDEX(CalLookUpTable,MATCH($B1525,CalLookUpRow,0),MATCH(G$1,CalLookUpColumn,0))</f>
        <v>2020</v>
      </c>
      <c r="H1525">
        <f>INDEX(CalLookUpTable,MATCH($B1525,CalLookUpRow,0),MATCH(H$1,CalLookUpColumn,0))</f>
        <v>1</v>
      </c>
      <c r="I1525">
        <f>INDEX(CalLookUpTable,MATCH($B1525,CalLookUpRow,0),MATCH(I$1,CalLookUpColumn,0))</f>
        <v>3</v>
      </c>
    </row>
    <row r="1526" spans="1:9" x14ac:dyDescent="0.25">
      <c r="A1526" s="7">
        <v>1</v>
      </c>
      <c r="B1526" s="8">
        <v>43847</v>
      </c>
      <c r="C1526" s="9" t="s">
        <v>3</v>
      </c>
      <c r="D1526" s="10">
        <v>33.284999999999997</v>
      </c>
      <c r="E1526" s="10">
        <v>0</v>
      </c>
      <c r="F1526" t="str">
        <f>VLOOKUP(A1526,StoreLookup,2,FALSE)</f>
        <v>Store#1</v>
      </c>
      <c r="G1526">
        <f>INDEX(CalLookUpTable,MATCH($B1526,CalLookUpRow,0),MATCH(G$1,CalLookUpColumn,0))</f>
        <v>2020</v>
      </c>
      <c r="H1526">
        <f>INDEX(CalLookUpTable,MATCH($B1526,CalLookUpRow,0),MATCH(H$1,CalLookUpColumn,0))</f>
        <v>1</v>
      </c>
      <c r="I1526">
        <f>INDEX(CalLookUpTable,MATCH($B1526,CalLookUpRow,0),MATCH(I$1,CalLookUpColumn,0))</f>
        <v>3</v>
      </c>
    </row>
    <row r="1527" spans="1:9" x14ac:dyDescent="0.25">
      <c r="A1527" s="7">
        <v>1</v>
      </c>
      <c r="B1527" s="8">
        <v>43847</v>
      </c>
      <c r="C1527" s="9" t="s">
        <v>4</v>
      </c>
      <c r="D1527" s="10">
        <v>4906.6079999999993</v>
      </c>
      <c r="E1527" s="10">
        <v>6541.7520000000004</v>
      </c>
      <c r="F1527" t="str">
        <f>VLOOKUP(A1527,StoreLookup,2,FALSE)</f>
        <v>Store#1</v>
      </c>
      <c r="G1527">
        <f>INDEX(CalLookUpTable,MATCH($B1527,CalLookUpRow,0),MATCH(G$1,CalLookUpColumn,0))</f>
        <v>2020</v>
      </c>
      <c r="H1527">
        <f>INDEX(CalLookUpTable,MATCH($B1527,CalLookUpRow,0),MATCH(H$1,CalLookUpColumn,0))</f>
        <v>1</v>
      </c>
      <c r="I1527">
        <f>INDEX(CalLookUpTable,MATCH($B1527,CalLookUpRow,0),MATCH(I$1,CalLookUpColumn,0))</f>
        <v>3</v>
      </c>
    </row>
    <row r="1528" spans="1:9" x14ac:dyDescent="0.25">
      <c r="A1528" s="7">
        <v>1</v>
      </c>
      <c r="B1528" s="8">
        <v>43847</v>
      </c>
      <c r="C1528" s="9" t="s">
        <v>6</v>
      </c>
      <c r="D1528" s="10">
        <v>1375.1849999999999</v>
      </c>
      <c r="E1528" s="10">
        <v>1322.8809999999999</v>
      </c>
      <c r="F1528" t="str">
        <f>VLOOKUP(A1528,StoreLookup,2,FALSE)</f>
        <v>Store#1</v>
      </c>
      <c r="G1528">
        <f>INDEX(CalLookUpTable,MATCH($B1528,CalLookUpRow,0),MATCH(G$1,CalLookUpColumn,0))</f>
        <v>2020</v>
      </c>
      <c r="H1528">
        <f>INDEX(CalLookUpTable,MATCH($B1528,CalLookUpRow,0),MATCH(H$1,CalLookUpColumn,0))</f>
        <v>1</v>
      </c>
      <c r="I1528">
        <f>INDEX(CalLookUpTable,MATCH($B1528,CalLookUpRow,0),MATCH(I$1,CalLookUpColumn,0))</f>
        <v>3</v>
      </c>
    </row>
    <row r="1529" spans="1:9" x14ac:dyDescent="0.25">
      <c r="A1529" s="7">
        <v>1</v>
      </c>
      <c r="B1529" s="8">
        <v>43847</v>
      </c>
      <c r="C1529" s="9" t="s">
        <v>5</v>
      </c>
      <c r="D1529" s="10">
        <v>4183.3119999999999</v>
      </c>
      <c r="E1529" s="10">
        <v>3856.4119999999998</v>
      </c>
      <c r="F1529" t="str">
        <f>VLOOKUP(A1529,StoreLookup,2,FALSE)</f>
        <v>Store#1</v>
      </c>
      <c r="G1529">
        <f>INDEX(CalLookUpTable,MATCH($B1529,CalLookUpRow,0),MATCH(G$1,CalLookUpColumn,0))</f>
        <v>2020</v>
      </c>
      <c r="H1529">
        <f>INDEX(CalLookUpTable,MATCH($B1529,CalLookUpRow,0),MATCH(H$1,CalLookUpColumn,0))</f>
        <v>1</v>
      </c>
      <c r="I1529">
        <f>INDEX(CalLookUpTable,MATCH($B1529,CalLookUpRow,0),MATCH(I$1,CalLookUpColumn,0))</f>
        <v>3</v>
      </c>
    </row>
    <row r="1530" spans="1:9" x14ac:dyDescent="0.25">
      <c r="A1530" s="7">
        <v>1</v>
      </c>
      <c r="B1530" s="8">
        <v>43848</v>
      </c>
      <c r="C1530" s="9" t="s">
        <v>6</v>
      </c>
      <c r="D1530" s="10">
        <v>1048.8519999999999</v>
      </c>
      <c r="E1530" s="10">
        <v>661.69599999999991</v>
      </c>
      <c r="F1530" t="str">
        <f>VLOOKUP(A1530,StoreLookup,2,FALSE)</f>
        <v>Store#1</v>
      </c>
      <c r="G1530">
        <f>INDEX(CalLookUpTable,MATCH($B1530,CalLookUpRow,0),MATCH(G$1,CalLookUpColumn,0))</f>
        <v>2020</v>
      </c>
      <c r="H1530">
        <f>INDEX(CalLookUpTable,MATCH($B1530,CalLookUpRow,0),MATCH(H$1,CalLookUpColumn,0))</f>
        <v>1</v>
      </c>
      <c r="I1530">
        <f>INDEX(CalLookUpTable,MATCH($B1530,CalLookUpRow,0),MATCH(I$1,CalLookUpColumn,0))</f>
        <v>3</v>
      </c>
    </row>
    <row r="1531" spans="1:9" x14ac:dyDescent="0.25">
      <c r="A1531" s="7">
        <v>1</v>
      </c>
      <c r="B1531" s="8">
        <v>43848</v>
      </c>
      <c r="C1531" s="9" t="s">
        <v>5</v>
      </c>
      <c r="D1531" s="10">
        <v>3440.8219999999997</v>
      </c>
      <c r="E1531" s="10">
        <v>3188.1219999999998</v>
      </c>
      <c r="F1531" t="str">
        <f>VLOOKUP(A1531,StoreLookup,2,FALSE)</f>
        <v>Store#1</v>
      </c>
      <c r="G1531">
        <f>INDEX(CalLookUpTable,MATCH($B1531,CalLookUpRow,0),MATCH(G$1,CalLookUpColumn,0))</f>
        <v>2020</v>
      </c>
      <c r="H1531">
        <f>INDEX(CalLookUpTable,MATCH($B1531,CalLookUpRow,0),MATCH(H$1,CalLookUpColumn,0))</f>
        <v>1</v>
      </c>
      <c r="I1531">
        <f>INDEX(CalLookUpTable,MATCH($B1531,CalLookUpRow,0),MATCH(I$1,CalLookUpColumn,0))</f>
        <v>3</v>
      </c>
    </row>
    <row r="1532" spans="1:9" x14ac:dyDescent="0.25">
      <c r="A1532" s="7">
        <v>1</v>
      </c>
      <c r="B1532" s="8">
        <v>43848</v>
      </c>
      <c r="C1532" s="9" t="s">
        <v>4</v>
      </c>
      <c r="D1532" s="10">
        <v>5424.2649999999994</v>
      </c>
      <c r="E1532" s="10">
        <v>5850.8939999999993</v>
      </c>
      <c r="F1532" t="str">
        <f>VLOOKUP(A1532,StoreLookup,2,FALSE)</f>
        <v>Store#1</v>
      </c>
      <c r="G1532">
        <f>INDEX(CalLookUpTable,MATCH($B1532,CalLookUpRow,0),MATCH(G$1,CalLookUpColumn,0))</f>
        <v>2020</v>
      </c>
      <c r="H1532">
        <f>INDEX(CalLookUpTable,MATCH($B1532,CalLookUpRow,0),MATCH(H$1,CalLookUpColumn,0))</f>
        <v>1</v>
      </c>
      <c r="I1532">
        <f>INDEX(CalLookUpTable,MATCH($B1532,CalLookUpRow,0),MATCH(I$1,CalLookUpColumn,0))</f>
        <v>3</v>
      </c>
    </row>
    <row r="1533" spans="1:9" x14ac:dyDescent="0.25">
      <c r="A1533" s="7">
        <v>1</v>
      </c>
      <c r="B1533" s="8">
        <v>43848</v>
      </c>
      <c r="C1533" s="9" t="s">
        <v>3</v>
      </c>
      <c r="D1533" s="10">
        <v>0</v>
      </c>
      <c r="E1533" s="10">
        <v>0</v>
      </c>
      <c r="F1533" t="str">
        <f>VLOOKUP(A1533,StoreLookup,2,FALSE)</f>
        <v>Store#1</v>
      </c>
      <c r="G1533">
        <f>INDEX(CalLookUpTable,MATCH($B1533,CalLookUpRow,0),MATCH(G$1,CalLookUpColumn,0))</f>
        <v>2020</v>
      </c>
      <c r="H1533">
        <f>INDEX(CalLookUpTable,MATCH($B1533,CalLookUpRow,0),MATCH(H$1,CalLookUpColumn,0))</f>
        <v>1</v>
      </c>
      <c r="I1533">
        <f>INDEX(CalLookUpTable,MATCH($B1533,CalLookUpRow,0),MATCH(I$1,CalLookUpColumn,0))</f>
        <v>3</v>
      </c>
    </row>
    <row r="1534" spans="1:9" x14ac:dyDescent="0.25">
      <c r="A1534" s="7">
        <v>1</v>
      </c>
      <c r="B1534" s="8">
        <v>43849</v>
      </c>
      <c r="C1534" s="9" t="s">
        <v>3</v>
      </c>
      <c r="D1534" s="10">
        <v>0</v>
      </c>
      <c r="E1534" s="10">
        <v>0</v>
      </c>
      <c r="F1534" t="str">
        <f>VLOOKUP(A1534,StoreLookup,2,FALSE)</f>
        <v>Store#1</v>
      </c>
      <c r="G1534">
        <f>INDEX(CalLookUpTable,MATCH($B1534,CalLookUpRow,0),MATCH(G$1,CalLookUpColumn,0))</f>
        <v>2020</v>
      </c>
      <c r="H1534">
        <f>INDEX(CalLookUpTable,MATCH($B1534,CalLookUpRow,0),MATCH(H$1,CalLookUpColumn,0))</f>
        <v>1</v>
      </c>
      <c r="I1534">
        <f>INDEX(CalLookUpTable,MATCH($B1534,CalLookUpRow,0),MATCH(I$1,CalLookUpColumn,0))</f>
        <v>3</v>
      </c>
    </row>
    <row r="1535" spans="1:9" x14ac:dyDescent="0.25">
      <c r="A1535" s="7">
        <v>1</v>
      </c>
      <c r="B1535" s="8">
        <v>43849</v>
      </c>
      <c r="C1535" s="9" t="s">
        <v>4</v>
      </c>
      <c r="D1535" s="10">
        <v>1777.0339999999999</v>
      </c>
      <c r="E1535" s="10">
        <v>2374.855</v>
      </c>
      <c r="F1535" t="str">
        <f>VLOOKUP(A1535,StoreLookup,2,FALSE)</f>
        <v>Store#1</v>
      </c>
      <c r="G1535">
        <f>INDEX(CalLookUpTable,MATCH($B1535,CalLookUpRow,0),MATCH(G$1,CalLookUpColumn,0))</f>
        <v>2020</v>
      </c>
      <c r="H1535">
        <f>INDEX(CalLookUpTable,MATCH($B1535,CalLookUpRow,0),MATCH(H$1,CalLookUpColumn,0))</f>
        <v>1</v>
      </c>
      <c r="I1535">
        <f>INDEX(CalLookUpTable,MATCH($B1535,CalLookUpRow,0),MATCH(I$1,CalLookUpColumn,0))</f>
        <v>3</v>
      </c>
    </row>
    <row r="1536" spans="1:9" x14ac:dyDescent="0.25">
      <c r="A1536" s="7">
        <v>1</v>
      </c>
      <c r="B1536" s="8">
        <v>43849</v>
      </c>
      <c r="C1536" s="9" t="s">
        <v>5</v>
      </c>
      <c r="D1536" s="10">
        <v>1734.607</v>
      </c>
      <c r="E1536" s="10">
        <v>1532.58</v>
      </c>
      <c r="F1536" t="str">
        <f>VLOOKUP(A1536,StoreLookup,2,FALSE)</f>
        <v>Store#1</v>
      </c>
      <c r="G1536">
        <f>INDEX(CalLookUpTable,MATCH($B1536,CalLookUpRow,0),MATCH(G$1,CalLookUpColumn,0))</f>
        <v>2020</v>
      </c>
      <c r="H1536">
        <f>INDEX(CalLookUpTable,MATCH($B1536,CalLookUpRow,0),MATCH(H$1,CalLookUpColumn,0))</f>
        <v>1</v>
      </c>
      <c r="I1536">
        <f>INDEX(CalLookUpTable,MATCH($B1536,CalLookUpRow,0),MATCH(I$1,CalLookUpColumn,0))</f>
        <v>3</v>
      </c>
    </row>
    <row r="1537" spans="1:9" x14ac:dyDescent="0.25">
      <c r="A1537" s="7">
        <v>1</v>
      </c>
      <c r="B1537" s="8">
        <v>43849</v>
      </c>
      <c r="C1537" s="9" t="s">
        <v>6</v>
      </c>
      <c r="D1537" s="10">
        <v>541.00199999999995</v>
      </c>
      <c r="E1537" s="10">
        <v>167.69199999999998</v>
      </c>
      <c r="F1537" t="str">
        <f>VLOOKUP(A1537,StoreLookup,2,FALSE)</f>
        <v>Store#1</v>
      </c>
      <c r="G1537">
        <f>INDEX(CalLookUpTable,MATCH($B1537,CalLookUpRow,0),MATCH(G$1,CalLookUpColumn,0))</f>
        <v>2020</v>
      </c>
      <c r="H1537">
        <f>INDEX(CalLookUpTable,MATCH($B1537,CalLookUpRow,0),MATCH(H$1,CalLookUpColumn,0))</f>
        <v>1</v>
      </c>
      <c r="I1537">
        <f>INDEX(CalLookUpTable,MATCH($B1537,CalLookUpRow,0),MATCH(I$1,CalLookUpColumn,0))</f>
        <v>3</v>
      </c>
    </row>
    <row r="1538" spans="1:9" x14ac:dyDescent="0.25">
      <c r="A1538" s="7">
        <v>1</v>
      </c>
      <c r="B1538" s="8">
        <v>43850</v>
      </c>
      <c r="C1538" s="9" t="s">
        <v>3</v>
      </c>
      <c r="D1538" s="10">
        <v>0</v>
      </c>
      <c r="E1538" s="10">
        <v>169.93899999999999</v>
      </c>
      <c r="F1538" t="str">
        <f>VLOOKUP(A1538,StoreLookup,2,FALSE)</f>
        <v>Store#1</v>
      </c>
      <c r="G1538">
        <f>INDEX(CalLookUpTable,MATCH($B1538,CalLookUpRow,0),MATCH(G$1,CalLookUpColumn,0))</f>
        <v>2020</v>
      </c>
      <c r="H1538">
        <f>INDEX(CalLookUpTable,MATCH($B1538,CalLookUpRow,0),MATCH(H$1,CalLookUpColumn,0))</f>
        <v>1</v>
      </c>
      <c r="I1538">
        <f>INDEX(CalLookUpTable,MATCH($B1538,CalLookUpRow,0),MATCH(I$1,CalLookUpColumn,0))</f>
        <v>4</v>
      </c>
    </row>
    <row r="1539" spans="1:9" x14ac:dyDescent="0.25">
      <c r="A1539" s="7">
        <v>1</v>
      </c>
      <c r="B1539" s="8">
        <v>43850</v>
      </c>
      <c r="C1539" s="9" t="s">
        <v>4</v>
      </c>
      <c r="D1539" s="10">
        <v>4576.8309999999992</v>
      </c>
      <c r="E1539" s="10">
        <v>4970.1539999999995</v>
      </c>
      <c r="F1539" t="str">
        <f>VLOOKUP(A1539,StoreLookup,2,FALSE)</f>
        <v>Store#1</v>
      </c>
      <c r="G1539">
        <f>INDEX(CalLookUpTable,MATCH($B1539,CalLookUpRow,0),MATCH(G$1,CalLookUpColumn,0))</f>
        <v>2020</v>
      </c>
      <c r="H1539">
        <f>INDEX(CalLookUpTable,MATCH($B1539,CalLookUpRow,0),MATCH(H$1,CalLookUpColumn,0))</f>
        <v>1</v>
      </c>
      <c r="I1539">
        <f>INDEX(CalLookUpTable,MATCH($B1539,CalLookUpRow,0),MATCH(I$1,CalLookUpColumn,0))</f>
        <v>4</v>
      </c>
    </row>
    <row r="1540" spans="1:9" x14ac:dyDescent="0.25">
      <c r="A1540" s="7">
        <v>1</v>
      </c>
      <c r="B1540" s="8">
        <v>43850</v>
      </c>
      <c r="C1540" s="9" t="s">
        <v>6</v>
      </c>
      <c r="D1540" s="10">
        <v>1361.7309999999998</v>
      </c>
      <c r="E1540" s="10">
        <v>1218.9870000000001</v>
      </c>
      <c r="F1540" t="str">
        <f>VLOOKUP(A1540,StoreLookup,2,FALSE)</f>
        <v>Store#1</v>
      </c>
      <c r="G1540">
        <f>INDEX(CalLookUpTable,MATCH($B1540,CalLookUpRow,0),MATCH(G$1,CalLookUpColumn,0))</f>
        <v>2020</v>
      </c>
      <c r="H1540">
        <f>INDEX(CalLookUpTable,MATCH($B1540,CalLookUpRow,0),MATCH(H$1,CalLookUpColumn,0))</f>
        <v>1</v>
      </c>
      <c r="I1540">
        <f>INDEX(CalLookUpTable,MATCH($B1540,CalLookUpRow,0),MATCH(I$1,CalLookUpColumn,0))</f>
        <v>4</v>
      </c>
    </row>
    <row r="1541" spans="1:9" x14ac:dyDescent="0.25">
      <c r="A1541" s="7">
        <v>1</v>
      </c>
      <c r="B1541" s="8">
        <v>43850</v>
      </c>
      <c r="C1541" s="9" t="s">
        <v>5</v>
      </c>
      <c r="D1541" s="10">
        <v>3836.0839999999998</v>
      </c>
      <c r="E1541" s="10">
        <v>2949.8140000000003</v>
      </c>
      <c r="F1541" t="str">
        <f>VLOOKUP(A1541,StoreLookup,2,FALSE)</f>
        <v>Store#1</v>
      </c>
      <c r="G1541">
        <f>INDEX(CalLookUpTable,MATCH($B1541,CalLookUpRow,0),MATCH(G$1,CalLookUpColumn,0))</f>
        <v>2020</v>
      </c>
      <c r="H1541">
        <f>INDEX(CalLookUpTable,MATCH($B1541,CalLookUpRow,0),MATCH(H$1,CalLookUpColumn,0))</f>
        <v>1</v>
      </c>
      <c r="I1541">
        <f>INDEX(CalLookUpTable,MATCH($B1541,CalLookUpRow,0),MATCH(I$1,CalLookUpColumn,0))</f>
        <v>4</v>
      </c>
    </row>
    <row r="1542" spans="1:9" x14ac:dyDescent="0.25">
      <c r="A1542" s="7">
        <v>1</v>
      </c>
      <c r="B1542" s="8">
        <v>43851</v>
      </c>
      <c r="C1542" s="9" t="s">
        <v>3</v>
      </c>
      <c r="D1542" s="10">
        <v>0</v>
      </c>
      <c r="E1542" s="10">
        <v>0</v>
      </c>
      <c r="F1542" t="str">
        <f>VLOOKUP(A1542,StoreLookup,2,FALSE)</f>
        <v>Store#1</v>
      </c>
      <c r="G1542">
        <f>INDEX(CalLookUpTable,MATCH($B1542,CalLookUpRow,0),MATCH(G$1,CalLookUpColumn,0))</f>
        <v>2020</v>
      </c>
      <c r="H1542">
        <f>INDEX(CalLookUpTable,MATCH($B1542,CalLookUpRow,0),MATCH(H$1,CalLookUpColumn,0))</f>
        <v>1</v>
      </c>
      <c r="I1542">
        <f>INDEX(CalLookUpTable,MATCH($B1542,CalLookUpRow,0),MATCH(I$1,CalLookUpColumn,0))</f>
        <v>4</v>
      </c>
    </row>
    <row r="1543" spans="1:9" x14ac:dyDescent="0.25">
      <c r="A1543" s="7">
        <v>1</v>
      </c>
      <c r="B1543" s="8">
        <v>43851</v>
      </c>
      <c r="C1543" s="9" t="s">
        <v>6</v>
      </c>
      <c r="D1543" s="10">
        <v>858.66200000000003</v>
      </c>
      <c r="E1543" s="10">
        <v>672.96600000000001</v>
      </c>
      <c r="F1543" t="str">
        <f>VLOOKUP(A1543,StoreLookup,2,FALSE)</f>
        <v>Store#1</v>
      </c>
      <c r="G1543">
        <f>INDEX(CalLookUpTable,MATCH($B1543,CalLookUpRow,0),MATCH(G$1,CalLookUpColumn,0))</f>
        <v>2020</v>
      </c>
      <c r="H1543">
        <f>INDEX(CalLookUpTable,MATCH($B1543,CalLookUpRow,0),MATCH(H$1,CalLookUpColumn,0))</f>
        <v>1</v>
      </c>
      <c r="I1543">
        <f>INDEX(CalLookUpTable,MATCH($B1543,CalLookUpRow,0),MATCH(I$1,CalLookUpColumn,0))</f>
        <v>4</v>
      </c>
    </row>
    <row r="1544" spans="1:9" x14ac:dyDescent="0.25">
      <c r="A1544" s="7">
        <v>1</v>
      </c>
      <c r="B1544" s="8">
        <v>43851</v>
      </c>
      <c r="C1544" s="9" t="s">
        <v>4</v>
      </c>
      <c r="D1544" s="10">
        <v>3179.7779999999998</v>
      </c>
      <c r="E1544" s="10">
        <v>3944.3459999999995</v>
      </c>
      <c r="F1544" t="str">
        <f>VLOOKUP(A1544,StoreLookup,2,FALSE)</f>
        <v>Store#1</v>
      </c>
      <c r="G1544">
        <f>INDEX(CalLookUpTable,MATCH($B1544,CalLookUpRow,0),MATCH(G$1,CalLookUpColumn,0))</f>
        <v>2020</v>
      </c>
      <c r="H1544">
        <f>INDEX(CalLookUpTable,MATCH($B1544,CalLookUpRow,0),MATCH(H$1,CalLookUpColumn,0))</f>
        <v>1</v>
      </c>
      <c r="I1544">
        <f>INDEX(CalLookUpTable,MATCH($B1544,CalLookUpRow,0),MATCH(I$1,CalLookUpColumn,0))</f>
        <v>4</v>
      </c>
    </row>
    <row r="1545" spans="1:9" x14ac:dyDescent="0.25">
      <c r="A1545" s="7">
        <v>1</v>
      </c>
      <c r="B1545" s="8">
        <v>43851</v>
      </c>
      <c r="C1545" s="9" t="s">
        <v>5</v>
      </c>
      <c r="D1545" s="10">
        <v>3139.1779999999999</v>
      </c>
      <c r="E1545" s="10">
        <v>3002.8319999999999</v>
      </c>
      <c r="F1545" t="str">
        <f>VLOOKUP(A1545,StoreLookup,2,FALSE)</f>
        <v>Store#1</v>
      </c>
      <c r="G1545">
        <f>INDEX(CalLookUpTable,MATCH($B1545,CalLookUpRow,0),MATCH(G$1,CalLookUpColumn,0))</f>
        <v>2020</v>
      </c>
      <c r="H1545">
        <f>INDEX(CalLookUpTable,MATCH($B1545,CalLookUpRow,0),MATCH(H$1,CalLookUpColumn,0))</f>
        <v>1</v>
      </c>
      <c r="I1545">
        <f>INDEX(CalLookUpTable,MATCH($B1545,CalLookUpRow,0),MATCH(I$1,CalLookUpColumn,0))</f>
        <v>4</v>
      </c>
    </row>
    <row r="1546" spans="1:9" x14ac:dyDescent="0.25">
      <c r="A1546" s="7">
        <v>1</v>
      </c>
      <c r="B1546" s="8">
        <v>43852</v>
      </c>
      <c r="C1546" s="9" t="s">
        <v>4</v>
      </c>
      <c r="D1546" s="10">
        <v>3253.0329999999994</v>
      </c>
      <c r="E1546" s="10">
        <v>3789.3449999999998</v>
      </c>
      <c r="F1546" t="str">
        <f>VLOOKUP(A1546,StoreLookup,2,FALSE)</f>
        <v>Store#1</v>
      </c>
      <c r="G1546">
        <f>INDEX(CalLookUpTable,MATCH($B1546,CalLookUpRow,0),MATCH(G$1,CalLookUpColumn,0))</f>
        <v>2020</v>
      </c>
      <c r="H1546">
        <f>INDEX(CalLookUpTable,MATCH($B1546,CalLookUpRow,0),MATCH(H$1,CalLookUpColumn,0))</f>
        <v>1</v>
      </c>
      <c r="I1546">
        <f>INDEX(CalLookUpTable,MATCH($B1546,CalLookUpRow,0),MATCH(I$1,CalLookUpColumn,0))</f>
        <v>4</v>
      </c>
    </row>
    <row r="1547" spans="1:9" x14ac:dyDescent="0.25">
      <c r="A1547" s="7">
        <v>1</v>
      </c>
      <c r="B1547" s="8">
        <v>43852</v>
      </c>
      <c r="C1547" s="9" t="s">
        <v>3</v>
      </c>
      <c r="D1547" s="10">
        <v>0</v>
      </c>
      <c r="E1547" s="10">
        <v>19.200999999999997</v>
      </c>
      <c r="F1547" t="str">
        <f>VLOOKUP(A1547,StoreLookup,2,FALSE)</f>
        <v>Store#1</v>
      </c>
      <c r="G1547">
        <f>INDEX(CalLookUpTable,MATCH($B1547,CalLookUpRow,0),MATCH(G$1,CalLookUpColumn,0))</f>
        <v>2020</v>
      </c>
      <c r="H1547">
        <f>INDEX(CalLookUpTable,MATCH($B1547,CalLookUpRow,0),MATCH(H$1,CalLookUpColumn,0))</f>
        <v>1</v>
      </c>
      <c r="I1547">
        <f>INDEX(CalLookUpTable,MATCH($B1547,CalLookUpRow,0),MATCH(I$1,CalLookUpColumn,0))</f>
        <v>4</v>
      </c>
    </row>
    <row r="1548" spans="1:9" x14ac:dyDescent="0.25">
      <c r="A1548" s="7">
        <v>1</v>
      </c>
      <c r="B1548" s="8">
        <v>43852</v>
      </c>
      <c r="C1548" s="9" t="s">
        <v>6</v>
      </c>
      <c r="D1548" s="10">
        <v>811.048</v>
      </c>
      <c r="E1548" s="10">
        <v>503.84599999999995</v>
      </c>
      <c r="F1548" t="str">
        <f>VLOOKUP(A1548,StoreLookup,2,FALSE)</f>
        <v>Store#1</v>
      </c>
      <c r="G1548">
        <f>INDEX(CalLookUpTable,MATCH($B1548,CalLookUpRow,0),MATCH(G$1,CalLookUpColumn,0))</f>
        <v>2020</v>
      </c>
      <c r="H1548">
        <f>INDEX(CalLookUpTable,MATCH($B1548,CalLookUpRow,0),MATCH(H$1,CalLookUpColumn,0))</f>
        <v>1</v>
      </c>
      <c r="I1548">
        <f>INDEX(CalLookUpTable,MATCH($B1548,CalLookUpRow,0),MATCH(I$1,CalLookUpColumn,0))</f>
        <v>4</v>
      </c>
    </row>
    <row r="1549" spans="1:9" x14ac:dyDescent="0.25">
      <c r="A1549" s="7">
        <v>1</v>
      </c>
      <c r="B1549" s="8">
        <v>43852</v>
      </c>
      <c r="C1549" s="9" t="s">
        <v>5</v>
      </c>
      <c r="D1549" s="10">
        <v>3098.0249999999996</v>
      </c>
      <c r="E1549" s="10">
        <v>2951.9209999999998</v>
      </c>
      <c r="F1549" t="str">
        <f>VLOOKUP(A1549,StoreLookup,2,FALSE)</f>
        <v>Store#1</v>
      </c>
      <c r="G1549">
        <f>INDEX(CalLookUpTable,MATCH($B1549,CalLookUpRow,0),MATCH(G$1,CalLookUpColumn,0))</f>
        <v>2020</v>
      </c>
      <c r="H1549">
        <f>INDEX(CalLookUpTable,MATCH($B1549,CalLookUpRow,0),MATCH(H$1,CalLookUpColumn,0))</f>
        <v>1</v>
      </c>
      <c r="I1549">
        <f>INDEX(CalLookUpTable,MATCH($B1549,CalLookUpRow,0),MATCH(I$1,CalLookUpColumn,0))</f>
        <v>4</v>
      </c>
    </row>
    <row r="1550" spans="1:9" x14ac:dyDescent="0.25">
      <c r="A1550" s="7">
        <v>1</v>
      </c>
      <c r="B1550" s="8">
        <v>43853</v>
      </c>
      <c r="C1550" s="9" t="s">
        <v>3</v>
      </c>
      <c r="D1550" s="10">
        <v>308.67199999999997</v>
      </c>
      <c r="E1550" s="10">
        <v>9.0509999999999984</v>
      </c>
      <c r="F1550" t="str">
        <f>VLOOKUP(A1550,StoreLookup,2,FALSE)</f>
        <v>Store#1</v>
      </c>
      <c r="G1550">
        <f>INDEX(CalLookUpTable,MATCH($B1550,CalLookUpRow,0),MATCH(G$1,CalLookUpColumn,0))</f>
        <v>2020</v>
      </c>
      <c r="H1550">
        <f>INDEX(CalLookUpTable,MATCH($B1550,CalLookUpRow,0),MATCH(H$1,CalLookUpColumn,0))</f>
        <v>1</v>
      </c>
      <c r="I1550">
        <f>INDEX(CalLookUpTable,MATCH($B1550,CalLookUpRow,0),MATCH(I$1,CalLookUpColumn,0))</f>
        <v>4</v>
      </c>
    </row>
    <row r="1551" spans="1:9" x14ac:dyDescent="0.25">
      <c r="A1551" s="7">
        <v>1</v>
      </c>
      <c r="B1551" s="8">
        <v>43853</v>
      </c>
      <c r="C1551" s="9" t="s">
        <v>6</v>
      </c>
      <c r="D1551" s="10">
        <v>942.13699999999994</v>
      </c>
      <c r="E1551" s="10">
        <v>1028.356</v>
      </c>
      <c r="F1551" t="str">
        <f>VLOOKUP(A1551,StoreLookup,2,FALSE)</f>
        <v>Store#1</v>
      </c>
      <c r="G1551">
        <f>INDEX(CalLookUpTable,MATCH($B1551,CalLookUpRow,0),MATCH(G$1,CalLookUpColumn,0))</f>
        <v>2020</v>
      </c>
      <c r="H1551">
        <f>INDEX(CalLookUpTable,MATCH($B1551,CalLookUpRow,0),MATCH(H$1,CalLookUpColumn,0))</f>
        <v>1</v>
      </c>
      <c r="I1551">
        <f>INDEX(CalLookUpTable,MATCH($B1551,CalLookUpRow,0),MATCH(I$1,CalLookUpColumn,0))</f>
        <v>4</v>
      </c>
    </row>
    <row r="1552" spans="1:9" x14ac:dyDescent="0.25">
      <c r="A1552" s="7">
        <v>1</v>
      </c>
      <c r="B1552" s="8">
        <v>43853</v>
      </c>
      <c r="C1552" s="9" t="s">
        <v>4</v>
      </c>
      <c r="D1552" s="10">
        <v>3757.5439999999999</v>
      </c>
      <c r="E1552" s="10">
        <v>4590.8450000000003</v>
      </c>
      <c r="F1552" t="str">
        <f>VLOOKUP(A1552,StoreLookup,2,FALSE)</f>
        <v>Store#1</v>
      </c>
      <c r="G1552">
        <f>INDEX(CalLookUpTable,MATCH($B1552,CalLookUpRow,0),MATCH(G$1,CalLookUpColumn,0))</f>
        <v>2020</v>
      </c>
      <c r="H1552">
        <f>INDEX(CalLookUpTable,MATCH($B1552,CalLookUpRow,0),MATCH(H$1,CalLookUpColumn,0))</f>
        <v>1</v>
      </c>
      <c r="I1552">
        <f>INDEX(CalLookUpTable,MATCH($B1552,CalLookUpRow,0),MATCH(I$1,CalLookUpColumn,0))</f>
        <v>4</v>
      </c>
    </row>
    <row r="1553" spans="1:9" x14ac:dyDescent="0.25">
      <c r="A1553" s="7">
        <v>1</v>
      </c>
      <c r="B1553" s="8">
        <v>43853</v>
      </c>
      <c r="C1553" s="9" t="s">
        <v>5</v>
      </c>
      <c r="D1553" s="10">
        <v>3264.828</v>
      </c>
      <c r="E1553" s="10">
        <v>2878.7219999999998</v>
      </c>
      <c r="F1553" t="str">
        <f>VLOOKUP(A1553,StoreLookup,2,FALSE)</f>
        <v>Store#1</v>
      </c>
      <c r="G1553">
        <f>INDEX(CalLookUpTable,MATCH($B1553,CalLookUpRow,0),MATCH(G$1,CalLookUpColumn,0))</f>
        <v>2020</v>
      </c>
      <c r="H1553">
        <f>INDEX(CalLookUpTable,MATCH($B1553,CalLookUpRow,0),MATCH(H$1,CalLookUpColumn,0))</f>
        <v>1</v>
      </c>
      <c r="I1553">
        <f>INDEX(CalLookUpTable,MATCH($B1553,CalLookUpRow,0),MATCH(I$1,CalLookUpColumn,0))</f>
        <v>4</v>
      </c>
    </row>
    <row r="1554" spans="1:9" x14ac:dyDescent="0.25">
      <c r="A1554" s="7">
        <v>1</v>
      </c>
      <c r="B1554" s="8">
        <v>43854</v>
      </c>
      <c r="C1554" s="9" t="s">
        <v>4</v>
      </c>
      <c r="D1554" s="10">
        <v>5347.2579999999998</v>
      </c>
      <c r="E1554" s="10">
        <v>6429.5770000000002</v>
      </c>
      <c r="F1554" t="str">
        <f>VLOOKUP(A1554,StoreLookup,2,FALSE)</f>
        <v>Store#1</v>
      </c>
      <c r="G1554">
        <f>INDEX(CalLookUpTable,MATCH($B1554,CalLookUpRow,0),MATCH(G$1,CalLookUpColumn,0))</f>
        <v>2020</v>
      </c>
      <c r="H1554">
        <f>INDEX(CalLookUpTable,MATCH($B1554,CalLookUpRow,0),MATCH(H$1,CalLookUpColumn,0))</f>
        <v>1</v>
      </c>
      <c r="I1554">
        <f>INDEX(CalLookUpTable,MATCH($B1554,CalLookUpRow,0),MATCH(I$1,CalLookUpColumn,0))</f>
        <v>4</v>
      </c>
    </row>
    <row r="1555" spans="1:9" x14ac:dyDescent="0.25">
      <c r="A1555" s="7">
        <v>1</v>
      </c>
      <c r="B1555" s="8">
        <v>43854</v>
      </c>
      <c r="C1555" s="9" t="s">
        <v>6</v>
      </c>
      <c r="D1555" s="10">
        <v>1030.0219999999999</v>
      </c>
      <c r="E1555" s="10">
        <v>1315.174</v>
      </c>
      <c r="F1555" t="str">
        <f>VLOOKUP(A1555,StoreLookup,2,FALSE)</f>
        <v>Store#1</v>
      </c>
      <c r="G1555">
        <f>INDEX(CalLookUpTable,MATCH($B1555,CalLookUpRow,0),MATCH(G$1,CalLookUpColumn,0))</f>
        <v>2020</v>
      </c>
      <c r="H1555">
        <f>INDEX(CalLookUpTable,MATCH($B1555,CalLookUpRow,0),MATCH(H$1,CalLookUpColumn,0))</f>
        <v>1</v>
      </c>
      <c r="I1555">
        <f>INDEX(CalLookUpTable,MATCH($B1555,CalLookUpRow,0),MATCH(I$1,CalLookUpColumn,0))</f>
        <v>4</v>
      </c>
    </row>
    <row r="1556" spans="1:9" x14ac:dyDescent="0.25">
      <c r="A1556" s="7">
        <v>1</v>
      </c>
      <c r="B1556" s="8">
        <v>43854</v>
      </c>
      <c r="C1556" s="9" t="s">
        <v>3</v>
      </c>
      <c r="D1556" s="10">
        <v>257.24299999999999</v>
      </c>
      <c r="E1556" s="10">
        <v>16.744</v>
      </c>
      <c r="F1556" t="str">
        <f>VLOOKUP(A1556,StoreLookup,2,FALSE)</f>
        <v>Store#1</v>
      </c>
      <c r="G1556">
        <f>INDEX(CalLookUpTable,MATCH($B1556,CalLookUpRow,0),MATCH(G$1,CalLookUpColumn,0))</f>
        <v>2020</v>
      </c>
      <c r="H1556">
        <f>INDEX(CalLookUpTable,MATCH($B1556,CalLookUpRow,0),MATCH(H$1,CalLookUpColumn,0))</f>
        <v>1</v>
      </c>
      <c r="I1556">
        <f>INDEX(CalLookUpTable,MATCH($B1556,CalLookUpRow,0),MATCH(I$1,CalLookUpColumn,0))</f>
        <v>4</v>
      </c>
    </row>
    <row r="1557" spans="1:9" x14ac:dyDescent="0.25">
      <c r="A1557" s="7">
        <v>1</v>
      </c>
      <c r="B1557" s="8">
        <v>43854</v>
      </c>
      <c r="C1557" s="9" t="s">
        <v>5</v>
      </c>
      <c r="D1557" s="10">
        <v>3928.7359999999994</v>
      </c>
      <c r="E1557" s="10">
        <v>3484.4179999999997</v>
      </c>
      <c r="F1557" t="str">
        <f>VLOOKUP(A1557,StoreLookup,2,FALSE)</f>
        <v>Store#1</v>
      </c>
      <c r="G1557">
        <f>INDEX(CalLookUpTable,MATCH($B1557,CalLookUpRow,0),MATCH(G$1,CalLookUpColumn,0))</f>
        <v>2020</v>
      </c>
      <c r="H1557">
        <f>INDEX(CalLookUpTable,MATCH($B1557,CalLookUpRow,0),MATCH(H$1,CalLookUpColumn,0))</f>
        <v>1</v>
      </c>
      <c r="I1557">
        <f>INDEX(CalLookUpTable,MATCH($B1557,CalLookUpRow,0),MATCH(I$1,CalLookUpColumn,0))</f>
        <v>4</v>
      </c>
    </row>
    <row r="1558" spans="1:9" x14ac:dyDescent="0.25">
      <c r="A1558" s="7">
        <v>1</v>
      </c>
      <c r="B1558" s="8">
        <v>43855</v>
      </c>
      <c r="C1558" s="9" t="s">
        <v>6</v>
      </c>
      <c r="D1558" s="10">
        <v>999.18700000000001</v>
      </c>
      <c r="E1558" s="10">
        <v>1151.8219999999999</v>
      </c>
      <c r="F1558" t="str">
        <f>VLOOKUP(A1558,StoreLookup,2,FALSE)</f>
        <v>Store#1</v>
      </c>
      <c r="G1558">
        <f>INDEX(CalLookUpTable,MATCH($B1558,CalLookUpRow,0),MATCH(G$1,CalLookUpColumn,0))</f>
        <v>2020</v>
      </c>
      <c r="H1558">
        <f>INDEX(CalLookUpTable,MATCH($B1558,CalLookUpRow,0),MATCH(H$1,CalLookUpColumn,0))</f>
        <v>1</v>
      </c>
      <c r="I1558">
        <f>INDEX(CalLookUpTable,MATCH($B1558,CalLookUpRow,0),MATCH(I$1,CalLookUpColumn,0))</f>
        <v>4</v>
      </c>
    </row>
    <row r="1559" spans="1:9" x14ac:dyDescent="0.25">
      <c r="A1559" s="7">
        <v>1</v>
      </c>
      <c r="B1559" s="8">
        <v>43855</v>
      </c>
      <c r="C1559" s="9" t="s">
        <v>4</v>
      </c>
      <c r="D1559" s="10">
        <v>5253.0730000000003</v>
      </c>
      <c r="E1559" s="10">
        <v>6076.2939999999999</v>
      </c>
      <c r="F1559" t="str">
        <f>VLOOKUP(A1559,StoreLookup,2,FALSE)</f>
        <v>Store#1</v>
      </c>
      <c r="G1559">
        <f>INDEX(CalLookUpTable,MATCH($B1559,CalLookUpRow,0),MATCH(G$1,CalLookUpColumn,0))</f>
        <v>2020</v>
      </c>
      <c r="H1559">
        <f>INDEX(CalLookUpTable,MATCH($B1559,CalLookUpRow,0),MATCH(H$1,CalLookUpColumn,0))</f>
        <v>1</v>
      </c>
      <c r="I1559">
        <f>INDEX(CalLookUpTable,MATCH($B1559,CalLookUpRow,0),MATCH(I$1,CalLookUpColumn,0))</f>
        <v>4</v>
      </c>
    </row>
    <row r="1560" spans="1:9" x14ac:dyDescent="0.25">
      <c r="A1560" s="7">
        <v>1</v>
      </c>
      <c r="B1560" s="8">
        <v>43855</v>
      </c>
      <c r="C1560" s="9" t="s">
        <v>3</v>
      </c>
      <c r="D1560" s="10">
        <v>0</v>
      </c>
      <c r="E1560" s="10">
        <v>923.15999999999985</v>
      </c>
      <c r="F1560" t="str">
        <f>VLOOKUP(A1560,StoreLookup,2,FALSE)</f>
        <v>Store#1</v>
      </c>
      <c r="G1560">
        <f>INDEX(CalLookUpTable,MATCH($B1560,CalLookUpRow,0),MATCH(G$1,CalLookUpColumn,0))</f>
        <v>2020</v>
      </c>
      <c r="H1560">
        <f>INDEX(CalLookUpTable,MATCH($B1560,CalLookUpRow,0),MATCH(H$1,CalLookUpColumn,0))</f>
        <v>1</v>
      </c>
      <c r="I1560">
        <f>INDEX(CalLookUpTable,MATCH($B1560,CalLookUpRow,0),MATCH(I$1,CalLookUpColumn,0))</f>
        <v>4</v>
      </c>
    </row>
    <row r="1561" spans="1:9" x14ac:dyDescent="0.25">
      <c r="A1561" s="7">
        <v>1</v>
      </c>
      <c r="B1561" s="8">
        <v>43855</v>
      </c>
      <c r="C1561" s="9" t="s">
        <v>5</v>
      </c>
      <c r="D1561" s="10">
        <v>3448.5359999999996</v>
      </c>
      <c r="E1561" s="10">
        <v>3142.9230000000002</v>
      </c>
      <c r="F1561" t="str">
        <f>VLOOKUP(A1561,StoreLookup,2,FALSE)</f>
        <v>Store#1</v>
      </c>
      <c r="G1561">
        <f>INDEX(CalLookUpTable,MATCH($B1561,CalLookUpRow,0),MATCH(G$1,CalLookUpColumn,0))</f>
        <v>2020</v>
      </c>
      <c r="H1561">
        <f>INDEX(CalLookUpTable,MATCH($B1561,CalLookUpRow,0),MATCH(H$1,CalLookUpColumn,0))</f>
        <v>1</v>
      </c>
      <c r="I1561">
        <f>INDEX(CalLookUpTable,MATCH($B1561,CalLookUpRow,0),MATCH(I$1,CalLookUpColumn,0))</f>
        <v>4</v>
      </c>
    </row>
    <row r="1562" spans="1:9" x14ac:dyDescent="0.25">
      <c r="A1562" s="7">
        <v>1</v>
      </c>
      <c r="B1562" s="8">
        <v>43856</v>
      </c>
      <c r="C1562" s="9" t="s">
        <v>4</v>
      </c>
      <c r="D1562" s="10">
        <v>1732.038</v>
      </c>
      <c r="E1562" s="10">
        <v>2451.9669999999996</v>
      </c>
      <c r="F1562" t="str">
        <f>VLOOKUP(A1562,StoreLookup,2,FALSE)</f>
        <v>Store#1</v>
      </c>
      <c r="G1562">
        <f>INDEX(CalLookUpTable,MATCH($B1562,CalLookUpRow,0),MATCH(G$1,CalLookUpColumn,0))</f>
        <v>2020</v>
      </c>
      <c r="H1562">
        <f>INDEX(CalLookUpTable,MATCH($B1562,CalLookUpRow,0),MATCH(H$1,CalLookUpColumn,0))</f>
        <v>1</v>
      </c>
      <c r="I1562">
        <f>INDEX(CalLookUpTable,MATCH($B1562,CalLookUpRow,0),MATCH(I$1,CalLookUpColumn,0))</f>
        <v>4</v>
      </c>
    </row>
    <row r="1563" spans="1:9" x14ac:dyDescent="0.25">
      <c r="A1563" s="7">
        <v>1</v>
      </c>
      <c r="B1563" s="8">
        <v>43856</v>
      </c>
      <c r="C1563" s="9" t="s">
        <v>6</v>
      </c>
      <c r="D1563" s="10">
        <v>534.00900000000001</v>
      </c>
      <c r="E1563" s="10">
        <v>199.61199999999999</v>
      </c>
      <c r="F1563" t="str">
        <f>VLOOKUP(A1563,StoreLookup,2,FALSE)</f>
        <v>Store#1</v>
      </c>
      <c r="G1563">
        <f>INDEX(CalLookUpTable,MATCH($B1563,CalLookUpRow,0),MATCH(G$1,CalLookUpColumn,0))</f>
        <v>2020</v>
      </c>
      <c r="H1563">
        <f>INDEX(CalLookUpTable,MATCH($B1563,CalLookUpRow,0),MATCH(H$1,CalLookUpColumn,0))</f>
        <v>1</v>
      </c>
      <c r="I1563">
        <f>INDEX(CalLookUpTable,MATCH($B1563,CalLookUpRow,0),MATCH(I$1,CalLookUpColumn,0))</f>
        <v>4</v>
      </c>
    </row>
    <row r="1564" spans="1:9" x14ac:dyDescent="0.25">
      <c r="A1564" s="7">
        <v>1</v>
      </c>
      <c r="B1564" s="8">
        <v>43856</v>
      </c>
      <c r="C1564" s="9" t="s">
        <v>3</v>
      </c>
      <c r="D1564" s="10">
        <v>0</v>
      </c>
      <c r="E1564" s="10">
        <v>0</v>
      </c>
      <c r="F1564" t="str">
        <f>VLOOKUP(A1564,StoreLookup,2,FALSE)</f>
        <v>Store#1</v>
      </c>
      <c r="G1564">
        <f>INDEX(CalLookUpTable,MATCH($B1564,CalLookUpRow,0),MATCH(G$1,CalLookUpColumn,0))</f>
        <v>2020</v>
      </c>
      <c r="H1564">
        <f>INDEX(CalLookUpTable,MATCH($B1564,CalLookUpRow,0),MATCH(H$1,CalLookUpColumn,0))</f>
        <v>1</v>
      </c>
      <c r="I1564">
        <f>INDEX(CalLookUpTable,MATCH($B1564,CalLookUpRow,0),MATCH(I$1,CalLookUpColumn,0))</f>
        <v>4</v>
      </c>
    </row>
    <row r="1565" spans="1:9" x14ac:dyDescent="0.25">
      <c r="A1565" s="7">
        <v>1</v>
      </c>
      <c r="B1565" s="8">
        <v>43856</v>
      </c>
      <c r="C1565" s="9" t="s">
        <v>5</v>
      </c>
      <c r="D1565" s="10">
        <v>1818.3479999999997</v>
      </c>
      <c r="E1565" s="10">
        <v>1250.2069999999999</v>
      </c>
      <c r="F1565" t="str">
        <f>VLOOKUP(A1565,StoreLookup,2,FALSE)</f>
        <v>Store#1</v>
      </c>
      <c r="G1565">
        <f>INDEX(CalLookUpTable,MATCH($B1565,CalLookUpRow,0),MATCH(G$1,CalLookUpColumn,0))</f>
        <v>2020</v>
      </c>
      <c r="H1565">
        <f>INDEX(CalLookUpTable,MATCH($B1565,CalLookUpRow,0),MATCH(H$1,CalLookUpColumn,0))</f>
        <v>1</v>
      </c>
      <c r="I1565">
        <f>INDEX(CalLookUpTable,MATCH($B1565,CalLookUpRow,0),MATCH(I$1,CalLookUpColumn,0))</f>
        <v>4</v>
      </c>
    </row>
    <row r="1566" spans="1:9" x14ac:dyDescent="0.25">
      <c r="A1566" s="7">
        <v>1</v>
      </c>
      <c r="B1566" s="8">
        <v>43857</v>
      </c>
      <c r="C1566" s="9" t="s">
        <v>4</v>
      </c>
      <c r="D1566" s="10">
        <v>2689.4839999999999</v>
      </c>
      <c r="E1566" s="10">
        <v>3416.4479999999999</v>
      </c>
      <c r="F1566" t="str">
        <f>VLOOKUP(A1566,StoreLookup,2,FALSE)</f>
        <v>Store#1</v>
      </c>
      <c r="G1566">
        <f>INDEX(CalLookUpTable,MATCH($B1566,CalLookUpRow,0),MATCH(G$1,CalLookUpColumn,0))</f>
        <v>2020</v>
      </c>
      <c r="H1566">
        <f>INDEX(CalLookUpTable,MATCH($B1566,CalLookUpRow,0),MATCH(H$1,CalLookUpColumn,0))</f>
        <v>2</v>
      </c>
      <c r="I1566">
        <f>INDEX(CalLookUpTable,MATCH($B1566,CalLookUpRow,0),MATCH(I$1,CalLookUpColumn,0))</f>
        <v>1</v>
      </c>
    </row>
    <row r="1567" spans="1:9" x14ac:dyDescent="0.25">
      <c r="A1567" s="7">
        <v>1</v>
      </c>
      <c r="B1567" s="8">
        <v>43857</v>
      </c>
      <c r="C1567" s="9" t="s">
        <v>6</v>
      </c>
      <c r="D1567" s="10">
        <v>733.726</v>
      </c>
      <c r="E1567" s="10">
        <v>839.32799999999997</v>
      </c>
      <c r="F1567" t="str">
        <f>VLOOKUP(A1567,StoreLookup,2,FALSE)</f>
        <v>Store#1</v>
      </c>
      <c r="G1567">
        <f>INDEX(CalLookUpTable,MATCH($B1567,CalLookUpRow,0),MATCH(G$1,CalLookUpColumn,0))</f>
        <v>2020</v>
      </c>
      <c r="H1567">
        <f>INDEX(CalLookUpTable,MATCH($B1567,CalLookUpRow,0),MATCH(H$1,CalLookUpColumn,0))</f>
        <v>2</v>
      </c>
      <c r="I1567">
        <f>INDEX(CalLookUpTable,MATCH($B1567,CalLookUpRow,0),MATCH(I$1,CalLookUpColumn,0))</f>
        <v>1</v>
      </c>
    </row>
    <row r="1568" spans="1:9" x14ac:dyDescent="0.25">
      <c r="A1568" s="7">
        <v>1</v>
      </c>
      <c r="B1568" s="8">
        <v>43857</v>
      </c>
      <c r="C1568" s="9" t="s">
        <v>3</v>
      </c>
      <c r="D1568" s="10">
        <v>0</v>
      </c>
      <c r="E1568" s="10">
        <v>615.43999999999994</v>
      </c>
      <c r="F1568" t="str">
        <f>VLOOKUP(A1568,StoreLookup,2,FALSE)</f>
        <v>Store#1</v>
      </c>
      <c r="G1568">
        <f>INDEX(CalLookUpTable,MATCH($B1568,CalLookUpRow,0),MATCH(G$1,CalLookUpColumn,0))</f>
        <v>2020</v>
      </c>
      <c r="H1568">
        <f>INDEX(CalLookUpTable,MATCH($B1568,CalLookUpRow,0),MATCH(H$1,CalLookUpColumn,0))</f>
        <v>2</v>
      </c>
      <c r="I1568">
        <f>INDEX(CalLookUpTable,MATCH($B1568,CalLookUpRow,0),MATCH(I$1,CalLookUpColumn,0))</f>
        <v>1</v>
      </c>
    </row>
    <row r="1569" spans="1:9" x14ac:dyDescent="0.25">
      <c r="A1569" s="7">
        <v>1</v>
      </c>
      <c r="B1569" s="8">
        <v>43857</v>
      </c>
      <c r="C1569" s="9" t="s">
        <v>5</v>
      </c>
      <c r="D1569" s="10">
        <v>3159.6880000000001</v>
      </c>
      <c r="E1569" s="10">
        <v>2813.5099999999998</v>
      </c>
      <c r="F1569" t="str">
        <f>VLOOKUP(A1569,StoreLookup,2,FALSE)</f>
        <v>Store#1</v>
      </c>
      <c r="G1569">
        <f>INDEX(CalLookUpTable,MATCH($B1569,CalLookUpRow,0),MATCH(G$1,CalLookUpColumn,0))</f>
        <v>2020</v>
      </c>
      <c r="H1569">
        <f>INDEX(CalLookUpTable,MATCH($B1569,CalLookUpRow,0),MATCH(H$1,CalLookUpColumn,0))</f>
        <v>2</v>
      </c>
      <c r="I1569">
        <f>INDEX(CalLookUpTable,MATCH($B1569,CalLookUpRow,0),MATCH(I$1,CalLookUpColumn,0))</f>
        <v>1</v>
      </c>
    </row>
    <row r="1570" spans="1:9" x14ac:dyDescent="0.25">
      <c r="A1570" s="7">
        <v>1</v>
      </c>
      <c r="B1570" s="8">
        <v>43858</v>
      </c>
      <c r="C1570" s="9" t="s">
        <v>4</v>
      </c>
      <c r="D1570" s="10">
        <v>3237.4789999999998</v>
      </c>
      <c r="E1570" s="10">
        <v>3428.1799999999994</v>
      </c>
      <c r="F1570" t="str">
        <f>VLOOKUP(A1570,StoreLookup,2,FALSE)</f>
        <v>Store#1</v>
      </c>
      <c r="G1570">
        <f>INDEX(CalLookUpTable,MATCH($B1570,CalLookUpRow,0),MATCH(G$1,CalLookUpColumn,0))</f>
        <v>2020</v>
      </c>
      <c r="H1570">
        <f>INDEX(CalLookUpTable,MATCH($B1570,CalLookUpRow,0),MATCH(H$1,CalLookUpColumn,0))</f>
        <v>2</v>
      </c>
      <c r="I1570">
        <f>INDEX(CalLookUpTable,MATCH($B1570,CalLookUpRow,0),MATCH(I$1,CalLookUpColumn,0))</f>
        <v>1</v>
      </c>
    </row>
    <row r="1571" spans="1:9" x14ac:dyDescent="0.25">
      <c r="A1571" s="7">
        <v>1</v>
      </c>
      <c r="B1571" s="8">
        <v>43858</v>
      </c>
      <c r="C1571" s="9" t="s">
        <v>5</v>
      </c>
      <c r="D1571" s="10">
        <v>3395.672</v>
      </c>
      <c r="E1571" s="10">
        <v>2796.3249999999998</v>
      </c>
      <c r="F1571" t="str">
        <f>VLOOKUP(A1571,StoreLookup,2,FALSE)</f>
        <v>Store#1</v>
      </c>
      <c r="G1571">
        <f>INDEX(CalLookUpTable,MATCH($B1571,CalLookUpRow,0),MATCH(G$1,CalLookUpColumn,0))</f>
        <v>2020</v>
      </c>
      <c r="H1571">
        <f>INDEX(CalLookUpTable,MATCH($B1571,CalLookUpRow,0),MATCH(H$1,CalLookUpColumn,0))</f>
        <v>2</v>
      </c>
      <c r="I1571">
        <f>INDEX(CalLookUpTable,MATCH($B1571,CalLookUpRow,0),MATCH(I$1,CalLookUpColumn,0))</f>
        <v>1</v>
      </c>
    </row>
    <row r="1572" spans="1:9" x14ac:dyDescent="0.25">
      <c r="A1572" s="7">
        <v>1</v>
      </c>
      <c r="B1572" s="8">
        <v>43858</v>
      </c>
      <c r="C1572" s="9" t="s">
        <v>3</v>
      </c>
      <c r="D1572" s="10">
        <v>0</v>
      </c>
      <c r="E1572" s="10">
        <v>17.773</v>
      </c>
      <c r="F1572" t="str">
        <f>VLOOKUP(A1572,StoreLookup,2,FALSE)</f>
        <v>Store#1</v>
      </c>
      <c r="G1572">
        <f>INDEX(CalLookUpTable,MATCH($B1572,CalLookUpRow,0),MATCH(G$1,CalLookUpColumn,0))</f>
        <v>2020</v>
      </c>
      <c r="H1572">
        <f>INDEX(CalLookUpTable,MATCH($B1572,CalLookUpRow,0),MATCH(H$1,CalLookUpColumn,0))</f>
        <v>2</v>
      </c>
      <c r="I1572">
        <f>INDEX(CalLookUpTable,MATCH($B1572,CalLookUpRow,0),MATCH(I$1,CalLookUpColumn,0))</f>
        <v>1</v>
      </c>
    </row>
    <row r="1573" spans="1:9" x14ac:dyDescent="0.25">
      <c r="A1573" s="7">
        <v>1</v>
      </c>
      <c r="B1573" s="8">
        <v>43858</v>
      </c>
      <c r="C1573" s="9" t="s">
        <v>6</v>
      </c>
      <c r="D1573" s="10">
        <v>1132.8029999999999</v>
      </c>
      <c r="E1573" s="10">
        <v>1023.9879999999998</v>
      </c>
      <c r="F1573" t="str">
        <f>VLOOKUP(A1573,StoreLookup,2,FALSE)</f>
        <v>Store#1</v>
      </c>
      <c r="G1573">
        <f>INDEX(CalLookUpTable,MATCH($B1573,CalLookUpRow,0),MATCH(G$1,CalLookUpColumn,0))</f>
        <v>2020</v>
      </c>
      <c r="H1573">
        <f>INDEX(CalLookUpTable,MATCH($B1573,CalLookUpRow,0),MATCH(H$1,CalLookUpColumn,0))</f>
        <v>2</v>
      </c>
      <c r="I1573">
        <f>INDEX(CalLookUpTable,MATCH($B1573,CalLookUpRow,0),MATCH(I$1,CalLookUpColumn,0))</f>
        <v>1</v>
      </c>
    </row>
    <row r="1574" spans="1:9" x14ac:dyDescent="0.25">
      <c r="A1574" s="7">
        <v>1</v>
      </c>
      <c r="B1574" s="8">
        <v>43859</v>
      </c>
      <c r="C1574" s="9" t="s">
        <v>6</v>
      </c>
      <c r="D1574" s="10">
        <v>632.72299999999996</v>
      </c>
      <c r="E1574" s="10">
        <v>1005.872</v>
      </c>
      <c r="F1574" t="str">
        <f>VLOOKUP(A1574,StoreLookup,2,FALSE)</f>
        <v>Store#1</v>
      </c>
      <c r="G1574">
        <f>INDEX(CalLookUpTable,MATCH($B1574,CalLookUpRow,0),MATCH(G$1,CalLookUpColumn,0))</f>
        <v>2020</v>
      </c>
      <c r="H1574">
        <f>INDEX(CalLookUpTable,MATCH($B1574,CalLookUpRow,0),MATCH(H$1,CalLookUpColumn,0))</f>
        <v>2</v>
      </c>
      <c r="I1574">
        <f>INDEX(CalLookUpTable,MATCH($B1574,CalLookUpRow,0),MATCH(I$1,CalLookUpColumn,0))</f>
        <v>1</v>
      </c>
    </row>
    <row r="1575" spans="1:9" x14ac:dyDescent="0.25">
      <c r="A1575" s="7">
        <v>1</v>
      </c>
      <c r="B1575" s="8">
        <v>43859</v>
      </c>
      <c r="C1575" s="9" t="s">
        <v>3</v>
      </c>
      <c r="D1575" s="10">
        <v>253.32299999999998</v>
      </c>
      <c r="E1575" s="10">
        <v>0</v>
      </c>
      <c r="F1575" t="str">
        <f>VLOOKUP(A1575,StoreLookup,2,FALSE)</f>
        <v>Store#1</v>
      </c>
      <c r="G1575">
        <f>INDEX(CalLookUpTable,MATCH($B1575,CalLookUpRow,0),MATCH(G$1,CalLookUpColumn,0))</f>
        <v>2020</v>
      </c>
      <c r="H1575">
        <f>INDEX(CalLookUpTable,MATCH($B1575,CalLookUpRow,0),MATCH(H$1,CalLookUpColumn,0))</f>
        <v>2</v>
      </c>
      <c r="I1575">
        <f>INDEX(CalLookUpTable,MATCH($B1575,CalLookUpRow,0),MATCH(I$1,CalLookUpColumn,0))</f>
        <v>1</v>
      </c>
    </row>
    <row r="1576" spans="1:9" x14ac:dyDescent="0.25">
      <c r="A1576" s="7">
        <v>1</v>
      </c>
      <c r="B1576" s="8">
        <v>43859</v>
      </c>
      <c r="C1576" s="9" t="s">
        <v>5</v>
      </c>
      <c r="D1576" s="10">
        <v>3016.2369999999996</v>
      </c>
      <c r="E1576" s="10">
        <v>2948.8689999999997</v>
      </c>
      <c r="F1576" t="str">
        <f>VLOOKUP(A1576,StoreLookup,2,FALSE)</f>
        <v>Store#1</v>
      </c>
      <c r="G1576">
        <f>INDEX(CalLookUpTable,MATCH($B1576,CalLookUpRow,0),MATCH(G$1,CalLookUpColumn,0))</f>
        <v>2020</v>
      </c>
      <c r="H1576">
        <f>INDEX(CalLookUpTable,MATCH($B1576,CalLookUpRow,0),MATCH(H$1,CalLookUpColumn,0))</f>
        <v>2</v>
      </c>
      <c r="I1576">
        <f>INDEX(CalLookUpTable,MATCH($B1576,CalLookUpRow,0),MATCH(I$1,CalLookUpColumn,0))</f>
        <v>1</v>
      </c>
    </row>
    <row r="1577" spans="1:9" x14ac:dyDescent="0.25">
      <c r="A1577" s="7">
        <v>1</v>
      </c>
      <c r="B1577" s="8">
        <v>43859</v>
      </c>
      <c r="C1577" s="9" t="s">
        <v>4</v>
      </c>
      <c r="D1577" s="10">
        <v>3329.8999999999996</v>
      </c>
      <c r="E1577" s="10">
        <v>4319.4129999999996</v>
      </c>
      <c r="F1577" t="str">
        <f>VLOOKUP(A1577,StoreLookup,2,FALSE)</f>
        <v>Store#1</v>
      </c>
      <c r="G1577">
        <f>INDEX(CalLookUpTable,MATCH($B1577,CalLookUpRow,0),MATCH(G$1,CalLookUpColumn,0))</f>
        <v>2020</v>
      </c>
      <c r="H1577">
        <f>INDEX(CalLookUpTable,MATCH($B1577,CalLookUpRow,0),MATCH(H$1,CalLookUpColumn,0))</f>
        <v>2</v>
      </c>
      <c r="I1577">
        <f>INDEX(CalLookUpTable,MATCH($B1577,CalLookUpRow,0),MATCH(I$1,CalLookUpColumn,0))</f>
        <v>1</v>
      </c>
    </row>
    <row r="1578" spans="1:9" x14ac:dyDescent="0.25">
      <c r="A1578" s="7">
        <v>1</v>
      </c>
      <c r="B1578" s="8">
        <v>43860</v>
      </c>
      <c r="C1578" s="9" t="s">
        <v>6</v>
      </c>
      <c r="D1578" s="10">
        <v>896.93099999999993</v>
      </c>
      <c r="E1578" s="10">
        <v>1196.6079999999999</v>
      </c>
      <c r="F1578" t="str">
        <f>VLOOKUP(A1578,StoreLookup,2,FALSE)</f>
        <v>Store#1</v>
      </c>
      <c r="G1578">
        <f>INDEX(CalLookUpTable,MATCH($B1578,CalLookUpRow,0),MATCH(G$1,CalLookUpColumn,0))</f>
        <v>2020</v>
      </c>
      <c r="H1578">
        <f>INDEX(CalLookUpTable,MATCH($B1578,CalLookUpRow,0),MATCH(H$1,CalLookUpColumn,0))</f>
        <v>2</v>
      </c>
      <c r="I1578">
        <f>INDEX(CalLookUpTable,MATCH($B1578,CalLookUpRow,0),MATCH(I$1,CalLookUpColumn,0))</f>
        <v>1</v>
      </c>
    </row>
    <row r="1579" spans="1:9" x14ac:dyDescent="0.25">
      <c r="A1579" s="7">
        <v>1</v>
      </c>
      <c r="B1579" s="8">
        <v>43860</v>
      </c>
      <c r="C1579" s="9" t="s">
        <v>4</v>
      </c>
      <c r="D1579" s="10">
        <v>4248.6989999999996</v>
      </c>
      <c r="E1579" s="10">
        <v>4515.3359999999993</v>
      </c>
      <c r="F1579" t="str">
        <f>VLOOKUP(A1579,StoreLookup,2,FALSE)</f>
        <v>Store#1</v>
      </c>
      <c r="G1579">
        <f>INDEX(CalLookUpTable,MATCH($B1579,CalLookUpRow,0),MATCH(G$1,CalLookUpColumn,0))</f>
        <v>2020</v>
      </c>
      <c r="H1579">
        <f>INDEX(CalLookUpTable,MATCH($B1579,CalLookUpRow,0),MATCH(H$1,CalLookUpColumn,0))</f>
        <v>2</v>
      </c>
      <c r="I1579">
        <f>INDEX(CalLookUpTable,MATCH($B1579,CalLookUpRow,0),MATCH(I$1,CalLookUpColumn,0))</f>
        <v>1</v>
      </c>
    </row>
    <row r="1580" spans="1:9" x14ac:dyDescent="0.25">
      <c r="A1580" s="7">
        <v>1</v>
      </c>
      <c r="B1580" s="8">
        <v>43860</v>
      </c>
      <c r="C1580" s="9" t="s">
        <v>3</v>
      </c>
      <c r="D1580" s="10">
        <v>0</v>
      </c>
      <c r="E1580" s="10">
        <v>352.49199999999996</v>
      </c>
      <c r="F1580" t="str">
        <f>VLOOKUP(A1580,StoreLookup,2,FALSE)</f>
        <v>Store#1</v>
      </c>
      <c r="G1580">
        <f>INDEX(CalLookUpTable,MATCH($B1580,CalLookUpRow,0),MATCH(G$1,CalLookUpColumn,0))</f>
        <v>2020</v>
      </c>
      <c r="H1580">
        <f>INDEX(CalLookUpTable,MATCH($B1580,CalLookUpRow,0),MATCH(H$1,CalLookUpColumn,0))</f>
        <v>2</v>
      </c>
      <c r="I1580">
        <f>INDEX(CalLookUpTable,MATCH($B1580,CalLookUpRow,0),MATCH(I$1,CalLookUpColumn,0))</f>
        <v>1</v>
      </c>
    </row>
    <row r="1581" spans="1:9" x14ac:dyDescent="0.25">
      <c r="A1581" s="7">
        <v>1</v>
      </c>
      <c r="B1581" s="8">
        <v>43860</v>
      </c>
      <c r="C1581" s="9" t="s">
        <v>5</v>
      </c>
      <c r="D1581" s="10">
        <v>3748.6329999999994</v>
      </c>
      <c r="E1581" s="10">
        <v>2987.0679999999998</v>
      </c>
      <c r="F1581" t="str">
        <f>VLOOKUP(A1581,StoreLookup,2,FALSE)</f>
        <v>Store#1</v>
      </c>
      <c r="G1581">
        <f>INDEX(CalLookUpTable,MATCH($B1581,CalLookUpRow,0),MATCH(G$1,CalLookUpColumn,0))</f>
        <v>2020</v>
      </c>
      <c r="H1581">
        <f>INDEX(CalLookUpTable,MATCH($B1581,CalLookUpRow,0),MATCH(H$1,CalLookUpColumn,0))</f>
        <v>2</v>
      </c>
      <c r="I1581">
        <f>INDEX(CalLookUpTable,MATCH($B1581,CalLookUpRow,0),MATCH(I$1,CalLookUpColumn,0))</f>
        <v>1</v>
      </c>
    </row>
    <row r="1582" spans="1:9" x14ac:dyDescent="0.25">
      <c r="A1582" s="7">
        <v>1</v>
      </c>
      <c r="B1582" s="8">
        <v>43861</v>
      </c>
      <c r="C1582" s="9" t="s">
        <v>4</v>
      </c>
      <c r="D1582" s="10">
        <v>5777.4989999999998</v>
      </c>
      <c r="E1582" s="10">
        <v>5835.2</v>
      </c>
      <c r="F1582" t="str">
        <f>VLOOKUP(A1582,StoreLookup,2,FALSE)</f>
        <v>Store#1</v>
      </c>
      <c r="G1582">
        <f>INDEX(CalLookUpTable,MATCH($B1582,CalLookUpRow,0),MATCH(G$1,CalLookUpColumn,0))</f>
        <v>2020</v>
      </c>
      <c r="H1582">
        <f>INDEX(CalLookUpTable,MATCH($B1582,CalLookUpRow,0),MATCH(H$1,CalLookUpColumn,0))</f>
        <v>2</v>
      </c>
      <c r="I1582">
        <f>INDEX(CalLookUpTable,MATCH($B1582,CalLookUpRow,0),MATCH(I$1,CalLookUpColumn,0))</f>
        <v>1</v>
      </c>
    </row>
    <row r="1583" spans="1:9" x14ac:dyDescent="0.25">
      <c r="A1583" s="7">
        <v>1</v>
      </c>
      <c r="B1583" s="8">
        <v>43861</v>
      </c>
      <c r="C1583" s="9" t="s">
        <v>6</v>
      </c>
      <c r="D1583" s="10">
        <v>1204.7279999999998</v>
      </c>
      <c r="E1583" s="10">
        <v>1130.4019999999998</v>
      </c>
      <c r="F1583" t="str">
        <f>VLOOKUP(A1583,StoreLookup,2,FALSE)</f>
        <v>Store#1</v>
      </c>
      <c r="G1583">
        <f>INDEX(CalLookUpTable,MATCH($B1583,CalLookUpRow,0),MATCH(G$1,CalLookUpColumn,0))</f>
        <v>2020</v>
      </c>
      <c r="H1583">
        <f>INDEX(CalLookUpTable,MATCH($B1583,CalLookUpRow,0),MATCH(H$1,CalLookUpColumn,0))</f>
        <v>2</v>
      </c>
      <c r="I1583">
        <f>INDEX(CalLookUpTable,MATCH($B1583,CalLookUpRow,0),MATCH(I$1,CalLookUpColumn,0))</f>
        <v>1</v>
      </c>
    </row>
    <row r="1584" spans="1:9" x14ac:dyDescent="0.25">
      <c r="A1584" s="7">
        <v>1</v>
      </c>
      <c r="B1584" s="8">
        <v>43861</v>
      </c>
      <c r="C1584" s="9" t="s">
        <v>3</v>
      </c>
      <c r="D1584" s="10">
        <v>160.85999999999999</v>
      </c>
      <c r="E1584" s="10">
        <v>256.68299999999999</v>
      </c>
      <c r="F1584" t="str">
        <f>VLOOKUP(A1584,StoreLookup,2,FALSE)</f>
        <v>Store#1</v>
      </c>
      <c r="G1584">
        <f>INDEX(CalLookUpTable,MATCH($B1584,CalLookUpRow,0),MATCH(G$1,CalLookUpColumn,0))</f>
        <v>2020</v>
      </c>
      <c r="H1584">
        <f>INDEX(CalLookUpTable,MATCH($B1584,CalLookUpRow,0),MATCH(H$1,CalLookUpColumn,0))</f>
        <v>2</v>
      </c>
      <c r="I1584">
        <f>INDEX(CalLookUpTable,MATCH($B1584,CalLookUpRow,0),MATCH(I$1,CalLookUpColumn,0))</f>
        <v>1</v>
      </c>
    </row>
    <row r="1585" spans="1:9" x14ac:dyDescent="0.25">
      <c r="A1585" s="7">
        <v>1</v>
      </c>
      <c r="B1585" s="8">
        <v>43861</v>
      </c>
      <c r="C1585" s="9" t="s">
        <v>5</v>
      </c>
      <c r="D1585" s="10">
        <v>4151.973</v>
      </c>
      <c r="E1585" s="10">
        <v>3625.5450000000001</v>
      </c>
      <c r="F1585" t="str">
        <f>VLOOKUP(A1585,StoreLookup,2,FALSE)</f>
        <v>Store#1</v>
      </c>
      <c r="G1585">
        <f>INDEX(CalLookUpTable,MATCH($B1585,CalLookUpRow,0),MATCH(G$1,CalLookUpColumn,0))</f>
        <v>2020</v>
      </c>
      <c r="H1585">
        <f>INDEX(CalLookUpTable,MATCH($B1585,CalLookUpRow,0),MATCH(H$1,CalLookUpColumn,0))</f>
        <v>2</v>
      </c>
      <c r="I1585">
        <f>INDEX(CalLookUpTable,MATCH($B1585,CalLookUpRow,0),MATCH(I$1,CalLookUpColumn,0))</f>
        <v>1</v>
      </c>
    </row>
    <row r="1586" spans="1:9" x14ac:dyDescent="0.25">
      <c r="A1586" s="7">
        <v>1</v>
      </c>
      <c r="B1586" s="8">
        <v>43862</v>
      </c>
      <c r="C1586" s="9" t="s">
        <v>3</v>
      </c>
      <c r="D1586" s="10">
        <v>1134.616</v>
      </c>
      <c r="E1586" s="10">
        <v>346.21999999999997</v>
      </c>
      <c r="F1586" t="str">
        <f>VLOOKUP(A1586,StoreLookup,2,FALSE)</f>
        <v>Store#1</v>
      </c>
      <c r="G1586">
        <f>INDEX(CalLookUpTable,MATCH($B1586,CalLookUpRow,0),MATCH(G$1,CalLookUpColumn,0))</f>
        <v>2020</v>
      </c>
      <c r="H1586">
        <f>INDEX(CalLookUpTable,MATCH($B1586,CalLookUpRow,0),MATCH(H$1,CalLookUpColumn,0))</f>
        <v>2</v>
      </c>
      <c r="I1586">
        <f>INDEX(CalLookUpTable,MATCH($B1586,CalLookUpRow,0),MATCH(I$1,CalLookUpColumn,0))</f>
        <v>1</v>
      </c>
    </row>
    <row r="1587" spans="1:9" x14ac:dyDescent="0.25">
      <c r="A1587" s="7">
        <v>1</v>
      </c>
      <c r="B1587" s="8">
        <v>43862</v>
      </c>
      <c r="C1587" s="9" t="s">
        <v>4</v>
      </c>
      <c r="D1587" s="10">
        <v>5669.8879999999999</v>
      </c>
      <c r="E1587" s="10">
        <v>6323.2749999999996</v>
      </c>
      <c r="F1587" t="str">
        <f>VLOOKUP(A1587,StoreLookup,2,FALSE)</f>
        <v>Store#1</v>
      </c>
      <c r="G1587">
        <f>INDEX(CalLookUpTable,MATCH($B1587,CalLookUpRow,0),MATCH(G$1,CalLookUpColumn,0))</f>
        <v>2020</v>
      </c>
      <c r="H1587">
        <f>INDEX(CalLookUpTable,MATCH($B1587,CalLookUpRow,0),MATCH(H$1,CalLookUpColumn,0))</f>
        <v>2</v>
      </c>
      <c r="I1587">
        <f>INDEX(CalLookUpTable,MATCH($B1587,CalLookUpRow,0),MATCH(I$1,CalLookUpColumn,0))</f>
        <v>1</v>
      </c>
    </row>
    <row r="1588" spans="1:9" x14ac:dyDescent="0.25">
      <c r="A1588" s="7">
        <v>1</v>
      </c>
      <c r="B1588" s="8">
        <v>43862</v>
      </c>
      <c r="C1588" s="9" t="s">
        <v>6</v>
      </c>
      <c r="D1588" s="10">
        <v>1014.391</v>
      </c>
      <c r="E1588" s="10">
        <v>1284.6609999999998</v>
      </c>
      <c r="F1588" t="str">
        <f>VLOOKUP(A1588,StoreLookup,2,FALSE)</f>
        <v>Store#1</v>
      </c>
      <c r="G1588">
        <f>INDEX(CalLookUpTable,MATCH($B1588,CalLookUpRow,0),MATCH(G$1,CalLookUpColumn,0))</f>
        <v>2020</v>
      </c>
      <c r="H1588">
        <f>INDEX(CalLookUpTable,MATCH($B1588,CalLookUpRow,0),MATCH(H$1,CalLookUpColumn,0))</f>
        <v>2</v>
      </c>
      <c r="I1588">
        <f>INDEX(CalLookUpTable,MATCH($B1588,CalLookUpRow,0),MATCH(I$1,CalLookUpColumn,0))</f>
        <v>1</v>
      </c>
    </row>
    <row r="1589" spans="1:9" x14ac:dyDescent="0.25">
      <c r="A1589" s="7">
        <v>1</v>
      </c>
      <c r="B1589" s="8">
        <v>43862</v>
      </c>
      <c r="C1589" s="9" t="s">
        <v>5</v>
      </c>
      <c r="D1589" s="10">
        <v>3952.7950000000001</v>
      </c>
      <c r="E1589" s="10">
        <v>3449.0189999999998</v>
      </c>
      <c r="F1589" t="str">
        <f>VLOOKUP(A1589,StoreLookup,2,FALSE)</f>
        <v>Store#1</v>
      </c>
      <c r="G1589">
        <f>INDEX(CalLookUpTable,MATCH($B1589,CalLookUpRow,0),MATCH(G$1,CalLookUpColumn,0))</f>
        <v>2020</v>
      </c>
      <c r="H1589">
        <f>INDEX(CalLookUpTable,MATCH($B1589,CalLookUpRow,0),MATCH(H$1,CalLookUpColumn,0))</f>
        <v>2</v>
      </c>
      <c r="I1589">
        <f>INDEX(CalLookUpTable,MATCH($B1589,CalLookUpRow,0),MATCH(I$1,CalLookUpColumn,0))</f>
        <v>1</v>
      </c>
    </row>
    <row r="1590" spans="1:9" x14ac:dyDescent="0.25">
      <c r="A1590" s="7">
        <v>1</v>
      </c>
      <c r="B1590" s="8">
        <v>43863</v>
      </c>
      <c r="C1590" s="9" t="s">
        <v>4</v>
      </c>
      <c r="D1590" s="10">
        <v>1689.261</v>
      </c>
      <c r="E1590" s="10">
        <v>1550.2829999999999</v>
      </c>
      <c r="F1590" t="str">
        <f>VLOOKUP(A1590,StoreLookup,2,FALSE)</f>
        <v>Store#1</v>
      </c>
      <c r="G1590">
        <f>INDEX(CalLookUpTable,MATCH($B1590,CalLookUpRow,0),MATCH(G$1,CalLookUpColumn,0))</f>
        <v>2020</v>
      </c>
      <c r="H1590">
        <f>INDEX(CalLookUpTable,MATCH($B1590,CalLookUpRow,0),MATCH(H$1,CalLookUpColumn,0))</f>
        <v>2</v>
      </c>
      <c r="I1590">
        <f>INDEX(CalLookUpTable,MATCH($B1590,CalLookUpRow,0),MATCH(I$1,CalLookUpColumn,0))</f>
        <v>1</v>
      </c>
    </row>
    <row r="1591" spans="1:9" x14ac:dyDescent="0.25">
      <c r="A1591" s="7">
        <v>1</v>
      </c>
      <c r="B1591" s="8">
        <v>43863</v>
      </c>
      <c r="C1591" s="9" t="s">
        <v>6</v>
      </c>
      <c r="D1591" s="10">
        <v>469.53199999999998</v>
      </c>
      <c r="E1591" s="10">
        <v>296.29599999999994</v>
      </c>
      <c r="F1591" t="str">
        <f>VLOOKUP(A1591,StoreLookup,2,FALSE)</f>
        <v>Store#1</v>
      </c>
      <c r="G1591">
        <f>INDEX(CalLookUpTable,MATCH($B1591,CalLookUpRow,0),MATCH(G$1,CalLookUpColumn,0))</f>
        <v>2020</v>
      </c>
      <c r="H1591">
        <f>INDEX(CalLookUpTable,MATCH($B1591,CalLookUpRow,0),MATCH(H$1,CalLookUpColumn,0))</f>
        <v>2</v>
      </c>
      <c r="I1591">
        <f>INDEX(CalLookUpTable,MATCH($B1591,CalLookUpRow,0),MATCH(I$1,CalLookUpColumn,0))</f>
        <v>1</v>
      </c>
    </row>
    <row r="1592" spans="1:9" x14ac:dyDescent="0.25">
      <c r="A1592" s="7">
        <v>1</v>
      </c>
      <c r="B1592" s="8">
        <v>43863</v>
      </c>
      <c r="C1592" s="9" t="s">
        <v>3</v>
      </c>
      <c r="D1592" s="10">
        <v>57.036000000000001</v>
      </c>
      <c r="E1592" s="10">
        <v>190.93199999999999</v>
      </c>
      <c r="F1592" t="str">
        <f>VLOOKUP(A1592,StoreLookup,2,FALSE)</f>
        <v>Store#1</v>
      </c>
      <c r="G1592">
        <f>INDEX(CalLookUpTable,MATCH($B1592,CalLookUpRow,0),MATCH(G$1,CalLookUpColumn,0))</f>
        <v>2020</v>
      </c>
      <c r="H1592">
        <f>INDEX(CalLookUpTable,MATCH($B1592,CalLookUpRow,0),MATCH(H$1,CalLookUpColumn,0))</f>
        <v>2</v>
      </c>
      <c r="I1592">
        <f>INDEX(CalLookUpTable,MATCH($B1592,CalLookUpRow,0),MATCH(I$1,CalLookUpColumn,0))</f>
        <v>1</v>
      </c>
    </row>
    <row r="1593" spans="1:9" x14ac:dyDescent="0.25">
      <c r="A1593" s="7">
        <v>1</v>
      </c>
      <c r="B1593" s="8">
        <v>43863</v>
      </c>
      <c r="C1593" s="9" t="s">
        <v>5</v>
      </c>
      <c r="D1593" s="10">
        <v>1446.1299999999999</v>
      </c>
      <c r="E1593" s="10">
        <v>1534.4979999999998</v>
      </c>
      <c r="F1593" t="str">
        <f>VLOOKUP(A1593,StoreLookup,2,FALSE)</f>
        <v>Store#1</v>
      </c>
      <c r="G1593">
        <f>INDEX(CalLookUpTable,MATCH($B1593,CalLookUpRow,0),MATCH(G$1,CalLookUpColumn,0))</f>
        <v>2020</v>
      </c>
      <c r="H1593">
        <f>INDEX(CalLookUpTable,MATCH($B1593,CalLookUpRow,0),MATCH(H$1,CalLookUpColumn,0))</f>
        <v>2</v>
      </c>
      <c r="I1593">
        <f>INDEX(CalLookUpTable,MATCH($B1593,CalLookUpRow,0),MATCH(I$1,CalLookUpColumn,0))</f>
        <v>1</v>
      </c>
    </row>
    <row r="1594" spans="1:9" x14ac:dyDescent="0.25">
      <c r="A1594" s="7">
        <v>1</v>
      </c>
      <c r="B1594" s="8">
        <v>43864</v>
      </c>
      <c r="C1594" s="9" t="s">
        <v>6</v>
      </c>
      <c r="D1594" s="10">
        <v>974.54699999999991</v>
      </c>
      <c r="E1594" s="10">
        <v>817.46699999999987</v>
      </c>
      <c r="F1594" t="str">
        <f>VLOOKUP(A1594,StoreLookup,2,FALSE)</f>
        <v>Store#1</v>
      </c>
      <c r="G1594">
        <f>INDEX(CalLookUpTable,MATCH($B1594,CalLookUpRow,0),MATCH(G$1,CalLookUpColumn,0))</f>
        <v>2020</v>
      </c>
      <c r="H1594">
        <f>INDEX(CalLookUpTable,MATCH($B1594,CalLookUpRow,0),MATCH(H$1,CalLookUpColumn,0))</f>
        <v>2</v>
      </c>
      <c r="I1594">
        <f>INDEX(CalLookUpTable,MATCH($B1594,CalLookUpRow,0),MATCH(I$1,CalLookUpColumn,0))</f>
        <v>2</v>
      </c>
    </row>
    <row r="1595" spans="1:9" x14ac:dyDescent="0.25">
      <c r="A1595" s="7">
        <v>1</v>
      </c>
      <c r="B1595" s="8">
        <v>43864</v>
      </c>
      <c r="C1595" s="9" t="s">
        <v>5</v>
      </c>
      <c r="D1595" s="10">
        <v>2896.0119999999997</v>
      </c>
      <c r="E1595" s="10">
        <v>2554.9789999999998</v>
      </c>
      <c r="F1595" t="str">
        <f>VLOOKUP(A1595,StoreLookup,2,FALSE)</f>
        <v>Store#1</v>
      </c>
      <c r="G1595">
        <f>INDEX(CalLookUpTable,MATCH($B1595,CalLookUpRow,0),MATCH(G$1,CalLookUpColumn,0))</f>
        <v>2020</v>
      </c>
      <c r="H1595">
        <f>INDEX(CalLookUpTable,MATCH($B1595,CalLookUpRow,0),MATCH(H$1,CalLookUpColumn,0))</f>
        <v>2</v>
      </c>
      <c r="I1595">
        <f>INDEX(CalLookUpTable,MATCH($B1595,CalLookUpRow,0),MATCH(I$1,CalLookUpColumn,0))</f>
        <v>2</v>
      </c>
    </row>
    <row r="1596" spans="1:9" x14ac:dyDescent="0.25">
      <c r="A1596" s="7">
        <v>1</v>
      </c>
      <c r="B1596" s="8">
        <v>43864</v>
      </c>
      <c r="C1596" s="9" t="s">
        <v>4</v>
      </c>
      <c r="D1596" s="10">
        <v>3062.2339999999999</v>
      </c>
      <c r="E1596" s="10">
        <v>3705.6179999999995</v>
      </c>
      <c r="F1596" t="str">
        <f>VLOOKUP(A1596,StoreLookup,2,FALSE)</f>
        <v>Store#1</v>
      </c>
      <c r="G1596">
        <f>INDEX(CalLookUpTable,MATCH($B1596,CalLookUpRow,0),MATCH(G$1,CalLookUpColumn,0))</f>
        <v>2020</v>
      </c>
      <c r="H1596">
        <f>INDEX(CalLookUpTable,MATCH($B1596,CalLookUpRow,0),MATCH(H$1,CalLookUpColumn,0))</f>
        <v>2</v>
      </c>
      <c r="I1596">
        <f>INDEX(CalLookUpTable,MATCH($B1596,CalLookUpRow,0),MATCH(I$1,CalLookUpColumn,0))</f>
        <v>2</v>
      </c>
    </row>
    <row r="1597" spans="1:9" x14ac:dyDescent="0.25">
      <c r="A1597" s="7">
        <v>1</v>
      </c>
      <c r="B1597" s="8">
        <v>43864</v>
      </c>
      <c r="C1597" s="9" t="s">
        <v>3</v>
      </c>
      <c r="D1597" s="10">
        <v>0</v>
      </c>
      <c r="E1597" s="10">
        <v>1195.0119999999999</v>
      </c>
      <c r="F1597" t="str">
        <f>VLOOKUP(A1597,StoreLookup,2,FALSE)</f>
        <v>Store#1</v>
      </c>
      <c r="G1597">
        <f>INDEX(CalLookUpTable,MATCH($B1597,CalLookUpRow,0),MATCH(G$1,CalLookUpColumn,0))</f>
        <v>2020</v>
      </c>
      <c r="H1597">
        <f>INDEX(CalLookUpTable,MATCH($B1597,CalLookUpRow,0),MATCH(H$1,CalLookUpColumn,0))</f>
        <v>2</v>
      </c>
      <c r="I1597">
        <f>INDEX(CalLookUpTable,MATCH($B1597,CalLookUpRow,0),MATCH(I$1,CalLookUpColumn,0))</f>
        <v>2</v>
      </c>
    </row>
    <row r="1598" spans="1:9" x14ac:dyDescent="0.25">
      <c r="A1598" s="7">
        <v>1</v>
      </c>
      <c r="B1598" s="8">
        <v>43865</v>
      </c>
      <c r="C1598" s="9" t="s">
        <v>5</v>
      </c>
      <c r="D1598" s="10">
        <v>2951.8859999999995</v>
      </c>
      <c r="E1598" s="10">
        <v>3011.8059999999996</v>
      </c>
      <c r="F1598" t="str">
        <f>VLOOKUP(A1598,StoreLookup,2,FALSE)</f>
        <v>Store#1</v>
      </c>
      <c r="G1598">
        <f>INDEX(CalLookUpTable,MATCH($B1598,CalLookUpRow,0),MATCH(G$1,CalLookUpColumn,0))</f>
        <v>2020</v>
      </c>
      <c r="H1598">
        <f>INDEX(CalLookUpTable,MATCH($B1598,CalLookUpRow,0),MATCH(H$1,CalLookUpColumn,0))</f>
        <v>2</v>
      </c>
      <c r="I1598">
        <f>INDEX(CalLookUpTable,MATCH($B1598,CalLookUpRow,0),MATCH(I$1,CalLookUpColumn,0))</f>
        <v>2</v>
      </c>
    </row>
    <row r="1599" spans="1:9" x14ac:dyDescent="0.25">
      <c r="A1599" s="7">
        <v>1</v>
      </c>
      <c r="B1599" s="8">
        <v>43865</v>
      </c>
      <c r="C1599" s="9" t="s">
        <v>3</v>
      </c>
      <c r="D1599" s="10">
        <v>0</v>
      </c>
      <c r="E1599" s="10">
        <v>192.32499999999999</v>
      </c>
      <c r="F1599" t="str">
        <f>VLOOKUP(A1599,StoreLookup,2,FALSE)</f>
        <v>Store#1</v>
      </c>
      <c r="G1599">
        <f>INDEX(CalLookUpTable,MATCH($B1599,CalLookUpRow,0),MATCH(G$1,CalLookUpColumn,0))</f>
        <v>2020</v>
      </c>
      <c r="H1599">
        <f>INDEX(CalLookUpTable,MATCH($B1599,CalLookUpRow,0),MATCH(H$1,CalLookUpColumn,0))</f>
        <v>2</v>
      </c>
      <c r="I1599">
        <f>INDEX(CalLookUpTable,MATCH($B1599,CalLookUpRow,0),MATCH(I$1,CalLookUpColumn,0))</f>
        <v>2</v>
      </c>
    </row>
    <row r="1600" spans="1:9" x14ac:dyDescent="0.25">
      <c r="A1600" s="7">
        <v>1</v>
      </c>
      <c r="B1600" s="8">
        <v>43865</v>
      </c>
      <c r="C1600" s="9" t="s">
        <v>4</v>
      </c>
      <c r="D1600" s="10">
        <v>3258.8290000000002</v>
      </c>
      <c r="E1600" s="10">
        <v>3779.8879999999999</v>
      </c>
      <c r="F1600" t="str">
        <f>VLOOKUP(A1600,StoreLookup,2,FALSE)</f>
        <v>Store#1</v>
      </c>
      <c r="G1600">
        <f>INDEX(CalLookUpTable,MATCH($B1600,CalLookUpRow,0),MATCH(G$1,CalLookUpColumn,0))</f>
        <v>2020</v>
      </c>
      <c r="H1600">
        <f>INDEX(CalLookUpTable,MATCH($B1600,CalLookUpRow,0),MATCH(H$1,CalLookUpColumn,0))</f>
        <v>2</v>
      </c>
      <c r="I1600">
        <f>INDEX(CalLookUpTable,MATCH($B1600,CalLookUpRow,0),MATCH(I$1,CalLookUpColumn,0))</f>
        <v>2</v>
      </c>
    </row>
    <row r="1601" spans="1:9" x14ac:dyDescent="0.25">
      <c r="A1601" s="7">
        <v>1</v>
      </c>
      <c r="B1601" s="8">
        <v>43865</v>
      </c>
      <c r="C1601" s="9" t="s">
        <v>6</v>
      </c>
      <c r="D1601" s="10">
        <v>712.93599999999992</v>
      </c>
      <c r="E1601" s="10">
        <v>493.20600000000002</v>
      </c>
      <c r="F1601" t="str">
        <f>VLOOKUP(A1601,StoreLookup,2,FALSE)</f>
        <v>Store#1</v>
      </c>
      <c r="G1601">
        <f>INDEX(CalLookUpTable,MATCH($B1601,CalLookUpRow,0),MATCH(G$1,CalLookUpColumn,0))</f>
        <v>2020</v>
      </c>
      <c r="H1601">
        <f>INDEX(CalLookUpTable,MATCH($B1601,CalLookUpRow,0),MATCH(H$1,CalLookUpColumn,0))</f>
        <v>2</v>
      </c>
      <c r="I1601">
        <f>INDEX(CalLookUpTable,MATCH($B1601,CalLookUpRow,0),MATCH(I$1,CalLookUpColumn,0))</f>
        <v>2</v>
      </c>
    </row>
    <row r="1602" spans="1:9" x14ac:dyDescent="0.25">
      <c r="A1602" s="7">
        <v>1</v>
      </c>
      <c r="B1602" s="8">
        <v>43866</v>
      </c>
      <c r="C1602" s="9" t="s">
        <v>6</v>
      </c>
      <c r="D1602" s="10">
        <v>1009.8199999999998</v>
      </c>
      <c r="E1602" s="10">
        <v>735.5809999999999</v>
      </c>
      <c r="F1602" t="str">
        <f>VLOOKUP(A1602,StoreLookup,2,FALSE)</f>
        <v>Store#1</v>
      </c>
      <c r="G1602">
        <f>INDEX(CalLookUpTable,MATCH($B1602,CalLookUpRow,0),MATCH(G$1,CalLookUpColumn,0))</f>
        <v>2020</v>
      </c>
      <c r="H1602">
        <f>INDEX(CalLookUpTable,MATCH($B1602,CalLookUpRow,0),MATCH(H$1,CalLookUpColumn,0))</f>
        <v>2</v>
      </c>
      <c r="I1602">
        <f>INDEX(CalLookUpTable,MATCH($B1602,CalLookUpRow,0),MATCH(I$1,CalLookUpColumn,0))</f>
        <v>2</v>
      </c>
    </row>
    <row r="1603" spans="1:9" x14ac:dyDescent="0.25">
      <c r="A1603" s="7">
        <v>1</v>
      </c>
      <c r="B1603" s="8">
        <v>43866</v>
      </c>
      <c r="C1603" s="9" t="s">
        <v>3</v>
      </c>
      <c r="D1603" s="10">
        <v>484.87599999999992</v>
      </c>
      <c r="E1603" s="10">
        <v>85.322999999999993</v>
      </c>
      <c r="F1603" t="str">
        <f>VLOOKUP(A1603,StoreLookup,2,FALSE)</f>
        <v>Store#1</v>
      </c>
      <c r="G1603">
        <f>INDEX(CalLookUpTable,MATCH($B1603,CalLookUpRow,0),MATCH(G$1,CalLookUpColumn,0))</f>
        <v>2020</v>
      </c>
      <c r="H1603">
        <f>INDEX(CalLookUpTable,MATCH($B1603,CalLookUpRow,0),MATCH(H$1,CalLookUpColumn,0))</f>
        <v>2</v>
      </c>
      <c r="I1603">
        <f>INDEX(CalLookUpTable,MATCH($B1603,CalLookUpRow,0),MATCH(I$1,CalLookUpColumn,0))</f>
        <v>2</v>
      </c>
    </row>
    <row r="1604" spans="1:9" x14ac:dyDescent="0.25">
      <c r="A1604" s="7">
        <v>1</v>
      </c>
      <c r="B1604" s="8">
        <v>43866</v>
      </c>
      <c r="C1604" s="9" t="s">
        <v>4</v>
      </c>
      <c r="D1604" s="10">
        <v>2949.24</v>
      </c>
      <c r="E1604" s="10">
        <v>3292.9119999999998</v>
      </c>
      <c r="F1604" t="str">
        <f>VLOOKUP(A1604,StoreLookup,2,FALSE)</f>
        <v>Store#1</v>
      </c>
      <c r="G1604">
        <f>INDEX(CalLookUpTable,MATCH($B1604,CalLookUpRow,0),MATCH(G$1,CalLookUpColumn,0))</f>
        <v>2020</v>
      </c>
      <c r="H1604">
        <f>INDEX(CalLookUpTable,MATCH($B1604,CalLookUpRow,0),MATCH(H$1,CalLookUpColumn,0))</f>
        <v>2</v>
      </c>
      <c r="I1604">
        <f>INDEX(CalLookUpTable,MATCH($B1604,CalLookUpRow,0),MATCH(I$1,CalLookUpColumn,0))</f>
        <v>2</v>
      </c>
    </row>
    <row r="1605" spans="1:9" x14ac:dyDescent="0.25">
      <c r="A1605" s="7">
        <v>1</v>
      </c>
      <c r="B1605" s="8">
        <v>43866</v>
      </c>
      <c r="C1605" s="9" t="s">
        <v>5</v>
      </c>
      <c r="D1605" s="10">
        <v>3089.2609999999995</v>
      </c>
      <c r="E1605" s="10">
        <v>2926.8049999999994</v>
      </c>
      <c r="F1605" t="str">
        <f>VLOOKUP(A1605,StoreLookup,2,FALSE)</f>
        <v>Store#1</v>
      </c>
      <c r="G1605">
        <f>INDEX(CalLookUpTable,MATCH($B1605,CalLookUpRow,0),MATCH(G$1,CalLookUpColumn,0))</f>
        <v>2020</v>
      </c>
      <c r="H1605">
        <f>INDEX(CalLookUpTable,MATCH($B1605,CalLookUpRow,0),MATCH(H$1,CalLookUpColumn,0))</f>
        <v>2</v>
      </c>
      <c r="I1605">
        <f>INDEX(CalLookUpTable,MATCH($B1605,CalLookUpRow,0),MATCH(I$1,CalLookUpColumn,0))</f>
        <v>2</v>
      </c>
    </row>
    <row r="1606" spans="1:9" x14ac:dyDescent="0.25">
      <c r="A1606" s="7">
        <v>1</v>
      </c>
      <c r="B1606" s="8">
        <v>43867</v>
      </c>
      <c r="C1606" s="9" t="s">
        <v>3</v>
      </c>
      <c r="D1606" s="10">
        <v>439.22899999999998</v>
      </c>
      <c r="E1606" s="10">
        <v>648.35399999999993</v>
      </c>
      <c r="F1606" t="str">
        <f>VLOOKUP(A1606,StoreLookup,2,FALSE)</f>
        <v>Store#1</v>
      </c>
      <c r="G1606">
        <f>INDEX(CalLookUpTable,MATCH($B1606,CalLookUpRow,0),MATCH(G$1,CalLookUpColumn,0))</f>
        <v>2020</v>
      </c>
      <c r="H1606">
        <f>INDEX(CalLookUpTable,MATCH($B1606,CalLookUpRow,0),MATCH(H$1,CalLookUpColumn,0))</f>
        <v>2</v>
      </c>
      <c r="I1606">
        <f>INDEX(CalLookUpTable,MATCH($B1606,CalLookUpRow,0),MATCH(I$1,CalLookUpColumn,0))</f>
        <v>2</v>
      </c>
    </row>
    <row r="1607" spans="1:9" x14ac:dyDescent="0.25">
      <c r="A1607" s="7">
        <v>1</v>
      </c>
      <c r="B1607" s="8">
        <v>43867</v>
      </c>
      <c r="C1607" s="9" t="s">
        <v>6</v>
      </c>
      <c r="D1607" s="10">
        <v>1411.9839999999999</v>
      </c>
      <c r="E1607" s="10">
        <v>764.31600000000003</v>
      </c>
      <c r="F1607" t="str">
        <f>VLOOKUP(A1607,StoreLookup,2,FALSE)</f>
        <v>Store#1</v>
      </c>
      <c r="G1607">
        <f>INDEX(CalLookUpTable,MATCH($B1607,CalLookUpRow,0),MATCH(G$1,CalLookUpColumn,0))</f>
        <v>2020</v>
      </c>
      <c r="H1607">
        <f>INDEX(CalLookUpTable,MATCH($B1607,CalLookUpRow,0),MATCH(H$1,CalLookUpColumn,0))</f>
        <v>2</v>
      </c>
      <c r="I1607">
        <f>INDEX(CalLookUpTable,MATCH($B1607,CalLookUpRow,0),MATCH(I$1,CalLookUpColumn,0))</f>
        <v>2</v>
      </c>
    </row>
    <row r="1608" spans="1:9" x14ac:dyDescent="0.25">
      <c r="A1608" s="7">
        <v>1</v>
      </c>
      <c r="B1608" s="8">
        <v>43867</v>
      </c>
      <c r="C1608" s="9" t="s">
        <v>5</v>
      </c>
      <c r="D1608" s="10">
        <v>3166.2329999999997</v>
      </c>
      <c r="E1608" s="10">
        <v>3154.4939999999997</v>
      </c>
      <c r="F1608" t="str">
        <f>VLOOKUP(A1608,StoreLookup,2,FALSE)</f>
        <v>Store#1</v>
      </c>
      <c r="G1608">
        <f>INDEX(CalLookUpTable,MATCH($B1608,CalLookUpRow,0),MATCH(G$1,CalLookUpColumn,0))</f>
        <v>2020</v>
      </c>
      <c r="H1608">
        <f>INDEX(CalLookUpTable,MATCH($B1608,CalLookUpRow,0),MATCH(H$1,CalLookUpColumn,0))</f>
        <v>2</v>
      </c>
      <c r="I1608">
        <f>INDEX(CalLookUpTable,MATCH($B1608,CalLookUpRow,0),MATCH(I$1,CalLookUpColumn,0))</f>
        <v>2</v>
      </c>
    </row>
    <row r="1609" spans="1:9" x14ac:dyDescent="0.25">
      <c r="A1609" s="7">
        <v>1</v>
      </c>
      <c r="B1609" s="8">
        <v>43867</v>
      </c>
      <c r="C1609" s="9" t="s">
        <v>4</v>
      </c>
      <c r="D1609" s="10">
        <v>3226.7689999999998</v>
      </c>
      <c r="E1609" s="10">
        <v>3945.5639999999999</v>
      </c>
      <c r="F1609" t="str">
        <f>VLOOKUP(A1609,StoreLookup,2,FALSE)</f>
        <v>Store#1</v>
      </c>
      <c r="G1609">
        <f>INDEX(CalLookUpTable,MATCH($B1609,CalLookUpRow,0),MATCH(G$1,CalLookUpColumn,0))</f>
        <v>2020</v>
      </c>
      <c r="H1609">
        <f>INDEX(CalLookUpTable,MATCH($B1609,CalLookUpRow,0),MATCH(H$1,CalLookUpColumn,0))</f>
        <v>2</v>
      </c>
      <c r="I1609">
        <f>INDEX(CalLookUpTable,MATCH($B1609,CalLookUpRow,0),MATCH(I$1,CalLookUpColumn,0))</f>
        <v>2</v>
      </c>
    </row>
    <row r="1610" spans="1:9" x14ac:dyDescent="0.25">
      <c r="A1610" s="7">
        <v>1</v>
      </c>
      <c r="B1610" s="8">
        <v>43868</v>
      </c>
      <c r="C1610" s="9" t="s">
        <v>6</v>
      </c>
      <c r="D1610" s="10">
        <v>1080.2049999999999</v>
      </c>
      <c r="E1610" s="10">
        <v>1366.3440000000001</v>
      </c>
      <c r="F1610" t="str">
        <f>VLOOKUP(A1610,StoreLookup,2,FALSE)</f>
        <v>Store#1</v>
      </c>
      <c r="G1610">
        <f>INDEX(CalLookUpTable,MATCH($B1610,CalLookUpRow,0),MATCH(G$1,CalLookUpColumn,0))</f>
        <v>2020</v>
      </c>
      <c r="H1610">
        <f>INDEX(CalLookUpTable,MATCH($B1610,CalLookUpRow,0),MATCH(H$1,CalLookUpColumn,0))</f>
        <v>2</v>
      </c>
      <c r="I1610">
        <f>INDEX(CalLookUpTable,MATCH($B1610,CalLookUpRow,0),MATCH(I$1,CalLookUpColumn,0))</f>
        <v>2</v>
      </c>
    </row>
    <row r="1611" spans="1:9" x14ac:dyDescent="0.25">
      <c r="A1611" s="7">
        <v>1</v>
      </c>
      <c r="B1611" s="8">
        <v>43868</v>
      </c>
      <c r="C1611" s="9" t="s">
        <v>4</v>
      </c>
      <c r="D1611" s="10">
        <v>5018.4749999999995</v>
      </c>
      <c r="E1611" s="10">
        <v>6358.8209999999999</v>
      </c>
      <c r="F1611" t="str">
        <f>VLOOKUP(A1611,StoreLookup,2,FALSE)</f>
        <v>Store#1</v>
      </c>
      <c r="G1611">
        <f>INDEX(CalLookUpTable,MATCH($B1611,CalLookUpRow,0),MATCH(G$1,CalLookUpColumn,0))</f>
        <v>2020</v>
      </c>
      <c r="H1611">
        <f>INDEX(CalLookUpTable,MATCH($B1611,CalLookUpRow,0),MATCH(H$1,CalLookUpColumn,0))</f>
        <v>2</v>
      </c>
      <c r="I1611">
        <f>INDEX(CalLookUpTable,MATCH($B1611,CalLookUpRow,0),MATCH(I$1,CalLookUpColumn,0))</f>
        <v>2</v>
      </c>
    </row>
    <row r="1612" spans="1:9" x14ac:dyDescent="0.25">
      <c r="A1612" s="7">
        <v>1</v>
      </c>
      <c r="B1612" s="8">
        <v>43868</v>
      </c>
      <c r="C1612" s="9" t="s">
        <v>5</v>
      </c>
      <c r="D1612" s="10">
        <v>4308.1499999999996</v>
      </c>
      <c r="E1612" s="10">
        <v>3496.8359999999993</v>
      </c>
      <c r="F1612" t="str">
        <f>VLOOKUP(A1612,StoreLookup,2,FALSE)</f>
        <v>Store#1</v>
      </c>
      <c r="G1612">
        <f>INDEX(CalLookUpTable,MATCH($B1612,CalLookUpRow,0),MATCH(G$1,CalLookUpColumn,0))</f>
        <v>2020</v>
      </c>
      <c r="H1612">
        <f>INDEX(CalLookUpTable,MATCH($B1612,CalLookUpRow,0),MATCH(H$1,CalLookUpColumn,0))</f>
        <v>2</v>
      </c>
      <c r="I1612">
        <f>INDEX(CalLookUpTable,MATCH($B1612,CalLookUpRow,0),MATCH(I$1,CalLookUpColumn,0))</f>
        <v>2</v>
      </c>
    </row>
    <row r="1613" spans="1:9" x14ac:dyDescent="0.25">
      <c r="A1613" s="7">
        <v>1</v>
      </c>
      <c r="B1613" s="8">
        <v>43868</v>
      </c>
      <c r="C1613" s="9" t="s">
        <v>3</v>
      </c>
      <c r="D1613" s="10">
        <v>668.17799999999988</v>
      </c>
      <c r="E1613" s="10">
        <v>0</v>
      </c>
      <c r="F1613" t="str">
        <f>VLOOKUP(A1613,StoreLookup,2,FALSE)</f>
        <v>Store#1</v>
      </c>
      <c r="G1613">
        <f>INDEX(CalLookUpTable,MATCH($B1613,CalLookUpRow,0),MATCH(G$1,CalLookUpColumn,0))</f>
        <v>2020</v>
      </c>
      <c r="H1613">
        <f>INDEX(CalLookUpTable,MATCH($B1613,CalLookUpRow,0),MATCH(H$1,CalLookUpColumn,0))</f>
        <v>2</v>
      </c>
      <c r="I1613">
        <f>INDEX(CalLookUpTable,MATCH($B1613,CalLookUpRow,0),MATCH(I$1,CalLookUpColumn,0))</f>
        <v>2</v>
      </c>
    </row>
    <row r="1614" spans="1:9" x14ac:dyDescent="0.25">
      <c r="A1614" s="7">
        <v>1</v>
      </c>
      <c r="B1614" s="8">
        <v>43869</v>
      </c>
      <c r="C1614" s="9" t="s">
        <v>6</v>
      </c>
      <c r="D1614" s="10">
        <v>840.67899999999997</v>
      </c>
      <c r="E1614" s="10">
        <v>914.85799999999995</v>
      </c>
      <c r="F1614" t="str">
        <f>VLOOKUP(A1614,StoreLookup,2,FALSE)</f>
        <v>Store#1</v>
      </c>
      <c r="G1614">
        <f>INDEX(CalLookUpTable,MATCH($B1614,CalLookUpRow,0),MATCH(G$1,CalLookUpColumn,0))</f>
        <v>2020</v>
      </c>
      <c r="H1614">
        <f>INDEX(CalLookUpTable,MATCH($B1614,CalLookUpRow,0),MATCH(H$1,CalLookUpColumn,0))</f>
        <v>2</v>
      </c>
      <c r="I1614">
        <f>INDEX(CalLookUpTable,MATCH($B1614,CalLookUpRow,0),MATCH(I$1,CalLookUpColumn,0))</f>
        <v>2</v>
      </c>
    </row>
    <row r="1615" spans="1:9" x14ac:dyDescent="0.25">
      <c r="A1615" s="7">
        <v>1</v>
      </c>
      <c r="B1615" s="8">
        <v>43869</v>
      </c>
      <c r="C1615" s="9" t="s">
        <v>4</v>
      </c>
      <c r="D1615" s="10">
        <v>5315.4639999999999</v>
      </c>
      <c r="E1615" s="10">
        <v>6172.8659999999991</v>
      </c>
      <c r="F1615" t="str">
        <f>VLOOKUP(A1615,StoreLookup,2,FALSE)</f>
        <v>Store#1</v>
      </c>
      <c r="G1615">
        <f>INDEX(CalLookUpTable,MATCH($B1615,CalLookUpRow,0),MATCH(G$1,CalLookUpColumn,0))</f>
        <v>2020</v>
      </c>
      <c r="H1615">
        <f>INDEX(CalLookUpTable,MATCH($B1615,CalLookUpRow,0),MATCH(H$1,CalLookUpColumn,0))</f>
        <v>2</v>
      </c>
      <c r="I1615">
        <f>INDEX(CalLookUpTable,MATCH($B1615,CalLookUpRow,0),MATCH(I$1,CalLookUpColumn,0))</f>
        <v>2</v>
      </c>
    </row>
    <row r="1616" spans="1:9" x14ac:dyDescent="0.25">
      <c r="A1616" s="7">
        <v>1</v>
      </c>
      <c r="B1616" s="8">
        <v>43869</v>
      </c>
      <c r="C1616" s="9" t="s">
        <v>3</v>
      </c>
      <c r="D1616" s="10">
        <v>722.98099999999988</v>
      </c>
      <c r="E1616" s="10">
        <v>309.60300000000001</v>
      </c>
      <c r="F1616" t="str">
        <f>VLOOKUP(A1616,StoreLookup,2,FALSE)</f>
        <v>Store#1</v>
      </c>
      <c r="G1616">
        <f>INDEX(CalLookUpTable,MATCH($B1616,CalLookUpRow,0),MATCH(G$1,CalLookUpColumn,0))</f>
        <v>2020</v>
      </c>
      <c r="H1616">
        <f>INDEX(CalLookUpTable,MATCH($B1616,CalLookUpRow,0),MATCH(H$1,CalLookUpColumn,0))</f>
        <v>2</v>
      </c>
      <c r="I1616">
        <f>INDEX(CalLookUpTable,MATCH($B1616,CalLookUpRow,0),MATCH(I$1,CalLookUpColumn,0))</f>
        <v>2</v>
      </c>
    </row>
    <row r="1617" spans="1:9" x14ac:dyDescent="0.25">
      <c r="A1617" s="7">
        <v>1</v>
      </c>
      <c r="B1617" s="8">
        <v>43869</v>
      </c>
      <c r="C1617" s="9" t="s">
        <v>5</v>
      </c>
      <c r="D1617" s="10">
        <v>3624.6489999999994</v>
      </c>
      <c r="E1617" s="10">
        <v>3202.1989999999996</v>
      </c>
      <c r="F1617" t="str">
        <f>VLOOKUP(A1617,StoreLookup,2,FALSE)</f>
        <v>Store#1</v>
      </c>
      <c r="G1617">
        <f>INDEX(CalLookUpTable,MATCH($B1617,CalLookUpRow,0),MATCH(G$1,CalLookUpColumn,0))</f>
        <v>2020</v>
      </c>
      <c r="H1617">
        <f>INDEX(CalLookUpTable,MATCH($B1617,CalLookUpRow,0),MATCH(H$1,CalLookUpColumn,0))</f>
        <v>2</v>
      </c>
      <c r="I1617">
        <f>INDEX(CalLookUpTable,MATCH($B1617,CalLookUpRow,0),MATCH(I$1,CalLookUpColumn,0))</f>
        <v>2</v>
      </c>
    </row>
    <row r="1618" spans="1:9" x14ac:dyDescent="0.25">
      <c r="A1618" s="7">
        <v>1</v>
      </c>
      <c r="B1618" s="8">
        <v>43870</v>
      </c>
      <c r="C1618" s="9" t="s">
        <v>4</v>
      </c>
      <c r="D1618" s="10">
        <v>2005.675</v>
      </c>
      <c r="E1618" s="10">
        <v>1786.386</v>
      </c>
      <c r="F1618" t="str">
        <f>VLOOKUP(A1618,StoreLookup,2,FALSE)</f>
        <v>Store#1</v>
      </c>
      <c r="G1618">
        <f>INDEX(CalLookUpTable,MATCH($B1618,CalLookUpRow,0),MATCH(G$1,CalLookUpColumn,0))</f>
        <v>2020</v>
      </c>
      <c r="H1618">
        <f>INDEX(CalLookUpTable,MATCH($B1618,CalLookUpRow,0),MATCH(H$1,CalLookUpColumn,0))</f>
        <v>2</v>
      </c>
      <c r="I1618">
        <f>INDEX(CalLookUpTable,MATCH($B1618,CalLookUpRow,0),MATCH(I$1,CalLookUpColumn,0))</f>
        <v>2</v>
      </c>
    </row>
    <row r="1619" spans="1:9" x14ac:dyDescent="0.25">
      <c r="A1619" s="7">
        <v>1</v>
      </c>
      <c r="B1619" s="8">
        <v>43870</v>
      </c>
      <c r="C1619" s="9" t="s">
        <v>6</v>
      </c>
      <c r="D1619" s="10">
        <v>333.03199999999998</v>
      </c>
      <c r="E1619" s="10">
        <v>219.17000000000002</v>
      </c>
      <c r="F1619" t="str">
        <f>VLOOKUP(A1619,StoreLookup,2,FALSE)</f>
        <v>Store#1</v>
      </c>
      <c r="G1619">
        <f>INDEX(CalLookUpTable,MATCH($B1619,CalLookUpRow,0),MATCH(G$1,CalLookUpColumn,0))</f>
        <v>2020</v>
      </c>
      <c r="H1619">
        <f>INDEX(CalLookUpTable,MATCH($B1619,CalLookUpRow,0),MATCH(H$1,CalLookUpColumn,0))</f>
        <v>2</v>
      </c>
      <c r="I1619">
        <f>INDEX(CalLookUpTable,MATCH($B1619,CalLookUpRow,0),MATCH(I$1,CalLookUpColumn,0))</f>
        <v>2</v>
      </c>
    </row>
    <row r="1620" spans="1:9" x14ac:dyDescent="0.25">
      <c r="A1620" s="7">
        <v>1</v>
      </c>
      <c r="B1620" s="8">
        <v>43870</v>
      </c>
      <c r="C1620" s="9" t="s">
        <v>5</v>
      </c>
      <c r="D1620" s="10">
        <v>1403.78</v>
      </c>
      <c r="E1620" s="10">
        <v>1755.1589999999999</v>
      </c>
      <c r="F1620" t="str">
        <f>VLOOKUP(A1620,StoreLookup,2,FALSE)</f>
        <v>Store#1</v>
      </c>
      <c r="G1620">
        <f>INDEX(CalLookUpTable,MATCH($B1620,CalLookUpRow,0),MATCH(G$1,CalLookUpColumn,0))</f>
        <v>2020</v>
      </c>
      <c r="H1620">
        <f>INDEX(CalLookUpTable,MATCH($B1620,CalLookUpRow,0),MATCH(H$1,CalLookUpColumn,0))</f>
        <v>2</v>
      </c>
      <c r="I1620">
        <f>INDEX(CalLookUpTable,MATCH($B1620,CalLookUpRow,0),MATCH(I$1,CalLookUpColumn,0))</f>
        <v>2</v>
      </c>
    </row>
    <row r="1621" spans="1:9" x14ac:dyDescent="0.25">
      <c r="A1621" s="7">
        <v>1</v>
      </c>
      <c r="B1621" s="8">
        <v>43870</v>
      </c>
      <c r="C1621" s="9" t="s">
        <v>3</v>
      </c>
      <c r="D1621" s="10">
        <v>0</v>
      </c>
      <c r="E1621" s="10">
        <v>0</v>
      </c>
      <c r="F1621" t="str">
        <f>VLOOKUP(A1621,StoreLookup,2,FALSE)</f>
        <v>Store#1</v>
      </c>
      <c r="G1621">
        <f>INDEX(CalLookUpTable,MATCH($B1621,CalLookUpRow,0),MATCH(G$1,CalLookUpColumn,0))</f>
        <v>2020</v>
      </c>
      <c r="H1621">
        <f>INDEX(CalLookUpTable,MATCH($B1621,CalLookUpRow,0),MATCH(H$1,CalLookUpColumn,0))</f>
        <v>2</v>
      </c>
      <c r="I1621">
        <f>INDEX(CalLookUpTable,MATCH($B1621,CalLookUpRow,0),MATCH(I$1,CalLookUpColumn,0))</f>
        <v>2</v>
      </c>
    </row>
    <row r="1622" spans="1:9" x14ac:dyDescent="0.25">
      <c r="A1622" s="7">
        <v>1</v>
      </c>
      <c r="B1622" s="8">
        <v>43871</v>
      </c>
      <c r="C1622" s="9" t="s">
        <v>3</v>
      </c>
      <c r="D1622" s="10">
        <v>0</v>
      </c>
      <c r="E1622" s="10">
        <v>26.186999999999998</v>
      </c>
      <c r="F1622" t="str">
        <f>VLOOKUP(A1622,StoreLookup,2,FALSE)</f>
        <v>Store#1</v>
      </c>
      <c r="G1622">
        <f>INDEX(CalLookUpTable,MATCH($B1622,CalLookUpRow,0),MATCH(G$1,CalLookUpColumn,0))</f>
        <v>2020</v>
      </c>
      <c r="H1622">
        <f>INDEX(CalLookUpTable,MATCH($B1622,CalLookUpRow,0),MATCH(H$1,CalLookUpColumn,0))</f>
        <v>2</v>
      </c>
      <c r="I1622">
        <f>INDEX(CalLookUpTable,MATCH($B1622,CalLookUpRow,0),MATCH(I$1,CalLookUpColumn,0))</f>
        <v>3</v>
      </c>
    </row>
    <row r="1623" spans="1:9" x14ac:dyDescent="0.25">
      <c r="A1623" s="7">
        <v>1</v>
      </c>
      <c r="B1623" s="8">
        <v>43871</v>
      </c>
      <c r="C1623" s="9" t="s">
        <v>6</v>
      </c>
      <c r="D1623" s="10">
        <v>545.69899999999996</v>
      </c>
      <c r="E1623" s="10">
        <v>833.71399999999994</v>
      </c>
      <c r="F1623" t="str">
        <f>VLOOKUP(A1623,StoreLookup,2,FALSE)</f>
        <v>Store#1</v>
      </c>
      <c r="G1623">
        <f>INDEX(CalLookUpTable,MATCH($B1623,CalLookUpRow,0),MATCH(G$1,CalLookUpColumn,0))</f>
        <v>2020</v>
      </c>
      <c r="H1623">
        <f>INDEX(CalLookUpTable,MATCH($B1623,CalLookUpRow,0),MATCH(H$1,CalLookUpColumn,0))</f>
        <v>2</v>
      </c>
      <c r="I1623">
        <f>INDEX(CalLookUpTable,MATCH($B1623,CalLookUpRow,0),MATCH(I$1,CalLookUpColumn,0))</f>
        <v>3</v>
      </c>
    </row>
    <row r="1624" spans="1:9" x14ac:dyDescent="0.25">
      <c r="A1624" s="7">
        <v>1</v>
      </c>
      <c r="B1624" s="8">
        <v>43871</v>
      </c>
      <c r="C1624" s="9" t="s">
        <v>4</v>
      </c>
      <c r="D1624" s="10">
        <v>2861.7679999999996</v>
      </c>
      <c r="E1624" s="10">
        <v>3054.3799999999997</v>
      </c>
      <c r="F1624" t="str">
        <f>VLOOKUP(A1624,StoreLookup,2,FALSE)</f>
        <v>Store#1</v>
      </c>
      <c r="G1624">
        <f>INDEX(CalLookUpTable,MATCH($B1624,CalLookUpRow,0),MATCH(G$1,CalLookUpColumn,0))</f>
        <v>2020</v>
      </c>
      <c r="H1624">
        <f>INDEX(CalLookUpTable,MATCH($B1624,CalLookUpRow,0),MATCH(H$1,CalLookUpColumn,0))</f>
        <v>2</v>
      </c>
      <c r="I1624">
        <f>INDEX(CalLookUpTable,MATCH($B1624,CalLookUpRow,0),MATCH(I$1,CalLookUpColumn,0))</f>
        <v>3</v>
      </c>
    </row>
    <row r="1625" spans="1:9" x14ac:dyDescent="0.25">
      <c r="A1625" s="7">
        <v>1</v>
      </c>
      <c r="B1625" s="8">
        <v>43871</v>
      </c>
      <c r="C1625" s="9" t="s">
        <v>5</v>
      </c>
      <c r="D1625" s="10">
        <v>3469.2139999999999</v>
      </c>
      <c r="E1625" s="10">
        <v>2483.46</v>
      </c>
      <c r="F1625" t="str">
        <f>VLOOKUP(A1625,StoreLookup,2,FALSE)</f>
        <v>Store#1</v>
      </c>
      <c r="G1625">
        <f>INDEX(CalLookUpTable,MATCH($B1625,CalLookUpRow,0),MATCH(G$1,CalLookUpColumn,0))</f>
        <v>2020</v>
      </c>
      <c r="H1625">
        <f>INDEX(CalLookUpTable,MATCH($B1625,CalLookUpRow,0),MATCH(H$1,CalLookUpColumn,0))</f>
        <v>2</v>
      </c>
      <c r="I1625">
        <f>INDEX(CalLookUpTable,MATCH($B1625,CalLookUpRow,0),MATCH(I$1,CalLookUpColumn,0))</f>
        <v>3</v>
      </c>
    </row>
    <row r="1626" spans="1:9" x14ac:dyDescent="0.25">
      <c r="A1626" s="7">
        <v>1</v>
      </c>
      <c r="B1626" s="8">
        <v>43872</v>
      </c>
      <c r="C1626" s="9" t="s">
        <v>5</v>
      </c>
      <c r="D1626" s="10">
        <v>3382.3440000000001</v>
      </c>
      <c r="E1626" s="10">
        <v>2662.9469999999997</v>
      </c>
      <c r="F1626" t="str">
        <f>VLOOKUP(A1626,StoreLookup,2,FALSE)</f>
        <v>Store#1</v>
      </c>
      <c r="G1626">
        <f>INDEX(CalLookUpTable,MATCH($B1626,CalLookUpRow,0),MATCH(G$1,CalLookUpColumn,0))</f>
        <v>2020</v>
      </c>
      <c r="H1626">
        <f>INDEX(CalLookUpTable,MATCH($B1626,CalLookUpRow,0),MATCH(H$1,CalLookUpColumn,0))</f>
        <v>2</v>
      </c>
      <c r="I1626">
        <f>INDEX(CalLookUpTable,MATCH($B1626,CalLookUpRow,0),MATCH(I$1,CalLookUpColumn,0))</f>
        <v>3</v>
      </c>
    </row>
    <row r="1627" spans="1:9" x14ac:dyDescent="0.25">
      <c r="A1627" s="7">
        <v>1</v>
      </c>
      <c r="B1627" s="8">
        <v>43872</v>
      </c>
      <c r="C1627" s="9" t="s">
        <v>4</v>
      </c>
      <c r="D1627" s="10">
        <v>2968.8959999999997</v>
      </c>
      <c r="E1627" s="10">
        <v>3696.9659999999999</v>
      </c>
      <c r="F1627" t="str">
        <f>VLOOKUP(A1627,StoreLookup,2,FALSE)</f>
        <v>Store#1</v>
      </c>
      <c r="G1627">
        <f>INDEX(CalLookUpTable,MATCH($B1627,CalLookUpRow,0),MATCH(G$1,CalLookUpColumn,0))</f>
        <v>2020</v>
      </c>
      <c r="H1627">
        <f>INDEX(CalLookUpTable,MATCH($B1627,CalLookUpRow,0),MATCH(H$1,CalLookUpColumn,0))</f>
        <v>2</v>
      </c>
      <c r="I1627">
        <f>INDEX(CalLookUpTable,MATCH($B1627,CalLookUpRow,0),MATCH(I$1,CalLookUpColumn,0))</f>
        <v>3</v>
      </c>
    </row>
    <row r="1628" spans="1:9" x14ac:dyDescent="0.25">
      <c r="A1628" s="7">
        <v>1</v>
      </c>
      <c r="B1628" s="8">
        <v>43872</v>
      </c>
      <c r="C1628" s="9" t="s">
        <v>6</v>
      </c>
      <c r="D1628" s="10">
        <v>835.24</v>
      </c>
      <c r="E1628" s="10">
        <v>643.18799999999999</v>
      </c>
      <c r="F1628" t="str">
        <f>VLOOKUP(A1628,StoreLookup,2,FALSE)</f>
        <v>Store#1</v>
      </c>
      <c r="G1628">
        <f>INDEX(CalLookUpTable,MATCH($B1628,CalLookUpRow,0),MATCH(G$1,CalLookUpColumn,0))</f>
        <v>2020</v>
      </c>
      <c r="H1628">
        <f>INDEX(CalLookUpTable,MATCH($B1628,CalLookUpRow,0),MATCH(H$1,CalLookUpColumn,0))</f>
        <v>2</v>
      </c>
      <c r="I1628">
        <f>INDEX(CalLookUpTable,MATCH($B1628,CalLookUpRow,0),MATCH(I$1,CalLookUpColumn,0))</f>
        <v>3</v>
      </c>
    </row>
    <row r="1629" spans="1:9" x14ac:dyDescent="0.25">
      <c r="A1629" s="7">
        <v>1</v>
      </c>
      <c r="B1629" s="8">
        <v>43872</v>
      </c>
      <c r="C1629" s="9" t="s">
        <v>3</v>
      </c>
      <c r="D1629" s="10">
        <v>0</v>
      </c>
      <c r="E1629" s="10">
        <v>115.39499999999998</v>
      </c>
      <c r="F1629" t="str">
        <f>VLOOKUP(A1629,StoreLookup,2,FALSE)</f>
        <v>Store#1</v>
      </c>
      <c r="G1629">
        <f>INDEX(CalLookUpTable,MATCH($B1629,CalLookUpRow,0),MATCH(G$1,CalLookUpColumn,0))</f>
        <v>2020</v>
      </c>
      <c r="H1629">
        <f>INDEX(CalLookUpTable,MATCH($B1629,CalLookUpRow,0),MATCH(H$1,CalLookUpColumn,0))</f>
        <v>2</v>
      </c>
      <c r="I1629">
        <f>INDEX(CalLookUpTable,MATCH($B1629,CalLookUpRow,0),MATCH(I$1,CalLookUpColumn,0))</f>
        <v>3</v>
      </c>
    </row>
    <row r="1630" spans="1:9" x14ac:dyDescent="0.25">
      <c r="A1630" s="7">
        <v>1</v>
      </c>
      <c r="B1630" s="8">
        <v>43873</v>
      </c>
      <c r="C1630" s="9" t="s">
        <v>4</v>
      </c>
      <c r="D1630" s="10">
        <v>3196.1859999999997</v>
      </c>
      <c r="E1630" s="10">
        <v>4159.5329999999994</v>
      </c>
      <c r="F1630" t="str">
        <f>VLOOKUP(A1630,StoreLookup,2,FALSE)</f>
        <v>Store#1</v>
      </c>
      <c r="G1630">
        <f>INDEX(CalLookUpTable,MATCH($B1630,CalLookUpRow,0),MATCH(G$1,CalLookUpColumn,0))</f>
        <v>2020</v>
      </c>
      <c r="H1630">
        <f>INDEX(CalLookUpTable,MATCH($B1630,CalLookUpRow,0),MATCH(H$1,CalLookUpColumn,0))</f>
        <v>2</v>
      </c>
      <c r="I1630">
        <f>INDEX(CalLookUpTable,MATCH($B1630,CalLookUpRow,0),MATCH(I$1,CalLookUpColumn,0))</f>
        <v>3</v>
      </c>
    </row>
    <row r="1631" spans="1:9" x14ac:dyDescent="0.25">
      <c r="A1631" s="7">
        <v>1</v>
      </c>
      <c r="B1631" s="8">
        <v>43873</v>
      </c>
      <c r="C1631" s="9" t="s">
        <v>6</v>
      </c>
      <c r="D1631" s="10">
        <v>558.20099999999991</v>
      </c>
      <c r="E1631" s="10">
        <v>728.67899999999997</v>
      </c>
      <c r="F1631" t="str">
        <f>VLOOKUP(A1631,StoreLookup,2,FALSE)</f>
        <v>Store#1</v>
      </c>
      <c r="G1631">
        <f>INDEX(CalLookUpTable,MATCH($B1631,CalLookUpRow,0),MATCH(G$1,CalLookUpColumn,0))</f>
        <v>2020</v>
      </c>
      <c r="H1631">
        <f>INDEX(CalLookUpTable,MATCH($B1631,CalLookUpRow,0),MATCH(H$1,CalLookUpColumn,0))</f>
        <v>2</v>
      </c>
      <c r="I1631">
        <f>INDEX(CalLookUpTable,MATCH($B1631,CalLookUpRow,0),MATCH(I$1,CalLookUpColumn,0))</f>
        <v>3</v>
      </c>
    </row>
    <row r="1632" spans="1:9" x14ac:dyDescent="0.25">
      <c r="A1632" s="7">
        <v>1</v>
      </c>
      <c r="B1632" s="8">
        <v>43873</v>
      </c>
      <c r="C1632" s="9" t="s">
        <v>5</v>
      </c>
      <c r="D1632" s="10">
        <v>3313.1559999999999</v>
      </c>
      <c r="E1632" s="10">
        <v>2401.5879999999997</v>
      </c>
      <c r="F1632" t="str">
        <f>VLOOKUP(A1632,StoreLookup,2,FALSE)</f>
        <v>Store#1</v>
      </c>
      <c r="G1632">
        <f>INDEX(CalLookUpTable,MATCH($B1632,CalLookUpRow,0),MATCH(G$1,CalLookUpColumn,0))</f>
        <v>2020</v>
      </c>
      <c r="H1632">
        <f>INDEX(CalLookUpTable,MATCH($B1632,CalLookUpRow,0),MATCH(H$1,CalLookUpColumn,0))</f>
        <v>2</v>
      </c>
      <c r="I1632">
        <f>INDEX(CalLookUpTable,MATCH($B1632,CalLookUpRow,0),MATCH(I$1,CalLookUpColumn,0))</f>
        <v>3</v>
      </c>
    </row>
    <row r="1633" spans="1:9" x14ac:dyDescent="0.25">
      <c r="A1633" s="7">
        <v>1</v>
      </c>
      <c r="B1633" s="8">
        <v>43873</v>
      </c>
      <c r="C1633" s="9" t="s">
        <v>3</v>
      </c>
      <c r="D1633" s="10">
        <v>32.451999999999998</v>
      </c>
      <c r="E1633" s="10">
        <v>69.257999999999996</v>
      </c>
      <c r="F1633" t="str">
        <f>VLOOKUP(A1633,StoreLookup,2,FALSE)</f>
        <v>Store#1</v>
      </c>
      <c r="G1633">
        <f>INDEX(CalLookUpTable,MATCH($B1633,CalLookUpRow,0),MATCH(G$1,CalLookUpColumn,0))</f>
        <v>2020</v>
      </c>
      <c r="H1633">
        <f>INDEX(CalLookUpTable,MATCH($B1633,CalLookUpRow,0),MATCH(H$1,CalLookUpColumn,0))</f>
        <v>2</v>
      </c>
      <c r="I1633">
        <f>INDEX(CalLookUpTable,MATCH($B1633,CalLookUpRow,0),MATCH(I$1,CalLookUpColumn,0))</f>
        <v>3</v>
      </c>
    </row>
    <row r="1634" spans="1:9" x14ac:dyDescent="0.25">
      <c r="A1634" s="7">
        <v>1</v>
      </c>
      <c r="B1634" s="8">
        <v>43874</v>
      </c>
      <c r="C1634" s="9" t="s">
        <v>6</v>
      </c>
      <c r="D1634" s="10">
        <v>954.44299999999998</v>
      </c>
      <c r="E1634" s="10">
        <v>1618.4979999999998</v>
      </c>
      <c r="F1634" t="str">
        <f>VLOOKUP(A1634,StoreLookup,2,FALSE)</f>
        <v>Store#1</v>
      </c>
      <c r="G1634">
        <f>INDEX(CalLookUpTable,MATCH($B1634,CalLookUpRow,0),MATCH(G$1,CalLookUpColumn,0))</f>
        <v>2020</v>
      </c>
      <c r="H1634">
        <f>INDEX(CalLookUpTable,MATCH($B1634,CalLookUpRow,0),MATCH(H$1,CalLookUpColumn,0))</f>
        <v>2</v>
      </c>
      <c r="I1634">
        <f>INDEX(CalLookUpTable,MATCH($B1634,CalLookUpRow,0),MATCH(I$1,CalLookUpColumn,0))</f>
        <v>3</v>
      </c>
    </row>
    <row r="1635" spans="1:9" x14ac:dyDescent="0.25">
      <c r="A1635" s="7">
        <v>1</v>
      </c>
      <c r="B1635" s="8">
        <v>43874</v>
      </c>
      <c r="C1635" s="9" t="s">
        <v>4</v>
      </c>
      <c r="D1635" s="10">
        <v>3820.9219999999996</v>
      </c>
      <c r="E1635" s="10">
        <v>5438.741</v>
      </c>
      <c r="F1635" t="str">
        <f>VLOOKUP(A1635,StoreLookup,2,FALSE)</f>
        <v>Store#1</v>
      </c>
      <c r="G1635">
        <f>INDEX(CalLookUpTable,MATCH($B1635,CalLookUpRow,0),MATCH(G$1,CalLookUpColumn,0))</f>
        <v>2020</v>
      </c>
      <c r="H1635">
        <f>INDEX(CalLookUpTable,MATCH($B1635,CalLookUpRow,0),MATCH(H$1,CalLookUpColumn,0))</f>
        <v>2</v>
      </c>
      <c r="I1635">
        <f>INDEX(CalLookUpTable,MATCH($B1635,CalLookUpRow,0),MATCH(I$1,CalLookUpColumn,0))</f>
        <v>3</v>
      </c>
    </row>
    <row r="1636" spans="1:9" x14ac:dyDescent="0.25">
      <c r="A1636" s="7">
        <v>1</v>
      </c>
      <c r="B1636" s="8">
        <v>43874</v>
      </c>
      <c r="C1636" s="9" t="s">
        <v>3</v>
      </c>
      <c r="D1636" s="10">
        <v>0</v>
      </c>
      <c r="E1636" s="10">
        <v>69.698999999999984</v>
      </c>
      <c r="F1636" t="str">
        <f>VLOOKUP(A1636,StoreLookup,2,FALSE)</f>
        <v>Store#1</v>
      </c>
      <c r="G1636">
        <f>INDEX(CalLookUpTable,MATCH($B1636,CalLookUpRow,0),MATCH(G$1,CalLookUpColumn,0))</f>
        <v>2020</v>
      </c>
      <c r="H1636">
        <f>INDEX(CalLookUpTable,MATCH($B1636,CalLookUpRow,0),MATCH(H$1,CalLookUpColumn,0))</f>
        <v>2</v>
      </c>
      <c r="I1636">
        <f>INDEX(CalLookUpTable,MATCH($B1636,CalLookUpRow,0),MATCH(I$1,CalLookUpColumn,0))</f>
        <v>3</v>
      </c>
    </row>
    <row r="1637" spans="1:9" x14ac:dyDescent="0.25">
      <c r="A1637" s="7">
        <v>1</v>
      </c>
      <c r="B1637" s="8">
        <v>43874</v>
      </c>
      <c r="C1637" s="9" t="s">
        <v>5</v>
      </c>
      <c r="D1637" s="10">
        <v>3356.5769999999998</v>
      </c>
      <c r="E1637" s="10">
        <v>3811.0799999999995</v>
      </c>
      <c r="F1637" t="str">
        <f>VLOOKUP(A1637,StoreLookup,2,FALSE)</f>
        <v>Store#1</v>
      </c>
      <c r="G1637">
        <f>INDEX(CalLookUpTable,MATCH($B1637,CalLookUpRow,0),MATCH(G$1,CalLookUpColumn,0))</f>
        <v>2020</v>
      </c>
      <c r="H1637">
        <f>INDEX(CalLookUpTable,MATCH($B1637,CalLookUpRow,0),MATCH(H$1,CalLookUpColumn,0))</f>
        <v>2</v>
      </c>
      <c r="I1637">
        <f>INDEX(CalLookUpTable,MATCH($B1637,CalLookUpRow,0),MATCH(I$1,CalLookUpColumn,0))</f>
        <v>3</v>
      </c>
    </row>
    <row r="1638" spans="1:9" x14ac:dyDescent="0.25">
      <c r="A1638" s="7">
        <v>1</v>
      </c>
      <c r="B1638" s="8">
        <v>43875</v>
      </c>
      <c r="C1638" s="9" t="s">
        <v>4</v>
      </c>
      <c r="D1638" s="10">
        <v>6093.2830000000004</v>
      </c>
      <c r="E1638" s="10">
        <v>5137.6289999999999</v>
      </c>
      <c r="F1638" t="str">
        <f>VLOOKUP(A1638,StoreLookup,2,FALSE)</f>
        <v>Store#1</v>
      </c>
      <c r="G1638">
        <f>INDEX(CalLookUpTable,MATCH($B1638,CalLookUpRow,0),MATCH(G$1,CalLookUpColumn,0))</f>
        <v>2020</v>
      </c>
      <c r="H1638">
        <f>INDEX(CalLookUpTable,MATCH($B1638,CalLookUpRow,0),MATCH(H$1,CalLookUpColumn,0))</f>
        <v>2</v>
      </c>
      <c r="I1638">
        <f>INDEX(CalLookUpTable,MATCH($B1638,CalLookUpRow,0),MATCH(I$1,CalLookUpColumn,0))</f>
        <v>3</v>
      </c>
    </row>
    <row r="1639" spans="1:9" x14ac:dyDescent="0.25">
      <c r="A1639" s="7">
        <v>1</v>
      </c>
      <c r="B1639" s="8">
        <v>43875</v>
      </c>
      <c r="C1639" s="9" t="s">
        <v>5</v>
      </c>
      <c r="D1639" s="10">
        <v>4531.0159999999996</v>
      </c>
      <c r="E1639" s="10">
        <v>3560.6759999999999</v>
      </c>
      <c r="F1639" t="str">
        <f>VLOOKUP(A1639,StoreLookup,2,FALSE)</f>
        <v>Store#1</v>
      </c>
      <c r="G1639">
        <f>INDEX(CalLookUpTable,MATCH($B1639,CalLookUpRow,0),MATCH(G$1,CalLookUpColumn,0))</f>
        <v>2020</v>
      </c>
      <c r="H1639">
        <f>INDEX(CalLookUpTable,MATCH($B1639,CalLookUpRow,0),MATCH(H$1,CalLookUpColumn,0))</f>
        <v>2</v>
      </c>
      <c r="I1639">
        <f>INDEX(CalLookUpTable,MATCH($B1639,CalLookUpRow,0),MATCH(I$1,CalLookUpColumn,0))</f>
        <v>3</v>
      </c>
    </row>
    <row r="1640" spans="1:9" x14ac:dyDescent="0.25">
      <c r="A1640" s="7">
        <v>1</v>
      </c>
      <c r="B1640" s="8">
        <v>43875</v>
      </c>
      <c r="C1640" s="9" t="s">
        <v>6</v>
      </c>
      <c r="D1640" s="10">
        <v>1370.2569999999998</v>
      </c>
      <c r="E1640" s="10">
        <v>1253.4690000000001</v>
      </c>
      <c r="F1640" t="str">
        <f>VLOOKUP(A1640,StoreLookup,2,FALSE)</f>
        <v>Store#1</v>
      </c>
      <c r="G1640">
        <f>INDEX(CalLookUpTable,MATCH($B1640,CalLookUpRow,0),MATCH(G$1,CalLookUpColumn,0))</f>
        <v>2020</v>
      </c>
      <c r="H1640">
        <f>INDEX(CalLookUpTable,MATCH($B1640,CalLookUpRow,0),MATCH(H$1,CalLookUpColumn,0))</f>
        <v>2</v>
      </c>
      <c r="I1640">
        <f>INDEX(CalLookUpTable,MATCH($B1640,CalLookUpRow,0),MATCH(I$1,CalLookUpColumn,0))</f>
        <v>3</v>
      </c>
    </row>
    <row r="1641" spans="1:9" x14ac:dyDescent="0.25">
      <c r="A1641" s="7">
        <v>1</v>
      </c>
      <c r="B1641" s="8">
        <v>43875</v>
      </c>
      <c r="C1641" s="9" t="s">
        <v>3</v>
      </c>
      <c r="D1641" s="10">
        <v>473.71099999999996</v>
      </c>
      <c r="E1641" s="10">
        <v>18.521999999999998</v>
      </c>
      <c r="F1641" t="str">
        <f>VLOOKUP(A1641,StoreLookup,2,FALSE)</f>
        <v>Store#1</v>
      </c>
      <c r="G1641">
        <f>INDEX(CalLookUpTable,MATCH($B1641,CalLookUpRow,0),MATCH(G$1,CalLookUpColumn,0))</f>
        <v>2020</v>
      </c>
      <c r="H1641">
        <f>INDEX(CalLookUpTable,MATCH($B1641,CalLookUpRow,0),MATCH(H$1,CalLookUpColumn,0))</f>
        <v>2</v>
      </c>
      <c r="I1641">
        <f>INDEX(CalLookUpTable,MATCH($B1641,CalLookUpRow,0),MATCH(I$1,CalLookUpColumn,0))</f>
        <v>3</v>
      </c>
    </row>
    <row r="1642" spans="1:9" x14ac:dyDescent="0.25">
      <c r="A1642" s="7">
        <v>1</v>
      </c>
      <c r="B1642" s="8">
        <v>43876</v>
      </c>
      <c r="C1642" s="9" t="s">
        <v>4</v>
      </c>
      <c r="D1642" s="10">
        <v>5104.1549999999997</v>
      </c>
      <c r="E1642" s="10">
        <v>5543.110999999999</v>
      </c>
      <c r="F1642" t="str">
        <f>VLOOKUP(A1642,StoreLookup,2,FALSE)</f>
        <v>Store#1</v>
      </c>
      <c r="G1642">
        <f>INDEX(CalLookUpTable,MATCH($B1642,CalLookUpRow,0),MATCH(G$1,CalLookUpColumn,0))</f>
        <v>2020</v>
      </c>
      <c r="H1642">
        <f>INDEX(CalLookUpTable,MATCH($B1642,CalLookUpRow,0),MATCH(H$1,CalLookUpColumn,0))</f>
        <v>2</v>
      </c>
      <c r="I1642">
        <f>INDEX(CalLookUpTable,MATCH($B1642,CalLookUpRow,0),MATCH(I$1,CalLookUpColumn,0))</f>
        <v>3</v>
      </c>
    </row>
    <row r="1643" spans="1:9" x14ac:dyDescent="0.25">
      <c r="A1643" s="7">
        <v>1</v>
      </c>
      <c r="B1643" s="8">
        <v>43876</v>
      </c>
      <c r="C1643" s="9" t="s">
        <v>5</v>
      </c>
      <c r="D1643" s="10">
        <v>3756.5149999999994</v>
      </c>
      <c r="E1643" s="10">
        <v>3309.0049999999997</v>
      </c>
      <c r="F1643" t="str">
        <f>VLOOKUP(A1643,StoreLookup,2,FALSE)</f>
        <v>Store#1</v>
      </c>
      <c r="G1643">
        <f>INDEX(CalLookUpTable,MATCH($B1643,CalLookUpRow,0),MATCH(G$1,CalLookUpColumn,0))</f>
        <v>2020</v>
      </c>
      <c r="H1643">
        <f>INDEX(CalLookUpTable,MATCH($B1643,CalLookUpRow,0),MATCH(H$1,CalLookUpColumn,0))</f>
        <v>2</v>
      </c>
      <c r="I1643">
        <f>INDEX(CalLookUpTable,MATCH($B1643,CalLookUpRow,0),MATCH(I$1,CalLookUpColumn,0))</f>
        <v>3</v>
      </c>
    </row>
    <row r="1644" spans="1:9" x14ac:dyDescent="0.25">
      <c r="A1644" s="7">
        <v>1</v>
      </c>
      <c r="B1644" s="8">
        <v>43876</v>
      </c>
      <c r="C1644" s="9" t="s">
        <v>3</v>
      </c>
      <c r="D1644" s="10">
        <v>47.830999999999996</v>
      </c>
      <c r="E1644" s="10">
        <v>23.414999999999999</v>
      </c>
      <c r="F1644" t="str">
        <f>VLOOKUP(A1644,StoreLookup,2,FALSE)</f>
        <v>Store#1</v>
      </c>
      <c r="G1644">
        <f>INDEX(CalLookUpTable,MATCH($B1644,CalLookUpRow,0),MATCH(G$1,CalLookUpColumn,0))</f>
        <v>2020</v>
      </c>
      <c r="H1644">
        <f>INDEX(CalLookUpTable,MATCH($B1644,CalLookUpRow,0),MATCH(H$1,CalLookUpColumn,0))</f>
        <v>2</v>
      </c>
      <c r="I1644">
        <f>INDEX(CalLookUpTable,MATCH($B1644,CalLookUpRow,0),MATCH(I$1,CalLookUpColumn,0))</f>
        <v>3</v>
      </c>
    </row>
    <row r="1645" spans="1:9" x14ac:dyDescent="0.25">
      <c r="A1645" s="7">
        <v>1</v>
      </c>
      <c r="B1645" s="8">
        <v>43876</v>
      </c>
      <c r="C1645" s="9" t="s">
        <v>6</v>
      </c>
      <c r="D1645" s="10">
        <v>1316.8819999999998</v>
      </c>
      <c r="E1645" s="10">
        <v>996.29599999999994</v>
      </c>
      <c r="F1645" t="str">
        <f>VLOOKUP(A1645,StoreLookup,2,FALSE)</f>
        <v>Store#1</v>
      </c>
      <c r="G1645">
        <f>INDEX(CalLookUpTable,MATCH($B1645,CalLookUpRow,0),MATCH(G$1,CalLookUpColumn,0))</f>
        <v>2020</v>
      </c>
      <c r="H1645">
        <f>INDEX(CalLookUpTable,MATCH($B1645,CalLookUpRow,0),MATCH(H$1,CalLookUpColumn,0))</f>
        <v>2</v>
      </c>
      <c r="I1645">
        <f>INDEX(CalLookUpTable,MATCH($B1645,CalLookUpRow,0),MATCH(I$1,CalLookUpColumn,0))</f>
        <v>3</v>
      </c>
    </row>
    <row r="1646" spans="1:9" x14ac:dyDescent="0.25">
      <c r="A1646" s="7">
        <v>1</v>
      </c>
      <c r="B1646" s="8">
        <v>43877</v>
      </c>
      <c r="C1646" s="9" t="s">
        <v>4</v>
      </c>
      <c r="D1646" s="10">
        <v>1675.086</v>
      </c>
      <c r="E1646" s="10">
        <v>2060.5549999999998</v>
      </c>
      <c r="F1646" t="str">
        <f>VLOOKUP(A1646,StoreLookup,2,FALSE)</f>
        <v>Store#1</v>
      </c>
      <c r="G1646">
        <f>INDEX(CalLookUpTable,MATCH($B1646,CalLookUpRow,0),MATCH(G$1,CalLookUpColumn,0))</f>
        <v>2020</v>
      </c>
      <c r="H1646">
        <f>INDEX(CalLookUpTable,MATCH($B1646,CalLookUpRow,0),MATCH(H$1,CalLookUpColumn,0))</f>
        <v>2</v>
      </c>
      <c r="I1646">
        <f>INDEX(CalLookUpTable,MATCH($B1646,CalLookUpRow,0),MATCH(I$1,CalLookUpColumn,0))</f>
        <v>3</v>
      </c>
    </row>
    <row r="1647" spans="1:9" x14ac:dyDescent="0.25">
      <c r="A1647" s="7">
        <v>1</v>
      </c>
      <c r="B1647" s="8">
        <v>43877</v>
      </c>
      <c r="C1647" s="9" t="s">
        <v>6</v>
      </c>
      <c r="D1647" s="10">
        <v>615.83199999999999</v>
      </c>
      <c r="E1647" s="10">
        <v>98.839999999999989</v>
      </c>
      <c r="F1647" t="str">
        <f>VLOOKUP(A1647,StoreLookup,2,FALSE)</f>
        <v>Store#1</v>
      </c>
      <c r="G1647">
        <f>INDEX(CalLookUpTable,MATCH($B1647,CalLookUpRow,0),MATCH(G$1,CalLookUpColumn,0))</f>
        <v>2020</v>
      </c>
      <c r="H1647">
        <f>INDEX(CalLookUpTable,MATCH($B1647,CalLookUpRow,0),MATCH(H$1,CalLookUpColumn,0))</f>
        <v>2</v>
      </c>
      <c r="I1647">
        <f>INDEX(CalLookUpTable,MATCH($B1647,CalLookUpRow,0),MATCH(I$1,CalLookUpColumn,0))</f>
        <v>3</v>
      </c>
    </row>
    <row r="1648" spans="1:9" x14ac:dyDescent="0.25">
      <c r="A1648" s="7">
        <v>1</v>
      </c>
      <c r="B1648" s="8">
        <v>43877</v>
      </c>
      <c r="C1648" s="9" t="s">
        <v>5</v>
      </c>
      <c r="D1648" s="10">
        <v>1704.3809999999999</v>
      </c>
      <c r="E1648" s="10">
        <v>1317.4839999999999</v>
      </c>
      <c r="F1648" t="str">
        <f>VLOOKUP(A1648,StoreLookup,2,FALSE)</f>
        <v>Store#1</v>
      </c>
      <c r="G1648">
        <f>INDEX(CalLookUpTable,MATCH($B1648,CalLookUpRow,0),MATCH(G$1,CalLookUpColumn,0))</f>
        <v>2020</v>
      </c>
      <c r="H1648">
        <f>INDEX(CalLookUpTable,MATCH($B1648,CalLookUpRow,0),MATCH(H$1,CalLookUpColumn,0))</f>
        <v>2</v>
      </c>
      <c r="I1648">
        <f>INDEX(CalLookUpTable,MATCH($B1648,CalLookUpRow,0),MATCH(I$1,CalLookUpColumn,0))</f>
        <v>3</v>
      </c>
    </row>
    <row r="1649" spans="1:9" x14ac:dyDescent="0.25">
      <c r="A1649" s="7">
        <v>1</v>
      </c>
      <c r="B1649" s="8">
        <v>43877</v>
      </c>
      <c r="C1649" s="9" t="s">
        <v>3</v>
      </c>
      <c r="D1649" s="10">
        <v>7.2589999999999986</v>
      </c>
      <c r="E1649" s="10">
        <v>0</v>
      </c>
      <c r="F1649" t="str">
        <f>VLOOKUP(A1649,StoreLookup,2,FALSE)</f>
        <v>Store#1</v>
      </c>
      <c r="G1649">
        <f>INDEX(CalLookUpTable,MATCH($B1649,CalLookUpRow,0),MATCH(G$1,CalLookUpColumn,0))</f>
        <v>2020</v>
      </c>
      <c r="H1649">
        <f>INDEX(CalLookUpTable,MATCH($B1649,CalLookUpRow,0),MATCH(H$1,CalLookUpColumn,0))</f>
        <v>2</v>
      </c>
      <c r="I1649">
        <f>INDEX(CalLookUpTable,MATCH($B1649,CalLookUpRow,0),MATCH(I$1,CalLookUpColumn,0))</f>
        <v>3</v>
      </c>
    </row>
    <row r="1650" spans="1:9" x14ac:dyDescent="0.25">
      <c r="A1650" s="7">
        <v>1</v>
      </c>
      <c r="B1650" s="8">
        <v>43878</v>
      </c>
      <c r="C1650" s="9" t="s">
        <v>6</v>
      </c>
      <c r="D1650" s="10">
        <v>870.625</v>
      </c>
      <c r="E1650" s="10">
        <v>806.06399999999996</v>
      </c>
      <c r="F1650" t="str">
        <f>VLOOKUP(A1650,StoreLookup,2,FALSE)</f>
        <v>Store#1</v>
      </c>
      <c r="G1650">
        <f>INDEX(CalLookUpTable,MATCH($B1650,CalLookUpRow,0),MATCH(G$1,CalLookUpColumn,0))</f>
        <v>2020</v>
      </c>
      <c r="H1650">
        <f>INDEX(CalLookUpTable,MATCH($B1650,CalLookUpRow,0),MATCH(H$1,CalLookUpColumn,0))</f>
        <v>2</v>
      </c>
      <c r="I1650">
        <f>INDEX(CalLookUpTable,MATCH($B1650,CalLookUpRow,0),MATCH(I$1,CalLookUpColumn,0))</f>
        <v>4</v>
      </c>
    </row>
    <row r="1651" spans="1:9" x14ac:dyDescent="0.25">
      <c r="A1651" s="7">
        <v>1</v>
      </c>
      <c r="B1651" s="8">
        <v>43878</v>
      </c>
      <c r="C1651" s="9" t="s">
        <v>4</v>
      </c>
      <c r="D1651" s="10">
        <v>4973.0309999999999</v>
      </c>
      <c r="E1651" s="10">
        <v>5271.4059999999999</v>
      </c>
      <c r="F1651" t="str">
        <f>VLOOKUP(A1651,StoreLookup,2,FALSE)</f>
        <v>Store#1</v>
      </c>
      <c r="G1651">
        <f>INDEX(CalLookUpTable,MATCH($B1651,CalLookUpRow,0),MATCH(G$1,CalLookUpColumn,0))</f>
        <v>2020</v>
      </c>
      <c r="H1651">
        <f>INDEX(CalLookUpTable,MATCH($B1651,CalLookUpRow,0),MATCH(H$1,CalLookUpColumn,0))</f>
        <v>2</v>
      </c>
      <c r="I1651">
        <f>INDEX(CalLookUpTable,MATCH($B1651,CalLookUpRow,0),MATCH(I$1,CalLookUpColumn,0))</f>
        <v>4</v>
      </c>
    </row>
    <row r="1652" spans="1:9" x14ac:dyDescent="0.25">
      <c r="A1652" s="7">
        <v>1</v>
      </c>
      <c r="B1652" s="8">
        <v>43878</v>
      </c>
      <c r="C1652" s="9" t="s">
        <v>3</v>
      </c>
      <c r="D1652" s="10">
        <v>1151.3949999999998</v>
      </c>
      <c r="E1652" s="10">
        <v>11.186</v>
      </c>
      <c r="F1652" t="str">
        <f>VLOOKUP(A1652,StoreLookup,2,FALSE)</f>
        <v>Store#1</v>
      </c>
      <c r="G1652">
        <f>INDEX(CalLookUpTable,MATCH($B1652,CalLookUpRow,0),MATCH(G$1,CalLookUpColumn,0))</f>
        <v>2020</v>
      </c>
      <c r="H1652">
        <f>INDEX(CalLookUpTable,MATCH($B1652,CalLookUpRow,0),MATCH(H$1,CalLookUpColumn,0))</f>
        <v>2</v>
      </c>
      <c r="I1652">
        <f>INDEX(CalLookUpTable,MATCH($B1652,CalLookUpRow,0),MATCH(I$1,CalLookUpColumn,0))</f>
        <v>4</v>
      </c>
    </row>
    <row r="1653" spans="1:9" x14ac:dyDescent="0.25">
      <c r="A1653" s="7">
        <v>1</v>
      </c>
      <c r="B1653" s="8">
        <v>43878</v>
      </c>
      <c r="C1653" s="9" t="s">
        <v>5</v>
      </c>
      <c r="D1653" s="10">
        <v>3838.3309999999997</v>
      </c>
      <c r="E1653" s="10">
        <v>3265.7170000000001</v>
      </c>
      <c r="F1653" t="str">
        <f>VLOOKUP(A1653,StoreLookup,2,FALSE)</f>
        <v>Store#1</v>
      </c>
      <c r="G1653">
        <f>INDEX(CalLookUpTable,MATCH($B1653,CalLookUpRow,0),MATCH(G$1,CalLookUpColumn,0))</f>
        <v>2020</v>
      </c>
      <c r="H1653">
        <f>INDEX(CalLookUpTable,MATCH($B1653,CalLookUpRow,0),MATCH(H$1,CalLookUpColumn,0))</f>
        <v>2</v>
      </c>
      <c r="I1653">
        <f>INDEX(CalLookUpTable,MATCH($B1653,CalLookUpRow,0),MATCH(I$1,CalLookUpColumn,0))</f>
        <v>4</v>
      </c>
    </row>
    <row r="1654" spans="1:9" x14ac:dyDescent="0.25">
      <c r="A1654" s="7">
        <v>1</v>
      </c>
      <c r="B1654" s="8">
        <v>43879</v>
      </c>
      <c r="C1654" s="9" t="s">
        <v>3</v>
      </c>
      <c r="D1654" s="10">
        <v>0</v>
      </c>
      <c r="E1654" s="10">
        <v>125.181</v>
      </c>
      <c r="F1654" t="str">
        <f>VLOOKUP(A1654,StoreLookup,2,FALSE)</f>
        <v>Store#1</v>
      </c>
      <c r="G1654">
        <f>INDEX(CalLookUpTable,MATCH($B1654,CalLookUpRow,0),MATCH(G$1,CalLookUpColumn,0))</f>
        <v>2020</v>
      </c>
      <c r="H1654">
        <f>INDEX(CalLookUpTable,MATCH($B1654,CalLookUpRow,0),MATCH(H$1,CalLookUpColumn,0))</f>
        <v>2</v>
      </c>
      <c r="I1654">
        <f>INDEX(CalLookUpTable,MATCH($B1654,CalLookUpRow,0),MATCH(I$1,CalLookUpColumn,0))</f>
        <v>4</v>
      </c>
    </row>
    <row r="1655" spans="1:9" x14ac:dyDescent="0.25">
      <c r="A1655" s="7">
        <v>1</v>
      </c>
      <c r="B1655" s="8">
        <v>43879</v>
      </c>
      <c r="C1655" s="9" t="s">
        <v>6</v>
      </c>
      <c r="D1655" s="10">
        <v>637.34999999999991</v>
      </c>
      <c r="E1655" s="10">
        <v>1005.8089999999999</v>
      </c>
      <c r="F1655" t="str">
        <f>VLOOKUP(A1655,StoreLookup,2,FALSE)</f>
        <v>Store#1</v>
      </c>
      <c r="G1655">
        <f>INDEX(CalLookUpTable,MATCH($B1655,CalLookUpRow,0),MATCH(G$1,CalLookUpColumn,0))</f>
        <v>2020</v>
      </c>
      <c r="H1655">
        <f>INDEX(CalLookUpTable,MATCH($B1655,CalLookUpRow,0),MATCH(H$1,CalLookUpColumn,0))</f>
        <v>2</v>
      </c>
      <c r="I1655">
        <f>INDEX(CalLookUpTable,MATCH($B1655,CalLookUpRow,0),MATCH(I$1,CalLookUpColumn,0))</f>
        <v>4</v>
      </c>
    </row>
    <row r="1656" spans="1:9" x14ac:dyDescent="0.25">
      <c r="A1656" s="7">
        <v>1</v>
      </c>
      <c r="B1656" s="8">
        <v>43879</v>
      </c>
      <c r="C1656" s="9" t="s">
        <v>4</v>
      </c>
      <c r="D1656" s="10">
        <v>3552.2829999999994</v>
      </c>
      <c r="E1656" s="10">
        <v>3366.2929999999997</v>
      </c>
      <c r="F1656" t="str">
        <f>VLOOKUP(A1656,StoreLookup,2,FALSE)</f>
        <v>Store#1</v>
      </c>
      <c r="G1656">
        <f>INDEX(CalLookUpTable,MATCH($B1656,CalLookUpRow,0),MATCH(G$1,CalLookUpColumn,0))</f>
        <v>2020</v>
      </c>
      <c r="H1656">
        <f>INDEX(CalLookUpTable,MATCH($B1656,CalLookUpRow,0),MATCH(H$1,CalLookUpColumn,0))</f>
        <v>2</v>
      </c>
      <c r="I1656">
        <f>INDEX(CalLookUpTable,MATCH($B1656,CalLookUpRow,0),MATCH(I$1,CalLookUpColumn,0))</f>
        <v>4</v>
      </c>
    </row>
    <row r="1657" spans="1:9" x14ac:dyDescent="0.25">
      <c r="A1657" s="7">
        <v>1</v>
      </c>
      <c r="B1657" s="8">
        <v>43879</v>
      </c>
      <c r="C1657" s="9" t="s">
        <v>5</v>
      </c>
      <c r="D1657" s="10">
        <v>2997.848</v>
      </c>
      <c r="E1657" s="10">
        <v>2967.9159999999997</v>
      </c>
      <c r="F1657" t="str">
        <f>VLOOKUP(A1657,StoreLookup,2,FALSE)</f>
        <v>Store#1</v>
      </c>
      <c r="G1657">
        <f>INDEX(CalLookUpTable,MATCH($B1657,CalLookUpRow,0),MATCH(G$1,CalLookUpColumn,0))</f>
        <v>2020</v>
      </c>
      <c r="H1657">
        <f>INDEX(CalLookUpTable,MATCH($B1657,CalLookUpRow,0),MATCH(H$1,CalLookUpColumn,0))</f>
        <v>2</v>
      </c>
      <c r="I1657">
        <f>INDEX(CalLookUpTable,MATCH($B1657,CalLookUpRow,0),MATCH(I$1,CalLookUpColumn,0))</f>
        <v>4</v>
      </c>
    </row>
    <row r="1658" spans="1:9" x14ac:dyDescent="0.25">
      <c r="A1658" s="7">
        <v>1</v>
      </c>
      <c r="B1658" s="8">
        <v>43880</v>
      </c>
      <c r="C1658" s="9" t="s">
        <v>5</v>
      </c>
      <c r="D1658" s="10">
        <v>2791.7820000000002</v>
      </c>
      <c r="E1658" s="10">
        <v>2818.5429999999997</v>
      </c>
      <c r="F1658" t="str">
        <f>VLOOKUP(A1658,StoreLookup,2,FALSE)</f>
        <v>Store#1</v>
      </c>
      <c r="G1658">
        <f>INDEX(CalLookUpTable,MATCH($B1658,CalLookUpRow,0),MATCH(G$1,CalLookUpColumn,0))</f>
        <v>2020</v>
      </c>
      <c r="H1658">
        <f>INDEX(CalLookUpTable,MATCH($B1658,CalLookUpRow,0),MATCH(H$1,CalLookUpColumn,0))</f>
        <v>2</v>
      </c>
      <c r="I1658">
        <f>INDEX(CalLookUpTable,MATCH($B1658,CalLookUpRow,0),MATCH(I$1,CalLookUpColumn,0))</f>
        <v>4</v>
      </c>
    </row>
    <row r="1659" spans="1:9" x14ac:dyDescent="0.25">
      <c r="A1659" s="7">
        <v>1</v>
      </c>
      <c r="B1659" s="8">
        <v>43880</v>
      </c>
      <c r="C1659" s="9" t="s">
        <v>3</v>
      </c>
      <c r="D1659" s="10">
        <v>60.199999999999996</v>
      </c>
      <c r="E1659" s="10">
        <v>0</v>
      </c>
      <c r="F1659" t="str">
        <f>VLOOKUP(A1659,StoreLookup,2,FALSE)</f>
        <v>Store#1</v>
      </c>
      <c r="G1659">
        <f>INDEX(CalLookUpTable,MATCH($B1659,CalLookUpRow,0),MATCH(G$1,CalLookUpColumn,0))</f>
        <v>2020</v>
      </c>
      <c r="H1659">
        <f>INDEX(CalLookUpTable,MATCH($B1659,CalLookUpRow,0),MATCH(H$1,CalLookUpColumn,0))</f>
        <v>2</v>
      </c>
      <c r="I1659">
        <f>INDEX(CalLookUpTable,MATCH($B1659,CalLookUpRow,0),MATCH(I$1,CalLookUpColumn,0))</f>
        <v>4</v>
      </c>
    </row>
    <row r="1660" spans="1:9" x14ac:dyDescent="0.25">
      <c r="A1660" s="7">
        <v>1</v>
      </c>
      <c r="B1660" s="8">
        <v>43880</v>
      </c>
      <c r="C1660" s="9" t="s">
        <v>4</v>
      </c>
      <c r="D1660" s="10">
        <v>3513.2439999999997</v>
      </c>
      <c r="E1660" s="10">
        <v>3887.1279999999997</v>
      </c>
      <c r="F1660" t="str">
        <f>VLOOKUP(A1660,StoreLookup,2,FALSE)</f>
        <v>Store#1</v>
      </c>
      <c r="G1660">
        <f>INDEX(CalLookUpTable,MATCH($B1660,CalLookUpRow,0),MATCH(G$1,CalLookUpColumn,0))</f>
        <v>2020</v>
      </c>
      <c r="H1660">
        <f>INDEX(CalLookUpTable,MATCH($B1660,CalLookUpRow,0),MATCH(H$1,CalLookUpColumn,0))</f>
        <v>2</v>
      </c>
      <c r="I1660">
        <f>INDEX(CalLookUpTable,MATCH($B1660,CalLookUpRow,0),MATCH(I$1,CalLookUpColumn,0))</f>
        <v>4</v>
      </c>
    </row>
    <row r="1661" spans="1:9" x14ac:dyDescent="0.25">
      <c r="A1661" s="7">
        <v>1</v>
      </c>
      <c r="B1661" s="8">
        <v>43880</v>
      </c>
      <c r="C1661" s="9" t="s">
        <v>6</v>
      </c>
      <c r="D1661" s="10">
        <v>1018.3809999999999</v>
      </c>
      <c r="E1661" s="10">
        <v>1114.547</v>
      </c>
      <c r="F1661" t="str">
        <f>VLOOKUP(A1661,StoreLookup,2,FALSE)</f>
        <v>Store#1</v>
      </c>
      <c r="G1661">
        <f>INDEX(CalLookUpTable,MATCH($B1661,CalLookUpRow,0),MATCH(G$1,CalLookUpColumn,0))</f>
        <v>2020</v>
      </c>
      <c r="H1661">
        <f>INDEX(CalLookUpTable,MATCH($B1661,CalLookUpRow,0),MATCH(H$1,CalLookUpColumn,0))</f>
        <v>2</v>
      </c>
      <c r="I1661">
        <f>INDEX(CalLookUpTable,MATCH($B1661,CalLookUpRow,0),MATCH(I$1,CalLookUpColumn,0))</f>
        <v>4</v>
      </c>
    </row>
    <row r="1662" spans="1:9" x14ac:dyDescent="0.25">
      <c r="A1662" s="7">
        <v>1</v>
      </c>
      <c r="B1662" s="8">
        <v>43881</v>
      </c>
      <c r="C1662" s="9" t="s">
        <v>6</v>
      </c>
      <c r="D1662" s="10">
        <v>1257.7809999999999</v>
      </c>
      <c r="E1662" s="10">
        <v>1245.1599999999999</v>
      </c>
      <c r="F1662" t="str">
        <f>VLOOKUP(A1662,StoreLookup,2,FALSE)</f>
        <v>Store#1</v>
      </c>
      <c r="G1662">
        <f>INDEX(CalLookUpTable,MATCH($B1662,CalLookUpRow,0),MATCH(G$1,CalLookUpColumn,0))</f>
        <v>2020</v>
      </c>
      <c r="H1662">
        <f>INDEX(CalLookUpTable,MATCH($B1662,CalLookUpRow,0),MATCH(H$1,CalLookUpColumn,0))</f>
        <v>2</v>
      </c>
      <c r="I1662">
        <f>INDEX(CalLookUpTable,MATCH($B1662,CalLookUpRow,0),MATCH(I$1,CalLookUpColumn,0))</f>
        <v>4</v>
      </c>
    </row>
    <row r="1663" spans="1:9" x14ac:dyDescent="0.25">
      <c r="A1663" s="7">
        <v>1</v>
      </c>
      <c r="B1663" s="8">
        <v>43881</v>
      </c>
      <c r="C1663" s="9" t="s">
        <v>5</v>
      </c>
      <c r="D1663" s="10">
        <v>3828.8109999999992</v>
      </c>
      <c r="E1663" s="10">
        <v>3444.1189999999997</v>
      </c>
      <c r="F1663" t="str">
        <f>VLOOKUP(A1663,StoreLookup,2,FALSE)</f>
        <v>Store#1</v>
      </c>
      <c r="G1663">
        <f>INDEX(CalLookUpTable,MATCH($B1663,CalLookUpRow,0),MATCH(G$1,CalLookUpColumn,0))</f>
        <v>2020</v>
      </c>
      <c r="H1663">
        <f>INDEX(CalLookUpTable,MATCH($B1663,CalLookUpRow,0),MATCH(H$1,CalLookUpColumn,0))</f>
        <v>2</v>
      </c>
      <c r="I1663">
        <f>INDEX(CalLookUpTable,MATCH($B1663,CalLookUpRow,0),MATCH(I$1,CalLookUpColumn,0))</f>
        <v>4</v>
      </c>
    </row>
    <row r="1664" spans="1:9" x14ac:dyDescent="0.25">
      <c r="A1664" s="7">
        <v>1</v>
      </c>
      <c r="B1664" s="8">
        <v>43881</v>
      </c>
      <c r="C1664" s="9" t="s">
        <v>3</v>
      </c>
      <c r="D1664" s="10">
        <v>218.57499999999999</v>
      </c>
      <c r="E1664" s="10">
        <v>289.54799999999994</v>
      </c>
      <c r="F1664" t="str">
        <f>VLOOKUP(A1664,StoreLookup,2,FALSE)</f>
        <v>Store#1</v>
      </c>
      <c r="G1664">
        <f>INDEX(CalLookUpTable,MATCH($B1664,CalLookUpRow,0),MATCH(G$1,CalLookUpColumn,0))</f>
        <v>2020</v>
      </c>
      <c r="H1664">
        <f>INDEX(CalLookUpTable,MATCH($B1664,CalLookUpRow,0),MATCH(H$1,CalLookUpColumn,0))</f>
        <v>2</v>
      </c>
      <c r="I1664">
        <f>INDEX(CalLookUpTable,MATCH($B1664,CalLookUpRow,0),MATCH(I$1,CalLookUpColumn,0))</f>
        <v>4</v>
      </c>
    </row>
    <row r="1665" spans="1:9" x14ac:dyDescent="0.25">
      <c r="A1665" s="7">
        <v>1</v>
      </c>
      <c r="B1665" s="8">
        <v>43881</v>
      </c>
      <c r="C1665" s="9" t="s">
        <v>4</v>
      </c>
      <c r="D1665" s="10">
        <v>4223.0439999999999</v>
      </c>
      <c r="E1665" s="10">
        <v>4281.4589999999998</v>
      </c>
      <c r="F1665" t="str">
        <f>VLOOKUP(A1665,StoreLookup,2,FALSE)</f>
        <v>Store#1</v>
      </c>
      <c r="G1665">
        <f>INDEX(CalLookUpTable,MATCH($B1665,CalLookUpRow,0),MATCH(G$1,CalLookUpColumn,0))</f>
        <v>2020</v>
      </c>
      <c r="H1665">
        <f>INDEX(CalLookUpTable,MATCH($B1665,CalLookUpRow,0),MATCH(H$1,CalLookUpColumn,0))</f>
        <v>2</v>
      </c>
      <c r="I1665">
        <f>INDEX(CalLookUpTable,MATCH($B1665,CalLookUpRow,0),MATCH(I$1,CalLookUpColumn,0))</f>
        <v>4</v>
      </c>
    </row>
    <row r="1666" spans="1:9" x14ac:dyDescent="0.25">
      <c r="A1666" s="7">
        <v>1</v>
      </c>
      <c r="B1666" s="8">
        <v>43882</v>
      </c>
      <c r="C1666" s="9" t="s">
        <v>3</v>
      </c>
      <c r="D1666" s="10">
        <v>323.69400000000002</v>
      </c>
      <c r="E1666" s="10">
        <v>600.45299999999997</v>
      </c>
      <c r="F1666" t="str">
        <f>VLOOKUP(A1666,StoreLookup,2,FALSE)</f>
        <v>Store#1</v>
      </c>
      <c r="G1666">
        <f>INDEX(CalLookUpTable,MATCH($B1666,CalLookUpRow,0),MATCH(G$1,CalLookUpColumn,0))</f>
        <v>2020</v>
      </c>
      <c r="H1666">
        <f>INDEX(CalLookUpTable,MATCH($B1666,CalLookUpRow,0),MATCH(H$1,CalLookUpColumn,0))</f>
        <v>2</v>
      </c>
      <c r="I1666">
        <f>INDEX(CalLookUpTable,MATCH($B1666,CalLookUpRow,0),MATCH(I$1,CalLookUpColumn,0))</f>
        <v>4</v>
      </c>
    </row>
    <row r="1667" spans="1:9" x14ac:dyDescent="0.25">
      <c r="A1667" s="7">
        <v>1</v>
      </c>
      <c r="B1667" s="8">
        <v>43882</v>
      </c>
      <c r="C1667" s="9" t="s">
        <v>4</v>
      </c>
      <c r="D1667" s="10">
        <v>4762.415</v>
      </c>
      <c r="E1667" s="10">
        <v>6077.0709999999999</v>
      </c>
      <c r="F1667" t="str">
        <f>VLOOKUP(A1667,StoreLookup,2,FALSE)</f>
        <v>Store#1</v>
      </c>
      <c r="G1667">
        <f>INDEX(CalLookUpTable,MATCH($B1667,CalLookUpRow,0),MATCH(G$1,CalLookUpColumn,0))</f>
        <v>2020</v>
      </c>
      <c r="H1667">
        <f>INDEX(CalLookUpTable,MATCH($B1667,CalLookUpRow,0),MATCH(H$1,CalLookUpColumn,0))</f>
        <v>2</v>
      </c>
      <c r="I1667">
        <f>INDEX(CalLookUpTable,MATCH($B1667,CalLookUpRow,0),MATCH(I$1,CalLookUpColumn,0))</f>
        <v>4</v>
      </c>
    </row>
    <row r="1668" spans="1:9" x14ac:dyDescent="0.25">
      <c r="A1668" s="7">
        <v>1</v>
      </c>
      <c r="B1668" s="8">
        <v>43882</v>
      </c>
      <c r="C1668" s="9" t="s">
        <v>5</v>
      </c>
      <c r="D1668" s="10">
        <v>3899.4409999999998</v>
      </c>
      <c r="E1668" s="10">
        <v>4109.7769999999991</v>
      </c>
      <c r="F1668" t="str">
        <f>VLOOKUP(A1668,StoreLookup,2,FALSE)</f>
        <v>Store#1</v>
      </c>
      <c r="G1668">
        <f>INDEX(CalLookUpTable,MATCH($B1668,CalLookUpRow,0),MATCH(G$1,CalLookUpColumn,0))</f>
        <v>2020</v>
      </c>
      <c r="H1668">
        <f>INDEX(CalLookUpTable,MATCH($B1668,CalLookUpRow,0),MATCH(H$1,CalLookUpColumn,0))</f>
        <v>2</v>
      </c>
      <c r="I1668">
        <f>INDEX(CalLookUpTable,MATCH($B1668,CalLookUpRow,0),MATCH(I$1,CalLookUpColumn,0))</f>
        <v>4</v>
      </c>
    </row>
    <row r="1669" spans="1:9" x14ac:dyDescent="0.25">
      <c r="A1669" s="7">
        <v>1</v>
      </c>
      <c r="B1669" s="8">
        <v>43882</v>
      </c>
      <c r="C1669" s="9" t="s">
        <v>6</v>
      </c>
      <c r="D1669" s="10">
        <v>1427.8319999999999</v>
      </c>
      <c r="E1669" s="10">
        <v>873.31299999999987</v>
      </c>
      <c r="F1669" t="str">
        <f>VLOOKUP(A1669,StoreLookup,2,FALSE)</f>
        <v>Store#1</v>
      </c>
      <c r="G1669">
        <f>INDEX(CalLookUpTable,MATCH($B1669,CalLookUpRow,0),MATCH(G$1,CalLookUpColumn,0))</f>
        <v>2020</v>
      </c>
      <c r="H1669">
        <f>INDEX(CalLookUpTable,MATCH($B1669,CalLookUpRow,0),MATCH(H$1,CalLookUpColumn,0))</f>
        <v>2</v>
      </c>
      <c r="I1669">
        <f>INDEX(CalLookUpTable,MATCH($B1669,CalLookUpRow,0),MATCH(I$1,CalLookUpColumn,0))</f>
        <v>4</v>
      </c>
    </row>
    <row r="1670" spans="1:9" x14ac:dyDescent="0.25">
      <c r="A1670" s="7">
        <v>1</v>
      </c>
      <c r="B1670" s="8">
        <v>43883</v>
      </c>
      <c r="C1670" s="9" t="s">
        <v>5</v>
      </c>
      <c r="D1670" s="10">
        <v>3610.404</v>
      </c>
      <c r="E1670" s="10">
        <v>3199.623</v>
      </c>
      <c r="F1670" t="str">
        <f>VLOOKUP(A1670,StoreLookup,2,FALSE)</f>
        <v>Store#1</v>
      </c>
      <c r="G1670">
        <f>INDEX(CalLookUpTable,MATCH($B1670,CalLookUpRow,0),MATCH(G$1,CalLookUpColumn,0))</f>
        <v>2020</v>
      </c>
      <c r="H1670">
        <f>INDEX(CalLookUpTable,MATCH($B1670,CalLookUpRow,0),MATCH(H$1,CalLookUpColumn,0))</f>
        <v>2</v>
      </c>
      <c r="I1670">
        <f>INDEX(CalLookUpTable,MATCH($B1670,CalLookUpRow,0),MATCH(I$1,CalLookUpColumn,0))</f>
        <v>4</v>
      </c>
    </row>
    <row r="1671" spans="1:9" x14ac:dyDescent="0.25">
      <c r="A1671" s="7">
        <v>1</v>
      </c>
      <c r="B1671" s="8">
        <v>43883</v>
      </c>
      <c r="C1671" s="9" t="s">
        <v>6</v>
      </c>
      <c r="D1671" s="10">
        <v>1143.2749999999999</v>
      </c>
      <c r="E1671" s="10">
        <v>1057.49</v>
      </c>
      <c r="F1671" t="str">
        <f>VLOOKUP(A1671,StoreLookup,2,FALSE)</f>
        <v>Store#1</v>
      </c>
      <c r="G1671">
        <f>INDEX(CalLookUpTable,MATCH($B1671,CalLookUpRow,0),MATCH(G$1,CalLookUpColumn,0))</f>
        <v>2020</v>
      </c>
      <c r="H1671">
        <f>INDEX(CalLookUpTable,MATCH($B1671,CalLookUpRow,0),MATCH(H$1,CalLookUpColumn,0))</f>
        <v>2</v>
      </c>
      <c r="I1671">
        <f>INDEX(CalLookUpTable,MATCH($B1671,CalLookUpRow,0),MATCH(I$1,CalLookUpColumn,0))</f>
        <v>4</v>
      </c>
    </row>
    <row r="1672" spans="1:9" x14ac:dyDescent="0.25">
      <c r="A1672" s="7">
        <v>1</v>
      </c>
      <c r="B1672" s="8">
        <v>43883</v>
      </c>
      <c r="C1672" s="9" t="s">
        <v>3</v>
      </c>
      <c r="D1672" s="10">
        <v>37.639000000000003</v>
      </c>
      <c r="E1672" s="10">
        <v>65.73</v>
      </c>
      <c r="F1672" t="str">
        <f>VLOOKUP(A1672,StoreLookup,2,FALSE)</f>
        <v>Store#1</v>
      </c>
      <c r="G1672">
        <f>INDEX(CalLookUpTable,MATCH($B1672,CalLookUpRow,0),MATCH(G$1,CalLookUpColumn,0))</f>
        <v>2020</v>
      </c>
      <c r="H1672">
        <f>INDEX(CalLookUpTable,MATCH($B1672,CalLookUpRow,0),MATCH(H$1,CalLookUpColumn,0))</f>
        <v>2</v>
      </c>
      <c r="I1672">
        <f>INDEX(CalLookUpTable,MATCH($B1672,CalLookUpRow,0),MATCH(I$1,CalLookUpColumn,0))</f>
        <v>4</v>
      </c>
    </row>
    <row r="1673" spans="1:9" x14ac:dyDescent="0.25">
      <c r="A1673" s="7">
        <v>1</v>
      </c>
      <c r="B1673" s="8">
        <v>43883</v>
      </c>
      <c r="C1673" s="9" t="s">
        <v>4</v>
      </c>
      <c r="D1673" s="10">
        <v>5240.360999999999</v>
      </c>
      <c r="E1673" s="10">
        <v>5946.4650000000001</v>
      </c>
      <c r="F1673" t="str">
        <f>VLOOKUP(A1673,StoreLookup,2,FALSE)</f>
        <v>Store#1</v>
      </c>
      <c r="G1673">
        <f>INDEX(CalLookUpTable,MATCH($B1673,CalLookUpRow,0),MATCH(G$1,CalLookUpColumn,0))</f>
        <v>2020</v>
      </c>
      <c r="H1673">
        <f>INDEX(CalLookUpTable,MATCH($B1673,CalLookUpRow,0),MATCH(H$1,CalLookUpColumn,0))</f>
        <v>2</v>
      </c>
      <c r="I1673">
        <f>INDEX(CalLookUpTable,MATCH($B1673,CalLookUpRow,0),MATCH(I$1,CalLookUpColumn,0))</f>
        <v>4</v>
      </c>
    </row>
    <row r="1674" spans="1:9" x14ac:dyDescent="0.25">
      <c r="A1674" s="7">
        <v>1</v>
      </c>
      <c r="B1674" s="8">
        <v>43884</v>
      </c>
      <c r="C1674" s="9" t="s">
        <v>6</v>
      </c>
      <c r="D1674" s="10">
        <v>567.27299999999991</v>
      </c>
      <c r="E1674" s="10">
        <v>117.23599999999999</v>
      </c>
      <c r="F1674" t="str">
        <f>VLOOKUP(A1674,StoreLookup,2,FALSE)</f>
        <v>Store#1</v>
      </c>
      <c r="G1674">
        <f>INDEX(CalLookUpTable,MATCH($B1674,CalLookUpRow,0),MATCH(G$1,CalLookUpColumn,0))</f>
        <v>2020</v>
      </c>
      <c r="H1674">
        <f>INDEX(CalLookUpTable,MATCH($B1674,CalLookUpRow,0),MATCH(H$1,CalLookUpColumn,0))</f>
        <v>2</v>
      </c>
      <c r="I1674">
        <f>INDEX(CalLookUpTable,MATCH($B1674,CalLookUpRow,0),MATCH(I$1,CalLookUpColumn,0))</f>
        <v>4</v>
      </c>
    </row>
    <row r="1675" spans="1:9" x14ac:dyDescent="0.25">
      <c r="A1675" s="7">
        <v>1</v>
      </c>
      <c r="B1675" s="8">
        <v>43884</v>
      </c>
      <c r="C1675" s="9" t="s">
        <v>3</v>
      </c>
      <c r="D1675" s="10">
        <v>171.06599999999997</v>
      </c>
      <c r="E1675" s="10">
        <v>22.715</v>
      </c>
      <c r="F1675" t="str">
        <f>VLOOKUP(A1675,StoreLookup,2,FALSE)</f>
        <v>Store#1</v>
      </c>
      <c r="G1675">
        <f>INDEX(CalLookUpTable,MATCH($B1675,CalLookUpRow,0),MATCH(G$1,CalLookUpColumn,0))</f>
        <v>2020</v>
      </c>
      <c r="H1675">
        <f>INDEX(CalLookUpTable,MATCH($B1675,CalLookUpRow,0),MATCH(H$1,CalLookUpColumn,0))</f>
        <v>2</v>
      </c>
      <c r="I1675">
        <f>INDEX(CalLookUpTable,MATCH($B1675,CalLookUpRow,0),MATCH(I$1,CalLookUpColumn,0))</f>
        <v>4</v>
      </c>
    </row>
    <row r="1676" spans="1:9" x14ac:dyDescent="0.25">
      <c r="A1676" s="7">
        <v>1</v>
      </c>
      <c r="B1676" s="8">
        <v>43884</v>
      </c>
      <c r="C1676" s="9" t="s">
        <v>4</v>
      </c>
      <c r="D1676" s="10">
        <v>2052.1479999999997</v>
      </c>
      <c r="E1676" s="10">
        <v>2073.799</v>
      </c>
      <c r="F1676" t="str">
        <f>VLOOKUP(A1676,StoreLookup,2,FALSE)</f>
        <v>Store#1</v>
      </c>
      <c r="G1676">
        <f>INDEX(CalLookUpTable,MATCH($B1676,CalLookUpRow,0),MATCH(G$1,CalLookUpColumn,0))</f>
        <v>2020</v>
      </c>
      <c r="H1676">
        <f>INDEX(CalLookUpTable,MATCH($B1676,CalLookUpRow,0),MATCH(H$1,CalLookUpColumn,0))</f>
        <v>2</v>
      </c>
      <c r="I1676">
        <f>INDEX(CalLookUpTable,MATCH($B1676,CalLookUpRow,0),MATCH(I$1,CalLookUpColumn,0))</f>
        <v>4</v>
      </c>
    </row>
    <row r="1677" spans="1:9" x14ac:dyDescent="0.25">
      <c r="A1677" s="7">
        <v>1</v>
      </c>
      <c r="B1677" s="8">
        <v>43884</v>
      </c>
      <c r="C1677" s="9" t="s">
        <v>5</v>
      </c>
      <c r="D1677" s="10">
        <v>1781.2339999999999</v>
      </c>
      <c r="E1677" s="10">
        <v>1409.9189999999999</v>
      </c>
      <c r="F1677" t="str">
        <f>VLOOKUP(A1677,StoreLookup,2,FALSE)</f>
        <v>Store#1</v>
      </c>
      <c r="G1677">
        <f>INDEX(CalLookUpTable,MATCH($B1677,CalLookUpRow,0),MATCH(G$1,CalLookUpColumn,0))</f>
        <v>2020</v>
      </c>
      <c r="H1677">
        <f>INDEX(CalLookUpTable,MATCH($B1677,CalLookUpRow,0),MATCH(H$1,CalLookUpColumn,0))</f>
        <v>2</v>
      </c>
      <c r="I1677">
        <f>INDEX(CalLookUpTable,MATCH($B1677,CalLookUpRow,0),MATCH(I$1,CalLookUpColumn,0))</f>
        <v>4</v>
      </c>
    </row>
    <row r="1678" spans="1:9" x14ac:dyDescent="0.25">
      <c r="A1678" s="7">
        <v>1</v>
      </c>
      <c r="B1678" s="8">
        <v>43885</v>
      </c>
      <c r="C1678" s="9" t="s">
        <v>4</v>
      </c>
      <c r="D1678" s="10">
        <v>3655.7359999999994</v>
      </c>
      <c r="E1678" s="10">
        <v>3569.8179999999998</v>
      </c>
      <c r="F1678" t="str">
        <f>VLOOKUP(A1678,StoreLookup,2,FALSE)</f>
        <v>Store#1</v>
      </c>
      <c r="G1678">
        <f>INDEX(CalLookUpTable,MATCH($B1678,CalLookUpRow,0),MATCH(G$1,CalLookUpColumn,0))</f>
        <v>2020</v>
      </c>
      <c r="H1678">
        <f>INDEX(CalLookUpTable,MATCH($B1678,CalLookUpRow,0),MATCH(H$1,CalLookUpColumn,0))</f>
        <v>3</v>
      </c>
      <c r="I1678">
        <f>INDEX(CalLookUpTable,MATCH($B1678,CalLookUpRow,0),MATCH(I$1,CalLookUpColumn,0))</f>
        <v>1</v>
      </c>
    </row>
    <row r="1679" spans="1:9" x14ac:dyDescent="0.25">
      <c r="A1679" s="7">
        <v>1</v>
      </c>
      <c r="B1679" s="8">
        <v>43885</v>
      </c>
      <c r="C1679" s="9" t="s">
        <v>6</v>
      </c>
      <c r="D1679" s="10">
        <v>1247.855</v>
      </c>
      <c r="E1679" s="10">
        <v>806.24599999999998</v>
      </c>
      <c r="F1679" t="str">
        <f>VLOOKUP(A1679,StoreLookup,2,FALSE)</f>
        <v>Store#1</v>
      </c>
      <c r="G1679">
        <f>INDEX(CalLookUpTable,MATCH($B1679,CalLookUpRow,0),MATCH(G$1,CalLookUpColumn,0))</f>
        <v>2020</v>
      </c>
      <c r="H1679">
        <f>INDEX(CalLookUpTable,MATCH($B1679,CalLookUpRow,0),MATCH(H$1,CalLookUpColumn,0))</f>
        <v>3</v>
      </c>
      <c r="I1679">
        <f>INDEX(CalLookUpTable,MATCH($B1679,CalLookUpRow,0),MATCH(I$1,CalLookUpColumn,0))</f>
        <v>1</v>
      </c>
    </row>
    <row r="1680" spans="1:9" x14ac:dyDescent="0.25">
      <c r="A1680" s="7">
        <v>1</v>
      </c>
      <c r="B1680" s="8">
        <v>43885</v>
      </c>
      <c r="C1680" s="9" t="s">
        <v>3</v>
      </c>
      <c r="D1680" s="10">
        <v>0</v>
      </c>
      <c r="E1680" s="10">
        <v>164.70299999999997</v>
      </c>
      <c r="F1680" t="str">
        <f>VLOOKUP(A1680,StoreLookup,2,FALSE)</f>
        <v>Store#1</v>
      </c>
      <c r="G1680">
        <f>INDEX(CalLookUpTable,MATCH($B1680,CalLookUpRow,0),MATCH(G$1,CalLookUpColumn,0))</f>
        <v>2020</v>
      </c>
      <c r="H1680">
        <f>INDEX(CalLookUpTable,MATCH($B1680,CalLookUpRow,0),MATCH(H$1,CalLookUpColumn,0))</f>
        <v>3</v>
      </c>
      <c r="I1680">
        <f>INDEX(CalLookUpTable,MATCH($B1680,CalLookUpRow,0),MATCH(I$1,CalLookUpColumn,0))</f>
        <v>1</v>
      </c>
    </row>
    <row r="1681" spans="1:9" x14ac:dyDescent="0.25">
      <c r="A1681" s="7">
        <v>1</v>
      </c>
      <c r="B1681" s="8">
        <v>43885</v>
      </c>
      <c r="C1681" s="9" t="s">
        <v>5</v>
      </c>
      <c r="D1681" s="10">
        <v>3670.6320000000001</v>
      </c>
      <c r="E1681" s="10">
        <v>2728.971</v>
      </c>
      <c r="F1681" t="str">
        <f>VLOOKUP(A1681,StoreLookup,2,FALSE)</f>
        <v>Store#1</v>
      </c>
      <c r="G1681">
        <f>INDEX(CalLookUpTable,MATCH($B1681,CalLookUpRow,0),MATCH(G$1,CalLookUpColumn,0))</f>
        <v>2020</v>
      </c>
      <c r="H1681">
        <f>INDEX(CalLookUpTable,MATCH($B1681,CalLookUpRow,0),MATCH(H$1,CalLookUpColumn,0))</f>
        <v>3</v>
      </c>
      <c r="I1681">
        <f>INDEX(CalLookUpTable,MATCH($B1681,CalLookUpRow,0),MATCH(I$1,CalLookUpColumn,0))</f>
        <v>1</v>
      </c>
    </row>
    <row r="1682" spans="1:9" x14ac:dyDescent="0.25">
      <c r="A1682" s="7">
        <v>1</v>
      </c>
      <c r="B1682" s="8">
        <v>43886</v>
      </c>
      <c r="C1682" s="9" t="s">
        <v>6</v>
      </c>
      <c r="D1682" s="10">
        <v>1031.7439999999999</v>
      </c>
      <c r="E1682" s="10">
        <v>1163.0359999999998</v>
      </c>
      <c r="F1682" t="str">
        <f>VLOOKUP(A1682,StoreLookup,2,FALSE)</f>
        <v>Store#1</v>
      </c>
      <c r="G1682">
        <f>INDEX(CalLookUpTable,MATCH($B1682,CalLookUpRow,0),MATCH(G$1,CalLookUpColumn,0))</f>
        <v>2020</v>
      </c>
      <c r="H1682">
        <f>INDEX(CalLookUpTable,MATCH($B1682,CalLookUpRow,0),MATCH(H$1,CalLookUpColumn,0))</f>
        <v>3</v>
      </c>
      <c r="I1682">
        <f>INDEX(CalLookUpTable,MATCH($B1682,CalLookUpRow,0),MATCH(I$1,CalLookUpColumn,0))</f>
        <v>1</v>
      </c>
    </row>
    <row r="1683" spans="1:9" x14ac:dyDescent="0.25">
      <c r="A1683" s="7">
        <v>1</v>
      </c>
      <c r="B1683" s="8">
        <v>43886</v>
      </c>
      <c r="C1683" s="9" t="s">
        <v>4</v>
      </c>
      <c r="D1683" s="10">
        <v>3133.9559999999997</v>
      </c>
      <c r="E1683" s="10">
        <v>3732.3229999999999</v>
      </c>
      <c r="F1683" t="str">
        <f>VLOOKUP(A1683,StoreLookup,2,FALSE)</f>
        <v>Store#1</v>
      </c>
      <c r="G1683">
        <f>INDEX(CalLookUpTable,MATCH($B1683,CalLookUpRow,0),MATCH(G$1,CalLookUpColumn,0))</f>
        <v>2020</v>
      </c>
      <c r="H1683">
        <f>INDEX(CalLookUpTable,MATCH($B1683,CalLookUpRow,0),MATCH(H$1,CalLookUpColumn,0))</f>
        <v>3</v>
      </c>
      <c r="I1683">
        <f>INDEX(CalLookUpTable,MATCH($B1683,CalLookUpRow,0),MATCH(I$1,CalLookUpColumn,0))</f>
        <v>1</v>
      </c>
    </row>
    <row r="1684" spans="1:9" x14ac:dyDescent="0.25">
      <c r="A1684" s="7">
        <v>1</v>
      </c>
      <c r="B1684" s="8">
        <v>43886</v>
      </c>
      <c r="C1684" s="9" t="s">
        <v>3</v>
      </c>
      <c r="D1684" s="10">
        <v>30.281999999999996</v>
      </c>
      <c r="E1684" s="10">
        <v>0</v>
      </c>
      <c r="F1684" t="str">
        <f>VLOOKUP(A1684,StoreLookup,2,FALSE)</f>
        <v>Store#1</v>
      </c>
      <c r="G1684">
        <f>INDEX(CalLookUpTable,MATCH($B1684,CalLookUpRow,0),MATCH(G$1,CalLookUpColumn,0))</f>
        <v>2020</v>
      </c>
      <c r="H1684">
        <f>INDEX(CalLookUpTable,MATCH($B1684,CalLookUpRow,0),MATCH(H$1,CalLookUpColumn,0))</f>
        <v>3</v>
      </c>
      <c r="I1684">
        <f>INDEX(CalLookUpTable,MATCH($B1684,CalLookUpRow,0),MATCH(I$1,CalLookUpColumn,0))</f>
        <v>1</v>
      </c>
    </row>
    <row r="1685" spans="1:9" x14ac:dyDescent="0.25">
      <c r="A1685" s="7">
        <v>1</v>
      </c>
      <c r="B1685" s="8">
        <v>43886</v>
      </c>
      <c r="C1685" s="9" t="s">
        <v>5</v>
      </c>
      <c r="D1685" s="10">
        <v>2963.8910000000001</v>
      </c>
      <c r="E1685" s="10">
        <v>2873.2269999999994</v>
      </c>
      <c r="F1685" t="str">
        <f>VLOOKUP(A1685,StoreLookup,2,FALSE)</f>
        <v>Store#1</v>
      </c>
      <c r="G1685">
        <f>INDEX(CalLookUpTable,MATCH($B1685,CalLookUpRow,0),MATCH(G$1,CalLookUpColumn,0))</f>
        <v>2020</v>
      </c>
      <c r="H1685">
        <f>INDEX(CalLookUpTable,MATCH($B1685,CalLookUpRow,0),MATCH(H$1,CalLookUpColumn,0))</f>
        <v>3</v>
      </c>
      <c r="I1685">
        <f>INDEX(CalLookUpTable,MATCH($B1685,CalLookUpRow,0),MATCH(I$1,CalLookUpColumn,0))</f>
        <v>1</v>
      </c>
    </row>
    <row r="1686" spans="1:9" x14ac:dyDescent="0.25">
      <c r="A1686" s="7">
        <v>1</v>
      </c>
      <c r="B1686" s="8">
        <v>43887</v>
      </c>
      <c r="C1686" s="9" t="s">
        <v>6</v>
      </c>
      <c r="D1686" s="10">
        <v>466.01799999999997</v>
      </c>
      <c r="E1686" s="10">
        <v>718.44499999999994</v>
      </c>
      <c r="F1686" t="str">
        <f>VLOOKUP(A1686,StoreLookup,2,FALSE)</f>
        <v>Store#1</v>
      </c>
      <c r="G1686">
        <f>INDEX(CalLookUpTable,MATCH($B1686,CalLookUpRow,0),MATCH(G$1,CalLookUpColumn,0))</f>
        <v>2020</v>
      </c>
      <c r="H1686">
        <f>INDEX(CalLookUpTable,MATCH($B1686,CalLookUpRow,0),MATCH(H$1,CalLookUpColumn,0))</f>
        <v>3</v>
      </c>
      <c r="I1686">
        <f>INDEX(CalLookUpTable,MATCH($B1686,CalLookUpRow,0),MATCH(I$1,CalLookUpColumn,0))</f>
        <v>1</v>
      </c>
    </row>
    <row r="1687" spans="1:9" x14ac:dyDescent="0.25">
      <c r="A1687" s="7">
        <v>1</v>
      </c>
      <c r="B1687" s="8">
        <v>43887</v>
      </c>
      <c r="C1687" s="9" t="s">
        <v>4</v>
      </c>
      <c r="D1687" s="10">
        <v>3160.85</v>
      </c>
      <c r="E1687" s="10">
        <v>3937.1709999999994</v>
      </c>
      <c r="F1687" t="str">
        <f>VLOOKUP(A1687,StoreLookup,2,FALSE)</f>
        <v>Store#1</v>
      </c>
      <c r="G1687">
        <f>INDEX(CalLookUpTable,MATCH($B1687,CalLookUpRow,0),MATCH(G$1,CalLookUpColumn,0))</f>
        <v>2020</v>
      </c>
      <c r="H1687">
        <f>INDEX(CalLookUpTable,MATCH($B1687,CalLookUpRow,0),MATCH(H$1,CalLookUpColumn,0))</f>
        <v>3</v>
      </c>
      <c r="I1687">
        <f>INDEX(CalLookUpTable,MATCH($B1687,CalLookUpRow,0),MATCH(I$1,CalLookUpColumn,0))</f>
        <v>1</v>
      </c>
    </row>
    <row r="1688" spans="1:9" x14ac:dyDescent="0.25">
      <c r="A1688" s="7">
        <v>1</v>
      </c>
      <c r="B1688" s="8">
        <v>43887</v>
      </c>
      <c r="C1688" s="9" t="s">
        <v>5</v>
      </c>
      <c r="D1688" s="10">
        <v>3184.951</v>
      </c>
      <c r="E1688" s="10">
        <v>3058.4259999999999</v>
      </c>
      <c r="F1688" t="str">
        <f>VLOOKUP(A1688,StoreLookup,2,FALSE)</f>
        <v>Store#1</v>
      </c>
      <c r="G1688">
        <f>INDEX(CalLookUpTable,MATCH($B1688,CalLookUpRow,0),MATCH(G$1,CalLookUpColumn,0))</f>
        <v>2020</v>
      </c>
      <c r="H1688">
        <f>INDEX(CalLookUpTable,MATCH($B1688,CalLookUpRow,0),MATCH(H$1,CalLookUpColumn,0))</f>
        <v>3</v>
      </c>
      <c r="I1688">
        <f>INDEX(CalLookUpTable,MATCH($B1688,CalLookUpRow,0),MATCH(I$1,CalLookUpColumn,0))</f>
        <v>1</v>
      </c>
    </row>
    <row r="1689" spans="1:9" x14ac:dyDescent="0.25">
      <c r="A1689" s="7">
        <v>1</v>
      </c>
      <c r="B1689" s="8">
        <v>43887</v>
      </c>
      <c r="C1689" s="9" t="s">
        <v>3</v>
      </c>
      <c r="D1689" s="10">
        <v>7.8259999999999996</v>
      </c>
      <c r="E1689" s="10">
        <v>481.46699999999993</v>
      </c>
      <c r="F1689" t="str">
        <f>VLOOKUP(A1689,StoreLookup,2,FALSE)</f>
        <v>Store#1</v>
      </c>
      <c r="G1689">
        <f>INDEX(CalLookUpTable,MATCH($B1689,CalLookUpRow,0),MATCH(G$1,CalLookUpColumn,0))</f>
        <v>2020</v>
      </c>
      <c r="H1689">
        <f>INDEX(CalLookUpTable,MATCH($B1689,CalLookUpRow,0),MATCH(H$1,CalLookUpColumn,0))</f>
        <v>3</v>
      </c>
      <c r="I1689">
        <f>INDEX(CalLookUpTable,MATCH($B1689,CalLookUpRow,0),MATCH(I$1,CalLookUpColumn,0))</f>
        <v>1</v>
      </c>
    </row>
    <row r="1690" spans="1:9" x14ac:dyDescent="0.25">
      <c r="A1690" s="7">
        <v>1</v>
      </c>
      <c r="B1690" s="8">
        <v>43888</v>
      </c>
      <c r="C1690" s="9" t="s">
        <v>5</v>
      </c>
      <c r="D1690" s="10">
        <v>3427.7809999999999</v>
      </c>
      <c r="E1690" s="10">
        <v>3364.62</v>
      </c>
      <c r="F1690" t="str">
        <f>VLOOKUP(A1690,StoreLookup,2,FALSE)</f>
        <v>Store#1</v>
      </c>
      <c r="G1690">
        <f>INDEX(CalLookUpTable,MATCH($B1690,CalLookUpRow,0),MATCH(G$1,CalLookUpColumn,0))</f>
        <v>2020</v>
      </c>
      <c r="H1690">
        <f>INDEX(CalLookUpTable,MATCH($B1690,CalLookUpRow,0),MATCH(H$1,CalLookUpColumn,0))</f>
        <v>3</v>
      </c>
      <c r="I1690">
        <f>INDEX(CalLookUpTable,MATCH($B1690,CalLookUpRow,0),MATCH(I$1,CalLookUpColumn,0))</f>
        <v>1</v>
      </c>
    </row>
    <row r="1691" spans="1:9" x14ac:dyDescent="0.25">
      <c r="A1691" s="7">
        <v>1</v>
      </c>
      <c r="B1691" s="8">
        <v>43888</v>
      </c>
      <c r="C1691" s="9" t="s">
        <v>6</v>
      </c>
      <c r="D1691" s="10">
        <v>1157.8419999999999</v>
      </c>
      <c r="E1691" s="10">
        <v>560.0139999999999</v>
      </c>
      <c r="F1691" t="str">
        <f>VLOOKUP(A1691,StoreLookup,2,FALSE)</f>
        <v>Store#1</v>
      </c>
      <c r="G1691">
        <f>INDEX(CalLookUpTable,MATCH($B1691,CalLookUpRow,0),MATCH(G$1,CalLookUpColumn,0))</f>
        <v>2020</v>
      </c>
      <c r="H1691">
        <f>INDEX(CalLookUpTable,MATCH($B1691,CalLookUpRow,0),MATCH(H$1,CalLookUpColumn,0))</f>
        <v>3</v>
      </c>
      <c r="I1691">
        <f>INDEX(CalLookUpTable,MATCH($B1691,CalLookUpRow,0),MATCH(I$1,CalLookUpColumn,0))</f>
        <v>1</v>
      </c>
    </row>
    <row r="1692" spans="1:9" x14ac:dyDescent="0.25">
      <c r="A1692" s="7">
        <v>1</v>
      </c>
      <c r="B1692" s="8">
        <v>43888</v>
      </c>
      <c r="C1692" s="9" t="s">
        <v>4</v>
      </c>
      <c r="D1692" s="10">
        <v>3509.6179999999995</v>
      </c>
      <c r="E1692" s="10">
        <v>4815.5940000000001</v>
      </c>
      <c r="F1692" t="str">
        <f>VLOOKUP(A1692,StoreLookup,2,FALSE)</f>
        <v>Store#1</v>
      </c>
      <c r="G1692">
        <f>INDEX(CalLookUpTable,MATCH($B1692,CalLookUpRow,0),MATCH(G$1,CalLookUpColumn,0))</f>
        <v>2020</v>
      </c>
      <c r="H1692">
        <f>INDEX(CalLookUpTable,MATCH($B1692,CalLookUpRow,0),MATCH(H$1,CalLookUpColumn,0))</f>
        <v>3</v>
      </c>
      <c r="I1692">
        <f>INDEX(CalLookUpTable,MATCH($B1692,CalLookUpRow,0),MATCH(I$1,CalLookUpColumn,0))</f>
        <v>1</v>
      </c>
    </row>
    <row r="1693" spans="1:9" x14ac:dyDescent="0.25">
      <c r="A1693" s="7">
        <v>1</v>
      </c>
      <c r="B1693" s="8">
        <v>43888</v>
      </c>
      <c r="C1693" s="9" t="s">
        <v>3</v>
      </c>
      <c r="D1693" s="10">
        <v>0</v>
      </c>
      <c r="E1693" s="10">
        <v>351.07799999999997</v>
      </c>
      <c r="F1693" t="str">
        <f>VLOOKUP(A1693,StoreLookup,2,FALSE)</f>
        <v>Store#1</v>
      </c>
      <c r="G1693">
        <f>INDEX(CalLookUpTable,MATCH($B1693,CalLookUpRow,0),MATCH(G$1,CalLookUpColumn,0))</f>
        <v>2020</v>
      </c>
      <c r="H1693">
        <f>INDEX(CalLookUpTable,MATCH($B1693,CalLookUpRow,0),MATCH(H$1,CalLookUpColumn,0))</f>
        <v>3</v>
      </c>
      <c r="I1693">
        <f>INDEX(CalLookUpTable,MATCH($B1693,CalLookUpRow,0),MATCH(I$1,CalLookUpColumn,0))</f>
        <v>1</v>
      </c>
    </row>
    <row r="1694" spans="1:9" x14ac:dyDescent="0.25">
      <c r="A1694" s="7">
        <v>1</v>
      </c>
      <c r="B1694" s="8">
        <v>43889</v>
      </c>
      <c r="C1694" s="9" t="s">
        <v>4</v>
      </c>
      <c r="D1694" s="10">
        <v>4776.9539999999997</v>
      </c>
      <c r="E1694" s="10">
        <v>5385.2959999999994</v>
      </c>
      <c r="F1694" t="str">
        <f>VLOOKUP(A1694,StoreLookup,2,FALSE)</f>
        <v>Store#1</v>
      </c>
      <c r="G1694">
        <f>INDEX(CalLookUpTable,MATCH($B1694,CalLookUpRow,0),MATCH(G$1,CalLookUpColumn,0))</f>
        <v>2020</v>
      </c>
      <c r="H1694">
        <f>INDEX(CalLookUpTable,MATCH($B1694,CalLookUpRow,0),MATCH(H$1,CalLookUpColumn,0))</f>
        <v>3</v>
      </c>
      <c r="I1694">
        <f>INDEX(CalLookUpTable,MATCH($B1694,CalLookUpRow,0),MATCH(I$1,CalLookUpColumn,0))</f>
        <v>1</v>
      </c>
    </row>
    <row r="1695" spans="1:9" x14ac:dyDescent="0.25">
      <c r="A1695" s="7">
        <v>1</v>
      </c>
      <c r="B1695" s="8">
        <v>43889</v>
      </c>
      <c r="C1695" s="9" t="s">
        <v>3</v>
      </c>
      <c r="D1695" s="10">
        <v>731.32499999999993</v>
      </c>
      <c r="E1695" s="10">
        <v>548.21899999999994</v>
      </c>
      <c r="F1695" t="str">
        <f>VLOOKUP(A1695,StoreLookup,2,FALSE)</f>
        <v>Store#1</v>
      </c>
      <c r="G1695">
        <f>INDEX(CalLookUpTable,MATCH($B1695,CalLookUpRow,0),MATCH(G$1,CalLookUpColumn,0))</f>
        <v>2020</v>
      </c>
      <c r="H1695">
        <f>INDEX(CalLookUpTable,MATCH($B1695,CalLookUpRow,0),MATCH(H$1,CalLookUpColumn,0))</f>
        <v>3</v>
      </c>
      <c r="I1695">
        <f>INDEX(CalLookUpTable,MATCH($B1695,CalLookUpRow,0),MATCH(I$1,CalLookUpColumn,0))</f>
        <v>1</v>
      </c>
    </row>
    <row r="1696" spans="1:9" x14ac:dyDescent="0.25">
      <c r="A1696" s="7">
        <v>1</v>
      </c>
      <c r="B1696" s="8">
        <v>43889</v>
      </c>
      <c r="C1696" s="9" t="s">
        <v>6</v>
      </c>
      <c r="D1696" s="10">
        <v>1155.0909999999999</v>
      </c>
      <c r="E1696" s="10">
        <v>1440.607</v>
      </c>
      <c r="F1696" t="str">
        <f>VLOOKUP(A1696,StoreLookup,2,FALSE)</f>
        <v>Store#1</v>
      </c>
      <c r="G1696">
        <f>INDEX(CalLookUpTable,MATCH($B1696,CalLookUpRow,0),MATCH(G$1,CalLookUpColumn,0))</f>
        <v>2020</v>
      </c>
      <c r="H1696">
        <f>INDEX(CalLookUpTable,MATCH($B1696,CalLookUpRow,0),MATCH(H$1,CalLookUpColumn,0))</f>
        <v>3</v>
      </c>
      <c r="I1696">
        <f>INDEX(CalLookUpTable,MATCH($B1696,CalLookUpRow,0),MATCH(I$1,CalLookUpColumn,0))</f>
        <v>1</v>
      </c>
    </row>
    <row r="1697" spans="1:9" x14ac:dyDescent="0.25">
      <c r="A1697" s="7">
        <v>1</v>
      </c>
      <c r="B1697" s="8">
        <v>43889</v>
      </c>
      <c r="C1697" s="9" t="s">
        <v>5</v>
      </c>
      <c r="D1697" s="10">
        <v>3994.8719999999998</v>
      </c>
      <c r="E1697" s="10">
        <v>3494.3649999999998</v>
      </c>
      <c r="F1697" t="str">
        <f>VLOOKUP(A1697,StoreLookup,2,FALSE)</f>
        <v>Store#1</v>
      </c>
      <c r="G1697">
        <f>INDEX(CalLookUpTable,MATCH($B1697,CalLookUpRow,0),MATCH(G$1,CalLookUpColumn,0))</f>
        <v>2020</v>
      </c>
      <c r="H1697">
        <f>INDEX(CalLookUpTable,MATCH($B1697,CalLookUpRow,0),MATCH(H$1,CalLookUpColumn,0))</f>
        <v>3</v>
      </c>
      <c r="I1697">
        <f>INDEX(CalLookUpTable,MATCH($B1697,CalLookUpRow,0),MATCH(I$1,CalLookUpColumn,0))</f>
        <v>1</v>
      </c>
    </row>
    <row r="1698" spans="1:9" x14ac:dyDescent="0.25">
      <c r="A1698" s="7">
        <v>1</v>
      </c>
      <c r="B1698" s="8">
        <v>43890</v>
      </c>
      <c r="C1698" s="9" t="s">
        <v>3</v>
      </c>
      <c r="D1698" s="10">
        <v>202.83899999999997</v>
      </c>
      <c r="E1698" s="10">
        <v>153.85999999999999</v>
      </c>
      <c r="F1698" t="str">
        <f>VLOOKUP(A1698,StoreLookup,2,FALSE)</f>
        <v>Store#1</v>
      </c>
      <c r="G1698">
        <f>INDEX(CalLookUpTable,MATCH($B1698,CalLookUpRow,0),MATCH(G$1,CalLookUpColumn,0))</f>
        <v>2020</v>
      </c>
      <c r="H1698">
        <f>INDEX(CalLookUpTable,MATCH($B1698,CalLookUpRow,0),MATCH(H$1,CalLookUpColumn,0))</f>
        <v>3</v>
      </c>
      <c r="I1698">
        <f>INDEX(CalLookUpTable,MATCH($B1698,CalLookUpRow,0),MATCH(I$1,CalLookUpColumn,0))</f>
        <v>1</v>
      </c>
    </row>
    <row r="1699" spans="1:9" x14ac:dyDescent="0.25">
      <c r="A1699" s="7">
        <v>1</v>
      </c>
      <c r="B1699" s="8">
        <v>43890</v>
      </c>
      <c r="C1699" s="9" t="s">
        <v>6</v>
      </c>
      <c r="D1699" s="10">
        <v>1440.992</v>
      </c>
      <c r="E1699" s="10">
        <v>932.14800000000002</v>
      </c>
      <c r="F1699" t="str">
        <f>VLOOKUP(A1699,StoreLookup,2,FALSE)</f>
        <v>Store#1</v>
      </c>
      <c r="G1699">
        <f>INDEX(CalLookUpTable,MATCH($B1699,CalLookUpRow,0),MATCH(G$1,CalLookUpColumn,0))</f>
        <v>2020</v>
      </c>
      <c r="H1699">
        <f>INDEX(CalLookUpTable,MATCH($B1699,CalLookUpRow,0),MATCH(H$1,CalLookUpColumn,0))</f>
        <v>3</v>
      </c>
      <c r="I1699">
        <f>INDEX(CalLookUpTable,MATCH($B1699,CalLookUpRow,0),MATCH(I$1,CalLookUpColumn,0))</f>
        <v>1</v>
      </c>
    </row>
    <row r="1700" spans="1:9" x14ac:dyDescent="0.25">
      <c r="A1700" s="7">
        <v>1</v>
      </c>
      <c r="B1700" s="8">
        <v>43890</v>
      </c>
      <c r="C1700" s="9" t="s">
        <v>4</v>
      </c>
      <c r="D1700" s="10">
        <v>7122.5</v>
      </c>
      <c r="E1700" s="10">
        <v>5962.9219999999987</v>
      </c>
      <c r="F1700" t="str">
        <f>VLOOKUP(A1700,StoreLookup,2,FALSE)</f>
        <v>Store#1</v>
      </c>
      <c r="G1700">
        <f>INDEX(CalLookUpTable,MATCH($B1700,CalLookUpRow,0),MATCH(G$1,CalLookUpColumn,0))</f>
        <v>2020</v>
      </c>
      <c r="H1700">
        <f>INDEX(CalLookUpTable,MATCH($B1700,CalLookUpRow,0),MATCH(H$1,CalLookUpColumn,0))</f>
        <v>3</v>
      </c>
      <c r="I1700">
        <f>INDEX(CalLookUpTable,MATCH($B1700,CalLookUpRow,0),MATCH(I$1,CalLookUpColumn,0))</f>
        <v>1</v>
      </c>
    </row>
    <row r="1701" spans="1:9" x14ac:dyDescent="0.25">
      <c r="A1701" s="7">
        <v>1</v>
      </c>
      <c r="B1701" s="8">
        <v>43890</v>
      </c>
      <c r="C1701" s="9" t="s">
        <v>5</v>
      </c>
      <c r="D1701" s="10">
        <v>4878.4679999999998</v>
      </c>
      <c r="E1701" s="10">
        <v>3707.9209999999994</v>
      </c>
      <c r="F1701" t="str">
        <f>VLOOKUP(A1701,StoreLookup,2,FALSE)</f>
        <v>Store#1</v>
      </c>
      <c r="G1701">
        <f>INDEX(CalLookUpTable,MATCH($B1701,CalLookUpRow,0),MATCH(G$1,CalLookUpColumn,0))</f>
        <v>2020</v>
      </c>
      <c r="H1701">
        <f>INDEX(CalLookUpTable,MATCH($B1701,CalLookUpRow,0),MATCH(H$1,CalLookUpColumn,0))</f>
        <v>3</v>
      </c>
      <c r="I1701">
        <f>INDEX(CalLookUpTable,MATCH($B1701,CalLookUpRow,0),MATCH(I$1,CalLookUpColumn,0))</f>
        <v>1</v>
      </c>
    </row>
    <row r="1702" spans="1:9" x14ac:dyDescent="0.25">
      <c r="A1702" s="7">
        <v>1</v>
      </c>
      <c r="B1702" s="8">
        <v>43891</v>
      </c>
      <c r="C1702" s="9" t="s">
        <v>3</v>
      </c>
      <c r="D1702" s="10">
        <v>109.92799999999998</v>
      </c>
      <c r="E1702" s="10">
        <v>0</v>
      </c>
      <c r="F1702" t="str">
        <f>VLOOKUP(A1702,StoreLookup,2,FALSE)</f>
        <v>Store#1</v>
      </c>
      <c r="G1702">
        <f>INDEX(CalLookUpTable,MATCH($B1702,CalLookUpRow,0),MATCH(G$1,CalLookUpColumn,0))</f>
        <v>2020</v>
      </c>
      <c r="H1702">
        <f>INDEX(CalLookUpTable,MATCH($B1702,CalLookUpRow,0),MATCH(H$1,CalLookUpColumn,0))</f>
        <v>3</v>
      </c>
      <c r="I1702">
        <f>INDEX(CalLookUpTable,MATCH($B1702,CalLookUpRow,0),MATCH(I$1,CalLookUpColumn,0))</f>
        <v>1</v>
      </c>
    </row>
    <row r="1703" spans="1:9" x14ac:dyDescent="0.25">
      <c r="A1703" s="7">
        <v>1</v>
      </c>
      <c r="B1703" s="8">
        <v>43891</v>
      </c>
      <c r="C1703" s="9" t="s">
        <v>4</v>
      </c>
      <c r="D1703" s="10">
        <v>1760.3809999999999</v>
      </c>
      <c r="E1703" s="10">
        <v>2170.63</v>
      </c>
      <c r="F1703" t="str">
        <f>VLOOKUP(A1703,StoreLookup,2,FALSE)</f>
        <v>Store#1</v>
      </c>
      <c r="G1703">
        <f>INDEX(CalLookUpTable,MATCH($B1703,CalLookUpRow,0),MATCH(G$1,CalLookUpColumn,0))</f>
        <v>2020</v>
      </c>
      <c r="H1703">
        <f>INDEX(CalLookUpTable,MATCH($B1703,CalLookUpRow,0),MATCH(H$1,CalLookUpColumn,0))</f>
        <v>3</v>
      </c>
      <c r="I1703">
        <f>INDEX(CalLookUpTable,MATCH($B1703,CalLookUpRow,0),MATCH(I$1,CalLookUpColumn,0))</f>
        <v>1</v>
      </c>
    </row>
    <row r="1704" spans="1:9" x14ac:dyDescent="0.25">
      <c r="A1704" s="7">
        <v>1</v>
      </c>
      <c r="B1704" s="8">
        <v>43891</v>
      </c>
      <c r="C1704" s="9" t="s">
        <v>5</v>
      </c>
      <c r="D1704" s="10">
        <v>1570.1769999999999</v>
      </c>
      <c r="E1704" s="10">
        <v>1552.8240000000001</v>
      </c>
      <c r="F1704" t="str">
        <f>VLOOKUP(A1704,StoreLookup,2,FALSE)</f>
        <v>Store#1</v>
      </c>
      <c r="G1704">
        <f>INDEX(CalLookUpTable,MATCH($B1704,CalLookUpRow,0),MATCH(G$1,CalLookUpColumn,0))</f>
        <v>2020</v>
      </c>
      <c r="H1704">
        <f>INDEX(CalLookUpTable,MATCH($B1704,CalLookUpRow,0),MATCH(H$1,CalLookUpColumn,0))</f>
        <v>3</v>
      </c>
      <c r="I1704">
        <f>INDEX(CalLookUpTable,MATCH($B1704,CalLookUpRow,0),MATCH(I$1,CalLookUpColumn,0))</f>
        <v>1</v>
      </c>
    </row>
    <row r="1705" spans="1:9" x14ac:dyDescent="0.25">
      <c r="A1705" s="7">
        <v>1</v>
      </c>
      <c r="B1705" s="8">
        <v>43891</v>
      </c>
      <c r="C1705" s="9" t="s">
        <v>6</v>
      </c>
      <c r="D1705" s="10">
        <v>694.24599999999998</v>
      </c>
      <c r="E1705" s="10">
        <v>259.56</v>
      </c>
      <c r="F1705" t="str">
        <f>VLOOKUP(A1705,StoreLookup,2,FALSE)</f>
        <v>Store#1</v>
      </c>
      <c r="G1705">
        <f>INDEX(CalLookUpTable,MATCH($B1705,CalLookUpRow,0),MATCH(G$1,CalLookUpColumn,0))</f>
        <v>2020</v>
      </c>
      <c r="H1705">
        <f>INDEX(CalLookUpTable,MATCH($B1705,CalLookUpRow,0),MATCH(H$1,CalLookUpColumn,0))</f>
        <v>3</v>
      </c>
      <c r="I1705">
        <f>INDEX(CalLookUpTable,MATCH($B1705,CalLookUpRow,0),MATCH(I$1,CalLookUpColumn,0))</f>
        <v>1</v>
      </c>
    </row>
    <row r="1706" spans="1:9" x14ac:dyDescent="0.25">
      <c r="A1706" s="7">
        <v>1</v>
      </c>
      <c r="B1706" s="8">
        <v>43892</v>
      </c>
      <c r="C1706" s="9" t="s">
        <v>5</v>
      </c>
      <c r="D1706" s="10">
        <v>3132.5279999999998</v>
      </c>
      <c r="E1706" s="10">
        <v>2835.5740000000001</v>
      </c>
      <c r="F1706" t="str">
        <f>VLOOKUP(A1706,StoreLookup,2,FALSE)</f>
        <v>Store#1</v>
      </c>
      <c r="G1706">
        <f>INDEX(CalLookUpTable,MATCH($B1706,CalLookUpRow,0),MATCH(G$1,CalLookUpColumn,0))</f>
        <v>2020</v>
      </c>
      <c r="H1706">
        <f>INDEX(CalLookUpTable,MATCH($B1706,CalLookUpRow,0),MATCH(H$1,CalLookUpColumn,0))</f>
        <v>3</v>
      </c>
      <c r="I1706">
        <f>INDEX(CalLookUpTable,MATCH($B1706,CalLookUpRow,0),MATCH(I$1,CalLookUpColumn,0))</f>
        <v>2</v>
      </c>
    </row>
    <row r="1707" spans="1:9" x14ac:dyDescent="0.25">
      <c r="A1707" s="7">
        <v>1</v>
      </c>
      <c r="B1707" s="8">
        <v>43892</v>
      </c>
      <c r="C1707" s="9" t="s">
        <v>3</v>
      </c>
      <c r="D1707" s="10">
        <v>21.951999999999998</v>
      </c>
      <c r="E1707" s="10">
        <v>263.452</v>
      </c>
      <c r="F1707" t="str">
        <f>VLOOKUP(A1707,StoreLookup,2,FALSE)</f>
        <v>Store#1</v>
      </c>
      <c r="G1707">
        <f>INDEX(CalLookUpTable,MATCH($B1707,CalLookUpRow,0),MATCH(G$1,CalLookUpColumn,0))</f>
        <v>2020</v>
      </c>
      <c r="H1707">
        <f>INDEX(CalLookUpTable,MATCH($B1707,CalLookUpRow,0),MATCH(H$1,CalLookUpColumn,0))</f>
        <v>3</v>
      </c>
      <c r="I1707">
        <f>INDEX(CalLookUpTable,MATCH($B1707,CalLookUpRow,0),MATCH(I$1,CalLookUpColumn,0))</f>
        <v>2</v>
      </c>
    </row>
    <row r="1708" spans="1:9" x14ac:dyDescent="0.25">
      <c r="A1708" s="7">
        <v>1</v>
      </c>
      <c r="B1708" s="8">
        <v>43892</v>
      </c>
      <c r="C1708" s="9" t="s">
        <v>4</v>
      </c>
      <c r="D1708" s="10">
        <v>3061.8420000000001</v>
      </c>
      <c r="E1708" s="10">
        <v>3618.9159999999997</v>
      </c>
      <c r="F1708" t="str">
        <f>VLOOKUP(A1708,StoreLookup,2,FALSE)</f>
        <v>Store#1</v>
      </c>
      <c r="G1708">
        <f>INDEX(CalLookUpTable,MATCH($B1708,CalLookUpRow,0),MATCH(G$1,CalLookUpColumn,0))</f>
        <v>2020</v>
      </c>
      <c r="H1708">
        <f>INDEX(CalLookUpTable,MATCH($B1708,CalLookUpRow,0),MATCH(H$1,CalLookUpColumn,0))</f>
        <v>3</v>
      </c>
      <c r="I1708">
        <f>INDEX(CalLookUpTable,MATCH($B1708,CalLookUpRow,0),MATCH(I$1,CalLookUpColumn,0))</f>
        <v>2</v>
      </c>
    </row>
    <row r="1709" spans="1:9" x14ac:dyDescent="0.25">
      <c r="A1709" s="7">
        <v>1</v>
      </c>
      <c r="B1709" s="8">
        <v>43892</v>
      </c>
      <c r="C1709" s="9" t="s">
        <v>6</v>
      </c>
      <c r="D1709" s="10">
        <v>1092.9589999999998</v>
      </c>
      <c r="E1709" s="10">
        <v>643.81799999999998</v>
      </c>
      <c r="F1709" t="str">
        <f>VLOOKUP(A1709,StoreLookup,2,FALSE)</f>
        <v>Store#1</v>
      </c>
      <c r="G1709">
        <f>INDEX(CalLookUpTable,MATCH($B1709,CalLookUpRow,0),MATCH(G$1,CalLookUpColumn,0))</f>
        <v>2020</v>
      </c>
      <c r="H1709">
        <f>INDEX(CalLookUpTable,MATCH($B1709,CalLookUpRow,0),MATCH(H$1,CalLookUpColumn,0))</f>
        <v>3</v>
      </c>
      <c r="I1709">
        <f>INDEX(CalLookUpTable,MATCH($B1709,CalLookUpRow,0),MATCH(I$1,CalLookUpColumn,0))</f>
        <v>2</v>
      </c>
    </row>
    <row r="1710" spans="1:9" x14ac:dyDescent="0.25">
      <c r="A1710" s="7">
        <v>1</v>
      </c>
      <c r="B1710" s="8">
        <v>43893</v>
      </c>
      <c r="C1710" s="9" t="s">
        <v>6</v>
      </c>
      <c r="D1710" s="10">
        <v>869.83399999999983</v>
      </c>
      <c r="E1710" s="10">
        <v>1134.9099999999999</v>
      </c>
      <c r="F1710" t="str">
        <f>VLOOKUP(A1710,StoreLookup,2,FALSE)</f>
        <v>Store#1</v>
      </c>
      <c r="G1710">
        <f>INDEX(CalLookUpTable,MATCH($B1710,CalLookUpRow,0),MATCH(G$1,CalLookUpColumn,0))</f>
        <v>2020</v>
      </c>
      <c r="H1710">
        <f>INDEX(CalLookUpTable,MATCH($B1710,CalLookUpRow,0),MATCH(H$1,CalLookUpColumn,0))</f>
        <v>3</v>
      </c>
      <c r="I1710">
        <f>INDEX(CalLookUpTable,MATCH($B1710,CalLookUpRow,0),MATCH(I$1,CalLookUpColumn,0))</f>
        <v>2</v>
      </c>
    </row>
    <row r="1711" spans="1:9" x14ac:dyDescent="0.25">
      <c r="A1711" s="7">
        <v>1</v>
      </c>
      <c r="B1711" s="8">
        <v>43893</v>
      </c>
      <c r="C1711" s="9" t="s">
        <v>3</v>
      </c>
      <c r="D1711" s="10">
        <v>399.29399999999993</v>
      </c>
      <c r="E1711" s="10">
        <v>168.30799999999999</v>
      </c>
      <c r="F1711" t="str">
        <f>VLOOKUP(A1711,StoreLookup,2,FALSE)</f>
        <v>Store#1</v>
      </c>
      <c r="G1711">
        <f>INDEX(CalLookUpTable,MATCH($B1711,CalLookUpRow,0),MATCH(G$1,CalLookUpColumn,0))</f>
        <v>2020</v>
      </c>
      <c r="H1711">
        <f>INDEX(CalLookUpTable,MATCH($B1711,CalLookUpRow,0),MATCH(H$1,CalLookUpColumn,0))</f>
        <v>3</v>
      </c>
      <c r="I1711">
        <f>INDEX(CalLookUpTable,MATCH($B1711,CalLookUpRow,0),MATCH(I$1,CalLookUpColumn,0))</f>
        <v>2</v>
      </c>
    </row>
    <row r="1712" spans="1:9" x14ac:dyDescent="0.25">
      <c r="A1712" s="7">
        <v>1</v>
      </c>
      <c r="B1712" s="8">
        <v>43893</v>
      </c>
      <c r="C1712" s="9" t="s">
        <v>4</v>
      </c>
      <c r="D1712" s="10">
        <v>3344.404</v>
      </c>
      <c r="E1712" s="10">
        <v>3748.4089999999997</v>
      </c>
      <c r="F1712" t="str">
        <f>VLOOKUP(A1712,StoreLookup,2,FALSE)</f>
        <v>Store#1</v>
      </c>
      <c r="G1712">
        <f>INDEX(CalLookUpTable,MATCH($B1712,CalLookUpRow,0),MATCH(G$1,CalLookUpColumn,0))</f>
        <v>2020</v>
      </c>
      <c r="H1712">
        <f>INDEX(CalLookUpTable,MATCH($B1712,CalLookUpRow,0),MATCH(H$1,CalLookUpColumn,0))</f>
        <v>3</v>
      </c>
      <c r="I1712">
        <f>INDEX(CalLookUpTable,MATCH($B1712,CalLookUpRow,0),MATCH(I$1,CalLookUpColumn,0))</f>
        <v>2</v>
      </c>
    </row>
    <row r="1713" spans="1:9" x14ac:dyDescent="0.25">
      <c r="A1713" s="7">
        <v>1</v>
      </c>
      <c r="B1713" s="8">
        <v>43893</v>
      </c>
      <c r="C1713" s="9" t="s">
        <v>5</v>
      </c>
      <c r="D1713" s="10">
        <v>3435.453</v>
      </c>
      <c r="E1713" s="10">
        <v>2777.4809999999998</v>
      </c>
      <c r="F1713" t="str">
        <f>VLOOKUP(A1713,StoreLookup,2,FALSE)</f>
        <v>Store#1</v>
      </c>
      <c r="G1713">
        <f>INDEX(CalLookUpTable,MATCH($B1713,CalLookUpRow,0),MATCH(G$1,CalLookUpColumn,0))</f>
        <v>2020</v>
      </c>
      <c r="H1713">
        <f>INDEX(CalLookUpTable,MATCH($B1713,CalLookUpRow,0),MATCH(H$1,CalLookUpColumn,0))</f>
        <v>3</v>
      </c>
      <c r="I1713">
        <f>INDEX(CalLookUpTable,MATCH($B1713,CalLookUpRow,0),MATCH(I$1,CalLookUpColumn,0))</f>
        <v>2</v>
      </c>
    </row>
    <row r="1714" spans="1:9" x14ac:dyDescent="0.25">
      <c r="A1714" s="7">
        <v>1</v>
      </c>
      <c r="B1714" s="8">
        <v>43894</v>
      </c>
      <c r="C1714" s="9" t="s">
        <v>5</v>
      </c>
      <c r="D1714" s="10">
        <v>3229.8140000000003</v>
      </c>
      <c r="E1714" s="10">
        <v>3304.7420000000002</v>
      </c>
      <c r="F1714" t="str">
        <f>VLOOKUP(A1714,StoreLookup,2,FALSE)</f>
        <v>Store#1</v>
      </c>
      <c r="G1714">
        <f>INDEX(CalLookUpTable,MATCH($B1714,CalLookUpRow,0),MATCH(G$1,CalLookUpColumn,0))</f>
        <v>2020</v>
      </c>
      <c r="H1714">
        <f>INDEX(CalLookUpTable,MATCH($B1714,CalLookUpRow,0),MATCH(H$1,CalLookUpColumn,0))</f>
        <v>3</v>
      </c>
      <c r="I1714">
        <f>INDEX(CalLookUpTable,MATCH($B1714,CalLookUpRow,0),MATCH(I$1,CalLookUpColumn,0))</f>
        <v>2</v>
      </c>
    </row>
    <row r="1715" spans="1:9" x14ac:dyDescent="0.25">
      <c r="A1715" s="7">
        <v>1</v>
      </c>
      <c r="B1715" s="8">
        <v>43894</v>
      </c>
      <c r="C1715" s="9" t="s">
        <v>6</v>
      </c>
      <c r="D1715" s="10">
        <v>803.74699999999996</v>
      </c>
      <c r="E1715" s="10">
        <v>689.35299999999995</v>
      </c>
      <c r="F1715" t="str">
        <f>VLOOKUP(A1715,StoreLookup,2,FALSE)</f>
        <v>Store#1</v>
      </c>
      <c r="G1715">
        <f>INDEX(CalLookUpTable,MATCH($B1715,CalLookUpRow,0),MATCH(G$1,CalLookUpColumn,0))</f>
        <v>2020</v>
      </c>
      <c r="H1715">
        <f>INDEX(CalLookUpTable,MATCH($B1715,CalLookUpRow,0),MATCH(H$1,CalLookUpColumn,0))</f>
        <v>3</v>
      </c>
      <c r="I1715">
        <f>INDEX(CalLookUpTable,MATCH($B1715,CalLookUpRow,0),MATCH(I$1,CalLookUpColumn,0))</f>
        <v>2</v>
      </c>
    </row>
    <row r="1716" spans="1:9" x14ac:dyDescent="0.25">
      <c r="A1716" s="7">
        <v>1</v>
      </c>
      <c r="B1716" s="8">
        <v>43894</v>
      </c>
      <c r="C1716" s="9" t="s">
        <v>4</v>
      </c>
      <c r="D1716" s="10">
        <v>3322.62</v>
      </c>
      <c r="E1716" s="10">
        <v>4254.1239999999998</v>
      </c>
      <c r="F1716" t="str">
        <f>VLOOKUP(A1716,StoreLookup,2,FALSE)</f>
        <v>Store#1</v>
      </c>
      <c r="G1716">
        <f>INDEX(CalLookUpTable,MATCH($B1716,CalLookUpRow,0),MATCH(G$1,CalLookUpColumn,0))</f>
        <v>2020</v>
      </c>
      <c r="H1716">
        <f>INDEX(CalLookUpTable,MATCH($B1716,CalLookUpRow,0),MATCH(H$1,CalLookUpColumn,0))</f>
        <v>3</v>
      </c>
      <c r="I1716">
        <f>INDEX(CalLookUpTable,MATCH($B1716,CalLookUpRow,0),MATCH(I$1,CalLookUpColumn,0))</f>
        <v>2</v>
      </c>
    </row>
    <row r="1717" spans="1:9" x14ac:dyDescent="0.25">
      <c r="A1717" s="7">
        <v>1</v>
      </c>
      <c r="B1717" s="8">
        <v>43894</v>
      </c>
      <c r="C1717" s="9" t="s">
        <v>3</v>
      </c>
      <c r="D1717" s="10">
        <v>18.304999999999996</v>
      </c>
      <c r="E1717" s="10">
        <v>458.78</v>
      </c>
      <c r="F1717" t="str">
        <f>VLOOKUP(A1717,StoreLookup,2,FALSE)</f>
        <v>Store#1</v>
      </c>
      <c r="G1717">
        <f>INDEX(CalLookUpTable,MATCH($B1717,CalLookUpRow,0),MATCH(G$1,CalLookUpColumn,0))</f>
        <v>2020</v>
      </c>
      <c r="H1717">
        <f>INDEX(CalLookUpTable,MATCH($B1717,CalLookUpRow,0),MATCH(H$1,CalLookUpColumn,0))</f>
        <v>3</v>
      </c>
      <c r="I1717">
        <f>INDEX(CalLookUpTable,MATCH($B1717,CalLookUpRow,0),MATCH(I$1,CalLookUpColumn,0))</f>
        <v>2</v>
      </c>
    </row>
    <row r="1718" spans="1:9" x14ac:dyDescent="0.25">
      <c r="A1718" s="7">
        <v>1</v>
      </c>
      <c r="B1718" s="8">
        <v>43895</v>
      </c>
      <c r="C1718" s="9" t="s">
        <v>6</v>
      </c>
      <c r="D1718" s="10">
        <v>1258.1589999999999</v>
      </c>
      <c r="E1718" s="10">
        <v>1375.9059999999999</v>
      </c>
      <c r="F1718" t="str">
        <f>VLOOKUP(A1718,StoreLookup,2,FALSE)</f>
        <v>Store#1</v>
      </c>
      <c r="G1718">
        <f>INDEX(CalLookUpTable,MATCH($B1718,CalLookUpRow,0),MATCH(G$1,CalLookUpColumn,0))</f>
        <v>2020</v>
      </c>
      <c r="H1718">
        <f>INDEX(CalLookUpTable,MATCH($B1718,CalLookUpRow,0),MATCH(H$1,CalLookUpColumn,0))</f>
        <v>3</v>
      </c>
      <c r="I1718">
        <f>INDEX(CalLookUpTable,MATCH($B1718,CalLookUpRow,0),MATCH(I$1,CalLookUpColumn,0))</f>
        <v>2</v>
      </c>
    </row>
    <row r="1719" spans="1:9" x14ac:dyDescent="0.25">
      <c r="A1719" s="7">
        <v>1</v>
      </c>
      <c r="B1719" s="8">
        <v>43895</v>
      </c>
      <c r="C1719" s="9" t="s">
        <v>4</v>
      </c>
      <c r="D1719" s="10">
        <v>4256.1469999999999</v>
      </c>
      <c r="E1719" s="10">
        <v>5028.6529999999993</v>
      </c>
      <c r="F1719" t="str">
        <f>VLOOKUP(A1719,StoreLookup,2,FALSE)</f>
        <v>Store#1</v>
      </c>
      <c r="G1719">
        <f>INDEX(CalLookUpTable,MATCH($B1719,CalLookUpRow,0),MATCH(G$1,CalLookUpColumn,0))</f>
        <v>2020</v>
      </c>
      <c r="H1719">
        <f>INDEX(CalLookUpTable,MATCH($B1719,CalLookUpRow,0),MATCH(H$1,CalLookUpColumn,0))</f>
        <v>3</v>
      </c>
      <c r="I1719">
        <f>INDEX(CalLookUpTable,MATCH($B1719,CalLookUpRow,0),MATCH(I$1,CalLookUpColumn,0))</f>
        <v>2</v>
      </c>
    </row>
    <row r="1720" spans="1:9" x14ac:dyDescent="0.25">
      <c r="A1720" s="7">
        <v>1</v>
      </c>
      <c r="B1720" s="8">
        <v>43895</v>
      </c>
      <c r="C1720" s="9" t="s">
        <v>3</v>
      </c>
      <c r="D1720" s="10">
        <v>540.29499999999996</v>
      </c>
      <c r="E1720" s="10">
        <v>145.376</v>
      </c>
      <c r="F1720" t="str">
        <f>VLOOKUP(A1720,StoreLookup,2,FALSE)</f>
        <v>Store#1</v>
      </c>
      <c r="G1720">
        <f>INDEX(CalLookUpTable,MATCH($B1720,CalLookUpRow,0),MATCH(G$1,CalLookUpColumn,0))</f>
        <v>2020</v>
      </c>
      <c r="H1720">
        <f>INDEX(CalLookUpTable,MATCH($B1720,CalLookUpRow,0),MATCH(H$1,CalLookUpColumn,0))</f>
        <v>3</v>
      </c>
      <c r="I1720">
        <f>INDEX(CalLookUpTable,MATCH($B1720,CalLookUpRow,0),MATCH(I$1,CalLookUpColumn,0))</f>
        <v>2</v>
      </c>
    </row>
    <row r="1721" spans="1:9" x14ac:dyDescent="0.25">
      <c r="A1721" s="7">
        <v>1</v>
      </c>
      <c r="B1721" s="8">
        <v>43895</v>
      </c>
      <c r="C1721" s="9" t="s">
        <v>5</v>
      </c>
      <c r="D1721" s="10">
        <v>3822.21</v>
      </c>
      <c r="E1721" s="10">
        <v>3795.2809999999995</v>
      </c>
      <c r="F1721" t="str">
        <f>VLOOKUP(A1721,StoreLookup,2,FALSE)</f>
        <v>Store#1</v>
      </c>
      <c r="G1721">
        <f>INDEX(CalLookUpTable,MATCH($B1721,CalLookUpRow,0),MATCH(G$1,CalLookUpColumn,0))</f>
        <v>2020</v>
      </c>
      <c r="H1721">
        <f>INDEX(CalLookUpTable,MATCH($B1721,CalLookUpRow,0),MATCH(H$1,CalLookUpColumn,0))</f>
        <v>3</v>
      </c>
      <c r="I1721">
        <f>INDEX(CalLookUpTable,MATCH($B1721,CalLookUpRow,0),MATCH(I$1,CalLookUpColumn,0))</f>
        <v>2</v>
      </c>
    </row>
    <row r="1722" spans="1:9" x14ac:dyDescent="0.25">
      <c r="A1722" s="7">
        <v>1</v>
      </c>
      <c r="B1722" s="8">
        <v>43896</v>
      </c>
      <c r="C1722" s="9" t="s">
        <v>4</v>
      </c>
      <c r="D1722" s="10">
        <v>4646.32</v>
      </c>
      <c r="E1722" s="10">
        <v>6248.1019999999999</v>
      </c>
      <c r="F1722" t="str">
        <f>VLOOKUP(A1722,StoreLookup,2,FALSE)</f>
        <v>Store#1</v>
      </c>
      <c r="G1722">
        <f>INDEX(CalLookUpTable,MATCH($B1722,CalLookUpRow,0),MATCH(G$1,CalLookUpColumn,0))</f>
        <v>2020</v>
      </c>
      <c r="H1722">
        <f>INDEX(CalLookUpTable,MATCH($B1722,CalLookUpRow,0),MATCH(H$1,CalLookUpColumn,0))</f>
        <v>3</v>
      </c>
      <c r="I1722">
        <f>INDEX(CalLookUpTable,MATCH($B1722,CalLookUpRow,0),MATCH(I$1,CalLookUpColumn,0))</f>
        <v>2</v>
      </c>
    </row>
    <row r="1723" spans="1:9" x14ac:dyDescent="0.25">
      <c r="A1723" s="7">
        <v>1</v>
      </c>
      <c r="B1723" s="8">
        <v>43896</v>
      </c>
      <c r="C1723" s="9" t="s">
        <v>6</v>
      </c>
      <c r="D1723" s="10">
        <v>1078.07</v>
      </c>
      <c r="E1723" s="10">
        <v>1504.3839999999998</v>
      </c>
      <c r="F1723" t="str">
        <f>VLOOKUP(A1723,StoreLookup,2,FALSE)</f>
        <v>Store#1</v>
      </c>
      <c r="G1723">
        <f>INDEX(CalLookUpTable,MATCH($B1723,CalLookUpRow,0),MATCH(G$1,CalLookUpColumn,0))</f>
        <v>2020</v>
      </c>
      <c r="H1723">
        <f>INDEX(CalLookUpTable,MATCH($B1723,CalLookUpRow,0),MATCH(H$1,CalLookUpColumn,0))</f>
        <v>3</v>
      </c>
      <c r="I1723">
        <f>INDEX(CalLookUpTable,MATCH($B1723,CalLookUpRow,0),MATCH(I$1,CalLookUpColumn,0))</f>
        <v>2</v>
      </c>
    </row>
    <row r="1724" spans="1:9" x14ac:dyDescent="0.25">
      <c r="A1724" s="7">
        <v>1</v>
      </c>
      <c r="B1724" s="8">
        <v>43896</v>
      </c>
      <c r="C1724" s="9" t="s">
        <v>3</v>
      </c>
      <c r="D1724" s="10">
        <v>0</v>
      </c>
      <c r="E1724" s="10">
        <v>113.57499999999999</v>
      </c>
      <c r="F1724" t="str">
        <f>VLOOKUP(A1724,StoreLookup,2,FALSE)</f>
        <v>Store#1</v>
      </c>
      <c r="G1724">
        <f>INDEX(CalLookUpTable,MATCH($B1724,CalLookUpRow,0),MATCH(G$1,CalLookUpColumn,0))</f>
        <v>2020</v>
      </c>
      <c r="H1724">
        <f>INDEX(CalLookUpTable,MATCH($B1724,CalLookUpRow,0),MATCH(H$1,CalLookUpColumn,0))</f>
        <v>3</v>
      </c>
      <c r="I1724">
        <f>INDEX(CalLookUpTable,MATCH($B1724,CalLookUpRow,0),MATCH(I$1,CalLookUpColumn,0))</f>
        <v>2</v>
      </c>
    </row>
    <row r="1725" spans="1:9" x14ac:dyDescent="0.25">
      <c r="A1725" s="7">
        <v>1</v>
      </c>
      <c r="B1725" s="8">
        <v>43896</v>
      </c>
      <c r="C1725" s="9" t="s">
        <v>5</v>
      </c>
      <c r="D1725" s="10">
        <v>4042.6399999999994</v>
      </c>
      <c r="E1725" s="10">
        <v>3927.3359999999993</v>
      </c>
      <c r="F1725" t="str">
        <f>VLOOKUP(A1725,StoreLookup,2,FALSE)</f>
        <v>Store#1</v>
      </c>
      <c r="G1725">
        <f>INDEX(CalLookUpTable,MATCH($B1725,CalLookUpRow,0),MATCH(G$1,CalLookUpColumn,0))</f>
        <v>2020</v>
      </c>
      <c r="H1725">
        <f>INDEX(CalLookUpTable,MATCH($B1725,CalLookUpRow,0),MATCH(H$1,CalLookUpColumn,0))</f>
        <v>3</v>
      </c>
      <c r="I1725">
        <f>INDEX(CalLookUpTable,MATCH($B1725,CalLookUpRow,0),MATCH(I$1,CalLookUpColumn,0))</f>
        <v>2</v>
      </c>
    </row>
    <row r="1726" spans="1:9" x14ac:dyDescent="0.25">
      <c r="A1726" s="7">
        <v>1</v>
      </c>
      <c r="B1726" s="8">
        <v>43897</v>
      </c>
      <c r="C1726" s="9" t="s">
        <v>4</v>
      </c>
      <c r="D1726" s="10">
        <v>4999.2109999999993</v>
      </c>
      <c r="E1726" s="10">
        <v>6416.6059999999998</v>
      </c>
      <c r="F1726" t="str">
        <f>VLOOKUP(A1726,StoreLookup,2,FALSE)</f>
        <v>Store#1</v>
      </c>
      <c r="G1726">
        <f>INDEX(CalLookUpTable,MATCH($B1726,CalLookUpRow,0),MATCH(G$1,CalLookUpColumn,0))</f>
        <v>2020</v>
      </c>
      <c r="H1726">
        <f>INDEX(CalLookUpTable,MATCH($B1726,CalLookUpRow,0),MATCH(H$1,CalLookUpColumn,0))</f>
        <v>3</v>
      </c>
      <c r="I1726">
        <f>INDEX(CalLookUpTable,MATCH($B1726,CalLookUpRow,0),MATCH(I$1,CalLookUpColumn,0))</f>
        <v>2</v>
      </c>
    </row>
    <row r="1727" spans="1:9" x14ac:dyDescent="0.25">
      <c r="A1727" s="7">
        <v>1</v>
      </c>
      <c r="B1727" s="8">
        <v>43897</v>
      </c>
      <c r="C1727" s="9" t="s">
        <v>6</v>
      </c>
      <c r="D1727" s="10">
        <v>1159.963</v>
      </c>
      <c r="E1727" s="10">
        <v>1112.79</v>
      </c>
      <c r="F1727" t="str">
        <f>VLOOKUP(A1727,StoreLookup,2,FALSE)</f>
        <v>Store#1</v>
      </c>
      <c r="G1727">
        <f>INDEX(CalLookUpTable,MATCH($B1727,CalLookUpRow,0),MATCH(G$1,CalLookUpColumn,0))</f>
        <v>2020</v>
      </c>
      <c r="H1727">
        <f>INDEX(CalLookUpTable,MATCH($B1727,CalLookUpRow,0),MATCH(H$1,CalLookUpColumn,0))</f>
        <v>3</v>
      </c>
      <c r="I1727">
        <f>INDEX(CalLookUpTable,MATCH($B1727,CalLookUpRow,0),MATCH(I$1,CalLookUpColumn,0))</f>
        <v>2</v>
      </c>
    </row>
    <row r="1728" spans="1:9" x14ac:dyDescent="0.25">
      <c r="A1728" s="7">
        <v>1</v>
      </c>
      <c r="B1728" s="8">
        <v>43897</v>
      </c>
      <c r="C1728" s="9" t="s">
        <v>5</v>
      </c>
      <c r="D1728" s="10">
        <v>3006.3739999999998</v>
      </c>
      <c r="E1728" s="10">
        <v>4151.1679999999997</v>
      </c>
      <c r="F1728" t="str">
        <f>VLOOKUP(A1728,StoreLookup,2,FALSE)</f>
        <v>Store#1</v>
      </c>
      <c r="G1728">
        <f>INDEX(CalLookUpTable,MATCH($B1728,CalLookUpRow,0),MATCH(G$1,CalLookUpColumn,0))</f>
        <v>2020</v>
      </c>
      <c r="H1728">
        <f>INDEX(CalLookUpTable,MATCH($B1728,CalLookUpRow,0),MATCH(H$1,CalLookUpColumn,0))</f>
        <v>3</v>
      </c>
      <c r="I1728">
        <f>INDEX(CalLookUpTable,MATCH($B1728,CalLookUpRow,0),MATCH(I$1,CalLookUpColumn,0))</f>
        <v>2</v>
      </c>
    </row>
    <row r="1729" spans="1:9" x14ac:dyDescent="0.25">
      <c r="A1729" s="7">
        <v>1</v>
      </c>
      <c r="B1729" s="8">
        <v>43897</v>
      </c>
      <c r="C1729" s="9" t="s">
        <v>3</v>
      </c>
      <c r="D1729" s="10">
        <v>120.49099999999999</v>
      </c>
      <c r="E1729" s="10">
        <v>577.04499999999996</v>
      </c>
      <c r="F1729" t="str">
        <f>VLOOKUP(A1729,StoreLookup,2,FALSE)</f>
        <v>Store#1</v>
      </c>
      <c r="G1729">
        <f>INDEX(CalLookUpTable,MATCH($B1729,CalLookUpRow,0),MATCH(G$1,CalLookUpColumn,0))</f>
        <v>2020</v>
      </c>
      <c r="H1729">
        <f>INDEX(CalLookUpTable,MATCH($B1729,CalLookUpRow,0),MATCH(H$1,CalLookUpColumn,0))</f>
        <v>3</v>
      </c>
      <c r="I1729">
        <f>INDEX(CalLookUpTable,MATCH($B1729,CalLookUpRow,0),MATCH(I$1,CalLookUpColumn,0))</f>
        <v>2</v>
      </c>
    </row>
    <row r="1730" spans="1:9" x14ac:dyDescent="0.25">
      <c r="A1730" s="7">
        <v>1</v>
      </c>
      <c r="B1730" s="8">
        <v>43898</v>
      </c>
      <c r="C1730" s="9" t="s">
        <v>6</v>
      </c>
      <c r="D1730" s="10">
        <v>493.96199999999993</v>
      </c>
      <c r="E1730" s="10">
        <v>319.03899999999999</v>
      </c>
      <c r="F1730" t="str">
        <f>VLOOKUP(A1730,StoreLookup,2,FALSE)</f>
        <v>Store#1</v>
      </c>
      <c r="G1730">
        <f>INDEX(CalLookUpTable,MATCH($B1730,CalLookUpRow,0),MATCH(G$1,CalLookUpColumn,0))</f>
        <v>2020</v>
      </c>
      <c r="H1730">
        <f>INDEX(CalLookUpTable,MATCH($B1730,CalLookUpRow,0),MATCH(H$1,CalLookUpColumn,0))</f>
        <v>3</v>
      </c>
      <c r="I1730">
        <f>INDEX(CalLookUpTable,MATCH($B1730,CalLookUpRow,0),MATCH(I$1,CalLookUpColumn,0))</f>
        <v>2</v>
      </c>
    </row>
    <row r="1731" spans="1:9" x14ac:dyDescent="0.25">
      <c r="A1731" s="7">
        <v>1</v>
      </c>
      <c r="B1731" s="8">
        <v>43898</v>
      </c>
      <c r="C1731" s="9" t="s">
        <v>4</v>
      </c>
      <c r="D1731" s="10">
        <v>1994.9859999999999</v>
      </c>
      <c r="E1731" s="10">
        <v>2249.3869999999997</v>
      </c>
      <c r="F1731" t="str">
        <f>VLOOKUP(A1731,StoreLookup,2,FALSE)</f>
        <v>Store#1</v>
      </c>
      <c r="G1731">
        <f>INDEX(CalLookUpTable,MATCH($B1731,CalLookUpRow,0),MATCH(G$1,CalLookUpColumn,0))</f>
        <v>2020</v>
      </c>
      <c r="H1731">
        <f>INDEX(CalLookUpTable,MATCH($B1731,CalLookUpRow,0),MATCH(H$1,CalLookUpColumn,0))</f>
        <v>3</v>
      </c>
      <c r="I1731">
        <f>INDEX(CalLookUpTable,MATCH($B1731,CalLookUpRow,0),MATCH(I$1,CalLookUpColumn,0))</f>
        <v>2</v>
      </c>
    </row>
    <row r="1732" spans="1:9" x14ac:dyDescent="0.25">
      <c r="A1732" s="7">
        <v>1</v>
      </c>
      <c r="B1732" s="8">
        <v>43898</v>
      </c>
      <c r="C1732" s="9" t="s">
        <v>5</v>
      </c>
      <c r="D1732" s="10">
        <v>1661.8210000000001</v>
      </c>
      <c r="E1732" s="10">
        <v>1408.68</v>
      </c>
      <c r="F1732" t="str">
        <f>VLOOKUP(A1732,StoreLookup,2,FALSE)</f>
        <v>Store#1</v>
      </c>
      <c r="G1732">
        <f>INDEX(CalLookUpTable,MATCH($B1732,CalLookUpRow,0),MATCH(G$1,CalLookUpColumn,0))</f>
        <v>2020</v>
      </c>
      <c r="H1732">
        <f>INDEX(CalLookUpTable,MATCH($B1732,CalLookUpRow,0),MATCH(H$1,CalLookUpColumn,0))</f>
        <v>3</v>
      </c>
      <c r="I1732">
        <f>INDEX(CalLookUpTable,MATCH($B1732,CalLookUpRow,0),MATCH(I$1,CalLookUpColumn,0))</f>
        <v>2</v>
      </c>
    </row>
    <row r="1733" spans="1:9" x14ac:dyDescent="0.25">
      <c r="A1733" s="7">
        <v>1</v>
      </c>
      <c r="B1733" s="8">
        <v>43898</v>
      </c>
      <c r="C1733" s="9" t="s">
        <v>3</v>
      </c>
      <c r="D1733" s="10">
        <v>0</v>
      </c>
      <c r="E1733" s="10">
        <v>0</v>
      </c>
      <c r="F1733" t="str">
        <f>VLOOKUP(A1733,StoreLookup,2,FALSE)</f>
        <v>Store#1</v>
      </c>
      <c r="G1733">
        <f>INDEX(CalLookUpTable,MATCH($B1733,CalLookUpRow,0),MATCH(G$1,CalLookUpColumn,0))</f>
        <v>2020</v>
      </c>
      <c r="H1733">
        <f>INDEX(CalLookUpTable,MATCH($B1733,CalLookUpRow,0),MATCH(H$1,CalLookUpColumn,0))</f>
        <v>3</v>
      </c>
      <c r="I1733">
        <f>INDEX(CalLookUpTable,MATCH($B1733,CalLookUpRow,0),MATCH(I$1,CalLookUpColumn,0))</f>
        <v>2</v>
      </c>
    </row>
    <row r="1734" spans="1:9" x14ac:dyDescent="0.25">
      <c r="A1734" s="7">
        <v>1</v>
      </c>
      <c r="B1734" s="8">
        <v>43899</v>
      </c>
      <c r="C1734" s="9" t="s">
        <v>6</v>
      </c>
      <c r="D1734" s="10">
        <v>672.14699999999993</v>
      </c>
      <c r="E1734" s="10">
        <v>719.15199999999993</v>
      </c>
      <c r="F1734" t="str">
        <f>VLOOKUP(A1734,StoreLookup,2,FALSE)</f>
        <v>Store#1</v>
      </c>
      <c r="G1734">
        <f>INDEX(CalLookUpTable,MATCH($B1734,CalLookUpRow,0),MATCH(G$1,CalLookUpColumn,0))</f>
        <v>2020</v>
      </c>
      <c r="H1734">
        <f>INDEX(CalLookUpTable,MATCH($B1734,CalLookUpRow,0),MATCH(H$1,CalLookUpColumn,0))</f>
        <v>3</v>
      </c>
      <c r="I1734">
        <f>INDEX(CalLookUpTable,MATCH($B1734,CalLookUpRow,0),MATCH(I$1,CalLookUpColumn,0))</f>
        <v>3</v>
      </c>
    </row>
    <row r="1735" spans="1:9" x14ac:dyDescent="0.25">
      <c r="A1735" s="7">
        <v>1</v>
      </c>
      <c r="B1735" s="8">
        <v>43899</v>
      </c>
      <c r="C1735" s="9" t="s">
        <v>4</v>
      </c>
      <c r="D1735" s="10">
        <v>3361.89</v>
      </c>
      <c r="E1735" s="10">
        <v>3699.92</v>
      </c>
      <c r="F1735" t="str">
        <f>VLOOKUP(A1735,StoreLookup,2,FALSE)</f>
        <v>Store#1</v>
      </c>
      <c r="G1735">
        <f>INDEX(CalLookUpTable,MATCH($B1735,CalLookUpRow,0),MATCH(G$1,CalLookUpColumn,0))</f>
        <v>2020</v>
      </c>
      <c r="H1735">
        <f>INDEX(CalLookUpTable,MATCH($B1735,CalLookUpRow,0),MATCH(H$1,CalLookUpColumn,0))</f>
        <v>3</v>
      </c>
      <c r="I1735">
        <f>INDEX(CalLookUpTable,MATCH($B1735,CalLookUpRow,0),MATCH(I$1,CalLookUpColumn,0))</f>
        <v>3</v>
      </c>
    </row>
    <row r="1736" spans="1:9" x14ac:dyDescent="0.25">
      <c r="A1736" s="7">
        <v>1</v>
      </c>
      <c r="B1736" s="8">
        <v>43899</v>
      </c>
      <c r="C1736" s="9" t="s">
        <v>3</v>
      </c>
      <c r="D1736" s="10">
        <v>0</v>
      </c>
      <c r="E1736" s="10">
        <v>0</v>
      </c>
      <c r="F1736" t="str">
        <f>VLOOKUP(A1736,StoreLookup,2,FALSE)</f>
        <v>Store#1</v>
      </c>
      <c r="G1736">
        <f>INDEX(CalLookUpTable,MATCH($B1736,CalLookUpRow,0),MATCH(G$1,CalLookUpColumn,0))</f>
        <v>2020</v>
      </c>
      <c r="H1736">
        <f>INDEX(CalLookUpTable,MATCH($B1736,CalLookUpRow,0),MATCH(H$1,CalLookUpColumn,0))</f>
        <v>3</v>
      </c>
      <c r="I1736">
        <f>INDEX(CalLookUpTable,MATCH($B1736,CalLookUpRow,0),MATCH(I$1,CalLookUpColumn,0))</f>
        <v>3</v>
      </c>
    </row>
    <row r="1737" spans="1:9" x14ac:dyDescent="0.25">
      <c r="A1737" s="7">
        <v>1</v>
      </c>
      <c r="B1737" s="8">
        <v>43899</v>
      </c>
      <c r="C1737" s="9" t="s">
        <v>5</v>
      </c>
      <c r="D1737" s="10">
        <v>3295.8309999999997</v>
      </c>
      <c r="E1737" s="10">
        <v>2675.2460000000001</v>
      </c>
      <c r="F1737" t="str">
        <f>VLOOKUP(A1737,StoreLookup,2,FALSE)</f>
        <v>Store#1</v>
      </c>
      <c r="G1737">
        <f>INDEX(CalLookUpTable,MATCH($B1737,CalLookUpRow,0),MATCH(G$1,CalLookUpColumn,0))</f>
        <v>2020</v>
      </c>
      <c r="H1737">
        <f>INDEX(CalLookUpTable,MATCH($B1737,CalLookUpRow,0),MATCH(H$1,CalLookUpColumn,0))</f>
        <v>3</v>
      </c>
      <c r="I1737">
        <f>INDEX(CalLookUpTable,MATCH($B1737,CalLookUpRow,0),MATCH(I$1,CalLookUpColumn,0))</f>
        <v>3</v>
      </c>
    </row>
    <row r="1738" spans="1:9" x14ac:dyDescent="0.25">
      <c r="A1738" s="7">
        <v>1</v>
      </c>
      <c r="B1738" s="8">
        <v>43900</v>
      </c>
      <c r="C1738" s="9" t="s">
        <v>6</v>
      </c>
      <c r="D1738" s="10">
        <v>966.35699999999997</v>
      </c>
      <c r="E1738" s="10">
        <v>811.55199999999991</v>
      </c>
      <c r="F1738" t="str">
        <f>VLOOKUP(A1738,StoreLookup,2,FALSE)</f>
        <v>Store#1</v>
      </c>
      <c r="G1738">
        <f>INDEX(CalLookUpTable,MATCH($B1738,CalLookUpRow,0),MATCH(G$1,CalLookUpColumn,0))</f>
        <v>2020</v>
      </c>
      <c r="H1738">
        <f>INDEX(CalLookUpTable,MATCH($B1738,CalLookUpRow,0),MATCH(H$1,CalLookUpColumn,0))</f>
        <v>3</v>
      </c>
      <c r="I1738">
        <f>INDEX(CalLookUpTable,MATCH($B1738,CalLookUpRow,0),MATCH(I$1,CalLookUpColumn,0))</f>
        <v>3</v>
      </c>
    </row>
    <row r="1739" spans="1:9" x14ac:dyDescent="0.25">
      <c r="A1739" s="7">
        <v>1</v>
      </c>
      <c r="B1739" s="8">
        <v>43900</v>
      </c>
      <c r="C1739" s="9" t="s">
        <v>4</v>
      </c>
      <c r="D1739" s="10">
        <v>3755.9829999999993</v>
      </c>
      <c r="E1739" s="10">
        <v>3968.7339999999995</v>
      </c>
      <c r="F1739" t="str">
        <f>VLOOKUP(A1739,StoreLookup,2,FALSE)</f>
        <v>Store#1</v>
      </c>
      <c r="G1739">
        <f>INDEX(CalLookUpTable,MATCH($B1739,CalLookUpRow,0),MATCH(G$1,CalLookUpColumn,0))</f>
        <v>2020</v>
      </c>
      <c r="H1739">
        <f>INDEX(CalLookUpTable,MATCH($B1739,CalLookUpRow,0),MATCH(H$1,CalLookUpColumn,0))</f>
        <v>3</v>
      </c>
      <c r="I1739">
        <f>INDEX(CalLookUpTable,MATCH($B1739,CalLookUpRow,0),MATCH(I$1,CalLookUpColumn,0))</f>
        <v>3</v>
      </c>
    </row>
    <row r="1740" spans="1:9" x14ac:dyDescent="0.25">
      <c r="A1740" s="7">
        <v>1</v>
      </c>
      <c r="B1740" s="8">
        <v>43900</v>
      </c>
      <c r="C1740" s="9" t="s">
        <v>5</v>
      </c>
      <c r="D1740" s="10">
        <v>3450.4049999999997</v>
      </c>
      <c r="E1740" s="10">
        <v>2542.232</v>
      </c>
      <c r="F1740" t="str">
        <f>VLOOKUP(A1740,StoreLookup,2,FALSE)</f>
        <v>Store#1</v>
      </c>
      <c r="G1740">
        <f>INDEX(CalLookUpTable,MATCH($B1740,CalLookUpRow,0),MATCH(G$1,CalLookUpColumn,0))</f>
        <v>2020</v>
      </c>
      <c r="H1740">
        <f>INDEX(CalLookUpTable,MATCH($B1740,CalLookUpRow,0),MATCH(H$1,CalLookUpColumn,0))</f>
        <v>3</v>
      </c>
      <c r="I1740">
        <f>INDEX(CalLookUpTable,MATCH($B1740,CalLookUpRow,0),MATCH(I$1,CalLookUpColumn,0))</f>
        <v>3</v>
      </c>
    </row>
    <row r="1741" spans="1:9" x14ac:dyDescent="0.25">
      <c r="A1741" s="7">
        <v>1</v>
      </c>
      <c r="B1741" s="8">
        <v>43900</v>
      </c>
      <c r="C1741" s="9" t="s">
        <v>3</v>
      </c>
      <c r="D1741" s="10">
        <v>16.785999999999998</v>
      </c>
      <c r="E1741" s="10">
        <v>184.97499999999999</v>
      </c>
      <c r="F1741" t="str">
        <f>VLOOKUP(A1741,StoreLookup,2,FALSE)</f>
        <v>Store#1</v>
      </c>
      <c r="G1741">
        <f>INDEX(CalLookUpTable,MATCH($B1741,CalLookUpRow,0),MATCH(G$1,CalLookUpColumn,0))</f>
        <v>2020</v>
      </c>
      <c r="H1741">
        <f>INDEX(CalLookUpTable,MATCH($B1741,CalLookUpRow,0),MATCH(H$1,CalLookUpColumn,0))</f>
        <v>3</v>
      </c>
      <c r="I1741">
        <f>INDEX(CalLookUpTable,MATCH($B1741,CalLookUpRow,0),MATCH(I$1,CalLookUpColumn,0))</f>
        <v>3</v>
      </c>
    </row>
    <row r="1742" spans="1:9" x14ac:dyDescent="0.25">
      <c r="A1742" s="7">
        <v>1</v>
      </c>
      <c r="B1742" s="8">
        <v>43901</v>
      </c>
      <c r="C1742" s="9" t="s">
        <v>4</v>
      </c>
      <c r="D1742" s="10">
        <v>3964.7299999999996</v>
      </c>
      <c r="E1742" s="10">
        <v>4207.9659999999994</v>
      </c>
      <c r="F1742" t="str">
        <f>VLOOKUP(A1742,StoreLookup,2,FALSE)</f>
        <v>Store#1</v>
      </c>
      <c r="G1742">
        <f>INDEX(CalLookUpTable,MATCH($B1742,CalLookUpRow,0),MATCH(G$1,CalLookUpColumn,0))</f>
        <v>2020</v>
      </c>
      <c r="H1742">
        <f>INDEX(CalLookUpTable,MATCH($B1742,CalLookUpRow,0),MATCH(H$1,CalLookUpColumn,0))</f>
        <v>3</v>
      </c>
      <c r="I1742">
        <f>INDEX(CalLookUpTable,MATCH($B1742,CalLookUpRow,0),MATCH(I$1,CalLookUpColumn,0))</f>
        <v>3</v>
      </c>
    </row>
    <row r="1743" spans="1:9" x14ac:dyDescent="0.25">
      <c r="A1743" s="7">
        <v>1</v>
      </c>
      <c r="B1743" s="8">
        <v>43901</v>
      </c>
      <c r="C1743" s="9" t="s">
        <v>5</v>
      </c>
      <c r="D1743" s="10">
        <v>3402.7909999999997</v>
      </c>
      <c r="E1743" s="10">
        <v>3401.482</v>
      </c>
      <c r="F1743" t="str">
        <f>VLOOKUP(A1743,StoreLookup,2,FALSE)</f>
        <v>Store#1</v>
      </c>
      <c r="G1743">
        <f>INDEX(CalLookUpTable,MATCH($B1743,CalLookUpRow,0),MATCH(G$1,CalLookUpColumn,0))</f>
        <v>2020</v>
      </c>
      <c r="H1743">
        <f>INDEX(CalLookUpTable,MATCH($B1743,CalLookUpRow,0),MATCH(H$1,CalLookUpColumn,0))</f>
        <v>3</v>
      </c>
      <c r="I1743">
        <f>INDEX(CalLookUpTable,MATCH($B1743,CalLookUpRow,0),MATCH(I$1,CalLookUpColumn,0))</f>
        <v>3</v>
      </c>
    </row>
    <row r="1744" spans="1:9" x14ac:dyDescent="0.25">
      <c r="A1744" s="7">
        <v>1</v>
      </c>
      <c r="B1744" s="8">
        <v>43901</v>
      </c>
      <c r="C1744" s="9" t="s">
        <v>6</v>
      </c>
      <c r="D1744" s="10">
        <v>798.42699999999991</v>
      </c>
      <c r="E1744" s="10">
        <v>589.35799999999995</v>
      </c>
      <c r="F1744" t="str">
        <f>VLOOKUP(A1744,StoreLookup,2,FALSE)</f>
        <v>Store#1</v>
      </c>
      <c r="G1744">
        <f>INDEX(CalLookUpTable,MATCH($B1744,CalLookUpRow,0),MATCH(G$1,CalLookUpColumn,0))</f>
        <v>2020</v>
      </c>
      <c r="H1744">
        <f>INDEX(CalLookUpTable,MATCH($B1744,CalLookUpRow,0),MATCH(H$1,CalLookUpColumn,0))</f>
        <v>3</v>
      </c>
      <c r="I1744">
        <f>INDEX(CalLookUpTable,MATCH($B1744,CalLookUpRow,0),MATCH(I$1,CalLookUpColumn,0))</f>
        <v>3</v>
      </c>
    </row>
    <row r="1745" spans="1:9" x14ac:dyDescent="0.25">
      <c r="A1745" s="7">
        <v>1</v>
      </c>
      <c r="B1745" s="8">
        <v>43901</v>
      </c>
      <c r="C1745" s="9" t="s">
        <v>3</v>
      </c>
      <c r="D1745" s="10">
        <v>339.96899999999999</v>
      </c>
      <c r="E1745" s="10">
        <v>0</v>
      </c>
      <c r="F1745" t="str">
        <f>VLOOKUP(A1745,StoreLookup,2,FALSE)</f>
        <v>Store#1</v>
      </c>
      <c r="G1745">
        <f>INDEX(CalLookUpTable,MATCH($B1745,CalLookUpRow,0),MATCH(G$1,CalLookUpColumn,0))</f>
        <v>2020</v>
      </c>
      <c r="H1745">
        <f>INDEX(CalLookUpTable,MATCH($B1745,CalLookUpRow,0),MATCH(H$1,CalLookUpColumn,0))</f>
        <v>3</v>
      </c>
      <c r="I1745">
        <f>INDEX(CalLookUpTable,MATCH($B1745,CalLookUpRow,0),MATCH(I$1,CalLookUpColumn,0))</f>
        <v>3</v>
      </c>
    </row>
    <row r="1746" spans="1:9" x14ac:dyDescent="0.25">
      <c r="A1746" s="7">
        <v>1</v>
      </c>
      <c r="B1746" s="8">
        <v>43902</v>
      </c>
      <c r="C1746" s="9" t="s">
        <v>4</v>
      </c>
      <c r="D1746" s="10">
        <v>4678.2959999999994</v>
      </c>
      <c r="E1746" s="10">
        <v>5231.0720000000001</v>
      </c>
      <c r="F1746" t="str">
        <f>VLOOKUP(A1746,StoreLookup,2,FALSE)</f>
        <v>Store#1</v>
      </c>
      <c r="G1746">
        <f>INDEX(CalLookUpTable,MATCH($B1746,CalLookUpRow,0),MATCH(G$1,CalLookUpColumn,0))</f>
        <v>2020</v>
      </c>
      <c r="H1746">
        <f>INDEX(CalLookUpTable,MATCH($B1746,CalLookUpRow,0),MATCH(H$1,CalLookUpColumn,0))</f>
        <v>3</v>
      </c>
      <c r="I1746">
        <f>INDEX(CalLookUpTable,MATCH($B1746,CalLookUpRow,0),MATCH(I$1,CalLookUpColumn,0))</f>
        <v>3</v>
      </c>
    </row>
    <row r="1747" spans="1:9" x14ac:dyDescent="0.25">
      <c r="A1747" s="7">
        <v>1</v>
      </c>
      <c r="B1747" s="8">
        <v>43902</v>
      </c>
      <c r="C1747" s="9" t="s">
        <v>6</v>
      </c>
      <c r="D1747" s="10">
        <v>960.33</v>
      </c>
      <c r="E1747" s="10">
        <v>578.31899999999996</v>
      </c>
      <c r="F1747" t="str">
        <f>VLOOKUP(A1747,StoreLookup,2,FALSE)</f>
        <v>Store#1</v>
      </c>
      <c r="G1747">
        <f>INDEX(CalLookUpTable,MATCH($B1747,CalLookUpRow,0),MATCH(G$1,CalLookUpColumn,0))</f>
        <v>2020</v>
      </c>
      <c r="H1747">
        <f>INDEX(CalLookUpTable,MATCH($B1747,CalLookUpRow,0),MATCH(H$1,CalLookUpColumn,0))</f>
        <v>3</v>
      </c>
      <c r="I1747">
        <f>INDEX(CalLookUpTable,MATCH($B1747,CalLookUpRow,0),MATCH(I$1,CalLookUpColumn,0))</f>
        <v>3</v>
      </c>
    </row>
    <row r="1748" spans="1:9" x14ac:dyDescent="0.25">
      <c r="A1748" s="7">
        <v>1</v>
      </c>
      <c r="B1748" s="8">
        <v>43902</v>
      </c>
      <c r="C1748" s="9" t="s">
        <v>3</v>
      </c>
      <c r="D1748" s="10">
        <v>0</v>
      </c>
      <c r="E1748" s="10">
        <v>193.03899999999999</v>
      </c>
      <c r="F1748" t="str">
        <f>VLOOKUP(A1748,StoreLookup,2,FALSE)</f>
        <v>Store#1</v>
      </c>
      <c r="G1748">
        <f>INDEX(CalLookUpTable,MATCH($B1748,CalLookUpRow,0),MATCH(G$1,CalLookUpColumn,0))</f>
        <v>2020</v>
      </c>
      <c r="H1748">
        <f>INDEX(CalLookUpTable,MATCH($B1748,CalLookUpRow,0),MATCH(H$1,CalLookUpColumn,0))</f>
        <v>3</v>
      </c>
      <c r="I1748">
        <f>INDEX(CalLookUpTable,MATCH($B1748,CalLookUpRow,0),MATCH(I$1,CalLookUpColumn,0))</f>
        <v>3</v>
      </c>
    </row>
    <row r="1749" spans="1:9" x14ac:dyDescent="0.25">
      <c r="A1749" s="7">
        <v>1</v>
      </c>
      <c r="B1749" s="8">
        <v>43902</v>
      </c>
      <c r="C1749" s="9" t="s">
        <v>5</v>
      </c>
      <c r="D1749" s="10">
        <v>3895.248</v>
      </c>
      <c r="E1749" s="10">
        <v>3209.8429999999998</v>
      </c>
      <c r="F1749" t="str">
        <f>VLOOKUP(A1749,StoreLookup,2,FALSE)</f>
        <v>Store#1</v>
      </c>
      <c r="G1749">
        <f>INDEX(CalLookUpTable,MATCH($B1749,CalLookUpRow,0),MATCH(G$1,CalLookUpColumn,0))</f>
        <v>2020</v>
      </c>
      <c r="H1749">
        <f>INDEX(CalLookUpTable,MATCH($B1749,CalLookUpRow,0),MATCH(H$1,CalLookUpColumn,0))</f>
        <v>3</v>
      </c>
      <c r="I1749">
        <f>INDEX(CalLookUpTable,MATCH($B1749,CalLookUpRow,0),MATCH(I$1,CalLookUpColumn,0))</f>
        <v>3</v>
      </c>
    </row>
    <row r="1750" spans="1:9" x14ac:dyDescent="0.25">
      <c r="A1750" s="7">
        <v>1</v>
      </c>
      <c r="B1750" s="8">
        <v>43903</v>
      </c>
      <c r="C1750" s="9" t="s">
        <v>6</v>
      </c>
      <c r="D1750" s="10">
        <v>2454.4449999999997</v>
      </c>
      <c r="E1750" s="10">
        <v>1167.7749999999999</v>
      </c>
      <c r="F1750" t="str">
        <f>VLOOKUP(A1750,StoreLookup,2,FALSE)</f>
        <v>Store#1</v>
      </c>
      <c r="G1750">
        <f>INDEX(CalLookUpTable,MATCH($B1750,CalLookUpRow,0),MATCH(G$1,CalLookUpColumn,0))</f>
        <v>2020</v>
      </c>
      <c r="H1750">
        <f>INDEX(CalLookUpTable,MATCH($B1750,CalLookUpRow,0),MATCH(H$1,CalLookUpColumn,0))</f>
        <v>3</v>
      </c>
      <c r="I1750">
        <f>INDEX(CalLookUpTable,MATCH($B1750,CalLookUpRow,0),MATCH(I$1,CalLookUpColumn,0))</f>
        <v>3</v>
      </c>
    </row>
    <row r="1751" spans="1:9" x14ac:dyDescent="0.25">
      <c r="A1751" s="7">
        <v>1</v>
      </c>
      <c r="B1751" s="8">
        <v>43903</v>
      </c>
      <c r="C1751" s="9" t="s">
        <v>4</v>
      </c>
      <c r="D1751" s="10">
        <v>5203.0159999999996</v>
      </c>
      <c r="E1751" s="10">
        <v>6109.0119999999997</v>
      </c>
      <c r="F1751" t="str">
        <f>VLOOKUP(A1751,StoreLookup,2,FALSE)</f>
        <v>Store#1</v>
      </c>
      <c r="G1751">
        <f>INDEX(CalLookUpTable,MATCH($B1751,CalLookUpRow,0),MATCH(G$1,CalLookUpColumn,0))</f>
        <v>2020</v>
      </c>
      <c r="H1751">
        <f>INDEX(CalLookUpTable,MATCH($B1751,CalLookUpRow,0),MATCH(H$1,CalLookUpColumn,0))</f>
        <v>3</v>
      </c>
      <c r="I1751">
        <f>INDEX(CalLookUpTable,MATCH($B1751,CalLookUpRow,0),MATCH(I$1,CalLookUpColumn,0))</f>
        <v>3</v>
      </c>
    </row>
    <row r="1752" spans="1:9" x14ac:dyDescent="0.25">
      <c r="A1752" s="7">
        <v>1</v>
      </c>
      <c r="B1752" s="8">
        <v>43903</v>
      </c>
      <c r="C1752" s="9" t="s">
        <v>3</v>
      </c>
      <c r="D1752" s="10">
        <v>0</v>
      </c>
      <c r="E1752" s="10">
        <v>0</v>
      </c>
      <c r="F1752" t="str">
        <f>VLOOKUP(A1752,StoreLookup,2,FALSE)</f>
        <v>Store#1</v>
      </c>
      <c r="G1752">
        <f>INDEX(CalLookUpTable,MATCH($B1752,CalLookUpRow,0),MATCH(G$1,CalLookUpColumn,0))</f>
        <v>2020</v>
      </c>
      <c r="H1752">
        <f>INDEX(CalLookUpTable,MATCH($B1752,CalLookUpRow,0),MATCH(H$1,CalLookUpColumn,0))</f>
        <v>3</v>
      </c>
      <c r="I1752">
        <f>INDEX(CalLookUpTable,MATCH($B1752,CalLookUpRow,0),MATCH(I$1,CalLookUpColumn,0))</f>
        <v>3</v>
      </c>
    </row>
    <row r="1753" spans="1:9" x14ac:dyDescent="0.25">
      <c r="A1753" s="7">
        <v>1</v>
      </c>
      <c r="B1753" s="8">
        <v>43903</v>
      </c>
      <c r="C1753" s="9" t="s">
        <v>5</v>
      </c>
      <c r="D1753" s="10">
        <v>4530.3649999999998</v>
      </c>
      <c r="E1753" s="10">
        <v>3289.0339999999997</v>
      </c>
      <c r="F1753" t="str">
        <f>VLOOKUP(A1753,StoreLookup,2,FALSE)</f>
        <v>Store#1</v>
      </c>
      <c r="G1753">
        <f>INDEX(CalLookUpTable,MATCH($B1753,CalLookUpRow,0),MATCH(G$1,CalLookUpColumn,0))</f>
        <v>2020</v>
      </c>
      <c r="H1753">
        <f>INDEX(CalLookUpTable,MATCH($B1753,CalLookUpRow,0),MATCH(H$1,CalLookUpColumn,0))</f>
        <v>3</v>
      </c>
      <c r="I1753">
        <f>INDEX(CalLookUpTable,MATCH($B1753,CalLookUpRow,0),MATCH(I$1,CalLookUpColumn,0))</f>
        <v>3</v>
      </c>
    </row>
    <row r="1754" spans="1:9" x14ac:dyDescent="0.25">
      <c r="A1754" s="7">
        <v>1</v>
      </c>
      <c r="B1754" s="8">
        <v>43904</v>
      </c>
      <c r="C1754" s="9" t="s">
        <v>4</v>
      </c>
      <c r="D1754" s="10">
        <v>3876.2709999999997</v>
      </c>
      <c r="E1754" s="10">
        <v>6108.4309999999996</v>
      </c>
      <c r="F1754" t="str">
        <f>VLOOKUP(A1754,StoreLookup,2,FALSE)</f>
        <v>Store#1</v>
      </c>
      <c r="G1754">
        <f>INDEX(CalLookUpTable,MATCH($B1754,CalLookUpRow,0),MATCH(G$1,CalLookUpColumn,0))</f>
        <v>2020</v>
      </c>
      <c r="H1754">
        <f>INDEX(CalLookUpTable,MATCH($B1754,CalLookUpRow,0),MATCH(H$1,CalLookUpColumn,0))</f>
        <v>3</v>
      </c>
      <c r="I1754">
        <f>INDEX(CalLookUpTable,MATCH($B1754,CalLookUpRow,0),MATCH(I$1,CalLookUpColumn,0))</f>
        <v>3</v>
      </c>
    </row>
    <row r="1755" spans="1:9" x14ac:dyDescent="0.25">
      <c r="A1755" s="7">
        <v>1</v>
      </c>
      <c r="B1755" s="8">
        <v>43904</v>
      </c>
      <c r="C1755" s="9" t="s">
        <v>6</v>
      </c>
      <c r="D1755" s="10">
        <v>1260.9449999999999</v>
      </c>
      <c r="E1755" s="10">
        <v>1069.9849999999999</v>
      </c>
      <c r="F1755" t="str">
        <f>VLOOKUP(A1755,StoreLookup,2,FALSE)</f>
        <v>Store#1</v>
      </c>
      <c r="G1755">
        <f>INDEX(CalLookUpTable,MATCH($B1755,CalLookUpRow,0),MATCH(G$1,CalLookUpColumn,0))</f>
        <v>2020</v>
      </c>
      <c r="H1755">
        <f>INDEX(CalLookUpTable,MATCH($B1755,CalLookUpRow,0),MATCH(H$1,CalLookUpColumn,0))</f>
        <v>3</v>
      </c>
      <c r="I1755">
        <f>INDEX(CalLookUpTable,MATCH($B1755,CalLookUpRow,0),MATCH(I$1,CalLookUpColumn,0))</f>
        <v>3</v>
      </c>
    </row>
    <row r="1756" spans="1:9" x14ac:dyDescent="0.25">
      <c r="A1756" s="7">
        <v>1</v>
      </c>
      <c r="B1756" s="8">
        <v>43904</v>
      </c>
      <c r="C1756" s="9" t="s">
        <v>3</v>
      </c>
      <c r="D1756" s="10">
        <v>0</v>
      </c>
      <c r="E1756" s="10">
        <v>861.61599999999999</v>
      </c>
      <c r="F1756" t="str">
        <f>VLOOKUP(A1756,StoreLookup,2,FALSE)</f>
        <v>Store#1</v>
      </c>
      <c r="G1756">
        <f>INDEX(CalLookUpTable,MATCH($B1756,CalLookUpRow,0),MATCH(G$1,CalLookUpColumn,0))</f>
        <v>2020</v>
      </c>
      <c r="H1756">
        <f>INDEX(CalLookUpTable,MATCH($B1756,CalLookUpRow,0),MATCH(H$1,CalLookUpColumn,0))</f>
        <v>3</v>
      </c>
      <c r="I1756">
        <f>INDEX(CalLookUpTable,MATCH($B1756,CalLookUpRow,0),MATCH(I$1,CalLookUpColumn,0))</f>
        <v>3</v>
      </c>
    </row>
    <row r="1757" spans="1:9" x14ac:dyDescent="0.25">
      <c r="A1757" s="7">
        <v>1</v>
      </c>
      <c r="B1757" s="8">
        <v>43904</v>
      </c>
      <c r="C1757" s="9" t="s">
        <v>5</v>
      </c>
      <c r="D1757" s="10">
        <v>3712.7999999999997</v>
      </c>
      <c r="E1757" s="10">
        <v>3388.7279999999996</v>
      </c>
      <c r="F1757" t="str">
        <f>VLOOKUP(A1757,StoreLookup,2,FALSE)</f>
        <v>Store#1</v>
      </c>
      <c r="G1757">
        <f>INDEX(CalLookUpTable,MATCH($B1757,CalLookUpRow,0),MATCH(G$1,CalLookUpColumn,0))</f>
        <v>2020</v>
      </c>
      <c r="H1757">
        <f>INDEX(CalLookUpTable,MATCH($B1757,CalLookUpRow,0),MATCH(H$1,CalLookUpColumn,0))</f>
        <v>3</v>
      </c>
      <c r="I1757">
        <f>INDEX(CalLookUpTable,MATCH($B1757,CalLookUpRow,0),MATCH(I$1,CalLookUpColumn,0))</f>
        <v>3</v>
      </c>
    </row>
    <row r="1758" spans="1:9" x14ac:dyDescent="0.25">
      <c r="A1758" s="7">
        <v>1</v>
      </c>
      <c r="B1758" s="8">
        <v>43905</v>
      </c>
      <c r="C1758" s="9" t="s">
        <v>6</v>
      </c>
      <c r="D1758" s="10">
        <v>794.7589999999999</v>
      </c>
      <c r="E1758" s="10">
        <v>286.03399999999999</v>
      </c>
      <c r="F1758" t="str">
        <f>VLOOKUP(A1758,StoreLookup,2,FALSE)</f>
        <v>Store#1</v>
      </c>
      <c r="G1758">
        <f>INDEX(CalLookUpTable,MATCH($B1758,CalLookUpRow,0),MATCH(G$1,CalLookUpColumn,0))</f>
        <v>2020</v>
      </c>
      <c r="H1758">
        <f>INDEX(CalLookUpTable,MATCH($B1758,CalLookUpRow,0),MATCH(H$1,CalLookUpColumn,0))</f>
        <v>3</v>
      </c>
      <c r="I1758">
        <f>INDEX(CalLookUpTable,MATCH($B1758,CalLookUpRow,0),MATCH(I$1,CalLookUpColumn,0))</f>
        <v>3</v>
      </c>
    </row>
    <row r="1759" spans="1:9" x14ac:dyDescent="0.25">
      <c r="A1759" s="7">
        <v>1</v>
      </c>
      <c r="B1759" s="8">
        <v>43905</v>
      </c>
      <c r="C1759" s="9" t="s">
        <v>4</v>
      </c>
      <c r="D1759" s="10">
        <v>1683.941</v>
      </c>
      <c r="E1759" s="10">
        <v>2512.37</v>
      </c>
      <c r="F1759" t="str">
        <f>VLOOKUP(A1759,StoreLookup,2,FALSE)</f>
        <v>Store#1</v>
      </c>
      <c r="G1759">
        <f>INDEX(CalLookUpTable,MATCH($B1759,CalLookUpRow,0),MATCH(G$1,CalLookUpColumn,0))</f>
        <v>2020</v>
      </c>
      <c r="H1759">
        <f>INDEX(CalLookUpTable,MATCH($B1759,CalLookUpRow,0),MATCH(H$1,CalLookUpColumn,0))</f>
        <v>3</v>
      </c>
      <c r="I1759">
        <f>INDEX(CalLookUpTable,MATCH($B1759,CalLookUpRow,0),MATCH(I$1,CalLookUpColumn,0))</f>
        <v>3</v>
      </c>
    </row>
    <row r="1760" spans="1:9" x14ac:dyDescent="0.25">
      <c r="A1760" s="7">
        <v>1</v>
      </c>
      <c r="B1760" s="8">
        <v>43905</v>
      </c>
      <c r="C1760" s="9" t="s">
        <v>5</v>
      </c>
      <c r="D1760" s="10">
        <v>2007.1379999999999</v>
      </c>
      <c r="E1760" s="10">
        <v>1587.6139999999998</v>
      </c>
      <c r="F1760" t="str">
        <f>VLOOKUP(A1760,StoreLookup,2,FALSE)</f>
        <v>Store#1</v>
      </c>
      <c r="G1760">
        <f>INDEX(CalLookUpTable,MATCH($B1760,CalLookUpRow,0),MATCH(G$1,CalLookUpColumn,0))</f>
        <v>2020</v>
      </c>
      <c r="H1760">
        <f>INDEX(CalLookUpTable,MATCH($B1760,CalLookUpRow,0),MATCH(H$1,CalLookUpColumn,0))</f>
        <v>3</v>
      </c>
      <c r="I1760">
        <f>INDEX(CalLookUpTable,MATCH($B1760,CalLookUpRow,0),MATCH(I$1,CalLookUpColumn,0))</f>
        <v>3</v>
      </c>
    </row>
    <row r="1761" spans="1:9" x14ac:dyDescent="0.25">
      <c r="A1761" s="7">
        <v>1</v>
      </c>
      <c r="B1761" s="8">
        <v>43905</v>
      </c>
      <c r="C1761" s="9" t="s">
        <v>3</v>
      </c>
      <c r="D1761" s="10">
        <v>0</v>
      </c>
      <c r="E1761" s="10">
        <v>192.32499999999999</v>
      </c>
      <c r="F1761" t="str">
        <f>VLOOKUP(A1761,StoreLookup,2,FALSE)</f>
        <v>Store#1</v>
      </c>
      <c r="G1761">
        <f>INDEX(CalLookUpTable,MATCH($B1761,CalLookUpRow,0),MATCH(G$1,CalLookUpColumn,0))</f>
        <v>2020</v>
      </c>
      <c r="H1761">
        <f>INDEX(CalLookUpTable,MATCH($B1761,CalLookUpRow,0),MATCH(H$1,CalLookUpColumn,0))</f>
        <v>3</v>
      </c>
      <c r="I1761">
        <f>INDEX(CalLookUpTable,MATCH($B1761,CalLookUpRow,0),MATCH(I$1,CalLookUpColumn,0))</f>
        <v>3</v>
      </c>
    </row>
    <row r="1762" spans="1:9" x14ac:dyDescent="0.25">
      <c r="A1762" s="7">
        <v>1</v>
      </c>
      <c r="B1762" s="8">
        <v>43906</v>
      </c>
      <c r="C1762" s="9" t="s">
        <v>4</v>
      </c>
      <c r="D1762" s="10">
        <v>3436.7619999999997</v>
      </c>
      <c r="E1762" s="10">
        <v>3908.7999999999997</v>
      </c>
      <c r="F1762" t="str">
        <f>VLOOKUP(A1762,StoreLookup,2,FALSE)</f>
        <v>Store#1</v>
      </c>
      <c r="G1762">
        <f>INDEX(CalLookUpTable,MATCH($B1762,CalLookUpRow,0),MATCH(G$1,CalLookUpColumn,0))</f>
        <v>2020</v>
      </c>
      <c r="H1762">
        <f>INDEX(CalLookUpTable,MATCH($B1762,CalLookUpRow,0),MATCH(H$1,CalLookUpColumn,0))</f>
        <v>3</v>
      </c>
      <c r="I1762">
        <f>INDEX(CalLookUpTable,MATCH($B1762,CalLookUpRow,0),MATCH(I$1,CalLookUpColumn,0))</f>
        <v>4</v>
      </c>
    </row>
    <row r="1763" spans="1:9" x14ac:dyDescent="0.25">
      <c r="A1763" s="7">
        <v>1</v>
      </c>
      <c r="B1763" s="8">
        <v>43906</v>
      </c>
      <c r="C1763" s="9" t="s">
        <v>3</v>
      </c>
      <c r="D1763" s="10">
        <v>0</v>
      </c>
      <c r="E1763" s="10">
        <v>0</v>
      </c>
      <c r="F1763" t="str">
        <f>VLOOKUP(A1763,StoreLookup,2,FALSE)</f>
        <v>Store#1</v>
      </c>
      <c r="G1763">
        <f>INDEX(CalLookUpTable,MATCH($B1763,CalLookUpRow,0),MATCH(G$1,CalLookUpColumn,0))</f>
        <v>2020</v>
      </c>
      <c r="H1763">
        <f>INDEX(CalLookUpTable,MATCH($B1763,CalLookUpRow,0),MATCH(H$1,CalLookUpColumn,0))</f>
        <v>3</v>
      </c>
      <c r="I1763">
        <f>INDEX(CalLookUpTable,MATCH($B1763,CalLookUpRow,0),MATCH(I$1,CalLookUpColumn,0))</f>
        <v>4</v>
      </c>
    </row>
    <row r="1764" spans="1:9" x14ac:dyDescent="0.25">
      <c r="A1764" s="7">
        <v>1</v>
      </c>
      <c r="B1764" s="8">
        <v>43906</v>
      </c>
      <c r="C1764" s="9" t="s">
        <v>6</v>
      </c>
      <c r="D1764" s="10">
        <v>996.12099999999987</v>
      </c>
      <c r="E1764" s="10">
        <v>788.81600000000003</v>
      </c>
      <c r="F1764" t="str">
        <f>VLOOKUP(A1764,StoreLookup,2,FALSE)</f>
        <v>Store#1</v>
      </c>
      <c r="G1764">
        <f>INDEX(CalLookUpTable,MATCH($B1764,CalLookUpRow,0),MATCH(G$1,CalLookUpColumn,0))</f>
        <v>2020</v>
      </c>
      <c r="H1764">
        <f>INDEX(CalLookUpTable,MATCH($B1764,CalLookUpRow,0),MATCH(H$1,CalLookUpColumn,0))</f>
        <v>3</v>
      </c>
      <c r="I1764">
        <f>INDEX(CalLookUpTable,MATCH($B1764,CalLookUpRow,0),MATCH(I$1,CalLookUpColumn,0))</f>
        <v>4</v>
      </c>
    </row>
    <row r="1765" spans="1:9" x14ac:dyDescent="0.25">
      <c r="A1765" s="7">
        <v>1</v>
      </c>
      <c r="B1765" s="8">
        <v>43906</v>
      </c>
      <c r="C1765" s="9" t="s">
        <v>5</v>
      </c>
      <c r="D1765" s="10">
        <v>4101.692</v>
      </c>
      <c r="E1765" s="10">
        <v>2794.5399999999995</v>
      </c>
      <c r="F1765" t="str">
        <f>VLOOKUP(A1765,StoreLookup,2,FALSE)</f>
        <v>Store#1</v>
      </c>
      <c r="G1765">
        <f>INDEX(CalLookUpTable,MATCH($B1765,CalLookUpRow,0),MATCH(G$1,CalLookUpColumn,0))</f>
        <v>2020</v>
      </c>
      <c r="H1765">
        <f>INDEX(CalLookUpTable,MATCH($B1765,CalLookUpRow,0),MATCH(H$1,CalLookUpColumn,0))</f>
        <v>3</v>
      </c>
      <c r="I1765">
        <f>INDEX(CalLookUpTable,MATCH($B1765,CalLookUpRow,0),MATCH(I$1,CalLookUpColumn,0))</f>
        <v>4</v>
      </c>
    </row>
    <row r="1766" spans="1:9" x14ac:dyDescent="0.25">
      <c r="A1766" s="7">
        <v>1</v>
      </c>
      <c r="B1766" s="8">
        <v>43907</v>
      </c>
      <c r="C1766" s="9" t="s">
        <v>4</v>
      </c>
      <c r="D1766" s="10">
        <v>-38.597999999999999</v>
      </c>
      <c r="E1766" s="10">
        <v>3772.3909999999996</v>
      </c>
      <c r="F1766" t="str">
        <f>VLOOKUP(A1766,StoreLookup,2,FALSE)</f>
        <v>Store#1</v>
      </c>
      <c r="G1766">
        <f>INDEX(CalLookUpTable,MATCH($B1766,CalLookUpRow,0),MATCH(G$1,CalLookUpColumn,0))</f>
        <v>2020</v>
      </c>
      <c r="H1766">
        <f>INDEX(CalLookUpTable,MATCH($B1766,CalLookUpRow,0),MATCH(H$1,CalLookUpColumn,0))</f>
        <v>3</v>
      </c>
      <c r="I1766">
        <f>INDEX(CalLookUpTable,MATCH($B1766,CalLookUpRow,0),MATCH(I$1,CalLookUpColumn,0))</f>
        <v>4</v>
      </c>
    </row>
    <row r="1767" spans="1:9" x14ac:dyDescent="0.25">
      <c r="A1767" s="7">
        <v>1</v>
      </c>
      <c r="B1767" s="8">
        <v>43907</v>
      </c>
      <c r="C1767" s="9" t="s">
        <v>6</v>
      </c>
      <c r="D1767" s="10">
        <v>1525.4539999999997</v>
      </c>
      <c r="E1767" s="10">
        <v>965.87399999999991</v>
      </c>
      <c r="F1767" t="str">
        <f>VLOOKUP(A1767,StoreLookup,2,FALSE)</f>
        <v>Store#1</v>
      </c>
      <c r="G1767">
        <f>INDEX(CalLookUpTable,MATCH($B1767,CalLookUpRow,0),MATCH(G$1,CalLookUpColumn,0))</f>
        <v>2020</v>
      </c>
      <c r="H1767">
        <f>INDEX(CalLookUpTable,MATCH($B1767,CalLookUpRow,0),MATCH(H$1,CalLookUpColumn,0))</f>
        <v>3</v>
      </c>
      <c r="I1767">
        <f>INDEX(CalLookUpTable,MATCH($B1767,CalLookUpRow,0),MATCH(I$1,CalLookUpColumn,0))</f>
        <v>4</v>
      </c>
    </row>
    <row r="1768" spans="1:9" x14ac:dyDescent="0.25">
      <c r="A1768" s="7">
        <v>1</v>
      </c>
      <c r="B1768" s="8">
        <v>43907</v>
      </c>
      <c r="C1768" s="9" t="s">
        <v>5</v>
      </c>
      <c r="D1768" s="10">
        <v>5585.8949999999995</v>
      </c>
      <c r="E1768" s="10">
        <v>2967.797</v>
      </c>
      <c r="F1768" t="str">
        <f>VLOOKUP(A1768,StoreLookup,2,FALSE)</f>
        <v>Store#1</v>
      </c>
      <c r="G1768">
        <f>INDEX(CalLookUpTable,MATCH($B1768,CalLookUpRow,0),MATCH(G$1,CalLookUpColumn,0))</f>
        <v>2020</v>
      </c>
      <c r="H1768">
        <f>INDEX(CalLookUpTable,MATCH($B1768,CalLookUpRow,0),MATCH(H$1,CalLookUpColumn,0))</f>
        <v>3</v>
      </c>
      <c r="I1768">
        <f>INDEX(CalLookUpTable,MATCH($B1768,CalLookUpRow,0),MATCH(I$1,CalLookUpColumn,0))</f>
        <v>4</v>
      </c>
    </row>
    <row r="1769" spans="1:9" x14ac:dyDescent="0.25">
      <c r="A1769" s="7">
        <v>1</v>
      </c>
      <c r="B1769" s="8">
        <v>43907</v>
      </c>
      <c r="C1769" s="9" t="s">
        <v>3</v>
      </c>
      <c r="D1769" s="10">
        <v>28.49</v>
      </c>
      <c r="E1769" s="10">
        <v>0</v>
      </c>
      <c r="F1769" t="str">
        <f>VLOOKUP(A1769,StoreLookup,2,FALSE)</f>
        <v>Store#1</v>
      </c>
      <c r="G1769">
        <f>INDEX(CalLookUpTable,MATCH($B1769,CalLookUpRow,0),MATCH(G$1,CalLookUpColumn,0))</f>
        <v>2020</v>
      </c>
      <c r="H1769">
        <f>INDEX(CalLookUpTable,MATCH($B1769,CalLookUpRow,0),MATCH(H$1,CalLookUpColumn,0))</f>
        <v>3</v>
      </c>
      <c r="I1769">
        <f>INDEX(CalLookUpTable,MATCH($B1769,CalLookUpRow,0),MATCH(I$1,CalLookUpColumn,0))</f>
        <v>4</v>
      </c>
    </row>
    <row r="1770" spans="1:9" x14ac:dyDescent="0.25">
      <c r="A1770" s="7">
        <v>1</v>
      </c>
      <c r="B1770" s="8">
        <v>43908</v>
      </c>
      <c r="C1770" s="9" t="s">
        <v>5</v>
      </c>
      <c r="D1770" s="10">
        <v>4623.1499999999996</v>
      </c>
      <c r="E1770" s="10">
        <v>3188.7519999999995</v>
      </c>
      <c r="F1770" t="str">
        <f>VLOOKUP(A1770,StoreLookup,2,FALSE)</f>
        <v>Store#1</v>
      </c>
      <c r="G1770">
        <f>INDEX(CalLookUpTable,MATCH($B1770,CalLookUpRow,0),MATCH(G$1,CalLookUpColumn,0))</f>
        <v>2020</v>
      </c>
      <c r="H1770">
        <f>INDEX(CalLookUpTable,MATCH($B1770,CalLookUpRow,0),MATCH(H$1,CalLookUpColumn,0))</f>
        <v>3</v>
      </c>
      <c r="I1770">
        <f>INDEX(CalLookUpTable,MATCH($B1770,CalLookUpRow,0),MATCH(I$1,CalLookUpColumn,0))</f>
        <v>4</v>
      </c>
    </row>
    <row r="1771" spans="1:9" x14ac:dyDescent="0.25">
      <c r="A1771" s="7">
        <v>1</v>
      </c>
      <c r="B1771" s="8">
        <v>43908</v>
      </c>
      <c r="C1771" s="9" t="s">
        <v>6</v>
      </c>
      <c r="D1771" s="10">
        <v>1455.972</v>
      </c>
      <c r="E1771" s="10">
        <v>613.88599999999997</v>
      </c>
      <c r="F1771" t="str">
        <f>VLOOKUP(A1771,StoreLookup,2,FALSE)</f>
        <v>Store#1</v>
      </c>
      <c r="G1771">
        <f>INDEX(CalLookUpTable,MATCH($B1771,CalLookUpRow,0),MATCH(G$1,CalLookUpColumn,0))</f>
        <v>2020</v>
      </c>
      <c r="H1771">
        <f>INDEX(CalLookUpTable,MATCH($B1771,CalLookUpRow,0),MATCH(H$1,CalLookUpColumn,0))</f>
        <v>3</v>
      </c>
      <c r="I1771">
        <f>INDEX(CalLookUpTable,MATCH($B1771,CalLookUpRow,0),MATCH(I$1,CalLookUpColumn,0))</f>
        <v>4</v>
      </c>
    </row>
    <row r="1772" spans="1:9" x14ac:dyDescent="0.25">
      <c r="A1772" s="7">
        <v>1</v>
      </c>
      <c r="B1772" s="8">
        <v>43908</v>
      </c>
      <c r="C1772" s="9" t="s">
        <v>4</v>
      </c>
      <c r="D1772" s="10">
        <v>41.880999999999993</v>
      </c>
      <c r="E1772" s="10">
        <v>4479.0129999999999</v>
      </c>
      <c r="F1772" t="str">
        <f>VLOOKUP(A1772,StoreLookup,2,FALSE)</f>
        <v>Store#1</v>
      </c>
      <c r="G1772">
        <f>INDEX(CalLookUpTable,MATCH($B1772,CalLookUpRow,0),MATCH(G$1,CalLookUpColumn,0))</f>
        <v>2020</v>
      </c>
      <c r="H1772">
        <f>INDEX(CalLookUpTable,MATCH($B1772,CalLookUpRow,0),MATCH(H$1,CalLookUpColumn,0))</f>
        <v>3</v>
      </c>
      <c r="I1772">
        <f>INDEX(CalLookUpTable,MATCH($B1772,CalLookUpRow,0),MATCH(I$1,CalLookUpColumn,0))</f>
        <v>4</v>
      </c>
    </row>
    <row r="1773" spans="1:9" x14ac:dyDescent="0.25">
      <c r="A1773" s="7">
        <v>1</v>
      </c>
      <c r="B1773" s="8">
        <v>43908</v>
      </c>
      <c r="C1773" s="9" t="s">
        <v>3</v>
      </c>
      <c r="D1773" s="10">
        <v>33.571999999999996</v>
      </c>
      <c r="E1773" s="10">
        <v>0</v>
      </c>
      <c r="F1773" t="str">
        <f>VLOOKUP(A1773,StoreLookup,2,FALSE)</f>
        <v>Store#1</v>
      </c>
      <c r="G1773">
        <f>INDEX(CalLookUpTable,MATCH($B1773,CalLookUpRow,0),MATCH(G$1,CalLookUpColumn,0))</f>
        <v>2020</v>
      </c>
      <c r="H1773">
        <f>INDEX(CalLookUpTable,MATCH($B1773,CalLookUpRow,0),MATCH(H$1,CalLookUpColumn,0))</f>
        <v>3</v>
      </c>
      <c r="I1773">
        <f>INDEX(CalLookUpTable,MATCH($B1773,CalLookUpRow,0),MATCH(I$1,CalLookUpColumn,0))</f>
        <v>4</v>
      </c>
    </row>
    <row r="1774" spans="1:9" x14ac:dyDescent="0.25">
      <c r="A1774" s="7">
        <v>1</v>
      </c>
      <c r="B1774" s="8">
        <v>43909</v>
      </c>
      <c r="C1774" s="9" t="s">
        <v>4</v>
      </c>
      <c r="D1774" s="10">
        <v>-16.219000000000001</v>
      </c>
      <c r="E1774" s="10">
        <v>5121.4589999999998</v>
      </c>
      <c r="F1774" t="str">
        <f>VLOOKUP(A1774,StoreLookup,2,FALSE)</f>
        <v>Store#1</v>
      </c>
      <c r="G1774">
        <f>INDEX(CalLookUpTable,MATCH($B1774,CalLookUpRow,0),MATCH(G$1,CalLookUpColumn,0))</f>
        <v>2020</v>
      </c>
      <c r="H1774">
        <f>INDEX(CalLookUpTable,MATCH($B1774,CalLookUpRow,0),MATCH(H$1,CalLookUpColumn,0))</f>
        <v>3</v>
      </c>
      <c r="I1774">
        <f>INDEX(CalLookUpTable,MATCH($B1774,CalLookUpRow,0),MATCH(I$1,CalLookUpColumn,0))</f>
        <v>4</v>
      </c>
    </row>
    <row r="1775" spans="1:9" x14ac:dyDescent="0.25">
      <c r="A1775" s="7">
        <v>1</v>
      </c>
      <c r="B1775" s="8">
        <v>43909</v>
      </c>
      <c r="C1775" s="9" t="s">
        <v>6</v>
      </c>
      <c r="D1775" s="10">
        <v>1614.5359999999998</v>
      </c>
      <c r="E1775" s="10">
        <v>728.71399999999994</v>
      </c>
      <c r="F1775" t="str">
        <f>VLOOKUP(A1775,StoreLookup,2,FALSE)</f>
        <v>Store#1</v>
      </c>
      <c r="G1775">
        <f>INDEX(CalLookUpTable,MATCH($B1775,CalLookUpRow,0),MATCH(G$1,CalLookUpColumn,0))</f>
        <v>2020</v>
      </c>
      <c r="H1775">
        <f>INDEX(CalLookUpTable,MATCH($B1775,CalLookUpRow,0),MATCH(H$1,CalLookUpColumn,0))</f>
        <v>3</v>
      </c>
      <c r="I1775">
        <f>INDEX(CalLookUpTable,MATCH($B1775,CalLookUpRow,0),MATCH(I$1,CalLookUpColumn,0))</f>
        <v>4</v>
      </c>
    </row>
    <row r="1776" spans="1:9" x14ac:dyDescent="0.25">
      <c r="A1776" s="7">
        <v>1</v>
      </c>
      <c r="B1776" s="8">
        <v>43909</v>
      </c>
      <c r="C1776" s="9" t="s">
        <v>3</v>
      </c>
      <c r="D1776" s="10">
        <v>0</v>
      </c>
      <c r="E1776" s="10">
        <v>173.43199999999999</v>
      </c>
      <c r="F1776" t="str">
        <f>VLOOKUP(A1776,StoreLookup,2,FALSE)</f>
        <v>Store#1</v>
      </c>
      <c r="G1776">
        <f>INDEX(CalLookUpTable,MATCH($B1776,CalLookUpRow,0),MATCH(G$1,CalLookUpColumn,0))</f>
        <v>2020</v>
      </c>
      <c r="H1776">
        <f>INDEX(CalLookUpTable,MATCH($B1776,CalLookUpRow,0),MATCH(H$1,CalLookUpColumn,0))</f>
        <v>3</v>
      </c>
      <c r="I1776">
        <f>INDEX(CalLookUpTable,MATCH($B1776,CalLookUpRow,0),MATCH(I$1,CalLookUpColumn,0))</f>
        <v>4</v>
      </c>
    </row>
    <row r="1777" spans="1:9" x14ac:dyDescent="0.25">
      <c r="A1777" s="7">
        <v>1</v>
      </c>
      <c r="B1777" s="8">
        <v>43909</v>
      </c>
      <c r="C1777" s="9" t="s">
        <v>5</v>
      </c>
      <c r="D1777" s="10">
        <v>4892.5450000000001</v>
      </c>
      <c r="E1777" s="10">
        <v>3535.1189999999997</v>
      </c>
      <c r="F1777" t="str">
        <f>VLOOKUP(A1777,StoreLookup,2,FALSE)</f>
        <v>Store#1</v>
      </c>
      <c r="G1777">
        <f>INDEX(CalLookUpTable,MATCH($B1777,CalLookUpRow,0),MATCH(G$1,CalLookUpColumn,0))</f>
        <v>2020</v>
      </c>
      <c r="H1777">
        <f>INDEX(CalLookUpTable,MATCH($B1777,CalLookUpRow,0),MATCH(H$1,CalLookUpColumn,0))</f>
        <v>3</v>
      </c>
      <c r="I1777">
        <f>INDEX(CalLookUpTable,MATCH($B1777,CalLookUpRow,0),MATCH(I$1,CalLookUpColumn,0))</f>
        <v>4</v>
      </c>
    </row>
    <row r="1778" spans="1:9" x14ac:dyDescent="0.25">
      <c r="A1778" s="7">
        <v>1</v>
      </c>
      <c r="B1778" s="8">
        <v>43910</v>
      </c>
      <c r="C1778" s="9" t="s">
        <v>6</v>
      </c>
      <c r="D1778" s="10">
        <v>2605.9809999999998</v>
      </c>
      <c r="E1778" s="10">
        <v>1346.394</v>
      </c>
      <c r="F1778" t="str">
        <f>VLOOKUP(A1778,StoreLookup,2,FALSE)</f>
        <v>Store#1</v>
      </c>
      <c r="G1778">
        <f>INDEX(CalLookUpTable,MATCH($B1778,CalLookUpRow,0),MATCH(G$1,CalLookUpColumn,0))</f>
        <v>2020</v>
      </c>
      <c r="H1778">
        <f>INDEX(CalLookUpTable,MATCH($B1778,CalLookUpRow,0),MATCH(H$1,CalLookUpColumn,0))</f>
        <v>3</v>
      </c>
      <c r="I1778">
        <f>INDEX(CalLookUpTable,MATCH($B1778,CalLookUpRow,0),MATCH(I$1,CalLookUpColumn,0))</f>
        <v>4</v>
      </c>
    </row>
    <row r="1779" spans="1:9" x14ac:dyDescent="0.25">
      <c r="A1779" s="7">
        <v>1</v>
      </c>
      <c r="B1779" s="8">
        <v>43910</v>
      </c>
      <c r="C1779" s="9" t="s">
        <v>4</v>
      </c>
      <c r="D1779" s="10">
        <v>-25.248999999999999</v>
      </c>
      <c r="E1779" s="10">
        <v>5629.0079999999998</v>
      </c>
      <c r="F1779" t="str">
        <f>VLOOKUP(A1779,StoreLookup,2,FALSE)</f>
        <v>Store#1</v>
      </c>
      <c r="G1779">
        <f>INDEX(CalLookUpTable,MATCH($B1779,CalLookUpRow,0),MATCH(G$1,CalLookUpColumn,0))</f>
        <v>2020</v>
      </c>
      <c r="H1779">
        <f>INDEX(CalLookUpTable,MATCH($B1779,CalLookUpRow,0),MATCH(H$1,CalLookUpColumn,0))</f>
        <v>3</v>
      </c>
      <c r="I1779">
        <f>INDEX(CalLookUpTable,MATCH($B1779,CalLookUpRow,0),MATCH(I$1,CalLookUpColumn,0))</f>
        <v>4</v>
      </c>
    </row>
    <row r="1780" spans="1:9" x14ac:dyDescent="0.25">
      <c r="A1780" s="7">
        <v>1</v>
      </c>
      <c r="B1780" s="8">
        <v>43910</v>
      </c>
      <c r="C1780" s="9" t="s">
        <v>5</v>
      </c>
      <c r="D1780" s="10">
        <v>6369.110999999999</v>
      </c>
      <c r="E1780" s="10">
        <v>4138.9529999999995</v>
      </c>
      <c r="F1780" t="str">
        <f>VLOOKUP(A1780,StoreLookup,2,FALSE)</f>
        <v>Store#1</v>
      </c>
      <c r="G1780">
        <f>INDEX(CalLookUpTable,MATCH($B1780,CalLookUpRow,0),MATCH(G$1,CalLookUpColumn,0))</f>
        <v>2020</v>
      </c>
      <c r="H1780">
        <f>INDEX(CalLookUpTable,MATCH($B1780,CalLookUpRow,0),MATCH(H$1,CalLookUpColumn,0))</f>
        <v>3</v>
      </c>
      <c r="I1780">
        <f>INDEX(CalLookUpTable,MATCH($B1780,CalLookUpRow,0),MATCH(I$1,CalLookUpColumn,0))</f>
        <v>4</v>
      </c>
    </row>
    <row r="1781" spans="1:9" x14ac:dyDescent="0.25">
      <c r="A1781" s="7">
        <v>1</v>
      </c>
      <c r="B1781" s="8">
        <v>43910</v>
      </c>
      <c r="C1781" s="9" t="s">
        <v>3</v>
      </c>
      <c r="D1781" s="10">
        <v>0</v>
      </c>
      <c r="E1781" s="10">
        <v>230.78999999999996</v>
      </c>
      <c r="F1781" t="str">
        <f>VLOOKUP(A1781,StoreLookup,2,FALSE)</f>
        <v>Store#1</v>
      </c>
      <c r="G1781">
        <f>INDEX(CalLookUpTable,MATCH($B1781,CalLookUpRow,0),MATCH(G$1,CalLookUpColumn,0))</f>
        <v>2020</v>
      </c>
      <c r="H1781">
        <f>INDEX(CalLookUpTable,MATCH($B1781,CalLookUpRow,0),MATCH(H$1,CalLookUpColumn,0))</f>
        <v>3</v>
      </c>
      <c r="I1781">
        <f>INDEX(CalLookUpTable,MATCH($B1781,CalLookUpRow,0),MATCH(I$1,CalLookUpColumn,0))</f>
        <v>4</v>
      </c>
    </row>
    <row r="1782" spans="1:9" x14ac:dyDescent="0.25">
      <c r="A1782" s="7">
        <v>1</v>
      </c>
      <c r="B1782" s="8">
        <v>43911</v>
      </c>
      <c r="C1782" s="9" t="s">
        <v>6</v>
      </c>
      <c r="D1782" s="10">
        <v>3180.9609999999993</v>
      </c>
      <c r="E1782" s="10">
        <v>1066.9259999999999</v>
      </c>
      <c r="F1782" t="str">
        <f>VLOOKUP(A1782,StoreLookup,2,FALSE)</f>
        <v>Store#1</v>
      </c>
      <c r="G1782">
        <f>INDEX(CalLookUpTable,MATCH($B1782,CalLookUpRow,0),MATCH(G$1,CalLookUpColumn,0))</f>
        <v>2020</v>
      </c>
      <c r="H1782">
        <f>INDEX(CalLookUpTable,MATCH($B1782,CalLookUpRow,0),MATCH(H$1,CalLookUpColumn,0))</f>
        <v>3</v>
      </c>
      <c r="I1782">
        <f>INDEX(CalLookUpTable,MATCH($B1782,CalLookUpRow,0),MATCH(I$1,CalLookUpColumn,0))</f>
        <v>4</v>
      </c>
    </row>
    <row r="1783" spans="1:9" x14ac:dyDescent="0.25">
      <c r="A1783" s="7">
        <v>1</v>
      </c>
      <c r="B1783" s="8">
        <v>43911</v>
      </c>
      <c r="C1783" s="9" t="s">
        <v>4</v>
      </c>
      <c r="D1783" s="10">
        <v>20.642999999999997</v>
      </c>
      <c r="E1783" s="10">
        <v>7038.3809999999994</v>
      </c>
      <c r="F1783" t="str">
        <f>VLOOKUP(A1783,StoreLookup,2,FALSE)</f>
        <v>Store#1</v>
      </c>
      <c r="G1783">
        <f>INDEX(CalLookUpTable,MATCH($B1783,CalLookUpRow,0),MATCH(G$1,CalLookUpColumn,0))</f>
        <v>2020</v>
      </c>
      <c r="H1783">
        <f>INDEX(CalLookUpTable,MATCH($B1783,CalLookUpRow,0),MATCH(H$1,CalLookUpColumn,0))</f>
        <v>3</v>
      </c>
      <c r="I1783">
        <f>INDEX(CalLookUpTable,MATCH($B1783,CalLookUpRow,0),MATCH(I$1,CalLookUpColumn,0))</f>
        <v>4</v>
      </c>
    </row>
    <row r="1784" spans="1:9" x14ac:dyDescent="0.25">
      <c r="A1784" s="7">
        <v>1</v>
      </c>
      <c r="B1784" s="8">
        <v>43911</v>
      </c>
      <c r="C1784" s="9" t="s">
        <v>5</v>
      </c>
      <c r="D1784" s="10">
        <v>6461.8119999999999</v>
      </c>
      <c r="E1784" s="10">
        <v>3918.0540000000001</v>
      </c>
      <c r="F1784" t="str">
        <f>VLOOKUP(A1784,StoreLookup,2,FALSE)</f>
        <v>Store#1</v>
      </c>
      <c r="G1784">
        <f>INDEX(CalLookUpTable,MATCH($B1784,CalLookUpRow,0),MATCH(G$1,CalLookUpColumn,0))</f>
        <v>2020</v>
      </c>
      <c r="H1784">
        <f>INDEX(CalLookUpTable,MATCH($B1784,CalLookUpRow,0),MATCH(H$1,CalLookUpColumn,0))</f>
        <v>3</v>
      </c>
      <c r="I1784">
        <f>INDEX(CalLookUpTable,MATCH($B1784,CalLookUpRow,0),MATCH(I$1,CalLookUpColumn,0))</f>
        <v>4</v>
      </c>
    </row>
    <row r="1785" spans="1:9" x14ac:dyDescent="0.25">
      <c r="A1785" s="7">
        <v>1</v>
      </c>
      <c r="B1785" s="8">
        <v>43911</v>
      </c>
      <c r="C1785" s="9" t="s">
        <v>3</v>
      </c>
      <c r="D1785" s="10">
        <v>154.917</v>
      </c>
      <c r="E1785" s="10">
        <v>12.928999999999998</v>
      </c>
      <c r="F1785" t="str">
        <f>VLOOKUP(A1785,StoreLookup,2,FALSE)</f>
        <v>Store#1</v>
      </c>
      <c r="G1785">
        <f>INDEX(CalLookUpTable,MATCH($B1785,CalLookUpRow,0),MATCH(G$1,CalLookUpColumn,0))</f>
        <v>2020</v>
      </c>
      <c r="H1785">
        <f>INDEX(CalLookUpTable,MATCH($B1785,CalLookUpRow,0),MATCH(H$1,CalLookUpColumn,0))</f>
        <v>3</v>
      </c>
      <c r="I1785">
        <f>INDEX(CalLookUpTable,MATCH($B1785,CalLookUpRow,0),MATCH(I$1,CalLookUpColumn,0))</f>
        <v>4</v>
      </c>
    </row>
    <row r="1786" spans="1:9" x14ac:dyDescent="0.25">
      <c r="A1786" s="7">
        <v>1</v>
      </c>
      <c r="B1786" s="8">
        <v>43912</v>
      </c>
      <c r="C1786" s="9" t="s">
        <v>5</v>
      </c>
      <c r="D1786" s="10">
        <v>2840.7749999999996</v>
      </c>
      <c r="E1786" s="10">
        <v>2101.9879999999998</v>
      </c>
      <c r="F1786" t="str">
        <f>VLOOKUP(A1786,StoreLookup,2,FALSE)</f>
        <v>Store#1</v>
      </c>
      <c r="G1786">
        <f>INDEX(CalLookUpTable,MATCH($B1786,CalLookUpRow,0),MATCH(G$1,CalLookUpColumn,0))</f>
        <v>2020</v>
      </c>
      <c r="H1786">
        <f>INDEX(CalLookUpTable,MATCH($B1786,CalLookUpRow,0),MATCH(H$1,CalLookUpColumn,0))</f>
        <v>3</v>
      </c>
      <c r="I1786">
        <f>INDEX(CalLookUpTable,MATCH($B1786,CalLookUpRow,0),MATCH(I$1,CalLookUpColumn,0))</f>
        <v>4</v>
      </c>
    </row>
    <row r="1787" spans="1:9" x14ac:dyDescent="0.25">
      <c r="A1787" s="7">
        <v>1</v>
      </c>
      <c r="B1787" s="8">
        <v>43912</v>
      </c>
      <c r="C1787" s="9" t="s">
        <v>6</v>
      </c>
      <c r="D1787" s="10">
        <v>978.41799999999989</v>
      </c>
      <c r="E1787" s="10">
        <v>389.96999999999997</v>
      </c>
      <c r="F1787" t="str">
        <f>VLOOKUP(A1787,StoreLookup,2,FALSE)</f>
        <v>Store#1</v>
      </c>
      <c r="G1787">
        <f>INDEX(CalLookUpTable,MATCH($B1787,CalLookUpRow,0),MATCH(G$1,CalLookUpColumn,0))</f>
        <v>2020</v>
      </c>
      <c r="H1787">
        <f>INDEX(CalLookUpTable,MATCH($B1787,CalLookUpRow,0),MATCH(H$1,CalLookUpColumn,0))</f>
        <v>3</v>
      </c>
      <c r="I1787">
        <f>INDEX(CalLookUpTable,MATCH($B1787,CalLookUpRow,0),MATCH(I$1,CalLookUpColumn,0))</f>
        <v>4</v>
      </c>
    </row>
    <row r="1788" spans="1:9" x14ac:dyDescent="0.25">
      <c r="A1788" s="7">
        <v>1</v>
      </c>
      <c r="B1788" s="8">
        <v>43912</v>
      </c>
      <c r="C1788" s="9" t="s">
        <v>4</v>
      </c>
      <c r="D1788" s="10">
        <v>-6.2229999999999999</v>
      </c>
      <c r="E1788" s="10">
        <v>3014.7599999999998</v>
      </c>
      <c r="F1788" t="str">
        <f>VLOOKUP(A1788,StoreLookup,2,FALSE)</f>
        <v>Store#1</v>
      </c>
      <c r="G1788">
        <f>INDEX(CalLookUpTable,MATCH($B1788,CalLookUpRow,0),MATCH(G$1,CalLookUpColumn,0))</f>
        <v>2020</v>
      </c>
      <c r="H1788">
        <f>INDEX(CalLookUpTable,MATCH($B1788,CalLookUpRow,0),MATCH(H$1,CalLookUpColumn,0))</f>
        <v>3</v>
      </c>
      <c r="I1788">
        <f>INDEX(CalLookUpTable,MATCH($B1788,CalLookUpRow,0),MATCH(I$1,CalLookUpColumn,0))</f>
        <v>4</v>
      </c>
    </row>
    <row r="1789" spans="1:9" x14ac:dyDescent="0.25">
      <c r="A1789" s="7">
        <v>1</v>
      </c>
      <c r="B1789" s="8">
        <v>43912</v>
      </c>
      <c r="C1789" s="9" t="s">
        <v>3</v>
      </c>
      <c r="D1789" s="10">
        <v>0</v>
      </c>
      <c r="E1789" s="10">
        <v>192.32499999999999</v>
      </c>
      <c r="F1789" t="str">
        <f>VLOOKUP(A1789,StoreLookup,2,FALSE)</f>
        <v>Store#1</v>
      </c>
      <c r="G1789">
        <f>INDEX(CalLookUpTable,MATCH($B1789,CalLookUpRow,0),MATCH(G$1,CalLookUpColumn,0))</f>
        <v>2020</v>
      </c>
      <c r="H1789">
        <f>INDEX(CalLookUpTable,MATCH($B1789,CalLookUpRow,0),MATCH(H$1,CalLookUpColumn,0))</f>
        <v>3</v>
      </c>
      <c r="I1789">
        <f>INDEX(CalLookUpTable,MATCH($B1789,CalLookUpRow,0),MATCH(I$1,CalLookUpColumn,0))</f>
        <v>4</v>
      </c>
    </row>
    <row r="1790" spans="1:9" x14ac:dyDescent="0.25">
      <c r="A1790" s="7">
        <v>1</v>
      </c>
      <c r="B1790" s="8">
        <v>43913</v>
      </c>
      <c r="C1790" s="9" t="s">
        <v>4</v>
      </c>
      <c r="D1790" s="10">
        <v>-25.613</v>
      </c>
      <c r="E1790" s="10">
        <v>3893.0149999999994</v>
      </c>
      <c r="F1790" t="str">
        <f>VLOOKUP(A1790,StoreLookup,2,FALSE)</f>
        <v>Store#1</v>
      </c>
      <c r="G1790">
        <f>INDEX(CalLookUpTable,MATCH($B1790,CalLookUpRow,0),MATCH(G$1,CalLookUpColumn,0))</f>
        <v>2020</v>
      </c>
      <c r="H1790">
        <f>INDEX(CalLookUpTable,MATCH($B1790,CalLookUpRow,0),MATCH(H$1,CalLookUpColumn,0))</f>
        <v>3</v>
      </c>
      <c r="I1790">
        <f>INDEX(CalLookUpTable,MATCH($B1790,CalLookUpRow,0),MATCH(I$1,CalLookUpColumn,0))</f>
        <v>5</v>
      </c>
    </row>
    <row r="1791" spans="1:9" x14ac:dyDescent="0.25">
      <c r="A1791" s="7">
        <v>1</v>
      </c>
      <c r="B1791" s="8">
        <v>43913</v>
      </c>
      <c r="C1791" s="9" t="s">
        <v>3</v>
      </c>
      <c r="D1791" s="10">
        <v>0</v>
      </c>
      <c r="E1791" s="10">
        <v>27.573</v>
      </c>
      <c r="F1791" t="str">
        <f>VLOOKUP(A1791,StoreLookup,2,FALSE)</f>
        <v>Store#1</v>
      </c>
      <c r="G1791">
        <f>INDEX(CalLookUpTable,MATCH($B1791,CalLookUpRow,0),MATCH(G$1,CalLookUpColumn,0))</f>
        <v>2020</v>
      </c>
      <c r="H1791">
        <f>INDEX(CalLookUpTable,MATCH($B1791,CalLookUpRow,0),MATCH(H$1,CalLookUpColumn,0))</f>
        <v>3</v>
      </c>
      <c r="I1791">
        <f>INDEX(CalLookUpTable,MATCH($B1791,CalLookUpRow,0),MATCH(I$1,CalLookUpColumn,0))</f>
        <v>5</v>
      </c>
    </row>
    <row r="1792" spans="1:9" x14ac:dyDescent="0.25">
      <c r="A1792" s="7">
        <v>1</v>
      </c>
      <c r="B1792" s="8">
        <v>43913</v>
      </c>
      <c r="C1792" s="9" t="s">
        <v>6</v>
      </c>
      <c r="D1792" s="10">
        <v>1801.366</v>
      </c>
      <c r="E1792" s="10">
        <v>706.67799999999988</v>
      </c>
      <c r="F1792" t="str">
        <f>VLOOKUP(A1792,StoreLookup,2,FALSE)</f>
        <v>Store#1</v>
      </c>
      <c r="G1792">
        <f>INDEX(CalLookUpTable,MATCH($B1792,CalLookUpRow,0),MATCH(G$1,CalLookUpColumn,0))</f>
        <v>2020</v>
      </c>
      <c r="H1792">
        <f>INDEX(CalLookUpTable,MATCH($B1792,CalLookUpRow,0),MATCH(H$1,CalLookUpColumn,0))</f>
        <v>3</v>
      </c>
      <c r="I1792">
        <f>INDEX(CalLookUpTable,MATCH($B1792,CalLookUpRow,0),MATCH(I$1,CalLookUpColumn,0))</f>
        <v>5</v>
      </c>
    </row>
    <row r="1793" spans="1:9" x14ac:dyDescent="0.25">
      <c r="A1793" s="7">
        <v>1</v>
      </c>
      <c r="B1793" s="8">
        <v>43913</v>
      </c>
      <c r="C1793" s="9" t="s">
        <v>5</v>
      </c>
      <c r="D1793" s="10">
        <v>5472.3969999999999</v>
      </c>
      <c r="E1793" s="10">
        <v>3217.0529999999999</v>
      </c>
      <c r="F1793" t="str">
        <f>VLOOKUP(A1793,StoreLookup,2,FALSE)</f>
        <v>Store#1</v>
      </c>
      <c r="G1793">
        <f>INDEX(CalLookUpTable,MATCH($B1793,CalLookUpRow,0),MATCH(G$1,CalLookUpColumn,0))</f>
        <v>2020</v>
      </c>
      <c r="H1793">
        <f>INDEX(CalLookUpTable,MATCH($B1793,CalLookUpRow,0),MATCH(H$1,CalLookUpColumn,0))</f>
        <v>3</v>
      </c>
      <c r="I1793">
        <f>INDEX(CalLookUpTable,MATCH($B1793,CalLookUpRow,0),MATCH(I$1,CalLookUpColumn,0))</f>
        <v>5</v>
      </c>
    </row>
    <row r="1794" spans="1:9" x14ac:dyDescent="0.25">
      <c r="A1794" s="7">
        <v>1</v>
      </c>
      <c r="B1794" s="8">
        <v>43914</v>
      </c>
      <c r="C1794" s="9" t="s">
        <v>4</v>
      </c>
      <c r="D1794" s="10">
        <v>-3.7729999999999997</v>
      </c>
      <c r="E1794" s="10">
        <v>4007.3879999999999</v>
      </c>
      <c r="F1794" t="str">
        <f>VLOOKUP(A1794,StoreLookup,2,FALSE)</f>
        <v>Store#1</v>
      </c>
      <c r="G1794">
        <f>INDEX(CalLookUpTable,MATCH($B1794,CalLookUpRow,0),MATCH(G$1,CalLookUpColumn,0))</f>
        <v>2020</v>
      </c>
      <c r="H1794">
        <f>INDEX(CalLookUpTable,MATCH($B1794,CalLookUpRow,0),MATCH(H$1,CalLookUpColumn,0))</f>
        <v>3</v>
      </c>
      <c r="I1794">
        <f>INDEX(CalLookUpTable,MATCH($B1794,CalLookUpRow,0),MATCH(I$1,CalLookUpColumn,0))</f>
        <v>5</v>
      </c>
    </row>
    <row r="1795" spans="1:9" x14ac:dyDescent="0.25">
      <c r="A1795" s="7">
        <v>1</v>
      </c>
      <c r="B1795" s="8">
        <v>43914</v>
      </c>
      <c r="C1795" s="9" t="s">
        <v>6</v>
      </c>
      <c r="D1795" s="10">
        <v>1502.8929999999998</v>
      </c>
      <c r="E1795" s="10">
        <v>782.69799999999998</v>
      </c>
      <c r="F1795" t="str">
        <f>VLOOKUP(A1795,StoreLookup,2,FALSE)</f>
        <v>Store#1</v>
      </c>
      <c r="G1795">
        <f>INDEX(CalLookUpTable,MATCH($B1795,CalLookUpRow,0),MATCH(G$1,CalLookUpColumn,0))</f>
        <v>2020</v>
      </c>
      <c r="H1795">
        <f>INDEX(CalLookUpTable,MATCH($B1795,CalLookUpRow,0),MATCH(H$1,CalLookUpColumn,0))</f>
        <v>3</v>
      </c>
      <c r="I1795">
        <f>INDEX(CalLookUpTable,MATCH($B1795,CalLookUpRow,0),MATCH(I$1,CalLookUpColumn,0))</f>
        <v>5</v>
      </c>
    </row>
    <row r="1796" spans="1:9" x14ac:dyDescent="0.25">
      <c r="A1796" s="7">
        <v>1</v>
      </c>
      <c r="B1796" s="8">
        <v>43914</v>
      </c>
      <c r="C1796" s="9" t="s">
        <v>5</v>
      </c>
      <c r="D1796" s="10">
        <v>5292.860999999999</v>
      </c>
      <c r="E1796" s="10">
        <v>3003.8820000000001</v>
      </c>
      <c r="F1796" t="str">
        <f>VLOOKUP(A1796,StoreLookup,2,FALSE)</f>
        <v>Store#1</v>
      </c>
      <c r="G1796">
        <f>INDEX(CalLookUpTable,MATCH($B1796,CalLookUpRow,0),MATCH(G$1,CalLookUpColumn,0))</f>
        <v>2020</v>
      </c>
      <c r="H1796">
        <f>INDEX(CalLookUpTable,MATCH($B1796,CalLookUpRow,0),MATCH(H$1,CalLookUpColumn,0))</f>
        <v>3</v>
      </c>
      <c r="I1796">
        <f>INDEX(CalLookUpTable,MATCH($B1796,CalLookUpRow,0),MATCH(I$1,CalLookUpColumn,0))</f>
        <v>5</v>
      </c>
    </row>
    <row r="1797" spans="1:9" x14ac:dyDescent="0.25">
      <c r="A1797" s="7">
        <v>1</v>
      </c>
      <c r="B1797" s="8">
        <v>43914</v>
      </c>
      <c r="C1797" s="9" t="s">
        <v>3</v>
      </c>
      <c r="D1797" s="10">
        <v>0</v>
      </c>
      <c r="E1797" s="10">
        <v>0</v>
      </c>
      <c r="F1797" t="str">
        <f>VLOOKUP(A1797,StoreLookup,2,FALSE)</f>
        <v>Store#1</v>
      </c>
      <c r="G1797">
        <f>INDEX(CalLookUpTable,MATCH($B1797,CalLookUpRow,0),MATCH(G$1,CalLookUpColumn,0))</f>
        <v>2020</v>
      </c>
      <c r="H1797">
        <f>INDEX(CalLookUpTable,MATCH($B1797,CalLookUpRow,0),MATCH(H$1,CalLookUpColumn,0))</f>
        <v>3</v>
      </c>
      <c r="I1797">
        <f>INDEX(CalLookUpTable,MATCH($B1797,CalLookUpRow,0),MATCH(I$1,CalLookUpColumn,0))</f>
        <v>5</v>
      </c>
    </row>
    <row r="1798" spans="1:9" x14ac:dyDescent="0.25">
      <c r="A1798" s="7">
        <v>1</v>
      </c>
      <c r="B1798" s="8">
        <v>43915</v>
      </c>
      <c r="C1798" s="9" t="s">
        <v>6</v>
      </c>
      <c r="D1798" s="10">
        <v>1878.2889999999998</v>
      </c>
      <c r="E1798" s="10">
        <v>1077.867</v>
      </c>
      <c r="F1798" t="str">
        <f>VLOOKUP(A1798,StoreLookup,2,FALSE)</f>
        <v>Store#1</v>
      </c>
      <c r="G1798">
        <f>INDEX(CalLookUpTable,MATCH($B1798,CalLookUpRow,0),MATCH(G$1,CalLookUpColumn,0))</f>
        <v>2020</v>
      </c>
      <c r="H1798">
        <f>INDEX(CalLookUpTable,MATCH($B1798,CalLookUpRow,0),MATCH(H$1,CalLookUpColumn,0))</f>
        <v>3</v>
      </c>
      <c r="I1798">
        <f>INDEX(CalLookUpTable,MATCH($B1798,CalLookUpRow,0),MATCH(I$1,CalLookUpColumn,0))</f>
        <v>5</v>
      </c>
    </row>
    <row r="1799" spans="1:9" x14ac:dyDescent="0.25">
      <c r="A1799" s="7">
        <v>1</v>
      </c>
      <c r="B1799" s="8">
        <v>43915</v>
      </c>
      <c r="C1799" s="9" t="s">
        <v>4</v>
      </c>
      <c r="D1799" s="10">
        <v>5.383</v>
      </c>
      <c r="E1799" s="10">
        <v>4617.0950000000003</v>
      </c>
      <c r="F1799" t="str">
        <f>VLOOKUP(A1799,StoreLookup,2,FALSE)</f>
        <v>Store#1</v>
      </c>
      <c r="G1799">
        <f>INDEX(CalLookUpTable,MATCH($B1799,CalLookUpRow,0),MATCH(G$1,CalLookUpColumn,0))</f>
        <v>2020</v>
      </c>
      <c r="H1799">
        <f>INDEX(CalLookUpTable,MATCH($B1799,CalLookUpRow,0),MATCH(H$1,CalLookUpColumn,0))</f>
        <v>3</v>
      </c>
      <c r="I1799">
        <f>INDEX(CalLookUpTable,MATCH($B1799,CalLookUpRow,0),MATCH(I$1,CalLookUpColumn,0))</f>
        <v>5</v>
      </c>
    </row>
    <row r="1800" spans="1:9" x14ac:dyDescent="0.25">
      <c r="A1800" s="7">
        <v>1</v>
      </c>
      <c r="B1800" s="8">
        <v>43915</v>
      </c>
      <c r="C1800" s="9" t="s">
        <v>3</v>
      </c>
      <c r="D1800" s="10">
        <v>13.433</v>
      </c>
      <c r="E1800" s="10">
        <v>0</v>
      </c>
      <c r="F1800" t="str">
        <f>VLOOKUP(A1800,StoreLookup,2,FALSE)</f>
        <v>Store#1</v>
      </c>
      <c r="G1800">
        <f>INDEX(CalLookUpTable,MATCH($B1800,CalLookUpRow,0),MATCH(G$1,CalLookUpColumn,0))</f>
        <v>2020</v>
      </c>
      <c r="H1800">
        <f>INDEX(CalLookUpTable,MATCH($B1800,CalLookUpRow,0),MATCH(H$1,CalLookUpColumn,0))</f>
        <v>3</v>
      </c>
      <c r="I1800">
        <f>INDEX(CalLookUpTable,MATCH($B1800,CalLookUpRow,0),MATCH(I$1,CalLookUpColumn,0))</f>
        <v>5</v>
      </c>
    </row>
    <row r="1801" spans="1:9" x14ac:dyDescent="0.25">
      <c r="A1801" s="7">
        <v>1</v>
      </c>
      <c r="B1801" s="8">
        <v>43915</v>
      </c>
      <c r="C1801" s="9" t="s">
        <v>5</v>
      </c>
      <c r="D1801" s="10">
        <v>5271.567</v>
      </c>
      <c r="E1801" s="10">
        <v>3313.7719999999999</v>
      </c>
      <c r="F1801" t="str">
        <f>VLOOKUP(A1801,StoreLookup,2,FALSE)</f>
        <v>Store#1</v>
      </c>
      <c r="G1801">
        <f>INDEX(CalLookUpTable,MATCH($B1801,CalLookUpRow,0),MATCH(G$1,CalLookUpColumn,0))</f>
        <v>2020</v>
      </c>
      <c r="H1801">
        <f>INDEX(CalLookUpTable,MATCH($B1801,CalLookUpRow,0),MATCH(H$1,CalLookUpColumn,0))</f>
        <v>3</v>
      </c>
      <c r="I1801">
        <f>INDEX(CalLookUpTable,MATCH($B1801,CalLookUpRow,0),MATCH(I$1,CalLookUpColumn,0))</f>
        <v>5</v>
      </c>
    </row>
    <row r="1802" spans="1:9" x14ac:dyDescent="0.25">
      <c r="A1802" s="7">
        <v>1</v>
      </c>
      <c r="B1802" s="8">
        <v>43916</v>
      </c>
      <c r="C1802" s="9" t="s">
        <v>6</v>
      </c>
      <c r="D1802" s="10">
        <v>2529.3379999999997</v>
      </c>
      <c r="E1802" s="10">
        <v>1084.2019999999998</v>
      </c>
      <c r="F1802" t="str">
        <f>VLOOKUP(A1802,StoreLookup,2,FALSE)</f>
        <v>Store#1</v>
      </c>
      <c r="G1802">
        <f>INDEX(CalLookUpTable,MATCH($B1802,CalLookUpRow,0),MATCH(G$1,CalLookUpColumn,0))</f>
        <v>2020</v>
      </c>
      <c r="H1802">
        <f>INDEX(CalLookUpTable,MATCH($B1802,CalLookUpRow,0),MATCH(H$1,CalLookUpColumn,0))</f>
        <v>3</v>
      </c>
      <c r="I1802">
        <f>INDEX(CalLookUpTable,MATCH($B1802,CalLookUpRow,0),MATCH(I$1,CalLookUpColumn,0))</f>
        <v>5</v>
      </c>
    </row>
    <row r="1803" spans="1:9" x14ac:dyDescent="0.25">
      <c r="A1803" s="7">
        <v>1</v>
      </c>
      <c r="B1803" s="8">
        <v>43916</v>
      </c>
      <c r="C1803" s="9" t="s">
        <v>4</v>
      </c>
      <c r="D1803" s="10">
        <v>-6.5029999999999992</v>
      </c>
      <c r="E1803" s="10">
        <v>5816.1880000000001</v>
      </c>
      <c r="F1803" t="str">
        <f>VLOOKUP(A1803,StoreLookup,2,FALSE)</f>
        <v>Store#1</v>
      </c>
      <c r="G1803">
        <f>INDEX(CalLookUpTable,MATCH($B1803,CalLookUpRow,0),MATCH(G$1,CalLookUpColumn,0))</f>
        <v>2020</v>
      </c>
      <c r="H1803">
        <f>INDEX(CalLookUpTable,MATCH($B1803,CalLookUpRow,0),MATCH(H$1,CalLookUpColumn,0))</f>
        <v>3</v>
      </c>
      <c r="I1803">
        <f>INDEX(CalLookUpTable,MATCH($B1803,CalLookUpRow,0),MATCH(I$1,CalLookUpColumn,0))</f>
        <v>5</v>
      </c>
    </row>
    <row r="1804" spans="1:9" x14ac:dyDescent="0.25">
      <c r="A1804" s="7">
        <v>1</v>
      </c>
      <c r="B1804" s="8">
        <v>43916</v>
      </c>
      <c r="C1804" s="9" t="s">
        <v>5</v>
      </c>
      <c r="D1804" s="10">
        <v>5553.3309999999992</v>
      </c>
      <c r="E1804" s="10">
        <v>3763.1019999999994</v>
      </c>
      <c r="F1804" t="str">
        <f>VLOOKUP(A1804,StoreLookup,2,FALSE)</f>
        <v>Store#1</v>
      </c>
      <c r="G1804">
        <f>INDEX(CalLookUpTable,MATCH($B1804,CalLookUpRow,0),MATCH(G$1,CalLookUpColumn,0))</f>
        <v>2020</v>
      </c>
      <c r="H1804">
        <f>INDEX(CalLookUpTable,MATCH($B1804,CalLookUpRow,0),MATCH(H$1,CalLookUpColumn,0))</f>
        <v>3</v>
      </c>
      <c r="I1804">
        <f>INDEX(CalLookUpTable,MATCH($B1804,CalLookUpRow,0),MATCH(I$1,CalLookUpColumn,0))</f>
        <v>5</v>
      </c>
    </row>
    <row r="1805" spans="1:9" x14ac:dyDescent="0.25">
      <c r="A1805" s="7">
        <v>1</v>
      </c>
      <c r="B1805" s="8">
        <v>43916</v>
      </c>
      <c r="C1805" s="9" t="s">
        <v>3</v>
      </c>
      <c r="D1805" s="10">
        <v>27.761999999999997</v>
      </c>
      <c r="E1805" s="10">
        <v>0</v>
      </c>
      <c r="F1805" t="str">
        <f>VLOOKUP(A1805,StoreLookup,2,FALSE)</f>
        <v>Store#1</v>
      </c>
      <c r="G1805">
        <f>INDEX(CalLookUpTable,MATCH($B1805,CalLookUpRow,0),MATCH(G$1,CalLookUpColumn,0))</f>
        <v>2020</v>
      </c>
      <c r="H1805">
        <f>INDEX(CalLookUpTable,MATCH($B1805,CalLookUpRow,0),MATCH(H$1,CalLookUpColumn,0))</f>
        <v>3</v>
      </c>
      <c r="I1805">
        <f>INDEX(CalLookUpTable,MATCH($B1805,CalLookUpRow,0),MATCH(I$1,CalLookUpColumn,0))</f>
        <v>5</v>
      </c>
    </row>
    <row r="1806" spans="1:9" x14ac:dyDescent="0.25">
      <c r="A1806" s="7">
        <v>1</v>
      </c>
      <c r="B1806" s="8">
        <v>43917</v>
      </c>
      <c r="C1806" s="9" t="s">
        <v>3</v>
      </c>
      <c r="D1806" s="10">
        <v>12.032999999999999</v>
      </c>
      <c r="E1806" s="10">
        <v>371.36399999999998</v>
      </c>
      <c r="F1806" t="str">
        <f>VLOOKUP(A1806,StoreLookup,2,FALSE)</f>
        <v>Store#1</v>
      </c>
      <c r="G1806">
        <f>INDEX(CalLookUpTable,MATCH($B1806,CalLookUpRow,0),MATCH(G$1,CalLookUpColumn,0))</f>
        <v>2020</v>
      </c>
      <c r="H1806">
        <f>INDEX(CalLookUpTable,MATCH($B1806,CalLookUpRow,0),MATCH(H$1,CalLookUpColumn,0))</f>
        <v>3</v>
      </c>
      <c r="I1806">
        <f>INDEX(CalLookUpTable,MATCH($B1806,CalLookUpRow,0),MATCH(I$1,CalLookUpColumn,0))</f>
        <v>5</v>
      </c>
    </row>
    <row r="1807" spans="1:9" x14ac:dyDescent="0.25">
      <c r="A1807" s="7">
        <v>1</v>
      </c>
      <c r="B1807" s="8">
        <v>43917</v>
      </c>
      <c r="C1807" s="9" t="s">
        <v>6</v>
      </c>
      <c r="D1807" s="10">
        <v>2484.069</v>
      </c>
      <c r="E1807" s="10">
        <v>1843.0859999999998</v>
      </c>
      <c r="F1807" t="str">
        <f>VLOOKUP(A1807,StoreLookup,2,FALSE)</f>
        <v>Store#1</v>
      </c>
      <c r="G1807">
        <f>INDEX(CalLookUpTable,MATCH($B1807,CalLookUpRow,0),MATCH(G$1,CalLookUpColumn,0))</f>
        <v>2020</v>
      </c>
      <c r="H1807">
        <f>INDEX(CalLookUpTable,MATCH($B1807,CalLookUpRow,0),MATCH(H$1,CalLookUpColumn,0))</f>
        <v>3</v>
      </c>
      <c r="I1807">
        <f>INDEX(CalLookUpTable,MATCH($B1807,CalLookUpRow,0),MATCH(I$1,CalLookUpColumn,0))</f>
        <v>5</v>
      </c>
    </row>
    <row r="1808" spans="1:9" x14ac:dyDescent="0.25">
      <c r="A1808" s="7">
        <v>1</v>
      </c>
      <c r="B1808" s="8">
        <v>43917</v>
      </c>
      <c r="C1808" s="9" t="s">
        <v>5</v>
      </c>
      <c r="D1808" s="10">
        <v>6491.5479999999989</v>
      </c>
      <c r="E1808" s="10">
        <v>3983.8119999999994</v>
      </c>
      <c r="F1808" t="str">
        <f>VLOOKUP(A1808,StoreLookup,2,FALSE)</f>
        <v>Store#1</v>
      </c>
      <c r="G1808">
        <f>INDEX(CalLookUpTable,MATCH($B1808,CalLookUpRow,0),MATCH(G$1,CalLookUpColumn,0))</f>
        <v>2020</v>
      </c>
      <c r="H1808">
        <f>INDEX(CalLookUpTable,MATCH($B1808,CalLookUpRow,0),MATCH(H$1,CalLookUpColumn,0))</f>
        <v>3</v>
      </c>
      <c r="I1808">
        <f>INDEX(CalLookUpTable,MATCH($B1808,CalLookUpRow,0),MATCH(I$1,CalLookUpColumn,0))</f>
        <v>5</v>
      </c>
    </row>
    <row r="1809" spans="1:9" x14ac:dyDescent="0.25">
      <c r="A1809" s="7">
        <v>1</v>
      </c>
      <c r="B1809" s="8">
        <v>43917</v>
      </c>
      <c r="C1809" s="9" t="s">
        <v>4</v>
      </c>
      <c r="D1809" s="10">
        <v>876.95999999999992</v>
      </c>
      <c r="E1809" s="10">
        <v>5257.0140000000001</v>
      </c>
      <c r="F1809" t="str">
        <f>VLOOKUP(A1809,StoreLookup,2,FALSE)</f>
        <v>Store#1</v>
      </c>
      <c r="G1809">
        <f>INDEX(CalLookUpTable,MATCH($B1809,CalLookUpRow,0),MATCH(G$1,CalLookUpColumn,0))</f>
        <v>2020</v>
      </c>
      <c r="H1809">
        <f>INDEX(CalLookUpTable,MATCH($B1809,CalLookUpRow,0),MATCH(H$1,CalLookUpColumn,0))</f>
        <v>3</v>
      </c>
      <c r="I1809">
        <f>INDEX(CalLookUpTable,MATCH($B1809,CalLookUpRow,0),MATCH(I$1,CalLookUpColumn,0))</f>
        <v>5</v>
      </c>
    </row>
    <row r="1810" spans="1:9" x14ac:dyDescent="0.25">
      <c r="A1810" s="7">
        <v>1</v>
      </c>
      <c r="B1810" s="8">
        <v>43918</v>
      </c>
      <c r="C1810" s="9" t="s">
        <v>4</v>
      </c>
      <c r="D1810" s="10">
        <v>1173.6689999999999</v>
      </c>
      <c r="E1810" s="10">
        <v>6236.7689999999993</v>
      </c>
      <c r="F1810" t="str">
        <f>VLOOKUP(A1810,StoreLookup,2,FALSE)</f>
        <v>Store#1</v>
      </c>
      <c r="G1810">
        <f>INDEX(CalLookUpTable,MATCH($B1810,CalLookUpRow,0),MATCH(G$1,CalLookUpColumn,0))</f>
        <v>2020</v>
      </c>
      <c r="H1810">
        <f>INDEX(CalLookUpTable,MATCH($B1810,CalLookUpRow,0),MATCH(H$1,CalLookUpColumn,0))</f>
        <v>3</v>
      </c>
      <c r="I1810">
        <f>INDEX(CalLookUpTable,MATCH($B1810,CalLookUpRow,0),MATCH(I$1,CalLookUpColumn,0))</f>
        <v>5</v>
      </c>
    </row>
    <row r="1811" spans="1:9" x14ac:dyDescent="0.25">
      <c r="A1811" s="7">
        <v>1</v>
      </c>
      <c r="B1811" s="8">
        <v>43918</v>
      </c>
      <c r="C1811" s="9" t="s">
        <v>3</v>
      </c>
      <c r="D1811" s="10">
        <v>0</v>
      </c>
      <c r="E1811" s="10">
        <v>50.365000000000002</v>
      </c>
      <c r="F1811" t="str">
        <f>VLOOKUP(A1811,StoreLookup,2,FALSE)</f>
        <v>Store#1</v>
      </c>
      <c r="G1811">
        <f>INDEX(CalLookUpTable,MATCH($B1811,CalLookUpRow,0),MATCH(G$1,CalLookUpColumn,0))</f>
        <v>2020</v>
      </c>
      <c r="H1811">
        <f>INDEX(CalLookUpTable,MATCH($B1811,CalLookUpRow,0),MATCH(H$1,CalLookUpColumn,0))</f>
        <v>3</v>
      </c>
      <c r="I1811">
        <f>INDEX(CalLookUpTable,MATCH($B1811,CalLookUpRow,0),MATCH(I$1,CalLookUpColumn,0))</f>
        <v>5</v>
      </c>
    </row>
    <row r="1812" spans="1:9" x14ac:dyDescent="0.25">
      <c r="A1812" s="7">
        <v>1</v>
      </c>
      <c r="B1812" s="8">
        <v>43918</v>
      </c>
      <c r="C1812" s="9" t="s">
        <v>6</v>
      </c>
      <c r="D1812" s="10">
        <v>3060.5889999999999</v>
      </c>
      <c r="E1812" s="10">
        <v>1036.567</v>
      </c>
      <c r="F1812" t="str">
        <f>VLOOKUP(A1812,StoreLookup,2,FALSE)</f>
        <v>Store#1</v>
      </c>
      <c r="G1812">
        <f>INDEX(CalLookUpTable,MATCH($B1812,CalLookUpRow,0),MATCH(G$1,CalLookUpColumn,0))</f>
        <v>2020</v>
      </c>
      <c r="H1812">
        <f>INDEX(CalLookUpTable,MATCH($B1812,CalLookUpRow,0),MATCH(H$1,CalLookUpColumn,0))</f>
        <v>3</v>
      </c>
      <c r="I1812">
        <f>INDEX(CalLookUpTable,MATCH($B1812,CalLookUpRow,0),MATCH(I$1,CalLookUpColumn,0))</f>
        <v>5</v>
      </c>
    </row>
    <row r="1813" spans="1:9" x14ac:dyDescent="0.25">
      <c r="A1813" s="7">
        <v>1</v>
      </c>
      <c r="B1813" s="8">
        <v>43918</v>
      </c>
      <c r="C1813" s="9" t="s">
        <v>5</v>
      </c>
      <c r="D1813" s="10">
        <v>6369.9929999999995</v>
      </c>
      <c r="E1813" s="10">
        <v>3742.0879999999997</v>
      </c>
      <c r="F1813" t="str">
        <f>VLOOKUP(A1813,StoreLookup,2,FALSE)</f>
        <v>Store#1</v>
      </c>
      <c r="G1813">
        <f>INDEX(CalLookUpTable,MATCH($B1813,CalLookUpRow,0),MATCH(G$1,CalLookUpColumn,0))</f>
        <v>2020</v>
      </c>
      <c r="H1813">
        <f>INDEX(CalLookUpTable,MATCH($B1813,CalLookUpRow,0),MATCH(H$1,CalLookUpColumn,0))</f>
        <v>3</v>
      </c>
      <c r="I1813">
        <f>INDEX(CalLookUpTable,MATCH($B1813,CalLookUpRow,0),MATCH(I$1,CalLookUpColumn,0))</f>
        <v>5</v>
      </c>
    </row>
    <row r="1814" spans="1:9" x14ac:dyDescent="0.25">
      <c r="A1814" s="7">
        <v>1</v>
      </c>
      <c r="B1814" s="8">
        <v>43919</v>
      </c>
      <c r="C1814" s="9" t="s">
        <v>6</v>
      </c>
      <c r="D1814" s="10">
        <v>954.06499999999994</v>
      </c>
      <c r="E1814" s="10">
        <v>299.03299999999996</v>
      </c>
      <c r="F1814" t="str">
        <f>VLOOKUP(A1814,StoreLookup,2,FALSE)</f>
        <v>Store#1</v>
      </c>
      <c r="G1814">
        <f>INDEX(CalLookUpTable,MATCH($B1814,CalLookUpRow,0),MATCH(G$1,CalLookUpColumn,0))</f>
        <v>2020</v>
      </c>
      <c r="H1814">
        <f>INDEX(CalLookUpTable,MATCH($B1814,CalLookUpRow,0),MATCH(H$1,CalLookUpColumn,0))</f>
        <v>3</v>
      </c>
      <c r="I1814">
        <f>INDEX(CalLookUpTable,MATCH($B1814,CalLookUpRow,0),MATCH(I$1,CalLookUpColumn,0))</f>
        <v>5</v>
      </c>
    </row>
    <row r="1815" spans="1:9" x14ac:dyDescent="0.25">
      <c r="A1815" s="7">
        <v>1</v>
      </c>
      <c r="B1815" s="8">
        <v>43919</v>
      </c>
      <c r="C1815" s="9" t="s">
        <v>5</v>
      </c>
      <c r="D1815" s="10">
        <v>2476.5160000000001</v>
      </c>
      <c r="E1815" s="10">
        <v>1714.027</v>
      </c>
      <c r="F1815" t="str">
        <f>VLOOKUP(A1815,StoreLookup,2,FALSE)</f>
        <v>Store#1</v>
      </c>
      <c r="G1815">
        <f>INDEX(CalLookUpTable,MATCH($B1815,CalLookUpRow,0),MATCH(G$1,CalLookUpColumn,0))</f>
        <v>2020</v>
      </c>
      <c r="H1815">
        <f>INDEX(CalLookUpTable,MATCH($B1815,CalLookUpRow,0),MATCH(H$1,CalLookUpColumn,0))</f>
        <v>3</v>
      </c>
      <c r="I1815">
        <f>INDEX(CalLookUpTable,MATCH($B1815,CalLookUpRow,0),MATCH(I$1,CalLookUpColumn,0))</f>
        <v>5</v>
      </c>
    </row>
    <row r="1816" spans="1:9" x14ac:dyDescent="0.25">
      <c r="A1816" s="7">
        <v>1</v>
      </c>
      <c r="B1816" s="8">
        <v>43919</v>
      </c>
      <c r="C1816" s="9" t="s">
        <v>4</v>
      </c>
      <c r="D1816" s="10">
        <v>-10.773</v>
      </c>
      <c r="E1816" s="10">
        <v>2912.8049999999994</v>
      </c>
      <c r="F1816" t="str">
        <f>VLOOKUP(A1816,StoreLookup,2,FALSE)</f>
        <v>Store#1</v>
      </c>
      <c r="G1816">
        <f>INDEX(CalLookUpTable,MATCH($B1816,CalLookUpRow,0),MATCH(G$1,CalLookUpColumn,0))</f>
        <v>2020</v>
      </c>
      <c r="H1816">
        <f>INDEX(CalLookUpTable,MATCH($B1816,CalLookUpRow,0),MATCH(H$1,CalLookUpColumn,0))</f>
        <v>3</v>
      </c>
      <c r="I1816">
        <f>INDEX(CalLookUpTable,MATCH($B1816,CalLookUpRow,0),MATCH(I$1,CalLookUpColumn,0))</f>
        <v>5</v>
      </c>
    </row>
    <row r="1817" spans="1:9" x14ac:dyDescent="0.25">
      <c r="A1817" s="7">
        <v>1</v>
      </c>
      <c r="B1817" s="8">
        <v>43919</v>
      </c>
      <c r="C1817" s="9" t="s">
        <v>3</v>
      </c>
      <c r="D1817" s="10">
        <v>56</v>
      </c>
      <c r="E1817" s="10">
        <v>0</v>
      </c>
      <c r="F1817" t="str">
        <f>VLOOKUP(A1817,StoreLookup,2,FALSE)</f>
        <v>Store#1</v>
      </c>
      <c r="G1817">
        <f>INDEX(CalLookUpTable,MATCH($B1817,CalLookUpRow,0),MATCH(G$1,CalLookUpColumn,0))</f>
        <v>2020</v>
      </c>
      <c r="H1817">
        <f>INDEX(CalLookUpTable,MATCH($B1817,CalLookUpRow,0),MATCH(H$1,CalLookUpColumn,0))</f>
        <v>3</v>
      </c>
      <c r="I1817">
        <f>INDEX(CalLookUpTable,MATCH($B1817,CalLookUpRow,0),MATCH(I$1,CalLookUpColumn,0))</f>
        <v>5</v>
      </c>
    </row>
    <row r="1818" spans="1:9" x14ac:dyDescent="0.25">
      <c r="A1818" s="7">
        <v>1</v>
      </c>
      <c r="B1818" s="8">
        <v>43920</v>
      </c>
      <c r="C1818" s="9" t="s">
        <v>4</v>
      </c>
      <c r="D1818" s="10">
        <v>4.5219999999999994</v>
      </c>
      <c r="E1818" s="10">
        <v>3623.2839999999997</v>
      </c>
      <c r="F1818" t="str">
        <f>VLOOKUP(A1818,StoreLookup,2,FALSE)</f>
        <v>Store#1</v>
      </c>
      <c r="G1818">
        <f>INDEX(CalLookUpTable,MATCH($B1818,CalLookUpRow,0),MATCH(G$1,CalLookUpColumn,0))</f>
        <v>2020</v>
      </c>
      <c r="H1818">
        <f>INDEX(CalLookUpTable,MATCH($B1818,CalLookUpRow,0),MATCH(H$1,CalLookUpColumn,0))</f>
        <v>4</v>
      </c>
      <c r="I1818">
        <f>INDEX(CalLookUpTable,MATCH($B1818,CalLookUpRow,0),MATCH(I$1,CalLookUpColumn,0))</f>
        <v>1</v>
      </c>
    </row>
    <row r="1819" spans="1:9" x14ac:dyDescent="0.25">
      <c r="A1819" s="7">
        <v>1</v>
      </c>
      <c r="B1819" s="8">
        <v>43920</v>
      </c>
      <c r="C1819" s="9" t="s">
        <v>6</v>
      </c>
      <c r="D1819" s="10">
        <v>1577.8139999999999</v>
      </c>
      <c r="E1819" s="10">
        <v>660.51300000000003</v>
      </c>
      <c r="F1819" t="str">
        <f>VLOOKUP(A1819,StoreLookup,2,FALSE)</f>
        <v>Store#1</v>
      </c>
      <c r="G1819">
        <f>INDEX(CalLookUpTable,MATCH($B1819,CalLookUpRow,0),MATCH(G$1,CalLookUpColumn,0))</f>
        <v>2020</v>
      </c>
      <c r="H1819">
        <f>INDEX(CalLookUpTable,MATCH($B1819,CalLookUpRow,0),MATCH(H$1,CalLookUpColumn,0))</f>
        <v>4</v>
      </c>
      <c r="I1819">
        <f>INDEX(CalLookUpTable,MATCH($B1819,CalLookUpRow,0),MATCH(I$1,CalLookUpColumn,0))</f>
        <v>1</v>
      </c>
    </row>
    <row r="1820" spans="1:9" x14ac:dyDescent="0.25">
      <c r="A1820" s="7">
        <v>1</v>
      </c>
      <c r="B1820" s="8">
        <v>43920</v>
      </c>
      <c r="C1820" s="9" t="s">
        <v>3</v>
      </c>
      <c r="D1820" s="10">
        <v>0</v>
      </c>
      <c r="E1820" s="10">
        <v>0</v>
      </c>
      <c r="F1820" t="str">
        <f>VLOOKUP(A1820,StoreLookup,2,FALSE)</f>
        <v>Store#1</v>
      </c>
      <c r="G1820">
        <f>INDEX(CalLookUpTable,MATCH($B1820,CalLookUpRow,0),MATCH(G$1,CalLookUpColumn,0))</f>
        <v>2020</v>
      </c>
      <c r="H1820">
        <f>INDEX(CalLookUpTable,MATCH($B1820,CalLookUpRow,0),MATCH(H$1,CalLookUpColumn,0))</f>
        <v>4</v>
      </c>
      <c r="I1820">
        <f>INDEX(CalLookUpTable,MATCH($B1820,CalLookUpRow,0),MATCH(I$1,CalLookUpColumn,0))</f>
        <v>1</v>
      </c>
    </row>
    <row r="1821" spans="1:9" x14ac:dyDescent="0.25">
      <c r="A1821" s="7">
        <v>1</v>
      </c>
      <c r="B1821" s="8">
        <v>43920</v>
      </c>
      <c r="C1821" s="9" t="s">
        <v>5</v>
      </c>
      <c r="D1821" s="10">
        <v>4628.1970000000001</v>
      </c>
      <c r="E1821" s="10">
        <v>3001.7119999999995</v>
      </c>
      <c r="F1821" t="str">
        <f>VLOOKUP(A1821,StoreLookup,2,FALSE)</f>
        <v>Store#1</v>
      </c>
      <c r="G1821">
        <f>INDEX(CalLookUpTable,MATCH($B1821,CalLookUpRow,0),MATCH(G$1,CalLookUpColumn,0))</f>
        <v>2020</v>
      </c>
      <c r="H1821">
        <f>INDEX(CalLookUpTable,MATCH($B1821,CalLookUpRow,0),MATCH(H$1,CalLookUpColumn,0))</f>
        <v>4</v>
      </c>
      <c r="I1821">
        <f>INDEX(CalLookUpTable,MATCH($B1821,CalLookUpRow,0),MATCH(I$1,CalLookUpColumn,0))</f>
        <v>1</v>
      </c>
    </row>
    <row r="1822" spans="1:9" x14ac:dyDescent="0.25">
      <c r="A1822" s="7">
        <v>1</v>
      </c>
      <c r="B1822" s="8">
        <v>43921</v>
      </c>
      <c r="C1822" s="9" t="s">
        <v>6</v>
      </c>
      <c r="D1822" s="10">
        <v>1682.4359999999999</v>
      </c>
      <c r="E1822" s="10">
        <v>1350.3139999999999</v>
      </c>
      <c r="F1822" t="str">
        <f>VLOOKUP(A1822,StoreLookup,2,FALSE)</f>
        <v>Store#1</v>
      </c>
      <c r="G1822">
        <f>INDEX(CalLookUpTable,MATCH($B1822,CalLookUpRow,0),MATCH(G$1,CalLookUpColumn,0))</f>
        <v>2020</v>
      </c>
      <c r="H1822">
        <f>INDEX(CalLookUpTable,MATCH($B1822,CalLookUpRow,0),MATCH(H$1,CalLookUpColumn,0))</f>
        <v>4</v>
      </c>
      <c r="I1822">
        <f>INDEX(CalLookUpTable,MATCH($B1822,CalLookUpRow,0),MATCH(I$1,CalLookUpColumn,0))</f>
        <v>1</v>
      </c>
    </row>
    <row r="1823" spans="1:9" x14ac:dyDescent="0.25">
      <c r="A1823" s="7">
        <v>1</v>
      </c>
      <c r="B1823" s="8">
        <v>43921</v>
      </c>
      <c r="C1823" s="9" t="s">
        <v>4</v>
      </c>
      <c r="D1823" s="10">
        <v>78.015000000000001</v>
      </c>
      <c r="E1823" s="10">
        <v>4149.607</v>
      </c>
      <c r="F1823" t="str">
        <f>VLOOKUP(A1823,StoreLookup,2,FALSE)</f>
        <v>Store#1</v>
      </c>
      <c r="G1823">
        <f>INDEX(CalLookUpTable,MATCH($B1823,CalLookUpRow,0),MATCH(G$1,CalLookUpColumn,0))</f>
        <v>2020</v>
      </c>
      <c r="H1823">
        <f>INDEX(CalLookUpTable,MATCH($B1823,CalLookUpRow,0),MATCH(H$1,CalLookUpColumn,0))</f>
        <v>4</v>
      </c>
      <c r="I1823">
        <f>INDEX(CalLookUpTable,MATCH($B1823,CalLookUpRow,0),MATCH(I$1,CalLookUpColumn,0))</f>
        <v>1</v>
      </c>
    </row>
    <row r="1824" spans="1:9" x14ac:dyDescent="0.25">
      <c r="A1824" s="7">
        <v>1</v>
      </c>
      <c r="B1824" s="8">
        <v>43921</v>
      </c>
      <c r="C1824" s="9" t="s">
        <v>3</v>
      </c>
      <c r="D1824" s="10">
        <v>0</v>
      </c>
      <c r="E1824" s="10">
        <v>153.85999999999999</v>
      </c>
      <c r="F1824" t="str">
        <f>VLOOKUP(A1824,StoreLookup,2,FALSE)</f>
        <v>Store#1</v>
      </c>
      <c r="G1824">
        <f>INDEX(CalLookUpTable,MATCH($B1824,CalLookUpRow,0),MATCH(G$1,CalLookUpColumn,0))</f>
        <v>2020</v>
      </c>
      <c r="H1824">
        <f>INDEX(CalLookUpTable,MATCH($B1824,CalLookUpRow,0),MATCH(H$1,CalLookUpColumn,0))</f>
        <v>4</v>
      </c>
      <c r="I1824">
        <f>INDEX(CalLookUpTable,MATCH($B1824,CalLookUpRow,0),MATCH(I$1,CalLookUpColumn,0))</f>
        <v>1</v>
      </c>
    </row>
    <row r="1825" spans="1:9" x14ac:dyDescent="0.25">
      <c r="A1825" s="7">
        <v>1</v>
      </c>
      <c r="B1825" s="8">
        <v>43921</v>
      </c>
      <c r="C1825" s="9" t="s">
        <v>5</v>
      </c>
      <c r="D1825" s="10">
        <v>5040.4690000000001</v>
      </c>
      <c r="E1825" s="10">
        <v>3314.8290000000002</v>
      </c>
      <c r="F1825" t="str">
        <f>VLOOKUP(A1825,StoreLookup,2,FALSE)</f>
        <v>Store#1</v>
      </c>
      <c r="G1825">
        <f>INDEX(CalLookUpTable,MATCH($B1825,CalLookUpRow,0),MATCH(G$1,CalLookUpColumn,0))</f>
        <v>2020</v>
      </c>
      <c r="H1825">
        <f>INDEX(CalLookUpTable,MATCH($B1825,CalLookUpRow,0),MATCH(H$1,CalLookUpColumn,0))</f>
        <v>4</v>
      </c>
      <c r="I1825">
        <f>INDEX(CalLookUpTable,MATCH($B1825,CalLookUpRow,0),MATCH(I$1,CalLookUpColumn,0))</f>
        <v>1</v>
      </c>
    </row>
    <row r="1826" spans="1:9" x14ac:dyDescent="0.25">
      <c r="A1826" s="7">
        <v>1</v>
      </c>
      <c r="B1826" s="8">
        <v>43922</v>
      </c>
      <c r="C1826" s="9" t="s">
        <v>4</v>
      </c>
      <c r="D1826" s="10">
        <v>36.084999999999994</v>
      </c>
      <c r="E1826" s="10">
        <v>4821.1030000000001</v>
      </c>
      <c r="F1826" t="str">
        <f>VLOOKUP(A1826,StoreLookup,2,FALSE)</f>
        <v>Store#1</v>
      </c>
      <c r="G1826">
        <f>INDEX(CalLookUpTable,MATCH($B1826,CalLookUpRow,0),MATCH(G$1,CalLookUpColumn,0))</f>
        <v>2020</v>
      </c>
      <c r="H1826">
        <f>INDEX(CalLookUpTable,MATCH($B1826,CalLookUpRow,0),MATCH(H$1,CalLookUpColumn,0))</f>
        <v>4</v>
      </c>
      <c r="I1826">
        <f>INDEX(CalLookUpTable,MATCH($B1826,CalLookUpRow,0),MATCH(I$1,CalLookUpColumn,0))</f>
        <v>1</v>
      </c>
    </row>
    <row r="1827" spans="1:9" x14ac:dyDescent="0.25">
      <c r="A1827" s="7">
        <v>1</v>
      </c>
      <c r="B1827" s="8">
        <v>43922</v>
      </c>
      <c r="C1827" s="9" t="s">
        <v>3</v>
      </c>
      <c r="D1827" s="10">
        <v>38.030999999999999</v>
      </c>
      <c r="E1827" s="10">
        <v>0</v>
      </c>
      <c r="F1827" t="str">
        <f>VLOOKUP(A1827,StoreLookup,2,FALSE)</f>
        <v>Store#1</v>
      </c>
      <c r="G1827">
        <f>INDEX(CalLookUpTable,MATCH($B1827,CalLookUpRow,0),MATCH(G$1,CalLookUpColumn,0))</f>
        <v>2020</v>
      </c>
      <c r="H1827">
        <f>INDEX(CalLookUpTable,MATCH($B1827,CalLookUpRow,0),MATCH(H$1,CalLookUpColumn,0))</f>
        <v>4</v>
      </c>
      <c r="I1827">
        <f>INDEX(CalLookUpTable,MATCH($B1827,CalLookUpRow,0),MATCH(I$1,CalLookUpColumn,0))</f>
        <v>1</v>
      </c>
    </row>
    <row r="1828" spans="1:9" x14ac:dyDescent="0.25">
      <c r="A1828" s="7">
        <v>1</v>
      </c>
      <c r="B1828" s="8">
        <v>43922</v>
      </c>
      <c r="C1828" s="9" t="s">
        <v>6</v>
      </c>
      <c r="D1828" s="10">
        <v>2280.663</v>
      </c>
      <c r="E1828" s="10">
        <v>829.70299999999997</v>
      </c>
      <c r="F1828" t="str">
        <f>VLOOKUP(A1828,StoreLookup,2,FALSE)</f>
        <v>Store#1</v>
      </c>
      <c r="G1828">
        <f>INDEX(CalLookUpTable,MATCH($B1828,CalLookUpRow,0),MATCH(G$1,CalLookUpColumn,0))</f>
        <v>2020</v>
      </c>
      <c r="H1828">
        <f>INDEX(CalLookUpTable,MATCH($B1828,CalLookUpRow,0),MATCH(H$1,CalLookUpColumn,0))</f>
        <v>4</v>
      </c>
      <c r="I1828">
        <f>INDEX(CalLookUpTable,MATCH($B1828,CalLookUpRow,0),MATCH(I$1,CalLookUpColumn,0))</f>
        <v>1</v>
      </c>
    </row>
    <row r="1829" spans="1:9" x14ac:dyDescent="0.25">
      <c r="A1829" s="7">
        <v>1</v>
      </c>
      <c r="B1829" s="8">
        <v>43922</v>
      </c>
      <c r="C1829" s="9" t="s">
        <v>5</v>
      </c>
      <c r="D1829" s="10">
        <v>4907.9869999999992</v>
      </c>
      <c r="E1829" s="10">
        <v>3124.9189999999999</v>
      </c>
      <c r="F1829" t="str">
        <f>VLOOKUP(A1829,StoreLookup,2,FALSE)</f>
        <v>Store#1</v>
      </c>
      <c r="G1829">
        <f>INDEX(CalLookUpTable,MATCH($B1829,CalLookUpRow,0),MATCH(G$1,CalLookUpColumn,0))</f>
        <v>2020</v>
      </c>
      <c r="H1829">
        <f>INDEX(CalLookUpTable,MATCH($B1829,CalLookUpRow,0),MATCH(H$1,CalLookUpColumn,0))</f>
        <v>4</v>
      </c>
      <c r="I1829">
        <f>INDEX(CalLookUpTable,MATCH($B1829,CalLookUpRow,0),MATCH(I$1,CalLookUpColumn,0))</f>
        <v>1</v>
      </c>
    </row>
    <row r="1830" spans="1:9" x14ac:dyDescent="0.25">
      <c r="A1830" s="7">
        <v>1</v>
      </c>
      <c r="B1830" s="8">
        <v>43923</v>
      </c>
      <c r="C1830" s="9" t="s">
        <v>4</v>
      </c>
      <c r="D1830" s="10">
        <v>1268.4419999999998</v>
      </c>
      <c r="E1830" s="10">
        <v>6681.3039999999992</v>
      </c>
      <c r="F1830" t="str">
        <f>VLOOKUP(A1830,StoreLookup,2,FALSE)</f>
        <v>Store#1</v>
      </c>
      <c r="G1830">
        <f>INDEX(CalLookUpTable,MATCH($B1830,CalLookUpRow,0),MATCH(G$1,CalLookUpColumn,0))</f>
        <v>2020</v>
      </c>
      <c r="H1830">
        <f>INDEX(CalLookUpTable,MATCH($B1830,CalLookUpRow,0),MATCH(H$1,CalLookUpColumn,0))</f>
        <v>4</v>
      </c>
      <c r="I1830">
        <f>INDEX(CalLookUpTable,MATCH($B1830,CalLookUpRow,0),MATCH(I$1,CalLookUpColumn,0))</f>
        <v>1</v>
      </c>
    </row>
    <row r="1831" spans="1:9" x14ac:dyDescent="0.25">
      <c r="A1831" s="7">
        <v>1</v>
      </c>
      <c r="B1831" s="8">
        <v>43923</v>
      </c>
      <c r="C1831" s="9" t="s">
        <v>6</v>
      </c>
      <c r="D1831" s="10">
        <v>3622.8359999999993</v>
      </c>
      <c r="E1831" s="10">
        <v>1534.617</v>
      </c>
      <c r="F1831" t="str">
        <f>VLOOKUP(A1831,StoreLookup,2,FALSE)</f>
        <v>Store#1</v>
      </c>
      <c r="G1831">
        <f>INDEX(CalLookUpTable,MATCH($B1831,CalLookUpRow,0),MATCH(G$1,CalLookUpColumn,0))</f>
        <v>2020</v>
      </c>
      <c r="H1831">
        <f>INDEX(CalLookUpTable,MATCH($B1831,CalLookUpRow,0),MATCH(H$1,CalLookUpColumn,0))</f>
        <v>4</v>
      </c>
      <c r="I1831">
        <f>INDEX(CalLookUpTable,MATCH($B1831,CalLookUpRow,0),MATCH(I$1,CalLookUpColumn,0))</f>
        <v>1</v>
      </c>
    </row>
    <row r="1832" spans="1:9" x14ac:dyDescent="0.25">
      <c r="A1832" s="7">
        <v>1</v>
      </c>
      <c r="B1832" s="8">
        <v>43923</v>
      </c>
      <c r="C1832" s="9" t="s">
        <v>3</v>
      </c>
      <c r="D1832" s="10">
        <v>24.416</v>
      </c>
      <c r="E1832" s="10">
        <v>0</v>
      </c>
      <c r="F1832" t="str">
        <f>VLOOKUP(A1832,StoreLookup,2,FALSE)</f>
        <v>Store#1</v>
      </c>
      <c r="G1832">
        <f>INDEX(CalLookUpTable,MATCH($B1832,CalLookUpRow,0),MATCH(G$1,CalLookUpColumn,0))</f>
        <v>2020</v>
      </c>
      <c r="H1832">
        <f>INDEX(CalLookUpTable,MATCH($B1832,CalLookUpRow,0),MATCH(H$1,CalLookUpColumn,0))</f>
        <v>4</v>
      </c>
      <c r="I1832">
        <f>INDEX(CalLookUpTable,MATCH($B1832,CalLookUpRow,0),MATCH(I$1,CalLookUpColumn,0))</f>
        <v>1</v>
      </c>
    </row>
    <row r="1833" spans="1:9" x14ac:dyDescent="0.25">
      <c r="A1833" s="7">
        <v>1</v>
      </c>
      <c r="B1833" s="8">
        <v>43923</v>
      </c>
      <c r="C1833" s="9" t="s">
        <v>5</v>
      </c>
      <c r="D1833" s="10">
        <v>6150.8929999999991</v>
      </c>
      <c r="E1833" s="10">
        <v>3857.1679999999997</v>
      </c>
      <c r="F1833" t="str">
        <f>VLOOKUP(A1833,StoreLookup,2,FALSE)</f>
        <v>Store#1</v>
      </c>
      <c r="G1833">
        <f>INDEX(CalLookUpTable,MATCH($B1833,CalLookUpRow,0),MATCH(G$1,CalLookUpColumn,0))</f>
        <v>2020</v>
      </c>
      <c r="H1833">
        <f>INDEX(CalLookUpTable,MATCH($B1833,CalLookUpRow,0),MATCH(H$1,CalLookUpColumn,0))</f>
        <v>4</v>
      </c>
      <c r="I1833">
        <f>INDEX(CalLookUpTable,MATCH($B1833,CalLookUpRow,0),MATCH(I$1,CalLookUpColumn,0))</f>
        <v>1</v>
      </c>
    </row>
    <row r="1834" spans="1:9" x14ac:dyDescent="0.25">
      <c r="A1834" s="7">
        <v>1</v>
      </c>
      <c r="B1834" s="8">
        <v>43924</v>
      </c>
      <c r="C1834" s="9" t="s">
        <v>4</v>
      </c>
      <c r="D1834" s="10">
        <v>1298.3389999999999</v>
      </c>
      <c r="E1834" s="10">
        <v>5840.4289999999992</v>
      </c>
      <c r="F1834" t="str">
        <f>VLOOKUP(A1834,StoreLookup,2,FALSE)</f>
        <v>Store#1</v>
      </c>
      <c r="G1834">
        <f>INDEX(CalLookUpTable,MATCH($B1834,CalLookUpRow,0),MATCH(G$1,CalLookUpColumn,0))</f>
        <v>2020</v>
      </c>
      <c r="H1834">
        <f>INDEX(CalLookUpTable,MATCH($B1834,CalLookUpRow,0),MATCH(H$1,CalLookUpColumn,0))</f>
        <v>4</v>
      </c>
      <c r="I1834">
        <f>INDEX(CalLookUpTable,MATCH($B1834,CalLookUpRow,0),MATCH(I$1,CalLookUpColumn,0))</f>
        <v>1</v>
      </c>
    </row>
    <row r="1835" spans="1:9" x14ac:dyDescent="0.25">
      <c r="A1835" s="7">
        <v>1</v>
      </c>
      <c r="B1835" s="8">
        <v>43924</v>
      </c>
      <c r="C1835" s="9" t="s">
        <v>6</v>
      </c>
      <c r="D1835" s="10">
        <v>2651.4110000000001</v>
      </c>
      <c r="E1835" s="10">
        <v>1011.1709999999999</v>
      </c>
      <c r="F1835" t="str">
        <f>VLOOKUP(A1835,StoreLookup,2,FALSE)</f>
        <v>Store#1</v>
      </c>
      <c r="G1835">
        <f>INDEX(CalLookUpTable,MATCH($B1835,CalLookUpRow,0),MATCH(G$1,CalLookUpColumn,0))</f>
        <v>2020</v>
      </c>
      <c r="H1835">
        <f>INDEX(CalLookUpTable,MATCH($B1835,CalLookUpRow,0),MATCH(H$1,CalLookUpColumn,0))</f>
        <v>4</v>
      </c>
      <c r="I1835">
        <f>INDEX(CalLookUpTable,MATCH($B1835,CalLookUpRow,0),MATCH(I$1,CalLookUpColumn,0))</f>
        <v>1</v>
      </c>
    </row>
    <row r="1836" spans="1:9" x14ac:dyDescent="0.25">
      <c r="A1836" s="7">
        <v>1</v>
      </c>
      <c r="B1836" s="8">
        <v>43924</v>
      </c>
      <c r="C1836" s="9" t="s">
        <v>3</v>
      </c>
      <c r="D1836" s="10">
        <v>0</v>
      </c>
      <c r="E1836" s="10">
        <v>36.140999999999998</v>
      </c>
      <c r="F1836" t="str">
        <f>VLOOKUP(A1836,StoreLookup,2,FALSE)</f>
        <v>Store#1</v>
      </c>
      <c r="G1836">
        <f>INDEX(CalLookUpTable,MATCH($B1836,CalLookUpRow,0),MATCH(G$1,CalLookUpColumn,0))</f>
        <v>2020</v>
      </c>
      <c r="H1836">
        <f>INDEX(CalLookUpTable,MATCH($B1836,CalLookUpRow,0),MATCH(H$1,CalLookUpColumn,0))</f>
        <v>4</v>
      </c>
      <c r="I1836">
        <f>INDEX(CalLookUpTable,MATCH($B1836,CalLookUpRow,0),MATCH(I$1,CalLookUpColumn,0))</f>
        <v>1</v>
      </c>
    </row>
    <row r="1837" spans="1:9" x14ac:dyDescent="0.25">
      <c r="A1837" s="7">
        <v>1</v>
      </c>
      <c r="B1837" s="8">
        <v>43924</v>
      </c>
      <c r="C1837" s="9" t="s">
        <v>5</v>
      </c>
      <c r="D1837" s="10">
        <v>6129.5989999999993</v>
      </c>
      <c r="E1837" s="10">
        <v>3709.1039999999998</v>
      </c>
      <c r="F1837" t="str">
        <f>VLOOKUP(A1837,StoreLookup,2,FALSE)</f>
        <v>Store#1</v>
      </c>
      <c r="G1837">
        <f>INDEX(CalLookUpTable,MATCH($B1837,CalLookUpRow,0),MATCH(G$1,CalLookUpColumn,0))</f>
        <v>2020</v>
      </c>
      <c r="H1837">
        <f>INDEX(CalLookUpTable,MATCH($B1837,CalLookUpRow,0),MATCH(H$1,CalLookUpColumn,0))</f>
        <v>4</v>
      </c>
      <c r="I1837">
        <f>INDEX(CalLookUpTable,MATCH($B1837,CalLookUpRow,0),MATCH(I$1,CalLookUpColumn,0))</f>
        <v>1</v>
      </c>
    </row>
    <row r="1838" spans="1:9" x14ac:dyDescent="0.25">
      <c r="A1838" s="7">
        <v>1</v>
      </c>
      <c r="B1838" s="8">
        <v>43925</v>
      </c>
      <c r="C1838" s="9" t="s">
        <v>6</v>
      </c>
      <c r="D1838" s="10">
        <v>3393.4809999999998</v>
      </c>
      <c r="E1838" s="10">
        <v>1115.8559999999998</v>
      </c>
      <c r="F1838" t="str">
        <f>VLOOKUP(A1838,StoreLookup,2,FALSE)</f>
        <v>Store#1</v>
      </c>
      <c r="G1838">
        <f>INDEX(CalLookUpTable,MATCH($B1838,CalLookUpRow,0),MATCH(G$1,CalLookUpColumn,0))</f>
        <v>2020</v>
      </c>
      <c r="H1838">
        <f>INDEX(CalLookUpTable,MATCH($B1838,CalLookUpRow,0),MATCH(H$1,CalLookUpColumn,0))</f>
        <v>4</v>
      </c>
      <c r="I1838">
        <f>INDEX(CalLookUpTable,MATCH($B1838,CalLookUpRow,0),MATCH(I$1,CalLookUpColumn,0))</f>
        <v>1</v>
      </c>
    </row>
    <row r="1839" spans="1:9" x14ac:dyDescent="0.25">
      <c r="A1839" s="7">
        <v>1</v>
      </c>
      <c r="B1839" s="8">
        <v>43925</v>
      </c>
      <c r="C1839" s="9" t="s">
        <v>3</v>
      </c>
      <c r="D1839" s="10">
        <v>0</v>
      </c>
      <c r="E1839" s="10">
        <v>733.59299999999996</v>
      </c>
      <c r="F1839" t="str">
        <f>VLOOKUP(A1839,StoreLookup,2,FALSE)</f>
        <v>Store#1</v>
      </c>
      <c r="G1839">
        <f>INDEX(CalLookUpTable,MATCH($B1839,CalLookUpRow,0),MATCH(G$1,CalLookUpColumn,0))</f>
        <v>2020</v>
      </c>
      <c r="H1839">
        <f>INDEX(CalLookUpTable,MATCH($B1839,CalLookUpRow,0),MATCH(H$1,CalLookUpColumn,0))</f>
        <v>4</v>
      </c>
      <c r="I1839">
        <f>INDEX(CalLookUpTable,MATCH($B1839,CalLookUpRow,0),MATCH(I$1,CalLookUpColumn,0))</f>
        <v>1</v>
      </c>
    </row>
    <row r="1840" spans="1:9" x14ac:dyDescent="0.25">
      <c r="A1840" s="7">
        <v>1</v>
      </c>
      <c r="B1840" s="8">
        <v>43925</v>
      </c>
      <c r="C1840" s="9" t="s">
        <v>5</v>
      </c>
      <c r="D1840" s="10">
        <v>4968.0469999999996</v>
      </c>
      <c r="E1840" s="10">
        <v>3345.1320000000001</v>
      </c>
      <c r="F1840" t="str">
        <f>VLOOKUP(A1840,StoreLookup,2,FALSE)</f>
        <v>Store#1</v>
      </c>
      <c r="G1840">
        <f>INDEX(CalLookUpTable,MATCH($B1840,CalLookUpRow,0),MATCH(G$1,CalLookUpColumn,0))</f>
        <v>2020</v>
      </c>
      <c r="H1840">
        <f>INDEX(CalLookUpTable,MATCH($B1840,CalLookUpRow,0),MATCH(H$1,CalLookUpColumn,0))</f>
        <v>4</v>
      </c>
      <c r="I1840">
        <f>INDEX(CalLookUpTable,MATCH($B1840,CalLookUpRow,0),MATCH(I$1,CalLookUpColumn,0))</f>
        <v>1</v>
      </c>
    </row>
    <row r="1841" spans="1:9" x14ac:dyDescent="0.25">
      <c r="A1841" s="7">
        <v>1</v>
      </c>
      <c r="B1841" s="8">
        <v>43925</v>
      </c>
      <c r="C1841" s="9" t="s">
        <v>4</v>
      </c>
      <c r="D1841" s="10">
        <v>430.00999999999993</v>
      </c>
      <c r="E1841" s="10">
        <v>4327.0919999999996</v>
      </c>
      <c r="F1841" t="str">
        <f>VLOOKUP(A1841,StoreLookup,2,FALSE)</f>
        <v>Store#1</v>
      </c>
      <c r="G1841">
        <f>INDEX(CalLookUpTable,MATCH($B1841,CalLookUpRow,0),MATCH(G$1,CalLookUpColumn,0))</f>
        <v>2020</v>
      </c>
      <c r="H1841">
        <f>INDEX(CalLookUpTable,MATCH($B1841,CalLookUpRow,0),MATCH(H$1,CalLookUpColumn,0))</f>
        <v>4</v>
      </c>
      <c r="I1841">
        <f>INDEX(CalLookUpTable,MATCH($B1841,CalLookUpRow,0),MATCH(I$1,CalLookUpColumn,0))</f>
        <v>1</v>
      </c>
    </row>
    <row r="1842" spans="1:9" x14ac:dyDescent="0.25">
      <c r="A1842" s="7">
        <v>1</v>
      </c>
      <c r="B1842" s="8">
        <v>43926</v>
      </c>
      <c r="C1842" s="9" t="s">
        <v>4</v>
      </c>
      <c r="D1842" s="10">
        <v>-7.6929999999999996</v>
      </c>
      <c r="E1842" s="10">
        <v>2572.0449999999996</v>
      </c>
      <c r="F1842" t="str">
        <f>VLOOKUP(A1842,StoreLookup,2,FALSE)</f>
        <v>Store#1</v>
      </c>
      <c r="G1842">
        <f>INDEX(CalLookUpTable,MATCH($B1842,CalLookUpRow,0),MATCH(G$1,CalLookUpColumn,0))</f>
        <v>2020</v>
      </c>
      <c r="H1842">
        <f>INDEX(CalLookUpTable,MATCH($B1842,CalLookUpRow,0),MATCH(H$1,CalLookUpColumn,0))</f>
        <v>4</v>
      </c>
      <c r="I1842">
        <f>INDEX(CalLookUpTable,MATCH($B1842,CalLookUpRow,0),MATCH(I$1,CalLookUpColumn,0))</f>
        <v>1</v>
      </c>
    </row>
    <row r="1843" spans="1:9" x14ac:dyDescent="0.25">
      <c r="A1843" s="7">
        <v>1</v>
      </c>
      <c r="B1843" s="8">
        <v>43926</v>
      </c>
      <c r="C1843" s="9" t="s">
        <v>6</v>
      </c>
      <c r="D1843" s="10">
        <v>1535.6179999999997</v>
      </c>
      <c r="E1843" s="10">
        <v>242.33299999999997</v>
      </c>
      <c r="F1843" t="str">
        <f>VLOOKUP(A1843,StoreLookup,2,FALSE)</f>
        <v>Store#1</v>
      </c>
      <c r="G1843">
        <f>INDEX(CalLookUpTable,MATCH($B1843,CalLookUpRow,0),MATCH(G$1,CalLookUpColumn,0))</f>
        <v>2020</v>
      </c>
      <c r="H1843">
        <f>INDEX(CalLookUpTable,MATCH($B1843,CalLookUpRow,0),MATCH(H$1,CalLookUpColumn,0))</f>
        <v>4</v>
      </c>
      <c r="I1843">
        <f>INDEX(CalLookUpTable,MATCH($B1843,CalLookUpRow,0),MATCH(I$1,CalLookUpColumn,0))</f>
        <v>1</v>
      </c>
    </row>
    <row r="1844" spans="1:9" x14ac:dyDescent="0.25">
      <c r="A1844" s="7">
        <v>1</v>
      </c>
      <c r="B1844" s="8">
        <v>43926</v>
      </c>
      <c r="C1844" s="9" t="s">
        <v>5</v>
      </c>
      <c r="D1844" s="10">
        <v>2863.0839999999998</v>
      </c>
      <c r="E1844" s="10">
        <v>1770.664</v>
      </c>
      <c r="F1844" t="str">
        <f>VLOOKUP(A1844,StoreLookup,2,FALSE)</f>
        <v>Store#1</v>
      </c>
      <c r="G1844">
        <f>INDEX(CalLookUpTable,MATCH($B1844,CalLookUpRow,0),MATCH(G$1,CalLookUpColumn,0))</f>
        <v>2020</v>
      </c>
      <c r="H1844">
        <f>INDEX(CalLookUpTable,MATCH($B1844,CalLookUpRow,0),MATCH(H$1,CalLookUpColumn,0))</f>
        <v>4</v>
      </c>
      <c r="I1844">
        <f>INDEX(CalLookUpTable,MATCH($B1844,CalLookUpRow,0),MATCH(I$1,CalLookUpColumn,0))</f>
        <v>1</v>
      </c>
    </row>
    <row r="1845" spans="1:9" x14ac:dyDescent="0.25">
      <c r="A1845" s="7">
        <v>1</v>
      </c>
      <c r="B1845" s="8">
        <v>43926</v>
      </c>
      <c r="C1845" s="9" t="s">
        <v>3</v>
      </c>
      <c r="D1845" s="10">
        <v>68.39</v>
      </c>
      <c r="E1845" s="10">
        <v>0</v>
      </c>
      <c r="F1845" t="str">
        <f>VLOOKUP(A1845,StoreLookup,2,FALSE)</f>
        <v>Store#1</v>
      </c>
      <c r="G1845">
        <f>INDEX(CalLookUpTable,MATCH($B1845,CalLookUpRow,0),MATCH(G$1,CalLookUpColumn,0))</f>
        <v>2020</v>
      </c>
      <c r="H1845">
        <f>INDEX(CalLookUpTable,MATCH($B1845,CalLookUpRow,0),MATCH(H$1,CalLookUpColumn,0))</f>
        <v>4</v>
      </c>
      <c r="I1845">
        <f>INDEX(CalLookUpTable,MATCH($B1845,CalLookUpRow,0),MATCH(I$1,CalLookUpColumn,0))</f>
        <v>1</v>
      </c>
    </row>
    <row r="1846" spans="1:9" x14ac:dyDescent="0.25">
      <c r="A1846" s="7">
        <v>1</v>
      </c>
      <c r="B1846" s="8">
        <v>43927</v>
      </c>
      <c r="C1846" s="9" t="s">
        <v>6</v>
      </c>
      <c r="D1846" s="10">
        <v>2462.6210000000001</v>
      </c>
      <c r="E1846" s="10">
        <v>744.97499999999991</v>
      </c>
      <c r="F1846" t="str">
        <f>VLOOKUP(A1846,StoreLookup,2,FALSE)</f>
        <v>Store#1</v>
      </c>
      <c r="G1846">
        <f>INDEX(CalLookUpTable,MATCH($B1846,CalLookUpRow,0),MATCH(G$1,CalLookUpColumn,0))</f>
        <v>2020</v>
      </c>
      <c r="H1846">
        <f>INDEX(CalLookUpTable,MATCH($B1846,CalLookUpRow,0),MATCH(H$1,CalLookUpColumn,0))</f>
        <v>4</v>
      </c>
      <c r="I1846">
        <f>INDEX(CalLookUpTable,MATCH($B1846,CalLookUpRow,0),MATCH(I$1,CalLookUpColumn,0))</f>
        <v>2</v>
      </c>
    </row>
    <row r="1847" spans="1:9" x14ac:dyDescent="0.25">
      <c r="A1847" s="7">
        <v>1</v>
      </c>
      <c r="B1847" s="8">
        <v>43927</v>
      </c>
      <c r="C1847" s="9" t="s">
        <v>4</v>
      </c>
      <c r="D1847" s="10">
        <v>-11.927999999999999</v>
      </c>
      <c r="E1847" s="10">
        <v>3366.8249999999998</v>
      </c>
      <c r="F1847" t="str">
        <f>VLOOKUP(A1847,StoreLookup,2,FALSE)</f>
        <v>Store#1</v>
      </c>
      <c r="G1847">
        <f>INDEX(CalLookUpTable,MATCH($B1847,CalLookUpRow,0),MATCH(G$1,CalLookUpColumn,0))</f>
        <v>2020</v>
      </c>
      <c r="H1847">
        <f>INDEX(CalLookUpTable,MATCH($B1847,CalLookUpRow,0),MATCH(H$1,CalLookUpColumn,0))</f>
        <v>4</v>
      </c>
      <c r="I1847">
        <f>INDEX(CalLookUpTable,MATCH($B1847,CalLookUpRow,0),MATCH(I$1,CalLookUpColumn,0))</f>
        <v>2</v>
      </c>
    </row>
    <row r="1848" spans="1:9" x14ac:dyDescent="0.25">
      <c r="A1848" s="7">
        <v>1</v>
      </c>
      <c r="B1848" s="8">
        <v>43927</v>
      </c>
      <c r="C1848" s="9" t="s">
        <v>3</v>
      </c>
      <c r="D1848" s="10">
        <v>0</v>
      </c>
      <c r="E1848" s="10">
        <v>192.32499999999999</v>
      </c>
      <c r="F1848" t="str">
        <f>VLOOKUP(A1848,StoreLookup,2,FALSE)</f>
        <v>Store#1</v>
      </c>
      <c r="G1848">
        <f>INDEX(CalLookUpTable,MATCH($B1848,CalLookUpRow,0),MATCH(G$1,CalLookUpColumn,0))</f>
        <v>2020</v>
      </c>
      <c r="H1848">
        <f>INDEX(CalLookUpTable,MATCH($B1848,CalLookUpRow,0),MATCH(H$1,CalLookUpColumn,0))</f>
        <v>4</v>
      </c>
      <c r="I1848">
        <f>INDEX(CalLookUpTable,MATCH($B1848,CalLookUpRow,0),MATCH(I$1,CalLookUpColumn,0))</f>
        <v>2</v>
      </c>
    </row>
    <row r="1849" spans="1:9" x14ac:dyDescent="0.25">
      <c r="A1849" s="7">
        <v>1</v>
      </c>
      <c r="B1849" s="8">
        <v>43927</v>
      </c>
      <c r="C1849" s="9" t="s">
        <v>5</v>
      </c>
      <c r="D1849" s="10">
        <v>4286.009</v>
      </c>
      <c r="E1849" s="10">
        <v>3035.1299999999997</v>
      </c>
      <c r="F1849" t="str">
        <f>VLOOKUP(A1849,StoreLookup,2,FALSE)</f>
        <v>Store#1</v>
      </c>
      <c r="G1849">
        <f>INDEX(CalLookUpTable,MATCH($B1849,CalLookUpRow,0),MATCH(G$1,CalLookUpColumn,0))</f>
        <v>2020</v>
      </c>
      <c r="H1849">
        <f>INDEX(CalLookUpTable,MATCH($B1849,CalLookUpRow,0),MATCH(H$1,CalLookUpColumn,0))</f>
        <v>4</v>
      </c>
      <c r="I1849">
        <f>INDEX(CalLookUpTable,MATCH($B1849,CalLookUpRow,0),MATCH(I$1,CalLookUpColumn,0))</f>
        <v>2</v>
      </c>
    </row>
    <row r="1850" spans="1:9" x14ac:dyDescent="0.25">
      <c r="A1850" s="7">
        <v>1</v>
      </c>
      <c r="B1850" s="8">
        <v>43928</v>
      </c>
      <c r="C1850" s="9" t="s">
        <v>6</v>
      </c>
      <c r="D1850" s="10">
        <v>1893.36</v>
      </c>
      <c r="E1850" s="10">
        <v>638.33699999999999</v>
      </c>
      <c r="F1850" t="str">
        <f>VLOOKUP(A1850,StoreLookup,2,FALSE)</f>
        <v>Store#1</v>
      </c>
      <c r="G1850">
        <f>INDEX(CalLookUpTable,MATCH($B1850,CalLookUpRow,0),MATCH(G$1,CalLookUpColumn,0))</f>
        <v>2020</v>
      </c>
      <c r="H1850">
        <f>INDEX(CalLookUpTable,MATCH($B1850,CalLookUpRow,0),MATCH(H$1,CalLookUpColumn,0))</f>
        <v>4</v>
      </c>
      <c r="I1850">
        <f>INDEX(CalLookUpTable,MATCH($B1850,CalLookUpRow,0),MATCH(I$1,CalLookUpColumn,0))</f>
        <v>2</v>
      </c>
    </row>
    <row r="1851" spans="1:9" x14ac:dyDescent="0.25">
      <c r="A1851" s="7">
        <v>1</v>
      </c>
      <c r="B1851" s="8">
        <v>43928</v>
      </c>
      <c r="C1851" s="9" t="s">
        <v>5</v>
      </c>
      <c r="D1851" s="10">
        <v>4503.9959999999992</v>
      </c>
      <c r="E1851" s="10">
        <v>3192.0909999999999</v>
      </c>
      <c r="F1851" t="str">
        <f>VLOOKUP(A1851,StoreLookup,2,FALSE)</f>
        <v>Store#1</v>
      </c>
      <c r="G1851">
        <f>INDEX(CalLookUpTable,MATCH($B1851,CalLookUpRow,0),MATCH(G$1,CalLookUpColumn,0))</f>
        <v>2020</v>
      </c>
      <c r="H1851">
        <f>INDEX(CalLookUpTable,MATCH($B1851,CalLookUpRow,0),MATCH(H$1,CalLookUpColumn,0))</f>
        <v>4</v>
      </c>
      <c r="I1851">
        <f>INDEX(CalLookUpTable,MATCH($B1851,CalLookUpRow,0),MATCH(I$1,CalLookUpColumn,0))</f>
        <v>2</v>
      </c>
    </row>
    <row r="1852" spans="1:9" x14ac:dyDescent="0.25">
      <c r="A1852" s="7">
        <v>1</v>
      </c>
      <c r="B1852" s="8">
        <v>43928</v>
      </c>
      <c r="C1852" s="9" t="s">
        <v>4</v>
      </c>
      <c r="D1852" s="10">
        <v>41.383999999999993</v>
      </c>
      <c r="E1852" s="10">
        <v>3267.1239999999998</v>
      </c>
      <c r="F1852" t="str">
        <f>VLOOKUP(A1852,StoreLookup,2,FALSE)</f>
        <v>Store#1</v>
      </c>
      <c r="G1852">
        <f>INDEX(CalLookUpTable,MATCH($B1852,CalLookUpRow,0),MATCH(G$1,CalLookUpColumn,0))</f>
        <v>2020</v>
      </c>
      <c r="H1852">
        <f>INDEX(CalLookUpTable,MATCH($B1852,CalLookUpRow,0),MATCH(H$1,CalLookUpColumn,0))</f>
        <v>4</v>
      </c>
      <c r="I1852">
        <f>INDEX(CalLookUpTable,MATCH($B1852,CalLookUpRow,0),MATCH(I$1,CalLookUpColumn,0))</f>
        <v>2</v>
      </c>
    </row>
    <row r="1853" spans="1:9" x14ac:dyDescent="0.25">
      <c r="A1853" s="7">
        <v>1</v>
      </c>
      <c r="B1853" s="8">
        <v>43928</v>
      </c>
      <c r="C1853" s="9" t="s">
        <v>3</v>
      </c>
      <c r="D1853" s="10">
        <v>14.132999999999999</v>
      </c>
      <c r="E1853" s="10">
        <v>200.018</v>
      </c>
      <c r="F1853" t="str">
        <f>VLOOKUP(A1853,StoreLookup,2,FALSE)</f>
        <v>Store#1</v>
      </c>
      <c r="G1853">
        <f>INDEX(CalLookUpTable,MATCH($B1853,CalLookUpRow,0),MATCH(G$1,CalLookUpColumn,0))</f>
        <v>2020</v>
      </c>
      <c r="H1853">
        <f>INDEX(CalLookUpTable,MATCH($B1853,CalLookUpRow,0),MATCH(H$1,CalLookUpColumn,0))</f>
        <v>4</v>
      </c>
      <c r="I1853">
        <f>INDEX(CalLookUpTable,MATCH($B1853,CalLookUpRow,0),MATCH(I$1,CalLookUpColumn,0))</f>
        <v>2</v>
      </c>
    </row>
    <row r="1854" spans="1:9" x14ac:dyDescent="0.25">
      <c r="A1854" s="7">
        <v>1</v>
      </c>
      <c r="B1854" s="8">
        <v>43929</v>
      </c>
      <c r="C1854" s="9" t="s">
        <v>4</v>
      </c>
      <c r="D1854" s="10">
        <v>-4.1929999999999996</v>
      </c>
      <c r="E1854" s="10">
        <v>4777.2129999999997</v>
      </c>
      <c r="F1854" t="str">
        <f>VLOOKUP(A1854,StoreLookup,2,FALSE)</f>
        <v>Store#1</v>
      </c>
      <c r="G1854">
        <f>INDEX(CalLookUpTable,MATCH($B1854,CalLookUpRow,0),MATCH(G$1,CalLookUpColumn,0))</f>
        <v>2020</v>
      </c>
      <c r="H1854">
        <f>INDEX(CalLookUpTable,MATCH($B1854,CalLookUpRow,0),MATCH(H$1,CalLookUpColumn,0))</f>
        <v>4</v>
      </c>
      <c r="I1854">
        <f>INDEX(CalLookUpTable,MATCH($B1854,CalLookUpRow,0),MATCH(I$1,CalLookUpColumn,0))</f>
        <v>2</v>
      </c>
    </row>
    <row r="1855" spans="1:9" x14ac:dyDescent="0.25">
      <c r="A1855" s="7">
        <v>1</v>
      </c>
      <c r="B1855" s="8">
        <v>43929</v>
      </c>
      <c r="C1855" s="9" t="s">
        <v>5</v>
      </c>
      <c r="D1855" s="10">
        <v>5176.2549999999992</v>
      </c>
      <c r="E1855" s="10">
        <v>3613.1480000000001</v>
      </c>
      <c r="F1855" t="str">
        <f>VLOOKUP(A1855,StoreLookup,2,FALSE)</f>
        <v>Store#1</v>
      </c>
      <c r="G1855">
        <f>INDEX(CalLookUpTable,MATCH($B1855,CalLookUpRow,0),MATCH(G$1,CalLookUpColumn,0))</f>
        <v>2020</v>
      </c>
      <c r="H1855">
        <f>INDEX(CalLookUpTable,MATCH($B1855,CalLookUpRow,0),MATCH(H$1,CalLookUpColumn,0))</f>
        <v>4</v>
      </c>
      <c r="I1855">
        <f>INDEX(CalLookUpTable,MATCH($B1855,CalLookUpRow,0),MATCH(I$1,CalLookUpColumn,0))</f>
        <v>2</v>
      </c>
    </row>
    <row r="1856" spans="1:9" x14ac:dyDescent="0.25">
      <c r="A1856" s="7">
        <v>1</v>
      </c>
      <c r="B1856" s="8">
        <v>43929</v>
      </c>
      <c r="C1856" s="9" t="s">
        <v>3</v>
      </c>
      <c r="D1856" s="10">
        <v>0</v>
      </c>
      <c r="E1856" s="10">
        <v>1136.779</v>
      </c>
      <c r="F1856" t="str">
        <f>VLOOKUP(A1856,StoreLookup,2,FALSE)</f>
        <v>Store#1</v>
      </c>
      <c r="G1856">
        <f>INDEX(CalLookUpTable,MATCH($B1856,CalLookUpRow,0),MATCH(G$1,CalLookUpColumn,0))</f>
        <v>2020</v>
      </c>
      <c r="H1856">
        <f>INDEX(CalLookUpTable,MATCH($B1856,CalLookUpRow,0),MATCH(H$1,CalLookUpColumn,0))</f>
        <v>4</v>
      </c>
      <c r="I1856">
        <f>INDEX(CalLookUpTable,MATCH($B1856,CalLookUpRow,0),MATCH(I$1,CalLookUpColumn,0))</f>
        <v>2</v>
      </c>
    </row>
    <row r="1857" spans="1:9" x14ac:dyDescent="0.25">
      <c r="A1857" s="7">
        <v>1</v>
      </c>
      <c r="B1857" s="8">
        <v>43929</v>
      </c>
      <c r="C1857" s="9" t="s">
        <v>6</v>
      </c>
      <c r="D1857" s="10">
        <v>2757.9089999999997</v>
      </c>
      <c r="E1857" s="10">
        <v>825.52399999999989</v>
      </c>
      <c r="F1857" t="str">
        <f>VLOOKUP(A1857,StoreLookup,2,FALSE)</f>
        <v>Store#1</v>
      </c>
      <c r="G1857">
        <f>INDEX(CalLookUpTable,MATCH($B1857,CalLookUpRow,0),MATCH(G$1,CalLookUpColumn,0))</f>
        <v>2020</v>
      </c>
      <c r="H1857">
        <f>INDEX(CalLookUpTable,MATCH($B1857,CalLookUpRow,0),MATCH(H$1,CalLookUpColumn,0))</f>
        <v>4</v>
      </c>
      <c r="I1857">
        <f>INDEX(CalLookUpTable,MATCH($B1857,CalLookUpRow,0),MATCH(I$1,CalLookUpColumn,0))</f>
        <v>2</v>
      </c>
    </row>
    <row r="1858" spans="1:9" x14ac:dyDescent="0.25">
      <c r="A1858" s="7">
        <v>1</v>
      </c>
      <c r="B1858" s="8">
        <v>43930</v>
      </c>
      <c r="C1858" s="9" t="s">
        <v>3</v>
      </c>
      <c r="D1858" s="10">
        <v>0</v>
      </c>
      <c r="E1858" s="10">
        <v>615.43999999999994</v>
      </c>
      <c r="F1858" t="str">
        <f>VLOOKUP(A1858,StoreLookup,2,FALSE)</f>
        <v>Store#1</v>
      </c>
      <c r="G1858">
        <f>INDEX(CalLookUpTable,MATCH($B1858,CalLookUpRow,0),MATCH(G$1,CalLookUpColumn,0))</f>
        <v>2020</v>
      </c>
      <c r="H1858">
        <f>INDEX(CalLookUpTable,MATCH($B1858,CalLookUpRow,0),MATCH(H$1,CalLookUpColumn,0))</f>
        <v>4</v>
      </c>
      <c r="I1858">
        <f>INDEX(CalLookUpTable,MATCH($B1858,CalLookUpRow,0),MATCH(I$1,CalLookUpColumn,0))</f>
        <v>2</v>
      </c>
    </row>
    <row r="1859" spans="1:9" x14ac:dyDescent="0.25">
      <c r="A1859" s="7">
        <v>1</v>
      </c>
      <c r="B1859" s="8">
        <v>43930</v>
      </c>
      <c r="C1859" s="9" t="s">
        <v>6</v>
      </c>
      <c r="D1859" s="10">
        <v>2745.4279999999999</v>
      </c>
      <c r="E1859" s="10">
        <v>1252.713</v>
      </c>
      <c r="F1859" t="str">
        <f>VLOOKUP(A1859,StoreLookup,2,FALSE)</f>
        <v>Store#1</v>
      </c>
      <c r="G1859">
        <f>INDEX(CalLookUpTable,MATCH($B1859,CalLookUpRow,0),MATCH(G$1,CalLookUpColumn,0))</f>
        <v>2020</v>
      </c>
      <c r="H1859">
        <f>INDEX(CalLookUpTable,MATCH($B1859,CalLookUpRow,0),MATCH(H$1,CalLookUpColumn,0))</f>
        <v>4</v>
      </c>
      <c r="I1859">
        <f>INDEX(CalLookUpTable,MATCH($B1859,CalLookUpRow,0),MATCH(I$1,CalLookUpColumn,0))</f>
        <v>2</v>
      </c>
    </row>
    <row r="1860" spans="1:9" x14ac:dyDescent="0.25">
      <c r="A1860" s="7">
        <v>1</v>
      </c>
      <c r="B1860" s="8">
        <v>43930</v>
      </c>
      <c r="C1860" s="9" t="s">
        <v>5</v>
      </c>
      <c r="D1860" s="10">
        <v>5192.2920000000004</v>
      </c>
      <c r="E1860" s="10">
        <v>3719.2329999999993</v>
      </c>
      <c r="F1860" t="str">
        <f>VLOOKUP(A1860,StoreLookup,2,FALSE)</f>
        <v>Store#1</v>
      </c>
      <c r="G1860">
        <f>INDEX(CalLookUpTable,MATCH($B1860,CalLookUpRow,0),MATCH(G$1,CalLookUpColumn,0))</f>
        <v>2020</v>
      </c>
      <c r="H1860">
        <f>INDEX(CalLookUpTable,MATCH($B1860,CalLookUpRow,0),MATCH(H$1,CalLookUpColumn,0))</f>
        <v>4</v>
      </c>
      <c r="I1860">
        <f>INDEX(CalLookUpTable,MATCH($B1860,CalLookUpRow,0),MATCH(I$1,CalLookUpColumn,0))</f>
        <v>2</v>
      </c>
    </row>
    <row r="1861" spans="1:9" x14ac:dyDescent="0.25">
      <c r="A1861" s="7">
        <v>1</v>
      </c>
      <c r="B1861" s="8">
        <v>43930</v>
      </c>
      <c r="C1861" s="9" t="s">
        <v>4</v>
      </c>
      <c r="D1861" s="10">
        <v>467.572</v>
      </c>
      <c r="E1861" s="10">
        <v>4825.6670000000004</v>
      </c>
      <c r="F1861" t="str">
        <f>VLOOKUP(A1861,StoreLookup,2,FALSE)</f>
        <v>Store#1</v>
      </c>
      <c r="G1861">
        <f>INDEX(CalLookUpTable,MATCH($B1861,CalLookUpRow,0),MATCH(G$1,CalLookUpColumn,0))</f>
        <v>2020</v>
      </c>
      <c r="H1861">
        <f>INDEX(CalLookUpTable,MATCH($B1861,CalLookUpRow,0),MATCH(H$1,CalLookUpColumn,0))</f>
        <v>4</v>
      </c>
      <c r="I1861">
        <f>INDEX(CalLookUpTable,MATCH($B1861,CalLookUpRow,0),MATCH(I$1,CalLookUpColumn,0))</f>
        <v>2</v>
      </c>
    </row>
    <row r="1862" spans="1:9" x14ac:dyDescent="0.25">
      <c r="A1862" s="7">
        <v>1</v>
      </c>
      <c r="B1862" s="8">
        <v>43931</v>
      </c>
      <c r="C1862" s="9" t="s">
        <v>4</v>
      </c>
      <c r="D1862" s="10">
        <v>1261.5749999999998</v>
      </c>
      <c r="E1862" s="10">
        <v>5957.8469999999988</v>
      </c>
      <c r="F1862" t="str">
        <f>VLOOKUP(A1862,StoreLookup,2,FALSE)</f>
        <v>Store#1</v>
      </c>
      <c r="G1862">
        <f>INDEX(CalLookUpTable,MATCH($B1862,CalLookUpRow,0),MATCH(G$1,CalLookUpColumn,0))</f>
        <v>2020</v>
      </c>
      <c r="H1862">
        <f>INDEX(CalLookUpTable,MATCH($B1862,CalLookUpRow,0),MATCH(H$1,CalLookUpColumn,0))</f>
        <v>4</v>
      </c>
      <c r="I1862">
        <f>INDEX(CalLookUpTable,MATCH($B1862,CalLookUpRow,0),MATCH(I$1,CalLookUpColumn,0))</f>
        <v>2</v>
      </c>
    </row>
    <row r="1863" spans="1:9" x14ac:dyDescent="0.25">
      <c r="A1863" s="7">
        <v>1</v>
      </c>
      <c r="B1863" s="8">
        <v>43931</v>
      </c>
      <c r="C1863" s="9" t="s">
        <v>5</v>
      </c>
      <c r="D1863" s="10">
        <v>6006.28</v>
      </c>
      <c r="E1863" s="10">
        <v>4086.0119999999997</v>
      </c>
      <c r="F1863" t="str">
        <f>VLOOKUP(A1863,StoreLookup,2,FALSE)</f>
        <v>Store#1</v>
      </c>
      <c r="G1863">
        <f>INDEX(CalLookUpTable,MATCH($B1863,CalLookUpRow,0),MATCH(G$1,CalLookUpColumn,0))</f>
        <v>2020</v>
      </c>
      <c r="H1863">
        <f>INDEX(CalLookUpTable,MATCH($B1863,CalLookUpRow,0),MATCH(H$1,CalLookUpColumn,0))</f>
        <v>4</v>
      </c>
      <c r="I1863">
        <f>INDEX(CalLookUpTable,MATCH($B1863,CalLookUpRow,0),MATCH(I$1,CalLookUpColumn,0))</f>
        <v>2</v>
      </c>
    </row>
    <row r="1864" spans="1:9" x14ac:dyDescent="0.25">
      <c r="A1864" s="7">
        <v>1</v>
      </c>
      <c r="B1864" s="8">
        <v>43931</v>
      </c>
      <c r="C1864" s="9" t="s">
        <v>6</v>
      </c>
      <c r="D1864" s="10">
        <v>3526.7609999999995</v>
      </c>
      <c r="E1864" s="10">
        <v>1159.0739999999998</v>
      </c>
      <c r="F1864" t="str">
        <f>VLOOKUP(A1864,StoreLookup,2,FALSE)</f>
        <v>Store#1</v>
      </c>
      <c r="G1864">
        <f>INDEX(CalLookUpTable,MATCH($B1864,CalLookUpRow,0),MATCH(G$1,CalLookUpColumn,0))</f>
        <v>2020</v>
      </c>
      <c r="H1864">
        <f>INDEX(CalLookUpTable,MATCH($B1864,CalLookUpRow,0),MATCH(H$1,CalLookUpColumn,0))</f>
        <v>4</v>
      </c>
      <c r="I1864">
        <f>INDEX(CalLookUpTable,MATCH($B1864,CalLookUpRow,0),MATCH(I$1,CalLookUpColumn,0))</f>
        <v>2</v>
      </c>
    </row>
    <row r="1865" spans="1:9" x14ac:dyDescent="0.25">
      <c r="A1865" s="7">
        <v>1</v>
      </c>
      <c r="B1865" s="8">
        <v>43931</v>
      </c>
      <c r="C1865" s="9" t="s">
        <v>3</v>
      </c>
      <c r="D1865" s="10">
        <v>0</v>
      </c>
      <c r="E1865" s="10">
        <v>243.22199999999998</v>
      </c>
      <c r="F1865" t="str">
        <f>VLOOKUP(A1865,StoreLookup,2,FALSE)</f>
        <v>Store#1</v>
      </c>
      <c r="G1865">
        <f>INDEX(CalLookUpTable,MATCH($B1865,CalLookUpRow,0),MATCH(G$1,CalLookUpColumn,0))</f>
        <v>2020</v>
      </c>
      <c r="H1865">
        <f>INDEX(CalLookUpTable,MATCH($B1865,CalLookUpRow,0),MATCH(H$1,CalLookUpColumn,0))</f>
        <v>4</v>
      </c>
      <c r="I1865">
        <f>INDEX(CalLookUpTable,MATCH($B1865,CalLookUpRow,0),MATCH(I$1,CalLookUpColumn,0))</f>
        <v>2</v>
      </c>
    </row>
    <row r="1866" spans="1:9" x14ac:dyDescent="0.25">
      <c r="A1866" s="7">
        <v>1</v>
      </c>
      <c r="B1866" s="8">
        <v>43932</v>
      </c>
      <c r="C1866" s="9" t="s">
        <v>4</v>
      </c>
      <c r="D1866" s="10">
        <v>276.64</v>
      </c>
      <c r="E1866" s="10">
        <v>6158.0049999999992</v>
      </c>
      <c r="F1866" t="str">
        <f>VLOOKUP(A1866,StoreLookup,2,FALSE)</f>
        <v>Store#1</v>
      </c>
      <c r="G1866">
        <f>INDEX(CalLookUpTable,MATCH($B1866,CalLookUpRow,0),MATCH(G$1,CalLookUpColumn,0))</f>
        <v>2020</v>
      </c>
      <c r="H1866">
        <f>INDEX(CalLookUpTable,MATCH($B1866,CalLookUpRow,0),MATCH(H$1,CalLookUpColumn,0))</f>
        <v>4</v>
      </c>
      <c r="I1866">
        <f>INDEX(CalLookUpTable,MATCH($B1866,CalLookUpRow,0),MATCH(I$1,CalLookUpColumn,0))</f>
        <v>2</v>
      </c>
    </row>
    <row r="1867" spans="1:9" x14ac:dyDescent="0.25">
      <c r="A1867" s="7">
        <v>1</v>
      </c>
      <c r="B1867" s="8">
        <v>43932</v>
      </c>
      <c r="C1867" s="9" t="s">
        <v>6</v>
      </c>
      <c r="D1867" s="10">
        <v>2623.2639999999997</v>
      </c>
      <c r="E1867" s="10">
        <v>898.05099999999993</v>
      </c>
      <c r="F1867" t="str">
        <f>VLOOKUP(A1867,StoreLookup,2,FALSE)</f>
        <v>Store#1</v>
      </c>
      <c r="G1867">
        <f>INDEX(CalLookUpTable,MATCH($B1867,CalLookUpRow,0),MATCH(G$1,CalLookUpColumn,0))</f>
        <v>2020</v>
      </c>
      <c r="H1867">
        <f>INDEX(CalLookUpTable,MATCH($B1867,CalLookUpRow,0),MATCH(H$1,CalLookUpColumn,0))</f>
        <v>4</v>
      </c>
      <c r="I1867">
        <f>INDEX(CalLookUpTable,MATCH($B1867,CalLookUpRow,0),MATCH(I$1,CalLookUpColumn,0))</f>
        <v>2</v>
      </c>
    </row>
    <row r="1868" spans="1:9" x14ac:dyDescent="0.25">
      <c r="A1868" s="7">
        <v>1</v>
      </c>
      <c r="B1868" s="8">
        <v>43932</v>
      </c>
      <c r="C1868" s="9" t="s">
        <v>5</v>
      </c>
      <c r="D1868" s="10">
        <v>5063.2679999999991</v>
      </c>
      <c r="E1868" s="10">
        <v>3959.8579999999993</v>
      </c>
      <c r="F1868" t="str">
        <f>VLOOKUP(A1868,StoreLookup,2,FALSE)</f>
        <v>Store#1</v>
      </c>
      <c r="G1868">
        <f>INDEX(CalLookUpTable,MATCH($B1868,CalLookUpRow,0),MATCH(G$1,CalLookUpColumn,0))</f>
        <v>2020</v>
      </c>
      <c r="H1868">
        <f>INDEX(CalLookUpTable,MATCH($B1868,CalLookUpRow,0),MATCH(H$1,CalLookUpColumn,0))</f>
        <v>4</v>
      </c>
      <c r="I1868">
        <f>INDEX(CalLookUpTable,MATCH($B1868,CalLookUpRow,0),MATCH(I$1,CalLookUpColumn,0))</f>
        <v>2</v>
      </c>
    </row>
    <row r="1869" spans="1:9" x14ac:dyDescent="0.25">
      <c r="A1869" s="7">
        <v>1</v>
      </c>
      <c r="B1869" s="8">
        <v>43932</v>
      </c>
      <c r="C1869" s="9" t="s">
        <v>3</v>
      </c>
      <c r="D1869" s="10">
        <v>118.71999999999998</v>
      </c>
      <c r="E1869" s="10">
        <v>0</v>
      </c>
      <c r="F1869" t="str">
        <f>VLOOKUP(A1869,StoreLookup,2,FALSE)</f>
        <v>Store#1</v>
      </c>
      <c r="G1869">
        <f>INDEX(CalLookUpTable,MATCH($B1869,CalLookUpRow,0),MATCH(G$1,CalLookUpColumn,0))</f>
        <v>2020</v>
      </c>
      <c r="H1869">
        <f>INDEX(CalLookUpTable,MATCH($B1869,CalLookUpRow,0),MATCH(H$1,CalLookUpColumn,0))</f>
        <v>4</v>
      </c>
      <c r="I1869">
        <f>INDEX(CalLookUpTable,MATCH($B1869,CalLookUpRow,0),MATCH(I$1,CalLookUpColumn,0))</f>
        <v>2</v>
      </c>
    </row>
    <row r="1870" spans="1:9" x14ac:dyDescent="0.25">
      <c r="A1870" s="7">
        <v>1</v>
      </c>
      <c r="B1870" s="8">
        <v>43933</v>
      </c>
      <c r="C1870" s="9" t="s">
        <v>3</v>
      </c>
      <c r="D1870" s="10">
        <v>0</v>
      </c>
      <c r="E1870" s="10">
        <v>376.23599999999999</v>
      </c>
      <c r="F1870" t="str">
        <f>VLOOKUP(A1870,StoreLookup,2,FALSE)</f>
        <v>Store#1</v>
      </c>
      <c r="G1870">
        <f>INDEX(CalLookUpTable,MATCH($B1870,CalLookUpRow,0),MATCH(G$1,CalLookUpColumn,0))</f>
        <v>2020</v>
      </c>
      <c r="H1870">
        <f>INDEX(CalLookUpTable,MATCH($B1870,CalLookUpRow,0),MATCH(H$1,CalLookUpColumn,0))</f>
        <v>4</v>
      </c>
      <c r="I1870">
        <f>INDEX(CalLookUpTable,MATCH($B1870,CalLookUpRow,0),MATCH(I$1,CalLookUpColumn,0))</f>
        <v>2</v>
      </c>
    </row>
    <row r="1871" spans="1:9" x14ac:dyDescent="0.25">
      <c r="A1871" s="7">
        <v>1</v>
      </c>
      <c r="B1871" s="8">
        <v>43933</v>
      </c>
      <c r="C1871" s="9" t="s">
        <v>4</v>
      </c>
      <c r="D1871" s="10">
        <v>-14.545999999999999</v>
      </c>
      <c r="E1871" s="10">
        <v>3001.348</v>
      </c>
      <c r="F1871" t="str">
        <f>VLOOKUP(A1871,StoreLookup,2,FALSE)</f>
        <v>Store#1</v>
      </c>
      <c r="G1871">
        <f>INDEX(CalLookUpTable,MATCH($B1871,CalLookUpRow,0),MATCH(G$1,CalLookUpColumn,0))</f>
        <v>2020</v>
      </c>
      <c r="H1871">
        <f>INDEX(CalLookUpTable,MATCH($B1871,CalLookUpRow,0),MATCH(H$1,CalLookUpColumn,0))</f>
        <v>4</v>
      </c>
      <c r="I1871">
        <f>INDEX(CalLookUpTable,MATCH($B1871,CalLookUpRow,0),MATCH(I$1,CalLookUpColumn,0))</f>
        <v>2</v>
      </c>
    </row>
    <row r="1872" spans="1:9" x14ac:dyDescent="0.25">
      <c r="A1872" s="7">
        <v>1</v>
      </c>
      <c r="B1872" s="8">
        <v>43933</v>
      </c>
      <c r="C1872" s="9" t="s">
        <v>5</v>
      </c>
      <c r="D1872" s="10">
        <v>1439.914</v>
      </c>
      <c r="E1872" s="10">
        <v>1795.7449999999999</v>
      </c>
      <c r="F1872" t="str">
        <f>VLOOKUP(A1872,StoreLookup,2,FALSE)</f>
        <v>Store#1</v>
      </c>
      <c r="G1872">
        <f>INDEX(CalLookUpTable,MATCH($B1872,CalLookUpRow,0),MATCH(G$1,CalLookUpColumn,0))</f>
        <v>2020</v>
      </c>
      <c r="H1872">
        <f>INDEX(CalLookUpTable,MATCH($B1872,CalLookUpRow,0),MATCH(H$1,CalLookUpColumn,0))</f>
        <v>4</v>
      </c>
      <c r="I1872">
        <f>INDEX(CalLookUpTable,MATCH($B1872,CalLookUpRow,0),MATCH(I$1,CalLookUpColumn,0))</f>
        <v>2</v>
      </c>
    </row>
    <row r="1873" spans="1:9" x14ac:dyDescent="0.25">
      <c r="A1873" s="7">
        <v>1</v>
      </c>
      <c r="B1873" s="8">
        <v>43933</v>
      </c>
      <c r="C1873" s="9" t="s">
        <v>6</v>
      </c>
      <c r="D1873" s="10">
        <v>1078.672</v>
      </c>
      <c r="E1873" s="10">
        <v>284.56399999999996</v>
      </c>
      <c r="F1873" t="str">
        <f>VLOOKUP(A1873,StoreLookup,2,FALSE)</f>
        <v>Store#1</v>
      </c>
      <c r="G1873">
        <f>INDEX(CalLookUpTable,MATCH($B1873,CalLookUpRow,0),MATCH(G$1,CalLookUpColumn,0))</f>
        <v>2020</v>
      </c>
      <c r="H1873">
        <f>INDEX(CalLookUpTable,MATCH($B1873,CalLookUpRow,0),MATCH(H$1,CalLookUpColumn,0))</f>
        <v>4</v>
      </c>
      <c r="I1873">
        <f>INDEX(CalLookUpTable,MATCH($B1873,CalLookUpRow,0),MATCH(I$1,CalLookUpColumn,0))</f>
        <v>2</v>
      </c>
    </row>
    <row r="1874" spans="1:9" x14ac:dyDescent="0.25">
      <c r="A1874" s="7">
        <v>1</v>
      </c>
      <c r="B1874" s="8">
        <v>43934</v>
      </c>
      <c r="C1874" s="9" t="s">
        <v>3</v>
      </c>
      <c r="D1874" s="10">
        <v>0</v>
      </c>
      <c r="E1874" s="10">
        <v>167.85999999999999</v>
      </c>
      <c r="F1874" t="str">
        <f>VLOOKUP(A1874,StoreLookup,2,FALSE)</f>
        <v>Store#1</v>
      </c>
      <c r="G1874">
        <f>INDEX(CalLookUpTable,MATCH($B1874,CalLookUpRow,0),MATCH(G$1,CalLookUpColumn,0))</f>
        <v>2020</v>
      </c>
      <c r="H1874">
        <f>INDEX(CalLookUpTable,MATCH($B1874,CalLookUpRow,0),MATCH(H$1,CalLookUpColumn,0))</f>
        <v>4</v>
      </c>
      <c r="I1874">
        <f>INDEX(CalLookUpTable,MATCH($B1874,CalLookUpRow,0),MATCH(I$1,CalLookUpColumn,0))</f>
        <v>3</v>
      </c>
    </row>
    <row r="1875" spans="1:9" x14ac:dyDescent="0.25">
      <c r="A1875" s="7">
        <v>1</v>
      </c>
      <c r="B1875" s="8">
        <v>43934</v>
      </c>
      <c r="C1875" s="9" t="s">
        <v>6</v>
      </c>
      <c r="D1875" s="10">
        <v>1760.9619999999998</v>
      </c>
      <c r="E1875" s="10">
        <v>454.93699999999995</v>
      </c>
      <c r="F1875" t="str">
        <f>VLOOKUP(A1875,StoreLookup,2,FALSE)</f>
        <v>Store#1</v>
      </c>
      <c r="G1875">
        <f>INDEX(CalLookUpTable,MATCH($B1875,CalLookUpRow,0),MATCH(G$1,CalLookUpColumn,0))</f>
        <v>2020</v>
      </c>
      <c r="H1875">
        <f>INDEX(CalLookUpTable,MATCH($B1875,CalLookUpRow,0),MATCH(H$1,CalLookUpColumn,0))</f>
        <v>4</v>
      </c>
      <c r="I1875">
        <f>INDEX(CalLookUpTable,MATCH($B1875,CalLookUpRow,0),MATCH(I$1,CalLookUpColumn,0))</f>
        <v>3</v>
      </c>
    </row>
    <row r="1876" spans="1:9" x14ac:dyDescent="0.25">
      <c r="A1876" s="7">
        <v>1</v>
      </c>
      <c r="B1876" s="8">
        <v>43934</v>
      </c>
      <c r="C1876" s="9" t="s">
        <v>5</v>
      </c>
      <c r="D1876" s="10">
        <v>4434.954999999999</v>
      </c>
      <c r="E1876" s="10">
        <v>3206.3779999999997</v>
      </c>
      <c r="F1876" t="str">
        <f>VLOOKUP(A1876,StoreLookup,2,FALSE)</f>
        <v>Store#1</v>
      </c>
      <c r="G1876">
        <f>INDEX(CalLookUpTable,MATCH($B1876,CalLookUpRow,0),MATCH(G$1,CalLookUpColumn,0))</f>
        <v>2020</v>
      </c>
      <c r="H1876">
        <f>INDEX(CalLookUpTable,MATCH($B1876,CalLookUpRow,0),MATCH(H$1,CalLookUpColumn,0))</f>
        <v>4</v>
      </c>
      <c r="I1876">
        <f>INDEX(CalLookUpTable,MATCH($B1876,CalLookUpRow,0),MATCH(I$1,CalLookUpColumn,0))</f>
        <v>3</v>
      </c>
    </row>
    <row r="1877" spans="1:9" x14ac:dyDescent="0.25">
      <c r="A1877" s="7">
        <v>1</v>
      </c>
      <c r="B1877" s="8">
        <v>43934</v>
      </c>
      <c r="C1877" s="9" t="s">
        <v>4</v>
      </c>
      <c r="D1877" s="10">
        <v>-20.762</v>
      </c>
      <c r="E1877" s="10">
        <v>4005.6589999999997</v>
      </c>
      <c r="F1877" t="str">
        <f>VLOOKUP(A1877,StoreLookup,2,FALSE)</f>
        <v>Store#1</v>
      </c>
      <c r="G1877">
        <f>INDEX(CalLookUpTable,MATCH($B1877,CalLookUpRow,0),MATCH(G$1,CalLookUpColumn,0))</f>
        <v>2020</v>
      </c>
      <c r="H1877">
        <f>INDEX(CalLookUpTable,MATCH($B1877,CalLookUpRow,0),MATCH(H$1,CalLookUpColumn,0))</f>
        <v>4</v>
      </c>
      <c r="I1877">
        <f>INDEX(CalLookUpTable,MATCH($B1877,CalLookUpRow,0),MATCH(I$1,CalLookUpColumn,0))</f>
        <v>3</v>
      </c>
    </row>
    <row r="1878" spans="1:9" x14ac:dyDescent="0.25">
      <c r="A1878" s="7">
        <v>1</v>
      </c>
      <c r="B1878" s="8">
        <v>43935</v>
      </c>
      <c r="C1878" s="9" t="s">
        <v>6</v>
      </c>
      <c r="D1878" s="10">
        <v>2240.105</v>
      </c>
      <c r="E1878" s="10">
        <v>836.61900000000003</v>
      </c>
      <c r="F1878" t="str">
        <f>VLOOKUP(A1878,StoreLookup,2,FALSE)</f>
        <v>Store#1</v>
      </c>
      <c r="G1878">
        <f>INDEX(CalLookUpTable,MATCH($B1878,CalLookUpRow,0),MATCH(G$1,CalLookUpColumn,0))</f>
        <v>2020</v>
      </c>
      <c r="H1878">
        <f>INDEX(CalLookUpTable,MATCH($B1878,CalLookUpRow,0),MATCH(H$1,CalLookUpColumn,0))</f>
        <v>4</v>
      </c>
      <c r="I1878">
        <f>INDEX(CalLookUpTable,MATCH($B1878,CalLookUpRow,0),MATCH(I$1,CalLookUpColumn,0))</f>
        <v>3</v>
      </c>
    </row>
    <row r="1879" spans="1:9" x14ac:dyDescent="0.25">
      <c r="A1879" s="7">
        <v>1</v>
      </c>
      <c r="B1879" s="8">
        <v>43935</v>
      </c>
      <c r="C1879" s="9" t="s">
        <v>3</v>
      </c>
      <c r="D1879" s="10">
        <v>0</v>
      </c>
      <c r="E1879" s="10">
        <v>576.97499999999991</v>
      </c>
      <c r="F1879" t="str">
        <f>VLOOKUP(A1879,StoreLookup,2,FALSE)</f>
        <v>Store#1</v>
      </c>
      <c r="G1879">
        <f>INDEX(CalLookUpTable,MATCH($B1879,CalLookUpRow,0),MATCH(G$1,CalLookUpColumn,0))</f>
        <v>2020</v>
      </c>
      <c r="H1879">
        <f>INDEX(CalLookUpTable,MATCH($B1879,CalLookUpRow,0),MATCH(H$1,CalLookUpColumn,0))</f>
        <v>4</v>
      </c>
      <c r="I1879">
        <f>INDEX(CalLookUpTable,MATCH($B1879,CalLookUpRow,0),MATCH(I$1,CalLookUpColumn,0))</f>
        <v>3</v>
      </c>
    </row>
    <row r="1880" spans="1:9" x14ac:dyDescent="0.25">
      <c r="A1880" s="7">
        <v>1</v>
      </c>
      <c r="B1880" s="8">
        <v>43935</v>
      </c>
      <c r="C1880" s="9" t="s">
        <v>4</v>
      </c>
      <c r="D1880" s="10">
        <v>7.9519999999999991</v>
      </c>
      <c r="E1880" s="10">
        <v>3673.0399999999995</v>
      </c>
      <c r="F1880" t="str">
        <f>VLOOKUP(A1880,StoreLookup,2,FALSE)</f>
        <v>Store#1</v>
      </c>
      <c r="G1880">
        <f>INDEX(CalLookUpTable,MATCH($B1880,CalLookUpRow,0),MATCH(G$1,CalLookUpColumn,0))</f>
        <v>2020</v>
      </c>
      <c r="H1880">
        <f>INDEX(CalLookUpTable,MATCH($B1880,CalLookUpRow,0),MATCH(H$1,CalLookUpColumn,0))</f>
        <v>4</v>
      </c>
      <c r="I1880">
        <f>INDEX(CalLookUpTable,MATCH($B1880,CalLookUpRow,0),MATCH(I$1,CalLookUpColumn,0))</f>
        <v>3</v>
      </c>
    </row>
    <row r="1881" spans="1:9" x14ac:dyDescent="0.25">
      <c r="A1881" s="7">
        <v>1</v>
      </c>
      <c r="B1881" s="8">
        <v>43935</v>
      </c>
      <c r="C1881" s="9" t="s">
        <v>5</v>
      </c>
      <c r="D1881" s="10">
        <v>4939.0879999999997</v>
      </c>
      <c r="E1881" s="10">
        <v>3383.9469999999997</v>
      </c>
      <c r="F1881" t="str">
        <f>VLOOKUP(A1881,StoreLookup,2,FALSE)</f>
        <v>Store#1</v>
      </c>
      <c r="G1881">
        <f>INDEX(CalLookUpTable,MATCH($B1881,CalLookUpRow,0),MATCH(G$1,CalLookUpColumn,0))</f>
        <v>2020</v>
      </c>
      <c r="H1881">
        <f>INDEX(CalLookUpTable,MATCH($B1881,CalLookUpRow,0),MATCH(H$1,CalLookUpColumn,0))</f>
        <v>4</v>
      </c>
      <c r="I1881">
        <f>INDEX(CalLookUpTable,MATCH($B1881,CalLookUpRow,0),MATCH(I$1,CalLookUpColumn,0))</f>
        <v>3</v>
      </c>
    </row>
    <row r="1882" spans="1:9" x14ac:dyDescent="0.25">
      <c r="A1882" s="7">
        <v>1</v>
      </c>
      <c r="B1882" s="8">
        <v>43936</v>
      </c>
      <c r="C1882" s="9" t="s">
        <v>6</v>
      </c>
      <c r="D1882" s="10">
        <v>2868.4249999999997</v>
      </c>
      <c r="E1882" s="10">
        <v>827.83399999999983</v>
      </c>
      <c r="F1882" t="str">
        <f>VLOOKUP(A1882,StoreLookup,2,FALSE)</f>
        <v>Store#1</v>
      </c>
      <c r="G1882">
        <f>INDEX(CalLookUpTable,MATCH($B1882,CalLookUpRow,0),MATCH(G$1,CalLookUpColumn,0))</f>
        <v>2020</v>
      </c>
      <c r="H1882">
        <f>INDEX(CalLookUpTable,MATCH($B1882,CalLookUpRow,0),MATCH(H$1,CalLookUpColumn,0))</f>
        <v>4</v>
      </c>
      <c r="I1882">
        <f>INDEX(CalLookUpTable,MATCH($B1882,CalLookUpRow,0),MATCH(I$1,CalLookUpColumn,0))</f>
        <v>3</v>
      </c>
    </row>
    <row r="1883" spans="1:9" x14ac:dyDescent="0.25">
      <c r="A1883" s="7">
        <v>1</v>
      </c>
      <c r="B1883" s="8">
        <v>43936</v>
      </c>
      <c r="C1883" s="9" t="s">
        <v>5</v>
      </c>
      <c r="D1883" s="10">
        <v>5607.5109999999995</v>
      </c>
      <c r="E1883" s="10">
        <v>3498.2149999999997</v>
      </c>
      <c r="F1883" t="str">
        <f>VLOOKUP(A1883,StoreLookup,2,FALSE)</f>
        <v>Store#1</v>
      </c>
      <c r="G1883">
        <f>INDEX(CalLookUpTable,MATCH($B1883,CalLookUpRow,0),MATCH(G$1,CalLookUpColumn,0))</f>
        <v>2020</v>
      </c>
      <c r="H1883">
        <f>INDEX(CalLookUpTable,MATCH($B1883,CalLookUpRow,0),MATCH(H$1,CalLookUpColumn,0))</f>
        <v>4</v>
      </c>
      <c r="I1883">
        <f>INDEX(CalLookUpTable,MATCH($B1883,CalLookUpRow,0),MATCH(I$1,CalLookUpColumn,0))</f>
        <v>3</v>
      </c>
    </row>
    <row r="1884" spans="1:9" x14ac:dyDescent="0.25">
      <c r="A1884" s="7">
        <v>1</v>
      </c>
      <c r="B1884" s="8">
        <v>43936</v>
      </c>
      <c r="C1884" s="9" t="s">
        <v>3</v>
      </c>
      <c r="D1884" s="10">
        <v>0</v>
      </c>
      <c r="E1884" s="10">
        <v>346.185</v>
      </c>
      <c r="F1884" t="str">
        <f>VLOOKUP(A1884,StoreLookup,2,FALSE)</f>
        <v>Store#1</v>
      </c>
      <c r="G1884">
        <f>INDEX(CalLookUpTable,MATCH($B1884,CalLookUpRow,0),MATCH(G$1,CalLookUpColumn,0))</f>
        <v>2020</v>
      </c>
      <c r="H1884">
        <f>INDEX(CalLookUpTable,MATCH($B1884,CalLookUpRow,0),MATCH(H$1,CalLookUpColumn,0))</f>
        <v>4</v>
      </c>
      <c r="I1884">
        <f>INDEX(CalLookUpTable,MATCH($B1884,CalLookUpRow,0),MATCH(I$1,CalLookUpColumn,0))</f>
        <v>3</v>
      </c>
    </row>
    <row r="1885" spans="1:9" x14ac:dyDescent="0.25">
      <c r="A1885" s="7">
        <v>1</v>
      </c>
      <c r="B1885" s="8">
        <v>43936</v>
      </c>
      <c r="C1885" s="9" t="s">
        <v>4</v>
      </c>
      <c r="D1885" s="10">
        <v>-1.4</v>
      </c>
      <c r="E1885" s="10">
        <v>4771.9489999999996</v>
      </c>
      <c r="F1885" t="str">
        <f>VLOOKUP(A1885,StoreLookup,2,FALSE)</f>
        <v>Store#1</v>
      </c>
      <c r="G1885">
        <f>INDEX(CalLookUpTable,MATCH($B1885,CalLookUpRow,0),MATCH(G$1,CalLookUpColumn,0))</f>
        <v>2020</v>
      </c>
      <c r="H1885">
        <f>INDEX(CalLookUpTable,MATCH($B1885,CalLookUpRow,0),MATCH(H$1,CalLookUpColumn,0))</f>
        <v>4</v>
      </c>
      <c r="I1885">
        <f>INDEX(CalLookUpTable,MATCH($B1885,CalLookUpRow,0),MATCH(I$1,CalLookUpColumn,0))</f>
        <v>3</v>
      </c>
    </row>
    <row r="1886" spans="1:9" x14ac:dyDescent="0.25">
      <c r="A1886" s="7">
        <v>1</v>
      </c>
      <c r="B1886" s="8">
        <v>43937</v>
      </c>
      <c r="C1886" s="9" t="s">
        <v>6</v>
      </c>
      <c r="D1886" s="10">
        <v>3147.116</v>
      </c>
      <c r="E1886" s="10">
        <v>1322.104</v>
      </c>
      <c r="F1886" t="str">
        <f>VLOOKUP(A1886,StoreLookup,2,FALSE)</f>
        <v>Store#1</v>
      </c>
      <c r="G1886">
        <f>INDEX(CalLookUpTable,MATCH($B1886,CalLookUpRow,0),MATCH(G$1,CalLookUpColumn,0))</f>
        <v>2020</v>
      </c>
      <c r="H1886">
        <f>INDEX(CalLookUpTable,MATCH($B1886,CalLookUpRow,0),MATCH(H$1,CalLookUpColumn,0))</f>
        <v>4</v>
      </c>
      <c r="I1886">
        <f>INDEX(CalLookUpTable,MATCH($B1886,CalLookUpRow,0),MATCH(I$1,CalLookUpColumn,0))</f>
        <v>3</v>
      </c>
    </row>
    <row r="1887" spans="1:9" x14ac:dyDescent="0.25">
      <c r="A1887" s="7">
        <v>1</v>
      </c>
      <c r="B1887" s="8">
        <v>43937</v>
      </c>
      <c r="C1887" s="9" t="s">
        <v>4</v>
      </c>
      <c r="D1887" s="10">
        <v>230.99999999999997</v>
      </c>
      <c r="E1887" s="10">
        <v>4917.8499999999995</v>
      </c>
      <c r="F1887" t="str">
        <f>VLOOKUP(A1887,StoreLookup,2,FALSE)</f>
        <v>Store#1</v>
      </c>
      <c r="G1887">
        <f>INDEX(CalLookUpTable,MATCH($B1887,CalLookUpRow,0),MATCH(G$1,CalLookUpColumn,0))</f>
        <v>2020</v>
      </c>
      <c r="H1887">
        <f>INDEX(CalLookUpTable,MATCH($B1887,CalLookUpRow,0),MATCH(H$1,CalLookUpColumn,0))</f>
        <v>4</v>
      </c>
      <c r="I1887">
        <f>INDEX(CalLookUpTable,MATCH($B1887,CalLookUpRow,0),MATCH(I$1,CalLookUpColumn,0))</f>
        <v>3</v>
      </c>
    </row>
    <row r="1888" spans="1:9" x14ac:dyDescent="0.25">
      <c r="A1888" s="7">
        <v>1</v>
      </c>
      <c r="B1888" s="8">
        <v>43937</v>
      </c>
      <c r="C1888" s="9" t="s">
        <v>3</v>
      </c>
      <c r="D1888" s="10">
        <v>53.578000000000003</v>
      </c>
      <c r="E1888" s="10">
        <v>393.73599999999999</v>
      </c>
      <c r="F1888" t="str">
        <f>VLOOKUP(A1888,StoreLookup,2,FALSE)</f>
        <v>Store#1</v>
      </c>
      <c r="G1888">
        <f>INDEX(CalLookUpTable,MATCH($B1888,CalLookUpRow,0),MATCH(G$1,CalLookUpColumn,0))</f>
        <v>2020</v>
      </c>
      <c r="H1888">
        <f>INDEX(CalLookUpTable,MATCH($B1888,CalLookUpRow,0),MATCH(H$1,CalLookUpColumn,0))</f>
        <v>4</v>
      </c>
      <c r="I1888">
        <f>INDEX(CalLookUpTable,MATCH($B1888,CalLookUpRow,0),MATCH(I$1,CalLookUpColumn,0))</f>
        <v>3</v>
      </c>
    </row>
    <row r="1889" spans="1:9" x14ac:dyDescent="0.25">
      <c r="A1889" s="7">
        <v>1</v>
      </c>
      <c r="B1889" s="8">
        <v>43937</v>
      </c>
      <c r="C1889" s="9" t="s">
        <v>5</v>
      </c>
      <c r="D1889" s="10">
        <v>5363.5469999999996</v>
      </c>
      <c r="E1889" s="10">
        <v>3958.2829999999994</v>
      </c>
      <c r="F1889" t="str">
        <f>VLOOKUP(A1889,StoreLookup,2,FALSE)</f>
        <v>Store#1</v>
      </c>
      <c r="G1889">
        <f>INDEX(CalLookUpTable,MATCH($B1889,CalLookUpRow,0),MATCH(G$1,CalLookUpColumn,0))</f>
        <v>2020</v>
      </c>
      <c r="H1889">
        <f>INDEX(CalLookUpTable,MATCH($B1889,CalLookUpRow,0),MATCH(H$1,CalLookUpColumn,0))</f>
        <v>4</v>
      </c>
      <c r="I1889">
        <f>INDEX(CalLookUpTable,MATCH($B1889,CalLookUpRow,0),MATCH(I$1,CalLookUpColumn,0))</f>
        <v>3</v>
      </c>
    </row>
    <row r="1890" spans="1:9" x14ac:dyDescent="0.25">
      <c r="A1890" s="7">
        <v>1</v>
      </c>
      <c r="B1890" s="8">
        <v>43938</v>
      </c>
      <c r="C1890" s="9" t="s">
        <v>6</v>
      </c>
      <c r="D1890" s="10">
        <v>3407.2359999999994</v>
      </c>
      <c r="E1890" s="10">
        <v>1469.3839999999998</v>
      </c>
      <c r="F1890" t="str">
        <f>VLOOKUP(A1890,StoreLookup,2,FALSE)</f>
        <v>Store#1</v>
      </c>
      <c r="G1890">
        <f>INDEX(CalLookUpTable,MATCH($B1890,CalLookUpRow,0),MATCH(G$1,CalLookUpColumn,0))</f>
        <v>2020</v>
      </c>
      <c r="H1890">
        <f>INDEX(CalLookUpTable,MATCH($B1890,CalLookUpRow,0),MATCH(H$1,CalLookUpColumn,0))</f>
        <v>4</v>
      </c>
      <c r="I1890">
        <f>INDEX(CalLookUpTable,MATCH($B1890,CalLookUpRow,0),MATCH(I$1,CalLookUpColumn,0))</f>
        <v>3</v>
      </c>
    </row>
    <row r="1891" spans="1:9" x14ac:dyDescent="0.25">
      <c r="A1891" s="7">
        <v>1</v>
      </c>
      <c r="B1891" s="8">
        <v>43938</v>
      </c>
      <c r="C1891" s="9" t="s">
        <v>5</v>
      </c>
      <c r="D1891" s="10">
        <v>5782.4690000000001</v>
      </c>
      <c r="E1891" s="10">
        <v>3664.5629999999996</v>
      </c>
      <c r="F1891" t="str">
        <f>VLOOKUP(A1891,StoreLookup,2,FALSE)</f>
        <v>Store#1</v>
      </c>
      <c r="G1891">
        <f>INDEX(CalLookUpTable,MATCH($B1891,CalLookUpRow,0),MATCH(G$1,CalLookUpColumn,0))</f>
        <v>2020</v>
      </c>
      <c r="H1891">
        <f>INDEX(CalLookUpTable,MATCH($B1891,CalLookUpRow,0),MATCH(H$1,CalLookUpColumn,0))</f>
        <v>4</v>
      </c>
      <c r="I1891">
        <f>INDEX(CalLookUpTable,MATCH($B1891,CalLookUpRow,0),MATCH(I$1,CalLookUpColumn,0))</f>
        <v>3</v>
      </c>
    </row>
    <row r="1892" spans="1:9" x14ac:dyDescent="0.25">
      <c r="A1892" s="7">
        <v>1</v>
      </c>
      <c r="B1892" s="8">
        <v>43938</v>
      </c>
      <c r="C1892" s="9" t="s">
        <v>4</v>
      </c>
      <c r="D1892" s="10">
        <v>465.30399999999997</v>
      </c>
      <c r="E1892" s="10">
        <v>5368.9369999999999</v>
      </c>
      <c r="F1892" t="str">
        <f>VLOOKUP(A1892,StoreLookup,2,FALSE)</f>
        <v>Store#1</v>
      </c>
      <c r="G1892">
        <f>INDEX(CalLookUpTable,MATCH($B1892,CalLookUpRow,0),MATCH(G$1,CalLookUpColumn,0))</f>
        <v>2020</v>
      </c>
      <c r="H1892">
        <f>INDEX(CalLookUpTable,MATCH($B1892,CalLookUpRow,0),MATCH(H$1,CalLookUpColumn,0))</f>
        <v>4</v>
      </c>
      <c r="I1892">
        <f>INDEX(CalLookUpTable,MATCH($B1892,CalLookUpRow,0),MATCH(I$1,CalLookUpColumn,0))</f>
        <v>3</v>
      </c>
    </row>
    <row r="1893" spans="1:9" x14ac:dyDescent="0.25">
      <c r="A1893" s="7">
        <v>1</v>
      </c>
      <c r="B1893" s="8">
        <v>43938</v>
      </c>
      <c r="C1893" s="9" t="s">
        <v>3</v>
      </c>
      <c r="D1893" s="10">
        <v>40.760999999999996</v>
      </c>
      <c r="E1893" s="10">
        <v>365.43499999999995</v>
      </c>
      <c r="F1893" t="str">
        <f>VLOOKUP(A1893,StoreLookup,2,FALSE)</f>
        <v>Store#1</v>
      </c>
      <c r="G1893">
        <f>INDEX(CalLookUpTable,MATCH($B1893,CalLookUpRow,0),MATCH(G$1,CalLookUpColumn,0))</f>
        <v>2020</v>
      </c>
      <c r="H1893">
        <f>INDEX(CalLookUpTable,MATCH($B1893,CalLookUpRow,0),MATCH(H$1,CalLookUpColumn,0))</f>
        <v>4</v>
      </c>
      <c r="I1893">
        <f>INDEX(CalLookUpTable,MATCH($B1893,CalLookUpRow,0),MATCH(I$1,CalLookUpColumn,0))</f>
        <v>3</v>
      </c>
    </row>
    <row r="1894" spans="1:9" x14ac:dyDescent="0.25">
      <c r="A1894" s="7">
        <v>1</v>
      </c>
      <c r="B1894" s="8">
        <v>43939</v>
      </c>
      <c r="C1894" s="9" t="s">
        <v>4</v>
      </c>
      <c r="D1894" s="10">
        <v>593.85899999999992</v>
      </c>
      <c r="E1894" s="10">
        <v>6003.5640000000003</v>
      </c>
      <c r="F1894" t="str">
        <f>VLOOKUP(A1894,StoreLookup,2,FALSE)</f>
        <v>Store#1</v>
      </c>
      <c r="G1894">
        <f>INDEX(CalLookUpTable,MATCH($B1894,CalLookUpRow,0),MATCH(G$1,CalLookUpColumn,0))</f>
        <v>2020</v>
      </c>
      <c r="H1894">
        <f>INDEX(CalLookUpTable,MATCH($B1894,CalLookUpRow,0),MATCH(H$1,CalLookUpColumn,0))</f>
        <v>4</v>
      </c>
      <c r="I1894">
        <f>INDEX(CalLookUpTable,MATCH($B1894,CalLookUpRow,0),MATCH(I$1,CalLookUpColumn,0))</f>
        <v>3</v>
      </c>
    </row>
    <row r="1895" spans="1:9" x14ac:dyDescent="0.25">
      <c r="A1895" s="7">
        <v>1</v>
      </c>
      <c r="B1895" s="8">
        <v>43939</v>
      </c>
      <c r="C1895" s="9" t="s">
        <v>6</v>
      </c>
      <c r="D1895" s="10">
        <v>3116.645</v>
      </c>
      <c r="E1895" s="10">
        <v>735.67899999999997</v>
      </c>
      <c r="F1895" t="str">
        <f>VLOOKUP(A1895,StoreLookup,2,FALSE)</f>
        <v>Store#1</v>
      </c>
      <c r="G1895">
        <f>INDEX(CalLookUpTable,MATCH($B1895,CalLookUpRow,0),MATCH(G$1,CalLookUpColumn,0))</f>
        <v>2020</v>
      </c>
      <c r="H1895">
        <f>INDEX(CalLookUpTable,MATCH($B1895,CalLookUpRow,0),MATCH(H$1,CalLookUpColumn,0))</f>
        <v>4</v>
      </c>
      <c r="I1895">
        <f>INDEX(CalLookUpTable,MATCH($B1895,CalLookUpRow,0),MATCH(I$1,CalLookUpColumn,0))</f>
        <v>3</v>
      </c>
    </row>
    <row r="1896" spans="1:9" x14ac:dyDescent="0.25">
      <c r="A1896" s="7">
        <v>1</v>
      </c>
      <c r="B1896" s="8">
        <v>43939</v>
      </c>
      <c r="C1896" s="9" t="s">
        <v>3</v>
      </c>
      <c r="D1896" s="10">
        <v>0</v>
      </c>
      <c r="E1896" s="10">
        <v>384.65</v>
      </c>
      <c r="F1896" t="str">
        <f>VLOOKUP(A1896,StoreLookup,2,FALSE)</f>
        <v>Store#1</v>
      </c>
      <c r="G1896">
        <f>INDEX(CalLookUpTable,MATCH($B1896,CalLookUpRow,0),MATCH(G$1,CalLookUpColumn,0))</f>
        <v>2020</v>
      </c>
      <c r="H1896">
        <f>INDEX(CalLookUpTable,MATCH($B1896,CalLookUpRow,0),MATCH(H$1,CalLookUpColumn,0))</f>
        <v>4</v>
      </c>
      <c r="I1896">
        <f>INDEX(CalLookUpTable,MATCH($B1896,CalLookUpRow,0),MATCH(I$1,CalLookUpColumn,0))</f>
        <v>3</v>
      </c>
    </row>
    <row r="1897" spans="1:9" x14ac:dyDescent="0.25">
      <c r="A1897" s="7">
        <v>1</v>
      </c>
      <c r="B1897" s="8">
        <v>43939</v>
      </c>
      <c r="C1897" s="9" t="s">
        <v>5</v>
      </c>
      <c r="D1897" s="10">
        <v>5795.72</v>
      </c>
      <c r="E1897" s="10">
        <v>3740.9679999999994</v>
      </c>
      <c r="F1897" t="str">
        <f>VLOOKUP(A1897,StoreLookup,2,FALSE)</f>
        <v>Store#1</v>
      </c>
      <c r="G1897">
        <f>INDEX(CalLookUpTable,MATCH($B1897,CalLookUpRow,0),MATCH(G$1,CalLookUpColumn,0))</f>
        <v>2020</v>
      </c>
      <c r="H1897">
        <f>INDEX(CalLookUpTable,MATCH($B1897,CalLookUpRow,0),MATCH(H$1,CalLookUpColumn,0))</f>
        <v>4</v>
      </c>
      <c r="I1897">
        <f>INDEX(CalLookUpTable,MATCH($B1897,CalLookUpRow,0),MATCH(I$1,CalLookUpColumn,0))</f>
        <v>3</v>
      </c>
    </row>
    <row r="1898" spans="1:9" x14ac:dyDescent="0.25">
      <c r="A1898" s="7">
        <v>1</v>
      </c>
      <c r="B1898" s="8">
        <v>43940</v>
      </c>
      <c r="C1898" s="9" t="s">
        <v>5</v>
      </c>
      <c r="D1898" s="10">
        <v>3041.5140000000001</v>
      </c>
      <c r="E1898" s="10">
        <v>1629.894</v>
      </c>
      <c r="F1898" t="str">
        <f>VLOOKUP(A1898,StoreLookup,2,FALSE)</f>
        <v>Store#1</v>
      </c>
      <c r="G1898">
        <f>INDEX(CalLookUpTable,MATCH($B1898,CalLookUpRow,0),MATCH(G$1,CalLookUpColumn,0))</f>
        <v>2020</v>
      </c>
      <c r="H1898">
        <f>INDEX(CalLookUpTable,MATCH($B1898,CalLookUpRow,0),MATCH(H$1,CalLookUpColumn,0))</f>
        <v>4</v>
      </c>
      <c r="I1898">
        <f>INDEX(CalLookUpTable,MATCH($B1898,CalLookUpRow,0),MATCH(I$1,CalLookUpColumn,0))</f>
        <v>3</v>
      </c>
    </row>
    <row r="1899" spans="1:9" x14ac:dyDescent="0.25">
      <c r="A1899" s="7">
        <v>1</v>
      </c>
      <c r="B1899" s="8">
        <v>43940</v>
      </c>
      <c r="C1899" s="9" t="s">
        <v>3</v>
      </c>
      <c r="D1899" s="10">
        <v>0</v>
      </c>
      <c r="E1899" s="10">
        <v>0</v>
      </c>
      <c r="F1899" t="str">
        <f>VLOOKUP(A1899,StoreLookup,2,FALSE)</f>
        <v>Store#1</v>
      </c>
      <c r="G1899">
        <f>INDEX(CalLookUpTable,MATCH($B1899,CalLookUpRow,0),MATCH(G$1,CalLookUpColumn,0))</f>
        <v>2020</v>
      </c>
      <c r="H1899">
        <f>INDEX(CalLookUpTable,MATCH($B1899,CalLookUpRow,0),MATCH(H$1,CalLookUpColumn,0))</f>
        <v>4</v>
      </c>
      <c r="I1899">
        <f>INDEX(CalLookUpTable,MATCH($B1899,CalLookUpRow,0),MATCH(I$1,CalLookUpColumn,0))</f>
        <v>3</v>
      </c>
    </row>
    <row r="1900" spans="1:9" x14ac:dyDescent="0.25">
      <c r="A1900" s="7">
        <v>1</v>
      </c>
      <c r="B1900" s="8">
        <v>43940</v>
      </c>
      <c r="C1900" s="9" t="s">
        <v>6</v>
      </c>
      <c r="D1900" s="10">
        <v>1263.626</v>
      </c>
      <c r="E1900" s="10">
        <v>317.13499999999999</v>
      </c>
      <c r="F1900" t="str">
        <f>VLOOKUP(A1900,StoreLookup,2,FALSE)</f>
        <v>Store#1</v>
      </c>
      <c r="G1900">
        <f>INDEX(CalLookUpTable,MATCH($B1900,CalLookUpRow,0),MATCH(G$1,CalLookUpColumn,0))</f>
        <v>2020</v>
      </c>
      <c r="H1900">
        <f>INDEX(CalLookUpTable,MATCH($B1900,CalLookUpRow,0),MATCH(H$1,CalLookUpColumn,0))</f>
        <v>4</v>
      </c>
      <c r="I1900">
        <f>INDEX(CalLookUpTable,MATCH($B1900,CalLookUpRow,0),MATCH(I$1,CalLookUpColumn,0))</f>
        <v>3</v>
      </c>
    </row>
    <row r="1901" spans="1:9" x14ac:dyDescent="0.25">
      <c r="A1901" s="7">
        <v>1</v>
      </c>
      <c r="B1901" s="8">
        <v>43940</v>
      </c>
      <c r="C1901" s="9" t="s">
        <v>4</v>
      </c>
      <c r="D1901" s="10">
        <v>-7</v>
      </c>
      <c r="E1901" s="10">
        <v>2076.732</v>
      </c>
      <c r="F1901" t="str">
        <f>VLOOKUP(A1901,StoreLookup,2,FALSE)</f>
        <v>Store#1</v>
      </c>
      <c r="G1901">
        <f>INDEX(CalLookUpTable,MATCH($B1901,CalLookUpRow,0),MATCH(G$1,CalLookUpColumn,0))</f>
        <v>2020</v>
      </c>
      <c r="H1901">
        <f>INDEX(CalLookUpTable,MATCH($B1901,CalLookUpRow,0),MATCH(H$1,CalLookUpColumn,0))</f>
        <v>4</v>
      </c>
      <c r="I1901">
        <f>INDEX(CalLookUpTable,MATCH($B1901,CalLookUpRow,0),MATCH(I$1,CalLookUpColumn,0))</f>
        <v>3</v>
      </c>
    </row>
    <row r="1902" spans="1:9" x14ac:dyDescent="0.25">
      <c r="A1902" s="7">
        <v>1</v>
      </c>
      <c r="B1902" s="8">
        <v>43941</v>
      </c>
      <c r="C1902" s="9" t="s">
        <v>6</v>
      </c>
      <c r="D1902" s="10">
        <v>2578.0439999999999</v>
      </c>
      <c r="E1902" s="10">
        <v>1151.6609999999998</v>
      </c>
      <c r="F1902" t="str">
        <f>VLOOKUP(A1902,StoreLookup,2,FALSE)</f>
        <v>Store#1</v>
      </c>
      <c r="G1902">
        <f>INDEX(CalLookUpTable,MATCH($B1902,CalLookUpRow,0),MATCH(G$1,CalLookUpColumn,0))</f>
        <v>2020</v>
      </c>
      <c r="H1902">
        <f>INDEX(CalLookUpTable,MATCH($B1902,CalLookUpRow,0),MATCH(H$1,CalLookUpColumn,0))</f>
        <v>4</v>
      </c>
      <c r="I1902">
        <f>INDEX(CalLookUpTable,MATCH($B1902,CalLookUpRow,0),MATCH(I$1,CalLookUpColumn,0))</f>
        <v>4</v>
      </c>
    </row>
    <row r="1903" spans="1:9" x14ac:dyDescent="0.25">
      <c r="A1903" s="7">
        <v>1</v>
      </c>
      <c r="B1903" s="8">
        <v>43941</v>
      </c>
      <c r="C1903" s="9" t="s">
        <v>3</v>
      </c>
      <c r="D1903" s="10">
        <v>18.297999999999998</v>
      </c>
      <c r="E1903" s="10">
        <v>168.53899999999999</v>
      </c>
      <c r="F1903" t="str">
        <f>VLOOKUP(A1903,StoreLookup,2,FALSE)</f>
        <v>Store#1</v>
      </c>
      <c r="G1903">
        <f>INDEX(CalLookUpTable,MATCH($B1903,CalLookUpRow,0),MATCH(G$1,CalLookUpColumn,0))</f>
        <v>2020</v>
      </c>
      <c r="H1903">
        <f>INDEX(CalLookUpTable,MATCH($B1903,CalLookUpRow,0),MATCH(H$1,CalLookUpColumn,0))</f>
        <v>4</v>
      </c>
      <c r="I1903">
        <f>INDEX(CalLookUpTable,MATCH($B1903,CalLookUpRow,0),MATCH(I$1,CalLookUpColumn,0))</f>
        <v>4</v>
      </c>
    </row>
    <row r="1904" spans="1:9" x14ac:dyDescent="0.25">
      <c r="A1904" s="7">
        <v>1</v>
      </c>
      <c r="B1904" s="8">
        <v>43941</v>
      </c>
      <c r="C1904" s="9" t="s">
        <v>4</v>
      </c>
      <c r="D1904" s="10">
        <v>-13.146000000000001</v>
      </c>
      <c r="E1904" s="10">
        <v>5001.9059999999999</v>
      </c>
      <c r="F1904" t="str">
        <f>VLOOKUP(A1904,StoreLookup,2,FALSE)</f>
        <v>Store#1</v>
      </c>
      <c r="G1904">
        <f>INDEX(CalLookUpTable,MATCH($B1904,CalLookUpRow,0),MATCH(G$1,CalLookUpColumn,0))</f>
        <v>2020</v>
      </c>
      <c r="H1904">
        <f>INDEX(CalLookUpTable,MATCH($B1904,CalLookUpRow,0),MATCH(H$1,CalLookUpColumn,0))</f>
        <v>4</v>
      </c>
      <c r="I1904">
        <f>INDEX(CalLookUpTable,MATCH($B1904,CalLookUpRow,0),MATCH(I$1,CalLookUpColumn,0))</f>
        <v>4</v>
      </c>
    </row>
    <row r="1905" spans="1:9" x14ac:dyDescent="0.25">
      <c r="A1905" s="7">
        <v>1</v>
      </c>
      <c r="B1905" s="8">
        <v>43941</v>
      </c>
      <c r="C1905" s="9" t="s">
        <v>5</v>
      </c>
      <c r="D1905" s="10">
        <v>5311.6980000000003</v>
      </c>
      <c r="E1905" s="10">
        <v>3201.7579999999994</v>
      </c>
      <c r="F1905" t="str">
        <f>VLOOKUP(A1905,StoreLookup,2,FALSE)</f>
        <v>Store#1</v>
      </c>
      <c r="G1905">
        <f>INDEX(CalLookUpTable,MATCH($B1905,CalLookUpRow,0),MATCH(G$1,CalLookUpColumn,0))</f>
        <v>2020</v>
      </c>
      <c r="H1905">
        <f>INDEX(CalLookUpTable,MATCH($B1905,CalLookUpRow,0),MATCH(H$1,CalLookUpColumn,0))</f>
        <v>4</v>
      </c>
      <c r="I1905">
        <f>INDEX(CalLookUpTable,MATCH($B1905,CalLookUpRow,0),MATCH(I$1,CalLookUpColumn,0))</f>
        <v>4</v>
      </c>
    </row>
    <row r="1906" spans="1:9" x14ac:dyDescent="0.25">
      <c r="A1906" s="7">
        <v>1</v>
      </c>
      <c r="B1906" s="8">
        <v>43942</v>
      </c>
      <c r="C1906" s="9" t="s">
        <v>6</v>
      </c>
      <c r="D1906" s="10">
        <v>2614.402</v>
      </c>
      <c r="E1906" s="10">
        <v>900.05299999999988</v>
      </c>
      <c r="F1906" t="str">
        <f>VLOOKUP(A1906,StoreLookup,2,FALSE)</f>
        <v>Store#1</v>
      </c>
      <c r="G1906">
        <f>INDEX(CalLookUpTable,MATCH($B1906,CalLookUpRow,0),MATCH(G$1,CalLookUpColumn,0))</f>
        <v>2020</v>
      </c>
      <c r="H1906">
        <f>INDEX(CalLookUpTable,MATCH($B1906,CalLookUpRow,0),MATCH(H$1,CalLookUpColumn,0))</f>
        <v>4</v>
      </c>
      <c r="I1906">
        <f>INDEX(CalLookUpTable,MATCH($B1906,CalLookUpRow,0),MATCH(I$1,CalLookUpColumn,0))</f>
        <v>4</v>
      </c>
    </row>
    <row r="1907" spans="1:9" x14ac:dyDescent="0.25">
      <c r="A1907" s="7">
        <v>1</v>
      </c>
      <c r="B1907" s="8">
        <v>43942</v>
      </c>
      <c r="C1907" s="9" t="s">
        <v>4</v>
      </c>
      <c r="D1907" s="10">
        <v>-3.1429999999999998</v>
      </c>
      <c r="E1907" s="10">
        <v>4740.8059999999996</v>
      </c>
      <c r="F1907" t="str">
        <f>VLOOKUP(A1907,StoreLookup,2,FALSE)</f>
        <v>Store#1</v>
      </c>
      <c r="G1907">
        <f>INDEX(CalLookUpTable,MATCH($B1907,CalLookUpRow,0),MATCH(G$1,CalLookUpColumn,0))</f>
        <v>2020</v>
      </c>
      <c r="H1907">
        <f>INDEX(CalLookUpTable,MATCH($B1907,CalLookUpRow,0),MATCH(H$1,CalLookUpColumn,0))</f>
        <v>4</v>
      </c>
      <c r="I1907">
        <f>INDEX(CalLookUpTable,MATCH($B1907,CalLookUpRow,0),MATCH(I$1,CalLookUpColumn,0))</f>
        <v>4</v>
      </c>
    </row>
    <row r="1908" spans="1:9" x14ac:dyDescent="0.25">
      <c r="A1908" s="7">
        <v>1</v>
      </c>
      <c r="B1908" s="8">
        <v>43942</v>
      </c>
      <c r="C1908" s="9" t="s">
        <v>5</v>
      </c>
      <c r="D1908" s="10">
        <v>4702.866</v>
      </c>
      <c r="E1908" s="10">
        <v>3424.0149999999999</v>
      </c>
      <c r="F1908" t="str">
        <f>VLOOKUP(A1908,StoreLookup,2,FALSE)</f>
        <v>Store#1</v>
      </c>
      <c r="G1908">
        <f>INDEX(CalLookUpTable,MATCH($B1908,CalLookUpRow,0),MATCH(G$1,CalLookUpColumn,0))</f>
        <v>2020</v>
      </c>
      <c r="H1908">
        <f>INDEX(CalLookUpTable,MATCH($B1908,CalLookUpRow,0),MATCH(H$1,CalLookUpColumn,0))</f>
        <v>4</v>
      </c>
      <c r="I1908">
        <f>INDEX(CalLookUpTable,MATCH($B1908,CalLookUpRow,0),MATCH(I$1,CalLookUpColumn,0))</f>
        <v>4</v>
      </c>
    </row>
    <row r="1909" spans="1:9" x14ac:dyDescent="0.25">
      <c r="A1909" s="7">
        <v>1</v>
      </c>
      <c r="B1909" s="8">
        <v>43942</v>
      </c>
      <c r="C1909" s="9" t="s">
        <v>3</v>
      </c>
      <c r="D1909" s="10">
        <v>3.9129999999999998</v>
      </c>
      <c r="E1909" s="10">
        <v>183.21799999999999</v>
      </c>
      <c r="F1909" t="str">
        <f>VLOOKUP(A1909,StoreLookup,2,FALSE)</f>
        <v>Store#1</v>
      </c>
      <c r="G1909">
        <f>INDEX(CalLookUpTable,MATCH($B1909,CalLookUpRow,0),MATCH(G$1,CalLookUpColumn,0))</f>
        <v>2020</v>
      </c>
      <c r="H1909">
        <f>INDEX(CalLookUpTable,MATCH($B1909,CalLookUpRow,0),MATCH(H$1,CalLookUpColumn,0))</f>
        <v>4</v>
      </c>
      <c r="I1909">
        <f>INDEX(CalLookUpTable,MATCH($B1909,CalLookUpRow,0),MATCH(I$1,CalLookUpColumn,0))</f>
        <v>4</v>
      </c>
    </row>
    <row r="1910" spans="1:9" x14ac:dyDescent="0.25">
      <c r="A1910" s="7">
        <v>1</v>
      </c>
      <c r="B1910" s="8">
        <v>43943</v>
      </c>
      <c r="C1910" s="9" t="s">
        <v>3</v>
      </c>
      <c r="D1910" s="10">
        <v>0</v>
      </c>
      <c r="E1910" s="10">
        <v>11.542999999999997</v>
      </c>
      <c r="F1910" t="str">
        <f>VLOOKUP(A1910,StoreLookup,2,FALSE)</f>
        <v>Store#1</v>
      </c>
      <c r="G1910">
        <f>INDEX(CalLookUpTable,MATCH($B1910,CalLookUpRow,0),MATCH(G$1,CalLookUpColumn,0))</f>
        <v>2020</v>
      </c>
      <c r="H1910">
        <f>INDEX(CalLookUpTable,MATCH($B1910,CalLookUpRow,0),MATCH(H$1,CalLookUpColumn,0))</f>
        <v>4</v>
      </c>
      <c r="I1910">
        <f>INDEX(CalLookUpTable,MATCH($B1910,CalLookUpRow,0),MATCH(I$1,CalLookUpColumn,0))</f>
        <v>4</v>
      </c>
    </row>
    <row r="1911" spans="1:9" x14ac:dyDescent="0.25">
      <c r="A1911" s="7">
        <v>1</v>
      </c>
      <c r="B1911" s="8">
        <v>43943</v>
      </c>
      <c r="C1911" s="9" t="s">
        <v>4</v>
      </c>
      <c r="D1911" s="10">
        <v>-6.5730000000000004</v>
      </c>
      <c r="E1911" s="10">
        <v>5524.7219999999998</v>
      </c>
      <c r="F1911" t="str">
        <f>VLOOKUP(A1911,StoreLookup,2,FALSE)</f>
        <v>Store#1</v>
      </c>
      <c r="G1911">
        <f>INDEX(CalLookUpTable,MATCH($B1911,CalLookUpRow,0),MATCH(G$1,CalLookUpColumn,0))</f>
        <v>2020</v>
      </c>
      <c r="H1911">
        <f>INDEX(CalLookUpTable,MATCH($B1911,CalLookUpRow,0),MATCH(H$1,CalLookUpColumn,0))</f>
        <v>4</v>
      </c>
      <c r="I1911">
        <f>INDEX(CalLookUpTable,MATCH($B1911,CalLookUpRow,0),MATCH(I$1,CalLookUpColumn,0))</f>
        <v>4</v>
      </c>
    </row>
    <row r="1912" spans="1:9" x14ac:dyDescent="0.25">
      <c r="A1912" s="7">
        <v>1</v>
      </c>
      <c r="B1912" s="8">
        <v>43943</v>
      </c>
      <c r="C1912" s="9" t="s">
        <v>5</v>
      </c>
      <c r="D1912" s="10">
        <v>5345.5640000000003</v>
      </c>
      <c r="E1912" s="10">
        <v>4331.9709999999995</v>
      </c>
      <c r="F1912" t="str">
        <f>VLOOKUP(A1912,StoreLookup,2,FALSE)</f>
        <v>Store#1</v>
      </c>
      <c r="G1912">
        <f>INDEX(CalLookUpTable,MATCH($B1912,CalLookUpRow,0),MATCH(G$1,CalLookUpColumn,0))</f>
        <v>2020</v>
      </c>
      <c r="H1912">
        <f>INDEX(CalLookUpTable,MATCH($B1912,CalLookUpRow,0),MATCH(H$1,CalLookUpColumn,0))</f>
        <v>4</v>
      </c>
      <c r="I1912">
        <f>INDEX(CalLookUpTable,MATCH($B1912,CalLookUpRow,0),MATCH(I$1,CalLookUpColumn,0))</f>
        <v>4</v>
      </c>
    </row>
    <row r="1913" spans="1:9" x14ac:dyDescent="0.25">
      <c r="A1913" s="7">
        <v>1</v>
      </c>
      <c r="B1913" s="8">
        <v>43943</v>
      </c>
      <c r="C1913" s="9" t="s">
        <v>6</v>
      </c>
      <c r="D1913" s="10">
        <v>2612.9110000000001</v>
      </c>
      <c r="E1913" s="10">
        <v>1279.0819999999999</v>
      </c>
      <c r="F1913" t="str">
        <f>VLOOKUP(A1913,StoreLookup,2,FALSE)</f>
        <v>Store#1</v>
      </c>
      <c r="G1913">
        <f>INDEX(CalLookUpTable,MATCH($B1913,CalLookUpRow,0),MATCH(G$1,CalLookUpColumn,0))</f>
        <v>2020</v>
      </c>
      <c r="H1913">
        <f>INDEX(CalLookUpTable,MATCH($B1913,CalLookUpRow,0),MATCH(H$1,CalLookUpColumn,0))</f>
        <v>4</v>
      </c>
      <c r="I1913">
        <f>INDEX(CalLookUpTable,MATCH($B1913,CalLookUpRow,0),MATCH(I$1,CalLookUpColumn,0))</f>
        <v>4</v>
      </c>
    </row>
    <row r="1914" spans="1:9" x14ac:dyDescent="0.25">
      <c r="A1914" s="7">
        <v>1</v>
      </c>
      <c r="B1914" s="8">
        <v>43944</v>
      </c>
      <c r="C1914" s="9" t="s">
        <v>4</v>
      </c>
      <c r="D1914" s="10">
        <v>183.73599999999999</v>
      </c>
      <c r="E1914" s="10">
        <v>5933.9419999999991</v>
      </c>
      <c r="F1914" t="str">
        <f>VLOOKUP(A1914,StoreLookup,2,FALSE)</f>
        <v>Store#1</v>
      </c>
      <c r="G1914">
        <f>INDEX(CalLookUpTable,MATCH($B1914,CalLookUpRow,0),MATCH(G$1,CalLookUpColumn,0))</f>
        <v>2020</v>
      </c>
      <c r="H1914">
        <f>INDEX(CalLookUpTable,MATCH($B1914,CalLookUpRow,0),MATCH(H$1,CalLookUpColumn,0))</f>
        <v>4</v>
      </c>
      <c r="I1914">
        <f>INDEX(CalLookUpTable,MATCH($B1914,CalLookUpRow,0),MATCH(I$1,CalLookUpColumn,0))</f>
        <v>4</v>
      </c>
    </row>
    <row r="1915" spans="1:9" x14ac:dyDescent="0.25">
      <c r="A1915" s="7">
        <v>1</v>
      </c>
      <c r="B1915" s="8">
        <v>43944</v>
      </c>
      <c r="C1915" s="9" t="s">
        <v>5</v>
      </c>
      <c r="D1915" s="10">
        <v>5263.86</v>
      </c>
      <c r="E1915" s="10">
        <v>4078.4799999999996</v>
      </c>
      <c r="F1915" t="str">
        <f>VLOOKUP(A1915,StoreLookup,2,FALSE)</f>
        <v>Store#1</v>
      </c>
      <c r="G1915">
        <f>INDEX(CalLookUpTable,MATCH($B1915,CalLookUpRow,0),MATCH(G$1,CalLookUpColumn,0))</f>
        <v>2020</v>
      </c>
      <c r="H1915">
        <f>INDEX(CalLookUpTable,MATCH($B1915,CalLookUpRow,0),MATCH(H$1,CalLookUpColumn,0))</f>
        <v>4</v>
      </c>
      <c r="I1915">
        <f>INDEX(CalLookUpTable,MATCH($B1915,CalLookUpRow,0),MATCH(I$1,CalLookUpColumn,0))</f>
        <v>4</v>
      </c>
    </row>
    <row r="1916" spans="1:9" x14ac:dyDescent="0.25">
      <c r="A1916" s="7">
        <v>1</v>
      </c>
      <c r="B1916" s="8">
        <v>43944</v>
      </c>
      <c r="C1916" s="9" t="s">
        <v>3</v>
      </c>
      <c r="D1916" s="10">
        <v>8.3929999999999989</v>
      </c>
      <c r="E1916" s="10">
        <v>341.29199999999997</v>
      </c>
      <c r="F1916" t="str">
        <f>VLOOKUP(A1916,StoreLookup,2,FALSE)</f>
        <v>Store#1</v>
      </c>
      <c r="G1916">
        <f>INDEX(CalLookUpTable,MATCH($B1916,CalLookUpRow,0),MATCH(G$1,CalLookUpColumn,0))</f>
        <v>2020</v>
      </c>
      <c r="H1916">
        <f>INDEX(CalLookUpTable,MATCH($B1916,CalLookUpRow,0),MATCH(H$1,CalLookUpColumn,0))</f>
        <v>4</v>
      </c>
      <c r="I1916">
        <f>INDEX(CalLookUpTable,MATCH($B1916,CalLookUpRow,0),MATCH(I$1,CalLookUpColumn,0))</f>
        <v>4</v>
      </c>
    </row>
    <row r="1917" spans="1:9" x14ac:dyDescent="0.25">
      <c r="A1917" s="7">
        <v>1</v>
      </c>
      <c r="B1917" s="8">
        <v>43944</v>
      </c>
      <c r="C1917" s="9" t="s">
        <v>6</v>
      </c>
      <c r="D1917" s="10">
        <v>2878.7079999999996</v>
      </c>
      <c r="E1917" s="10">
        <v>1940.8829999999998</v>
      </c>
      <c r="F1917" t="str">
        <f>VLOOKUP(A1917,StoreLookup,2,FALSE)</f>
        <v>Store#1</v>
      </c>
      <c r="G1917">
        <f>INDEX(CalLookUpTable,MATCH($B1917,CalLookUpRow,0),MATCH(G$1,CalLookUpColumn,0))</f>
        <v>2020</v>
      </c>
      <c r="H1917">
        <f>INDEX(CalLookUpTable,MATCH($B1917,CalLookUpRow,0),MATCH(H$1,CalLookUpColumn,0))</f>
        <v>4</v>
      </c>
      <c r="I1917">
        <f>INDEX(CalLookUpTable,MATCH($B1917,CalLookUpRow,0),MATCH(I$1,CalLookUpColumn,0))</f>
        <v>4</v>
      </c>
    </row>
    <row r="1918" spans="1:9" x14ac:dyDescent="0.25">
      <c r="A1918" s="7">
        <v>1</v>
      </c>
      <c r="B1918" s="8">
        <v>43945</v>
      </c>
      <c r="C1918" s="9" t="s">
        <v>4</v>
      </c>
      <c r="D1918" s="10">
        <v>687.29499999999996</v>
      </c>
      <c r="E1918" s="10">
        <v>6413.2599999999993</v>
      </c>
      <c r="F1918" t="str">
        <f>VLOOKUP(A1918,StoreLookup,2,FALSE)</f>
        <v>Store#1</v>
      </c>
      <c r="G1918">
        <f>INDEX(CalLookUpTable,MATCH($B1918,CalLookUpRow,0),MATCH(G$1,CalLookUpColumn,0))</f>
        <v>2020</v>
      </c>
      <c r="H1918">
        <f>INDEX(CalLookUpTable,MATCH($B1918,CalLookUpRow,0),MATCH(H$1,CalLookUpColumn,0))</f>
        <v>4</v>
      </c>
      <c r="I1918">
        <f>INDEX(CalLookUpTable,MATCH($B1918,CalLookUpRow,0),MATCH(I$1,CalLookUpColumn,0))</f>
        <v>4</v>
      </c>
    </row>
    <row r="1919" spans="1:9" x14ac:dyDescent="0.25">
      <c r="A1919" s="7">
        <v>1</v>
      </c>
      <c r="B1919" s="8">
        <v>43945</v>
      </c>
      <c r="C1919" s="9" t="s">
        <v>3</v>
      </c>
      <c r="D1919" s="10">
        <v>0</v>
      </c>
      <c r="E1919" s="10">
        <v>654.58399999999995</v>
      </c>
      <c r="F1919" t="str">
        <f>VLOOKUP(A1919,StoreLookup,2,FALSE)</f>
        <v>Store#1</v>
      </c>
      <c r="G1919">
        <f>INDEX(CalLookUpTable,MATCH($B1919,CalLookUpRow,0),MATCH(G$1,CalLookUpColumn,0))</f>
        <v>2020</v>
      </c>
      <c r="H1919">
        <f>INDEX(CalLookUpTable,MATCH($B1919,CalLookUpRow,0),MATCH(H$1,CalLookUpColumn,0))</f>
        <v>4</v>
      </c>
      <c r="I1919">
        <f>INDEX(CalLookUpTable,MATCH($B1919,CalLookUpRow,0),MATCH(I$1,CalLookUpColumn,0))</f>
        <v>4</v>
      </c>
    </row>
    <row r="1920" spans="1:9" x14ac:dyDescent="0.25">
      <c r="A1920" s="7">
        <v>1</v>
      </c>
      <c r="B1920" s="8">
        <v>43945</v>
      </c>
      <c r="C1920" s="9" t="s">
        <v>5</v>
      </c>
      <c r="D1920" s="10">
        <v>6463.2749999999996</v>
      </c>
      <c r="E1920" s="10">
        <v>4197.4799999999996</v>
      </c>
      <c r="F1920" t="str">
        <f>VLOOKUP(A1920,StoreLookup,2,FALSE)</f>
        <v>Store#1</v>
      </c>
      <c r="G1920">
        <f>INDEX(CalLookUpTable,MATCH($B1920,CalLookUpRow,0),MATCH(G$1,CalLookUpColumn,0))</f>
        <v>2020</v>
      </c>
      <c r="H1920">
        <f>INDEX(CalLookUpTable,MATCH($B1920,CalLookUpRow,0),MATCH(H$1,CalLookUpColumn,0))</f>
        <v>4</v>
      </c>
      <c r="I1920">
        <f>INDEX(CalLookUpTable,MATCH($B1920,CalLookUpRow,0),MATCH(I$1,CalLookUpColumn,0))</f>
        <v>4</v>
      </c>
    </row>
    <row r="1921" spans="1:9" x14ac:dyDescent="0.25">
      <c r="A1921" s="7">
        <v>1</v>
      </c>
      <c r="B1921" s="8">
        <v>43945</v>
      </c>
      <c r="C1921" s="9" t="s">
        <v>6</v>
      </c>
      <c r="D1921" s="10">
        <v>6063.2530000000006</v>
      </c>
      <c r="E1921" s="10">
        <v>1845.2629999999999</v>
      </c>
      <c r="F1921" t="str">
        <f>VLOOKUP(A1921,StoreLookup,2,FALSE)</f>
        <v>Store#1</v>
      </c>
      <c r="G1921">
        <f>INDEX(CalLookUpTable,MATCH($B1921,CalLookUpRow,0),MATCH(G$1,CalLookUpColumn,0))</f>
        <v>2020</v>
      </c>
      <c r="H1921">
        <f>INDEX(CalLookUpTable,MATCH($B1921,CalLookUpRow,0),MATCH(H$1,CalLookUpColumn,0))</f>
        <v>4</v>
      </c>
      <c r="I1921">
        <f>INDEX(CalLookUpTable,MATCH($B1921,CalLookUpRow,0),MATCH(I$1,CalLookUpColumn,0))</f>
        <v>4</v>
      </c>
    </row>
    <row r="1922" spans="1:9" x14ac:dyDescent="0.25">
      <c r="A1922" s="7">
        <v>1</v>
      </c>
      <c r="B1922" s="8">
        <v>43946</v>
      </c>
      <c r="C1922" s="9" t="s">
        <v>4</v>
      </c>
      <c r="D1922" s="10">
        <v>522.17200000000003</v>
      </c>
      <c r="E1922" s="10">
        <v>6809.7609999999995</v>
      </c>
      <c r="F1922" t="str">
        <f>VLOOKUP(A1922,StoreLookup,2,FALSE)</f>
        <v>Store#1</v>
      </c>
      <c r="G1922">
        <f>INDEX(CalLookUpTable,MATCH($B1922,CalLookUpRow,0),MATCH(G$1,CalLookUpColumn,0))</f>
        <v>2020</v>
      </c>
      <c r="H1922">
        <f>INDEX(CalLookUpTable,MATCH($B1922,CalLookUpRow,0),MATCH(H$1,CalLookUpColumn,0))</f>
        <v>4</v>
      </c>
      <c r="I1922">
        <f>INDEX(CalLookUpTable,MATCH($B1922,CalLookUpRow,0),MATCH(I$1,CalLookUpColumn,0))</f>
        <v>4</v>
      </c>
    </row>
    <row r="1923" spans="1:9" x14ac:dyDescent="0.25">
      <c r="A1923" s="7">
        <v>1</v>
      </c>
      <c r="B1923" s="8">
        <v>43946</v>
      </c>
      <c r="C1923" s="9" t="s">
        <v>6</v>
      </c>
      <c r="D1923" s="10">
        <v>4181.6390000000001</v>
      </c>
      <c r="E1923" s="10">
        <v>1326.6120000000001</v>
      </c>
      <c r="F1923" t="str">
        <f>VLOOKUP(A1923,StoreLookup,2,FALSE)</f>
        <v>Store#1</v>
      </c>
      <c r="G1923">
        <f>INDEX(CalLookUpTable,MATCH($B1923,CalLookUpRow,0),MATCH(G$1,CalLookUpColumn,0))</f>
        <v>2020</v>
      </c>
      <c r="H1923">
        <f>INDEX(CalLookUpTable,MATCH($B1923,CalLookUpRow,0),MATCH(H$1,CalLookUpColumn,0))</f>
        <v>4</v>
      </c>
      <c r="I1923">
        <f>INDEX(CalLookUpTable,MATCH($B1923,CalLookUpRow,0),MATCH(I$1,CalLookUpColumn,0))</f>
        <v>4</v>
      </c>
    </row>
    <row r="1924" spans="1:9" x14ac:dyDescent="0.25">
      <c r="A1924" s="7">
        <v>1</v>
      </c>
      <c r="B1924" s="8">
        <v>43946</v>
      </c>
      <c r="C1924" s="9" t="s">
        <v>5</v>
      </c>
      <c r="D1924" s="10">
        <v>5926.2349999999988</v>
      </c>
      <c r="E1924" s="10">
        <v>3656.835</v>
      </c>
      <c r="F1924" t="str">
        <f>VLOOKUP(A1924,StoreLookup,2,FALSE)</f>
        <v>Store#1</v>
      </c>
      <c r="G1924">
        <f>INDEX(CalLookUpTable,MATCH($B1924,CalLookUpRow,0),MATCH(G$1,CalLookUpColumn,0))</f>
        <v>2020</v>
      </c>
      <c r="H1924">
        <f>INDEX(CalLookUpTable,MATCH($B1924,CalLookUpRow,0),MATCH(H$1,CalLookUpColumn,0))</f>
        <v>4</v>
      </c>
      <c r="I1924">
        <f>INDEX(CalLookUpTable,MATCH($B1924,CalLookUpRow,0),MATCH(I$1,CalLookUpColumn,0))</f>
        <v>4</v>
      </c>
    </row>
    <row r="1925" spans="1:9" x14ac:dyDescent="0.25">
      <c r="A1925" s="7">
        <v>1</v>
      </c>
      <c r="B1925" s="8">
        <v>43946</v>
      </c>
      <c r="C1925" s="9" t="s">
        <v>3</v>
      </c>
      <c r="D1925" s="10">
        <v>0</v>
      </c>
      <c r="E1925" s="10">
        <v>230.78999999999996</v>
      </c>
      <c r="F1925" t="str">
        <f>VLOOKUP(A1925,StoreLookup,2,FALSE)</f>
        <v>Store#1</v>
      </c>
      <c r="G1925">
        <f>INDEX(CalLookUpTable,MATCH($B1925,CalLookUpRow,0),MATCH(G$1,CalLookUpColumn,0))</f>
        <v>2020</v>
      </c>
      <c r="H1925">
        <f>INDEX(CalLookUpTable,MATCH($B1925,CalLookUpRow,0),MATCH(H$1,CalLookUpColumn,0))</f>
        <v>4</v>
      </c>
      <c r="I1925">
        <f>INDEX(CalLookUpTable,MATCH($B1925,CalLookUpRow,0),MATCH(I$1,CalLookUpColumn,0))</f>
        <v>4</v>
      </c>
    </row>
    <row r="1926" spans="1:9" x14ac:dyDescent="0.25">
      <c r="A1926" s="7">
        <v>1</v>
      </c>
      <c r="B1926" s="8">
        <v>43947</v>
      </c>
      <c r="C1926" s="9" t="s">
        <v>6</v>
      </c>
      <c r="D1926" s="10">
        <v>1665.6219999999998</v>
      </c>
      <c r="E1926" s="10">
        <v>255.745</v>
      </c>
      <c r="F1926" t="str">
        <f>VLOOKUP(A1926,StoreLookup,2,FALSE)</f>
        <v>Store#1</v>
      </c>
      <c r="G1926">
        <f>INDEX(CalLookUpTable,MATCH($B1926,CalLookUpRow,0),MATCH(G$1,CalLookUpColumn,0))</f>
        <v>2020</v>
      </c>
      <c r="H1926">
        <f>INDEX(CalLookUpTable,MATCH($B1926,CalLookUpRow,0),MATCH(H$1,CalLookUpColumn,0))</f>
        <v>4</v>
      </c>
      <c r="I1926">
        <f>INDEX(CalLookUpTable,MATCH($B1926,CalLookUpRow,0),MATCH(I$1,CalLookUpColumn,0))</f>
        <v>4</v>
      </c>
    </row>
    <row r="1927" spans="1:9" x14ac:dyDescent="0.25">
      <c r="A1927" s="7">
        <v>1</v>
      </c>
      <c r="B1927" s="8">
        <v>43947</v>
      </c>
      <c r="C1927" s="9" t="s">
        <v>4</v>
      </c>
      <c r="D1927" s="10">
        <v>-39.717999999999996</v>
      </c>
      <c r="E1927" s="10">
        <v>2581.4319999999998</v>
      </c>
      <c r="F1927" t="str">
        <f>VLOOKUP(A1927,StoreLookup,2,FALSE)</f>
        <v>Store#1</v>
      </c>
      <c r="G1927">
        <f>INDEX(CalLookUpTable,MATCH($B1927,CalLookUpRow,0),MATCH(G$1,CalLookUpColumn,0))</f>
        <v>2020</v>
      </c>
      <c r="H1927">
        <f>INDEX(CalLookUpTable,MATCH($B1927,CalLookUpRow,0),MATCH(H$1,CalLookUpColumn,0))</f>
        <v>4</v>
      </c>
      <c r="I1927">
        <f>INDEX(CalLookUpTable,MATCH($B1927,CalLookUpRow,0),MATCH(I$1,CalLookUpColumn,0))</f>
        <v>4</v>
      </c>
    </row>
    <row r="1928" spans="1:9" x14ac:dyDescent="0.25">
      <c r="A1928" s="7">
        <v>1</v>
      </c>
      <c r="B1928" s="8">
        <v>43947</v>
      </c>
      <c r="C1928" s="9" t="s">
        <v>5</v>
      </c>
      <c r="D1928" s="10">
        <v>2983.7849999999999</v>
      </c>
      <c r="E1928" s="10">
        <v>2033.1149999999998</v>
      </c>
      <c r="F1928" t="str">
        <f>VLOOKUP(A1928,StoreLookup,2,FALSE)</f>
        <v>Store#1</v>
      </c>
      <c r="G1928">
        <f>INDEX(CalLookUpTable,MATCH($B1928,CalLookUpRow,0),MATCH(G$1,CalLookUpColumn,0))</f>
        <v>2020</v>
      </c>
      <c r="H1928">
        <f>INDEX(CalLookUpTable,MATCH($B1928,CalLookUpRow,0),MATCH(H$1,CalLookUpColumn,0))</f>
        <v>4</v>
      </c>
      <c r="I1928">
        <f>INDEX(CalLookUpTable,MATCH($B1928,CalLookUpRow,0),MATCH(I$1,CalLookUpColumn,0))</f>
        <v>4</v>
      </c>
    </row>
    <row r="1929" spans="1:9" x14ac:dyDescent="0.25">
      <c r="A1929" s="7">
        <v>1</v>
      </c>
      <c r="B1929" s="8">
        <v>43947</v>
      </c>
      <c r="C1929" s="9" t="s">
        <v>3</v>
      </c>
      <c r="D1929" s="10">
        <v>0</v>
      </c>
      <c r="E1929" s="10">
        <v>0</v>
      </c>
      <c r="F1929" t="str">
        <f>VLOOKUP(A1929,StoreLookup,2,FALSE)</f>
        <v>Store#1</v>
      </c>
      <c r="G1929">
        <f>INDEX(CalLookUpTable,MATCH($B1929,CalLookUpRow,0),MATCH(G$1,CalLookUpColumn,0))</f>
        <v>2020</v>
      </c>
      <c r="H1929">
        <f>INDEX(CalLookUpTable,MATCH($B1929,CalLookUpRow,0),MATCH(H$1,CalLookUpColumn,0))</f>
        <v>4</v>
      </c>
      <c r="I1929">
        <f>INDEX(CalLookUpTable,MATCH($B1929,CalLookUpRow,0),MATCH(I$1,CalLookUpColumn,0))</f>
        <v>4</v>
      </c>
    </row>
    <row r="1930" spans="1:9" x14ac:dyDescent="0.25">
      <c r="A1930" s="7">
        <v>2</v>
      </c>
      <c r="B1930" s="8">
        <v>43466</v>
      </c>
      <c r="C1930" s="9" t="s">
        <v>6</v>
      </c>
      <c r="D1930" s="10">
        <v>458.661</v>
      </c>
      <c r="E1930" s="10">
        <v>277.72499999999997</v>
      </c>
      <c r="F1930" t="str">
        <f>VLOOKUP(A1930,StoreLookup,2,FALSE)</f>
        <v>Store#2</v>
      </c>
      <c r="G1930">
        <f>INDEX(CalLookUpTable,MATCH($B1930,CalLookUpRow,0),MATCH(G$1,CalLookUpColumn,0))</f>
        <v>2019</v>
      </c>
      <c r="H1930">
        <f>INDEX(CalLookUpTable,MATCH($B1930,CalLookUpRow,0),MATCH(H$1,CalLookUpColumn,0))</f>
        <v>1</v>
      </c>
      <c r="I1930">
        <f>INDEX(CalLookUpTable,MATCH($B1930,CalLookUpRow,0),MATCH(I$1,CalLookUpColumn,0))</f>
        <v>1</v>
      </c>
    </row>
    <row r="1931" spans="1:9" x14ac:dyDescent="0.25">
      <c r="A1931" s="7">
        <v>2</v>
      </c>
      <c r="B1931" s="8">
        <v>43466</v>
      </c>
      <c r="C1931" s="9" t="s">
        <v>3</v>
      </c>
      <c r="D1931" s="10">
        <v>0</v>
      </c>
      <c r="E1931" s="10">
        <v>0</v>
      </c>
      <c r="F1931" t="str">
        <f>VLOOKUP(A1931,StoreLookup,2,FALSE)</f>
        <v>Store#2</v>
      </c>
      <c r="G1931">
        <f>INDEX(CalLookUpTable,MATCH($B1931,CalLookUpRow,0),MATCH(G$1,CalLookUpColumn,0))</f>
        <v>2019</v>
      </c>
      <c r="H1931">
        <f>INDEX(CalLookUpTable,MATCH($B1931,CalLookUpRow,0),MATCH(H$1,CalLookUpColumn,0))</f>
        <v>1</v>
      </c>
      <c r="I1931">
        <f>INDEX(CalLookUpTable,MATCH($B1931,CalLookUpRow,0),MATCH(I$1,CalLookUpColumn,0))</f>
        <v>1</v>
      </c>
    </row>
    <row r="1932" spans="1:9" x14ac:dyDescent="0.25">
      <c r="A1932" s="7">
        <v>2</v>
      </c>
      <c r="B1932" s="8">
        <v>43466</v>
      </c>
      <c r="C1932" s="9" t="s">
        <v>4</v>
      </c>
      <c r="D1932" s="10">
        <v>1994.0199999999998</v>
      </c>
      <c r="E1932" s="10">
        <v>1959.4960000000001</v>
      </c>
      <c r="F1932" t="str">
        <f>VLOOKUP(A1932,StoreLookup,2,FALSE)</f>
        <v>Store#2</v>
      </c>
      <c r="G1932">
        <f>INDEX(CalLookUpTable,MATCH($B1932,CalLookUpRow,0),MATCH(G$1,CalLookUpColumn,0))</f>
        <v>2019</v>
      </c>
      <c r="H1932">
        <f>INDEX(CalLookUpTable,MATCH($B1932,CalLookUpRow,0),MATCH(H$1,CalLookUpColumn,0))</f>
        <v>1</v>
      </c>
      <c r="I1932">
        <f>INDEX(CalLookUpTable,MATCH($B1932,CalLookUpRow,0),MATCH(I$1,CalLookUpColumn,0))</f>
        <v>1</v>
      </c>
    </row>
    <row r="1933" spans="1:9" x14ac:dyDescent="0.25">
      <c r="A1933" s="7">
        <v>2</v>
      </c>
      <c r="B1933" s="8">
        <v>43466</v>
      </c>
      <c r="C1933" s="9" t="s">
        <v>5</v>
      </c>
      <c r="D1933" s="10">
        <v>953.96699999999987</v>
      </c>
      <c r="E1933" s="10">
        <v>0</v>
      </c>
      <c r="F1933" t="str">
        <f>VLOOKUP(A1933,StoreLookup,2,FALSE)</f>
        <v>Store#2</v>
      </c>
      <c r="G1933">
        <f>INDEX(CalLookUpTable,MATCH($B1933,CalLookUpRow,0),MATCH(G$1,CalLookUpColumn,0))</f>
        <v>2019</v>
      </c>
      <c r="H1933">
        <f>INDEX(CalLookUpTable,MATCH($B1933,CalLookUpRow,0),MATCH(H$1,CalLookUpColumn,0))</f>
        <v>1</v>
      </c>
      <c r="I1933">
        <f>INDEX(CalLookUpTable,MATCH($B1933,CalLookUpRow,0),MATCH(I$1,CalLookUpColumn,0))</f>
        <v>1</v>
      </c>
    </row>
    <row r="1934" spans="1:9" x14ac:dyDescent="0.25">
      <c r="A1934" s="7">
        <v>2</v>
      </c>
      <c r="B1934" s="8">
        <v>43467</v>
      </c>
      <c r="C1934" s="9" t="s">
        <v>4</v>
      </c>
      <c r="D1934" s="10">
        <v>1640.4499999999998</v>
      </c>
      <c r="E1934" s="10">
        <v>1783.5089999999998</v>
      </c>
      <c r="F1934" t="str">
        <f>VLOOKUP(A1934,StoreLookup,2,FALSE)</f>
        <v>Store#2</v>
      </c>
      <c r="G1934">
        <f>INDEX(CalLookUpTable,MATCH($B1934,CalLookUpRow,0),MATCH(G$1,CalLookUpColumn,0))</f>
        <v>2019</v>
      </c>
      <c r="H1934">
        <f>INDEX(CalLookUpTable,MATCH($B1934,CalLookUpRow,0),MATCH(H$1,CalLookUpColumn,0))</f>
        <v>1</v>
      </c>
      <c r="I1934">
        <f>INDEX(CalLookUpTable,MATCH($B1934,CalLookUpRow,0),MATCH(I$1,CalLookUpColumn,0))</f>
        <v>1</v>
      </c>
    </row>
    <row r="1935" spans="1:9" x14ac:dyDescent="0.25">
      <c r="A1935" s="7">
        <v>2</v>
      </c>
      <c r="B1935" s="8">
        <v>43467</v>
      </c>
      <c r="C1935" s="9" t="s">
        <v>3</v>
      </c>
      <c r="D1935" s="10">
        <v>28.951999999999998</v>
      </c>
      <c r="E1935" s="10">
        <v>0</v>
      </c>
      <c r="F1935" t="str">
        <f>VLOOKUP(A1935,StoreLookup,2,FALSE)</f>
        <v>Store#2</v>
      </c>
      <c r="G1935">
        <f>INDEX(CalLookUpTable,MATCH($B1935,CalLookUpRow,0),MATCH(G$1,CalLookUpColumn,0))</f>
        <v>2019</v>
      </c>
      <c r="H1935">
        <f>INDEX(CalLookUpTable,MATCH($B1935,CalLookUpRow,0),MATCH(H$1,CalLookUpColumn,0))</f>
        <v>1</v>
      </c>
      <c r="I1935">
        <f>INDEX(CalLookUpTable,MATCH($B1935,CalLookUpRow,0),MATCH(I$1,CalLookUpColumn,0))</f>
        <v>1</v>
      </c>
    </row>
    <row r="1936" spans="1:9" x14ac:dyDescent="0.25">
      <c r="A1936" s="7">
        <v>2</v>
      </c>
      <c r="B1936" s="8">
        <v>43467</v>
      </c>
      <c r="C1936" s="9" t="s">
        <v>5</v>
      </c>
      <c r="D1936" s="10">
        <v>786.548</v>
      </c>
      <c r="E1936" s="10">
        <v>0</v>
      </c>
      <c r="F1936" t="str">
        <f>VLOOKUP(A1936,StoreLookup,2,FALSE)</f>
        <v>Store#2</v>
      </c>
      <c r="G1936">
        <f>INDEX(CalLookUpTable,MATCH($B1936,CalLookUpRow,0),MATCH(G$1,CalLookUpColumn,0))</f>
        <v>2019</v>
      </c>
      <c r="H1936">
        <f>INDEX(CalLookUpTable,MATCH($B1936,CalLookUpRow,0),MATCH(H$1,CalLookUpColumn,0))</f>
        <v>1</v>
      </c>
      <c r="I1936">
        <f>INDEX(CalLookUpTable,MATCH($B1936,CalLookUpRow,0),MATCH(I$1,CalLookUpColumn,0))</f>
        <v>1</v>
      </c>
    </row>
    <row r="1937" spans="1:9" x14ac:dyDescent="0.25">
      <c r="A1937" s="7">
        <v>2</v>
      </c>
      <c r="B1937" s="8">
        <v>43467</v>
      </c>
      <c r="C1937" s="9" t="s">
        <v>6</v>
      </c>
      <c r="D1937" s="10">
        <v>182.65099999999998</v>
      </c>
      <c r="E1937" s="10">
        <v>247.63899999999998</v>
      </c>
      <c r="F1937" t="str">
        <f>VLOOKUP(A1937,StoreLookup,2,FALSE)</f>
        <v>Store#2</v>
      </c>
      <c r="G1937">
        <f>INDEX(CalLookUpTable,MATCH($B1937,CalLookUpRow,0),MATCH(G$1,CalLookUpColumn,0))</f>
        <v>2019</v>
      </c>
      <c r="H1937">
        <f>INDEX(CalLookUpTable,MATCH($B1937,CalLookUpRow,0),MATCH(H$1,CalLookUpColumn,0))</f>
        <v>1</v>
      </c>
      <c r="I1937">
        <f>INDEX(CalLookUpTable,MATCH($B1937,CalLookUpRow,0),MATCH(I$1,CalLookUpColumn,0))</f>
        <v>1</v>
      </c>
    </row>
    <row r="1938" spans="1:9" x14ac:dyDescent="0.25">
      <c r="A1938" s="7">
        <v>2</v>
      </c>
      <c r="B1938" s="8">
        <v>43468</v>
      </c>
      <c r="C1938" s="9" t="s">
        <v>6</v>
      </c>
      <c r="D1938" s="10">
        <v>380.39399999999995</v>
      </c>
      <c r="E1938" s="10">
        <v>306.54399999999998</v>
      </c>
      <c r="F1938" t="str">
        <f>VLOOKUP(A1938,StoreLookup,2,FALSE)</f>
        <v>Store#2</v>
      </c>
      <c r="G1938">
        <f>INDEX(CalLookUpTable,MATCH($B1938,CalLookUpRow,0),MATCH(G$1,CalLookUpColumn,0))</f>
        <v>2019</v>
      </c>
      <c r="H1938">
        <f>INDEX(CalLookUpTable,MATCH($B1938,CalLookUpRow,0),MATCH(H$1,CalLookUpColumn,0))</f>
        <v>1</v>
      </c>
      <c r="I1938">
        <f>INDEX(CalLookUpTable,MATCH($B1938,CalLookUpRow,0),MATCH(I$1,CalLookUpColumn,0))</f>
        <v>1</v>
      </c>
    </row>
    <row r="1939" spans="1:9" x14ac:dyDescent="0.25">
      <c r="A1939" s="7">
        <v>2</v>
      </c>
      <c r="B1939" s="8">
        <v>43468</v>
      </c>
      <c r="C1939" s="9" t="s">
        <v>4</v>
      </c>
      <c r="D1939" s="10">
        <v>1980.8320000000001</v>
      </c>
      <c r="E1939" s="10">
        <v>2228.163</v>
      </c>
      <c r="F1939" t="str">
        <f>VLOOKUP(A1939,StoreLookup,2,FALSE)</f>
        <v>Store#2</v>
      </c>
      <c r="G1939">
        <f>INDEX(CalLookUpTable,MATCH($B1939,CalLookUpRow,0),MATCH(G$1,CalLookUpColumn,0))</f>
        <v>2019</v>
      </c>
      <c r="H1939">
        <f>INDEX(CalLookUpTable,MATCH($B1939,CalLookUpRow,0),MATCH(H$1,CalLookUpColumn,0))</f>
        <v>1</v>
      </c>
      <c r="I1939">
        <f>INDEX(CalLookUpTable,MATCH($B1939,CalLookUpRow,0),MATCH(I$1,CalLookUpColumn,0))</f>
        <v>1</v>
      </c>
    </row>
    <row r="1940" spans="1:9" x14ac:dyDescent="0.25">
      <c r="A1940" s="7">
        <v>2</v>
      </c>
      <c r="B1940" s="8">
        <v>43468</v>
      </c>
      <c r="C1940" s="9" t="s">
        <v>3</v>
      </c>
      <c r="D1940" s="10">
        <v>0</v>
      </c>
      <c r="E1940" s="10">
        <v>0</v>
      </c>
      <c r="F1940" t="str">
        <f>VLOOKUP(A1940,StoreLookup,2,FALSE)</f>
        <v>Store#2</v>
      </c>
      <c r="G1940">
        <f>INDEX(CalLookUpTable,MATCH($B1940,CalLookUpRow,0),MATCH(G$1,CalLookUpColumn,0))</f>
        <v>2019</v>
      </c>
      <c r="H1940">
        <f>INDEX(CalLookUpTable,MATCH($B1940,CalLookUpRow,0),MATCH(H$1,CalLookUpColumn,0))</f>
        <v>1</v>
      </c>
      <c r="I1940">
        <f>INDEX(CalLookUpTable,MATCH($B1940,CalLookUpRow,0),MATCH(I$1,CalLookUpColumn,0))</f>
        <v>1</v>
      </c>
    </row>
    <row r="1941" spans="1:9" x14ac:dyDescent="0.25">
      <c r="A1941" s="7">
        <v>2</v>
      </c>
      <c r="B1941" s="8">
        <v>43468</v>
      </c>
      <c r="C1941" s="9" t="s">
        <v>5</v>
      </c>
      <c r="D1941" s="10">
        <v>1218.98</v>
      </c>
      <c r="E1941" s="10">
        <v>0</v>
      </c>
      <c r="F1941" t="str">
        <f>VLOOKUP(A1941,StoreLookup,2,FALSE)</f>
        <v>Store#2</v>
      </c>
      <c r="G1941">
        <f>INDEX(CalLookUpTable,MATCH($B1941,CalLookUpRow,0),MATCH(G$1,CalLookUpColumn,0))</f>
        <v>2019</v>
      </c>
      <c r="H1941">
        <f>INDEX(CalLookUpTable,MATCH($B1941,CalLookUpRow,0),MATCH(H$1,CalLookUpColumn,0))</f>
        <v>1</v>
      </c>
      <c r="I1941">
        <f>INDEX(CalLookUpTable,MATCH($B1941,CalLookUpRow,0),MATCH(I$1,CalLookUpColumn,0))</f>
        <v>1</v>
      </c>
    </row>
    <row r="1942" spans="1:9" x14ac:dyDescent="0.25">
      <c r="A1942" s="7">
        <v>2</v>
      </c>
      <c r="B1942" s="8">
        <v>43469</v>
      </c>
      <c r="C1942" s="9" t="s">
        <v>6</v>
      </c>
      <c r="D1942" s="10">
        <v>1008.7489999999999</v>
      </c>
      <c r="E1942" s="10">
        <v>426.46799999999996</v>
      </c>
      <c r="F1942" t="str">
        <f>VLOOKUP(A1942,StoreLookup,2,FALSE)</f>
        <v>Store#2</v>
      </c>
      <c r="G1942">
        <f>INDEX(CalLookUpTable,MATCH($B1942,CalLookUpRow,0),MATCH(G$1,CalLookUpColumn,0))</f>
        <v>2019</v>
      </c>
      <c r="H1942">
        <f>INDEX(CalLookUpTable,MATCH($B1942,CalLookUpRow,0),MATCH(H$1,CalLookUpColumn,0))</f>
        <v>1</v>
      </c>
      <c r="I1942">
        <f>INDEX(CalLookUpTable,MATCH($B1942,CalLookUpRow,0),MATCH(I$1,CalLookUpColumn,0))</f>
        <v>1</v>
      </c>
    </row>
    <row r="1943" spans="1:9" x14ac:dyDescent="0.25">
      <c r="A1943" s="7">
        <v>2</v>
      </c>
      <c r="B1943" s="8">
        <v>43469</v>
      </c>
      <c r="C1943" s="9" t="s">
        <v>4</v>
      </c>
      <c r="D1943" s="10">
        <v>1870.8829999999998</v>
      </c>
      <c r="E1943" s="10">
        <v>3077.5989999999997</v>
      </c>
      <c r="F1943" t="str">
        <f>VLOOKUP(A1943,StoreLookup,2,FALSE)</f>
        <v>Store#2</v>
      </c>
      <c r="G1943">
        <f>INDEX(CalLookUpTable,MATCH($B1943,CalLookUpRow,0),MATCH(G$1,CalLookUpColumn,0))</f>
        <v>2019</v>
      </c>
      <c r="H1943">
        <f>INDEX(CalLookUpTable,MATCH($B1943,CalLookUpRow,0),MATCH(H$1,CalLookUpColumn,0))</f>
        <v>1</v>
      </c>
      <c r="I1943">
        <f>INDEX(CalLookUpTable,MATCH($B1943,CalLookUpRow,0),MATCH(I$1,CalLookUpColumn,0))</f>
        <v>1</v>
      </c>
    </row>
    <row r="1944" spans="1:9" x14ac:dyDescent="0.25">
      <c r="A1944" s="7">
        <v>2</v>
      </c>
      <c r="B1944" s="8">
        <v>43469</v>
      </c>
      <c r="C1944" s="9" t="s">
        <v>5</v>
      </c>
      <c r="D1944" s="10">
        <v>711.99099999999999</v>
      </c>
      <c r="E1944" s="10">
        <v>0</v>
      </c>
      <c r="F1944" t="str">
        <f>VLOOKUP(A1944,StoreLookup,2,FALSE)</f>
        <v>Store#2</v>
      </c>
      <c r="G1944">
        <f>INDEX(CalLookUpTable,MATCH($B1944,CalLookUpRow,0),MATCH(G$1,CalLookUpColumn,0))</f>
        <v>2019</v>
      </c>
      <c r="H1944">
        <f>INDEX(CalLookUpTable,MATCH($B1944,CalLookUpRow,0),MATCH(H$1,CalLookUpColumn,0))</f>
        <v>1</v>
      </c>
      <c r="I1944">
        <f>INDEX(CalLookUpTable,MATCH($B1944,CalLookUpRow,0),MATCH(I$1,CalLookUpColumn,0))</f>
        <v>1</v>
      </c>
    </row>
    <row r="1945" spans="1:9" x14ac:dyDescent="0.25">
      <c r="A1945" s="7">
        <v>2</v>
      </c>
      <c r="B1945" s="8">
        <v>43469</v>
      </c>
      <c r="C1945" s="9" t="s">
        <v>3</v>
      </c>
      <c r="D1945" s="10">
        <v>0</v>
      </c>
      <c r="E1945" s="10">
        <v>0</v>
      </c>
      <c r="F1945" t="str">
        <f>VLOOKUP(A1945,StoreLookup,2,FALSE)</f>
        <v>Store#2</v>
      </c>
      <c r="G1945">
        <f>INDEX(CalLookUpTable,MATCH($B1945,CalLookUpRow,0),MATCH(G$1,CalLookUpColumn,0))</f>
        <v>2019</v>
      </c>
      <c r="H1945">
        <f>INDEX(CalLookUpTable,MATCH($B1945,CalLookUpRow,0),MATCH(H$1,CalLookUpColumn,0))</f>
        <v>1</v>
      </c>
      <c r="I1945">
        <f>INDEX(CalLookUpTable,MATCH($B1945,CalLookUpRow,0),MATCH(I$1,CalLookUpColumn,0))</f>
        <v>1</v>
      </c>
    </row>
    <row r="1946" spans="1:9" x14ac:dyDescent="0.25">
      <c r="A1946" s="7">
        <v>2</v>
      </c>
      <c r="B1946" s="8">
        <v>43470</v>
      </c>
      <c r="C1946" s="9" t="s">
        <v>3</v>
      </c>
      <c r="D1946" s="10">
        <v>58.401000000000003</v>
      </c>
      <c r="E1946" s="10">
        <v>4.5430000000000001</v>
      </c>
      <c r="F1946" t="str">
        <f>VLOOKUP(A1946,StoreLookup,2,FALSE)</f>
        <v>Store#2</v>
      </c>
      <c r="G1946">
        <f>INDEX(CalLookUpTable,MATCH($B1946,CalLookUpRow,0),MATCH(G$1,CalLookUpColumn,0))</f>
        <v>2019</v>
      </c>
      <c r="H1946">
        <f>INDEX(CalLookUpTable,MATCH($B1946,CalLookUpRow,0),MATCH(H$1,CalLookUpColumn,0))</f>
        <v>1</v>
      </c>
      <c r="I1946">
        <f>INDEX(CalLookUpTable,MATCH($B1946,CalLookUpRow,0),MATCH(I$1,CalLookUpColumn,0))</f>
        <v>1</v>
      </c>
    </row>
    <row r="1947" spans="1:9" x14ac:dyDescent="0.25">
      <c r="A1947" s="7">
        <v>2</v>
      </c>
      <c r="B1947" s="8">
        <v>43470</v>
      </c>
      <c r="C1947" s="9" t="s">
        <v>5</v>
      </c>
      <c r="D1947" s="10">
        <v>900.16499999999996</v>
      </c>
      <c r="E1947" s="10">
        <v>0</v>
      </c>
      <c r="F1947" t="str">
        <f>VLOOKUP(A1947,StoreLookup,2,FALSE)</f>
        <v>Store#2</v>
      </c>
      <c r="G1947">
        <f>INDEX(CalLookUpTable,MATCH($B1947,CalLookUpRow,0),MATCH(G$1,CalLookUpColumn,0))</f>
        <v>2019</v>
      </c>
      <c r="H1947">
        <f>INDEX(CalLookUpTable,MATCH($B1947,CalLookUpRow,0),MATCH(H$1,CalLookUpColumn,0))</f>
        <v>1</v>
      </c>
      <c r="I1947">
        <f>INDEX(CalLookUpTable,MATCH($B1947,CalLookUpRow,0),MATCH(I$1,CalLookUpColumn,0))</f>
        <v>1</v>
      </c>
    </row>
    <row r="1948" spans="1:9" x14ac:dyDescent="0.25">
      <c r="A1948" s="7">
        <v>2</v>
      </c>
      <c r="B1948" s="8">
        <v>43470</v>
      </c>
      <c r="C1948" s="9" t="s">
        <v>4</v>
      </c>
      <c r="D1948" s="10">
        <v>2007.0259999999998</v>
      </c>
      <c r="E1948" s="10">
        <v>2889.7959999999998</v>
      </c>
      <c r="F1948" t="str">
        <f>VLOOKUP(A1948,StoreLookup,2,FALSE)</f>
        <v>Store#2</v>
      </c>
      <c r="G1948">
        <f>INDEX(CalLookUpTable,MATCH($B1948,CalLookUpRow,0),MATCH(G$1,CalLookUpColumn,0))</f>
        <v>2019</v>
      </c>
      <c r="H1948">
        <f>INDEX(CalLookUpTable,MATCH($B1948,CalLookUpRow,0),MATCH(H$1,CalLookUpColumn,0))</f>
        <v>1</v>
      </c>
      <c r="I1948">
        <f>INDEX(CalLookUpTable,MATCH($B1948,CalLookUpRow,0),MATCH(I$1,CalLookUpColumn,0))</f>
        <v>1</v>
      </c>
    </row>
    <row r="1949" spans="1:9" x14ac:dyDescent="0.25">
      <c r="A1949" s="7">
        <v>2</v>
      </c>
      <c r="B1949" s="8">
        <v>43470</v>
      </c>
      <c r="C1949" s="9" t="s">
        <v>6</v>
      </c>
      <c r="D1949" s="10">
        <v>441.33600000000001</v>
      </c>
      <c r="E1949" s="10">
        <v>521.40199999999993</v>
      </c>
      <c r="F1949" t="str">
        <f>VLOOKUP(A1949,StoreLookup,2,FALSE)</f>
        <v>Store#2</v>
      </c>
      <c r="G1949">
        <f>INDEX(CalLookUpTable,MATCH($B1949,CalLookUpRow,0),MATCH(G$1,CalLookUpColumn,0))</f>
        <v>2019</v>
      </c>
      <c r="H1949">
        <f>INDEX(CalLookUpTable,MATCH($B1949,CalLookUpRow,0),MATCH(H$1,CalLookUpColumn,0))</f>
        <v>1</v>
      </c>
      <c r="I1949">
        <f>INDEX(CalLookUpTable,MATCH($B1949,CalLookUpRow,0),MATCH(I$1,CalLookUpColumn,0))</f>
        <v>1</v>
      </c>
    </row>
    <row r="1950" spans="1:9" x14ac:dyDescent="0.25">
      <c r="A1950" s="7">
        <v>2</v>
      </c>
      <c r="B1950" s="8">
        <v>43471</v>
      </c>
      <c r="C1950" s="9" t="s">
        <v>3</v>
      </c>
      <c r="D1950" s="10">
        <v>0</v>
      </c>
      <c r="E1950" s="10">
        <v>0</v>
      </c>
      <c r="F1950" t="str">
        <f>VLOOKUP(A1950,StoreLookup,2,FALSE)</f>
        <v>Store#2</v>
      </c>
      <c r="G1950">
        <f>INDEX(CalLookUpTable,MATCH($B1950,CalLookUpRow,0),MATCH(G$1,CalLookUpColumn,0))</f>
        <v>2019</v>
      </c>
      <c r="H1950">
        <f>INDEX(CalLookUpTable,MATCH($B1950,CalLookUpRow,0),MATCH(H$1,CalLookUpColumn,0))</f>
        <v>1</v>
      </c>
      <c r="I1950">
        <f>INDEX(CalLookUpTable,MATCH($B1950,CalLookUpRow,0),MATCH(I$1,CalLookUpColumn,0))</f>
        <v>1</v>
      </c>
    </row>
    <row r="1951" spans="1:9" x14ac:dyDescent="0.25">
      <c r="A1951" s="7">
        <v>2</v>
      </c>
      <c r="B1951" s="8">
        <v>43471</v>
      </c>
      <c r="C1951" s="9" t="s">
        <v>5</v>
      </c>
      <c r="D1951" s="10">
        <v>678.37699999999995</v>
      </c>
      <c r="E1951" s="10">
        <v>0</v>
      </c>
      <c r="F1951" t="str">
        <f>VLOOKUP(A1951,StoreLookup,2,FALSE)</f>
        <v>Store#2</v>
      </c>
      <c r="G1951">
        <f>INDEX(CalLookUpTable,MATCH($B1951,CalLookUpRow,0),MATCH(G$1,CalLookUpColumn,0))</f>
        <v>2019</v>
      </c>
      <c r="H1951">
        <f>INDEX(CalLookUpTable,MATCH($B1951,CalLookUpRow,0),MATCH(H$1,CalLookUpColumn,0))</f>
        <v>1</v>
      </c>
      <c r="I1951">
        <f>INDEX(CalLookUpTable,MATCH($B1951,CalLookUpRow,0),MATCH(I$1,CalLookUpColumn,0))</f>
        <v>1</v>
      </c>
    </row>
    <row r="1952" spans="1:9" x14ac:dyDescent="0.25">
      <c r="A1952" s="7">
        <v>2</v>
      </c>
      <c r="B1952" s="8">
        <v>43471</v>
      </c>
      <c r="C1952" s="9" t="s">
        <v>6</v>
      </c>
      <c r="D1952" s="10">
        <v>158.22799999999998</v>
      </c>
      <c r="E1952" s="10">
        <v>299.98500000000001</v>
      </c>
      <c r="F1952" t="str">
        <f>VLOOKUP(A1952,StoreLookup,2,FALSE)</f>
        <v>Store#2</v>
      </c>
      <c r="G1952">
        <f>INDEX(CalLookUpTable,MATCH($B1952,CalLookUpRow,0),MATCH(G$1,CalLookUpColumn,0))</f>
        <v>2019</v>
      </c>
      <c r="H1952">
        <f>INDEX(CalLookUpTable,MATCH($B1952,CalLookUpRow,0),MATCH(H$1,CalLookUpColumn,0))</f>
        <v>1</v>
      </c>
      <c r="I1952">
        <f>INDEX(CalLookUpTable,MATCH($B1952,CalLookUpRow,0),MATCH(I$1,CalLookUpColumn,0))</f>
        <v>1</v>
      </c>
    </row>
    <row r="1953" spans="1:9" x14ac:dyDescent="0.25">
      <c r="A1953" s="7">
        <v>2</v>
      </c>
      <c r="B1953" s="8">
        <v>43471</v>
      </c>
      <c r="C1953" s="9" t="s">
        <v>4</v>
      </c>
      <c r="D1953" s="10">
        <v>1004.353</v>
      </c>
      <c r="E1953" s="10">
        <v>1241.9259999999999</v>
      </c>
      <c r="F1953" t="str">
        <f>VLOOKUP(A1953,StoreLookup,2,FALSE)</f>
        <v>Store#2</v>
      </c>
      <c r="G1953">
        <f>INDEX(CalLookUpTable,MATCH($B1953,CalLookUpRow,0),MATCH(G$1,CalLookUpColumn,0))</f>
        <v>2019</v>
      </c>
      <c r="H1953">
        <f>INDEX(CalLookUpTable,MATCH($B1953,CalLookUpRow,0),MATCH(H$1,CalLookUpColumn,0))</f>
        <v>1</v>
      </c>
      <c r="I1953">
        <f>INDEX(CalLookUpTable,MATCH($B1953,CalLookUpRow,0),MATCH(I$1,CalLookUpColumn,0))</f>
        <v>1</v>
      </c>
    </row>
    <row r="1954" spans="1:9" x14ac:dyDescent="0.25">
      <c r="A1954" s="7">
        <v>2</v>
      </c>
      <c r="B1954" s="8">
        <v>43472</v>
      </c>
      <c r="C1954" s="9" t="s">
        <v>6</v>
      </c>
      <c r="D1954" s="10">
        <v>215.97800000000001</v>
      </c>
      <c r="E1954" s="10">
        <v>272.95099999999996</v>
      </c>
      <c r="F1954" t="str">
        <f>VLOOKUP(A1954,StoreLookup,2,FALSE)</f>
        <v>Store#2</v>
      </c>
      <c r="G1954">
        <f>INDEX(CalLookUpTable,MATCH($B1954,CalLookUpRow,0),MATCH(G$1,CalLookUpColumn,0))</f>
        <v>2019</v>
      </c>
      <c r="H1954">
        <f>INDEX(CalLookUpTable,MATCH($B1954,CalLookUpRow,0),MATCH(H$1,CalLookUpColumn,0))</f>
        <v>1</v>
      </c>
      <c r="I1954">
        <f>INDEX(CalLookUpTable,MATCH($B1954,CalLookUpRow,0),MATCH(I$1,CalLookUpColumn,0))</f>
        <v>2</v>
      </c>
    </row>
    <row r="1955" spans="1:9" x14ac:dyDescent="0.25">
      <c r="A1955" s="7">
        <v>2</v>
      </c>
      <c r="B1955" s="8">
        <v>43472</v>
      </c>
      <c r="C1955" s="9" t="s">
        <v>5</v>
      </c>
      <c r="D1955" s="10">
        <v>811.3</v>
      </c>
      <c r="E1955" s="10">
        <v>0</v>
      </c>
      <c r="F1955" t="str">
        <f>VLOOKUP(A1955,StoreLookup,2,FALSE)</f>
        <v>Store#2</v>
      </c>
      <c r="G1955">
        <f>INDEX(CalLookUpTable,MATCH($B1955,CalLookUpRow,0),MATCH(G$1,CalLookUpColumn,0))</f>
        <v>2019</v>
      </c>
      <c r="H1955">
        <f>INDEX(CalLookUpTable,MATCH($B1955,CalLookUpRow,0),MATCH(H$1,CalLookUpColumn,0))</f>
        <v>1</v>
      </c>
      <c r="I1955">
        <f>INDEX(CalLookUpTable,MATCH($B1955,CalLookUpRow,0),MATCH(I$1,CalLookUpColumn,0))</f>
        <v>2</v>
      </c>
    </row>
    <row r="1956" spans="1:9" x14ac:dyDescent="0.25">
      <c r="A1956" s="7">
        <v>2</v>
      </c>
      <c r="B1956" s="8">
        <v>43472</v>
      </c>
      <c r="C1956" s="9" t="s">
        <v>4</v>
      </c>
      <c r="D1956" s="10">
        <v>1209.04</v>
      </c>
      <c r="E1956" s="10">
        <v>1618.4279999999999</v>
      </c>
      <c r="F1956" t="str">
        <f>VLOOKUP(A1956,StoreLookup,2,FALSE)</f>
        <v>Store#2</v>
      </c>
      <c r="G1956">
        <f>INDEX(CalLookUpTable,MATCH($B1956,CalLookUpRow,0),MATCH(G$1,CalLookUpColumn,0))</f>
        <v>2019</v>
      </c>
      <c r="H1956">
        <f>INDEX(CalLookUpTable,MATCH($B1956,CalLookUpRow,0),MATCH(H$1,CalLookUpColumn,0))</f>
        <v>1</v>
      </c>
      <c r="I1956">
        <f>INDEX(CalLookUpTable,MATCH($B1956,CalLookUpRow,0),MATCH(I$1,CalLookUpColumn,0))</f>
        <v>2</v>
      </c>
    </row>
    <row r="1957" spans="1:9" x14ac:dyDescent="0.25">
      <c r="A1957" s="7">
        <v>2</v>
      </c>
      <c r="B1957" s="8">
        <v>43472</v>
      </c>
      <c r="C1957" s="9" t="s">
        <v>3</v>
      </c>
      <c r="D1957" s="10">
        <v>0</v>
      </c>
      <c r="E1957" s="10">
        <v>0</v>
      </c>
      <c r="F1957" t="str">
        <f>VLOOKUP(A1957,StoreLookup,2,FALSE)</f>
        <v>Store#2</v>
      </c>
      <c r="G1957">
        <f>INDEX(CalLookUpTable,MATCH($B1957,CalLookUpRow,0),MATCH(G$1,CalLookUpColumn,0))</f>
        <v>2019</v>
      </c>
      <c r="H1957">
        <f>INDEX(CalLookUpTable,MATCH($B1957,CalLookUpRow,0),MATCH(H$1,CalLookUpColumn,0))</f>
        <v>1</v>
      </c>
      <c r="I1957">
        <f>INDEX(CalLookUpTable,MATCH($B1957,CalLookUpRow,0),MATCH(I$1,CalLookUpColumn,0))</f>
        <v>2</v>
      </c>
    </row>
    <row r="1958" spans="1:9" x14ac:dyDescent="0.25">
      <c r="A1958" s="7">
        <v>2</v>
      </c>
      <c r="B1958" s="8">
        <v>43473</v>
      </c>
      <c r="C1958" s="9" t="s">
        <v>5</v>
      </c>
      <c r="D1958" s="10">
        <v>817.79599999999994</v>
      </c>
      <c r="E1958" s="10">
        <v>0</v>
      </c>
      <c r="F1958" t="str">
        <f>VLOOKUP(A1958,StoreLookup,2,FALSE)</f>
        <v>Store#2</v>
      </c>
      <c r="G1958">
        <f>INDEX(CalLookUpTable,MATCH($B1958,CalLookUpRow,0),MATCH(G$1,CalLookUpColumn,0))</f>
        <v>2019</v>
      </c>
      <c r="H1958">
        <f>INDEX(CalLookUpTable,MATCH($B1958,CalLookUpRow,0),MATCH(H$1,CalLookUpColumn,0))</f>
        <v>1</v>
      </c>
      <c r="I1958">
        <f>INDEX(CalLookUpTable,MATCH($B1958,CalLookUpRow,0),MATCH(I$1,CalLookUpColumn,0))</f>
        <v>2</v>
      </c>
    </row>
    <row r="1959" spans="1:9" x14ac:dyDescent="0.25">
      <c r="A1959" s="7">
        <v>2</v>
      </c>
      <c r="B1959" s="8">
        <v>43473</v>
      </c>
      <c r="C1959" s="9" t="s">
        <v>6</v>
      </c>
      <c r="D1959" s="10">
        <v>261.35199999999998</v>
      </c>
      <c r="E1959" s="10">
        <v>189.04899999999998</v>
      </c>
      <c r="F1959" t="str">
        <f>VLOOKUP(A1959,StoreLookup,2,FALSE)</f>
        <v>Store#2</v>
      </c>
      <c r="G1959">
        <f>INDEX(CalLookUpTable,MATCH($B1959,CalLookUpRow,0),MATCH(G$1,CalLookUpColumn,0))</f>
        <v>2019</v>
      </c>
      <c r="H1959">
        <f>INDEX(CalLookUpTable,MATCH($B1959,CalLookUpRow,0),MATCH(H$1,CalLookUpColumn,0))</f>
        <v>1</v>
      </c>
      <c r="I1959">
        <f>INDEX(CalLookUpTable,MATCH($B1959,CalLookUpRow,0),MATCH(I$1,CalLookUpColumn,0))</f>
        <v>2</v>
      </c>
    </row>
    <row r="1960" spans="1:9" x14ac:dyDescent="0.25">
      <c r="A1960" s="7">
        <v>2</v>
      </c>
      <c r="B1960" s="8">
        <v>43473</v>
      </c>
      <c r="C1960" s="9" t="s">
        <v>4</v>
      </c>
      <c r="D1960" s="10">
        <v>1754.6059999999998</v>
      </c>
      <c r="E1960" s="10">
        <v>1858.7239999999999</v>
      </c>
      <c r="F1960" t="str">
        <f>VLOOKUP(A1960,StoreLookup,2,FALSE)</f>
        <v>Store#2</v>
      </c>
      <c r="G1960">
        <f>INDEX(CalLookUpTable,MATCH($B1960,CalLookUpRow,0),MATCH(G$1,CalLookUpColumn,0))</f>
        <v>2019</v>
      </c>
      <c r="H1960">
        <f>INDEX(CalLookUpTable,MATCH($B1960,CalLookUpRow,0),MATCH(H$1,CalLookUpColumn,0))</f>
        <v>1</v>
      </c>
      <c r="I1960">
        <f>INDEX(CalLookUpTable,MATCH($B1960,CalLookUpRow,0),MATCH(I$1,CalLookUpColumn,0))</f>
        <v>2</v>
      </c>
    </row>
    <row r="1961" spans="1:9" x14ac:dyDescent="0.25">
      <c r="A1961" s="7">
        <v>2</v>
      </c>
      <c r="B1961" s="8">
        <v>43473</v>
      </c>
      <c r="C1961" s="9" t="s">
        <v>3</v>
      </c>
      <c r="D1961" s="10">
        <v>0</v>
      </c>
      <c r="E1961" s="10">
        <v>0</v>
      </c>
      <c r="F1961" t="str">
        <f>VLOOKUP(A1961,StoreLookup,2,FALSE)</f>
        <v>Store#2</v>
      </c>
      <c r="G1961">
        <f>INDEX(CalLookUpTable,MATCH($B1961,CalLookUpRow,0),MATCH(G$1,CalLookUpColumn,0))</f>
        <v>2019</v>
      </c>
      <c r="H1961">
        <f>INDEX(CalLookUpTable,MATCH($B1961,CalLookUpRow,0),MATCH(H$1,CalLookUpColumn,0))</f>
        <v>1</v>
      </c>
      <c r="I1961">
        <f>INDEX(CalLookUpTable,MATCH($B1961,CalLookUpRow,0),MATCH(I$1,CalLookUpColumn,0))</f>
        <v>2</v>
      </c>
    </row>
    <row r="1962" spans="1:9" x14ac:dyDescent="0.25">
      <c r="A1962" s="7">
        <v>2</v>
      </c>
      <c r="B1962" s="8">
        <v>43474</v>
      </c>
      <c r="C1962" s="9" t="s">
        <v>6</v>
      </c>
      <c r="D1962" s="10">
        <v>205.40799999999999</v>
      </c>
      <c r="E1962" s="10">
        <v>429.625</v>
      </c>
      <c r="F1962" t="str">
        <f>VLOOKUP(A1962,StoreLookup,2,FALSE)</f>
        <v>Store#2</v>
      </c>
      <c r="G1962">
        <f>INDEX(CalLookUpTable,MATCH($B1962,CalLookUpRow,0),MATCH(G$1,CalLookUpColumn,0))</f>
        <v>2019</v>
      </c>
      <c r="H1962">
        <f>INDEX(CalLookUpTable,MATCH($B1962,CalLookUpRow,0),MATCH(H$1,CalLookUpColumn,0))</f>
        <v>1</v>
      </c>
      <c r="I1962">
        <f>INDEX(CalLookUpTable,MATCH($B1962,CalLookUpRow,0),MATCH(I$1,CalLookUpColumn,0))</f>
        <v>2</v>
      </c>
    </row>
    <row r="1963" spans="1:9" x14ac:dyDescent="0.25">
      <c r="A1963" s="7">
        <v>2</v>
      </c>
      <c r="B1963" s="8">
        <v>43474</v>
      </c>
      <c r="C1963" s="9" t="s">
        <v>4</v>
      </c>
      <c r="D1963" s="10">
        <v>1725.7380000000001</v>
      </c>
      <c r="E1963" s="10">
        <v>1515.7309999999998</v>
      </c>
      <c r="F1963" t="str">
        <f>VLOOKUP(A1963,StoreLookup,2,FALSE)</f>
        <v>Store#2</v>
      </c>
      <c r="G1963">
        <f>INDEX(CalLookUpTable,MATCH($B1963,CalLookUpRow,0),MATCH(G$1,CalLookUpColumn,0))</f>
        <v>2019</v>
      </c>
      <c r="H1963">
        <f>INDEX(CalLookUpTable,MATCH($B1963,CalLookUpRow,0),MATCH(H$1,CalLookUpColumn,0))</f>
        <v>1</v>
      </c>
      <c r="I1963">
        <f>INDEX(CalLookUpTable,MATCH($B1963,CalLookUpRow,0),MATCH(I$1,CalLookUpColumn,0))</f>
        <v>2</v>
      </c>
    </row>
    <row r="1964" spans="1:9" x14ac:dyDescent="0.25">
      <c r="A1964" s="7">
        <v>2</v>
      </c>
      <c r="B1964" s="8">
        <v>43474</v>
      </c>
      <c r="C1964" s="9" t="s">
        <v>3</v>
      </c>
      <c r="D1964" s="10">
        <v>130.07399999999998</v>
      </c>
      <c r="E1964" s="10">
        <v>0</v>
      </c>
      <c r="F1964" t="str">
        <f>VLOOKUP(A1964,StoreLookup,2,FALSE)</f>
        <v>Store#2</v>
      </c>
      <c r="G1964">
        <f>INDEX(CalLookUpTable,MATCH($B1964,CalLookUpRow,0),MATCH(G$1,CalLookUpColumn,0))</f>
        <v>2019</v>
      </c>
      <c r="H1964">
        <f>INDEX(CalLookUpTable,MATCH($B1964,CalLookUpRow,0),MATCH(H$1,CalLookUpColumn,0))</f>
        <v>1</v>
      </c>
      <c r="I1964">
        <f>INDEX(CalLookUpTable,MATCH($B1964,CalLookUpRow,0),MATCH(I$1,CalLookUpColumn,0))</f>
        <v>2</v>
      </c>
    </row>
    <row r="1965" spans="1:9" x14ac:dyDescent="0.25">
      <c r="A1965" s="7">
        <v>2</v>
      </c>
      <c r="B1965" s="8">
        <v>43474</v>
      </c>
      <c r="C1965" s="9" t="s">
        <v>5</v>
      </c>
      <c r="D1965" s="10">
        <v>710.22699999999998</v>
      </c>
      <c r="E1965" s="10">
        <v>0</v>
      </c>
      <c r="F1965" t="str">
        <f>VLOOKUP(A1965,StoreLookup,2,FALSE)</f>
        <v>Store#2</v>
      </c>
      <c r="G1965">
        <f>INDEX(CalLookUpTable,MATCH($B1965,CalLookUpRow,0),MATCH(G$1,CalLookUpColumn,0))</f>
        <v>2019</v>
      </c>
      <c r="H1965">
        <f>INDEX(CalLookUpTable,MATCH($B1965,CalLookUpRow,0),MATCH(H$1,CalLookUpColumn,0))</f>
        <v>1</v>
      </c>
      <c r="I1965">
        <f>INDEX(CalLookUpTable,MATCH($B1965,CalLookUpRow,0),MATCH(I$1,CalLookUpColumn,0))</f>
        <v>2</v>
      </c>
    </row>
    <row r="1966" spans="1:9" x14ac:dyDescent="0.25">
      <c r="A1966" s="7">
        <v>2</v>
      </c>
      <c r="B1966" s="8">
        <v>43475</v>
      </c>
      <c r="C1966" s="9" t="s">
        <v>3</v>
      </c>
      <c r="D1966" s="10">
        <v>0</v>
      </c>
      <c r="E1966" s="10">
        <v>0</v>
      </c>
      <c r="F1966" t="str">
        <f>VLOOKUP(A1966,StoreLookup,2,FALSE)</f>
        <v>Store#2</v>
      </c>
      <c r="G1966">
        <f>INDEX(CalLookUpTable,MATCH($B1966,CalLookUpRow,0),MATCH(G$1,CalLookUpColumn,0))</f>
        <v>2019</v>
      </c>
      <c r="H1966">
        <f>INDEX(CalLookUpTable,MATCH($B1966,CalLookUpRow,0),MATCH(H$1,CalLookUpColumn,0))</f>
        <v>1</v>
      </c>
      <c r="I1966">
        <f>INDEX(CalLookUpTable,MATCH($B1966,CalLookUpRow,0),MATCH(I$1,CalLookUpColumn,0))</f>
        <v>2</v>
      </c>
    </row>
    <row r="1967" spans="1:9" x14ac:dyDescent="0.25">
      <c r="A1967" s="7">
        <v>2</v>
      </c>
      <c r="B1967" s="8">
        <v>43475</v>
      </c>
      <c r="C1967" s="9" t="s">
        <v>5</v>
      </c>
      <c r="D1967" s="10">
        <v>850.89899999999989</v>
      </c>
      <c r="E1967" s="10">
        <v>0</v>
      </c>
      <c r="F1967" t="str">
        <f>VLOOKUP(A1967,StoreLookup,2,FALSE)</f>
        <v>Store#2</v>
      </c>
      <c r="G1967">
        <f>INDEX(CalLookUpTable,MATCH($B1967,CalLookUpRow,0),MATCH(G$1,CalLookUpColumn,0))</f>
        <v>2019</v>
      </c>
      <c r="H1967">
        <f>INDEX(CalLookUpTable,MATCH($B1967,CalLookUpRow,0),MATCH(H$1,CalLookUpColumn,0))</f>
        <v>1</v>
      </c>
      <c r="I1967">
        <f>INDEX(CalLookUpTable,MATCH($B1967,CalLookUpRow,0),MATCH(I$1,CalLookUpColumn,0))</f>
        <v>2</v>
      </c>
    </row>
    <row r="1968" spans="1:9" x14ac:dyDescent="0.25">
      <c r="A1968" s="7">
        <v>2</v>
      </c>
      <c r="B1968" s="8">
        <v>43475</v>
      </c>
      <c r="C1968" s="9" t="s">
        <v>6</v>
      </c>
      <c r="D1968" s="10">
        <v>353.54899999999998</v>
      </c>
      <c r="E1968" s="10">
        <v>490.99399999999991</v>
      </c>
      <c r="F1968" t="str">
        <f>VLOOKUP(A1968,StoreLookup,2,FALSE)</f>
        <v>Store#2</v>
      </c>
      <c r="G1968">
        <f>INDEX(CalLookUpTable,MATCH($B1968,CalLookUpRow,0),MATCH(G$1,CalLookUpColumn,0))</f>
        <v>2019</v>
      </c>
      <c r="H1968">
        <f>INDEX(CalLookUpTable,MATCH($B1968,CalLookUpRow,0),MATCH(H$1,CalLookUpColumn,0))</f>
        <v>1</v>
      </c>
      <c r="I1968">
        <f>INDEX(CalLookUpTable,MATCH($B1968,CalLookUpRow,0),MATCH(I$1,CalLookUpColumn,0))</f>
        <v>2</v>
      </c>
    </row>
    <row r="1969" spans="1:9" x14ac:dyDescent="0.25">
      <c r="A1969" s="7">
        <v>2</v>
      </c>
      <c r="B1969" s="8">
        <v>43475</v>
      </c>
      <c r="C1969" s="9" t="s">
        <v>4</v>
      </c>
      <c r="D1969" s="10">
        <v>1897.5949999999998</v>
      </c>
      <c r="E1969" s="10">
        <v>2360.5819999999999</v>
      </c>
      <c r="F1969" t="str">
        <f>VLOOKUP(A1969,StoreLookup,2,FALSE)</f>
        <v>Store#2</v>
      </c>
      <c r="G1969">
        <f>INDEX(CalLookUpTable,MATCH($B1969,CalLookUpRow,0),MATCH(G$1,CalLookUpColumn,0))</f>
        <v>2019</v>
      </c>
      <c r="H1969">
        <f>INDEX(CalLookUpTable,MATCH($B1969,CalLookUpRow,0),MATCH(H$1,CalLookUpColumn,0))</f>
        <v>1</v>
      </c>
      <c r="I1969">
        <f>INDEX(CalLookUpTable,MATCH($B1969,CalLookUpRow,0),MATCH(I$1,CalLookUpColumn,0))</f>
        <v>2</v>
      </c>
    </row>
    <row r="1970" spans="1:9" x14ac:dyDescent="0.25">
      <c r="A1970" s="7">
        <v>2</v>
      </c>
      <c r="B1970" s="8">
        <v>43476</v>
      </c>
      <c r="C1970" s="9" t="s">
        <v>5</v>
      </c>
      <c r="D1970" s="10">
        <v>1025.8009999999999</v>
      </c>
      <c r="E1970" s="10">
        <v>0</v>
      </c>
      <c r="F1970" t="str">
        <f>VLOOKUP(A1970,StoreLookup,2,FALSE)</f>
        <v>Store#2</v>
      </c>
      <c r="G1970">
        <f>INDEX(CalLookUpTable,MATCH($B1970,CalLookUpRow,0),MATCH(G$1,CalLookUpColumn,0))</f>
        <v>2019</v>
      </c>
      <c r="H1970">
        <f>INDEX(CalLookUpTable,MATCH($B1970,CalLookUpRow,0),MATCH(H$1,CalLookUpColumn,0))</f>
        <v>1</v>
      </c>
      <c r="I1970">
        <f>INDEX(CalLookUpTable,MATCH($B1970,CalLookUpRow,0),MATCH(I$1,CalLookUpColumn,0))</f>
        <v>2</v>
      </c>
    </row>
    <row r="1971" spans="1:9" x14ac:dyDescent="0.25">
      <c r="A1971" s="7">
        <v>2</v>
      </c>
      <c r="B1971" s="8">
        <v>43476</v>
      </c>
      <c r="C1971" s="9" t="s">
        <v>4</v>
      </c>
      <c r="D1971" s="10">
        <v>2610.3839999999996</v>
      </c>
      <c r="E1971" s="10">
        <v>2777.4879999999998</v>
      </c>
      <c r="F1971" t="str">
        <f>VLOOKUP(A1971,StoreLookup,2,FALSE)</f>
        <v>Store#2</v>
      </c>
      <c r="G1971">
        <f>INDEX(CalLookUpTable,MATCH($B1971,CalLookUpRow,0),MATCH(G$1,CalLookUpColumn,0))</f>
        <v>2019</v>
      </c>
      <c r="H1971">
        <f>INDEX(CalLookUpTable,MATCH($B1971,CalLookUpRow,0),MATCH(H$1,CalLookUpColumn,0))</f>
        <v>1</v>
      </c>
      <c r="I1971">
        <f>INDEX(CalLookUpTable,MATCH($B1971,CalLookUpRow,0),MATCH(I$1,CalLookUpColumn,0))</f>
        <v>2</v>
      </c>
    </row>
    <row r="1972" spans="1:9" x14ac:dyDescent="0.25">
      <c r="A1972" s="7">
        <v>2</v>
      </c>
      <c r="B1972" s="8">
        <v>43476</v>
      </c>
      <c r="C1972" s="9" t="s">
        <v>3</v>
      </c>
      <c r="D1972" s="10">
        <v>317.33799999999997</v>
      </c>
      <c r="E1972" s="10">
        <v>183.57499999999999</v>
      </c>
      <c r="F1972" t="str">
        <f>VLOOKUP(A1972,StoreLookup,2,FALSE)</f>
        <v>Store#2</v>
      </c>
      <c r="G1972">
        <f>INDEX(CalLookUpTable,MATCH($B1972,CalLookUpRow,0),MATCH(G$1,CalLookUpColumn,0))</f>
        <v>2019</v>
      </c>
      <c r="H1972">
        <f>INDEX(CalLookUpTable,MATCH($B1972,CalLookUpRow,0),MATCH(H$1,CalLookUpColumn,0))</f>
        <v>1</v>
      </c>
      <c r="I1972">
        <f>INDEX(CalLookUpTable,MATCH($B1972,CalLookUpRow,0),MATCH(I$1,CalLookUpColumn,0))</f>
        <v>2</v>
      </c>
    </row>
    <row r="1973" spans="1:9" x14ac:dyDescent="0.25">
      <c r="A1973" s="7">
        <v>2</v>
      </c>
      <c r="B1973" s="8">
        <v>43476</v>
      </c>
      <c r="C1973" s="9" t="s">
        <v>6</v>
      </c>
      <c r="D1973" s="10">
        <v>224.96599999999998</v>
      </c>
      <c r="E1973" s="10">
        <v>815.84299999999996</v>
      </c>
      <c r="F1973" t="str">
        <f>VLOOKUP(A1973,StoreLookup,2,FALSE)</f>
        <v>Store#2</v>
      </c>
      <c r="G1973">
        <f>INDEX(CalLookUpTable,MATCH($B1973,CalLookUpRow,0),MATCH(G$1,CalLookUpColumn,0))</f>
        <v>2019</v>
      </c>
      <c r="H1973">
        <f>INDEX(CalLookUpTable,MATCH($B1973,CalLookUpRow,0),MATCH(H$1,CalLookUpColumn,0))</f>
        <v>1</v>
      </c>
      <c r="I1973">
        <f>INDEX(CalLookUpTable,MATCH($B1973,CalLookUpRow,0),MATCH(I$1,CalLookUpColumn,0))</f>
        <v>2</v>
      </c>
    </row>
    <row r="1974" spans="1:9" x14ac:dyDescent="0.25">
      <c r="A1974" s="7">
        <v>2</v>
      </c>
      <c r="B1974" s="8">
        <v>43477</v>
      </c>
      <c r="C1974" s="9" t="s">
        <v>4</v>
      </c>
      <c r="D1974" s="10">
        <v>2484.0830000000001</v>
      </c>
      <c r="E1974" s="10">
        <v>2863.6019999999999</v>
      </c>
      <c r="F1974" t="str">
        <f>VLOOKUP(A1974,StoreLookup,2,FALSE)</f>
        <v>Store#2</v>
      </c>
      <c r="G1974">
        <f>INDEX(CalLookUpTable,MATCH($B1974,CalLookUpRow,0),MATCH(G$1,CalLookUpColumn,0))</f>
        <v>2019</v>
      </c>
      <c r="H1974">
        <f>INDEX(CalLookUpTable,MATCH($B1974,CalLookUpRow,0),MATCH(H$1,CalLookUpColumn,0))</f>
        <v>1</v>
      </c>
      <c r="I1974">
        <f>INDEX(CalLookUpTable,MATCH($B1974,CalLookUpRow,0),MATCH(I$1,CalLookUpColumn,0))</f>
        <v>2</v>
      </c>
    </row>
    <row r="1975" spans="1:9" x14ac:dyDescent="0.25">
      <c r="A1975" s="7">
        <v>2</v>
      </c>
      <c r="B1975" s="8">
        <v>43477</v>
      </c>
      <c r="C1975" s="9" t="s">
        <v>3</v>
      </c>
      <c r="D1975" s="10">
        <v>36.344000000000001</v>
      </c>
      <c r="E1975" s="10">
        <v>12.592999999999998</v>
      </c>
      <c r="F1975" t="str">
        <f>VLOOKUP(A1975,StoreLookup,2,FALSE)</f>
        <v>Store#2</v>
      </c>
      <c r="G1975">
        <f>INDEX(CalLookUpTable,MATCH($B1975,CalLookUpRow,0),MATCH(G$1,CalLookUpColumn,0))</f>
        <v>2019</v>
      </c>
      <c r="H1975">
        <f>INDEX(CalLookUpTable,MATCH($B1975,CalLookUpRow,0),MATCH(H$1,CalLookUpColumn,0))</f>
        <v>1</v>
      </c>
      <c r="I1975">
        <f>INDEX(CalLookUpTable,MATCH($B1975,CalLookUpRow,0),MATCH(I$1,CalLookUpColumn,0))</f>
        <v>2</v>
      </c>
    </row>
    <row r="1976" spans="1:9" x14ac:dyDescent="0.25">
      <c r="A1976" s="7">
        <v>2</v>
      </c>
      <c r="B1976" s="8">
        <v>43477</v>
      </c>
      <c r="C1976" s="9" t="s">
        <v>5</v>
      </c>
      <c r="D1976" s="10">
        <v>1135.6029999999998</v>
      </c>
      <c r="E1976" s="10">
        <v>0</v>
      </c>
      <c r="F1976" t="str">
        <f>VLOOKUP(A1976,StoreLookup,2,FALSE)</f>
        <v>Store#2</v>
      </c>
      <c r="G1976">
        <f>INDEX(CalLookUpTable,MATCH($B1976,CalLookUpRow,0),MATCH(G$1,CalLookUpColumn,0))</f>
        <v>2019</v>
      </c>
      <c r="H1976">
        <f>INDEX(CalLookUpTable,MATCH($B1976,CalLookUpRow,0),MATCH(H$1,CalLookUpColumn,0))</f>
        <v>1</v>
      </c>
      <c r="I1976">
        <f>INDEX(CalLookUpTable,MATCH($B1976,CalLookUpRow,0),MATCH(I$1,CalLookUpColumn,0))</f>
        <v>2</v>
      </c>
    </row>
    <row r="1977" spans="1:9" x14ac:dyDescent="0.25">
      <c r="A1977" s="7">
        <v>2</v>
      </c>
      <c r="B1977" s="8">
        <v>43477</v>
      </c>
      <c r="C1977" s="9" t="s">
        <v>6</v>
      </c>
      <c r="D1977" s="10">
        <v>383.85899999999998</v>
      </c>
      <c r="E1977" s="10">
        <v>401.00899999999996</v>
      </c>
      <c r="F1977" t="str">
        <f>VLOOKUP(A1977,StoreLookup,2,FALSE)</f>
        <v>Store#2</v>
      </c>
      <c r="G1977">
        <f>INDEX(CalLookUpTable,MATCH($B1977,CalLookUpRow,0),MATCH(G$1,CalLookUpColumn,0))</f>
        <v>2019</v>
      </c>
      <c r="H1977">
        <f>INDEX(CalLookUpTable,MATCH($B1977,CalLookUpRow,0),MATCH(H$1,CalLookUpColumn,0))</f>
        <v>1</v>
      </c>
      <c r="I1977">
        <f>INDEX(CalLookUpTable,MATCH($B1977,CalLookUpRow,0),MATCH(I$1,CalLookUpColumn,0))</f>
        <v>2</v>
      </c>
    </row>
    <row r="1978" spans="1:9" x14ac:dyDescent="0.25">
      <c r="A1978" s="7">
        <v>2</v>
      </c>
      <c r="B1978" s="8">
        <v>43478</v>
      </c>
      <c r="C1978" s="9" t="s">
        <v>3</v>
      </c>
      <c r="D1978" s="10">
        <v>0</v>
      </c>
      <c r="E1978" s="10">
        <v>0</v>
      </c>
      <c r="F1978" t="str">
        <f>VLOOKUP(A1978,StoreLookup,2,FALSE)</f>
        <v>Store#2</v>
      </c>
      <c r="G1978">
        <f>INDEX(CalLookUpTable,MATCH($B1978,CalLookUpRow,0),MATCH(G$1,CalLookUpColumn,0))</f>
        <v>2019</v>
      </c>
      <c r="H1978">
        <f>INDEX(CalLookUpTable,MATCH($B1978,CalLookUpRow,0),MATCH(H$1,CalLookUpColumn,0))</f>
        <v>1</v>
      </c>
      <c r="I1978">
        <f>INDEX(CalLookUpTable,MATCH($B1978,CalLookUpRow,0),MATCH(I$1,CalLookUpColumn,0))</f>
        <v>2</v>
      </c>
    </row>
    <row r="1979" spans="1:9" x14ac:dyDescent="0.25">
      <c r="A1979" s="7">
        <v>2</v>
      </c>
      <c r="B1979" s="8">
        <v>43478</v>
      </c>
      <c r="C1979" s="9" t="s">
        <v>4</v>
      </c>
      <c r="D1979" s="10">
        <v>1077.1669999999999</v>
      </c>
      <c r="E1979" s="10">
        <v>1224.9929999999999</v>
      </c>
      <c r="F1979" t="str">
        <f>VLOOKUP(A1979,StoreLookup,2,FALSE)</f>
        <v>Store#2</v>
      </c>
      <c r="G1979">
        <f>INDEX(CalLookUpTable,MATCH($B1979,CalLookUpRow,0),MATCH(G$1,CalLookUpColumn,0))</f>
        <v>2019</v>
      </c>
      <c r="H1979">
        <f>INDEX(CalLookUpTable,MATCH($B1979,CalLookUpRow,0),MATCH(H$1,CalLookUpColumn,0))</f>
        <v>1</v>
      </c>
      <c r="I1979">
        <f>INDEX(CalLookUpTable,MATCH($B1979,CalLookUpRow,0),MATCH(I$1,CalLookUpColumn,0))</f>
        <v>2</v>
      </c>
    </row>
    <row r="1980" spans="1:9" x14ac:dyDescent="0.25">
      <c r="A1980" s="7">
        <v>2</v>
      </c>
      <c r="B1980" s="8">
        <v>43478</v>
      </c>
      <c r="C1980" s="9" t="s">
        <v>6</v>
      </c>
      <c r="D1980" s="10">
        <v>105.64399999999999</v>
      </c>
      <c r="E1980" s="10">
        <v>276.12199999999996</v>
      </c>
      <c r="F1980" t="str">
        <f>VLOOKUP(A1980,StoreLookup,2,FALSE)</f>
        <v>Store#2</v>
      </c>
      <c r="G1980">
        <f>INDEX(CalLookUpTable,MATCH($B1980,CalLookUpRow,0),MATCH(G$1,CalLookUpColumn,0))</f>
        <v>2019</v>
      </c>
      <c r="H1980">
        <f>INDEX(CalLookUpTable,MATCH($B1980,CalLookUpRow,0),MATCH(H$1,CalLookUpColumn,0))</f>
        <v>1</v>
      </c>
      <c r="I1980">
        <f>INDEX(CalLookUpTable,MATCH($B1980,CalLookUpRow,0),MATCH(I$1,CalLookUpColumn,0))</f>
        <v>2</v>
      </c>
    </row>
    <row r="1981" spans="1:9" x14ac:dyDescent="0.25">
      <c r="A1981" s="7">
        <v>2</v>
      </c>
      <c r="B1981" s="8">
        <v>43478</v>
      </c>
      <c r="C1981" s="9" t="s">
        <v>5</v>
      </c>
      <c r="D1981" s="10">
        <v>592.52199999999993</v>
      </c>
      <c r="E1981" s="10">
        <v>0</v>
      </c>
      <c r="F1981" t="str">
        <f>VLOOKUP(A1981,StoreLookup,2,FALSE)</f>
        <v>Store#2</v>
      </c>
      <c r="G1981">
        <f>INDEX(CalLookUpTable,MATCH($B1981,CalLookUpRow,0),MATCH(G$1,CalLookUpColumn,0))</f>
        <v>2019</v>
      </c>
      <c r="H1981">
        <f>INDEX(CalLookUpTable,MATCH($B1981,CalLookUpRow,0),MATCH(H$1,CalLookUpColumn,0))</f>
        <v>1</v>
      </c>
      <c r="I1981">
        <f>INDEX(CalLookUpTable,MATCH($B1981,CalLookUpRow,0),MATCH(I$1,CalLookUpColumn,0))</f>
        <v>2</v>
      </c>
    </row>
    <row r="1982" spans="1:9" x14ac:dyDescent="0.25">
      <c r="A1982" s="7">
        <v>2</v>
      </c>
      <c r="B1982" s="8">
        <v>43479</v>
      </c>
      <c r="C1982" s="9" t="s">
        <v>6</v>
      </c>
      <c r="D1982" s="10">
        <v>353.017</v>
      </c>
      <c r="E1982" s="10">
        <v>434.16800000000001</v>
      </c>
      <c r="F1982" t="str">
        <f>VLOOKUP(A1982,StoreLookup,2,FALSE)</f>
        <v>Store#2</v>
      </c>
      <c r="G1982">
        <f>INDEX(CalLookUpTable,MATCH($B1982,CalLookUpRow,0),MATCH(G$1,CalLookUpColumn,0))</f>
        <v>2019</v>
      </c>
      <c r="H1982">
        <f>INDEX(CalLookUpTable,MATCH($B1982,CalLookUpRow,0),MATCH(H$1,CalLookUpColumn,0))</f>
        <v>1</v>
      </c>
      <c r="I1982">
        <f>INDEX(CalLookUpTable,MATCH($B1982,CalLookUpRow,0),MATCH(I$1,CalLookUpColumn,0))</f>
        <v>3</v>
      </c>
    </row>
    <row r="1983" spans="1:9" x14ac:dyDescent="0.25">
      <c r="A1983" s="7">
        <v>2</v>
      </c>
      <c r="B1983" s="8">
        <v>43479</v>
      </c>
      <c r="C1983" s="9" t="s">
        <v>4</v>
      </c>
      <c r="D1983" s="10">
        <v>1411.837</v>
      </c>
      <c r="E1983" s="10">
        <v>1977.038</v>
      </c>
      <c r="F1983" t="str">
        <f>VLOOKUP(A1983,StoreLookup,2,FALSE)</f>
        <v>Store#2</v>
      </c>
      <c r="G1983">
        <f>INDEX(CalLookUpTable,MATCH($B1983,CalLookUpRow,0),MATCH(G$1,CalLookUpColumn,0))</f>
        <v>2019</v>
      </c>
      <c r="H1983">
        <f>INDEX(CalLookUpTable,MATCH($B1983,CalLookUpRow,0),MATCH(H$1,CalLookUpColumn,0))</f>
        <v>1</v>
      </c>
      <c r="I1983">
        <f>INDEX(CalLookUpTable,MATCH($B1983,CalLookUpRow,0),MATCH(I$1,CalLookUpColumn,0))</f>
        <v>3</v>
      </c>
    </row>
    <row r="1984" spans="1:9" x14ac:dyDescent="0.25">
      <c r="A1984" s="7">
        <v>2</v>
      </c>
      <c r="B1984" s="8">
        <v>43479</v>
      </c>
      <c r="C1984" s="9" t="s">
        <v>5</v>
      </c>
      <c r="D1984" s="10">
        <v>760.89299999999992</v>
      </c>
      <c r="E1984" s="10">
        <v>0</v>
      </c>
      <c r="F1984" t="str">
        <f>VLOOKUP(A1984,StoreLookup,2,FALSE)</f>
        <v>Store#2</v>
      </c>
      <c r="G1984">
        <f>INDEX(CalLookUpTable,MATCH($B1984,CalLookUpRow,0),MATCH(G$1,CalLookUpColumn,0))</f>
        <v>2019</v>
      </c>
      <c r="H1984">
        <f>INDEX(CalLookUpTable,MATCH($B1984,CalLookUpRow,0),MATCH(H$1,CalLookUpColumn,0))</f>
        <v>1</v>
      </c>
      <c r="I1984">
        <f>INDEX(CalLookUpTable,MATCH($B1984,CalLookUpRow,0),MATCH(I$1,CalLookUpColumn,0))</f>
        <v>3</v>
      </c>
    </row>
    <row r="1985" spans="1:9" x14ac:dyDescent="0.25">
      <c r="A1985" s="7">
        <v>2</v>
      </c>
      <c r="B1985" s="8">
        <v>43479</v>
      </c>
      <c r="C1985" s="9" t="s">
        <v>3</v>
      </c>
      <c r="D1985" s="10">
        <v>113.95299999999999</v>
      </c>
      <c r="E1985" s="10">
        <v>0</v>
      </c>
      <c r="F1985" t="str">
        <f>VLOOKUP(A1985,StoreLookup,2,FALSE)</f>
        <v>Store#2</v>
      </c>
      <c r="G1985">
        <f>INDEX(CalLookUpTable,MATCH($B1985,CalLookUpRow,0),MATCH(G$1,CalLookUpColumn,0))</f>
        <v>2019</v>
      </c>
      <c r="H1985">
        <f>INDEX(CalLookUpTable,MATCH($B1985,CalLookUpRow,0),MATCH(H$1,CalLookUpColumn,0))</f>
        <v>1</v>
      </c>
      <c r="I1985">
        <f>INDEX(CalLookUpTable,MATCH($B1985,CalLookUpRow,0),MATCH(I$1,CalLookUpColumn,0))</f>
        <v>3</v>
      </c>
    </row>
    <row r="1986" spans="1:9" x14ac:dyDescent="0.25">
      <c r="A1986" s="7">
        <v>2</v>
      </c>
      <c r="B1986" s="8">
        <v>43480</v>
      </c>
      <c r="C1986" s="9" t="s">
        <v>4</v>
      </c>
      <c r="D1986" s="10">
        <v>1627.9969999999998</v>
      </c>
      <c r="E1986" s="10">
        <v>1769.0119999999997</v>
      </c>
      <c r="F1986" t="str">
        <f>VLOOKUP(A1986,StoreLookup,2,FALSE)</f>
        <v>Store#2</v>
      </c>
      <c r="G1986">
        <f>INDEX(CalLookUpTable,MATCH($B1986,CalLookUpRow,0),MATCH(G$1,CalLookUpColumn,0))</f>
        <v>2019</v>
      </c>
      <c r="H1986">
        <f>INDEX(CalLookUpTable,MATCH($B1986,CalLookUpRow,0),MATCH(H$1,CalLookUpColumn,0))</f>
        <v>1</v>
      </c>
      <c r="I1986">
        <f>INDEX(CalLookUpTable,MATCH($B1986,CalLookUpRow,0),MATCH(I$1,CalLookUpColumn,0))</f>
        <v>3</v>
      </c>
    </row>
    <row r="1987" spans="1:9" x14ac:dyDescent="0.25">
      <c r="A1987" s="7">
        <v>2</v>
      </c>
      <c r="B1987" s="8">
        <v>43480</v>
      </c>
      <c r="C1987" s="9" t="s">
        <v>5</v>
      </c>
      <c r="D1987" s="10">
        <v>753.12300000000005</v>
      </c>
      <c r="E1987" s="10">
        <v>0</v>
      </c>
      <c r="F1987" t="str">
        <f>VLOOKUP(A1987,StoreLookup,2,FALSE)</f>
        <v>Store#2</v>
      </c>
      <c r="G1987">
        <f>INDEX(CalLookUpTable,MATCH($B1987,CalLookUpRow,0),MATCH(G$1,CalLookUpColumn,0))</f>
        <v>2019</v>
      </c>
      <c r="H1987">
        <f>INDEX(CalLookUpTable,MATCH($B1987,CalLookUpRow,0),MATCH(H$1,CalLookUpColumn,0))</f>
        <v>1</v>
      </c>
      <c r="I1987">
        <f>INDEX(CalLookUpTable,MATCH($B1987,CalLookUpRow,0),MATCH(I$1,CalLookUpColumn,0))</f>
        <v>3</v>
      </c>
    </row>
    <row r="1988" spans="1:9" x14ac:dyDescent="0.25">
      <c r="A1988" s="7">
        <v>2</v>
      </c>
      <c r="B1988" s="8">
        <v>43480</v>
      </c>
      <c r="C1988" s="9" t="s">
        <v>6</v>
      </c>
      <c r="D1988" s="10">
        <v>427.51799999999997</v>
      </c>
      <c r="E1988" s="10">
        <v>568.28800000000001</v>
      </c>
      <c r="F1988" t="str">
        <f>VLOOKUP(A1988,StoreLookup,2,FALSE)</f>
        <v>Store#2</v>
      </c>
      <c r="G1988">
        <f>INDEX(CalLookUpTable,MATCH($B1988,CalLookUpRow,0),MATCH(G$1,CalLookUpColumn,0))</f>
        <v>2019</v>
      </c>
      <c r="H1988">
        <f>INDEX(CalLookUpTable,MATCH($B1988,CalLookUpRow,0),MATCH(H$1,CalLookUpColumn,0))</f>
        <v>1</v>
      </c>
      <c r="I1988">
        <f>INDEX(CalLookUpTable,MATCH($B1988,CalLookUpRow,0),MATCH(I$1,CalLookUpColumn,0))</f>
        <v>3</v>
      </c>
    </row>
    <row r="1989" spans="1:9" x14ac:dyDescent="0.25">
      <c r="A1989" s="7">
        <v>2</v>
      </c>
      <c r="B1989" s="8">
        <v>43480</v>
      </c>
      <c r="C1989" s="9" t="s">
        <v>3</v>
      </c>
      <c r="D1989" s="10">
        <v>0</v>
      </c>
      <c r="E1989" s="10">
        <v>97.201999999999998</v>
      </c>
      <c r="F1989" t="str">
        <f>VLOOKUP(A1989,StoreLookup,2,FALSE)</f>
        <v>Store#2</v>
      </c>
      <c r="G1989">
        <f>INDEX(CalLookUpTable,MATCH($B1989,CalLookUpRow,0),MATCH(G$1,CalLookUpColumn,0))</f>
        <v>2019</v>
      </c>
      <c r="H1989">
        <f>INDEX(CalLookUpTable,MATCH($B1989,CalLookUpRow,0),MATCH(H$1,CalLookUpColumn,0))</f>
        <v>1</v>
      </c>
      <c r="I1989">
        <f>INDEX(CalLookUpTable,MATCH($B1989,CalLookUpRow,0),MATCH(I$1,CalLookUpColumn,0))</f>
        <v>3</v>
      </c>
    </row>
    <row r="1990" spans="1:9" x14ac:dyDescent="0.25">
      <c r="A1990" s="7">
        <v>2</v>
      </c>
      <c r="B1990" s="8">
        <v>43481</v>
      </c>
      <c r="C1990" s="9" t="s">
        <v>5</v>
      </c>
      <c r="D1990" s="10">
        <v>736.30199999999991</v>
      </c>
      <c r="E1990" s="10">
        <v>0</v>
      </c>
      <c r="F1990" t="str">
        <f>VLOOKUP(A1990,StoreLookup,2,FALSE)</f>
        <v>Store#2</v>
      </c>
      <c r="G1990">
        <f>INDEX(CalLookUpTable,MATCH($B1990,CalLookUpRow,0),MATCH(G$1,CalLookUpColumn,0))</f>
        <v>2019</v>
      </c>
      <c r="H1990">
        <f>INDEX(CalLookUpTable,MATCH($B1990,CalLookUpRow,0),MATCH(H$1,CalLookUpColumn,0))</f>
        <v>1</v>
      </c>
      <c r="I1990">
        <f>INDEX(CalLookUpTable,MATCH($B1990,CalLookUpRow,0),MATCH(I$1,CalLookUpColumn,0))</f>
        <v>3</v>
      </c>
    </row>
    <row r="1991" spans="1:9" x14ac:dyDescent="0.25">
      <c r="A1991" s="7">
        <v>2</v>
      </c>
      <c r="B1991" s="8">
        <v>43481</v>
      </c>
      <c r="C1991" s="9" t="s">
        <v>3</v>
      </c>
      <c r="D1991" s="10">
        <v>0</v>
      </c>
      <c r="E1991" s="10">
        <v>0</v>
      </c>
      <c r="F1991" t="str">
        <f>VLOOKUP(A1991,StoreLookup,2,FALSE)</f>
        <v>Store#2</v>
      </c>
      <c r="G1991">
        <f>INDEX(CalLookUpTable,MATCH($B1991,CalLookUpRow,0),MATCH(G$1,CalLookUpColumn,0))</f>
        <v>2019</v>
      </c>
      <c r="H1991">
        <f>INDEX(CalLookUpTable,MATCH($B1991,CalLookUpRow,0),MATCH(H$1,CalLookUpColumn,0))</f>
        <v>1</v>
      </c>
      <c r="I1991">
        <f>INDEX(CalLookUpTable,MATCH($B1991,CalLookUpRow,0),MATCH(I$1,CalLookUpColumn,0))</f>
        <v>3</v>
      </c>
    </row>
    <row r="1992" spans="1:9" x14ac:dyDescent="0.25">
      <c r="A1992" s="7">
        <v>2</v>
      </c>
      <c r="B1992" s="8">
        <v>43481</v>
      </c>
      <c r="C1992" s="9" t="s">
        <v>4</v>
      </c>
      <c r="D1992" s="10">
        <v>1680.9939999999999</v>
      </c>
      <c r="E1992" s="10">
        <v>1575.6229999999998</v>
      </c>
      <c r="F1992" t="str">
        <f>VLOOKUP(A1992,StoreLookup,2,FALSE)</f>
        <v>Store#2</v>
      </c>
      <c r="G1992">
        <f>INDEX(CalLookUpTable,MATCH($B1992,CalLookUpRow,0),MATCH(G$1,CalLookUpColumn,0))</f>
        <v>2019</v>
      </c>
      <c r="H1992">
        <f>INDEX(CalLookUpTable,MATCH($B1992,CalLookUpRow,0),MATCH(H$1,CalLookUpColumn,0))</f>
        <v>1</v>
      </c>
      <c r="I1992">
        <f>INDEX(CalLookUpTable,MATCH($B1992,CalLookUpRow,0),MATCH(I$1,CalLookUpColumn,0))</f>
        <v>3</v>
      </c>
    </row>
    <row r="1993" spans="1:9" x14ac:dyDescent="0.25">
      <c r="A1993" s="7">
        <v>2</v>
      </c>
      <c r="B1993" s="8">
        <v>43481</v>
      </c>
      <c r="C1993" s="9" t="s">
        <v>6</v>
      </c>
      <c r="D1993" s="10">
        <v>374.416</v>
      </c>
      <c r="E1993" s="10">
        <v>229.90099999999998</v>
      </c>
      <c r="F1993" t="str">
        <f>VLOOKUP(A1993,StoreLookup,2,FALSE)</f>
        <v>Store#2</v>
      </c>
      <c r="G1993">
        <f>INDEX(CalLookUpTable,MATCH($B1993,CalLookUpRow,0),MATCH(G$1,CalLookUpColumn,0))</f>
        <v>2019</v>
      </c>
      <c r="H1993">
        <f>INDEX(CalLookUpTable,MATCH($B1993,CalLookUpRow,0),MATCH(H$1,CalLookUpColumn,0))</f>
        <v>1</v>
      </c>
      <c r="I1993">
        <f>INDEX(CalLookUpTable,MATCH($B1993,CalLookUpRow,0),MATCH(I$1,CalLookUpColumn,0))</f>
        <v>3</v>
      </c>
    </row>
    <row r="1994" spans="1:9" x14ac:dyDescent="0.25">
      <c r="A1994" s="7">
        <v>2</v>
      </c>
      <c r="B1994" s="8">
        <v>43482</v>
      </c>
      <c r="C1994" s="9" t="s">
        <v>4</v>
      </c>
      <c r="D1994" s="10">
        <v>1420.944</v>
      </c>
      <c r="E1994" s="10">
        <v>2264.3809999999999</v>
      </c>
      <c r="F1994" t="str">
        <f>VLOOKUP(A1994,StoreLookup,2,FALSE)</f>
        <v>Store#2</v>
      </c>
      <c r="G1994">
        <f>INDEX(CalLookUpTable,MATCH($B1994,CalLookUpRow,0),MATCH(G$1,CalLookUpColumn,0))</f>
        <v>2019</v>
      </c>
      <c r="H1994">
        <f>INDEX(CalLookUpTable,MATCH($B1994,CalLookUpRow,0),MATCH(H$1,CalLookUpColumn,0))</f>
        <v>1</v>
      </c>
      <c r="I1994">
        <f>INDEX(CalLookUpTable,MATCH($B1994,CalLookUpRow,0),MATCH(I$1,CalLookUpColumn,0))</f>
        <v>3</v>
      </c>
    </row>
    <row r="1995" spans="1:9" x14ac:dyDescent="0.25">
      <c r="A1995" s="7">
        <v>2</v>
      </c>
      <c r="B1995" s="8">
        <v>43482</v>
      </c>
      <c r="C1995" s="9" t="s">
        <v>3</v>
      </c>
      <c r="D1995" s="10">
        <v>28.671999999999997</v>
      </c>
      <c r="E1995" s="10">
        <v>0</v>
      </c>
      <c r="F1995" t="str">
        <f>VLOOKUP(A1995,StoreLookup,2,FALSE)</f>
        <v>Store#2</v>
      </c>
      <c r="G1995">
        <f>INDEX(CalLookUpTable,MATCH($B1995,CalLookUpRow,0),MATCH(G$1,CalLookUpColumn,0))</f>
        <v>2019</v>
      </c>
      <c r="H1995">
        <f>INDEX(CalLookUpTable,MATCH($B1995,CalLookUpRow,0),MATCH(H$1,CalLookUpColumn,0))</f>
        <v>1</v>
      </c>
      <c r="I1995">
        <f>INDEX(CalLookUpTable,MATCH($B1995,CalLookUpRow,0),MATCH(I$1,CalLookUpColumn,0))</f>
        <v>3</v>
      </c>
    </row>
    <row r="1996" spans="1:9" x14ac:dyDescent="0.25">
      <c r="A1996" s="7">
        <v>2</v>
      </c>
      <c r="B1996" s="8">
        <v>43482</v>
      </c>
      <c r="C1996" s="9" t="s">
        <v>5</v>
      </c>
      <c r="D1996" s="10">
        <v>1082.172</v>
      </c>
      <c r="E1996" s="10">
        <v>0</v>
      </c>
      <c r="F1996" t="str">
        <f>VLOOKUP(A1996,StoreLookup,2,FALSE)</f>
        <v>Store#2</v>
      </c>
      <c r="G1996">
        <f>INDEX(CalLookUpTable,MATCH($B1996,CalLookUpRow,0),MATCH(G$1,CalLookUpColumn,0))</f>
        <v>2019</v>
      </c>
      <c r="H1996">
        <f>INDEX(CalLookUpTable,MATCH($B1996,CalLookUpRow,0),MATCH(H$1,CalLookUpColumn,0))</f>
        <v>1</v>
      </c>
      <c r="I1996">
        <f>INDEX(CalLookUpTable,MATCH($B1996,CalLookUpRow,0),MATCH(I$1,CalLookUpColumn,0))</f>
        <v>3</v>
      </c>
    </row>
    <row r="1997" spans="1:9" x14ac:dyDescent="0.25">
      <c r="A1997" s="7">
        <v>2</v>
      </c>
      <c r="B1997" s="8">
        <v>43482</v>
      </c>
      <c r="C1997" s="9" t="s">
        <v>6</v>
      </c>
      <c r="D1997" s="10">
        <v>332.53499999999997</v>
      </c>
      <c r="E1997" s="10">
        <v>438.91399999999999</v>
      </c>
      <c r="F1997" t="str">
        <f>VLOOKUP(A1997,StoreLookup,2,FALSE)</f>
        <v>Store#2</v>
      </c>
      <c r="G1997">
        <f>INDEX(CalLookUpTable,MATCH($B1997,CalLookUpRow,0),MATCH(G$1,CalLookUpColumn,0))</f>
        <v>2019</v>
      </c>
      <c r="H1997">
        <f>INDEX(CalLookUpTable,MATCH($B1997,CalLookUpRow,0),MATCH(H$1,CalLookUpColumn,0))</f>
        <v>1</v>
      </c>
      <c r="I1997">
        <f>INDEX(CalLookUpTable,MATCH($B1997,CalLookUpRow,0),MATCH(I$1,CalLookUpColumn,0))</f>
        <v>3</v>
      </c>
    </row>
    <row r="1998" spans="1:9" x14ac:dyDescent="0.25">
      <c r="A1998" s="7">
        <v>2</v>
      </c>
      <c r="B1998" s="8">
        <v>43483</v>
      </c>
      <c r="C1998" s="9" t="s">
        <v>3</v>
      </c>
      <c r="D1998" s="10">
        <v>231.56</v>
      </c>
      <c r="E1998" s="10">
        <v>0</v>
      </c>
      <c r="F1998" t="str">
        <f>VLOOKUP(A1998,StoreLookup,2,FALSE)</f>
        <v>Store#2</v>
      </c>
      <c r="G1998">
        <f>INDEX(CalLookUpTable,MATCH($B1998,CalLookUpRow,0),MATCH(G$1,CalLookUpColumn,0))</f>
        <v>2019</v>
      </c>
      <c r="H1998">
        <f>INDEX(CalLookUpTable,MATCH($B1998,CalLookUpRow,0),MATCH(H$1,CalLookUpColumn,0))</f>
        <v>1</v>
      </c>
      <c r="I1998">
        <f>INDEX(CalLookUpTable,MATCH($B1998,CalLookUpRow,0),MATCH(I$1,CalLookUpColumn,0))</f>
        <v>3</v>
      </c>
    </row>
    <row r="1999" spans="1:9" x14ac:dyDescent="0.25">
      <c r="A1999" s="7">
        <v>2</v>
      </c>
      <c r="B1999" s="8">
        <v>43483</v>
      </c>
      <c r="C1999" s="9" t="s">
        <v>6</v>
      </c>
      <c r="D1999" s="10">
        <v>182.74199999999999</v>
      </c>
      <c r="E1999" s="10">
        <v>330.12700000000001</v>
      </c>
      <c r="F1999" t="str">
        <f>VLOOKUP(A1999,StoreLookup,2,FALSE)</f>
        <v>Store#2</v>
      </c>
      <c r="G1999">
        <f>INDEX(CalLookUpTable,MATCH($B1999,CalLookUpRow,0),MATCH(G$1,CalLookUpColumn,0))</f>
        <v>2019</v>
      </c>
      <c r="H1999">
        <f>INDEX(CalLookUpTable,MATCH($B1999,CalLookUpRow,0),MATCH(H$1,CalLookUpColumn,0))</f>
        <v>1</v>
      </c>
      <c r="I1999">
        <f>INDEX(CalLookUpTable,MATCH($B1999,CalLookUpRow,0),MATCH(I$1,CalLookUpColumn,0))</f>
        <v>3</v>
      </c>
    </row>
    <row r="2000" spans="1:9" x14ac:dyDescent="0.25">
      <c r="A2000" s="7">
        <v>2</v>
      </c>
      <c r="B2000" s="8">
        <v>43483</v>
      </c>
      <c r="C2000" s="9" t="s">
        <v>5</v>
      </c>
      <c r="D2000" s="10">
        <v>1188.229</v>
      </c>
      <c r="E2000" s="10">
        <v>0</v>
      </c>
      <c r="F2000" t="str">
        <f>VLOOKUP(A2000,StoreLookup,2,FALSE)</f>
        <v>Store#2</v>
      </c>
      <c r="G2000">
        <f>INDEX(CalLookUpTable,MATCH($B2000,CalLookUpRow,0),MATCH(G$1,CalLookUpColumn,0))</f>
        <v>2019</v>
      </c>
      <c r="H2000">
        <f>INDEX(CalLookUpTable,MATCH($B2000,CalLookUpRow,0),MATCH(H$1,CalLookUpColumn,0))</f>
        <v>1</v>
      </c>
      <c r="I2000">
        <f>INDEX(CalLookUpTable,MATCH($B2000,CalLookUpRow,0),MATCH(I$1,CalLookUpColumn,0))</f>
        <v>3</v>
      </c>
    </row>
    <row r="2001" spans="1:9" x14ac:dyDescent="0.25">
      <c r="A2001" s="7">
        <v>2</v>
      </c>
      <c r="B2001" s="8">
        <v>43483</v>
      </c>
      <c r="C2001" s="9" t="s">
        <v>4</v>
      </c>
      <c r="D2001" s="10">
        <v>2378.6419999999998</v>
      </c>
      <c r="E2001" s="10">
        <v>2711.2190000000001</v>
      </c>
      <c r="F2001" t="str">
        <f>VLOOKUP(A2001,StoreLookup,2,FALSE)</f>
        <v>Store#2</v>
      </c>
      <c r="G2001">
        <f>INDEX(CalLookUpTable,MATCH($B2001,CalLookUpRow,0),MATCH(G$1,CalLookUpColumn,0))</f>
        <v>2019</v>
      </c>
      <c r="H2001">
        <f>INDEX(CalLookUpTable,MATCH($B2001,CalLookUpRow,0),MATCH(H$1,CalLookUpColumn,0))</f>
        <v>1</v>
      </c>
      <c r="I2001">
        <f>INDEX(CalLookUpTable,MATCH($B2001,CalLookUpRow,0),MATCH(I$1,CalLookUpColumn,0))</f>
        <v>3</v>
      </c>
    </row>
    <row r="2002" spans="1:9" x14ac:dyDescent="0.25">
      <c r="A2002" s="7">
        <v>2</v>
      </c>
      <c r="B2002" s="8">
        <v>43484</v>
      </c>
      <c r="C2002" s="9" t="s">
        <v>5</v>
      </c>
      <c r="D2002" s="10">
        <v>998.96999999999991</v>
      </c>
      <c r="E2002" s="10">
        <v>0</v>
      </c>
      <c r="F2002" t="str">
        <f>VLOOKUP(A2002,StoreLookup,2,FALSE)</f>
        <v>Store#2</v>
      </c>
      <c r="G2002">
        <f>INDEX(CalLookUpTable,MATCH($B2002,CalLookUpRow,0),MATCH(G$1,CalLookUpColumn,0))</f>
        <v>2019</v>
      </c>
      <c r="H2002">
        <f>INDEX(CalLookUpTable,MATCH($B2002,CalLookUpRow,0),MATCH(H$1,CalLookUpColumn,0))</f>
        <v>1</v>
      </c>
      <c r="I2002">
        <f>INDEX(CalLookUpTable,MATCH($B2002,CalLookUpRow,0),MATCH(I$1,CalLookUpColumn,0))</f>
        <v>3</v>
      </c>
    </row>
    <row r="2003" spans="1:9" x14ac:dyDescent="0.25">
      <c r="A2003" s="7">
        <v>2</v>
      </c>
      <c r="B2003" s="8">
        <v>43484</v>
      </c>
      <c r="C2003" s="9" t="s">
        <v>4</v>
      </c>
      <c r="D2003" s="10">
        <v>2238.922</v>
      </c>
      <c r="E2003" s="10">
        <v>2446.8359999999998</v>
      </c>
      <c r="F2003" t="str">
        <f>VLOOKUP(A2003,StoreLookup,2,FALSE)</f>
        <v>Store#2</v>
      </c>
      <c r="G2003">
        <f>INDEX(CalLookUpTable,MATCH($B2003,CalLookUpRow,0),MATCH(G$1,CalLookUpColumn,0))</f>
        <v>2019</v>
      </c>
      <c r="H2003">
        <f>INDEX(CalLookUpTable,MATCH($B2003,CalLookUpRow,0),MATCH(H$1,CalLookUpColumn,0))</f>
        <v>1</v>
      </c>
      <c r="I2003">
        <f>INDEX(CalLookUpTable,MATCH($B2003,CalLookUpRow,0),MATCH(I$1,CalLookUpColumn,0))</f>
        <v>3</v>
      </c>
    </row>
    <row r="2004" spans="1:9" x14ac:dyDescent="0.25">
      <c r="A2004" s="7">
        <v>2</v>
      </c>
      <c r="B2004" s="8">
        <v>43484</v>
      </c>
      <c r="C2004" s="9" t="s">
        <v>3</v>
      </c>
      <c r="D2004" s="10">
        <v>0</v>
      </c>
      <c r="E2004" s="10">
        <v>0</v>
      </c>
      <c r="F2004" t="str">
        <f>VLOOKUP(A2004,StoreLookup,2,FALSE)</f>
        <v>Store#2</v>
      </c>
      <c r="G2004">
        <f>INDEX(CalLookUpTable,MATCH($B2004,CalLookUpRow,0),MATCH(G$1,CalLookUpColumn,0))</f>
        <v>2019</v>
      </c>
      <c r="H2004">
        <f>INDEX(CalLookUpTable,MATCH($B2004,CalLookUpRow,0),MATCH(H$1,CalLookUpColumn,0))</f>
        <v>1</v>
      </c>
      <c r="I2004">
        <f>INDEX(CalLookUpTable,MATCH($B2004,CalLookUpRow,0),MATCH(I$1,CalLookUpColumn,0))</f>
        <v>3</v>
      </c>
    </row>
    <row r="2005" spans="1:9" x14ac:dyDescent="0.25">
      <c r="A2005" s="7">
        <v>2</v>
      </c>
      <c r="B2005" s="8">
        <v>43484</v>
      </c>
      <c r="C2005" s="9" t="s">
        <v>6</v>
      </c>
      <c r="D2005" s="10">
        <v>486.21299999999997</v>
      </c>
      <c r="E2005" s="10">
        <v>586.37599999999998</v>
      </c>
      <c r="F2005" t="str">
        <f>VLOOKUP(A2005,StoreLookup,2,FALSE)</f>
        <v>Store#2</v>
      </c>
      <c r="G2005">
        <f>INDEX(CalLookUpTable,MATCH($B2005,CalLookUpRow,0),MATCH(G$1,CalLookUpColumn,0))</f>
        <v>2019</v>
      </c>
      <c r="H2005">
        <f>INDEX(CalLookUpTable,MATCH($B2005,CalLookUpRow,0),MATCH(H$1,CalLookUpColumn,0))</f>
        <v>1</v>
      </c>
      <c r="I2005">
        <f>INDEX(CalLookUpTable,MATCH($B2005,CalLookUpRow,0),MATCH(I$1,CalLookUpColumn,0))</f>
        <v>3</v>
      </c>
    </row>
    <row r="2006" spans="1:9" x14ac:dyDescent="0.25">
      <c r="A2006" s="7">
        <v>2</v>
      </c>
      <c r="B2006" s="8">
        <v>43485</v>
      </c>
      <c r="C2006" s="9" t="s">
        <v>6</v>
      </c>
      <c r="D2006" s="10">
        <v>227.703</v>
      </c>
      <c r="E2006" s="10">
        <v>268.779</v>
      </c>
      <c r="F2006" t="str">
        <f>VLOOKUP(A2006,StoreLookup,2,FALSE)</f>
        <v>Store#2</v>
      </c>
      <c r="G2006">
        <f>INDEX(CalLookUpTable,MATCH($B2006,CalLookUpRow,0),MATCH(G$1,CalLookUpColumn,0))</f>
        <v>2019</v>
      </c>
      <c r="H2006">
        <f>INDEX(CalLookUpTable,MATCH($B2006,CalLookUpRow,0),MATCH(H$1,CalLookUpColumn,0))</f>
        <v>1</v>
      </c>
      <c r="I2006">
        <f>INDEX(CalLookUpTable,MATCH($B2006,CalLookUpRow,0),MATCH(I$1,CalLookUpColumn,0))</f>
        <v>3</v>
      </c>
    </row>
    <row r="2007" spans="1:9" x14ac:dyDescent="0.25">
      <c r="A2007" s="7">
        <v>2</v>
      </c>
      <c r="B2007" s="8">
        <v>43485</v>
      </c>
      <c r="C2007" s="9" t="s">
        <v>4</v>
      </c>
      <c r="D2007" s="10">
        <v>1166.011</v>
      </c>
      <c r="E2007" s="10">
        <v>1394.9179999999999</v>
      </c>
      <c r="F2007" t="str">
        <f>VLOOKUP(A2007,StoreLookup,2,FALSE)</f>
        <v>Store#2</v>
      </c>
      <c r="G2007">
        <f>INDEX(CalLookUpTable,MATCH($B2007,CalLookUpRow,0),MATCH(G$1,CalLookUpColumn,0))</f>
        <v>2019</v>
      </c>
      <c r="H2007">
        <f>INDEX(CalLookUpTable,MATCH($B2007,CalLookUpRow,0),MATCH(H$1,CalLookUpColumn,0))</f>
        <v>1</v>
      </c>
      <c r="I2007">
        <f>INDEX(CalLookUpTable,MATCH($B2007,CalLookUpRow,0),MATCH(I$1,CalLookUpColumn,0))</f>
        <v>3</v>
      </c>
    </row>
    <row r="2008" spans="1:9" x14ac:dyDescent="0.25">
      <c r="A2008" s="7">
        <v>2</v>
      </c>
      <c r="B2008" s="8">
        <v>43485</v>
      </c>
      <c r="C2008" s="9" t="s">
        <v>3</v>
      </c>
      <c r="D2008" s="10">
        <v>0</v>
      </c>
      <c r="E2008" s="10">
        <v>0</v>
      </c>
      <c r="F2008" t="str">
        <f>VLOOKUP(A2008,StoreLookup,2,FALSE)</f>
        <v>Store#2</v>
      </c>
      <c r="G2008">
        <f>INDEX(CalLookUpTable,MATCH($B2008,CalLookUpRow,0),MATCH(G$1,CalLookUpColumn,0))</f>
        <v>2019</v>
      </c>
      <c r="H2008">
        <f>INDEX(CalLookUpTable,MATCH($B2008,CalLookUpRow,0),MATCH(H$1,CalLookUpColumn,0))</f>
        <v>1</v>
      </c>
      <c r="I2008">
        <f>INDEX(CalLookUpTable,MATCH($B2008,CalLookUpRow,0),MATCH(I$1,CalLookUpColumn,0))</f>
        <v>3</v>
      </c>
    </row>
    <row r="2009" spans="1:9" x14ac:dyDescent="0.25">
      <c r="A2009" s="7">
        <v>2</v>
      </c>
      <c r="B2009" s="8">
        <v>43485</v>
      </c>
      <c r="C2009" s="9" t="s">
        <v>5</v>
      </c>
      <c r="D2009" s="10">
        <v>443.50600000000003</v>
      </c>
      <c r="E2009" s="10">
        <v>0</v>
      </c>
      <c r="F2009" t="str">
        <f>VLOOKUP(A2009,StoreLookup,2,FALSE)</f>
        <v>Store#2</v>
      </c>
      <c r="G2009">
        <f>INDEX(CalLookUpTable,MATCH($B2009,CalLookUpRow,0),MATCH(G$1,CalLookUpColumn,0))</f>
        <v>2019</v>
      </c>
      <c r="H2009">
        <f>INDEX(CalLookUpTable,MATCH($B2009,CalLookUpRow,0),MATCH(H$1,CalLookUpColumn,0))</f>
        <v>1</v>
      </c>
      <c r="I2009">
        <f>INDEX(CalLookUpTable,MATCH($B2009,CalLookUpRow,0),MATCH(I$1,CalLookUpColumn,0))</f>
        <v>3</v>
      </c>
    </row>
    <row r="2010" spans="1:9" x14ac:dyDescent="0.25">
      <c r="A2010" s="7">
        <v>2</v>
      </c>
      <c r="B2010" s="8">
        <v>43486</v>
      </c>
      <c r="C2010" s="9" t="s">
        <v>3</v>
      </c>
      <c r="D2010" s="10">
        <v>0</v>
      </c>
      <c r="E2010" s="10">
        <v>0</v>
      </c>
      <c r="F2010" t="str">
        <f>VLOOKUP(A2010,StoreLookup,2,FALSE)</f>
        <v>Store#2</v>
      </c>
      <c r="G2010">
        <f>INDEX(CalLookUpTable,MATCH($B2010,CalLookUpRow,0),MATCH(G$1,CalLookUpColumn,0))</f>
        <v>2019</v>
      </c>
      <c r="H2010">
        <f>INDEX(CalLookUpTable,MATCH($B2010,CalLookUpRow,0),MATCH(H$1,CalLookUpColumn,0))</f>
        <v>1</v>
      </c>
      <c r="I2010">
        <f>INDEX(CalLookUpTable,MATCH($B2010,CalLookUpRow,0),MATCH(I$1,CalLookUpColumn,0))</f>
        <v>4</v>
      </c>
    </row>
    <row r="2011" spans="1:9" x14ac:dyDescent="0.25">
      <c r="A2011" s="7">
        <v>2</v>
      </c>
      <c r="B2011" s="8">
        <v>43486</v>
      </c>
      <c r="C2011" s="9" t="s">
        <v>5</v>
      </c>
      <c r="D2011" s="10">
        <v>784.07699999999988</v>
      </c>
      <c r="E2011" s="10">
        <v>0</v>
      </c>
      <c r="F2011" t="str">
        <f>VLOOKUP(A2011,StoreLookup,2,FALSE)</f>
        <v>Store#2</v>
      </c>
      <c r="G2011">
        <f>INDEX(CalLookUpTable,MATCH($B2011,CalLookUpRow,0),MATCH(G$1,CalLookUpColumn,0))</f>
        <v>2019</v>
      </c>
      <c r="H2011">
        <f>INDEX(CalLookUpTable,MATCH($B2011,CalLookUpRow,0),MATCH(H$1,CalLookUpColumn,0))</f>
        <v>1</v>
      </c>
      <c r="I2011">
        <f>INDEX(CalLookUpTable,MATCH($B2011,CalLookUpRow,0),MATCH(I$1,CalLookUpColumn,0))</f>
        <v>4</v>
      </c>
    </row>
    <row r="2012" spans="1:9" x14ac:dyDescent="0.25">
      <c r="A2012" s="7">
        <v>2</v>
      </c>
      <c r="B2012" s="8">
        <v>43486</v>
      </c>
      <c r="C2012" s="9" t="s">
        <v>6</v>
      </c>
      <c r="D2012" s="10">
        <v>237.57299999999998</v>
      </c>
      <c r="E2012" s="10">
        <v>387.37999999999994</v>
      </c>
      <c r="F2012" t="str">
        <f>VLOOKUP(A2012,StoreLookup,2,FALSE)</f>
        <v>Store#2</v>
      </c>
      <c r="G2012">
        <f>INDEX(CalLookUpTable,MATCH($B2012,CalLookUpRow,0),MATCH(G$1,CalLookUpColumn,0))</f>
        <v>2019</v>
      </c>
      <c r="H2012">
        <f>INDEX(CalLookUpTable,MATCH($B2012,CalLookUpRow,0),MATCH(H$1,CalLookUpColumn,0))</f>
        <v>1</v>
      </c>
      <c r="I2012">
        <f>INDEX(CalLookUpTable,MATCH($B2012,CalLookUpRow,0),MATCH(I$1,CalLookUpColumn,0))</f>
        <v>4</v>
      </c>
    </row>
    <row r="2013" spans="1:9" x14ac:dyDescent="0.25">
      <c r="A2013" s="7">
        <v>2</v>
      </c>
      <c r="B2013" s="8">
        <v>43486</v>
      </c>
      <c r="C2013" s="9" t="s">
        <v>4</v>
      </c>
      <c r="D2013" s="10">
        <v>1357.5029999999999</v>
      </c>
      <c r="E2013" s="10">
        <v>1487.7939999999999</v>
      </c>
      <c r="F2013" t="str">
        <f>VLOOKUP(A2013,StoreLookup,2,FALSE)</f>
        <v>Store#2</v>
      </c>
      <c r="G2013">
        <f>INDEX(CalLookUpTable,MATCH($B2013,CalLookUpRow,0),MATCH(G$1,CalLookUpColumn,0))</f>
        <v>2019</v>
      </c>
      <c r="H2013">
        <f>INDEX(CalLookUpTable,MATCH($B2013,CalLookUpRow,0),MATCH(H$1,CalLookUpColumn,0))</f>
        <v>1</v>
      </c>
      <c r="I2013">
        <f>INDEX(CalLookUpTable,MATCH($B2013,CalLookUpRow,0),MATCH(I$1,CalLookUpColumn,0))</f>
        <v>4</v>
      </c>
    </row>
    <row r="2014" spans="1:9" x14ac:dyDescent="0.25">
      <c r="A2014" s="7">
        <v>2</v>
      </c>
      <c r="B2014" s="8">
        <v>43487</v>
      </c>
      <c r="C2014" s="9" t="s">
        <v>5</v>
      </c>
      <c r="D2014" s="10">
        <v>909.73399999999981</v>
      </c>
      <c r="E2014" s="10">
        <v>0</v>
      </c>
      <c r="F2014" t="str">
        <f>VLOOKUP(A2014,StoreLookup,2,FALSE)</f>
        <v>Store#2</v>
      </c>
      <c r="G2014">
        <f>INDEX(CalLookUpTable,MATCH($B2014,CalLookUpRow,0),MATCH(G$1,CalLookUpColumn,0))</f>
        <v>2019</v>
      </c>
      <c r="H2014">
        <f>INDEX(CalLookUpTable,MATCH($B2014,CalLookUpRow,0),MATCH(H$1,CalLookUpColumn,0))</f>
        <v>1</v>
      </c>
      <c r="I2014">
        <f>INDEX(CalLookUpTable,MATCH($B2014,CalLookUpRow,0),MATCH(I$1,CalLookUpColumn,0))</f>
        <v>4</v>
      </c>
    </row>
    <row r="2015" spans="1:9" x14ac:dyDescent="0.25">
      <c r="A2015" s="7">
        <v>2</v>
      </c>
      <c r="B2015" s="8">
        <v>43487</v>
      </c>
      <c r="C2015" s="9" t="s">
        <v>3</v>
      </c>
      <c r="D2015" s="10">
        <v>115.39499999999998</v>
      </c>
      <c r="E2015" s="10">
        <v>318.101</v>
      </c>
      <c r="F2015" t="str">
        <f>VLOOKUP(A2015,StoreLookup,2,FALSE)</f>
        <v>Store#2</v>
      </c>
      <c r="G2015">
        <f>INDEX(CalLookUpTable,MATCH($B2015,CalLookUpRow,0),MATCH(G$1,CalLookUpColumn,0))</f>
        <v>2019</v>
      </c>
      <c r="H2015">
        <f>INDEX(CalLookUpTable,MATCH($B2015,CalLookUpRow,0),MATCH(H$1,CalLookUpColumn,0))</f>
        <v>1</v>
      </c>
      <c r="I2015">
        <f>INDEX(CalLookUpTable,MATCH($B2015,CalLookUpRow,0),MATCH(I$1,CalLookUpColumn,0))</f>
        <v>4</v>
      </c>
    </row>
    <row r="2016" spans="1:9" x14ac:dyDescent="0.25">
      <c r="A2016" s="7">
        <v>2</v>
      </c>
      <c r="B2016" s="8">
        <v>43487</v>
      </c>
      <c r="C2016" s="9" t="s">
        <v>6</v>
      </c>
      <c r="D2016" s="10">
        <v>318.68899999999996</v>
      </c>
      <c r="E2016" s="10">
        <v>591.34599999999989</v>
      </c>
      <c r="F2016" t="str">
        <f>VLOOKUP(A2016,StoreLookup,2,FALSE)</f>
        <v>Store#2</v>
      </c>
      <c r="G2016">
        <f>INDEX(CalLookUpTable,MATCH($B2016,CalLookUpRow,0),MATCH(G$1,CalLookUpColumn,0))</f>
        <v>2019</v>
      </c>
      <c r="H2016">
        <f>INDEX(CalLookUpTable,MATCH($B2016,CalLookUpRow,0),MATCH(H$1,CalLookUpColumn,0))</f>
        <v>1</v>
      </c>
      <c r="I2016">
        <f>INDEX(CalLookUpTable,MATCH($B2016,CalLookUpRow,0),MATCH(I$1,CalLookUpColumn,0))</f>
        <v>4</v>
      </c>
    </row>
    <row r="2017" spans="1:9" x14ac:dyDescent="0.25">
      <c r="A2017" s="7">
        <v>2</v>
      </c>
      <c r="B2017" s="8">
        <v>43487</v>
      </c>
      <c r="C2017" s="9" t="s">
        <v>4</v>
      </c>
      <c r="D2017" s="10">
        <v>1646.1339999999998</v>
      </c>
      <c r="E2017" s="10">
        <v>2324.2309999999998</v>
      </c>
      <c r="F2017" t="str">
        <f>VLOOKUP(A2017,StoreLookup,2,FALSE)</f>
        <v>Store#2</v>
      </c>
      <c r="G2017">
        <f>INDEX(CalLookUpTable,MATCH($B2017,CalLookUpRow,0),MATCH(G$1,CalLookUpColumn,0))</f>
        <v>2019</v>
      </c>
      <c r="H2017">
        <f>INDEX(CalLookUpTable,MATCH($B2017,CalLookUpRow,0),MATCH(H$1,CalLookUpColumn,0))</f>
        <v>1</v>
      </c>
      <c r="I2017">
        <f>INDEX(CalLookUpTable,MATCH($B2017,CalLookUpRow,0),MATCH(I$1,CalLookUpColumn,0))</f>
        <v>4</v>
      </c>
    </row>
    <row r="2018" spans="1:9" x14ac:dyDescent="0.25">
      <c r="A2018" s="7">
        <v>2</v>
      </c>
      <c r="B2018" s="8">
        <v>43488</v>
      </c>
      <c r="C2018" s="9" t="s">
        <v>3</v>
      </c>
      <c r="D2018" s="10">
        <v>0</v>
      </c>
      <c r="E2018" s="10">
        <v>0</v>
      </c>
      <c r="F2018" t="str">
        <f>VLOOKUP(A2018,StoreLookup,2,FALSE)</f>
        <v>Store#2</v>
      </c>
      <c r="G2018">
        <f>INDEX(CalLookUpTable,MATCH($B2018,CalLookUpRow,0),MATCH(G$1,CalLookUpColumn,0))</f>
        <v>2019</v>
      </c>
      <c r="H2018">
        <f>INDEX(CalLookUpTable,MATCH($B2018,CalLookUpRow,0),MATCH(H$1,CalLookUpColumn,0))</f>
        <v>1</v>
      </c>
      <c r="I2018">
        <f>INDEX(CalLookUpTable,MATCH($B2018,CalLookUpRow,0),MATCH(I$1,CalLookUpColumn,0))</f>
        <v>4</v>
      </c>
    </row>
    <row r="2019" spans="1:9" x14ac:dyDescent="0.25">
      <c r="A2019" s="7">
        <v>2</v>
      </c>
      <c r="B2019" s="8">
        <v>43488</v>
      </c>
      <c r="C2019" s="9" t="s">
        <v>5</v>
      </c>
      <c r="D2019" s="10">
        <v>625.02299999999991</v>
      </c>
      <c r="E2019" s="10">
        <v>0</v>
      </c>
      <c r="F2019" t="str">
        <f>VLOOKUP(A2019,StoreLookup,2,FALSE)</f>
        <v>Store#2</v>
      </c>
      <c r="G2019">
        <f>INDEX(CalLookUpTable,MATCH($B2019,CalLookUpRow,0),MATCH(G$1,CalLookUpColumn,0))</f>
        <v>2019</v>
      </c>
      <c r="H2019">
        <f>INDEX(CalLookUpTable,MATCH($B2019,CalLookUpRow,0),MATCH(H$1,CalLookUpColumn,0))</f>
        <v>1</v>
      </c>
      <c r="I2019">
        <f>INDEX(CalLookUpTable,MATCH($B2019,CalLookUpRow,0),MATCH(I$1,CalLookUpColumn,0))</f>
        <v>4</v>
      </c>
    </row>
    <row r="2020" spans="1:9" x14ac:dyDescent="0.25">
      <c r="A2020" s="7">
        <v>2</v>
      </c>
      <c r="B2020" s="8">
        <v>43488</v>
      </c>
      <c r="C2020" s="9" t="s">
        <v>6</v>
      </c>
      <c r="D2020" s="10">
        <v>273.42</v>
      </c>
      <c r="E2020" s="10">
        <v>297.94099999999997</v>
      </c>
      <c r="F2020" t="str">
        <f>VLOOKUP(A2020,StoreLookup,2,FALSE)</f>
        <v>Store#2</v>
      </c>
      <c r="G2020">
        <f>INDEX(CalLookUpTable,MATCH($B2020,CalLookUpRow,0),MATCH(G$1,CalLookUpColumn,0))</f>
        <v>2019</v>
      </c>
      <c r="H2020">
        <f>INDEX(CalLookUpTable,MATCH($B2020,CalLookUpRow,0),MATCH(H$1,CalLookUpColumn,0))</f>
        <v>1</v>
      </c>
      <c r="I2020">
        <f>INDEX(CalLookUpTable,MATCH($B2020,CalLookUpRow,0),MATCH(I$1,CalLookUpColumn,0))</f>
        <v>4</v>
      </c>
    </row>
    <row r="2021" spans="1:9" x14ac:dyDescent="0.25">
      <c r="A2021" s="7">
        <v>2</v>
      </c>
      <c r="B2021" s="8">
        <v>43488</v>
      </c>
      <c r="C2021" s="9" t="s">
        <v>4</v>
      </c>
      <c r="D2021" s="10">
        <v>1727.3339999999998</v>
      </c>
      <c r="E2021" s="10">
        <v>1532.202</v>
      </c>
      <c r="F2021" t="str">
        <f>VLOOKUP(A2021,StoreLookup,2,FALSE)</f>
        <v>Store#2</v>
      </c>
      <c r="G2021">
        <f>INDEX(CalLookUpTable,MATCH($B2021,CalLookUpRow,0),MATCH(G$1,CalLookUpColumn,0))</f>
        <v>2019</v>
      </c>
      <c r="H2021">
        <f>INDEX(CalLookUpTable,MATCH($B2021,CalLookUpRow,0),MATCH(H$1,CalLookUpColumn,0))</f>
        <v>1</v>
      </c>
      <c r="I2021">
        <f>INDEX(CalLookUpTable,MATCH($B2021,CalLookUpRow,0),MATCH(I$1,CalLookUpColumn,0))</f>
        <v>4</v>
      </c>
    </row>
    <row r="2022" spans="1:9" x14ac:dyDescent="0.25">
      <c r="A2022" s="7">
        <v>2</v>
      </c>
      <c r="B2022" s="8">
        <v>43489</v>
      </c>
      <c r="C2022" s="9" t="s">
        <v>4</v>
      </c>
      <c r="D2022" s="10">
        <v>2041.0669999999998</v>
      </c>
      <c r="E2022" s="10">
        <v>2662.1839999999997</v>
      </c>
      <c r="F2022" t="str">
        <f>VLOOKUP(A2022,StoreLookup,2,FALSE)</f>
        <v>Store#2</v>
      </c>
      <c r="G2022">
        <f>INDEX(CalLookUpTable,MATCH($B2022,CalLookUpRow,0),MATCH(G$1,CalLookUpColumn,0))</f>
        <v>2019</v>
      </c>
      <c r="H2022">
        <f>INDEX(CalLookUpTable,MATCH($B2022,CalLookUpRow,0),MATCH(H$1,CalLookUpColumn,0))</f>
        <v>1</v>
      </c>
      <c r="I2022">
        <f>INDEX(CalLookUpTable,MATCH($B2022,CalLookUpRow,0),MATCH(I$1,CalLookUpColumn,0))</f>
        <v>4</v>
      </c>
    </row>
    <row r="2023" spans="1:9" x14ac:dyDescent="0.25">
      <c r="A2023" s="7">
        <v>2</v>
      </c>
      <c r="B2023" s="8">
        <v>43489</v>
      </c>
      <c r="C2023" s="9" t="s">
        <v>5</v>
      </c>
      <c r="D2023" s="10">
        <v>928.65499999999997</v>
      </c>
      <c r="E2023" s="10">
        <v>0</v>
      </c>
      <c r="F2023" t="str">
        <f>VLOOKUP(A2023,StoreLookup,2,FALSE)</f>
        <v>Store#2</v>
      </c>
      <c r="G2023">
        <f>INDEX(CalLookUpTable,MATCH($B2023,CalLookUpRow,0),MATCH(G$1,CalLookUpColumn,0))</f>
        <v>2019</v>
      </c>
      <c r="H2023">
        <f>INDEX(CalLookUpTable,MATCH($B2023,CalLookUpRow,0),MATCH(H$1,CalLookUpColumn,0))</f>
        <v>1</v>
      </c>
      <c r="I2023">
        <f>INDEX(CalLookUpTable,MATCH($B2023,CalLookUpRow,0),MATCH(I$1,CalLookUpColumn,0))</f>
        <v>4</v>
      </c>
    </row>
    <row r="2024" spans="1:9" x14ac:dyDescent="0.25">
      <c r="A2024" s="7">
        <v>2</v>
      </c>
      <c r="B2024" s="8">
        <v>43489</v>
      </c>
      <c r="C2024" s="9" t="s">
        <v>3</v>
      </c>
      <c r="D2024" s="10">
        <v>153.85999999999999</v>
      </c>
      <c r="E2024" s="10">
        <v>0</v>
      </c>
      <c r="F2024" t="str">
        <f>VLOOKUP(A2024,StoreLookup,2,FALSE)</f>
        <v>Store#2</v>
      </c>
      <c r="G2024">
        <f>INDEX(CalLookUpTable,MATCH($B2024,CalLookUpRow,0),MATCH(G$1,CalLookUpColumn,0))</f>
        <v>2019</v>
      </c>
      <c r="H2024">
        <f>INDEX(CalLookUpTable,MATCH($B2024,CalLookUpRow,0),MATCH(H$1,CalLookUpColumn,0))</f>
        <v>1</v>
      </c>
      <c r="I2024">
        <f>INDEX(CalLookUpTable,MATCH($B2024,CalLookUpRow,0),MATCH(I$1,CalLookUpColumn,0))</f>
        <v>4</v>
      </c>
    </row>
    <row r="2025" spans="1:9" x14ac:dyDescent="0.25">
      <c r="A2025" s="7">
        <v>2</v>
      </c>
      <c r="B2025" s="8">
        <v>43489</v>
      </c>
      <c r="C2025" s="9" t="s">
        <v>6</v>
      </c>
      <c r="D2025" s="10">
        <v>284.25599999999997</v>
      </c>
      <c r="E2025" s="10">
        <v>509.21499999999997</v>
      </c>
      <c r="F2025" t="str">
        <f>VLOOKUP(A2025,StoreLookup,2,FALSE)</f>
        <v>Store#2</v>
      </c>
      <c r="G2025">
        <f>INDEX(CalLookUpTable,MATCH($B2025,CalLookUpRow,0),MATCH(G$1,CalLookUpColumn,0))</f>
        <v>2019</v>
      </c>
      <c r="H2025">
        <f>INDEX(CalLookUpTable,MATCH($B2025,CalLookUpRow,0),MATCH(H$1,CalLookUpColumn,0))</f>
        <v>1</v>
      </c>
      <c r="I2025">
        <f>INDEX(CalLookUpTable,MATCH($B2025,CalLookUpRow,0),MATCH(I$1,CalLookUpColumn,0))</f>
        <v>4</v>
      </c>
    </row>
    <row r="2026" spans="1:9" x14ac:dyDescent="0.25">
      <c r="A2026" s="7">
        <v>2</v>
      </c>
      <c r="B2026" s="8">
        <v>43490</v>
      </c>
      <c r="C2026" s="9" t="s">
        <v>4</v>
      </c>
      <c r="D2026" s="10">
        <v>2346.8409999999999</v>
      </c>
      <c r="E2026" s="10">
        <v>2937.8649999999998</v>
      </c>
      <c r="F2026" t="str">
        <f>VLOOKUP(A2026,StoreLookup,2,FALSE)</f>
        <v>Store#2</v>
      </c>
      <c r="G2026">
        <f>INDEX(CalLookUpTable,MATCH($B2026,CalLookUpRow,0),MATCH(G$1,CalLookUpColumn,0))</f>
        <v>2019</v>
      </c>
      <c r="H2026">
        <f>INDEX(CalLookUpTable,MATCH($B2026,CalLookUpRow,0),MATCH(H$1,CalLookUpColumn,0))</f>
        <v>1</v>
      </c>
      <c r="I2026">
        <f>INDEX(CalLookUpTable,MATCH($B2026,CalLookUpRow,0),MATCH(I$1,CalLookUpColumn,0))</f>
        <v>4</v>
      </c>
    </row>
    <row r="2027" spans="1:9" x14ac:dyDescent="0.25">
      <c r="A2027" s="7">
        <v>2</v>
      </c>
      <c r="B2027" s="8">
        <v>43490</v>
      </c>
      <c r="C2027" s="9" t="s">
        <v>6</v>
      </c>
      <c r="D2027" s="10">
        <v>412.23699999999997</v>
      </c>
      <c r="E2027" s="10">
        <v>726.18700000000001</v>
      </c>
      <c r="F2027" t="str">
        <f>VLOOKUP(A2027,StoreLookup,2,FALSE)</f>
        <v>Store#2</v>
      </c>
      <c r="G2027">
        <f>INDEX(CalLookUpTable,MATCH($B2027,CalLookUpRow,0),MATCH(G$1,CalLookUpColumn,0))</f>
        <v>2019</v>
      </c>
      <c r="H2027">
        <f>INDEX(CalLookUpTable,MATCH($B2027,CalLookUpRow,0),MATCH(H$1,CalLookUpColumn,0))</f>
        <v>1</v>
      </c>
      <c r="I2027">
        <f>INDEX(CalLookUpTable,MATCH($B2027,CalLookUpRow,0),MATCH(I$1,CalLookUpColumn,0))</f>
        <v>4</v>
      </c>
    </row>
    <row r="2028" spans="1:9" x14ac:dyDescent="0.25">
      <c r="A2028" s="7">
        <v>2</v>
      </c>
      <c r="B2028" s="8">
        <v>43490</v>
      </c>
      <c r="C2028" s="9" t="s">
        <v>3</v>
      </c>
      <c r="D2028" s="10">
        <v>0</v>
      </c>
      <c r="E2028" s="10">
        <v>0</v>
      </c>
      <c r="F2028" t="str">
        <f>VLOOKUP(A2028,StoreLookup,2,FALSE)</f>
        <v>Store#2</v>
      </c>
      <c r="G2028">
        <f>INDEX(CalLookUpTable,MATCH($B2028,CalLookUpRow,0),MATCH(G$1,CalLookUpColumn,0))</f>
        <v>2019</v>
      </c>
      <c r="H2028">
        <f>INDEX(CalLookUpTable,MATCH($B2028,CalLookUpRow,0),MATCH(H$1,CalLookUpColumn,0))</f>
        <v>1</v>
      </c>
      <c r="I2028">
        <f>INDEX(CalLookUpTable,MATCH($B2028,CalLookUpRow,0),MATCH(I$1,CalLookUpColumn,0))</f>
        <v>4</v>
      </c>
    </row>
    <row r="2029" spans="1:9" x14ac:dyDescent="0.25">
      <c r="A2029" s="7">
        <v>2</v>
      </c>
      <c r="B2029" s="8">
        <v>43490</v>
      </c>
      <c r="C2029" s="9" t="s">
        <v>5</v>
      </c>
      <c r="D2029" s="10">
        <v>1217.2929999999999</v>
      </c>
      <c r="E2029" s="10">
        <v>0</v>
      </c>
      <c r="F2029" t="str">
        <f>VLOOKUP(A2029,StoreLookup,2,FALSE)</f>
        <v>Store#2</v>
      </c>
      <c r="G2029">
        <f>INDEX(CalLookUpTable,MATCH($B2029,CalLookUpRow,0),MATCH(G$1,CalLookUpColumn,0))</f>
        <v>2019</v>
      </c>
      <c r="H2029">
        <f>INDEX(CalLookUpTable,MATCH($B2029,CalLookUpRow,0),MATCH(H$1,CalLookUpColumn,0))</f>
        <v>1</v>
      </c>
      <c r="I2029">
        <f>INDEX(CalLookUpTable,MATCH($B2029,CalLookUpRow,0),MATCH(I$1,CalLookUpColumn,0))</f>
        <v>4</v>
      </c>
    </row>
    <row r="2030" spans="1:9" x14ac:dyDescent="0.25">
      <c r="A2030" s="7">
        <v>2</v>
      </c>
      <c r="B2030" s="8">
        <v>43491</v>
      </c>
      <c r="C2030" s="9" t="s">
        <v>3</v>
      </c>
      <c r="D2030" s="10">
        <v>69.384</v>
      </c>
      <c r="E2030" s="10">
        <v>196.93799999999996</v>
      </c>
      <c r="F2030" t="str">
        <f>VLOOKUP(A2030,StoreLookup,2,FALSE)</f>
        <v>Store#2</v>
      </c>
      <c r="G2030">
        <f>INDEX(CalLookUpTable,MATCH($B2030,CalLookUpRow,0),MATCH(G$1,CalLookUpColumn,0))</f>
        <v>2019</v>
      </c>
      <c r="H2030">
        <f>INDEX(CalLookUpTable,MATCH($B2030,CalLookUpRow,0),MATCH(H$1,CalLookUpColumn,0))</f>
        <v>1</v>
      </c>
      <c r="I2030">
        <f>INDEX(CalLookUpTable,MATCH($B2030,CalLookUpRow,0),MATCH(I$1,CalLookUpColumn,0))</f>
        <v>4</v>
      </c>
    </row>
    <row r="2031" spans="1:9" x14ac:dyDescent="0.25">
      <c r="A2031" s="7">
        <v>2</v>
      </c>
      <c r="B2031" s="8">
        <v>43491</v>
      </c>
      <c r="C2031" s="9" t="s">
        <v>5</v>
      </c>
      <c r="D2031" s="10">
        <v>1044.106</v>
      </c>
      <c r="E2031" s="10">
        <v>0</v>
      </c>
      <c r="F2031" t="str">
        <f>VLOOKUP(A2031,StoreLookup,2,FALSE)</f>
        <v>Store#2</v>
      </c>
      <c r="G2031">
        <f>INDEX(CalLookUpTable,MATCH($B2031,CalLookUpRow,0),MATCH(G$1,CalLookUpColumn,0))</f>
        <v>2019</v>
      </c>
      <c r="H2031">
        <f>INDEX(CalLookUpTable,MATCH($B2031,CalLookUpRow,0),MATCH(H$1,CalLookUpColumn,0))</f>
        <v>1</v>
      </c>
      <c r="I2031">
        <f>INDEX(CalLookUpTable,MATCH($B2031,CalLookUpRow,0),MATCH(I$1,CalLookUpColumn,0))</f>
        <v>4</v>
      </c>
    </row>
    <row r="2032" spans="1:9" x14ac:dyDescent="0.25">
      <c r="A2032" s="7">
        <v>2</v>
      </c>
      <c r="B2032" s="8">
        <v>43491</v>
      </c>
      <c r="C2032" s="9" t="s">
        <v>6</v>
      </c>
      <c r="D2032" s="10">
        <v>445.19299999999998</v>
      </c>
      <c r="E2032" s="10">
        <v>488.92899999999997</v>
      </c>
      <c r="F2032" t="str">
        <f>VLOOKUP(A2032,StoreLookup,2,FALSE)</f>
        <v>Store#2</v>
      </c>
      <c r="G2032">
        <f>INDEX(CalLookUpTable,MATCH($B2032,CalLookUpRow,0),MATCH(G$1,CalLookUpColumn,0))</f>
        <v>2019</v>
      </c>
      <c r="H2032">
        <f>INDEX(CalLookUpTable,MATCH($B2032,CalLookUpRow,0),MATCH(H$1,CalLookUpColumn,0))</f>
        <v>1</v>
      </c>
      <c r="I2032">
        <f>INDEX(CalLookUpTable,MATCH($B2032,CalLookUpRow,0),MATCH(I$1,CalLookUpColumn,0))</f>
        <v>4</v>
      </c>
    </row>
    <row r="2033" spans="1:9" x14ac:dyDescent="0.25">
      <c r="A2033" s="7">
        <v>2</v>
      </c>
      <c r="B2033" s="8">
        <v>43491</v>
      </c>
      <c r="C2033" s="9" t="s">
        <v>4</v>
      </c>
      <c r="D2033" s="10">
        <v>2000.6419999999998</v>
      </c>
      <c r="E2033" s="10">
        <v>2478.5320000000002</v>
      </c>
      <c r="F2033" t="str">
        <f>VLOOKUP(A2033,StoreLookup,2,FALSE)</f>
        <v>Store#2</v>
      </c>
      <c r="G2033">
        <f>INDEX(CalLookUpTable,MATCH($B2033,CalLookUpRow,0),MATCH(G$1,CalLookUpColumn,0))</f>
        <v>2019</v>
      </c>
      <c r="H2033">
        <f>INDEX(CalLookUpTable,MATCH($B2033,CalLookUpRow,0),MATCH(H$1,CalLookUpColumn,0))</f>
        <v>1</v>
      </c>
      <c r="I2033">
        <f>INDEX(CalLookUpTable,MATCH($B2033,CalLookUpRow,0),MATCH(I$1,CalLookUpColumn,0))</f>
        <v>4</v>
      </c>
    </row>
    <row r="2034" spans="1:9" x14ac:dyDescent="0.25">
      <c r="A2034" s="7">
        <v>2</v>
      </c>
      <c r="B2034" s="8">
        <v>43492</v>
      </c>
      <c r="C2034" s="9" t="s">
        <v>4</v>
      </c>
      <c r="D2034" s="10">
        <v>968.8</v>
      </c>
      <c r="E2034" s="10">
        <v>1310.1059999999998</v>
      </c>
      <c r="F2034" t="str">
        <f>VLOOKUP(A2034,StoreLookup,2,FALSE)</f>
        <v>Store#2</v>
      </c>
      <c r="G2034">
        <f>INDEX(CalLookUpTable,MATCH($B2034,CalLookUpRow,0),MATCH(G$1,CalLookUpColumn,0))</f>
        <v>2019</v>
      </c>
      <c r="H2034">
        <f>INDEX(CalLookUpTable,MATCH($B2034,CalLookUpRow,0),MATCH(H$1,CalLookUpColumn,0))</f>
        <v>1</v>
      </c>
      <c r="I2034">
        <f>INDEX(CalLookUpTable,MATCH($B2034,CalLookUpRow,0),MATCH(I$1,CalLookUpColumn,0))</f>
        <v>4</v>
      </c>
    </row>
    <row r="2035" spans="1:9" x14ac:dyDescent="0.25">
      <c r="A2035" s="7">
        <v>2</v>
      </c>
      <c r="B2035" s="8">
        <v>43492</v>
      </c>
      <c r="C2035" s="9" t="s">
        <v>3</v>
      </c>
      <c r="D2035" s="10">
        <v>173.43199999999999</v>
      </c>
      <c r="E2035" s="10">
        <v>0</v>
      </c>
      <c r="F2035" t="str">
        <f>VLOOKUP(A2035,StoreLookup,2,FALSE)</f>
        <v>Store#2</v>
      </c>
      <c r="G2035">
        <f>INDEX(CalLookUpTable,MATCH($B2035,CalLookUpRow,0),MATCH(G$1,CalLookUpColumn,0))</f>
        <v>2019</v>
      </c>
      <c r="H2035">
        <f>INDEX(CalLookUpTable,MATCH($B2035,CalLookUpRow,0),MATCH(H$1,CalLookUpColumn,0))</f>
        <v>1</v>
      </c>
      <c r="I2035">
        <f>INDEX(CalLookUpTable,MATCH($B2035,CalLookUpRow,0),MATCH(I$1,CalLookUpColumn,0))</f>
        <v>4</v>
      </c>
    </row>
    <row r="2036" spans="1:9" x14ac:dyDescent="0.25">
      <c r="A2036" s="7">
        <v>2</v>
      </c>
      <c r="B2036" s="8">
        <v>43492</v>
      </c>
      <c r="C2036" s="9" t="s">
        <v>6</v>
      </c>
      <c r="D2036" s="10">
        <v>357.86099999999999</v>
      </c>
      <c r="E2036" s="10">
        <v>349.49599999999998</v>
      </c>
      <c r="F2036" t="str">
        <f>VLOOKUP(A2036,StoreLookup,2,FALSE)</f>
        <v>Store#2</v>
      </c>
      <c r="G2036">
        <f>INDEX(CalLookUpTable,MATCH($B2036,CalLookUpRow,0),MATCH(G$1,CalLookUpColumn,0))</f>
        <v>2019</v>
      </c>
      <c r="H2036">
        <f>INDEX(CalLookUpTable,MATCH($B2036,CalLookUpRow,0),MATCH(H$1,CalLookUpColumn,0))</f>
        <v>1</v>
      </c>
      <c r="I2036">
        <f>INDEX(CalLookUpTable,MATCH($B2036,CalLookUpRow,0),MATCH(I$1,CalLookUpColumn,0))</f>
        <v>4</v>
      </c>
    </row>
    <row r="2037" spans="1:9" x14ac:dyDescent="0.25">
      <c r="A2037" s="7">
        <v>2</v>
      </c>
      <c r="B2037" s="8">
        <v>43492</v>
      </c>
      <c r="C2037" s="9" t="s">
        <v>5</v>
      </c>
      <c r="D2037" s="10">
        <v>613.50800000000004</v>
      </c>
      <c r="E2037" s="10">
        <v>0</v>
      </c>
      <c r="F2037" t="str">
        <f>VLOOKUP(A2037,StoreLookup,2,FALSE)</f>
        <v>Store#2</v>
      </c>
      <c r="G2037">
        <f>INDEX(CalLookUpTable,MATCH($B2037,CalLookUpRow,0),MATCH(G$1,CalLookUpColumn,0))</f>
        <v>2019</v>
      </c>
      <c r="H2037">
        <f>INDEX(CalLookUpTable,MATCH($B2037,CalLookUpRow,0),MATCH(H$1,CalLookUpColumn,0))</f>
        <v>1</v>
      </c>
      <c r="I2037">
        <f>INDEX(CalLookUpTable,MATCH($B2037,CalLookUpRow,0),MATCH(I$1,CalLookUpColumn,0))</f>
        <v>4</v>
      </c>
    </row>
    <row r="2038" spans="1:9" x14ac:dyDescent="0.25">
      <c r="A2038" s="7">
        <v>2</v>
      </c>
      <c r="B2038" s="8">
        <v>43493</v>
      </c>
      <c r="C2038" s="9" t="s">
        <v>3</v>
      </c>
      <c r="D2038" s="10">
        <v>0</v>
      </c>
      <c r="E2038" s="10">
        <v>0</v>
      </c>
      <c r="F2038" t="str">
        <f>VLOOKUP(A2038,StoreLookup,2,FALSE)</f>
        <v>Store#2</v>
      </c>
      <c r="G2038">
        <f>INDEX(CalLookUpTable,MATCH($B2038,CalLookUpRow,0),MATCH(G$1,CalLookUpColumn,0))</f>
        <v>2019</v>
      </c>
      <c r="H2038">
        <f>INDEX(CalLookUpTable,MATCH($B2038,CalLookUpRow,0),MATCH(H$1,CalLookUpColumn,0))</f>
        <v>2</v>
      </c>
      <c r="I2038">
        <f>INDEX(CalLookUpTable,MATCH($B2038,CalLookUpRow,0),MATCH(I$1,CalLookUpColumn,0))</f>
        <v>1</v>
      </c>
    </row>
    <row r="2039" spans="1:9" x14ac:dyDescent="0.25">
      <c r="A2039" s="7">
        <v>2</v>
      </c>
      <c r="B2039" s="8">
        <v>43493</v>
      </c>
      <c r="C2039" s="9" t="s">
        <v>6</v>
      </c>
      <c r="D2039" s="10">
        <v>166.761</v>
      </c>
      <c r="E2039" s="10">
        <v>160.41899999999998</v>
      </c>
      <c r="F2039" t="str">
        <f>VLOOKUP(A2039,StoreLookup,2,FALSE)</f>
        <v>Store#2</v>
      </c>
      <c r="G2039">
        <f>INDEX(CalLookUpTable,MATCH($B2039,CalLookUpRow,0),MATCH(G$1,CalLookUpColumn,0))</f>
        <v>2019</v>
      </c>
      <c r="H2039">
        <f>INDEX(CalLookUpTable,MATCH($B2039,CalLookUpRow,0),MATCH(H$1,CalLookUpColumn,0))</f>
        <v>2</v>
      </c>
      <c r="I2039">
        <f>INDEX(CalLookUpTable,MATCH($B2039,CalLookUpRow,0),MATCH(I$1,CalLookUpColumn,0))</f>
        <v>1</v>
      </c>
    </row>
    <row r="2040" spans="1:9" x14ac:dyDescent="0.25">
      <c r="A2040" s="7">
        <v>2</v>
      </c>
      <c r="B2040" s="8">
        <v>43493</v>
      </c>
      <c r="C2040" s="9" t="s">
        <v>5</v>
      </c>
      <c r="D2040" s="10">
        <v>750.09199999999987</v>
      </c>
      <c r="E2040" s="10">
        <v>0</v>
      </c>
      <c r="F2040" t="str">
        <f>VLOOKUP(A2040,StoreLookup,2,FALSE)</f>
        <v>Store#2</v>
      </c>
      <c r="G2040">
        <f>INDEX(CalLookUpTable,MATCH($B2040,CalLookUpRow,0),MATCH(G$1,CalLookUpColumn,0))</f>
        <v>2019</v>
      </c>
      <c r="H2040">
        <f>INDEX(CalLookUpTable,MATCH($B2040,CalLookUpRow,0),MATCH(H$1,CalLookUpColumn,0))</f>
        <v>2</v>
      </c>
      <c r="I2040">
        <f>INDEX(CalLookUpTable,MATCH($B2040,CalLookUpRow,0),MATCH(I$1,CalLookUpColumn,0))</f>
        <v>1</v>
      </c>
    </row>
    <row r="2041" spans="1:9" x14ac:dyDescent="0.25">
      <c r="A2041" s="7">
        <v>2</v>
      </c>
      <c r="B2041" s="8">
        <v>43493</v>
      </c>
      <c r="C2041" s="9" t="s">
        <v>4</v>
      </c>
      <c r="D2041" s="10">
        <v>1475.271</v>
      </c>
      <c r="E2041" s="10">
        <v>1484.8609999999999</v>
      </c>
      <c r="F2041" t="str">
        <f>VLOOKUP(A2041,StoreLookup,2,FALSE)</f>
        <v>Store#2</v>
      </c>
      <c r="G2041">
        <f>INDEX(CalLookUpTable,MATCH($B2041,CalLookUpRow,0),MATCH(G$1,CalLookUpColumn,0))</f>
        <v>2019</v>
      </c>
      <c r="H2041">
        <f>INDEX(CalLookUpTable,MATCH($B2041,CalLookUpRow,0),MATCH(H$1,CalLookUpColumn,0))</f>
        <v>2</v>
      </c>
      <c r="I2041">
        <f>INDEX(CalLookUpTable,MATCH($B2041,CalLookUpRow,0),MATCH(I$1,CalLookUpColumn,0))</f>
        <v>1</v>
      </c>
    </row>
    <row r="2042" spans="1:9" x14ac:dyDescent="0.25">
      <c r="A2042" s="7">
        <v>2</v>
      </c>
      <c r="B2042" s="8">
        <v>43494</v>
      </c>
      <c r="C2042" s="9" t="s">
        <v>4</v>
      </c>
      <c r="D2042" s="10">
        <v>1781.0869999999998</v>
      </c>
      <c r="E2042" s="10">
        <v>1880.3820000000001</v>
      </c>
      <c r="F2042" t="str">
        <f>VLOOKUP(A2042,StoreLookup,2,FALSE)</f>
        <v>Store#2</v>
      </c>
      <c r="G2042">
        <f>INDEX(CalLookUpTable,MATCH($B2042,CalLookUpRow,0),MATCH(G$1,CalLookUpColumn,0))</f>
        <v>2019</v>
      </c>
      <c r="H2042">
        <f>INDEX(CalLookUpTable,MATCH($B2042,CalLookUpRow,0),MATCH(H$1,CalLookUpColumn,0))</f>
        <v>2</v>
      </c>
      <c r="I2042">
        <f>INDEX(CalLookUpTable,MATCH($B2042,CalLookUpRow,0),MATCH(I$1,CalLookUpColumn,0))</f>
        <v>1</v>
      </c>
    </row>
    <row r="2043" spans="1:9" x14ac:dyDescent="0.25">
      <c r="A2043" s="7">
        <v>2</v>
      </c>
      <c r="B2043" s="8">
        <v>43494</v>
      </c>
      <c r="C2043" s="9" t="s">
        <v>3</v>
      </c>
      <c r="D2043" s="10">
        <v>0</v>
      </c>
      <c r="E2043" s="10">
        <v>361.95600000000002</v>
      </c>
      <c r="F2043" t="str">
        <f>VLOOKUP(A2043,StoreLookup,2,FALSE)</f>
        <v>Store#2</v>
      </c>
      <c r="G2043">
        <f>INDEX(CalLookUpTable,MATCH($B2043,CalLookUpRow,0),MATCH(G$1,CalLookUpColumn,0))</f>
        <v>2019</v>
      </c>
      <c r="H2043">
        <f>INDEX(CalLookUpTable,MATCH($B2043,CalLookUpRow,0),MATCH(H$1,CalLookUpColumn,0))</f>
        <v>2</v>
      </c>
      <c r="I2043">
        <f>INDEX(CalLookUpTable,MATCH($B2043,CalLookUpRow,0),MATCH(I$1,CalLookUpColumn,0))</f>
        <v>1</v>
      </c>
    </row>
    <row r="2044" spans="1:9" x14ac:dyDescent="0.25">
      <c r="A2044" s="7">
        <v>2</v>
      </c>
      <c r="B2044" s="8">
        <v>43494</v>
      </c>
      <c r="C2044" s="9" t="s">
        <v>6</v>
      </c>
      <c r="D2044" s="10">
        <v>338.95400000000001</v>
      </c>
      <c r="E2044" s="10">
        <v>499.62499999999994</v>
      </c>
      <c r="F2044" t="str">
        <f>VLOOKUP(A2044,StoreLookup,2,FALSE)</f>
        <v>Store#2</v>
      </c>
      <c r="G2044">
        <f>INDEX(CalLookUpTable,MATCH($B2044,CalLookUpRow,0),MATCH(G$1,CalLookUpColumn,0))</f>
        <v>2019</v>
      </c>
      <c r="H2044">
        <f>INDEX(CalLookUpTable,MATCH($B2044,CalLookUpRow,0),MATCH(H$1,CalLookUpColumn,0))</f>
        <v>2</v>
      </c>
      <c r="I2044">
        <f>INDEX(CalLookUpTable,MATCH($B2044,CalLookUpRow,0),MATCH(I$1,CalLookUpColumn,0))</f>
        <v>1</v>
      </c>
    </row>
    <row r="2045" spans="1:9" x14ac:dyDescent="0.25">
      <c r="A2045" s="7">
        <v>2</v>
      </c>
      <c r="B2045" s="8">
        <v>43494</v>
      </c>
      <c r="C2045" s="9" t="s">
        <v>5</v>
      </c>
      <c r="D2045" s="10">
        <v>838.572</v>
      </c>
      <c r="E2045" s="10">
        <v>0</v>
      </c>
      <c r="F2045" t="str">
        <f>VLOOKUP(A2045,StoreLookup,2,FALSE)</f>
        <v>Store#2</v>
      </c>
      <c r="G2045">
        <f>INDEX(CalLookUpTable,MATCH($B2045,CalLookUpRow,0),MATCH(G$1,CalLookUpColumn,0))</f>
        <v>2019</v>
      </c>
      <c r="H2045">
        <f>INDEX(CalLookUpTable,MATCH($B2045,CalLookUpRow,0),MATCH(H$1,CalLookUpColumn,0))</f>
        <v>2</v>
      </c>
      <c r="I2045">
        <f>INDEX(CalLookUpTable,MATCH($B2045,CalLookUpRow,0),MATCH(I$1,CalLookUpColumn,0))</f>
        <v>1</v>
      </c>
    </row>
    <row r="2046" spans="1:9" x14ac:dyDescent="0.25">
      <c r="A2046" s="7">
        <v>2</v>
      </c>
      <c r="B2046" s="8">
        <v>43495</v>
      </c>
      <c r="C2046" s="9" t="s">
        <v>5</v>
      </c>
      <c r="D2046" s="10">
        <v>896.97299999999996</v>
      </c>
      <c r="E2046" s="10">
        <v>0</v>
      </c>
      <c r="F2046" t="str">
        <f>VLOOKUP(A2046,StoreLookup,2,FALSE)</f>
        <v>Store#2</v>
      </c>
      <c r="G2046">
        <f>INDEX(CalLookUpTable,MATCH($B2046,CalLookUpRow,0),MATCH(G$1,CalLookUpColumn,0))</f>
        <v>2019</v>
      </c>
      <c r="H2046">
        <f>INDEX(CalLookUpTable,MATCH($B2046,CalLookUpRow,0),MATCH(H$1,CalLookUpColumn,0))</f>
        <v>2</v>
      </c>
      <c r="I2046">
        <f>INDEX(CalLookUpTable,MATCH($B2046,CalLookUpRow,0),MATCH(I$1,CalLookUpColumn,0))</f>
        <v>1</v>
      </c>
    </row>
    <row r="2047" spans="1:9" x14ac:dyDescent="0.25">
      <c r="A2047" s="7">
        <v>2</v>
      </c>
      <c r="B2047" s="8">
        <v>43495</v>
      </c>
      <c r="C2047" s="9" t="s">
        <v>4</v>
      </c>
      <c r="D2047" s="10">
        <v>1445.941</v>
      </c>
      <c r="E2047" s="10">
        <v>1725.5630000000001</v>
      </c>
      <c r="F2047" t="str">
        <f>VLOOKUP(A2047,StoreLookup,2,FALSE)</f>
        <v>Store#2</v>
      </c>
      <c r="G2047">
        <f>INDEX(CalLookUpTable,MATCH($B2047,CalLookUpRow,0),MATCH(G$1,CalLookUpColumn,0))</f>
        <v>2019</v>
      </c>
      <c r="H2047">
        <f>INDEX(CalLookUpTable,MATCH($B2047,CalLookUpRow,0),MATCH(H$1,CalLookUpColumn,0))</f>
        <v>2</v>
      </c>
      <c r="I2047">
        <f>INDEX(CalLookUpTable,MATCH($B2047,CalLookUpRow,0),MATCH(I$1,CalLookUpColumn,0))</f>
        <v>1</v>
      </c>
    </row>
    <row r="2048" spans="1:9" x14ac:dyDescent="0.25">
      <c r="A2048" s="7">
        <v>2</v>
      </c>
      <c r="B2048" s="8">
        <v>43495</v>
      </c>
      <c r="C2048" s="9" t="s">
        <v>6</v>
      </c>
      <c r="D2048" s="10">
        <v>388.17799999999994</v>
      </c>
      <c r="E2048" s="10">
        <v>393.16899999999993</v>
      </c>
      <c r="F2048" t="str">
        <f>VLOOKUP(A2048,StoreLookup,2,FALSE)</f>
        <v>Store#2</v>
      </c>
      <c r="G2048">
        <f>INDEX(CalLookUpTable,MATCH($B2048,CalLookUpRow,0),MATCH(G$1,CalLookUpColumn,0))</f>
        <v>2019</v>
      </c>
      <c r="H2048">
        <f>INDEX(CalLookUpTable,MATCH($B2048,CalLookUpRow,0),MATCH(H$1,CalLookUpColumn,0))</f>
        <v>2</v>
      </c>
      <c r="I2048">
        <f>INDEX(CalLookUpTable,MATCH($B2048,CalLookUpRow,0),MATCH(I$1,CalLookUpColumn,0))</f>
        <v>1</v>
      </c>
    </row>
    <row r="2049" spans="1:9" x14ac:dyDescent="0.25">
      <c r="A2049" s="7">
        <v>2</v>
      </c>
      <c r="B2049" s="8">
        <v>43495</v>
      </c>
      <c r="C2049" s="9" t="s">
        <v>3</v>
      </c>
      <c r="D2049" s="10">
        <v>0</v>
      </c>
      <c r="E2049" s="10">
        <v>326.57799999999997</v>
      </c>
      <c r="F2049" t="str">
        <f>VLOOKUP(A2049,StoreLookup,2,FALSE)</f>
        <v>Store#2</v>
      </c>
      <c r="G2049">
        <f>INDEX(CalLookUpTable,MATCH($B2049,CalLookUpRow,0),MATCH(G$1,CalLookUpColumn,0))</f>
        <v>2019</v>
      </c>
      <c r="H2049">
        <f>INDEX(CalLookUpTable,MATCH($B2049,CalLookUpRow,0),MATCH(H$1,CalLookUpColumn,0))</f>
        <v>2</v>
      </c>
      <c r="I2049">
        <f>INDEX(CalLookUpTable,MATCH($B2049,CalLookUpRow,0),MATCH(I$1,CalLookUpColumn,0))</f>
        <v>1</v>
      </c>
    </row>
    <row r="2050" spans="1:9" x14ac:dyDescent="0.25">
      <c r="A2050" s="7">
        <v>2</v>
      </c>
      <c r="B2050" s="8">
        <v>43496</v>
      </c>
      <c r="C2050" s="9" t="s">
        <v>4</v>
      </c>
      <c r="D2050" s="10">
        <v>2028.502</v>
      </c>
      <c r="E2050" s="10">
        <v>2190.0619999999999</v>
      </c>
      <c r="F2050" t="str">
        <f>VLOOKUP(A2050,StoreLookup,2,FALSE)</f>
        <v>Store#2</v>
      </c>
      <c r="G2050">
        <f>INDEX(CalLookUpTable,MATCH($B2050,CalLookUpRow,0),MATCH(G$1,CalLookUpColumn,0))</f>
        <v>2019</v>
      </c>
      <c r="H2050">
        <f>INDEX(CalLookUpTable,MATCH($B2050,CalLookUpRow,0),MATCH(H$1,CalLookUpColumn,0))</f>
        <v>2</v>
      </c>
      <c r="I2050">
        <f>INDEX(CalLookUpTable,MATCH($B2050,CalLookUpRow,0),MATCH(I$1,CalLookUpColumn,0))</f>
        <v>1</v>
      </c>
    </row>
    <row r="2051" spans="1:9" x14ac:dyDescent="0.25">
      <c r="A2051" s="7">
        <v>2</v>
      </c>
      <c r="B2051" s="8">
        <v>43496</v>
      </c>
      <c r="C2051" s="9" t="s">
        <v>5</v>
      </c>
      <c r="D2051" s="10">
        <v>884.0089999999999</v>
      </c>
      <c r="E2051" s="10">
        <v>0</v>
      </c>
      <c r="F2051" t="str">
        <f>VLOOKUP(A2051,StoreLookup,2,FALSE)</f>
        <v>Store#2</v>
      </c>
      <c r="G2051">
        <f>INDEX(CalLookUpTable,MATCH($B2051,CalLookUpRow,0),MATCH(G$1,CalLookUpColumn,0))</f>
        <v>2019</v>
      </c>
      <c r="H2051">
        <f>INDEX(CalLookUpTable,MATCH($B2051,CalLookUpRow,0),MATCH(H$1,CalLookUpColumn,0))</f>
        <v>2</v>
      </c>
      <c r="I2051">
        <f>INDEX(CalLookUpTable,MATCH($B2051,CalLookUpRow,0),MATCH(I$1,CalLookUpColumn,0))</f>
        <v>1</v>
      </c>
    </row>
    <row r="2052" spans="1:9" x14ac:dyDescent="0.25">
      <c r="A2052" s="7">
        <v>2</v>
      </c>
      <c r="B2052" s="8">
        <v>43496</v>
      </c>
      <c r="C2052" s="9" t="s">
        <v>3</v>
      </c>
      <c r="D2052" s="10">
        <v>0</v>
      </c>
      <c r="E2052" s="10">
        <v>0</v>
      </c>
      <c r="F2052" t="str">
        <f>VLOOKUP(A2052,StoreLookup,2,FALSE)</f>
        <v>Store#2</v>
      </c>
      <c r="G2052">
        <f>INDEX(CalLookUpTable,MATCH($B2052,CalLookUpRow,0),MATCH(G$1,CalLookUpColumn,0))</f>
        <v>2019</v>
      </c>
      <c r="H2052">
        <f>INDEX(CalLookUpTable,MATCH($B2052,CalLookUpRow,0),MATCH(H$1,CalLookUpColumn,0))</f>
        <v>2</v>
      </c>
      <c r="I2052">
        <f>INDEX(CalLookUpTable,MATCH($B2052,CalLookUpRow,0),MATCH(I$1,CalLookUpColumn,0))</f>
        <v>1</v>
      </c>
    </row>
    <row r="2053" spans="1:9" x14ac:dyDescent="0.25">
      <c r="A2053" s="7">
        <v>2</v>
      </c>
      <c r="B2053" s="8">
        <v>43496</v>
      </c>
      <c r="C2053" s="9" t="s">
        <v>6</v>
      </c>
      <c r="D2053" s="10">
        <v>302.834</v>
      </c>
      <c r="E2053" s="10">
        <v>488.06799999999998</v>
      </c>
      <c r="F2053" t="str">
        <f>VLOOKUP(A2053,StoreLookup,2,FALSE)</f>
        <v>Store#2</v>
      </c>
      <c r="G2053">
        <f>INDEX(CalLookUpTable,MATCH($B2053,CalLookUpRow,0),MATCH(G$1,CalLookUpColumn,0))</f>
        <v>2019</v>
      </c>
      <c r="H2053">
        <f>INDEX(CalLookUpTable,MATCH($B2053,CalLookUpRow,0),MATCH(H$1,CalLookUpColumn,0))</f>
        <v>2</v>
      </c>
      <c r="I2053">
        <f>INDEX(CalLookUpTable,MATCH($B2053,CalLookUpRow,0),MATCH(I$1,CalLookUpColumn,0))</f>
        <v>1</v>
      </c>
    </row>
    <row r="2054" spans="1:9" x14ac:dyDescent="0.25">
      <c r="A2054" s="7">
        <v>2</v>
      </c>
      <c r="B2054" s="8">
        <v>43497</v>
      </c>
      <c r="C2054" s="9" t="s">
        <v>4</v>
      </c>
      <c r="D2054" s="10">
        <v>2148.7759999999998</v>
      </c>
      <c r="E2054" s="10">
        <v>2803.9619999999995</v>
      </c>
      <c r="F2054" t="str">
        <f>VLOOKUP(A2054,StoreLookup,2,FALSE)</f>
        <v>Store#2</v>
      </c>
      <c r="G2054">
        <f>INDEX(CalLookUpTable,MATCH($B2054,CalLookUpRow,0),MATCH(G$1,CalLookUpColumn,0))</f>
        <v>2019</v>
      </c>
      <c r="H2054">
        <f>INDEX(CalLookUpTable,MATCH($B2054,CalLookUpRow,0),MATCH(H$1,CalLookUpColumn,0))</f>
        <v>2</v>
      </c>
      <c r="I2054">
        <f>INDEX(CalLookUpTable,MATCH($B2054,CalLookUpRow,0),MATCH(I$1,CalLookUpColumn,0))</f>
        <v>1</v>
      </c>
    </row>
    <row r="2055" spans="1:9" x14ac:dyDescent="0.25">
      <c r="A2055" s="7">
        <v>2</v>
      </c>
      <c r="B2055" s="8">
        <v>43497</v>
      </c>
      <c r="C2055" s="9" t="s">
        <v>3</v>
      </c>
      <c r="D2055" s="10">
        <v>0</v>
      </c>
      <c r="E2055" s="10">
        <v>419.15299999999996</v>
      </c>
      <c r="F2055" t="str">
        <f>VLOOKUP(A2055,StoreLookup,2,FALSE)</f>
        <v>Store#2</v>
      </c>
      <c r="G2055">
        <f>INDEX(CalLookUpTable,MATCH($B2055,CalLookUpRow,0),MATCH(G$1,CalLookUpColumn,0))</f>
        <v>2019</v>
      </c>
      <c r="H2055">
        <f>INDEX(CalLookUpTable,MATCH($B2055,CalLookUpRow,0),MATCH(H$1,CalLookUpColumn,0))</f>
        <v>2</v>
      </c>
      <c r="I2055">
        <f>INDEX(CalLookUpTable,MATCH($B2055,CalLookUpRow,0),MATCH(I$1,CalLookUpColumn,0))</f>
        <v>1</v>
      </c>
    </row>
    <row r="2056" spans="1:9" x14ac:dyDescent="0.25">
      <c r="A2056" s="7">
        <v>2</v>
      </c>
      <c r="B2056" s="8">
        <v>43497</v>
      </c>
      <c r="C2056" s="9" t="s">
        <v>5</v>
      </c>
      <c r="D2056" s="10">
        <v>1137.8429999999998</v>
      </c>
      <c r="E2056" s="10">
        <v>0</v>
      </c>
      <c r="F2056" t="str">
        <f>VLOOKUP(A2056,StoreLookup,2,FALSE)</f>
        <v>Store#2</v>
      </c>
      <c r="G2056">
        <f>INDEX(CalLookUpTable,MATCH($B2056,CalLookUpRow,0),MATCH(G$1,CalLookUpColumn,0))</f>
        <v>2019</v>
      </c>
      <c r="H2056">
        <f>INDEX(CalLookUpTable,MATCH($B2056,CalLookUpRow,0),MATCH(H$1,CalLookUpColumn,0))</f>
        <v>2</v>
      </c>
      <c r="I2056">
        <f>INDEX(CalLookUpTable,MATCH($B2056,CalLookUpRow,0),MATCH(I$1,CalLookUpColumn,0))</f>
        <v>1</v>
      </c>
    </row>
    <row r="2057" spans="1:9" x14ac:dyDescent="0.25">
      <c r="A2057" s="7">
        <v>2</v>
      </c>
      <c r="B2057" s="8">
        <v>43497</v>
      </c>
      <c r="C2057" s="9" t="s">
        <v>6</v>
      </c>
      <c r="D2057" s="10">
        <v>505.988</v>
      </c>
      <c r="E2057" s="10">
        <v>515.09500000000003</v>
      </c>
      <c r="F2057" t="str">
        <f>VLOOKUP(A2057,StoreLookup,2,FALSE)</f>
        <v>Store#2</v>
      </c>
      <c r="G2057">
        <f>INDEX(CalLookUpTable,MATCH($B2057,CalLookUpRow,0),MATCH(G$1,CalLookUpColumn,0))</f>
        <v>2019</v>
      </c>
      <c r="H2057">
        <f>INDEX(CalLookUpTable,MATCH($B2057,CalLookUpRow,0),MATCH(H$1,CalLookUpColumn,0))</f>
        <v>2</v>
      </c>
      <c r="I2057">
        <f>INDEX(CalLookUpTable,MATCH($B2057,CalLookUpRow,0),MATCH(I$1,CalLookUpColumn,0))</f>
        <v>1</v>
      </c>
    </row>
    <row r="2058" spans="1:9" x14ac:dyDescent="0.25">
      <c r="A2058" s="7">
        <v>2</v>
      </c>
      <c r="B2058" s="8">
        <v>43498</v>
      </c>
      <c r="C2058" s="9" t="s">
        <v>5</v>
      </c>
      <c r="D2058" s="10">
        <v>866.92200000000003</v>
      </c>
      <c r="E2058" s="10">
        <v>0</v>
      </c>
      <c r="F2058" t="str">
        <f>VLOOKUP(A2058,StoreLookup,2,FALSE)</f>
        <v>Store#2</v>
      </c>
      <c r="G2058">
        <f>INDEX(CalLookUpTable,MATCH($B2058,CalLookUpRow,0),MATCH(G$1,CalLookUpColumn,0))</f>
        <v>2019</v>
      </c>
      <c r="H2058">
        <f>INDEX(CalLookUpTable,MATCH($B2058,CalLookUpRow,0),MATCH(H$1,CalLookUpColumn,0))</f>
        <v>2</v>
      </c>
      <c r="I2058">
        <f>INDEX(CalLookUpTable,MATCH($B2058,CalLookUpRow,0),MATCH(I$1,CalLookUpColumn,0))</f>
        <v>1</v>
      </c>
    </row>
    <row r="2059" spans="1:9" x14ac:dyDescent="0.25">
      <c r="A2059" s="7">
        <v>2</v>
      </c>
      <c r="B2059" s="8">
        <v>43498</v>
      </c>
      <c r="C2059" s="9" t="s">
        <v>6</v>
      </c>
      <c r="D2059" s="10">
        <v>319.137</v>
      </c>
      <c r="E2059" s="10">
        <v>497.16799999999995</v>
      </c>
      <c r="F2059" t="str">
        <f>VLOOKUP(A2059,StoreLookup,2,FALSE)</f>
        <v>Store#2</v>
      </c>
      <c r="G2059">
        <f>INDEX(CalLookUpTable,MATCH($B2059,CalLookUpRow,0),MATCH(G$1,CalLookUpColumn,0))</f>
        <v>2019</v>
      </c>
      <c r="H2059">
        <f>INDEX(CalLookUpTable,MATCH($B2059,CalLookUpRow,0),MATCH(H$1,CalLookUpColumn,0))</f>
        <v>2</v>
      </c>
      <c r="I2059">
        <f>INDEX(CalLookUpTable,MATCH($B2059,CalLookUpRow,0),MATCH(I$1,CalLookUpColumn,0))</f>
        <v>1</v>
      </c>
    </row>
    <row r="2060" spans="1:9" x14ac:dyDescent="0.25">
      <c r="A2060" s="7">
        <v>2</v>
      </c>
      <c r="B2060" s="8">
        <v>43498</v>
      </c>
      <c r="C2060" s="9" t="s">
        <v>3</v>
      </c>
      <c r="D2060" s="10">
        <v>0</v>
      </c>
      <c r="E2060" s="10">
        <v>0</v>
      </c>
      <c r="F2060" t="str">
        <f>VLOOKUP(A2060,StoreLookup,2,FALSE)</f>
        <v>Store#2</v>
      </c>
      <c r="G2060">
        <f>INDEX(CalLookUpTable,MATCH($B2060,CalLookUpRow,0),MATCH(G$1,CalLookUpColumn,0))</f>
        <v>2019</v>
      </c>
      <c r="H2060">
        <f>INDEX(CalLookUpTable,MATCH($B2060,CalLookUpRow,0),MATCH(H$1,CalLookUpColumn,0))</f>
        <v>2</v>
      </c>
      <c r="I2060">
        <f>INDEX(CalLookUpTable,MATCH($B2060,CalLookUpRow,0),MATCH(I$1,CalLookUpColumn,0))</f>
        <v>1</v>
      </c>
    </row>
    <row r="2061" spans="1:9" x14ac:dyDescent="0.25">
      <c r="A2061" s="7">
        <v>2</v>
      </c>
      <c r="B2061" s="8">
        <v>43498</v>
      </c>
      <c r="C2061" s="9" t="s">
        <v>4</v>
      </c>
      <c r="D2061" s="10">
        <v>2295.538</v>
      </c>
      <c r="E2061" s="10">
        <v>3021.4589999999998</v>
      </c>
      <c r="F2061" t="str">
        <f>VLOOKUP(A2061,StoreLookup,2,FALSE)</f>
        <v>Store#2</v>
      </c>
      <c r="G2061">
        <f>INDEX(CalLookUpTable,MATCH($B2061,CalLookUpRow,0),MATCH(G$1,CalLookUpColumn,0))</f>
        <v>2019</v>
      </c>
      <c r="H2061">
        <f>INDEX(CalLookUpTable,MATCH($B2061,CalLookUpRow,0),MATCH(H$1,CalLookUpColumn,0))</f>
        <v>2</v>
      </c>
      <c r="I2061">
        <f>INDEX(CalLookUpTable,MATCH($B2061,CalLookUpRow,0),MATCH(I$1,CalLookUpColumn,0))</f>
        <v>1</v>
      </c>
    </row>
    <row r="2062" spans="1:9" x14ac:dyDescent="0.25">
      <c r="A2062" s="7">
        <v>2</v>
      </c>
      <c r="B2062" s="8">
        <v>43499</v>
      </c>
      <c r="C2062" s="9" t="s">
        <v>3</v>
      </c>
      <c r="D2062" s="10">
        <v>0</v>
      </c>
      <c r="E2062" s="10">
        <v>275.16299999999995</v>
      </c>
      <c r="F2062" t="str">
        <f>VLOOKUP(A2062,StoreLookup,2,FALSE)</f>
        <v>Store#2</v>
      </c>
      <c r="G2062">
        <f>INDEX(CalLookUpTable,MATCH($B2062,CalLookUpRow,0),MATCH(G$1,CalLookUpColumn,0))</f>
        <v>2019</v>
      </c>
      <c r="H2062">
        <f>INDEX(CalLookUpTable,MATCH($B2062,CalLookUpRow,0),MATCH(H$1,CalLookUpColumn,0))</f>
        <v>2</v>
      </c>
      <c r="I2062">
        <f>INDEX(CalLookUpTable,MATCH($B2062,CalLookUpRow,0),MATCH(I$1,CalLookUpColumn,0))</f>
        <v>1</v>
      </c>
    </row>
    <row r="2063" spans="1:9" x14ac:dyDescent="0.25">
      <c r="A2063" s="7">
        <v>2</v>
      </c>
      <c r="B2063" s="8">
        <v>43499</v>
      </c>
      <c r="C2063" s="9" t="s">
        <v>5</v>
      </c>
      <c r="D2063" s="10">
        <v>487.19299999999998</v>
      </c>
      <c r="E2063" s="10">
        <v>0</v>
      </c>
      <c r="F2063" t="str">
        <f>VLOOKUP(A2063,StoreLookup,2,FALSE)</f>
        <v>Store#2</v>
      </c>
      <c r="G2063">
        <f>INDEX(CalLookUpTable,MATCH($B2063,CalLookUpRow,0),MATCH(G$1,CalLookUpColumn,0))</f>
        <v>2019</v>
      </c>
      <c r="H2063">
        <f>INDEX(CalLookUpTable,MATCH($B2063,CalLookUpRow,0),MATCH(H$1,CalLookUpColumn,0))</f>
        <v>2</v>
      </c>
      <c r="I2063">
        <f>INDEX(CalLookUpTable,MATCH($B2063,CalLookUpRow,0),MATCH(I$1,CalLookUpColumn,0))</f>
        <v>1</v>
      </c>
    </row>
    <row r="2064" spans="1:9" x14ac:dyDescent="0.25">
      <c r="A2064" s="7">
        <v>2</v>
      </c>
      <c r="B2064" s="8">
        <v>43499</v>
      </c>
      <c r="C2064" s="9" t="s">
        <v>6</v>
      </c>
      <c r="D2064" s="10">
        <v>167.97899999999998</v>
      </c>
      <c r="E2064" s="10">
        <v>289.142</v>
      </c>
      <c r="F2064" t="str">
        <f>VLOOKUP(A2064,StoreLookup,2,FALSE)</f>
        <v>Store#2</v>
      </c>
      <c r="G2064">
        <f>INDEX(CalLookUpTable,MATCH($B2064,CalLookUpRow,0),MATCH(G$1,CalLookUpColumn,0))</f>
        <v>2019</v>
      </c>
      <c r="H2064">
        <f>INDEX(CalLookUpTable,MATCH($B2064,CalLookUpRow,0),MATCH(H$1,CalLookUpColumn,0))</f>
        <v>2</v>
      </c>
      <c r="I2064">
        <f>INDEX(CalLookUpTable,MATCH($B2064,CalLookUpRow,0),MATCH(I$1,CalLookUpColumn,0))</f>
        <v>1</v>
      </c>
    </row>
    <row r="2065" spans="1:9" x14ac:dyDescent="0.25">
      <c r="A2065" s="7">
        <v>2</v>
      </c>
      <c r="B2065" s="8">
        <v>43499</v>
      </c>
      <c r="C2065" s="9" t="s">
        <v>4</v>
      </c>
      <c r="D2065" s="10">
        <v>705.1099999999999</v>
      </c>
      <c r="E2065" s="10">
        <v>1375.3389999999999</v>
      </c>
      <c r="F2065" t="str">
        <f>VLOOKUP(A2065,StoreLookup,2,FALSE)</f>
        <v>Store#2</v>
      </c>
      <c r="G2065">
        <f>INDEX(CalLookUpTable,MATCH($B2065,CalLookUpRow,0),MATCH(G$1,CalLookUpColumn,0))</f>
        <v>2019</v>
      </c>
      <c r="H2065">
        <f>INDEX(CalLookUpTable,MATCH($B2065,CalLookUpRow,0),MATCH(H$1,CalLookUpColumn,0))</f>
        <v>2</v>
      </c>
      <c r="I2065">
        <f>INDEX(CalLookUpTable,MATCH($B2065,CalLookUpRow,0),MATCH(I$1,CalLookUpColumn,0))</f>
        <v>1</v>
      </c>
    </row>
    <row r="2066" spans="1:9" x14ac:dyDescent="0.25">
      <c r="A2066" s="7">
        <v>2</v>
      </c>
      <c r="B2066" s="8">
        <v>43500</v>
      </c>
      <c r="C2066" s="9" t="s">
        <v>3</v>
      </c>
      <c r="D2066" s="10">
        <v>0</v>
      </c>
      <c r="E2066" s="10">
        <v>0</v>
      </c>
      <c r="F2066" t="str">
        <f>VLOOKUP(A2066,StoreLookup,2,FALSE)</f>
        <v>Store#2</v>
      </c>
      <c r="G2066">
        <f>INDEX(CalLookUpTable,MATCH($B2066,CalLookUpRow,0),MATCH(G$1,CalLookUpColumn,0))</f>
        <v>2019</v>
      </c>
      <c r="H2066">
        <f>INDEX(CalLookUpTable,MATCH($B2066,CalLookUpRow,0),MATCH(H$1,CalLookUpColumn,0))</f>
        <v>2</v>
      </c>
      <c r="I2066">
        <f>INDEX(CalLookUpTable,MATCH($B2066,CalLookUpRow,0),MATCH(I$1,CalLookUpColumn,0))</f>
        <v>2</v>
      </c>
    </row>
    <row r="2067" spans="1:9" x14ac:dyDescent="0.25">
      <c r="A2067" s="7">
        <v>2</v>
      </c>
      <c r="B2067" s="8">
        <v>43500</v>
      </c>
      <c r="C2067" s="9" t="s">
        <v>5</v>
      </c>
      <c r="D2067" s="10">
        <v>827.09199999999987</v>
      </c>
      <c r="E2067" s="10">
        <v>0</v>
      </c>
      <c r="F2067" t="str">
        <f>VLOOKUP(A2067,StoreLookup,2,FALSE)</f>
        <v>Store#2</v>
      </c>
      <c r="G2067">
        <f>INDEX(CalLookUpTable,MATCH($B2067,CalLookUpRow,0),MATCH(G$1,CalLookUpColumn,0))</f>
        <v>2019</v>
      </c>
      <c r="H2067">
        <f>INDEX(CalLookUpTable,MATCH($B2067,CalLookUpRow,0),MATCH(H$1,CalLookUpColumn,0))</f>
        <v>2</v>
      </c>
      <c r="I2067">
        <f>INDEX(CalLookUpTable,MATCH($B2067,CalLookUpRow,0),MATCH(I$1,CalLookUpColumn,0))</f>
        <v>2</v>
      </c>
    </row>
    <row r="2068" spans="1:9" x14ac:dyDescent="0.25">
      <c r="A2068" s="7">
        <v>2</v>
      </c>
      <c r="B2068" s="8">
        <v>43500</v>
      </c>
      <c r="C2068" s="9" t="s">
        <v>6</v>
      </c>
      <c r="D2068" s="10">
        <v>110.922</v>
      </c>
      <c r="E2068" s="10">
        <v>315.32900000000001</v>
      </c>
      <c r="F2068" t="str">
        <f>VLOOKUP(A2068,StoreLookup,2,FALSE)</f>
        <v>Store#2</v>
      </c>
      <c r="G2068">
        <f>INDEX(CalLookUpTable,MATCH($B2068,CalLookUpRow,0),MATCH(G$1,CalLookUpColumn,0))</f>
        <v>2019</v>
      </c>
      <c r="H2068">
        <f>INDEX(CalLookUpTable,MATCH($B2068,CalLookUpRow,0),MATCH(H$1,CalLookUpColumn,0))</f>
        <v>2</v>
      </c>
      <c r="I2068">
        <f>INDEX(CalLookUpTable,MATCH($B2068,CalLookUpRow,0),MATCH(I$1,CalLookUpColumn,0))</f>
        <v>2</v>
      </c>
    </row>
    <row r="2069" spans="1:9" x14ac:dyDescent="0.25">
      <c r="A2069" s="7">
        <v>2</v>
      </c>
      <c r="B2069" s="8">
        <v>43500</v>
      </c>
      <c r="C2069" s="9" t="s">
        <v>4</v>
      </c>
      <c r="D2069" s="10">
        <v>1287.125</v>
      </c>
      <c r="E2069" s="10">
        <v>1426.3899999999999</v>
      </c>
      <c r="F2069" t="str">
        <f>VLOOKUP(A2069,StoreLookup,2,FALSE)</f>
        <v>Store#2</v>
      </c>
      <c r="G2069">
        <f>INDEX(CalLookUpTable,MATCH($B2069,CalLookUpRow,0),MATCH(G$1,CalLookUpColumn,0))</f>
        <v>2019</v>
      </c>
      <c r="H2069">
        <f>INDEX(CalLookUpTable,MATCH($B2069,CalLookUpRow,0),MATCH(H$1,CalLookUpColumn,0))</f>
        <v>2</v>
      </c>
      <c r="I2069">
        <f>INDEX(CalLookUpTable,MATCH($B2069,CalLookUpRow,0),MATCH(I$1,CalLookUpColumn,0))</f>
        <v>2</v>
      </c>
    </row>
    <row r="2070" spans="1:9" x14ac:dyDescent="0.25">
      <c r="A2070" s="7">
        <v>2</v>
      </c>
      <c r="B2070" s="8">
        <v>43501</v>
      </c>
      <c r="C2070" s="9" t="s">
        <v>6</v>
      </c>
      <c r="D2070" s="10">
        <v>428.904</v>
      </c>
      <c r="E2070" s="10">
        <v>364.322</v>
      </c>
      <c r="F2070" t="str">
        <f>VLOOKUP(A2070,StoreLookup,2,FALSE)</f>
        <v>Store#2</v>
      </c>
      <c r="G2070">
        <f>INDEX(CalLookUpTable,MATCH($B2070,CalLookUpRow,0),MATCH(G$1,CalLookUpColumn,0))</f>
        <v>2019</v>
      </c>
      <c r="H2070">
        <f>INDEX(CalLookUpTable,MATCH($B2070,CalLookUpRow,0),MATCH(H$1,CalLookUpColumn,0))</f>
        <v>2</v>
      </c>
      <c r="I2070">
        <f>INDEX(CalLookUpTable,MATCH($B2070,CalLookUpRow,0),MATCH(I$1,CalLookUpColumn,0))</f>
        <v>2</v>
      </c>
    </row>
    <row r="2071" spans="1:9" x14ac:dyDescent="0.25">
      <c r="A2071" s="7">
        <v>2</v>
      </c>
      <c r="B2071" s="8">
        <v>43501</v>
      </c>
      <c r="C2071" s="9" t="s">
        <v>4</v>
      </c>
      <c r="D2071" s="10">
        <v>1811.0399999999997</v>
      </c>
      <c r="E2071" s="10">
        <v>2061.08</v>
      </c>
      <c r="F2071" t="str">
        <f>VLOOKUP(A2071,StoreLookup,2,FALSE)</f>
        <v>Store#2</v>
      </c>
      <c r="G2071">
        <f>INDEX(CalLookUpTable,MATCH($B2071,CalLookUpRow,0),MATCH(G$1,CalLookUpColumn,0))</f>
        <v>2019</v>
      </c>
      <c r="H2071">
        <f>INDEX(CalLookUpTable,MATCH($B2071,CalLookUpRow,0),MATCH(H$1,CalLookUpColumn,0))</f>
        <v>2</v>
      </c>
      <c r="I2071">
        <f>INDEX(CalLookUpTable,MATCH($B2071,CalLookUpRow,0),MATCH(I$1,CalLookUpColumn,0))</f>
        <v>2</v>
      </c>
    </row>
    <row r="2072" spans="1:9" x14ac:dyDescent="0.25">
      <c r="A2072" s="7">
        <v>2</v>
      </c>
      <c r="B2072" s="8">
        <v>43501</v>
      </c>
      <c r="C2072" s="9" t="s">
        <v>3</v>
      </c>
      <c r="D2072" s="10">
        <v>0</v>
      </c>
      <c r="E2072" s="10">
        <v>0</v>
      </c>
      <c r="F2072" t="str">
        <f>VLOOKUP(A2072,StoreLookup,2,FALSE)</f>
        <v>Store#2</v>
      </c>
      <c r="G2072">
        <f>INDEX(CalLookUpTable,MATCH($B2072,CalLookUpRow,0),MATCH(G$1,CalLookUpColumn,0))</f>
        <v>2019</v>
      </c>
      <c r="H2072">
        <f>INDEX(CalLookUpTable,MATCH($B2072,CalLookUpRow,0),MATCH(H$1,CalLookUpColumn,0))</f>
        <v>2</v>
      </c>
      <c r="I2072">
        <f>INDEX(CalLookUpTable,MATCH($B2072,CalLookUpRow,0),MATCH(I$1,CalLookUpColumn,0))</f>
        <v>2</v>
      </c>
    </row>
    <row r="2073" spans="1:9" x14ac:dyDescent="0.25">
      <c r="A2073" s="7">
        <v>2</v>
      </c>
      <c r="B2073" s="8">
        <v>43501</v>
      </c>
      <c r="C2073" s="9" t="s">
        <v>5</v>
      </c>
      <c r="D2073" s="10">
        <v>938.95899999999983</v>
      </c>
      <c r="E2073" s="10">
        <v>0</v>
      </c>
      <c r="F2073" t="str">
        <f>VLOOKUP(A2073,StoreLookup,2,FALSE)</f>
        <v>Store#2</v>
      </c>
      <c r="G2073">
        <f>INDEX(CalLookUpTable,MATCH($B2073,CalLookUpRow,0),MATCH(G$1,CalLookUpColumn,0))</f>
        <v>2019</v>
      </c>
      <c r="H2073">
        <f>INDEX(CalLookUpTable,MATCH($B2073,CalLookUpRow,0),MATCH(H$1,CalLookUpColumn,0))</f>
        <v>2</v>
      </c>
      <c r="I2073">
        <f>INDEX(CalLookUpTable,MATCH($B2073,CalLookUpRow,0),MATCH(I$1,CalLookUpColumn,0))</f>
        <v>2</v>
      </c>
    </row>
    <row r="2074" spans="1:9" x14ac:dyDescent="0.25">
      <c r="A2074" s="7">
        <v>2</v>
      </c>
      <c r="B2074" s="8">
        <v>43502</v>
      </c>
      <c r="C2074" s="9" t="s">
        <v>3</v>
      </c>
      <c r="D2074" s="10">
        <v>0</v>
      </c>
      <c r="E2074" s="10">
        <v>88.613</v>
      </c>
      <c r="F2074" t="str">
        <f>VLOOKUP(A2074,StoreLookup,2,FALSE)</f>
        <v>Store#2</v>
      </c>
      <c r="G2074">
        <f>INDEX(CalLookUpTable,MATCH($B2074,CalLookUpRow,0),MATCH(G$1,CalLookUpColumn,0))</f>
        <v>2019</v>
      </c>
      <c r="H2074">
        <f>INDEX(CalLookUpTable,MATCH($B2074,CalLookUpRow,0),MATCH(H$1,CalLookUpColumn,0))</f>
        <v>2</v>
      </c>
      <c r="I2074">
        <f>INDEX(CalLookUpTable,MATCH($B2074,CalLookUpRow,0),MATCH(I$1,CalLookUpColumn,0))</f>
        <v>2</v>
      </c>
    </row>
    <row r="2075" spans="1:9" x14ac:dyDescent="0.25">
      <c r="A2075" s="7">
        <v>2</v>
      </c>
      <c r="B2075" s="8">
        <v>43502</v>
      </c>
      <c r="C2075" s="9" t="s">
        <v>5</v>
      </c>
      <c r="D2075" s="10">
        <v>777.09100000000001</v>
      </c>
      <c r="E2075" s="10">
        <v>0</v>
      </c>
      <c r="F2075" t="str">
        <f>VLOOKUP(A2075,StoreLookup,2,FALSE)</f>
        <v>Store#2</v>
      </c>
      <c r="G2075">
        <f>INDEX(CalLookUpTable,MATCH($B2075,CalLookUpRow,0),MATCH(G$1,CalLookUpColumn,0))</f>
        <v>2019</v>
      </c>
      <c r="H2075">
        <f>INDEX(CalLookUpTable,MATCH($B2075,CalLookUpRow,0),MATCH(H$1,CalLookUpColumn,0))</f>
        <v>2</v>
      </c>
      <c r="I2075">
        <f>INDEX(CalLookUpTable,MATCH($B2075,CalLookUpRow,0),MATCH(I$1,CalLookUpColumn,0))</f>
        <v>2</v>
      </c>
    </row>
    <row r="2076" spans="1:9" x14ac:dyDescent="0.25">
      <c r="A2076" s="7">
        <v>2</v>
      </c>
      <c r="B2076" s="8">
        <v>43502</v>
      </c>
      <c r="C2076" s="9" t="s">
        <v>6</v>
      </c>
      <c r="D2076" s="10">
        <v>256.214</v>
      </c>
      <c r="E2076" s="10">
        <v>382.73199999999997</v>
      </c>
      <c r="F2076" t="str">
        <f>VLOOKUP(A2076,StoreLookup,2,FALSE)</f>
        <v>Store#2</v>
      </c>
      <c r="G2076">
        <f>INDEX(CalLookUpTable,MATCH($B2076,CalLookUpRow,0),MATCH(G$1,CalLookUpColumn,0))</f>
        <v>2019</v>
      </c>
      <c r="H2076">
        <f>INDEX(CalLookUpTable,MATCH($B2076,CalLookUpRow,0),MATCH(H$1,CalLookUpColumn,0))</f>
        <v>2</v>
      </c>
      <c r="I2076">
        <f>INDEX(CalLookUpTable,MATCH($B2076,CalLookUpRow,0),MATCH(I$1,CalLookUpColumn,0))</f>
        <v>2</v>
      </c>
    </row>
    <row r="2077" spans="1:9" x14ac:dyDescent="0.25">
      <c r="A2077" s="7">
        <v>2</v>
      </c>
      <c r="B2077" s="8">
        <v>43502</v>
      </c>
      <c r="C2077" s="9" t="s">
        <v>4</v>
      </c>
      <c r="D2077" s="10">
        <v>1519.7559999999999</v>
      </c>
      <c r="E2077" s="10">
        <v>1755.4179999999997</v>
      </c>
      <c r="F2077" t="str">
        <f>VLOOKUP(A2077,StoreLookup,2,FALSE)</f>
        <v>Store#2</v>
      </c>
      <c r="G2077">
        <f>INDEX(CalLookUpTable,MATCH($B2077,CalLookUpRow,0),MATCH(G$1,CalLookUpColumn,0))</f>
        <v>2019</v>
      </c>
      <c r="H2077">
        <f>INDEX(CalLookUpTable,MATCH($B2077,CalLookUpRow,0),MATCH(H$1,CalLookUpColumn,0))</f>
        <v>2</v>
      </c>
      <c r="I2077">
        <f>INDEX(CalLookUpTable,MATCH($B2077,CalLookUpRow,0),MATCH(I$1,CalLookUpColumn,0))</f>
        <v>2</v>
      </c>
    </row>
    <row r="2078" spans="1:9" x14ac:dyDescent="0.25">
      <c r="A2078" s="7">
        <v>2</v>
      </c>
      <c r="B2078" s="8">
        <v>43503</v>
      </c>
      <c r="C2078" s="9" t="s">
        <v>4</v>
      </c>
      <c r="D2078" s="10">
        <v>1717.191</v>
      </c>
      <c r="E2078" s="10">
        <v>1973.538</v>
      </c>
      <c r="F2078" t="str">
        <f>VLOOKUP(A2078,StoreLookup,2,FALSE)</f>
        <v>Store#2</v>
      </c>
      <c r="G2078">
        <f>INDEX(CalLookUpTable,MATCH($B2078,CalLookUpRow,0),MATCH(G$1,CalLookUpColumn,0))</f>
        <v>2019</v>
      </c>
      <c r="H2078">
        <f>INDEX(CalLookUpTable,MATCH($B2078,CalLookUpRow,0),MATCH(H$1,CalLookUpColumn,0))</f>
        <v>2</v>
      </c>
      <c r="I2078">
        <f>INDEX(CalLookUpTable,MATCH($B2078,CalLookUpRow,0),MATCH(I$1,CalLookUpColumn,0))</f>
        <v>2</v>
      </c>
    </row>
    <row r="2079" spans="1:9" x14ac:dyDescent="0.25">
      <c r="A2079" s="7">
        <v>2</v>
      </c>
      <c r="B2079" s="8">
        <v>43503</v>
      </c>
      <c r="C2079" s="9" t="s">
        <v>6</v>
      </c>
      <c r="D2079" s="10">
        <v>138.71899999999999</v>
      </c>
      <c r="E2079" s="10">
        <v>405.61500000000001</v>
      </c>
      <c r="F2079" t="str">
        <f>VLOOKUP(A2079,StoreLookup,2,FALSE)</f>
        <v>Store#2</v>
      </c>
      <c r="G2079">
        <f>INDEX(CalLookUpTable,MATCH($B2079,CalLookUpRow,0),MATCH(G$1,CalLookUpColumn,0))</f>
        <v>2019</v>
      </c>
      <c r="H2079">
        <f>INDEX(CalLookUpTable,MATCH($B2079,CalLookUpRow,0),MATCH(H$1,CalLookUpColumn,0))</f>
        <v>2</v>
      </c>
      <c r="I2079">
        <f>INDEX(CalLookUpTable,MATCH($B2079,CalLookUpRow,0),MATCH(I$1,CalLookUpColumn,0))</f>
        <v>2</v>
      </c>
    </row>
    <row r="2080" spans="1:9" x14ac:dyDescent="0.25">
      <c r="A2080" s="7">
        <v>2</v>
      </c>
      <c r="B2080" s="8">
        <v>43503</v>
      </c>
      <c r="C2080" s="9" t="s">
        <v>3</v>
      </c>
      <c r="D2080" s="10">
        <v>0</v>
      </c>
      <c r="E2080" s="10">
        <v>0</v>
      </c>
      <c r="F2080" t="str">
        <f>VLOOKUP(A2080,StoreLookup,2,FALSE)</f>
        <v>Store#2</v>
      </c>
      <c r="G2080">
        <f>INDEX(CalLookUpTable,MATCH($B2080,CalLookUpRow,0),MATCH(G$1,CalLookUpColumn,0))</f>
        <v>2019</v>
      </c>
      <c r="H2080">
        <f>INDEX(CalLookUpTable,MATCH($B2080,CalLookUpRow,0),MATCH(H$1,CalLookUpColumn,0))</f>
        <v>2</v>
      </c>
      <c r="I2080">
        <f>INDEX(CalLookUpTable,MATCH($B2080,CalLookUpRow,0),MATCH(I$1,CalLookUpColumn,0))</f>
        <v>2</v>
      </c>
    </row>
    <row r="2081" spans="1:9" x14ac:dyDescent="0.25">
      <c r="A2081" s="7">
        <v>2</v>
      </c>
      <c r="B2081" s="8">
        <v>43503</v>
      </c>
      <c r="C2081" s="9" t="s">
        <v>5</v>
      </c>
      <c r="D2081" s="10">
        <v>1002.197</v>
      </c>
      <c r="E2081" s="10">
        <v>0</v>
      </c>
      <c r="F2081" t="str">
        <f>VLOOKUP(A2081,StoreLookup,2,FALSE)</f>
        <v>Store#2</v>
      </c>
      <c r="G2081">
        <f>INDEX(CalLookUpTable,MATCH($B2081,CalLookUpRow,0),MATCH(G$1,CalLookUpColumn,0))</f>
        <v>2019</v>
      </c>
      <c r="H2081">
        <f>INDEX(CalLookUpTable,MATCH($B2081,CalLookUpRow,0),MATCH(H$1,CalLookUpColumn,0))</f>
        <v>2</v>
      </c>
      <c r="I2081">
        <f>INDEX(CalLookUpTable,MATCH($B2081,CalLookUpRow,0),MATCH(I$1,CalLookUpColumn,0))</f>
        <v>2</v>
      </c>
    </row>
    <row r="2082" spans="1:9" x14ac:dyDescent="0.25">
      <c r="A2082" s="7">
        <v>2</v>
      </c>
      <c r="B2082" s="8">
        <v>43504</v>
      </c>
      <c r="C2082" s="9" t="s">
        <v>4</v>
      </c>
      <c r="D2082" s="10">
        <v>2220.0009999999997</v>
      </c>
      <c r="E2082" s="10">
        <v>3224.942</v>
      </c>
      <c r="F2082" t="str">
        <f>VLOOKUP(A2082,StoreLookup,2,FALSE)</f>
        <v>Store#2</v>
      </c>
      <c r="G2082">
        <f>INDEX(CalLookUpTable,MATCH($B2082,CalLookUpRow,0),MATCH(G$1,CalLookUpColumn,0))</f>
        <v>2019</v>
      </c>
      <c r="H2082">
        <f>INDEX(CalLookUpTable,MATCH($B2082,CalLookUpRow,0),MATCH(H$1,CalLookUpColumn,0))</f>
        <v>2</v>
      </c>
      <c r="I2082">
        <f>INDEX(CalLookUpTable,MATCH($B2082,CalLookUpRow,0),MATCH(I$1,CalLookUpColumn,0))</f>
        <v>2</v>
      </c>
    </row>
    <row r="2083" spans="1:9" x14ac:dyDescent="0.25">
      <c r="A2083" s="7">
        <v>2</v>
      </c>
      <c r="B2083" s="8">
        <v>43504</v>
      </c>
      <c r="C2083" s="9" t="s">
        <v>3</v>
      </c>
      <c r="D2083" s="10">
        <v>0</v>
      </c>
      <c r="E2083" s="10">
        <v>0</v>
      </c>
      <c r="F2083" t="str">
        <f>VLOOKUP(A2083,StoreLookup,2,FALSE)</f>
        <v>Store#2</v>
      </c>
      <c r="G2083">
        <f>INDEX(CalLookUpTable,MATCH($B2083,CalLookUpRow,0),MATCH(G$1,CalLookUpColumn,0))</f>
        <v>2019</v>
      </c>
      <c r="H2083">
        <f>INDEX(CalLookUpTable,MATCH($B2083,CalLookUpRow,0),MATCH(H$1,CalLookUpColumn,0))</f>
        <v>2</v>
      </c>
      <c r="I2083">
        <f>INDEX(CalLookUpTable,MATCH($B2083,CalLookUpRow,0),MATCH(I$1,CalLookUpColumn,0))</f>
        <v>2</v>
      </c>
    </row>
    <row r="2084" spans="1:9" x14ac:dyDescent="0.25">
      <c r="A2084" s="7">
        <v>2</v>
      </c>
      <c r="B2084" s="8">
        <v>43504</v>
      </c>
      <c r="C2084" s="9" t="s">
        <v>6</v>
      </c>
      <c r="D2084" s="10">
        <v>399.952</v>
      </c>
      <c r="E2084" s="10">
        <v>611.13499999999988</v>
      </c>
      <c r="F2084" t="str">
        <f>VLOOKUP(A2084,StoreLookup,2,FALSE)</f>
        <v>Store#2</v>
      </c>
      <c r="G2084">
        <f>INDEX(CalLookUpTable,MATCH($B2084,CalLookUpRow,0),MATCH(G$1,CalLookUpColumn,0))</f>
        <v>2019</v>
      </c>
      <c r="H2084">
        <f>INDEX(CalLookUpTable,MATCH($B2084,CalLookUpRow,0),MATCH(H$1,CalLookUpColumn,0))</f>
        <v>2</v>
      </c>
      <c r="I2084">
        <f>INDEX(CalLookUpTable,MATCH($B2084,CalLookUpRow,0),MATCH(I$1,CalLookUpColumn,0))</f>
        <v>2</v>
      </c>
    </row>
    <row r="2085" spans="1:9" x14ac:dyDescent="0.25">
      <c r="A2085" s="7">
        <v>2</v>
      </c>
      <c r="B2085" s="8">
        <v>43504</v>
      </c>
      <c r="C2085" s="9" t="s">
        <v>5</v>
      </c>
      <c r="D2085" s="10">
        <v>1336.5169999999998</v>
      </c>
      <c r="E2085" s="10">
        <v>0</v>
      </c>
      <c r="F2085" t="str">
        <f>VLOOKUP(A2085,StoreLookup,2,FALSE)</f>
        <v>Store#2</v>
      </c>
      <c r="G2085">
        <f>INDEX(CalLookUpTable,MATCH($B2085,CalLookUpRow,0),MATCH(G$1,CalLookUpColumn,0))</f>
        <v>2019</v>
      </c>
      <c r="H2085">
        <f>INDEX(CalLookUpTable,MATCH($B2085,CalLookUpRow,0),MATCH(H$1,CalLookUpColumn,0))</f>
        <v>2</v>
      </c>
      <c r="I2085">
        <f>INDEX(CalLookUpTable,MATCH($B2085,CalLookUpRow,0),MATCH(I$1,CalLookUpColumn,0))</f>
        <v>2</v>
      </c>
    </row>
    <row r="2086" spans="1:9" x14ac:dyDescent="0.25">
      <c r="A2086" s="7">
        <v>2</v>
      </c>
      <c r="B2086" s="8">
        <v>43505</v>
      </c>
      <c r="C2086" s="9" t="s">
        <v>6</v>
      </c>
      <c r="D2086" s="10">
        <v>422.21199999999993</v>
      </c>
      <c r="E2086" s="10">
        <v>463.65899999999999</v>
      </c>
      <c r="F2086" t="str">
        <f>VLOOKUP(A2086,StoreLookup,2,FALSE)</f>
        <v>Store#2</v>
      </c>
      <c r="G2086">
        <f>INDEX(CalLookUpTable,MATCH($B2086,CalLookUpRow,0),MATCH(G$1,CalLookUpColumn,0))</f>
        <v>2019</v>
      </c>
      <c r="H2086">
        <f>INDEX(CalLookUpTable,MATCH($B2086,CalLookUpRow,0),MATCH(H$1,CalLookUpColumn,0))</f>
        <v>2</v>
      </c>
      <c r="I2086">
        <f>INDEX(CalLookUpTable,MATCH($B2086,CalLookUpRow,0),MATCH(I$1,CalLookUpColumn,0))</f>
        <v>2</v>
      </c>
    </row>
    <row r="2087" spans="1:9" x14ac:dyDescent="0.25">
      <c r="A2087" s="7">
        <v>2</v>
      </c>
      <c r="B2087" s="8">
        <v>43505</v>
      </c>
      <c r="C2087" s="9" t="s">
        <v>4</v>
      </c>
      <c r="D2087" s="10">
        <v>1783.9149999999997</v>
      </c>
      <c r="E2087" s="10">
        <v>2310.4759999999997</v>
      </c>
      <c r="F2087" t="str">
        <f>VLOOKUP(A2087,StoreLookup,2,FALSE)</f>
        <v>Store#2</v>
      </c>
      <c r="G2087">
        <f>INDEX(CalLookUpTable,MATCH($B2087,CalLookUpRow,0),MATCH(G$1,CalLookUpColumn,0))</f>
        <v>2019</v>
      </c>
      <c r="H2087">
        <f>INDEX(CalLookUpTable,MATCH($B2087,CalLookUpRow,0),MATCH(H$1,CalLookUpColumn,0))</f>
        <v>2</v>
      </c>
      <c r="I2087">
        <f>INDEX(CalLookUpTable,MATCH($B2087,CalLookUpRow,0),MATCH(I$1,CalLookUpColumn,0))</f>
        <v>2</v>
      </c>
    </row>
    <row r="2088" spans="1:9" x14ac:dyDescent="0.25">
      <c r="A2088" s="7">
        <v>2</v>
      </c>
      <c r="B2088" s="8">
        <v>43505</v>
      </c>
      <c r="C2088" s="9" t="s">
        <v>5</v>
      </c>
      <c r="D2088" s="10">
        <v>850.95500000000004</v>
      </c>
      <c r="E2088" s="10">
        <v>0</v>
      </c>
      <c r="F2088" t="str">
        <f>VLOOKUP(A2088,StoreLookup,2,FALSE)</f>
        <v>Store#2</v>
      </c>
      <c r="G2088">
        <f>INDEX(CalLookUpTable,MATCH($B2088,CalLookUpRow,0),MATCH(G$1,CalLookUpColumn,0))</f>
        <v>2019</v>
      </c>
      <c r="H2088">
        <f>INDEX(CalLookUpTable,MATCH($B2088,CalLookUpRow,0),MATCH(H$1,CalLookUpColumn,0))</f>
        <v>2</v>
      </c>
      <c r="I2088">
        <f>INDEX(CalLookUpTable,MATCH($B2088,CalLookUpRow,0),MATCH(I$1,CalLookUpColumn,0))</f>
        <v>2</v>
      </c>
    </row>
    <row r="2089" spans="1:9" x14ac:dyDescent="0.25">
      <c r="A2089" s="7">
        <v>2</v>
      </c>
      <c r="B2089" s="8">
        <v>43505</v>
      </c>
      <c r="C2089" s="9" t="s">
        <v>3</v>
      </c>
      <c r="D2089" s="10">
        <v>184.63199999999998</v>
      </c>
      <c r="E2089" s="10">
        <v>110.145</v>
      </c>
      <c r="F2089" t="str">
        <f>VLOOKUP(A2089,StoreLookup,2,FALSE)</f>
        <v>Store#2</v>
      </c>
      <c r="G2089">
        <f>INDEX(CalLookUpTable,MATCH($B2089,CalLookUpRow,0),MATCH(G$1,CalLookUpColumn,0))</f>
        <v>2019</v>
      </c>
      <c r="H2089">
        <f>INDEX(CalLookUpTable,MATCH($B2089,CalLookUpRow,0),MATCH(H$1,CalLookUpColumn,0))</f>
        <v>2</v>
      </c>
      <c r="I2089">
        <f>INDEX(CalLookUpTable,MATCH($B2089,CalLookUpRow,0),MATCH(I$1,CalLookUpColumn,0))</f>
        <v>2</v>
      </c>
    </row>
    <row r="2090" spans="1:9" x14ac:dyDescent="0.25">
      <c r="A2090" s="7">
        <v>2</v>
      </c>
      <c r="B2090" s="8">
        <v>43506</v>
      </c>
      <c r="C2090" s="9" t="s">
        <v>4</v>
      </c>
      <c r="D2090" s="10">
        <v>1148.6019999999999</v>
      </c>
      <c r="E2090" s="10">
        <v>1358</v>
      </c>
      <c r="F2090" t="str">
        <f>VLOOKUP(A2090,StoreLookup,2,FALSE)</f>
        <v>Store#2</v>
      </c>
      <c r="G2090">
        <f>INDEX(CalLookUpTable,MATCH($B2090,CalLookUpRow,0),MATCH(G$1,CalLookUpColumn,0))</f>
        <v>2019</v>
      </c>
      <c r="H2090">
        <f>INDEX(CalLookUpTable,MATCH($B2090,CalLookUpRow,0),MATCH(H$1,CalLookUpColumn,0))</f>
        <v>2</v>
      </c>
      <c r="I2090">
        <f>INDEX(CalLookUpTable,MATCH($B2090,CalLookUpRow,0),MATCH(I$1,CalLookUpColumn,0))</f>
        <v>2</v>
      </c>
    </row>
    <row r="2091" spans="1:9" x14ac:dyDescent="0.25">
      <c r="A2091" s="7">
        <v>2</v>
      </c>
      <c r="B2091" s="8">
        <v>43506</v>
      </c>
      <c r="C2091" s="9" t="s">
        <v>6</v>
      </c>
      <c r="D2091" s="10">
        <v>112.44799999999998</v>
      </c>
      <c r="E2091" s="10">
        <v>184.81399999999996</v>
      </c>
      <c r="F2091" t="str">
        <f>VLOOKUP(A2091,StoreLookup,2,FALSE)</f>
        <v>Store#2</v>
      </c>
      <c r="G2091">
        <f>INDEX(CalLookUpTable,MATCH($B2091,CalLookUpRow,0),MATCH(G$1,CalLookUpColumn,0))</f>
        <v>2019</v>
      </c>
      <c r="H2091">
        <f>INDEX(CalLookUpTable,MATCH($B2091,CalLookUpRow,0),MATCH(H$1,CalLookUpColumn,0))</f>
        <v>2</v>
      </c>
      <c r="I2091">
        <f>INDEX(CalLookUpTable,MATCH($B2091,CalLookUpRow,0),MATCH(I$1,CalLookUpColumn,0))</f>
        <v>2</v>
      </c>
    </row>
    <row r="2092" spans="1:9" x14ac:dyDescent="0.25">
      <c r="A2092" s="7">
        <v>2</v>
      </c>
      <c r="B2092" s="8">
        <v>43506</v>
      </c>
      <c r="C2092" s="9" t="s">
        <v>5</v>
      </c>
      <c r="D2092" s="10">
        <v>536.78099999999995</v>
      </c>
      <c r="E2092" s="10">
        <v>0</v>
      </c>
      <c r="F2092" t="str">
        <f>VLOOKUP(A2092,StoreLookup,2,FALSE)</f>
        <v>Store#2</v>
      </c>
      <c r="G2092">
        <f>INDEX(CalLookUpTable,MATCH($B2092,CalLookUpRow,0),MATCH(G$1,CalLookUpColumn,0))</f>
        <v>2019</v>
      </c>
      <c r="H2092">
        <f>INDEX(CalLookUpTable,MATCH($B2092,CalLookUpRow,0),MATCH(H$1,CalLookUpColumn,0))</f>
        <v>2</v>
      </c>
      <c r="I2092">
        <f>INDEX(CalLookUpTable,MATCH($B2092,CalLookUpRow,0),MATCH(I$1,CalLookUpColumn,0))</f>
        <v>2</v>
      </c>
    </row>
    <row r="2093" spans="1:9" x14ac:dyDescent="0.25">
      <c r="A2093" s="7">
        <v>2</v>
      </c>
      <c r="B2093" s="8">
        <v>43506</v>
      </c>
      <c r="C2093" s="9" t="s">
        <v>3</v>
      </c>
      <c r="D2093" s="10">
        <v>0</v>
      </c>
      <c r="E2093" s="10">
        <v>0</v>
      </c>
      <c r="F2093" t="str">
        <f>VLOOKUP(A2093,StoreLookup,2,FALSE)</f>
        <v>Store#2</v>
      </c>
      <c r="G2093">
        <f>INDEX(CalLookUpTable,MATCH($B2093,CalLookUpRow,0),MATCH(G$1,CalLookUpColumn,0))</f>
        <v>2019</v>
      </c>
      <c r="H2093">
        <f>INDEX(CalLookUpTable,MATCH($B2093,CalLookUpRow,0),MATCH(H$1,CalLookUpColumn,0))</f>
        <v>2</v>
      </c>
      <c r="I2093">
        <f>INDEX(CalLookUpTable,MATCH($B2093,CalLookUpRow,0),MATCH(I$1,CalLookUpColumn,0))</f>
        <v>2</v>
      </c>
    </row>
    <row r="2094" spans="1:9" x14ac:dyDescent="0.25">
      <c r="A2094" s="7">
        <v>2</v>
      </c>
      <c r="B2094" s="8">
        <v>43507</v>
      </c>
      <c r="C2094" s="9" t="s">
        <v>6</v>
      </c>
      <c r="D2094" s="10">
        <v>111.69899999999998</v>
      </c>
      <c r="E2094" s="10">
        <v>219.28899999999999</v>
      </c>
      <c r="F2094" t="str">
        <f>VLOOKUP(A2094,StoreLookup,2,FALSE)</f>
        <v>Store#2</v>
      </c>
      <c r="G2094">
        <f>INDEX(CalLookUpTable,MATCH($B2094,CalLookUpRow,0),MATCH(G$1,CalLookUpColumn,0))</f>
        <v>2019</v>
      </c>
      <c r="H2094">
        <f>INDEX(CalLookUpTable,MATCH($B2094,CalLookUpRow,0),MATCH(H$1,CalLookUpColumn,0))</f>
        <v>2</v>
      </c>
      <c r="I2094">
        <f>INDEX(CalLookUpTable,MATCH($B2094,CalLookUpRow,0),MATCH(I$1,CalLookUpColumn,0))</f>
        <v>3</v>
      </c>
    </row>
    <row r="2095" spans="1:9" x14ac:dyDescent="0.25">
      <c r="A2095" s="7">
        <v>2</v>
      </c>
      <c r="B2095" s="8">
        <v>43507</v>
      </c>
      <c r="C2095" s="9" t="s">
        <v>4</v>
      </c>
      <c r="D2095" s="10">
        <v>1441.8039999999999</v>
      </c>
      <c r="E2095" s="10">
        <v>1446.8440000000001</v>
      </c>
      <c r="F2095" t="str">
        <f>VLOOKUP(A2095,StoreLookup,2,FALSE)</f>
        <v>Store#2</v>
      </c>
      <c r="G2095">
        <f>INDEX(CalLookUpTable,MATCH($B2095,CalLookUpRow,0),MATCH(G$1,CalLookUpColumn,0))</f>
        <v>2019</v>
      </c>
      <c r="H2095">
        <f>INDEX(CalLookUpTable,MATCH($B2095,CalLookUpRow,0),MATCH(H$1,CalLookUpColumn,0))</f>
        <v>2</v>
      </c>
      <c r="I2095">
        <f>INDEX(CalLookUpTable,MATCH($B2095,CalLookUpRow,0),MATCH(I$1,CalLookUpColumn,0))</f>
        <v>3</v>
      </c>
    </row>
    <row r="2096" spans="1:9" x14ac:dyDescent="0.25">
      <c r="A2096" s="7">
        <v>2</v>
      </c>
      <c r="B2096" s="8">
        <v>43507</v>
      </c>
      <c r="C2096" s="9" t="s">
        <v>3</v>
      </c>
      <c r="D2096" s="10">
        <v>338.13499999999999</v>
      </c>
      <c r="E2096" s="10">
        <v>0</v>
      </c>
      <c r="F2096" t="str">
        <f>VLOOKUP(A2096,StoreLookup,2,FALSE)</f>
        <v>Store#2</v>
      </c>
      <c r="G2096">
        <f>INDEX(CalLookUpTable,MATCH($B2096,CalLookUpRow,0),MATCH(G$1,CalLookUpColumn,0))</f>
        <v>2019</v>
      </c>
      <c r="H2096">
        <f>INDEX(CalLookUpTable,MATCH($B2096,CalLookUpRow,0),MATCH(H$1,CalLookUpColumn,0))</f>
        <v>2</v>
      </c>
      <c r="I2096">
        <f>INDEX(CalLookUpTable,MATCH($B2096,CalLookUpRow,0),MATCH(I$1,CalLookUpColumn,0))</f>
        <v>3</v>
      </c>
    </row>
    <row r="2097" spans="1:9" x14ac:dyDescent="0.25">
      <c r="A2097" s="7">
        <v>2</v>
      </c>
      <c r="B2097" s="8">
        <v>43507</v>
      </c>
      <c r="C2097" s="9" t="s">
        <v>5</v>
      </c>
      <c r="D2097" s="10">
        <v>692.32799999999997</v>
      </c>
      <c r="E2097" s="10">
        <v>0</v>
      </c>
      <c r="F2097" t="str">
        <f>VLOOKUP(A2097,StoreLookup,2,FALSE)</f>
        <v>Store#2</v>
      </c>
      <c r="G2097">
        <f>INDEX(CalLookUpTable,MATCH($B2097,CalLookUpRow,0),MATCH(G$1,CalLookUpColumn,0))</f>
        <v>2019</v>
      </c>
      <c r="H2097">
        <f>INDEX(CalLookUpTable,MATCH($B2097,CalLookUpRow,0),MATCH(H$1,CalLookUpColumn,0))</f>
        <v>2</v>
      </c>
      <c r="I2097">
        <f>INDEX(CalLookUpTable,MATCH($B2097,CalLookUpRow,0),MATCH(I$1,CalLookUpColumn,0))</f>
        <v>3</v>
      </c>
    </row>
    <row r="2098" spans="1:9" x14ac:dyDescent="0.25">
      <c r="A2098" s="7">
        <v>2</v>
      </c>
      <c r="B2098" s="8">
        <v>43508</v>
      </c>
      <c r="C2098" s="9" t="s">
        <v>4</v>
      </c>
      <c r="D2098" s="10">
        <v>1848.721</v>
      </c>
      <c r="E2098" s="10">
        <v>2000.4809999999998</v>
      </c>
      <c r="F2098" t="str">
        <f>VLOOKUP(A2098,StoreLookup,2,FALSE)</f>
        <v>Store#2</v>
      </c>
      <c r="G2098">
        <f>INDEX(CalLookUpTable,MATCH($B2098,CalLookUpRow,0),MATCH(G$1,CalLookUpColumn,0))</f>
        <v>2019</v>
      </c>
      <c r="H2098">
        <f>INDEX(CalLookUpTable,MATCH($B2098,CalLookUpRow,0),MATCH(H$1,CalLookUpColumn,0))</f>
        <v>2</v>
      </c>
      <c r="I2098">
        <f>INDEX(CalLookUpTable,MATCH($B2098,CalLookUpRow,0),MATCH(I$1,CalLookUpColumn,0))</f>
        <v>3</v>
      </c>
    </row>
    <row r="2099" spans="1:9" x14ac:dyDescent="0.25">
      <c r="A2099" s="7">
        <v>2</v>
      </c>
      <c r="B2099" s="8">
        <v>43508</v>
      </c>
      <c r="C2099" s="9" t="s">
        <v>6</v>
      </c>
      <c r="D2099" s="10">
        <v>446.74</v>
      </c>
      <c r="E2099" s="10">
        <v>394.18399999999997</v>
      </c>
      <c r="F2099" t="str">
        <f>VLOOKUP(A2099,StoreLookup,2,FALSE)</f>
        <v>Store#2</v>
      </c>
      <c r="G2099">
        <f>INDEX(CalLookUpTable,MATCH($B2099,CalLookUpRow,0),MATCH(G$1,CalLookUpColumn,0))</f>
        <v>2019</v>
      </c>
      <c r="H2099">
        <f>INDEX(CalLookUpTable,MATCH($B2099,CalLookUpRow,0),MATCH(H$1,CalLookUpColumn,0))</f>
        <v>2</v>
      </c>
      <c r="I2099">
        <f>INDEX(CalLookUpTable,MATCH($B2099,CalLookUpRow,0),MATCH(I$1,CalLookUpColumn,0))</f>
        <v>3</v>
      </c>
    </row>
    <row r="2100" spans="1:9" x14ac:dyDescent="0.25">
      <c r="A2100" s="7">
        <v>2</v>
      </c>
      <c r="B2100" s="8">
        <v>43508</v>
      </c>
      <c r="C2100" s="9" t="s">
        <v>3</v>
      </c>
      <c r="D2100" s="10">
        <v>0</v>
      </c>
      <c r="E2100" s="10">
        <v>0</v>
      </c>
      <c r="F2100" t="str">
        <f>VLOOKUP(A2100,StoreLookup,2,FALSE)</f>
        <v>Store#2</v>
      </c>
      <c r="G2100">
        <f>INDEX(CalLookUpTable,MATCH($B2100,CalLookUpRow,0),MATCH(G$1,CalLookUpColumn,0))</f>
        <v>2019</v>
      </c>
      <c r="H2100">
        <f>INDEX(CalLookUpTable,MATCH($B2100,CalLookUpRow,0),MATCH(H$1,CalLookUpColumn,0))</f>
        <v>2</v>
      </c>
      <c r="I2100">
        <f>INDEX(CalLookUpTable,MATCH($B2100,CalLookUpRow,0),MATCH(I$1,CalLookUpColumn,0))</f>
        <v>3</v>
      </c>
    </row>
    <row r="2101" spans="1:9" x14ac:dyDescent="0.25">
      <c r="A2101" s="7">
        <v>2</v>
      </c>
      <c r="B2101" s="8">
        <v>43508</v>
      </c>
      <c r="C2101" s="9" t="s">
        <v>5</v>
      </c>
      <c r="D2101" s="10">
        <v>826.70699999999999</v>
      </c>
      <c r="E2101" s="10">
        <v>0</v>
      </c>
      <c r="F2101" t="str">
        <f>VLOOKUP(A2101,StoreLookup,2,FALSE)</f>
        <v>Store#2</v>
      </c>
      <c r="G2101">
        <f>INDEX(CalLookUpTable,MATCH($B2101,CalLookUpRow,0),MATCH(G$1,CalLookUpColumn,0))</f>
        <v>2019</v>
      </c>
      <c r="H2101">
        <f>INDEX(CalLookUpTable,MATCH($B2101,CalLookUpRow,0),MATCH(H$1,CalLookUpColumn,0))</f>
        <v>2</v>
      </c>
      <c r="I2101">
        <f>INDEX(CalLookUpTable,MATCH($B2101,CalLookUpRow,0),MATCH(I$1,CalLookUpColumn,0))</f>
        <v>3</v>
      </c>
    </row>
    <row r="2102" spans="1:9" x14ac:dyDescent="0.25">
      <c r="A2102" s="7">
        <v>2</v>
      </c>
      <c r="B2102" s="8">
        <v>43509</v>
      </c>
      <c r="C2102" s="9" t="s">
        <v>6</v>
      </c>
      <c r="D2102" s="10">
        <v>190.61699999999999</v>
      </c>
      <c r="E2102" s="10">
        <v>522.64099999999996</v>
      </c>
      <c r="F2102" t="str">
        <f>VLOOKUP(A2102,StoreLookup,2,FALSE)</f>
        <v>Store#2</v>
      </c>
      <c r="G2102">
        <f>INDEX(CalLookUpTable,MATCH($B2102,CalLookUpRow,0),MATCH(G$1,CalLookUpColumn,0))</f>
        <v>2019</v>
      </c>
      <c r="H2102">
        <f>INDEX(CalLookUpTable,MATCH($B2102,CalLookUpRow,0),MATCH(H$1,CalLookUpColumn,0))</f>
        <v>2</v>
      </c>
      <c r="I2102">
        <f>INDEX(CalLookUpTable,MATCH($B2102,CalLookUpRow,0),MATCH(I$1,CalLookUpColumn,0))</f>
        <v>3</v>
      </c>
    </row>
    <row r="2103" spans="1:9" x14ac:dyDescent="0.25">
      <c r="A2103" s="7">
        <v>2</v>
      </c>
      <c r="B2103" s="8">
        <v>43509</v>
      </c>
      <c r="C2103" s="9" t="s">
        <v>4</v>
      </c>
      <c r="D2103" s="10">
        <v>1624.952</v>
      </c>
      <c r="E2103" s="10">
        <v>2809.6179999999995</v>
      </c>
      <c r="F2103" t="str">
        <f>VLOOKUP(A2103,StoreLookup,2,FALSE)</f>
        <v>Store#2</v>
      </c>
      <c r="G2103">
        <f>INDEX(CalLookUpTable,MATCH($B2103,CalLookUpRow,0),MATCH(G$1,CalLookUpColumn,0))</f>
        <v>2019</v>
      </c>
      <c r="H2103">
        <f>INDEX(CalLookUpTable,MATCH($B2103,CalLookUpRow,0),MATCH(H$1,CalLookUpColumn,0))</f>
        <v>2</v>
      </c>
      <c r="I2103">
        <f>INDEX(CalLookUpTable,MATCH($B2103,CalLookUpRow,0),MATCH(I$1,CalLookUpColumn,0))</f>
        <v>3</v>
      </c>
    </row>
    <row r="2104" spans="1:9" x14ac:dyDescent="0.25">
      <c r="A2104" s="7">
        <v>2</v>
      </c>
      <c r="B2104" s="8">
        <v>43509</v>
      </c>
      <c r="C2104" s="9" t="s">
        <v>3</v>
      </c>
      <c r="D2104" s="10">
        <v>199.11499999999998</v>
      </c>
      <c r="E2104" s="10">
        <v>0</v>
      </c>
      <c r="F2104" t="str">
        <f>VLOOKUP(A2104,StoreLookup,2,FALSE)</f>
        <v>Store#2</v>
      </c>
      <c r="G2104">
        <f>INDEX(CalLookUpTable,MATCH($B2104,CalLookUpRow,0),MATCH(G$1,CalLookUpColumn,0))</f>
        <v>2019</v>
      </c>
      <c r="H2104">
        <f>INDEX(CalLookUpTable,MATCH($B2104,CalLookUpRow,0),MATCH(H$1,CalLookUpColumn,0))</f>
        <v>2</v>
      </c>
      <c r="I2104">
        <f>INDEX(CalLookUpTable,MATCH($B2104,CalLookUpRow,0),MATCH(I$1,CalLookUpColumn,0))</f>
        <v>3</v>
      </c>
    </row>
    <row r="2105" spans="1:9" x14ac:dyDescent="0.25">
      <c r="A2105" s="7">
        <v>2</v>
      </c>
      <c r="B2105" s="8">
        <v>43509</v>
      </c>
      <c r="C2105" s="9" t="s">
        <v>5</v>
      </c>
      <c r="D2105" s="10">
        <v>981.35799999999995</v>
      </c>
      <c r="E2105" s="10">
        <v>0</v>
      </c>
      <c r="F2105" t="str">
        <f>VLOOKUP(A2105,StoreLookup,2,FALSE)</f>
        <v>Store#2</v>
      </c>
      <c r="G2105">
        <f>INDEX(CalLookUpTable,MATCH($B2105,CalLookUpRow,0),MATCH(G$1,CalLookUpColumn,0))</f>
        <v>2019</v>
      </c>
      <c r="H2105">
        <f>INDEX(CalLookUpTable,MATCH($B2105,CalLookUpRow,0),MATCH(H$1,CalLookUpColumn,0))</f>
        <v>2</v>
      </c>
      <c r="I2105">
        <f>INDEX(CalLookUpTable,MATCH($B2105,CalLookUpRow,0),MATCH(I$1,CalLookUpColumn,0))</f>
        <v>3</v>
      </c>
    </row>
    <row r="2106" spans="1:9" x14ac:dyDescent="0.25">
      <c r="A2106" s="7">
        <v>2</v>
      </c>
      <c r="B2106" s="8">
        <v>43510</v>
      </c>
      <c r="C2106" s="9" t="s">
        <v>6</v>
      </c>
      <c r="D2106" s="10">
        <v>583.89799999999991</v>
      </c>
      <c r="E2106" s="10">
        <v>323.60300000000001</v>
      </c>
      <c r="F2106" t="str">
        <f>VLOOKUP(A2106,StoreLookup,2,FALSE)</f>
        <v>Store#2</v>
      </c>
      <c r="G2106">
        <f>INDEX(CalLookUpTable,MATCH($B2106,CalLookUpRow,0),MATCH(G$1,CalLookUpColumn,0))</f>
        <v>2019</v>
      </c>
      <c r="H2106">
        <f>INDEX(CalLookUpTable,MATCH($B2106,CalLookUpRow,0),MATCH(H$1,CalLookUpColumn,0))</f>
        <v>2</v>
      </c>
      <c r="I2106">
        <f>INDEX(CalLookUpTable,MATCH($B2106,CalLookUpRow,0),MATCH(I$1,CalLookUpColumn,0))</f>
        <v>3</v>
      </c>
    </row>
    <row r="2107" spans="1:9" x14ac:dyDescent="0.25">
      <c r="A2107" s="7">
        <v>2</v>
      </c>
      <c r="B2107" s="8">
        <v>43510</v>
      </c>
      <c r="C2107" s="9" t="s">
        <v>4</v>
      </c>
      <c r="D2107" s="10">
        <v>2240.1189999999997</v>
      </c>
      <c r="E2107" s="10">
        <v>1980.2579999999998</v>
      </c>
      <c r="F2107" t="str">
        <f>VLOOKUP(A2107,StoreLookup,2,FALSE)</f>
        <v>Store#2</v>
      </c>
      <c r="G2107">
        <f>INDEX(CalLookUpTable,MATCH($B2107,CalLookUpRow,0),MATCH(G$1,CalLookUpColumn,0))</f>
        <v>2019</v>
      </c>
      <c r="H2107">
        <f>INDEX(CalLookUpTable,MATCH($B2107,CalLookUpRow,0),MATCH(H$1,CalLookUpColumn,0))</f>
        <v>2</v>
      </c>
      <c r="I2107">
        <f>INDEX(CalLookUpTable,MATCH($B2107,CalLookUpRow,0),MATCH(I$1,CalLookUpColumn,0))</f>
        <v>3</v>
      </c>
    </row>
    <row r="2108" spans="1:9" x14ac:dyDescent="0.25">
      <c r="A2108" s="7">
        <v>2</v>
      </c>
      <c r="B2108" s="8">
        <v>43510</v>
      </c>
      <c r="C2108" s="9" t="s">
        <v>3</v>
      </c>
      <c r="D2108" s="10">
        <v>437.745</v>
      </c>
      <c r="E2108" s="10">
        <v>0</v>
      </c>
      <c r="F2108" t="str">
        <f>VLOOKUP(A2108,StoreLookup,2,FALSE)</f>
        <v>Store#2</v>
      </c>
      <c r="G2108">
        <f>INDEX(CalLookUpTable,MATCH($B2108,CalLookUpRow,0),MATCH(G$1,CalLookUpColumn,0))</f>
        <v>2019</v>
      </c>
      <c r="H2108">
        <f>INDEX(CalLookUpTable,MATCH($B2108,CalLookUpRow,0),MATCH(H$1,CalLookUpColumn,0))</f>
        <v>2</v>
      </c>
      <c r="I2108">
        <f>INDEX(CalLookUpTable,MATCH($B2108,CalLookUpRow,0),MATCH(I$1,CalLookUpColumn,0))</f>
        <v>3</v>
      </c>
    </row>
    <row r="2109" spans="1:9" x14ac:dyDescent="0.25">
      <c r="A2109" s="7">
        <v>2</v>
      </c>
      <c r="B2109" s="8">
        <v>43510</v>
      </c>
      <c r="C2109" s="9" t="s">
        <v>5</v>
      </c>
      <c r="D2109" s="10">
        <v>1633.982</v>
      </c>
      <c r="E2109" s="10">
        <v>0</v>
      </c>
      <c r="F2109" t="str">
        <f>VLOOKUP(A2109,StoreLookup,2,FALSE)</f>
        <v>Store#2</v>
      </c>
      <c r="G2109">
        <f>INDEX(CalLookUpTable,MATCH($B2109,CalLookUpRow,0),MATCH(G$1,CalLookUpColumn,0))</f>
        <v>2019</v>
      </c>
      <c r="H2109">
        <f>INDEX(CalLookUpTable,MATCH($B2109,CalLookUpRow,0),MATCH(H$1,CalLookUpColumn,0))</f>
        <v>2</v>
      </c>
      <c r="I2109">
        <f>INDEX(CalLookUpTable,MATCH($B2109,CalLookUpRow,0),MATCH(I$1,CalLookUpColumn,0))</f>
        <v>3</v>
      </c>
    </row>
    <row r="2110" spans="1:9" x14ac:dyDescent="0.25">
      <c r="A2110" s="7">
        <v>2</v>
      </c>
      <c r="B2110" s="8">
        <v>43511</v>
      </c>
      <c r="C2110" s="9" t="s">
        <v>6</v>
      </c>
      <c r="D2110" s="10">
        <v>499.74399999999991</v>
      </c>
      <c r="E2110" s="10">
        <v>480.59899999999999</v>
      </c>
      <c r="F2110" t="str">
        <f>VLOOKUP(A2110,StoreLookup,2,FALSE)</f>
        <v>Store#2</v>
      </c>
      <c r="G2110">
        <f>INDEX(CalLookUpTable,MATCH($B2110,CalLookUpRow,0),MATCH(G$1,CalLookUpColumn,0))</f>
        <v>2019</v>
      </c>
      <c r="H2110">
        <f>INDEX(CalLookUpTable,MATCH($B2110,CalLookUpRow,0),MATCH(H$1,CalLookUpColumn,0))</f>
        <v>2</v>
      </c>
      <c r="I2110">
        <f>INDEX(CalLookUpTable,MATCH($B2110,CalLookUpRow,0),MATCH(I$1,CalLookUpColumn,0))</f>
        <v>3</v>
      </c>
    </row>
    <row r="2111" spans="1:9" x14ac:dyDescent="0.25">
      <c r="A2111" s="7">
        <v>2</v>
      </c>
      <c r="B2111" s="8">
        <v>43511</v>
      </c>
      <c r="C2111" s="9" t="s">
        <v>4</v>
      </c>
      <c r="D2111" s="10">
        <v>2084.922</v>
      </c>
      <c r="E2111" s="10">
        <v>2628.3809999999999</v>
      </c>
      <c r="F2111" t="str">
        <f>VLOOKUP(A2111,StoreLookup,2,FALSE)</f>
        <v>Store#2</v>
      </c>
      <c r="G2111">
        <f>INDEX(CalLookUpTable,MATCH($B2111,CalLookUpRow,0),MATCH(G$1,CalLookUpColumn,0))</f>
        <v>2019</v>
      </c>
      <c r="H2111">
        <f>INDEX(CalLookUpTable,MATCH($B2111,CalLookUpRow,0),MATCH(H$1,CalLookUpColumn,0))</f>
        <v>2</v>
      </c>
      <c r="I2111">
        <f>INDEX(CalLookUpTable,MATCH($B2111,CalLookUpRow,0),MATCH(I$1,CalLookUpColumn,0))</f>
        <v>3</v>
      </c>
    </row>
    <row r="2112" spans="1:9" x14ac:dyDescent="0.25">
      <c r="A2112" s="7">
        <v>2</v>
      </c>
      <c r="B2112" s="8">
        <v>43511</v>
      </c>
      <c r="C2112" s="9" t="s">
        <v>3</v>
      </c>
      <c r="D2112" s="10">
        <v>0</v>
      </c>
      <c r="E2112" s="10">
        <v>288.49099999999999</v>
      </c>
      <c r="F2112" t="str">
        <f>VLOOKUP(A2112,StoreLookup,2,FALSE)</f>
        <v>Store#2</v>
      </c>
      <c r="G2112">
        <f>INDEX(CalLookUpTable,MATCH($B2112,CalLookUpRow,0),MATCH(G$1,CalLookUpColumn,0))</f>
        <v>2019</v>
      </c>
      <c r="H2112">
        <f>INDEX(CalLookUpTable,MATCH($B2112,CalLookUpRow,0),MATCH(H$1,CalLookUpColumn,0))</f>
        <v>2</v>
      </c>
      <c r="I2112">
        <f>INDEX(CalLookUpTable,MATCH($B2112,CalLookUpRow,0),MATCH(I$1,CalLookUpColumn,0))</f>
        <v>3</v>
      </c>
    </row>
    <row r="2113" spans="1:9" x14ac:dyDescent="0.25">
      <c r="A2113" s="7">
        <v>2</v>
      </c>
      <c r="B2113" s="8">
        <v>43511</v>
      </c>
      <c r="C2113" s="9" t="s">
        <v>5</v>
      </c>
      <c r="D2113" s="10">
        <v>1158.444</v>
      </c>
      <c r="E2113" s="10">
        <v>0</v>
      </c>
      <c r="F2113" t="str">
        <f>VLOOKUP(A2113,StoreLookup,2,FALSE)</f>
        <v>Store#2</v>
      </c>
      <c r="G2113">
        <f>INDEX(CalLookUpTable,MATCH($B2113,CalLookUpRow,0),MATCH(G$1,CalLookUpColumn,0))</f>
        <v>2019</v>
      </c>
      <c r="H2113">
        <f>INDEX(CalLookUpTable,MATCH($B2113,CalLookUpRow,0),MATCH(H$1,CalLookUpColumn,0))</f>
        <v>2</v>
      </c>
      <c r="I2113">
        <f>INDEX(CalLookUpTable,MATCH($B2113,CalLookUpRow,0),MATCH(I$1,CalLookUpColumn,0))</f>
        <v>3</v>
      </c>
    </row>
    <row r="2114" spans="1:9" x14ac:dyDescent="0.25">
      <c r="A2114" s="7">
        <v>2</v>
      </c>
      <c r="B2114" s="8">
        <v>43512</v>
      </c>
      <c r="C2114" s="9" t="s">
        <v>6</v>
      </c>
      <c r="D2114" s="10">
        <v>311.60499999999996</v>
      </c>
      <c r="E2114" s="10">
        <v>401.20499999999998</v>
      </c>
      <c r="F2114" t="str">
        <f>VLOOKUP(A2114,StoreLookup,2,FALSE)</f>
        <v>Store#2</v>
      </c>
      <c r="G2114">
        <f>INDEX(CalLookUpTable,MATCH($B2114,CalLookUpRow,0),MATCH(G$1,CalLookUpColumn,0))</f>
        <v>2019</v>
      </c>
      <c r="H2114">
        <f>INDEX(CalLookUpTable,MATCH($B2114,CalLookUpRow,0),MATCH(H$1,CalLookUpColumn,0))</f>
        <v>2</v>
      </c>
      <c r="I2114">
        <f>INDEX(CalLookUpTable,MATCH($B2114,CalLookUpRow,0),MATCH(I$1,CalLookUpColumn,0))</f>
        <v>3</v>
      </c>
    </row>
    <row r="2115" spans="1:9" x14ac:dyDescent="0.25">
      <c r="A2115" s="7">
        <v>2</v>
      </c>
      <c r="B2115" s="8">
        <v>43512</v>
      </c>
      <c r="C2115" s="9" t="s">
        <v>4</v>
      </c>
      <c r="D2115" s="10">
        <v>1851.1569999999999</v>
      </c>
      <c r="E2115" s="10">
        <v>2588.7469999999998</v>
      </c>
      <c r="F2115" t="str">
        <f>VLOOKUP(A2115,StoreLookup,2,FALSE)</f>
        <v>Store#2</v>
      </c>
      <c r="G2115">
        <f>INDEX(CalLookUpTable,MATCH($B2115,CalLookUpRow,0),MATCH(G$1,CalLookUpColumn,0))</f>
        <v>2019</v>
      </c>
      <c r="H2115">
        <f>INDEX(CalLookUpTable,MATCH($B2115,CalLookUpRow,0),MATCH(H$1,CalLookUpColumn,0))</f>
        <v>2</v>
      </c>
      <c r="I2115">
        <f>INDEX(CalLookUpTable,MATCH($B2115,CalLookUpRow,0),MATCH(I$1,CalLookUpColumn,0))</f>
        <v>3</v>
      </c>
    </row>
    <row r="2116" spans="1:9" x14ac:dyDescent="0.25">
      <c r="A2116" s="7">
        <v>2</v>
      </c>
      <c r="B2116" s="8">
        <v>43512</v>
      </c>
      <c r="C2116" s="9" t="s">
        <v>5</v>
      </c>
      <c r="D2116" s="10">
        <v>1063.2370000000001</v>
      </c>
      <c r="E2116" s="10">
        <v>0</v>
      </c>
      <c r="F2116" t="str">
        <f>VLOOKUP(A2116,StoreLookup,2,FALSE)</f>
        <v>Store#2</v>
      </c>
      <c r="G2116">
        <f>INDEX(CalLookUpTable,MATCH($B2116,CalLookUpRow,0),MATCH(G$1,CalLookUpColumn,0))</f>
        <v>2019</v>
      </c>
      <c r="H2116">
        <f>INDEX(CalLookUpTable,MATCH($B2116,CalLookUpRow,0),MATCH(H$1,CalLookUpColumn,0))</f>
        <v>2</v>
      </c>
      <c r="I2116">
        <f>INDEX(CalLookUpTable,MATCH($B2116,CalLookUpRow,0),MATCH(I$1,CalLookUpColumn,0))</f>
        <v>3</v>
      </c>
    </row>
    <row r="2117" spans="1:9" x14ac:dyDescent="0.25">
      <c r="A2117" s="7">
        <v>2</v>
      </c>
      <c r="B2117" s="8">
        <v>43512</v>
      </c>
      <c r="C2117" s="9" t="s">
        <v>3</v>
      </c>
      <c r="D2117" s="10">
        <v>0</v>
      </c>
      <c r="E2117" s="10">
        <v>0</v>
      </c>
      <c r="F2117" t="str">
        <f>VLOOKUP(A2117,StoreLookup,2,FALSE)</f>
        <v>Store#2</v>
      </c>
      <c r="G2117">
        <f>INDEX(CalLookUpTable,MATCH($B2117,CalLookUpRow,0),MATCH(G$1,CalLookUpColumn,0))</f>
        <v>2019</v>
      </c>
      <c r="H2117">
        <f>INDEX(CalLookUpTable,MATCH($B2117,CalLookUpRow,0),MATCH(H$1,CalLookUpColumn,0))</f>
        <v>2</v>
      </c>
      <c r="I2117">
        <f>INDEX(CalLookUpTable,MATCH($B2117,CalLookUpRow,0),MATCH(I$1,CalLookUpColumn,0))</f>
        <v>3</v>
      </c>
    </row>
    <row r="2118" spans="1:9" x14ac:dyDescent="0.25">
      <c r="A2118" s="7">
        <v>2</v>
      </c>
      <c r="B2118" s="8">
        <v>43513</v>
      </c>
      <c r="C2118" s="9" t="s">
        <v>4</v>
      </c>
      <c r="D2118" s="10">
        <v>848.35799999999995</v>
      </c>
      <c r="E2118" s="10">
        <v>1288.7279999999998</v>
      </c>
      <c r="F2118" t="str">
        <f>VLOOKUP(A2118,StoreLookup,2,FALSE)</f>
        <v>Store#2</v>
      </c>
      <c r="G2118">
        <f>INDEX(CalLookUpTable,MATCH($B2118,CalLookUpRow,0),MATCH(G$1,CalLookUpColumn,0))</f>
        <v>2019</v>
      </c>
      <c r="H2118">
        <f>INDEX(CalLookUpTable,MATCH($B2118,CalLookUpRow,0),MATCH(H$1,CalLookUpColumn,0))</f>
        <v>2</v>
      </c>
      <c r="I2118">
        <f>INDEX(CalLookUpTable,MATCH($B2118,CalLookUpRow,0),MATCH(I$1,CalLookUpColumn,0))</f>
        <v>3</v>
      </c>
    </row>
    <row r="2119" spans="1:9" x14ac:dyDescent="0.25">
      <c r="A2119" s="7">
        <v>2</v>
      </c>
      <c r="B2119" s="8">
        <v>43513</v>
      </c>
      <c r="C2119" s="9" t="s">
        <v>3</v>
      </c>
      <c r="D2119" s="10">
        <v>0</v>
      </c>
      <c r="E2119" s="10">
        <v>0</v>
      </c>
      <c r="F2119" t="str">
        <f>VLOOKUP(A2119,StoreLookup,2,FALSE)</f>
        <v>Store#2</v>
      </c>
      <c r="G2119">
        <f>INDEX(CalLookUpTable,MATCH($B2119,CalLookUpRow,0),MATCH(G$1,CalLookUpColumn,0))</f>
        <v>2019</v>
      </c>
      <c r="H2119">
        <f>INDEX(CalLookUpTable,MATCH($B2119,CalLookUpRow,0),MATCH(H$1,CalLookUpColumn,0))</f>
        <v>2</v>
      </c>
      <c r="I2119">
        <f>INDEX(CalLookUpTable,MATCH($B2119,CalLookUpRow,0),MATCH(I$1,CalLookUpColumn,0))</f>
        <v>3</v>
      </c>
    </row>
    <row r="2120" spans="1:9" x14ac:dyDescent="0.25">
      <c r="A2120" s="7">
        <v>2</v>
      </c>
      <c r="B2120" s="8">
        <v>43513</v>
      </c>
      <c r="C2120" s="9" t="s">
        <v>6</v>
      </c>
      <c r="D2120" s="10">
        <v>78.308999999999997</v>
      </c>
      <c r="E2120" s="10">
        <v>354.43099999999998</v>
      </c>
      <c r="F2120" t="str">
        <f>VLOOKUP(A2120,StoreLookup,2,FALSE)</f>
        <v>Store#2</v>
      </c>
      <c r="G2120">
        <f>INDEX(CalLookUpTable,MATCH($B2120,CalLookUpRow,0),MATCH(G$1,CalLookUpColumn,0))</f>
        <v>2019</v>
      </c>
      <c r="H2120">
        <f>INDEX(CalLookUpTable,MATCH($B2120,CalLookUpRow,0),MATCH(H$1,CalLookUpColumn,0))</f>
        <v>2</v>
      </c>
      <c r="I2120">
        <f>INDEX(CalLookUpTable,MATCH($B2120,CalLookUpRow,0),MATCH(I$1,CalLookUpColumn,0))</f>
        <v>3</v>
      </c>
    </row>
    <row r="2121" spans="1:9" x14ac:dyDescent="0.25">
      <c r="A2121" s="7">
        <v>2</v>
      </c>
      <c r="B2121" s="8">
        <v>43513</v>
      </c>
      <c r="C2121" s="9" t="s">
        <v>5</v>
      </c>
      <c r="D2121" s="10">
        <v>533.17599999999993</v>
      </c>
      <c r="E2121" s="10">
        <v>0</v>
      </c>
      <c r="F2121" t="str">
        <f>VLOOKUP(A2121,StoreLookup,2,FALSE)</f>
        <v>Store#2</v>
      </c>
      <c r="G2121">
        <f>INDEX(CalLookUpTable,MATCH($B2121,CalLookUpRow,0),MATCH(G$1,CalLookUpColumn,0))</f>
        <v>2019</v>
      </c>
      <c r="H2121">
        <f>INDEX(CalLookUpTable,MATCH($B2121,CalLookUpRow,0),MATCH(H$1,CalLookUpColumn,0))</f>
        <v>2</v>
      </c>
      <c r="I2121">
        <f>INDEX(CalLookUpTable,MATCH($B2121,CalLookUpRow,0),MATCH(I$1,CalLookUpColumn,0))</f>
        <v>3</v>
      </c>
    </row>
    <row r="2122" spans="1:9" x14ac:dyDescent="0.25">
      <c r="A2122" s="7">
        <v>2</v>
      </c>
      <c r="B2122" s="8">
        <v>43514</v>
      </c>
      <c r="C2122" s="9" t="s">
        <v>3</v>
      </c>
      <c r="D2122" s="10">
        <v>0</v>
      </c>
      <c r="E2122" s="10">
        <v>0</v>
      </c>
      <c r="F2122" t="str">
        <f>VLOOKUP(A2122,StoreLookup,2,FALSE)</f>
        <v>Store#2</v>
      </c>
      <c r="G2122">
        <f>INDEX(CalLookUpTable,MATCH($B2122,CalLookUpRow,0),MATCH(G$1,CalLookUpColumn,0))</f>
        <v>2019</v>
      </c>
      <c r="H2122">
        <f>INDEX(CalLookUpTable,MATCH($B2122,CalLookUpRow,0),MATCH(H$1,CalLookUpColumn,0))</f>
        <v>2</v>
      </c>
      <c r="I2122">
        <f>INDEX(CalLookUpTable,MATCH($B2122,CalLookUpRow,0),MATCH(I$1,CalLookUpColumn,0))</f>
        <v>4</v>
      </c>
    </row>
    <row r="2123" spans="1:9" x14ac:dyDescent="0.25">
      <c r="A2123" s="7">
        <v>2</v>
      </c>
      <c r="B2123" s="8">
        <v>43514</v>
      </c>
      <c r="C2123" s="9" t="s">
        <v>4</v>
      </c>
      <c r="D2123" s="10">
        <v>1655.297</v>
      </c>
      <c r="E2123" s="10">
        <v>1749.9859999999999</v>
      </c>
      <c r="F2123" t="str">
        <f>VLOOKUP(A2123,StoreLookup,2,FALSE)</f>
        <v>Store#2</v>
      </c>
      <c r="G2123">
        <f>INDEX(CalLookUpTable,MATCH($B2123,CalLookUpRow,0),MATCH(G$1,CalLookUpColumn,0))</f>
        <v>2019</v>
      </c>
      <c r="H2123">
        <f>INDEX(CalLookUpTable,MATCH($B2123,CalLookUpRow,0),MATCH(H$1,CalLookUpColumn,0))</f>
        <v>2</v>
      </c>
      <c r="I2123">
        <f>INDEX(CalLookUpTable,MATCH($B2123,CalLookUpRow,0),MATCH(I$1,CalLookUpColumn,0))</f>
        <v>4</v>
      </c>
    </row>
    <row r="2124" spans="1:9" x14ac:dyDescent="0.25">
      <c r="A2124" s="7">
        <v>2</v>
      </c>
      <c r="B2124" s="8">
        <v>43514</v>
      </c>
      <c r="C2124" s="9" t="s">
        <v>6</v>
      </c>
      <c r="D2124" s="10">
        <v>281.22499999999997</v>
      </c>
      <c r="E2124" s="10">
        <v>249.67599999999999</v>
      </c>
      <c r="F2124" t="str">
        <f>VLOOKUP(A2124,StoreLookup,2,FALSE)</f>
        <v>Store#2</v>
      </c>
      <c r="G2124">
        <f>INDEX(CalLookUpTable,MATCH($B2124,CalLookUpRow,0),MATCH(G$1,CalLookUpColumn,0))</f>
        <v>2019</v>
      </c>
      <c r="H2124">
        <f>INDEX(CalLookUpTable,MATCH($B2124,CalLookUpRow,0),MATCH(H$1,CalLookUpColumn,0))</f>
        <v>2</v>
      </c>
      <c r="I2124">
        <f>INDEX(CalLookUpTable,MATCH($B2124,CalLookUpRow,0),MATCH(I$1,CalLookUpColumn,0))</f>
        <v>4</v>
      </c>
    </row>
    <row r="2125" spans="1:9" x14ac:dyDescent="0.25">
      <c r="A2125" s="7">
        <v>2</v>
      </c>
      <c r="B2125" s="8">
        <v>43514</v>
      </c>
      <c r="C2125" s="9" t="s">
        <v>5</v>
      </c>
      <c r="D2125" s="10">
        <v>870.68799999999987</v>
      </c>
      <c r="E2125" s="10">
        <v>0</v>
      </c>
      <c r="F2125" t="str">
        <f>VLOOKUP(A2125,StoreLookup,2,FALSE)</f>
        <v>Store#2</v>
      </c>
      <c r="G2125">
        <f>INDEX(CalLookUpTable,MATCH($B2125,CalLookUpRow,0),MATCH(G$1,CalLookUpColumn,0))</f>
        <v>2019</v>
      </c>
      <c r="H2125">
        <f>INDEX(CalLookUpTable,MATCH($B2125,CalLookUpRow,0),MATCH(H$1,CalLookUpColumn,0))</f>
        <v>2</v>
      </c>
      <c r="I2125">
        <f>INDEX(CalLookUpTable,MATCH($B2125,CalLookUpRow,0),MATCH(I$1,CalLookUpColumn,0))</f>
        <v>4</v>
      </c>
    </row>
    <row r="2126" spans="1:9" x14ac:dyDescent="0.25">
      <c r="A2126" s="7">
        <v>2</v>
      </c>
      <c r="B2126" s="8">
        <v>43515</v>
      </c>
      <c r="C2126" s="9" t="s">
        <v>4</v>
      </c>
      <c r="D2126" s="10">
        <v>1584.31</v>
      </c>
      <c r="E2126" s="10">
        <v>1881.81</v>
      </c>
      <c r="F2126" t="str">
        <f>VLOOKUP(A2126,StoreLookup,2,FALSE)</f>
        <v>Store#2</v>
      </c>
      <c r="G2126">
        <f>INDEX(CalLookUpTable,MATCH($B2126,CalLookUpRow,0),MATCH(G$1,CalLookUpColumn,0))</f>
        <v>2019</v>
      </c>
      <c r="H2126">
        <f>INDEX(CalLookUpTable,MATCH($B2126,CalLookUpRow,0),MATCH(H$1,CalLookUpColumn,0))</f>
        <v>2</v>
      </c>
      <c r="I2126">
        <f>INDEX(CalLookUpTable,MATCH($B2126,CalLookUpRow,0),MATCH(I$1,CalLookUpColumn,0))</f>
        <v>4</v>
      </c>
    </row>
    <row r="2127" spans="1:9" x14ac:dyDescent="0.25">
      <c r="A2127" s="7">
        <v>2</v>
      </c>
      <c r="B2127" s="8">
        <v>43515</v>
      </c>
      <c r="C2127" s="9" t="s">
        <v>3</v>
      </c>
      <c r="D2127" s="10">
        <v>187.71200000000002</v>
      </c>
      <c r="E2127" s="10">
        <v>0</v>
      </c>
      <c r="F2127" t="str">
        <f>VLOOKUP(A2127,StoreLookup,2,FALSE)</f>
        <v>Store#2</v>
      </c>
      <c r="G2127">
        <f>INDEX(CalLookUpTable,MATCH($B2127,CalLookUpRow,0),MATCH(G$1,CalLookUpColumn,0))</f>
        <v>2019</v>
      </c>
      <c r="H2127">
        <f>INDEX(CalLookUpTable,MATCH($B2127,CalLookUpRow,0),MATCH(H$1,CalLookUpColumn,0))</f>
        <v>2</v>
      </c>
      <c r="I2127">
        <f>INDEX(CalLookUpTable,MATCH($B2127,CalLookUpRow,0),MATCH(I$1,CalLookUpColumn,0))</f>
        <v>4</v>
      </c>
    </row>
    <row r="2128" spans="1:9" x14ac:dyDescent="0.25">
      <c r="A2128" s="7">
        <v>2</v>
      </c>
      <c r="B2128" s="8">
        <v>43515</v>
      </c>
      <c r="C2128" s="9" t="s">
        <v>5</v>
      </c>
      <c r="D2128" s="10">
        <v>908.96399999999994</v>
      </c>
      <c r="E2128" s="10">
        <v>0</v>
      </c>
      <c r="F2128" t="str">
        <f>VLOOKUP(A2128,StoreLookup,2,FALSE)</f>
        <v>Store#2</v>
      </c>
      <c r="G2128">
        <f>INDEX(CalLookUpTable,MATCH($B2128,CalLookUpRow,0),MATCH(G$1,CalLookUpColumn,0))</f>
        <v>2019</v>
      </c>
      <c r="H2128">
        <f>INDEX(CalLookUpTable,MATCH($B2128,CalLookUpRow,0),MATCH(H$1,CalLookUpColumn,0))</f>
        <v>2</v>
      </c>
      <c r="I2128">
        <f>INDEX(CalLookUpTable,MATCH($B2128,CalLookUpRow,0),MATCH(I$1,CalLookUpColumn,0))</f>
        <v>4</v>
      </c>
    </row>
    <row r="2129" spans="1:9" x14ac:dyDescent="0.25">
      <c r="A2129" s="7">
        <v>2</v>
      </c>
      <c r="B2129" s="8">
        <v>43515</v>
      </c>
      <c r="C2129" s="9" t="s">
        <v>6</v>
      </c>
      <c r="D2129" s="10">
        <v>354.858</v>
      </c>
      <c r="E2129" s="10">
        <v>425.06099999999998</v>
      </c>
      <c r="F2129" t="str">
        <f>VLOOKUP(A2129,StoreLookup,2,FALSE)</f>
        <v>Store#2</v>
      </c>
      <c r="G2129">
        <f>INDEX(CalLookUpTable,MATCH($B2129,CalLookUpRow,0),MATCH(G$1,CalLookUpColumn,0))</f>
        <v>2019</v>
      </c>
      <c r="H2129">
        <f>INDEX(CalLookUpTable,MATCH($B2129,CalLookUpRow,0),MATCH(H$1,CalLookUpColumn,0))</f>
        <v>2</v>
      </c>
      <c r="I2129">
        <f>INDEX(CalLookUpTable,MATCH($B2129,CalLookUpRow,0),MATCH(I$1,CalLookUpColumn,0))</f>
        <v>4</v>
      </c>
    </row>
    <row r="2130" spans="1:9" x14ac:dyDescent="0.25">
      <c r="A2130" s="7">
        <v>2</v>
      </c>
      <c r="B2130" s="8">
        <v>43516</v>
      </c>
      <c r="C2130" s="9" t="s">
        <v>4</v>
      </c>
      <c r="D2130" s="10">
        <v>2151.6109999999999</v>
      </c>
      <c r="E2130" s="10">
        <v>2056.7750000000001</v>
      </c>
      <c r="F2130" t="str">
        <f>VLOOKUP(A2130,StoreLookup,2,FALSE)</f>
        <v>Store#2</v>
      </c>
      <c r="G2130">
        <f>INDEX(CalLookUpTable,MATCH($B2130,CalLookUpRow,0),MATCH(G$1,CalLookUpColumn,0))</f>
        <v>2019</v>
      </c>
      <c r="H2130">
        <f>INDEX(CalLookUpTable,MATCH($B2130,CalLookUpRow,0),MATCH(H$1,CalLookUpColumn,0))</f>
        <v>2</v>
      </c>
      <c r="I2130">
        <f>INDEX(CalLookUpTable,MATCH($B2130,CalLookUpRow,0),MATCH(I$1,CalLookUpColumn,0))</f>
        <v>4</v>
      </c>
    </row>
    <row r="2131" spans="1:9" x14ac:dyDescent="0.25">
      <c r="A2131" s="7">
        <v>2</v>
      </c>
      <c r="B2131" s="8">
        <v>43516</v>
      </c>
      <c r="C2131" s="9" t="s">
        <v>5</v>
      </c>
      <c r="D2131" s="10">
        <v>1015.154</v>
      </c>
      <c r="E2131" s="10">
        <v>0</v>
      </c>
      <c r="F2131" t="str">
        <f>VLOOKUP(A2131,StoreLookup,2,FALSE)</f>
        <v>Store#2</v>
      </c>
      <c r="G2131">
        <f>INDEX(CalLookUpTable,MATCH($B2131,CalLookUpRow,0),MATCH(G$1,CalLookUpColumn,0))</f>
        <v>2019</v>
      </c>
      <c r="H2131">
        <f>INDEX(CalLookUpTable,MATCH($B2131,CalLookUpRow,0),MATCH(H$1,CalLookUpColumn,0))</f>
        <v>2</v>
      </c>
      <c r="I2131">
        <f>INDEX(CalLookUpTable,MATCH($B2131,CalLookUpRow,0),MATCH(I$1,CalLookUpColumn,0))</f>
        <v>4</v>
      </c>
    </row>
    <row r="2132" spans="1:9" x14ac:dyDescent="0.25">
      <c r="A2132" s="7">
        <v>2</v>
      </c>
      <c r="B2132" s="8">
        <v>43516</v>
      </c>
      <c r="C2132" s="9" t="s">
        <v>6</v>
      </c>
      <c r="D2132" s="10">
        <v>303.84899999999999</v>
      </c>
      <c r="E2132" s="10">
        <v>369.74</v>
      </c>
      <c r="F2132" t="str">
        <f>VLOOKUP(A2132,StoreLookup,2,FALSE)</f>
        <v>Store#2</v>
      </c>
      <c r="G2132">
        <f>INDEX(CalLookUpTable,MATCH($B2132,CalLookUpRow,0),MATCH(G$1,CalLookUpColumn,0))</f>
        <v>2019</v>
      </c>
      <c r="H2132">
        <f>INDEX(CalLookUpTable,MATCH($B2132,CalLookUpRow,0),MATCH(H$1,CalLookUpColumn,0))</f>
        <v>2</v>
      </c>
      <c r="I2132">
        <f>INDEX(CalLookUpTable,MATCH($B2132,CalLookUpRow,0),MATCH(I$1,CalLookUpColumn,0))</f>
        <v>4</v>
      </c>
    </row>
    <row r="2133" spans="1:9" x14ac:dyDescent="0.25">
      <c r="A2133" s="7">
        <v>2</v>
      </c>
      <c r="B2133" s="8">
        <v>43516</v>
      </c>
      <c r="C2133" s="9" t="s">
        <v>3</v>
      </c>
      <c r="D2133" s="10">
        <v>217.13299999999998</v>
      </c>
      <c r="E2133" s="10">
        <v>191.52699999999999</v>
      </c>
      <c r="F2133" t="str">
        <f>VLOOKUP(A2133,StoreLookup,2,FALSE)</f>
        <v>Store#2</v>
      </c>
      <c r="G2133">
        <f>INDEX(CalLookUpTable,MATCH($B2133,CalLookUpRow,0),MATCH(G$1,CalLookUpColumn,0))</f>
        <v>2019</v>
      </c>
      <c r="H2133">
        <f>INDEX(CalLookUpTable,MATCH($B2133,CalLookUpRow,0),MATCH(H$1,CalLookUpColumn,0))</f>
        <v>2</v>
      </c>
      <c r="I2133">
        <f>INDEX(CalLookUpTable,MATCH($B2133,CalLookUpRow,0),MATCH(I$1,CalLookUpColumn,0))</f>
        <v>4</v>
      </c>
    </row>
    <row r="2134" spans="1:9" x14ac:dyDescent="0.25">
      <c r="A2134" s="7">
        <v>2</v>
      </c>
      <c r="B2134" s="8">
        <v>43517</v>
      </c>
      <c r="C2134" s="9" t="s">
        <v>5</v>
      </c>
      <c r="D2134" s="10">
        <v>1177.498</v>
      </c>
      <c r="E2134" s="10">
        <v>0</v>
      </c>
      <c r="F2134" t="str">
        <f>VLOOKUP(A2134,StoreLookup,2,FALSE)</f>
        <v>Store#2</v>
      </c>
      <c r="G2134">
        <f>INDEX(CalLookUpTable,MATCH($B2134,CalLookUpRow,0),MATCH(G$1,CalLookUpColumn,0))</f>
        <v>2019</v>
      </c>
      <c r="H2134">
        <f>INDEX(CalLookUpTable,MATCH($B2134,CalLookUpRow,0),MATCH(H$1,CalLookUpColumn,0))</f>
        <v>2</v>
      </c>
      <c r="I2134">
        <f>INDEX(CalLookUpTable,MATCH($B2134,CalLookUpRow,0),MATCH(I$1,CalLookUpColumn,0))</f>
        <v>4</v>
      </c>
    </row>
    <row r="2135" spans="1:9" x14ac:dyDescent="0.25">
      <c r="A2135" s="7">
        <v>2</v>
      </c>
      <c r="B2135" s="8">
        <v>43517</v>
      </c>
      <c r="C2135" s="9" t="s">
        <v>4</v>
      </c>
      <c r="D2135" s="10">
        <v>1618.5329999999999</v>
      </c>
      <c r="E2135" s="10">
        <v>2529.163</v>
      </c>
      <c r="F2135" t="str">
        <f>VLOOKUP(A2135,StoreLookup,2,FALSE)</f>
        <v>Store#2</v>
      </c>
      <c r="G2135">
        <f>INDEX(CalLookUpTable,MATCH($B2135,CalLookUpRow,0),MATCH(G$1,CalLookUpColumn,0))</f>
        <v>2019</v>
      </c>
      <c r="H2135">
        <f>INDEX(CalLookUpTable,MATCH($B2135,CalLookUpRow,0),MATCH(H$1,CalLookUpColumn,0))</f>
        <v>2</v>
      </c>
      <c r="I2135">
        <f>INDEX(CalLookUpTable,MATCH($B2135,CalLookUpRow,0),MATCH(I$1,CalLookUpColumn,0))</f>
        <v>4</v>
      </c>
    </row>
    <row r="2136" spans="1:9" x14ac:dyDescent="0.25">
      <c r="A2136" s="7">
        <v>2</v>
      </c>
      <c r="B2136" s="8">
        <v>43517</v>
      </c>
      <c r="C2136" s="9" t="s">
        <v>3</v>
      </c>
      <c r="D2136" s="10">
        <v>0</v>
      </c>
      <c r="E2136" s="10">
        <v>0</v>
      </c>
      <c r="F2136" t="str">
        <f>VLOOKUP(A2136,StoreLookup,2,FALSE)</f>
        <v>Store#2</v>
      </c>
      <c r="G2136">
        <f>INDEX(CalLookUpTable,MATCH($B2136,CalLookUpRow,0),MATCH(G$1,CalLookUpColumn,0))</f>
        <v>2019</v>
      </c>
      <c r="H2136">
        <f>INDEX(CalLookUpTable,MATCH($B2136,CalLookUpRow,0),MATCH(H$1,CalLookUpColumn,0))</f>
        <v>2</v>
      </c>
      <c r="I2136">
        <f>INDEX(CalLookUpTable,MATCH($B2136,CalLookUpRow,0),MATCH(I$1,CalLookUpColumn,0))</f>
        <v>4</v>
      </c>
    </row>
    <row r="2137" spans="1:9" x14ac:dyDescent="0.25">
      <c r="A2137" s="7">
        <v>2</v>
      </c>
      <c r="B2137" s="8">
        <v>43517</v>
      </c>
      <c r="C2137" s="9" t="s">
        <v>6</v>
      </c>
      <c r="D2137" s="10">
        <v>241.88499999999999</v>
      </c>
      <c r="E2137" s="10">
        <v>234.619</v>
      </c>
      <c r="F2137" t="str">
        <f>VLOOKUP(A2137,StoreLookup,2,FALSE)</f>
        <v>Store#2</v>
      </c>
      <c r="G2137">
        <f>INDEX(CalLookUpTable,MATCH($B2137,CalLookUpRow,0),MATCH(G$1,CalLookUpColumn,0))</f>
        <v>2019</v>
      </c>
      <c r="H2137">
        <f>INDEX(CalLookUpTable,MATCH($B2137,CalLookUpRow,0),MATCH(H$1,CalLookUpColumn,0))</f>
        <v>2</v>
      </c>
      <c r="I2137">
        <f>INDEX(CalLookUpTable,MATCH($B2137,CalLookUpRow,0),MATCH(I$1,CalLookUpColumn,0))</f>
        <v>4</v>
      </c>
    </row>
    <row r="2138" spans="1:9" x14ac:dyDescent="0.25">
      <c r="A2138" s="7">
        <v>2</v>
      </c>
      <c r="B2138" s="8">
        <v>43518</v>
      </c>
      <c r="C2138" s="9" t="s">
        <v>5</v>
      </c>
      <c r="D2138" s="10">
        <v>1461.586</v>
      </c>
      <c r="E2138" s="10">
        <v>0</v>
      </c>
      <c r="F2138" t="str">
        <f>VLOOKUP(A2138,StoreLookup,2,FALSE)</f>
        <v>Store#2</v>
      </c>
      <c r="G2138">
        <f>INDEX(CalLookUpTable,MATCH($B2138,CalLookUpRow,0),MATCH(G$1,CalLookUpColumn,0))</f>
        <v>2019</v>
      </c>
      <c r="H2138">
        <f>INDEX(CalLookUpTable,MATCH($B2138,CalLookUpRow,0),MATCH(H$1,CalLookUpColumn,0))</f>
        <v>2</v>
      </c>
      <c r="I2138">
        <f>INDEX(CalLookUpTable,MATCH($B2138,CalLookUpRow,0),MATCH(I$1,CalLookUpColumn,0))</f>
        <v>4</v>
      </c>
    </row>
    <row r="2139" spans="1:9" x14ac:dyDescent="0.25">
      <c r="A2139" s="7">
        <v>2</v>
      </c>
      <c r="B2139" s="8">
        <v>43518</v>
      </c>
      <c r="C2139" s="9" t="s">
        <v>3</v>
      </c>
      <c r="D2139" s="10">
        <v>0</v>
      </c>
      <c r="E2139" s="10">
        <v>0</v>
      </c>
      <c r="F2139" t="str">
        <f>VLOOKUP(A2139,StoreLookup,2,FALSE)</f>
        <v>Store#2</v>
      </c>
      <c r="G2139">
        <f>INDEX(CalLookUpTable,MATCH($B2139,CalLookUpRow,0),MATCH(G$1,CalLookUpColumn,0))</f>
        <v>2019</v>
      </c>
      <c r="H2139">
        <f>INDEX(CalLookUpTable,MATCH($B2139,CalLookUpRow,0),MATCH(H$1,CalLookUpColumn,0))</f>
        <v>2</v>
      </c>
      <c r="I2139">
        <f>INDEX(CalLookUpTable,MATCH($B2139,CalLookUpRow,0),MATCH(I$1,CalLookUpColumn,0))</f>
        <v>4</v>
      </c>
    </row>
    <row r="2140" spans="1:9" x14ac:dyDescent="0.25">
      <c r="A2140" s="7">
        <v>2</v>
      </c>
      <c r="B2140" s="8">
        <v>43518</v>
      </c>
      <c r="C2140" s="9" t="s">
        <v>6</v>
      </c>
      <c r="D2140" s="10">
        <v>464.82799999999992</v>
      </c>
      <c r="E2140" s="10">
        <v>463.81299999999999</v>
      </c>
      <c r="F2140" t="str">
        <f>VLOOKUP(A2140,StoreLookup,2,FALSE)</f>
        <v>Store#2</v>
      </c>
      <c r="G2140">
        <f>INDEX(CalLookUpTable,MATCH($B2140,CalLookUpRow,0),MATCH(G$1,CalLookUpColumn,0))</f>
        <v>2019</v>
      </c>
      <c r="H2140">
        <f>INDEX(CalLookUpTable,MATCH($B2140,CalLookUpRow,0),MATCH(H$1,CalLookUpColumn,0))</f>
        <v>2</v>
      </c>
      <c r="I2140">
        <f>INDEX(CalLookUpTable,MATCH($B2140,CalLookUpRow,0),MATCH(I$1,CalLookUpColumn,0))</f>
        <v>4</v>
      </c>
    </row>
    <row r="2141" spans="1:9" x14ac:dyDescent="0.25">
      <c r="A2141" s="7">
        <v>2</v>
      </c>
      <c r="B2141" s="8">
        <v>43518</v>
      </c>
      <c r="C2141" s="9" t="s">
        <v>4</v>
      </c>
      <c r="D2141" s="10">
        <v>2718.31</v>
      </c>
      <c r="E2141" s="10">
        <v>2745.596</v>
      </c>
      <c r="F2141" t="str">
        <f>VLOOKUP(A2141,StoreLookup,2,FALSE)</f>
        <v>Store#2</v>
      </c>
      <c r="G2141">
        <f>INDEX(CalLookUpTable,MATCH($B2141,CalLookUpRow,0),MATCH(G$1,CalLookUpColumn,0))</f>
        <v>2019</v>
      </c>
      <c r="H2141">
        <f>INDEX(CalLookUpTable,MATCH($B2141,CalLookUpRow,0),MATCH(H$1,CalLookUpColumn,0))</f>
        <v>2</v>
      </c>
      <c r="I2141">
        <f>INDEX(CalLookUpTable,MATCH($B2141,CalLookUpRow,0),MATCH(I$1,CalLookUpColumn,0))</f>
        <v>4</v>
      </c>
    </row>
    <row r="2142" spans="1:9" x14ac:dyDescent="0.25">
      <c r="A2142" s="7">
        <v>2</v>
      </c>
      <c r="B2142" s="8">
        <v>43519</v>
      </c>
      <c r="C2142" s="9" t="s">
        <v>5</v>
      </c>
      <c r="D2142" s="10">
        <v>863.42899999999997</v>
      </c>
      <c r="E2142" s="10">
        <v>0</v>
      </c>
      <c r="F2142" t="str">
        <f>VLOOKUP(A2142,StoreLookup,2,FALSE)</f>
        <v>Store#2</v>
      </c>
      <c r="G2142">
        <f>INDEX(CalLookUpTable,MATCH($B2142,CalLookUpRow,0),MATCH(G$1,CalLookUpColumn,0))</f>
        <v>2019</v>
      </c>
      <c r="H2142">
        <f>INDEX(CalLookUpTable,MATCH($B2142,CalLookUpRow,0),MATCH(H$1,CalLookUpColumn,0))</f>
        <v>2</v>
      </c>
      <c r="I2142">
        <f>INDEX(CalLookUpTable,MATCH($B2142,CalLookUpRow,0),MATCH(I$1,CalLookUpColumn,0))</f>
        <v>4</v>
      </c>
    </row>
    <row r="2143" spans="1:9" x14ac:dyDescent="0.25">
      <c r="A2143" s="7">
        <v>2</v>
      </c>
      <c r="B2143" s="8">
        <v>43519</v>
      </c>
      <c r="C2143" s="9" t="s">
        <v>6</v>
      </c>
      <c r="D2143" s="10">
        <v>164.82899999999998</v>
      </c>
      <c r="E2143" s="10">
        <v>517.60800000000006</v>
      </c>
      <c r="F2143" t="str">
        <f>VLOOKUP(A2143,StoreLookup,2,FALSE)</f>
        <v>Store#2</v>
      </c>
      <c r="G2143">
        <f>INDEX(CalLookUpTable,MATCH($B2143,CalLookUpRow,0),MATCH(G$1,CalLookUpColumn,0))</f>
        <v>2019</v>
      </c>
      <c r="H2143">
        <f>INDEX(CalLookUpTable,MATCH($B2143,CalLookUpRow,0),MATCH(H$1,CalLookUpColumn,0))</f>
        <v>2</v>
      </c>
      <c r="I2143">
        <f>INDEX(CalLookUpTable,MATCH($B2143,CalLookUpRow,0),MATCH(I$1,CalLookUpColumn,0))</f>
        <v>4</v>
      </c>
    </row>
    <row r="2144" spans="1:9" x14ac:dyDescent="0.25">
      <c r="A2144" s="7">
        <v>2</v>
      </c>
      <c r="B2144" s="8">
        <v>43519</v>
      </c>
      <c r="C2144" s="9" t="s">
        <v>4</v>
      </c>
      <c r="D2144" s="10">
        <v>2188.7529999999997</v>
      </c>
      <c r="E2144" s="10">
        <v>2662.3729999999996</v>
      </c>
      <c r="F2144" t="str">
        <f>VLOOKUP(A2144,StoreLookup,2,FALSE)</f>
        <v>Store#2</v>
      </c>
      <c r="G2144">
        <f>INDEX(CalLookUpTable,MATCH($B2144,CalLookUpRow,0),MATCH(G$1,CalLookUpColumn,0))</f>
        <v>2019</v>
      </c>
      <c r="H2144">
        <f>INDEX(CalLookUpTable,MATCH($B2144,CalLookUpRow,0),MATCH(H$1,CalLookUpColumn,0))</f>
        <v>2</v>
      </c>
      <c r="I2144">
        <f>INDEX(CalLookUpTable,MATCH($B2144,CalLookUpRow,0),MATCH(I$1,CalLookUpColumn,0))</f>
        <v>4</v>
      </c>
    </row>
    <row r="2145" spans="1:9" x14ac:dyDescent="0.25">
      <c r="A2145" s="7">
        <v>2</v>
      </c>
      <c r="B2145" s="8">
        <v>43519</v>
      </c>
      <c r="C2145" s="9" t="s">
        <v>3</v>
      </c>
      <c r="D2145" s="10">
        <v>468.447</v>
      </c>
      <c r="E2145" s="10">
        <v>0</v>
      </c>
      <c r="F2145" t="str">
        <f>VLOOKUP(A2145,StoreLookup,2,FALSE)</f>
        <v>Store#2</v>
      </c>
      <c r="G2145">
        <f>INDEX(CalLookUpTable,MATCH($B2145,CalLookUpRow,0),MATCH(G$1,CalLookUpColumn,0))</f>
        <v>2019</v>
      </c>
      <c r="H2145">
        <f>INDEX(CalLookUpTable,MATCH($B2145,CalLookUpRow,0),MATCH(H$1,CalLookUpColumn,0))</f>
        <v>2</v>
      </c>
      <c r="I2145">
        <f>INDEX(CalLookUpTable,MATCH($B2145,CalLookUpRow,0),MATCH(I$1,CalLookUpColumn,0))</f>
        <v>4</v>
      </c>
    </row>
    <row r="2146" spans="1:9" x14ac:dyDescent="0.25">
      <c r="A2146" s="7">
        <v>2</v>
      </c>
      <c r="B2146" s="8">
        <v>43520</v>
      </c>
      <c r="C2146" s="9" t="s">
        <v>3</v>
      </c>
      <c r="D2146" s="10">
        <v>0</v>
      </c>
      <c r="E2146" s="10">
        <v>0</v>
      </c>
      <c r="F2146" t="str">
        <f>VLOOKUP(A2146,StoreLookup,2,FALSE)</f>
        <v>Store#2</v>
      </c>
      <c r="G2146">
        <f>INDEX(CalLookUpTable,MATCH($B2146,CalLookUpRow,0),MATCH(G$1,CalLookUpColumn,0))</f>
        <v>2019</v>
      </c>
      <c r="H2146">
        <f>INDEX(CalLookUpTable,MATCH($B2146,CalLookUpRow,0),MATCH(H$1,CalLookUpColumn,0))</f>
        <v>2</v>
      </c>
      <c r="I2146">
        <f>INDEX(CalLookUpTable,MATCH($B2146,CalLookUpRow,0),MATCH(I$1,CalLookUpColumn,0))</f>
        <v>4</v>
      </c>
    </row>
    <row r="2147" spans="1:9" x14ac:dyDescent="0.25">
      <c r="A2147" s="7">
        <v>2</v>
      </c>
      <c r="B2147" s="8">
        <v>43520</v>
      </c>
      <c r="C2147" s="9" t="s">
        <v>4</v>
      </c>
      <c r="D2147" s="10">
        <v>1529.808</v>
      </c>
      <c r="E2147" s="10">
        <v>1202.5929999999998</v>
      </c>
      <c r="F2147" t="str">
        <f>VLOOKUP(A2147,StoreLookup,2,FALSE)</f>
        <v>Store#2</v>
      </c>
      <c r="G2147">
        <f>INDEX(CalLookUpTable,MATCH($B2147,CalLookUpRow,0),MATCH(G$1,CalLookUpColumn,0))</f>
        <v>2019</v>
      </c>
      <c r="H2147">
        <f>INDEX(CalLookUpTable,MATCH($B2147,CalLookUpRow,0),MATCH(H$1,CalLookUpColumn,0))</f>
        <v>2</v>
      </c>
      <c r="I2147">
        <f>INDEX(CalLookUpTable,MATCH($B2147,CalLookUpRow,0),MATCH(I$1,CalLookUpColumn,0))</f>
        <v>4</v>
      </c>
    </row>
    <row r="2148" spans="1:9" x14ac:dyDescent="0.25">
      <c r="A2148" s="7">
        <v>2</v>
      </c>
      <c r="B2148" s="8">
        <v>43520</v>
      </c>
      <c r="C2148" s="9" t="s">
        <v>6</v>
      </c>
      <c r="D2148" s="10">
        <v>302.96699999999998</v>
      </c>
      <c r="E2148" s="10">
        <v>135.14899999999997</v>
      </c>
      <c r="F2148" t="str">
        <f>VLOOKUP(A2148,StoreLookup,2,FALSE)</f>
        <v>Store#2</v>
      </c>
      <c r="G2148">
        <f>INDEX(CalLookUpTable,MATCH($B2148,CalLookUpRow,0),MATCH(G$1,CalLookUpColumn,0))</f>
        <v>2019</v>
      </c>
      <c r="H2148">
        <f>INDEX(CalLookUpTable,MATCH($B2148,CalLookUpRow,0),MATCH(H$1,CalLookUpColumn,0))</f>
        <v>2</v>
      </c>
      <c r="I2148">
        <f>INDEX(CalLookUpTable,MATCH($B2148,CalLookUpRow,0),MATCH(I$1,CalLookUpColumn,0))</f>
        <v>4</v>
      </c>
    </row>
    <row r="2149" spans="1:9" x14ac:dyDescent="0.25">
      <c r="A2149" s="7">
        <v>2</v>
      </c>
      <c r="B2149" s="8">
        <v>43520</v>
      </c>
      <c r="C2149" s="9" t="s">
        <v>5</v>
      </c>
      <c r="D2149" s="10">
        <v>785.63099999999986</v>
      </c>
      <c r="E2149" s="10">
        <v>0</v>
      </c>
      <c r="F2149" t="str">
        <f>VLOOKUP(A2149,StoreLookup,2,FALSE)</f>
        <v>Store#2</v>
      </c>
      <c r="G2149">
        <f>INDEX(CalLookUpTable,MATCH($B2149,CalLookUpRow,0),MATCH(G$1,CalLookUpColumn,0))</f>
        <v>2019</v>
      </c>
      <c r="H2149">
        <f>INDEX(CalLookUpTable,MATCH($B2149,CalLookUpRow,0),MATCH(H$1,CalLookUpColumn,0))</f>
        <v>2</v>
      </c>
      <c r="I2149">
        <f>INDEX(CalLookUpTable,MATCH($B2149,CalLookUpRow,0),MATCH(I$1,CalLookUpColumn,0))</f>
        <v>4</v>
      </c>
    </row>
    <row r="2150" spans="1:9" x14ac:dyDescent="0.25">
      <c r="A2150" s="7">
        <v>2</v>
      </c>
      <c r="B2150" s="8">
        <v>43521</v>
      </c>
      <c r="C2150" s="9" t="s">
        <v>6</v>
      </c>
      <c r="D2150" s="10">
        <v>136.24099999999999</v>
      </c>
      <c r="E2150" s="10">
        <v>377.32099999999997</v>
      </c>
      <c r="F2150" t="str">
        <f>VLOOKUP(A2150,StoreLookup,2,FALSE)</f>
        <v>Store#2</v>
      </c>
      <c r="G2150">
        <f>INDEX(CalLookUpTable,MATCH($B2150,CalLookUpRow,0),MATCH(G$1,CalLookUpColumn,0))</f>
        <v>2019</v>
      </c>
      <c r="H2150">
        <f>INDEX(CalLookUpTable,MATCH($B2150,CalLookUpRow,0),MATCH(H$1,CalLookUpColumn,0))</f>
        <v>3</v>
      </c>
      <c r="I2150">
        <f>INDEX(CalLookUpTable,MATCH($B2150,CalLookUpRow,0),MATCH(I$1,CalLookUpColumn,0))</f>
        <v>1</v>
      </c>
    </row>
    <row r="2151" spans="1:9" x14ac:dyDescent="0.25">
      <c r="A2151" s="7">
        <v>2</v>
      </c>
      <c r="B2151" s="8">
        <v>43521</v>
      </c>
      <c r="C2151" s="9" t="s">
        <v>4</v>
      </c>
      <c r="D2151" s="10">
        <v>1522.1079999999999</v>
      </c>
      <c r="E2151" s="10">
        <v>1614.2979999999998</v>
      </c>
      <c r="F2151" t="str">
        <f>VLOOKUP(A2151,StoreLookup,2,FALSE)</f>
        <v>Store#2</v>
      </c>
      <c r="G2151">
        <f>INDEX(CalLookUpTable,MATCH($B2151,CalLookUpRow,0),MATCH(G$1,CalLookUpColumn,0))</f>
        <v>2019</v>
      </c>
      <c r="H2151">
        <f>INDEX(CalLookUpTable,MATCH($B2151,CalLookUpRow,0),MATCH(H$1,CalLookUpColumn,0))</f>
        <v>3</v>
      </c>
      <c r="I2151">
        <f>INDEX(CalLookUpTable,MATCH($B2151,CalLookUpRow,0),MATCH(I$1,CalLookUpColumn,0))</f>
        <v>1</v>
      </c>
    </row>
    <row r="2152" spans="1:9" x14ac:dyDescent="0.25">
      <c r="A2152" s="7">
        <v>2</v>
      </c>
      <c r="B2152" s="8">
        <v>43521</v>
      </c>
      <c r="C2152" s="9" t="s">
        <v>3</v>
      </c>
      <c r="D2152" s="10">
        <v>0</v>
      </c>
      <c r="E2152" s="10">
        <v>0</v>
      </c>
      <c r="F2152" t="str">
        <f>VLOOKUP(A2152,StoreLookup,2,FALSE)</f>
        <v>Store#2</v>
      </c>
      <c r="G2152">
        <f>INDEX(CalLookUpTable,MATCH($B2152,CalLookUpRow,0),MATCH(G$1,CalLookUpColumn,0))</f>
        <v>2019</v>
      </c>
      <c r="H2152">
        <f>INDEX(CalLookUpTable,MATCH($B2152,CalLookUpRow,0),MATCH(H$1,CalLookUpColumn,0))</f>
        <v>3</v>
      </c>
      <c r="I2152">
        <f>INDEX(CalLookUpTable,MATCH($B2152,CalLookUpRow,0),MATCH(I$1,CalLookUpColumn,0))</f>
        <v>1</v>
      </c>
    </row>
    <row r="2153" spans="1:9" x14ac:dyDescent="0.25">
      <c r="A2153" s="7">
        <v>2</v>
      </c>
      <c r="B2153" s="8">
        <v>43521</v>
      </c>
      <c r="C2153" s="9" t="s">
        <v>5</v>
      </c>
      <c r="D2153" s="10">
        <v>789.13099999999986</v>
      </c>
      <c r="E2153" s="10">
        <v>0</v>
      </c>
      <c r="F2153" t="str">
        <f>VLOOKUP(A2153,StoreLookup,2,FALSE)</f>
        <v>Store#2</v>
      </c>
      <c r="G2153">
        <f>INDEX(CalLookUpTable,MATCH($B2153,CalLookUpRow,0),MATCH(G$1,CalLookUpColumn,0))</f>
        <v>2019</v>
      </c>
      <c r="H2153">
        <f>INDEX(CalLookUpTable,MATCH($B2153,CalLookUpRow,0),MATCH(H$1,CalLookUpColumn,0))</f>
        <v>3</v>
      </c>
      <c r="I2153">
        <f>INDEX(CalLookUpTable,MATCH($B2153,CalLookUpRow,0),MATCH(I$1,CalLookUpColumn,0))</f>
        <v>1</v>
      </c>
    </row>
    <row r="2154" spans="1:9" x14ac:dyDescent="0.25">
      <c r="A2154" s="7">
        <v>2</v>
      </c>
      <c r="B2154" s="8">
        <v>43522</v>
      </c>
      <c r="C2154" s="9" t="s">
        <v>5</v>
      </c>
      <c r="D2154" s="10">
        <v>1267.6299999999999</v>
      </c>
      <c r="E2154" s="10">
        <v>0</v>
      </c>
      <c r="F2154" t="str">
        <f>VLOOKUP(A2154,StoreLookup,2,FALSE)</f>
        <v>Store#2</v>
      </c>
      <c r="G2154">
        <f>INDEX(CalLookUpTable,MATCH($B2154,CalLookUpRow,0),MATCH(G$1,CalLookUpColumn,0))</f>
        <v>2019</v>
      </c>
      <c r="H2154">
        <f>INDEX(CalLookUpTable,MATCH($B2154,CalLookUpRow,0),MATCH(H$1,CalLookUpColumn,0))</f>
        <v>3</v>
      </c>
      <c r="I2154">
        <f>INDEX(CalLookUpTable,MATCH($B2154,CalLookUpRow,0),MATCH(I$1,CalLookUpColumn,0))</f>
        <v>1</v>
      </c>
    </row>
    <row r="2155" spans="1:9" x14ac:dyDescent="0.25">
      <c r="A2155" s="7">
        <v>2</v>
      </c>
      <c r="B2155" s="8">
        <v>43522</v>
      </c>
      <c r="C2155" s="9" t="s">
        <v>4</v>
      </c>
      <c r="D2155" s="10">
        <v>1701.5740000000001</v>
      </c>
      <c r="E2155" s="10">
        <v>2465.8759999999997</v>
      </c>
      <c r="F2155" t="str">
        <f>VLOOKUP(A2155,StoreLookup,2,FALSE)</f>
        <v>Store#2</v>
      </c>
      <c r="G2155">
        <f>INDEX(CalLookUpTable,MATCH($B2155,CalLookUpRow,0),MATCH(G$1,CalLookUpColumn,0))</f>
        <v>2019</v>
      </c>
      <c r="H2155">
        <f>INDEX(CalLookUpTable,MATCH($B2155,CalLookUpRow,0),MATCH(H$1,CalLookUpColumn,0))</f>
        <v>3</v>
      </c>
      <c r="I2155">
        <f>INDEX(CalLookUpTable,MATCH($B2155,CalLookUpRow,0),MATCH(I$1,CalLookUpColumn,0))</f>
        <v>1</v>
      </c>
    </row>
    <row r="2156" spans="1:9" x14ac:dyDescent="0.25">
      <c r="A2156" s="7">
        <v>2</v>
      </c>
      <c r="B2156" s="8">
        <v>43522</v>
      </c>
      <c r="C2156" s="9" t="s">
        <v>3</v>
      </c>
      <c r="D2156" s="10">
        <v>0</v>
      </c>
      <c r="E2156" s="10">
        <v>0</v>
      </c>
      <c r="F2156" t="str">
        <f>VLOOKUP(A2156,StoreLookup,2,FALSE)</f>
        <v>Store#2</v>
      </c>
      <c r="G2156">
        <f>INDEX(CalLookUpTable,MATCH($B2156,CalLookUpRow,0),MATCH(G$1,CalLookUpColumn,0))</f>
        <v>2019</v>
      </c>
      <c r="H2156">
        <f>INDEX(CalLookUpTable,MATCH($B2156,CalLookUpRow,0),MATCH(H$1,CalLookUpColumn,0))</f>
        <v>3</v>
      </c>
      <c r="I2156">
        <f>INDEX(CalLookUpTable,MATCH($B2156,CalLookUpRow,0),MATCH(I$1,CalLookUpColumn,0))</f>
        <v>1</v>
      </c>
    </row>
    <row r="2157" spans="1:9" x14ac:dyDescent="0.25">
      <c r="A2157" s="7">
        <v>2</v>
      </c>
      <c r="B2157" s="8">
        <v>43522</v>
      </c>
      <c r="C2157" s="9" t="s">
        <v>6</v>
      </c>
      <c r="D2157" s="10">
        <v>292.97800000000001</v>
      </c>
      <c r="E2157" s="10">
        <v>323.44200000000001</v>
      </c>
      <c r="F2157" t="str">
        <f>VLOOKUP(A2157,StoreLookup,2,FALSE)</f>
        <v>Store#2</v>
      </c>
      <c r="G2157">
        <f>INDEX(CalLookUpTable,MATCH($B2157,CalLookUpRow,0),MATCH(G$1,CalLookUpColumn,0))</f>
        <v>2019</v>
      </c>
      <c r="H2157">
        <f>INDEX(CalLookUpTable,MATCH($B2157,CalLookUpRow,0),MATCH(H$1,CalLookUpColumn,0))</f>
        <v>3</v>
      </c>
      <c r="I2157">
        <f>INDEX(CalLookUpTable,MATCH($B2157,CalLookUpRow,0),MATCH(I$1,CalLookUpColumn,0))</f>
        <v>1</v>
      </c>
    </row>
    <row r="2158" spans="1:9" x14ac:dyDescent="0.25">
      <c r="A2158" s="7">
        <v>2</v>
      </c>
      <c r="B2158" s="8">
        <v>43523</v>
      </c>
      <c r="C2158" s="9" t="s">
        <v>4</v>
      </c>
      <c r="D2158" s="10">
        <v>1548.2669999999998</v>
      </c>
      <c r="E2158" s="10">
        <v>2029.6499999999999</v>
      </c>
      <c r="F2158" t="str">
        <f>VLOOKUP(A2158,StoreLookup,2,FALSE)</f>
        <v>Store#2</v>
      </c>
      <c r="G2158">
        <f>INDEX(CalLookUpTable,MATCH($B2158,CalLookUpRow,0),MATCH(G$1,CalLookUpColumn,0))</f>
        <v>2019</v>
      </c>
      <c r="H2158">
        <f>INDEX(CalLookUpTable,MATCH($B2158,CalLookUpRow,0),MATCH(H$1,CalLookUpColumn,0))</f>
        <v>3</v>
      </c>
      <c r="I2158">
        <f>INDEX(CalLookUpTable,MATCH($B2158,CalLookUpRow,0),MATCH(I$1,CalLookUpColumn,0))</f>
        <v>1</v>
      </c>
    </row>
    <row r="2159" spans="1:9" x14ac:dyDescent="0.25">
      <c r="A2159" s="7">
        <v>2</v>
      </c>
      <c r="B2159" s="8">
        <v>43523</v>
      </c>
      <c r="C2159" s="9" t="s">
        <v>3</v>
      </c>
      <c r="D2159" s="10">
        <v>169.24599999999998</v>
      </c>
      <c r="E2159" s="10">
        <v>829.24099999999999</v>
      </c>
      <c r="F2159" t="str">
        <f>VLOOKUP(A2159,StoreLookup,2,FALSE)</f>
        <v>Store#2</v>
      </c>
      <c r="G2159">
        <f>INDEX(CalLookUpTable,MATCH($B2159,CalLookUpRow,0),MATCH(G$1,CalLookUpColumn,0))</f>
        <v>2019</v>
      </c>
      <c r="H2159">
        <f>INDEX(CalLookUpTable,MATCH($B2159,CalLookUpRow,0),MATCH(H$1,CalLookUpColumn,0))</f>
        <v>3</v>
      </c>
      <c r="I2159">
        <f>INDEX(CalLookUpTable,MATCH($B2159,CalLookUpRow,0),MATCH(I$1,CalLookUpColumn,0))</f>
        <v>1</v>
      </c>
    </row>
    <row r="2160" spans="1:9" x14ac:dyDescent="0.25">
      <c r="A2160" s="7">
        <v>2</v>
      </c>
      <c r="B2160" s="8">
        <v>43523</v>
      </c>
      <c r="C2160" s="9" t="s">
        <v>5</v>
      </c>
      <c r="D2160" s="10">
        <v>812.86099999999999</v>
      </c>
      <c r="E2160" s="10">
        <v>0</v>
      </c>
      <c r="F2160" t="str">
        <f>VLOOKUP(A2160,StoreLookup,2,FALSE)</f>
        <v>Store#2</v>
      </c>
      <c r="G2160">
        <f>INDEX(CalLookUpTable,MATCH($B2160,CalLookUpRow,0),MATCH(G$1,CalLookUpColumn,0))</f>
        <v>2019</v>
      </c>
      <c r="H2160">
        <f>INDEX(CalLookUpTable,MATCH($B2160,CalLookUpRow,0),MATCH(H$1,CalLookUpColumn,0))</f>
        <v>3</v>
      </c>
      <c r="I2160">
        <f>INDEX(CalLookUpTable,MATCH($B2160,CalLookUpRow,0),MATCH(I$1,CalLookUpColumn,0))</f>
        <v>1</v>
      </c>
    </row>
    <row r="2161" spans="1:9" x14ac:dyDescent="0.25">
      <c r="A2161" s="7">
        <v>2</v>
      </c>
      <c r="B2161" s="8">
        <v>43523</v>
      </c>
      <c r="C2161" s="9" t="s">
        <v>6</v>
      </c>
      <c r="D2161" s="10">
        <v>383.488</v>
      </c>
      <c r="E2161" s="10">
        <v>324.28199999999998</v>
      </c>
      <c r="F2161" t="str">
        <f>VLOOKUP(A2161,StoreLookup,2,FALSE)</f>
        <v>Store#2</v>
      </c>
      <c r="G2161">
        <f>INDEX(CalLookUpTable,MATCH($B2161,CalLookUpRow,0),MATCH(G$1,CalLookUpColumn,0))</f>
        <v>2019</v>
      </c>
      <c r="H2161">
        <f>INDEX(CalLookUpTable,MATCH($B2161,CalLookUpRow,0),MATCH(H$1,CalLookUpColumn,0))</f>
        <v>3</v>
      </c>
      <c r="I2161">
        <f>INDEX(CalLookUpTable,MATCH($B2161,CalLookUpRow,0),MATCH(I$1,CalLookUpColumn,0))</f>
        <v>1</v>
      </c>
    </row>
    <row r="2162" spans="1:9" x14ac:dyDescent="0.25">
      <c r="A2162" s="7">
        <v>2</v>
      </c>
      <c r="B2162" s="8">
        <v>43524</v>
      </c>
      <c r="C2162" s="9" t="s">
        <v>6</v>
      </c>
      <c r="D2162" s="10">
        <v>396.65499999999997</v>
      </c>
      <c r="E2162" s="10">
        <v>462.7</v>
      </c>
      <c r="F2162" t="str">
        <f>VLOOKUP(A2162,StoreLookup,2,FALSE)</f>
        <v>Store#2</v>
      </c>
      <c r="G2162">
        <f>INDEX(CalLookUpTable,MATCH($B2162,CalLookUpRow,0),MATCH(G$1,CalLookUpColumn,0))</f>
        <v>2019</v>
      </c>
      <c r="H2162">
        <f>INDEX(CalLookUpTable,MATCH($B2162,CalLookUpRow,0),MATCH(H$1,CalLookUpColumn,0))</f>
        <v>3</v>
      </c>
      <c r="I2162">
        <f>INDEX(CalLookUpTable,MATCH($B2162,CalLookUpRow,0),MATCH(I$1,CalLookUpColumn,0))</f>
        <v>1</v>
      </c>
    </row>
    <row r="2163" spans="1:9" x14ac:dyDescent="0.25">
      <c r="A2163" s="7">
        <v>2</v>
      </c>
      <c r="B2163" s="8">
        <v>43524</v>
      </c>
      <c r="C2163" s="9" t="s">
        <v>4</v>
      </c>
      <c r="D2163" s="10">
        <v>1558.144</v>
      </c>
      <c r="E2163" s="10">
        <v>2241.5399999999995</v>
      </c>
      <c r="F2163" t="str">
        <f>VLOOKUP(A2163,StoreLookup,2,FALSE)</f>
        <v>Store#2</v>
      </c>
      <c r="G2163">
        <f>INDEX(CalLookUpTable,MATCH($B2163,CalLookUpRow,0),MATCH(G$1,CalLookUpColumn,0))</f>
        <v>2019</v>
      </c>
      <c r="H2163">
        <f>INDEX(CalLookUpTable,MATCH($B2163,CalLookUpRow,0),MATCH(H$1,CalLookUpColumn,0))</f>
        <v>3</v>
      </c>
      <c r="I2163">
        <f>INDEX(CalLookUpTable,MATCH($B2163,CalLookUpRow,0),MATCH(I$1,CalLookUpColumn,0))</f>
        <v>1</v>
      </c>
    </row>
    <row r="2164" spans="1:9" x14ac:dyDescent="0.25">
      <c r="A2164" s="7">
        <v>2</v>
      </c>
      <c r="B2164" s="8">
        <v>43524</v>
      </c>
      <c r="C2164" s="9" t="s">
        <v>3</v>
      </c>
      <c r="D2164" s="10">
        <v>0</v>
      </c>
      <c r="E2164" s="10">
        <v>506.59699999999998</v>
      </c>
      <c r="F2164" t="str">
        <f>VLOOKUP(A2164,StoreLookup,2,FALSE)</f>
        <v>Store#2</v>
      </c>
      <c r="G2164">
        <f>INDEX(CalLookUpTable,MATCH($B2164,CalLookUpRow,0),MATCH(G$1,CalLookUpColumn,0))</f>
        <v>2019</v>
      </c>
      <c r="H2164">
        <f>INDEX(CalLookUpTable,MATCH($B2164,CalLookUpRow,0),MATCH(H$1,CalLookUpColumn,0))</f>
        <v>3</v>
      </c>
      <c r="I2164">
        <f>INDEX(CalLookUpTable,MATCH($B2164,CalLookUpRow,0),MATCH(I$1,CalLookUpColumn,0))</f>
        <v>1</v>
      </c>
    </row>
    <row r="2165" spans="1:9" x14ac:dyDescent="0.25">
      <c r="A2165" s="7">
        <v>2</v>
      </c>
      <c r="B2165" s="8">
        <v>43524</v>
      </c>
      <c r="C2165" s="9" t="s">
        <v>5</v>
      </c>
      <c r="D2165" s="10">
        <v>1031.366</v>
      </c>
      <c r="E2165" s="10">
        <v>0</v>
      </c>
      <c r="F2165" t="str">
        <f>VLOOKUP(A2165,StoreLookup,2,FALSE)</f>
        <v>Store#2</v>
      </c>
      <c r="G2165">
        <f>INDEX(CalLookUpTable,MATCH($B2165,CalLookUpRow,0),MATCH(G$1,CalLookUpColumn,0))</f>
        <v>2019</v>
      </c>
      <c r="H2165">
        <f>INDEX(CalLookUpTable,MATCH($B2165,CalLookUpRow,0),MATCH(H$1,CalLookUpColumn,0))</f>
        <v>3</v>
      </c>
      <c r="I2165">
        <f>INDEX(CalLookUpTable,MATCH($B2165,CalLookUpRow,0),MATCH(I$1,CalLookUpColumn,0))</f>
        <v>1</v>
      </c>
    </row>
    <row r="2166" spans="1:9" x14ac:dyDescent="0.25">
      <c r="A2166" s="7">
        <v>2</v>
      </c>
      <c r="B2166" s="8">
        <v>43525</v>
      </c>
      <c r="C2166" s="9" t="s">
        <v>4</v>
      </c>
      <c r="D2166" s="10">
        <v>2566.5429999999997</v>
      </c>
      <c r="E2166" s="10">
        <v>2530.8989999999999</v>
      </c>
      <c r="F2166" t="str">
        <f>VLOOKUP(A2166,StoreLookup,2,FALSE)</f>
        <v>Store#2</v>
      </c>
      <c r="G2166">
        <f>INDEX(CalLookUpTable,MATCH($B2166,CalLookUpRow,0),MATCH(G$1,CalLookUpColumn,0))</f>
        <v>2019</v>
      </c>
      <c r="H2166">
        <f>INDEX(CalLookUpTable,MATCH($B2166,CalLookUpRow,0),MATCH(H$1,CalLookUpColumn,0))</f>
        <v>3</v>
      </c>
      <c r="I2166">
        <f>INDEX(CalLookUpTable,MATCH($B2166,CalLookUpRow,0),MATCH(I$1,CalLookUpColumn,0))</f>
        <v>1</v>
      </c>
    </row>
    <row r="2167" spans="1:9" x14ac:dyDescent="0.25">
      <c r="A2167" s="7">
        <v>2</v>
      </c>
      <c r="B2167" s="8">
        <v>43525</v>
      </c>
      <c r="C2167" s="9" t="s">
        <v>3</v>
      </c>
      <c r="D2167" s="10">
        <v>0</v>
      </c>
      <c r="E2167" s="10">
        <v>0</v>
      </c>
      <c r="F2167" t="str">
        <f>VLOOKUP(A2167,StoreLookup,2,FALSE)</f>
        <v>Store#2</v>
      </c>
      <c r="G2167">
        <f>INDEX(CalLookUpTable,MATCH($B2167,CalLookUpRow,0),MATCH(G$1,CalLookUpColumn,0))</f>
        <v>2019</v>
      </c>
      <c r="H2167">
        <f>INDEX(CalLookUpTable,MATCH($B2167,CalLookUpRow,0),MATCH(H$1,CalLookUpColumn,0))</f>
        <v>3</v>
      </c>
      <c r="I2167">
        <f>INDEX(CalLookUpTable,MATCH($B2167,CalLookUpRow,0),MATCH(I$1,CalLookUpColumn,0))</f>
        <v>1</v>
      </c>
    </row>
    <row r="2168" spans="1:9" x14ac:dyDescent="0.25">
      <c r="A2168" s="7">
        <v>2</v>
      </c>
      <c r="B2168" s="8">
        <v>43525</v>
      </c>
      <c r="C2168" s="9" t="s">
        <v>5</v>
      </c>
      <c r="D2168" s="10">
        <v>1332.9189999999999</v>
      </c>
      <c r="E2168" s="10">
        <v>0</v>
      </c>
      <c r="F2168" t="str">
        <f>VLOOKUP(A2168,StoreLookup,2,FALSE)</f>
        <v>Store#2</v>
      </c>
      <c r="G2168">
        <f>INDEX(CalLookUpTable,MATCH($B2168,CalLookUpRow,0),MATCH(G$1,CalLookUpColumn,0))</f>
        <v>2019</v>
      </c>
      <c r="H2168">
        <f>INDEX(CalLookUpTable,MATCH($B2168,CalLookUpRow,0),MATCH(H$1,CalLookUpColumn,0))</f>
        <v>3</v>
      </c>
      <c r="I2168">
        <f>INDEX(CalLookUpTable,MATCH($B2168,CalLookUpRow,0),MATCH(I$1,CalLookUpColumn,0))</f>
        <v>1</v>
      </c>
    </row>
    <row r="2169" spans="1:9" x14ac:dyDescent="0.25">
      <c r="A2169" s="7">
        <v>2</v>
      </c>
      <c r="B2169" s="8">
        <v>43525</v>
      </c>
      <c r="C2169" s="9" t="s">
        <v>6</v>
      </c>
      <c r="D2169" s="10">
        <v>628.89399999999989</v>
      </c>
      <c r="E2169" s="10">
        <v>836.64699999999993</v>
      </c>
      <c r="F2169" t="str">
        <f>VLOOKUP(A2169,StoreLookup,2,FALSE)</f>
        <v>Store#2</v>
      </c>
      <c r="G2169">
        <f>INDEX(CalLookUpTable,MATCH($B2169,CalLookUpRow,0),MATCH(G$1,CalLookUpColumn,0))</f>
        <v>2019</v>
      </c>
      <c r="H2169">
        <f>INDEX(CalLookUpTable,MATCH($B2169,CalLookUpRow,0),MATCH(H$1,CalLookUpColumn,0))</f>
        <v>3</v>
      </c>
      <c r="I2169">
        <f>INDEX(CalLookUpTable,MATCH($B2169,CalLookUpRow,0),MATCH(I$1,CalLookUpColumn,0))</f>
        <v>1</v>
      </c>
    </row>
    <row r="2170" spans="1:9" x14ac:dyDescent="0.25">
      <c r="A2170" s="7">
        <v>2</v>
      </c>
      <c r="B2170" s="8">
        <v>43526</v>
      </c>
      <c r="C2170" s="9" t="s">
        <v>4</v>
      </c>
      <c r="D2170" s="10">
        <v>1989.5609999999999</v>
      </c>
      <c r="E2170" s="10">
        <v>2724.5539999999996</v>
      </c>
      <c r="F2170" t="str">
        <f>VLOOKUP(A2170,StoreLookup,2,FALSE)</f>
        <v>Store#2</v>
      </c>
      <c r="G2170">
        <f>INDEX(CalLookUpTable,MATCH($B2170,CalLookUpRow,0),MATCH(G$1,CalLookUpColumn,0))</f>
        <v>2019</v>
      </c>
      <c r="H2170">
        <f>INDEX(CalLookUpTable,MATCH($B2170,CalLookUpRow,0),MATCH(H$1,CalLookUpColumn,0))</f>
        <v>3</v>
      </c>
      <c r="I2170">
        <f>INDEX(CalLookUpTable,MATCH($B2170,CalLookUpRow,0),MATCH(I$1,CalLookUpColumn,0))</f>
        <v>1</v>
      </c>
    </row>
    <row r="2171" spans="1:9" x14ac:dyDescent="0.25">
      <c r="A2171" s="7">
        <v>2</v>
      </c>
      <c r="B2171" s="8">
        <v>43526</v>
      </c>
      <c r="C2171" s="9" t="s">
        <v>3</v>
      </c>
      <c r="D2171" s="10">
        <v>0</v>
      </c>
      <c r="E2171" s="10">
        <v>22.028999999999996</v>
      </c>
      <c r="F2171" t="str">
        <f>VLOOKUP(A2171,StoreLookup,2,FALSE)</f>
        <v>Store#2</v>
      </c>
      <c r="G2171">
        <f>INDEX(CalLookUpTable,MATCH($B2171,CalLookUpRow,0),MATCH(G$1,CalLookUpColumn,0))</f>
        <v>2019</v>
      </c>
      <c r="H2171">
        <f>INDEX(CalLookUpTable,MATCH($B2171,CalLookUpRow,0),MATCH(H$1,CalLookUpColumn,0))</f>
        <v>3</v>
      </c>
      <c r="I2171">
        <f>INDEX(CalLookUpTable,MATCH($B2171,CalLookUpRow,0),MATCH(I$1,CalLookUpColumn,0))</f>
        <v>1</v>
      </c>
    </row>
    <row r="2172" spans="1:9" x14ac:dyDescent="0.25">
      <c r="A2172" s="7">
        <v>2</v>
      </c>
      <c r="B2172" s="8">
        <v>43526</v>
      </c>
      <c r="C2172" s="9" t="s">
        <v>6</v>
      </c>
      <c r="D2172" s="10">
        <v>308.161</v>
      </c>
      <c r="E2172" s="10">
        <v>485.42199999999997</v>
      </c>
      <c r="F2172" t="str">
        <f>VLOOKUP(A2172,StoreLookup,2,FALSE)</f>
        <v>Store#2</v>
      </c>
      <c r="G2172">
        <f>INDEX(CalLookUpTable,MATCH($B2172,CalLookUpRow,0),MATCH(G$1,CalLookUpColumn,0))</f>
        <v>2019</v>
      </c>
      <c r="H2172">
        <f>INDEX(CalLookUpTable,MATCH($B2172,CalLookUpRow,0),MATCH(H$1,CalLookUpColumn,0))</f>
        <v>3</v>
      </c>
      <c r="I2172">
        <f>INDEX(CalLookUpTable,MATCH($B2172,CalLookUpRow,0),MATCH(I$1,CalLookUpColumn,0))</f>
        <v>1</v>
      </c>
    </row>
    <row r="2173" spans="1:9" x14ac:dyDescent="0.25">
      <c r="A2173" s="7">
        <v>2</v>
      </c>
      <c r="B2173" s="8">
        <v>43526</v>
      </c>
      <c r="C2173" s="9" t="s">
        <v>5</v>
      </c>
      <c r="D2173" s="10">
        <v>987.06299999999987</v>
      </c>
      <c r="E2173" s="10">
        <v>0</v>
      </c>
      <c r="F2173" t="str">
        <f>VLOOKUP(A2173,StoreLookup,2,FALSE)</f>
        <v>Store#2</v>
      </c>
      <c r="G2173">
        <f>INDEX(CalLookUpTable,MATCH($B2173,CalLookUpRow,0),MATCH(G$1,CalLookUpColumn,0))</f>
        <v>2019</v>
      </c>
      <c r="H2173">
        <f>INDEX(CalLookUpTable,MATCH($B2173,CalLookUpRow,0),MATCH(H$1,CalLookUpColumn,0))</f>
        <v>3</v>
      </c>
      <c r="I2173">
        <f>INDEX(CalLookUpTable,MATCH($B2173,CalLookUpRow,0),MATCH(I$1,CalLookUpColumn,0))</f>
        <v>1</v>
      </c>
    </row>
    <row r="2174" spans="1:9" x14ac:dyDescent="0.25">
      <c r="A2174" s="7">
        <v>2</v>
      </c>
      <c r="B2174" s="8">
        <v>43527</v>
      </c>
      <c r="C2174" s="9" t="s">
        <v>3</v>
      </c>
      <c r="D2174" s="10">
        <v>0</v>
      </c>
      <c r="E2174" s="10">
        <v>0</v>
      </c>
      <c r="F2174" t="str">
        <f>VLOOKUP(A2174,StoreLookup,2,FALSE)</f>
        <v>Store#2</v>
      </c>
      <c r="G2174">
        <f>INDEX(CalLookUpTable,MATCH($B2174,CalLookUpRow,0),MATCH(G$1,CalLookUpColumn,0))</f>
        <v>2019</v>
      </c>
      <c r="H2174">
        <f>INDEX(CalLookUpTable,MATCH($B2174,CalLookUpRow,0),MATCH(H$1,CalLookUpColumn,0))</f>
        <v>3</v>
      </c>
      <c r="I2174">
        <f>INDEX(CalLookUpTable,MATCH($B2174,CalLookUpRow,0),MATCH(I$1,CalLookUpColumn,0))</f>
        <v>1</v>
      </c>
    </row>
    <row r="2175" spans="1:9" x14ac:dyDescent="0.25">
      <c r="A2175" s="7">
        <v>2</v>
      </c>
      <c r="B2175" s="8">
        <v>43527</v>
      </c>
      <c r="C2175" s="9" t="s">
        <v>4</v>
      </c>
      <c r="D2175" s="10">
        <v>1153.0260000000001</v>
      </c>
      <c r="E2175" s="10">
        <v>1220.4639999999999</v>
      </c>
      <c r="F2175" t="str">
        <f>VLOOKUP(A2175,StoreLookup,2,FALSE)</f>
        <v>Store#2</v>
      </c>
      <c r="G2175">
        <f>INDEX(CalLookUpTable,MATCH($B2175,CalLookUpRow,0),MATCH(G$1,CalLookUpColumn,0))</f>
        <v>2019</v>
      </c>
      <c r="H2175">
        <f>INDEX(CalLookUpTable,MATCH($B2175,CalLookUpRow,0),MATCH(H$1,CalLookUpColumn,0))</f>
        <v>3</v>
      </c>
      <c r="I2175">
        <f>INDEX(CalLookUpTable,MATCH($B2175,CalLookUpRow,0),MATCH(I$1,CalLookUpColumn,0))</f>
        <v>1</v>
      </c>
    </row>
    <row r="2176" spans="1:9" x14ac:dyDescent="0.25">
      <c r="A2176" s="7">
        <v>2</v>
      </c>
      <c r="B2176" s="8">
        <v>43527</v>
      </c>
      <c r="C2176" s="9" t="s">
        <v>5</v>
      </c>
      <c r="D2176" s="10">
        <v>759.9129999999999</v>
      </c>
      <c r="E2176" s="10">
        <v>0</v>
      </c>
      <c r="F2176" t="str">
        <f>VLOOKUP(A2176,StoreLookup,2,FALSE)</f>
        <v>Store#2</v>
      </c>
      <c r="G2176">
        <f>INDEX(CalLookUpTable,MATCH($B2176,CalLookUpRow,0),MATCH(G$1,CalLookUpColumn,0))</f>
        <v>2019</v>
      </c>
      <c r="H2176">
        <f>INDEX(CalLookUpTable,MATCH($B2176,CalLookUpRow,0),MATCH(H$1,CalLookUpColumn,0))</f>
        <v>3</v>
      </c>
      <c r="I2176">
        <f>INDEX(CalLookUpTable,MATCH($B2176,CalLookUpRow,0),MATCH(I$1,CalLookUpColumn,0))</f>
        <v>1</v>
      </c>
    </row>
    <row r="2177" spans="1:9" x14ac:dyDescent="0.25">
      <c r="A2177" s="7">
        <v>2</v>
      </c>
      <c r="B2177" s="8">
        <v>43527</v>
      </c>
      <c r="C2177" s="9" t="s">
        <v>6</v>
      </c>
      <c r="D2177" s="10">
        <v>286.39799999999997</v>
      </c>
      <c r="E2177" s="10">
        <v>173.684</v>
      </c>
      <c r="F2177" t="str">
        <f>VLOOKUP(A2177,StoreLookup,2,FALSE)</f>
        <v>Store#2</v>
      </c>
      <c r="G2177">
        <f>INDEX(CalLookUpTable,MATCH($B2177,CalLookUpRow,0),MATCH(G$1,CalLookUpColumn,0))</f>
        <v>2019</v>
      </c>
      <c r="H2177">
        <f>INDEX(CalLookUpTable,MATCH($B2177,CalLookUpRow,0),MATCH(H$1,CalLookUpColumn,0))</f>
        <v>3</v>
      </c>
      <c r="I2177">
        <f>INDEX(CalLookUpTable,MATCH($B2177,CalLookUpRow,0),MATCH(I$1,CalLookUpColumn,0))</f>
        <v>1</v>
      </c>
    </row>
    <row r="2178" spans="1:9" x14ac:dyDescent="0.25">
      <c r="A2178" s="7">
        <v>2</v>
      </c>
      <c r="B2178" s="8">
        <v>43528</v>
      </c>
      <c r="C2178" s="9" t="s">
        <v>6</v>
      </c>
      <c r="D2178" s="10">
        <v>213.59799999999998</v>
      </c>
      <c r="E2178" s="10">
        <v>369.334</v>
      </c>
      <c r="F2178" t="str">
        <f>VLOOKUP(A2178,StoreLookup,2,FALSE)</f>
        <v>Store#2</v>
      </c>
      <c r="G2178">
        <f>INDEX(CalLookUpTable,MATCH($B2178,CalLookUpRow,0),MATCH(G$1,CalLookUpColumn,0))</f>
        <v>2019</v>
      </c>
      <c r="H2178">
        <f>INDEX(CalLookUpTable,MATCH($B2178,CalLookUpRow,0),MATCH(H$1,CalLookUpColumn,0))</f>
        <v>3</v>
      </c>
      <c r="I2178">
        <f>INDEX(CalLookUpTable,MATCH($B2178,CalLookUpRow,0),MATCH(I$1,CalLookUpColumn,0))</f>
        <v>2</v>
      </c>
    </row>
    <row r="2179" spans="1:9" x14ac:dyDescent="0.25">
      <c r="A2179" s="7">
        <v>2</v>
      </c>
      <c r="B2179" s="8">
        <v>43528</v>
      </c>
      <c r="C2179" s="9" t="s">
        <v>5</v>
      </c>
      <c r="D2179" s="10">
        <v>864.03099999999995</v>
      </c>
      <c r="E2179" s="10">
        <v>0</v>
      </c>
      <c r="F2179" t="str">
        <f>VLOOKUP(A2179,StoreLookup,2,FALSE)</f>
        <v>Store#2</v>
      </c>
      <c r="G2179">
        <f>INDEX(CalLookUpTable,MATCH($B2179,CalLookUpRow,0),MATCH(G$1,CalLookUpColumn,0))</f>
        <v>2019</v>
      </c>
      <c r="H2179">
        <f>INDEX(CalLookUpTable,MATCH($B2179,CalLookUpRow,0),MATCH(H$1,CalLookUpColumn,0))</f>
        <v>3</v>
      </c>
      <c r="I2179">
        <f>INDEX(CalLookUpTable,MATCH($B2179,CalLookUpRow,0),MATCH(I$1,CalLookUpColumn,0))</f>
        <v>2</v>
      </c>
    </row>
    <row r="2180" spans="1:9" x14ac:dyDescent="0.25">
      <c r="A2180" s="7">
        <v>2</v>
      </c>
      <c r="B2180" s="8">
        <v>43528</v>
      </c>
      <c r="C2180" s="9" t="s">
        <v>4</v>
      </c>
      <c r="D2180" s="10">
        <v>1323.0769999999998</v>
      </c>
      <c r="E2180" s="10">
        <v>1866.2979999999998</v>
      </c>
      <c r="F2180" t="str">
        <f>VLOOKUP(A2180,StoreLookup,2,FALSE)</f>
        <v>Store#2</v>
      </c>
      <c r="G2180">
        <f>INDEX(CalLookUpTable,MATCH($B2180,CalLookUpRow,0),MATCH(G$1,CalLookUpColumn,0))</f>
        <v>2019</v>
      </c>
      <c r="H2180">
        <f>INDEX(CalLookUpTable,MATCH($B2180,CalLookUpRow,0),MATCH(H$1,CalLookUpColumn,0))</f>
        <v>3</v>
      </c>
      <c r="I2180">
        <f>INDEX(CalLookUpTable,MATCH($B2180,CalLookUpRow,0),MATCH(I$1,CalLookUpColumn,0))</f>
        <v>2</v>
      </c>
    </row>
    <row r="2181" spans="1:9" x14ac:dyDescent="0.25">
      <c r="A2181" s="7">
        <v>2</v>
      </c>
      <c r="B2181" s="8">
        <v>43528</v>
      </c>
      <c r="C2181" s="9" t="s">
        <v>3</v>
      </c>
      <c r="D2181" s="10">
        <v>0</v>
      </c>
      <c r="E2181" s="10">
        <v>0</v>
      </c>
      <c r="F2181" t="str">
        <f>VLOOKUP(A2181,StoreLookup,2,FALSE)</f>
        <v>Store#2</v>
      </c>
      <c r="G2181">
        <f>INDEX(CalLookUpTable,MATCH($B2181,CalLookUpRow,0),MATCH(G$1,CalLookUpColumn,0))</f>
        <v>2019</v>
      </c>
      <c r="H2181">
        <f>INDEX(CalLookUpTable,MATCH($B2181,CalLookUpRow,0),MATCH(H$1,CalLookUpColumn,0))</f>
        <v>3</v>
      </c>
      <c r="I2181">
        <f>INDEX(CalLookUpTable,MATCH($B2181,CalLookUpRow,0),MATCH(I$1,CalLookUpColumn,0))</f>
        <v>2</v>
      </c>
    </row>
    <row r="2182" spans="1:9" x14ac:dyDescent="0.25">
      <c r="A2182" s="7">
        <v>2</v>
      </c>
      <c r="B2182" s="8">
        <v>43529</v>
      </c>
      <c r="C2182" s="9" t="s">
        <v>3</v>
      </c>
      <c r="D2182" s="10">
        <v>153.46099999999998</v>
      </c>
      <c r="E2182" s="10">
        <v>0</v>
      </c>
      <c r="F2182" t="str">
        <f>VLOOKUP(A2182,StoreLookup,2,FALSE)</f>
        <v>Store#2</v>
      </c>
      <c r="G2182">
        <f>INDEX(CalLookUpTable,MATCH($B2182,CalLookUpRow,0),MATCH(G$1,CalLookUpColumn,0))</f>
        <v>2019</v>
      </c>
      <c r="H2182">
        <f>INDEX(CalLookUpTable,MATCH($B2182,CalLookUpRow,0),MATCH(H$1,CalLookUpColumn,0))</f>
        <v>3</v>
      </c>
      <c r="I2182">
        <f>INDEX(CalLookUpTable,MATCH($B2182,CalLookUpRow,0),MATCH(I$1,CalLookUpColumn,0))</f>
        <v>2</v>
      </c>
    </row>
    <row r="2183" spans="1:9" x14ac:dyDescent="0.25">
      <c r="A2183" s="7">
        <v>2</v>
      </c>
      <c r="B2183" s="8">
        <v>43529</v>
      </c>
      <c r="C2183" s="9" t="s">
        <v>6</v>
      </c>
      <c r="D2183" s="10">
        <v>288.267</v>
      </c>
      <c r="E2183" s="10">
        <v>397.25699999999995</v>
      </c>
      <c r="F2183" t="str">
        <f>VLOOKUP(A2183,StoreLookup,2,FALSE)</f>
        <v>Store#2</v>
      </c>
      <c r="G2183">
        <f>INDEX(CalLookUpTable,MATCH($B2183,CalLookUpRow,0),MATCH(G$1,CalLookUpColumn,0))</f>
        <v>2019</v>
      </c>
      <c r="H2183">
        <f>INDEX(CalLookUpTable,MATCH($B2183,CalLookUpRow,0),MATCH(H$1,CalLookUpColumn,0))</f>
        <v>3</v>
      </c>
      <c r="I2183">
        <f>INDEX(CalLookUpTable,MATCH($B2183,CalLookUpRow,0),MATCH(I$1,CalLookUpColumn,0))</f>
        <v>2</v>
      </c>
    </row>
    <row r="2184" spans="1:9" x14ac:dyDescent="0.25">
      <c r="A2184" s="7">
        <v>2</v>
      </c>
      <c r="B2184" s="8">
        <v>43529</v>
      </c>
      <c r="C2184" s="9" t="s">
        <v>4</v>
      </c>
      <c r="D2184" s="10">
        <v>1792.1259999999997</v>
      </c>
      <c r="E2184" s="10">
        <v>1909.7119999999998</v>
      </c>
      <c r="F2184" t="str">
        <f>VLOOKUP(A2184,StoreLookup,2,FALSE)</f>
        <v>Store#2</v>
      </c>
      <c r="G2184">
        <f>INDEX(CalLookUpTable,MATCH($B2184,CalLookUpRow,0),MATCH(G$1,CalLookUpColumn,0))</f>
        <v>2019</v>
      </c>
      <c r="H2184">
        <f>INDEX(CalLookUpTable,MATCH($B2184,CalLookUpRow,0),MATCH(H$1,CalLookUpColumn,0))</f>
        <v>3</v>
      </c>
      <c r="I2184">
        <f>INDEX(CalLookUpTable,MATCH($B2184,CalLookUpRow,0),MATCH(I$1,CalLookUpColumn,0))</f>
        <v>2</v>
      </c>
    </row>
    <row r="2185" spans="1:9" x14ac:dyDescent="0.25">
      <c r="A2185" s="7">
        <v>2</v>
      </c>
      <c r="B2185" s="8">
        <v>43529</v>
      </c>
      <c r="C2185" s="9" t="s">
        <v>5</v>
      </c>
      <c r="D2185" s="10">
        <v>1007.23</v>
      </c>
      <c r="E2185" s="10">
        <v>0</v>
      </c>
      <c r="F2185" t="str">
        <f>VLOOKUP(A2185,StoreLookup,2,FALSE)</f>
        <v>Store#2</v>
      </c>
      <c r="G2185">
        <f>INDEX(CalLookUpTable,MATCH($B2185,CalLookUpRow,0),MATCH(G$1,CalLookUpColumn,0))</f>
        <v>2019</v>
      </c>
      <c r="H2185">
        <f>INDEX(CalLookUpTable,MATCH($B2185,CalLookUpRow,0),MATCH(H$1,CalLookUpColumn,0))</f>
        <v>3</v>
      </c>
      <c r="I2185">
        <f>INDEX(CalLookUpTable,MATCH($B2185,CalLookUpRow,0),MATCH(I$1,CalLookUpColumn,0))</f>
        <v>2</v>
      </c>
    </row>
    <row r="2186" spans="1:9" x14ac:dyDescent="0.25">
      <c r="A2186" s="7">
        <v>2</v>
      </c>
      <c r="B2186" s="8">
        <v>43530</v>
      </c>
      <c r="C2186" s="9" t="s">
        <v>3</v>
      </c>
      <c r="D2186" s="10">
        <v>0</v>
      </c>
      <c r="E2186" s="10">
        <v>0</v>
      </c>
      <c r="F2186" t="str">
        <f>VLOOKUP(A2186,StoreLookup,2,FALSE)</f>
        <v>Store#2</v>
      </c>
      <c r="G2186">
        <f>INDEX(CalLookUpTable,MATCH($B2186,CalLookUpRow,0),MATCH(G$1,CalLookUpColumn,0))</f>
        <v>2019</v>
      </c>
      <c r="H2186">
        <f>INDEX(CalLookUpTable,MATCH($B2186,CalLookUpRow,0),MATCH(H$1,CalLookUpColumn,0))</f>
        <v>3</v>
      </c>
      <c r="I2186">
        <f>INDEX(CalLookUpTable,MATCH($B2186,CalLookUpRow,0),MATCH(I$1,CalLookUpColumn,0))</f>
        <v>2</v>
      </c>
    </row>
    <row r="2187" spans="1:9" x14ac:dyDescent="0.25">
      <c r="A2187" s="7">
        <v>2</v>
      </c>
      <c r="B2187" s="8">
        <v>43530</v>
      </c>
      <c r="C2187" s="9" t="s">
        <v>5</v>
      </c>
      <c r="D2187" s="10">
        <v>841.18299999999999</v>
      </c>
      <c r="E2187" s="10">
        <v>0</v>
      </c>
      <c r="F2187" t="str">
        <f>VLOOKUP(A2187,StoreLookup,2,FALSE)</f>
        <v>Store#2</v>
      </c>
      <c r="G2187">
        <f>INDEX(CalLookUpTable,MATCH($B2187,CalLookUpRow,0),MATCH(G$1,CalLookUpColumn,0))</f>
        <v>2019</v>
      </c>
      <c r="H2187">
        <f>INDEX(CalLookUpTable,MATCH($B2187,CalLookUpRow,0),MATCH(H$1,CalLookUpColumn,0))</f>
        <v>3</v>
      </c>
      <c r="I2187">
        <f>INDEX(CalLookUpTable,MATCH($B2187,CalLookUpRow,0),MATCH(I$1,CalLookUpColumn,0))</f>
        <v>2</v>
      </c>
    </row>
    <row r="2188" spans="1:9" x14ac:dyDescent="0.25">
      <c r="A2188" s="7">
        <v>2</v>
      </c>
      <c r="B2188" s="8">
        <v>43530</v>
      </c>
      <c r="C2188" s="9" t="s">
        <v>6</v>
      </c>
      <c r="D2188" s="10">
        <v>207.96299999999997</v>
      </c>
      <c r="E2188" s="10">
        <v>554.14099999999996</v>
      </c>
      <c r="F2188" t="str">
        <f>VLOOKUP(A2188,StoreLookup,2,FALSE)</f>
        <v>Store#2</v>
      </c>
      <c r="G2188">
        <f>INDEX(CalLookUpTable,MATCH($B2188,CalLookUpRow,0),MATCH(G$1,CalLookUpColumn,0))</f>
        <v>2019</v>
      </c>
      <c r="H2188">
        <f>INDEX(CalLookUpTable,MATCH($B2188,CalLookUpRow,0),MATCH(H$1,CalLookUpColumn,0))</f>
        <v>3</v>
      </c>
      <c r="I2188">
        <f>INDEX(CalLookUpTable,MATCH($B2188,CalLookUpRow,0),MATCH(I$1,CalLookUpColumn,0))</f>
        <v>2</v>
      </c>
    </row>
    <row r="2189" spans="1:9" x14ac:dyDescent="0.25">
      <c r="A2189" s="7">
        <v>2</v>
      </c>
      <c r="B2189" s="8">
        <v>43530</v>
      </c>
      <c r="C2189" s="9" t="s">
        <v>4</v>
      </c>
      <c r="D2189" s="10">
        <v>1674.414</v>
      </c>
      <c r="E2189" s="10">
        <v>2116.3869999999997</v>
      </c>
      <c r="F2189" t="str">
        <f>VLOOKUP(A2189,StoreLookup,2,FALSE)</f>
        <v>Store#2</v>
      </c>
      <c r="G2189">
        <f>INDEX(CalLookUpTable,MATCH($B2189,CalLookUpRow,0),MATCH(G$1,CalLookUpColumn,0))</f>
        <v>2019</v>
      </c>
      <c r="H2189">
        <f>INDEX(CalLookUpTable,MATCH($B2189,CalLookUpRow,0),MATCH(H$1,CalLookUpColumn,0))</f>
        <v>3</v>
      </c>
      <c r="I2189">
        <f>INDEX(CalLookUpTable,MATCH($B2189,CalLookUpRow,0),MATCH(I$1,CalLookUpColumn,0))</f>
        <v>2</v>
      </c>
    </row>
    <row r="2190" spans="1:9" x14ac:dyDescent="0.25">
      <c r="A2190" s="7">
        <v>2</v>
      </c>
      <c r="B2190" s="8">
        <v>43531</v>
      </c>
      <c r="C2190" s="9" t="s">
        <v>3</v>
      </c>
      <c r="D2190" s="10">
        <v>507.738</v>
      </c>
      <c r="E2190" s="10">
        <v>0</v>
      </c>
      <c r="F2190" t="str">
        <f>VLOOKUP(A2190,StoreLookup,2,FALSE)</f>
        <v>Store#2</v>
      </c>
      <c r="G2190">
        <f>INDEX(CalLookUpTable,MATCH($B2190,CalLookUpRow,0),MATCH(G$1,CalLookUpColumn,0))</f>
        <v>2019</v>
      </c>
      <c r="H2190">
        <f>INDEX(CalLookUpTable,MATCH($B2190,CalLookUpRow,0),MATCH(H$1,CalLookUpColumn,0))</f>
        <v>3</v>
      </c>
      <c r="I2190">
        <f>INDEX(CalLookUpTable,MATCH($B2190,CalLookUpRow,0),MATCH(I$1,CalLookUpColumn,0))</f>
        <v>2</v>
      </c>
    </row>
    <row r="2191" spans="1:9" x14ac:dyDescent="0.25">
      <c r="A2191" s="7">
        <v>2</v>
      </c>
      <c r="B2191" s="8">
        <v>43531</v>
      </c>
      <c r="C2191" s="9" t="s">
        <v>4</v>
      </c>
      <c r="D2191" s="10">
        <v>2116.6179999999999</v>
      </c>
      <c r="E2191" s="10">
        <v>2220.9179999999997</v>
      </c>
      <c r="F2191" t="str">
        <f>VLOOKUP(A2191,StoreLookup,2,FALSE)</f>
        <v>Store#2</v>
      </c>
      <c r="G2191">
        <f>INDEX(CalLookUpTable,MATCH($B2191,CalLookUpRow,0),MATCH(G$1,CalLookUpColumn,0))</f>
        <v>2019</v>
      </c>
      <c r="H2191">
        <f>INDEX(CalLookUpTable,MATCH($B2191,CalLookUpRow,0),MATCH(H$1,CalLookUpColumn,0))</f>
        <v>3</v>
      </c>
      <c r="I2191">
        <f>INDEX(CalLookUpTable,MATCH($B2191,CalLookUpRow,0),MATCH(I$1,CalLookUpColumn,0))</f>
        <v>2</v>
      </c>
    </row>
    <row r="2192" spans="1:9" x14ac:dyDescent="0.25">
      <c r="A2192" s="7">
        <v>2</v>
      </c>
      <c r="B2192" s="8">
        <v>43531</v>
      </c>
      <c r="C2192" s="9" t="s">
        <v>5</v>
      </c>
      <c r="D2192" s="10">
        <v>1261.9669999999999</v>
      </c>
      <c r="E2192" s="10">
        <v>0</v>
      </c>
      <c r="F2192" t="str">
        <f>VLOOKUP(A2192,StoreLookup,2,FALSE)</f>
        <v>Store#2</v>
      </c>
      <c r="G2192">
        <f>INDEX(CalLookUpTable,MATCH($B2192,CalLookUpRow,0),MATCH(G$1,CalLookUpColumn,0))</f>
        <v>2019</v>
      </c>
      <c r="H2192">
        <f>INDEX(CalLookUpTable,MATCH($B2192,CalLookUpRow,0),MATCH(H$1,CalLookUpColumn,0))</f>
        <v>3</v>
      </c>
      <c r="I2192">
        <f>INDEX(CalLookUpTable,MATCH($B2192,CalLookUpRow,0),MATCH(I$1,CalLookUpColumn,0))</f>
        <v>2</v>
      </c>
    </row>
    <row r="2193" spans="1:9" x14ac:dyDescent="0.25">
      <c r="A2193" s="7">
        <v>2</v>
      </c>
      <c r="B2193" s="8">
        <v>43531</v>
      </c>
      <c r="C2193" s="9" t="s">
        <v>6</v>
      </c>
      <c r="D2193" s="10">
        <v>404.92899999999997</v>
      </c>
      <c r="E2193" s="10">
        <v>270.91399999999999</v>
      </c>
      <c r="F2193" t="str">
        <f>VLOOKUP(A2193,StoreLookup,2,FALSE)</f>
        <v>Store#2</v>
      </c>
      <c r="G2193">
        <f>INDEX(CalLookUpTable,MATCH($B2193,CalLookUpRow,0),MATCH(G$1,CalLookUpColumn,0))</f>
        <v>2019</v>
      </c>
      <c r="H2193">
        <f>INDEX(CalLookUpTable,MATCH($B2193,CalLookUpRow,0),MATCH(H$1,CalLookUpColumn,0))</f>
        <v>3</v>
      </c>
      <c r="I2193">
        <f>INDEX(CalLookUpTable,MATCH($B2193,CalLookUpRow,0),MATCH(I$1,CalLookUpColumn,0))</f>
        <v>2</v>
      </c>
    </row>
    <row r="2194" spans="1:9" x14ac:dyDescent="0.25">
      <c r="A2194" s="7">
        <v>2</v>
      </c>
      <c r="B2194" s="8">
        <v>43532</v>
      </c>
      <c r="C2194" s="9" t="s">
        <v>6</v>
      </c>
      <c r="D2194" s="10">
        <v>418.14499999999998</v>
      </c>
      <c r="E2194" s="10">
        <v>610.07799999999997</v>
      </c>
      <c r="F2194" t="str">
        <f>VLOOKUP(A2194,StoreLookup,2,FALSE)</f>
        <v>Store#2</v>
      </c>
      <c r="G2194">
        <f>INDEX(CalLookUpTable,MATCH($B2194,CalLookUpRow,0),MATCH(G$1,CalLookUpColumn,0))</f>
        <v>2019</v>
      </c>
      <c r="H2194">
        <f>INDEX(CalLookUpTable,MATCH($B2194,CalLookUpRow,0),MATCH(H$1,CalLookUpColumn,0))</f>
        <v>3</v>
      </c>
      <c r="I2194">
        <f>INDEX(CalLookUpTable,MATCH($B2194,CalLookUpRow,0),MATCH(I$1,CalLookUpColumn,0))</f>
        <v>2</v>
      </c>
    </row>
    <row r="2195" spans="1:9" x14ac:dyDescent="0.25">
      <c r="A2195" s="7">
        <v>2</v>
      </c>
      <c r="B2195" s="8">
        <v>43532</v>
      </c>
      <c r="C2195" s="9" t="s">
        <v>5</v>
      </c>
      <c r="D2195" s="10">
        <v>1261.8899999999999</v>
      </c>
      <c r="E2195" s="10">
        <v>0</v>
      </c>
      <c r="F2195" t="str">
        <f>VLOOKUP(A2195,StoreLookup,2,FALSE)</f>
        <v>Store#2</v>
      </c>
      <c r="G2195">
        <f>INDEX(CalLookUpTable,MATCH($B2195,CalLookUpRow,0),MATCH(G$1,CalLookUpColumn,0))</f>
        <v>2019</v>
      </c>
      <c r="H2195">
        <f>INDEX(CalLookUpTable,MATCH($B2195,CalLookUpRow,0),MATCH(H$1,CalLookUpColumn,0))</f>
        <v>3</v>
      </c>
      <c r="I2195">
        <f>INDEX(CalLookUpTable,MATCH($B2195,CalLookUpRow,0),MATCH(I$1,CalLookUpColumn,0))</f>
        <v>2</v>
      </c>
    </row>
    <row r="2196" spans="1:9" x14ac:dyDescent="0.25">
      <c r="A2196" s="7">
        <v>2</v>
      </c>
      <c r="B2196" s="8">
        <v>43532</v>
      </c>
      <c r="C2196" s="9" t="s">
        <v>4</v>
      </c>
      <c r="D2196" s="10">
        <v>2493.4490000000001</v>
      </c>
      <c r="E2196" s="10">
        <v>2930.0039999999999</v>
      </c>
      <c r="F2196" t="str">
        <f>VLOOKUP(A2196,StoreLookup,2,FALSE)</f>
        <v>Store#2</v>
      </c>
      <c r="G2196">
        <f>INDEX(CalLookUpTable,MATCH($B2196,CalLookUpRow,0),MATCH(G$1,CalLookUpColumn,0))</f>
        <v>2019</v>
      </c>
      <c r="H2196">
        <f>INDEX(CalLookUpTable,MATCH($B2196,CalLookUpRow,0),MATCH(H$1,CalLookUpColumn,0))</f>
        <v>3</v>
      </c>
      <c r="I2196">
        <f>INDEX(CalLookUpTable,MATCH($B2196,CalLookUpRow,0),MATCH(I$1,CalLookUpColumn,0))</f>
        <v>2</v>
      </c>
    </row>
    <row r="2197" spans="1:9" x14ac:dyDescent="0.25">
      <c r="A2197" s="7">
        <v>2</v>
      </c>
      <c r="B2197" s="8">
        <v>43532</v>
      </c>
      <c r="C2197" s="9" t="s">
        <v>3</v>
      </c>
      <c r="D2197" s="10">
        <v>0</v>
      </c>
      <c r="E2197" s="10">
        <v>0</v>
      </c>
      <c r="F2197" t="str">
        <f>VLOOKUP(A2197,StoreLookup,2,FALSE)</f>
        <v>Store#2</v>
      </c>
      <c r="G2197">
        <f>INDEX(CalLookUpTable,MATCH($B2197,CalLookUpRow,0),MATCH(G$1,CalLookUpColumn,0))</f>
        <v>2019</v>
      </c>
      <c r="H2197">
        <f>INDEX(CalLookUpTable,MATCH($B2197,CalLookUpRow,0),MATCH(H$1,CalLookUpColumn,0))</f>
        <v>3</v>
      </c>
      <c r="I2197">
        <f>INDEX(CalLookUpTable,MATCH($B2197,CalLookUpRow,0),MATCH(I$1,CalLookUpColumn,0))</f>
        <v>2</v>
      </c>
    </row>
    <row r="2198" spans="1:9" x14ac:dyDescent="0.25">
      <c r="A2198" s="7">
        <v>2</v>
      </c>
      <c r="B2198" s="8">
        <v>43533</v>
      </c>
      <c r="C2198" s="9" t="s">
        <v>5</v>
      </c>
      <c r="D2198" s="10">
        <v>1064.252</v>
      </c>
      <c r="E2198" s="10">
        <v>0</v>
      </c>
      <c r="F2198" t="str">
        <f>VLOOKUP(A2198,StoreLookup,2,FALSE)</f>
        <v>Store#2</v>
      </c>
      <c r="G2198">
        <f>INDEX(CalLookUpTable,MATCH($B2198,CalLookUpRow,0),MATCH(G$1,CalLookUpColumn,0))</f>
        <v>2019</v>
      </c>
      <c r="H2198">
        <f>INDEX(CalLookUpTable,MATCH($B2198,CalLookUpRow,0),MATCH(H$1,CalLookUpColumn,0))</f>
        <v>3</v>
      </c>
      <c r="I2198">
        <f>INDEX(CalLookUpTable,MATCH($B2198,CalLookUpRow,0),MATCH(I$1,CalLookUpColumn,0))</f>
        <v>2</v>
      </c>
    </row>
    <row r="2199" spans="1:9" x14ac:dyDescent="0.25">
      <c r="A2199" s="7">
        <v>2</v>
      </c>
      <c r="B2199" s="8">
        <v>43533</v>
      </c>
      <c r="C2199" s="9" t="s">
        <v>6</v>
      </c>
      <c r="D2199" s="10">
        <v>401.49199999999996</v>
      </c>
      <c r="E2199" s="10">
        <v>445.79500000000002</v>
      </c>
      <c r="F2199" t="str">
        <f>VLOOKUP(A2199,StoreLookup,2,FALSE)</f>
        <v>Store#2</v>
      </c>
      <c r="G2199">
        <f>INDEX(CalLookUpTable,MATCH($B2199,CalLookUpRow,0),MATCH(G$1,CalLookUpColumn,0))</f>
        <v>2019</v>
      </c>
      <c r="H2199">
        <f>INDEX(CalLookUpTable,MATCH($B2199,CalLookUpRow,0),MATCH(H$1,CalLookUpColumn,0))</f>
        <v>3</v>
      </c>
      <c r="I2199">
        <f>INDEX(CalLookUpTable,MATCH($B2199,CalLookUpRow,0),MATCH(I$1,CalLookUpColumn,0))</f>
        <v>2</v>
      </c>
    </row>
    <row r="2200" spans="1:9" x14ac:dyDescent="0.25">
      <c r="A2200" s="7">
        <v>2</v>
      </c>
      <c r="B2200" s="8">
        <v>43533</v>
      </c>
      <c r="C2200" s="9" t="s">
        <v>4</v>
      </c>
      <c r="D2200" s="10">
        <v>1917.7479999999998</v>
      </c>
      <c r="E2200" s="10">
        <v>2641.4639999999999</v>
      </c>
      <c r="F2200" t="str">
        <f>VLOOKUP(A2200,StoreLookup,2,FALSE)</f>
        <v>Store#2</v>
      </c>
      <c r="G2200">
        <f>INDEX(CalLookUpTable,MATCH($B2200,CalLookUpRow,0),MATCH(G$1,CalLookUpColumn,0))</f>
        <v>2019</v>
      </c>
      <c r="H2200">
        <f>INDEX(CalLookUpTable,MATCH($B2200,CalLookUpRow,0),MATCH(H$1,CalLookUpColumn,0))</f>
        <v>3</v>
      </c>
      <c r="I2200">
        <f>INDEX(CalLookUpTable,MATCH($B2200,CalLookUpRow,0),MATCH(I$1,CalLookUpColumn,0))</f>
        <v>2</v>
      </c>
    </row>
    <row r="2201" spans="1:9" x14ac:dyDescent="0.25">
      <c r="A2201" s="7">
        <v>2</v>
      </c>
      <c r="B2201" s="8">
        <v>43533</v>
      </c>
      <c r="C2201" s="9" t="s">
        <v>3</v>
      </c>
      <c r="D2201" s="10">
        <v>0</v>
      </c>
      <c r="E2201" s="10">
        <v>0</v>
      </c>
      <c r="F2201" t="str">
        <f>VLOOKUP(A2201,StoreLookup,2,FALSE)</f>
        <v>Store#2</v>
      </c>
      <c r="G2201">
        <f>INDEX(CalLookUpTable,MATCH($B2201,CalLookUpRow,0),MATCH(G$1,CalLookUpColumn,0))</f>
        <v>2019</v>
      </c>
      <c r="H2201">
        <f>INDEX(CalLookUpTable,MATCH($B2201,CalLookUpRow,0),MATCH(H$1,CalLookUpColumn,0))</f>
        <v>3</v>
      </c>
      <c r="I2201">
        <f>INDEX(CalLookUpTable,MATCH($B2201,CalLookUpRow,0),MATCH(I$1,CalLookUpColumn,0))</f>
        <v>2</v>
      </c>
    </row>
    <row r="2202" spans="1:9" x14ac:dyDescent="0.25">
      <c r="A2202" s="7">
        <v>2</v>
      </c>
      <c r="B2202" s="8">
        <v>43534</v>
      </c>
      <c r="C2202" s="9" t="s">
        <v>4</v>
      </c>
      <c r="D2202" s="10">
        <v>1207.297</v>
      </c>
      <c r="E2202" s="10">
        <v>1304.933</v>
      </c>
      <c r="F2202" t="str">
        <f>VLOOKUP(A2202,StoreLookup,2,FALSE)</f>
        <v>Store#2</v>
      </c>
      <c r="G2202">
        <f>INDEX(CalLookUpTable,MATCH($B2202,CalLookUpRow,0),MATCH(G$1,CalLookUpColumn,0))</f>
        <v>2019</v>
      </c>
      <c r="H2202">
        <f>INDEX(CalLookUpTable,MATCH($B2202,CalLookUpRow,0),MATCH(H$1,CalLookUpColumn,0))</f>
        <v>3</v>
      </c>
      <c r="I2202">
        <f>INDEX(CalLookUpTable,MATCH($B2202,CalLookUpRow,0),MATCH(I$1,CalLookUpColumn,0))</f>
        <v>2</v>
      </c>
    </row>
    <row r="2203" spans="1:9" x14ac:dyDescent="0.25">
      <c r="A2203" s="7">
        <v>2</v>
      </c>
      <c r="B2203" s="8">
        <v>43534</v>
      </c>
      <c r="C2203" s="9" t="s">
        <v>3</v>
      </c>
      <c r="D2203" s="10">
        <v>0</v>
      </c>
      <c r="E2203" s="10">
        <v>80.64</v>
      </c>
      <c r="F2203" t="str">
        <f>VLOOKUP(A2203,StoreLookup,2,FALSE)</f>
        <v>Store#2</v>
      </c>
      <c r="G2203">
        <f>INDEX(CalLookUpTable,MATCH($B2203,CalLookUpRow,0),MATCH(G$1,CalLookUpColumn,0))</f>
        <v>2019</v>
      </c>
      <c r="H2203">
        <f>INDEX(CalLookUpTable,MATCH($B2203,CalLookUpRow,0),MATCH(H$1,CalLookUpColumn,0))</f>
        <v>3</v>
      </c>
      <c r="I2203">
        <f>INDEX(CalLookUpTable,MATCH($B2203,CalLookUpRow,0),MATCH(I$1,CalLookUpColumn,0))</f>
        <v>2</v>
      </c>
    </row>
    <row r="2204" spans="1:9" x14ac:dyDescent="0.25">
      <c r="A2204" s="7">
        <v>2</v>
      </c>
      <c r="B2204" s="8">
        <v>43534</v>
      </c>
      <c r="C2204" s="9" t="s">
        <v>5</v>
      </c>
      <c r="D2204" s="10">
        <v>804.923</v>
      </c>
      <c r="E2204" s="10">
        <v>0</v>
      </c>
      <c r="F2204" t="str">
        <f>VLOOKUP(A2204,StoreLookup,2,FALSE)</f>
        <v>Store#2</v>
      </c>
      <c r="G2204">
        <f>INDEX(CalLookUpTable,MATCH($B2204,CalLookUpRow,0),MATCH(G$1,CalLookUpColumn,0))</f>
        <v>2019</v>
      </c>
      <c r="H2204">
        <f>INDEX(CalLookUpTable,MATCH($B2204,CalLookUpRow,0),MATCH(H$1,CalLookUpColumn,0))</f>
        <v>3</v>
      </c>
      <c r="I2204">
        <f>INDEX(CalLookUpTable,MATCH($B2204,CalLookUpRow,0),MATCH(I$1,CalLookUpColumn,0))</f>
        <v>2</v>
      </c>
    </row>
    <row r="2205" spans="1:9" x14ac:dyDescent="0.25">
      <c r="A2205" s="7">
        <v>2</v>
      </c>
      <c r="B2205" s="8">
        <v>43534</v>
      </c>
      <c r="C2205" s="9" t="s">
        <v>6</v>
      </c>
      <c r="D2205" s="10">
        <v>359.09299999999996</v>
      </c>
      <c r="E2205" s="10">
        <v>183.44899999999998</v>
      </c>
      <c r="F2205" t="str">
        <f>VLOOKUP(A2205,StoreLookup,2,FALSE)</f>
        <v>Store#2</v>
      </c>
      <c r="G2205">
        <f>INDEX(CalLookUpTable,MATCH($B2205,CalLookUpRow,0),MATCH(G$1,CalLookUpColumn,0))</f>
        <v>2019</v>
      </c>
      <c r="H2205">
        <f>INDEX(CalLookUpTable,MATCH($B2205,CalLookUpRow,0),MATCH(H$1,CalLookUpColumn,0))</f>
        <v>3</v>
      </c>
      <c r="I2205">
        <f>INDEX(CalLookUpTable,MATCH($B2205,CalLookUpRow,0),MATCH(I$1,CalLookUpColumn,0))</f>
        <v>2</v>
      </c>
    </row>
    <row r="2206" spans="1:9" x14ac:dyDescent="0.25">
      <c r="A2206" s="7">
        <v>2</v>
      </c>
      <c r="B2206" s="8">
        <v>43535</v>
      </c>
      <c r="C2206" s="9" t="s">
        <v>6</v>
      </c>
      <c r="D2206" s="10">
        <v>128.39399999999998</v>
      </c>
      <c r="E2206" s="10">
        <v>286.96499999999997</v>
      </c>
      <c r="F2206" t="str">
        <f>VLOOKUP(A2206,StoreLookup,2,FALSE)</f>
        <v>Store#2</v>
      </c>
      <c r="G2206">
        <f>INDEX(CalLookUpTable,MATCH($B2206,CalLookUpRow,0),MATCH(G$1,CalLookUpColumn,0))</f>
        <v>2019</v>
      </c>
      <c r="H2206">
        <f>INDEX(CalLookUpTable,MATCH($B2206,CalLookUpRow,0),MATCH(H$1,CalLookUpColumn,0))</f>
        <v>3</v>
      </c>
      <c r="I2206">
        <f>INDEX(CalLookUpTable,MATCH($B2206,CalLookUpRow,0),MATCH(I$1,CalLookUpColumn,0))</f>
        <v>3</v>
      </c>
    </row>
    <row r="2207" spans="1:9" x14ac:dyDescent="0.25">
      <c r="A2207" s="7">
        <v>2</v>
      </c>
      <c r="B2207" s="8">
        <v>43535</v>
      </c>
      <c r="C2207" s="9" t="s">
        <v>5</v>
      </c>
      <c r="D2207" s="10">
        <v>772.61099999999999</v>
      </c>
      <c r="E2207" s="10">
        <v>0</v>
      </c>
      <c r="F2207" t="str">
        <f>VLOOKUP(A2207,StoreLookup,2,FALSE)</f>
        <v>Store#2</v>
      </c>
      <c r="G2207">
        <f>INDEX(CalLookUpTable,MATCH($B2207,CalLookUpRow,0),MATCH(G$1,CalLookUpColumn,0))</f>
        <v>2019</v>
      </c>
      <c r="H2207">
        <f>INDEX(CalLookUpTable,MATCH($B2207,CalLookUpRow,0),MATCH(H$1,CalLookUpColumn,0))</f>
        <v>3</v>
      </c>
      <c r="I2207">
        <f>INDEX(CalLookUpTable,MATCH($B2207,CalLookUpRow,0),MATCH(I$1,CalLookUpColumn,0))</f>
        <v>3</v>
      </c>
    </row>
    <row r="2208" spans="1:9" x14ac:dyDescent="0.25">
      <c r="A2208" s="7">
        <v>2</v>
      </c>
      <c r="B2208" s="8">
        <v>43535</v>
      </c>
      <c r="C2208" s="9" t="s">
        <v>4</v>
      </c>
      <c r="D2208" s="10">
        <v>1652.8539999999998</v>
      </c>
      <c r="E2208" s="10">
        <v>1670.1089999999999</v>
      </c>
      <c r="F2208" t="str">
        <f>VLOOKUP(A2208,StoreLookup,2,FALSE)</f>
        <v>Store#2</v>
      </c>
      <c r="G2208">
        <f>INDEX(CalLookUpTable,MATCH($B2208,CalLookUpRow,0),MATCH(G$1,CalLookUpColumn,0))</f>
        <v>2019</v>
      </c>
      <c r="H2208">
        <f>INDEX(CalLookUpTable,MATCH($B2208,CalLookUpRow,0),MATCH(H$1,CalLookUpColumn,0))</f>
        <v>3</v>
      </c>
      <c r="I2208">
        <f>INDEX(CalLookUpTable,MATCH($B2208,CalLookUpRow,0),MATCH(I$1,CalLookUpColumn,0))</f>
        <v>3</v>
      </c>
    </row>
    <row r="2209" spans="1:9" x14ac:dyDescent="0.25">
      <c r="A2209" s="7">
        <v>2</v>
      </c>
      <c r="B2209" s="8">
        <v>43535</v>
      </c>
      <c r="C2209" s="9" t="s">
        <v>3</v>
      </c>
      <c r="D2209" s="10">
        <v>191.56899999999999</v>
      </c>
      <c r="E2209" s="10">
        <v>146.85999999999999</v>
      </c>
      <c r="F2209" t="str">
        <f>VLOOKUP(A2209,StoreLookup,2,FALSE)</f>
        <v>Store#2</v>
      </c>
      <c r="G2209">
        <f>INDEX(CalLookUpTable,MATCH($B2209,CalLookUpRow,0),MATCH(G$1,CalLookUpColumn,0))</f>
        <v>2019</v>
      </c>
      <c r="H2209">
        <f>INDEX(CalLookUpTable,MATCH($B2209,CalLookUpRow,0),MATCH(H$1,CalLookUpColumn,0))</f>
        <v>3</v>
      </c>
      <c r="I2209">
        <f>INDEX(CalLookUpTable,MATCH($B2209,CalLookUpRow,0),MATCH(I$1,CalLookUpColumn,0))</f>
        <v>3</v>
      </c>
    </row>
    <row r="2210" spans="1:9" x14ac:dyDescent="0.25">
      <c r="A2210" s="7">
        <v>2</v>
      </c>
      <c r="B2210" s="8">
        <v>43536</v>
      </c>
      <c r="C2210" s="9" t="s">
        <v>6</v>
      </c>
      <c r="D2210" s="10">
        <v>232.34399999999999</v>
      </c>
      <c r="E2210" s="10">
        <v>524.77599999999995</v>
      </c>
      <c r="F2210" t="str">
        <f>VLOOKUP(A2210,StoreLookup,2,FALSE)</f>
        <v>Store#2</v>
      </c>
      <c r="G2210">
        <f>INDEX(CalLookUpTable,MATCH($B2210,CalLookUpRow,0),MATCH(G$1,CalLookUpColumn,0))</f>
        <v>2019</v>
      </c>
      <c r="H2210">
        <f>INDEX(CalLookUpTable,MATCH($B2210,CalLookUpRow,0),MATCH(H$1,CalLookUpColumn,0))</f>
        <v>3</v>
      </c>
      <c r="I2210">
        <f>INDEX(CalLookUpTable,MATCH($B2210,CalLookUpRow,0),MATCH(I$1,CalLookUpColumn,0))</f>
        <v>3</v>
      </c>
    </row>
    <row r="2211" spans="1:9" x14ac:dyDescent="0.25">
      <c r="A2211" s="7">
        <v>2</v>
      </c>
      <c r="B2211" s="8">
        <v>43536</v>
      </c>
      <c r="C2211" s="9" t="s">
        <v>4</v>
      </c>
      <c r="D2211" s="10">
        <v>1915.655</v>
      </c>
      <c r="E2211" s="10">
        <v>2093.364</v>
      </c>
      <c r="F2211" t="str">
        <f>VLOOKUP(A2211,StoreLookup,2,FALSE)</f>
        <v>Store#2</v>
      </c>
      <c r="G2211">
        <f>INDEX(CalLookUpTable,MATCH($B2211,CalLookUpRow,0),MATCH(G$1,CalLookUpColumn,0))</f>
        <v>2019</v>
      </c>
      <c r="H2211">
        <f>INDEX(CalLookUpTable,MATCH($B2211,CalLookUpRow,0),MATCH(H$1,CalLookUpColumn,0))</f>
        <v>3</v>
      </c>
      <c r="I2211">
        <f>INDEX(CalLookUpTable,MATCH($B2211,CalLookUpRow,0),MATCH(I$1,CalLookUpColumn,0))</f>
        <v>3</v>
      </c>
    </row>
    <row r="2212" spans="1:9" x14ac:dyDescent="0.25">
      <c r="A2212" s="7">
        <v>2</v>
      </c>
      <c r="B2212" s="8">
        <v>43536</v>
      </c>
      <c r="C2212" s="9" t="s">
        <v>3</v>
      </c>
      <c r="D2212" s="10">
        <v>135.39399999999998</v>
      </c>
      <c r="E2212" s="10">
        <v>0</v>
      </c>
      <c r="F2212" t="str">
        <f>VLOOKUP(A2212,StoreLookup,2,FALSE)</f>
        <v>Store#2</v>
      </c>
      <c r="G2212">
        <f>INDEX(CalLookUpTable,MATCH($B2212,CalLookUpRow,0),MATCH(G$1,CalLookUpColumn,0))</f>
        <v>2019</v>
      </c>
      <c r="H2212">
        <f>INDEX(CalLookUpTable,MATCH($B2212,CalLookUpRow,0),MATCH(H$1,CalLookUpColumn,0))</f>
        <v>3</v>
      </c>
      <c r="I2212">
        <f>INDEX(CalLookUpTable,MATCH($B2212,CalLookUpRow,0),MATCH(I$1,CalLookUpColumn,0))</f>
        <v>3</v>
      </c>
    </row>
    <row r="2213" spans="1:9" x14ac:dyDescent="0.25">
      <c r="A2213" s="7">
        <v>2</v>
      </c>
      <c r="B2213" s="8">
        <v>43536</v>
      </c>
      <c r="C2213" s="9" t="s">
        <v>5</v>
      </c>
      <c r="D2213" s="10">
        <v>1023.05</v>
      </c>
      <c r="E2213" s="10">
        <v>0</v>
      </c>
      <c r="F2213" t="str">
        <f>VLOOKUP(A2213,StoreLookup,2,FALSE)</f>
        <v>Store#2</v>
      </c>
      <c r="G2213">
        <f>INDEX(CalLookUpTable,MATCH($B2213,CalLookUpRow,0),MATCH(G$1,CalLookUpColumn,0))</f>
        <v>2019</v>
      </c>
      <c r="H2213">
        <f>INDEX(CalLookUpTable,MATCH($B2213,CalLookUpRow,0),MATCH(H$1,CalLookUpColumn,0))</f>
        <v>3</v>
      </c>
      <c r="I2213">
        <f>INDEX(CalLookUpTable,MATCH($B2213,CalLookUpRow,0),MATCH(I$1,CalLookUpColumn,0))</f>
        <v>3</v>
      </c>
    </row>
    <row r="2214" spans="1:9" x14ac:dyDescent="0.25">
      <c r="A2214" s="7">
        <v>2</v>
      </c>
      <c r="B2214" s="8">
        <v>43537</v>
      </c>
      <c r="C2214" s="9" t="s">
        <v>5</v>
      </c>
      <c r="D2214" s="10">
        <v>936.12399999999991</v>
      </c>
      <c r="E2214" s="10">
        <v>0</v>
      </c>
      <c r="F2214" t="str">
        <f>VLOOKUP(A2214,StoreLookup,2,FALSE)</f>
        <v>Store#2</v>
      </c>
      <c r="G2214">
        <f>INDEX(CalLookUpTable,MATCH($B2214,CalLookUpRow,0),MATCH(G$1,CalLookUpColumn,0))</f>
        <v>2019</v>
      </c>
      <c r="H2214">
        <f>INDEX(CalLookUpTable,MATCH($B2214,CalLookUpRow,0),MATCH(H$1,CalLookUpColumn,0))</f>
        <v>3</v>
      </c>
      <c r="I2214">
        <f>INDEX(CalLookUpTable,MATCH($B2214,CalLookUpRow,0),MATCH(I$1,CalLookUpColumn,0))</f>
        <v>3</v>
      </c>
    </row>
    <row r="2215" spans="1:9" x14ac:dyDescent="0.25">
      <c r="A2215" s="7">
        <v>2</v>
      </c>
      <c r="B2215" s="8">
        <v>43537</v>
      </c>
      <c r="C2215" s="9" t="s">
        <v>3</v>
      </c>
      <c r="D2215" s="10">
        <v>0</v>
      </c>
      <c r="E2215" s="10">
        <v>226.91899999999998</v>
      </c>
      <c r="F2215" t="str">
        <f>VLOOKUP(A2215,StoreLookup,2,FALSE)</f>
        <v>Store#2</v>
      </c>
      <c r="G2215">
        <f>INDEX(CalLookUpTable,MATCH($B2215,CalLookUpRow,0),MATCH(G$1,CalLookUpColumn,0))</f>
        <v>2019</v>
      </c>
      <c r="H2215">
        <f>INDEX(CalLookUpTable,MATCH($B2215,CalLookUpRow,0),MATCH(H$1,CalLookUpColumn,0))</f>
        <v>3</v>
      </c>
      <c r="I2215">
        <f>INDEX(CalLookUpTable,MATCH($B2215,CalLookUpRow,0),MATCH(I$1,CalLookUpColumn,0))</f>
        <v>3</v>
      </c>
    </row>
    <row r="2216" spans="1:9" x14ac:dyDescent="0.25">
      <c r="A2216" s="7">
        <v>2</v>
      </c>
      <c r="B2216" s="8">
        <v>43537</v>
      </c>
      <c r="C2216" s="9" t="s">
        <v>6</v>
      </c>
      <c r="D2216" s="10">
        <v>385.83300000000003</v>
      </c>
      <c r="E2216" s="10">
        <v>295.30199999999996</v>
      </c>
      <c r="F2216" t="str">
        <f>VLOOKUP(A2216,StoreLookup,2,FALSE)</f>
        <v>Store#2</v>
      </c>
      <c r="G2216">
        <f>INDEX(CalLookUpTable,MATCH($B2216,CalLookUpRow,0),MATCH(G$1,CalLookUpColumn,0))</f>
        <v>2019</v>
      </c>
      <c r="H2216">
        <f>INDEX(CalLookUpTable,MATCH($B2216,CalLookUpRow,0),MATCH(H$1,CalLookUpColumn,0))</f>
        <v>3</v>
      </c>
      <c r="I2216">
        <f>INDEX(CalLookUpTable,MATCH($B2216,CalLookUpRow,0),MATCH(I$1,CalLookUpColumn,0))</f>
        <v>3</v>
      </c>
    </row>
    <row r="2217" spans="1:9" x14ac:dyDescent="0.25">
      <c r="A2217" s="7">
        <v>2</v>
      </c>
      <c r="B2217" s="8">
        <v>43537</v>
      </c>
      <c r="C2217" s="9" t="s">
        <v>4</v>
      </c>
      <c r="D2217" s="10">
        <v>1598.1699999999998</v>
      </c>
      <c r="E2217" s="10">
        <v>2134.9649999999997</v>
      </c>
      <c r="F2217" t="str">
        <f>VLOOKUP(A2217,StoreLookup,2,FALSE)</f>
        <v>Store#2</v>
      </c>
      <c r="G2217">
        <f>INDEX(CalLookUpTable,MATCH($B2217,CalLookUpRow,0),MATCH(G$1,CalLookUpColumn,0))</f>
        <v>2019</v>
      </c>
      <c r="H2217">
        <f>INDEX(CalLookUpTable,MATCH($B2217,CalLookUpRow,0),MATCH(H$1,CalLookUpColumn,0))</f>
        <v>3</v>
      </c>
      <c r="I2217">
        <f>INDEX(CalLookUpTable,MATCH($B2217,CalLookUpRow,0),MATCH(I$1,CalLookUpColumn,0))</f>
        <v>3</v>
      </c>
    </row>
    <row r="2218" spans="1:9" x14ac:dyDescent="0.25">
      <c r="A2218" s="7">
        <v>2</v>
      </c>
      <c r="B2218" s="8">
        <v>43538</v>
      </c>
      <c r="C2218" s="9" t="s">
        <v>6</v>
      </c>
      <c r="D2218" s="10">
        <v>254.27499999999998</v>
      </c>
      <c r="E2218" s="10">
        <v>504.53899999999993</v>
      </c>
      <c r="F2218" t="str">
        <f>VLOOKUP(A2218,StoreLookup,2,FALSE)</f>
        <v>Store#2</v>
      </c>
      <c r="G2218">
        <f>INDEX(CalLookUpTable,MATCH($B2218,CalLookUpRow,0),MATCH(G$1,CalLookUpColumn,0))</f>
        <v>2019</v>
      </c>
      <c r="H2218">
        <f>INDEX(CalLookUpTable,MATCH($B2218,CalLookUpRow,0),MATCH(H$1,CalLookUpColumn,0))</f>
        <v>3</v>
      </c>
      <c r="I2218">
        <f>INDEX(CalLookUpTable,MATCH($B2218,CalLookUpRow,0),MATCH(I$1,CalLookUpColumn,0))</f>
        <v>3</v>
      </c>
    </row>
    <row r="2219" spans="1:9" x14ac:dyDescent="0.25">
      <c r="A2219" s="7">
        <v>2</v>
      </c>
      <c r="B2219" s="8">
        <v>43538</v>
      </c>
      <c r="C2219" s="9" t="s">
        <v>3</v>
      </c>
      <c r="D2219" s="10">
        <v>0</v>
      </c>
      <c r="E2219" s="10">
        <v>0</v>
      </c>
      <c r="F2219" t="str">
        <f>VLOOKUP(A2219,StoreLookup,2,FALSE)</f>
        <v>Store#2</v>
      </c>
      <c r="G2219">
        <f>INDEX(CalLookUpTable,MATCH($B2219,CalLookUpRow,0),MATCH(G$1,CalLookUpColumn,0))</f>
        <v>2019</v>
      </c>
      <c r="H2219">
        <f>INDEX(CalLookUpTable,MATCH($B2219,CalLookUpRow,0),MATCH(H$1,CalLookUpColumn,0))</f>
        <v>3</v>
      </c>
      <c r="I2219">
        <f>INDEX(CalLookUpTable,MATCH($B2219,CalLookUpRow,0),MATCH(I$1,CalLookUpColumn,0))</f>
        <v>3</v>
      </c>
    </row>
    <row r="2220" spans="1:9" x14ac:dyDescent="0.25">
      <c r="A2220" s="7">
        <v>2</v>
      </c>
      <c r="B2220" s="8">
        <v>43538</v>
      </c>
      <c r="C2220" s="9" t="s">
        <v>4</v>
      </c>
      <c r="D2220" s="10">
        <v>1882.902</v>
      </c>
      <c r="E2220" s="10">
        <v>2497.9639999999999</v>
      </c>
      <c r="F2220" t="str">
        <f>VLOOKUP(A2220,StoreLookup,2,FALSE)</f>
        <v>Store#2</v>
      </c>
      <c r="G2220">
        <f>INDEX(CalLookUpTable,MATCH($B2220,CalLookUpRow,0),MATCH(G$1,CalLookUpColumn,0))</f>
        <v>2019</v>
      </c>
      <c r="H2220">
        <f>INDEX(CalLookUpTable,MATCH($B2220,CalLookUpRow,0),MATCH(H$1,CalLookUpColumn,0))</f>
        <v>3</v>
      </c>
      <c r="I2220">
        <f>INDEX(CalLookUpTable,MATCH($B2220,CalLookUpRow,0),MATCH(I$1,CalLookUpColumn,0))</f>
        <v>3</v>
      </c>
    </row>
    <row r="2221" spans="1:9" x14ac:dyDescent="0.25">
      <c r="A2221" s="7">
        <v>2</v>
      </c>
      <c r="B2221" s="8">
        <v>43538</v>
      </c>
      <c r="C2221" s="9" t="s">
        <v>5</v>
      </c>
      <c r="D2221" s="10">
        <v>1074.3879999999999</v>
      </c>
      <c r="E2221" s="10">
        <v>0</v>
      </c>
      <c r="F2221" t="str">
        <f>VLOOKUP(A2221,StoreLookup,2,FALSE)</f>
        <v>Store#2</v>
      </c>
      <c r="G2221">
        <f>INDEX(CalLookUpTable,MATCH($B2221,CalLookUpRow,0),MATCH(G$1,CalLookUpColumn,0))</f>
        <v>2019</v>
      </c>
      <c r="H2221">
        <f>INDEX(CalLookUpTable,MATCH($B2221,CalLookUpRow,0),MATCH(H$1,CalLookUpColumn,0))</f>
        <v>3</v>
      </c>
      <c r="I2221">
        <f>INDEX(CalLookUpTable,MATCH($B2221,CalLookUpRow,0),MATCH(I$1,CalLookUpColumn,0))</f>
        <v>3</v>
      </c>
    </row>
    <row r="2222" spans="1:9" x14ac:dyDescent="0.25">
      <c r="A2222" s="7">
        <v>2</v>
      </c>
      <c r="B2222" s="8">
        <v>43539</v>
      </c>
      <c r="C2222" s="9" t="s">
        <v>3</v>
      </c>
      <c r="D2222" s="10">
        <v>0</v>
      </c>
      <c r="E2222" s="10">
        <v>0</v>
      </c>
      <c r="F2222" t="str">
        <f>VLOOKUP(A2222,StoreLookup,2,FALSE)</f>
        <v>Store#2</v>
      </c>
      <c r="G2222">
        <f>INDEX(CalLookUpTable,MATCH($B2222,CalLookUpRow,0),MATCH(G$1,CalLookUpColumn,0))</f>
        <v>2019</v>
      </c>
      <c r="H2222">
        <f>INDEX(CalLookUpTable,MATCH($B2222,CalLookUpRow,0),MATCH(H$1,CalLookUpColumn,0))</f>
        <v>3</v>
      </c>
      <c r="I2222">
        <f>INDEX(CalLookUpTable,MATCH($B2222,CalLookUpRow,0),MATCH(I$1,CalLookUpColumn,0))</f>
        <v>3</v>
      </c>
    </row>
    <row r="2223" spans="1:9" x14ac:dyDescent="0.25">
      <c r="A2223" s="7">
        <v>2</v>
      </c>
      <c r="B2223" s="8">
        <v>43539</v>
      </c>
      <c r="C2223" s="9" t="s">
        <v>5</v>
      </c>
      <c r="D2223" s="10">
        <v>1357.0619999999999</v>
      </c>
      <c r="E2223" s="10">
        <v>0</v>
      </c>
      <c r="F2223" t="str">
        <f>VLOOKUP(A2223,StoreLookup,2,FALSE)</f>
        <v>Store#2</v>
      </c>
      <c r="G2223">
        <f>INDEX(CalLookUpTable,MATCH($B2223,CalLookUpRow,0),MATCH(G$1,CalLookUpColumn,0))</f>
        <v>2019</v>
      </c>
      <c r="H2223">
        <f>INDEX(CalLookUpTable,MATCH($B2223,CalLookUpRow,0),MATCH(H$1,CalLookUpColumn,0))</f>
        <v>3</v>
      </c>
      <c r="I2223">
        <f>INDEX(CalLookUpTable,MATCH($B2223,CalLookUpRow,0),MATCH(I$1,CalLookUpColumn,0))</f>
        <v>3</v>
      </c>
    </row>
    <row r="2224" spans="1:9" x14ac:dyDescent="0.25">
      <c r="A2224" s="7">
        <v>2</v>
      </c>
      <c r="B2224" s="8">
        <v>43539</v>
      </c>
      <c r="C2224" s="9" t="s">
        <v>6</v>
      </c>
      <c r="D2224" s="10">
        <v>360.56299999999999</v>
      </c>
      <c r="E2224" s="10">
        <v>568.53300000000002</v>
      </c>
      <c r="F2224" t="str">
        <f>VLOOKUP(A2224,StoreLookup,2,FALSE)</f>
        <v>Store#2</v>
      </c>
      <c r="G2224">
        <f>INDEX(CalLookUpTable,MATCH($B2224,CalLookUpRow,0),MATCH(G$1,CalLookUpColumn,0))</f>
        <v>2019</v>
      </c>
      <c r="H2224">
        <f>INDEX(CalLookUpTable,MATCH($B2224,CalLookUpRow,0),MATCH(H$1,CalLookUpColumn,0))</f>
        <v>3</v>
      </c>
      <c r="I2224">
        <f>INDEX(CalLookUpTable,MATCH($B2224,CalLookUpRow,0),MATCH(I$1,CalLookUpColumn,0))</f>
        <v>3</v>
      </c>
    </row>
    <row r="2225" spans="1:9" x14ac:dyDescent="0.25">
      <c r="A2225" s="7">
        <v>2</v>
      </c>
      <c r="B2225" s="8">
        <v>43539</v>
      </c>
      <c r="C2225" s="9" t="s">
        <v>4</v>
      </c>
      <c r="D2225" s="10">
        <v>2475.6059999999998</v>
      </c>
      <c r="E2225" s="10">
        <v>2944.9700000000003</v>
      </c>
      <c r="F2225" t="str">
        <f>VLOOKUP(A2225,StoreLookup,2,FALSE)</f>
        <v>Store#2</v>
      </c>
      <c r="G2225">
        <f>INDEX(CalLookUpTable,MATCH($B2225,CalLookUpRow,0),MATCH(G$1,CalLookUpColumn,0))</f>
        <v>2019</v>
      </c>
      <c r="H2225">
        <f>INDEX(CalLookUpTable,MATCH($B2225,CalLookUpRow,0),MATCH(H$1,CalLookUpColumn,0))</f>
        <v>3</v>
      </c>
      <c r="I2225">
        <f>INDEX(CalLookUpTable,MATCH($B2225,CalLookUpRow,0),MATCH(I$1,CalLookUpColumn,0))</f>
        <v>3</v>
      </c>
    </row>
    <row r="2226" spans="1:9" x14ac:dyDescent="0.25">
      <c r="A2226" s="7">
        <v>2</v>
      </c>
      <c r="B2226" s="8">
        <v>43540</v>
      </c>
      <c r="C2226" s="9" t="s">
        <v>4</v>
      </c>
      <c r="D2226" s="10">
        <v>2270.4919999999997</v>
      </c>
      <c r="E2226" s="10">
        <v>2514.0429999999997</v>
      </c>
      <c r="F2226" t="str">
        <f>VLOOKUP(A2226,StoreLookup,2,FALSE)</f>
        <v>Store#2</v>
      </c>
      <c r="G2226">
        <f>INDEX(CalLookUpTable,MATCH($B2226,CalLookUpRow,0),MATCH(G$1,CalLookUpColumn,0))</f>
        <v>2019</v>
      </c>
      <c r="H2226">
        <f>INDEX(CalLookUpTable,MATCH($B2226,CalLookUpRow,0),MATCH(H$1,CalLookUpColumn,0))</f>
        <v>3</v>
      </c>
      <c r="I2226">
        <f>INDEX(CalLookUpTable,MATCH($B2226,CalLookUpRow,0),MATCH(I$1,CalLookUpColumn,0))</f>
        <v>3</v>
      </c>
    </row>
    <row r="2227" spans="1:9" x14ac:dyDescent="0.25">
      <c r="A2227" s="7">
        <v>2</v>
      </c>
      <c r="B2227" s="8">
        <v>43540</v>
      </c>
      <c r="C2227" s="9" t="s">
        <v>3</v>
      </c>
      <c r="D2227" s="10">
        <v>163.64599999999999</v>
      </c>
      <c r="E2227" s="10">
        <v>0</v>
      </c>
      <c r="F2227" t="str">
        <f>VLOOKUP(A2227,StoreLookup,2,FALSE)</f>
        <v>Store#2</v>
      </c>
      <c r="G2227">
        <f>INDEX(CalLookUpTable,MATCH($B2227,CalLookUpRow,0),MATCH(G$1,CalLookUpColumn,0))</f>
        <v>2019</v>
      </c>
      <c r="H2227">
        <f>INDEX(CalLookUpTable,MATCH($B2227,CalLookUpRow,0),MATCH(H$1,CalLookUpColumn,0))</f>
        <v>3</v>
      </c>
      <c r="I2227">
        <f>INDEX(CalLookUpTable,MATCH($B2227,CalLookUpRow,0),MATCH(I$1,CalLookUpColumn,0))</f>
        <v>3</v>
      </c>
    </row>
    <row r="2228" spans="1:9" x14ac:dyDescent="0.25">
      <c r="A2228" s="7">
        <v>2</v>
      </c>
      <c r="B2228" s="8">
        <v>43540</v>
      </c>
      <c r="C2228" s="9" t="s">
        <v>6</v>
      </c>
      <c r="D2228" s="10">
        <v>258.38400000000001</v>
      </c>
      <c r="E2228" s="10">
        <v>479.34599999999995</v>
      </c>
      <c r="F2228" t="str">
        <f>VLOOKUP(A2228,StoreLookup,2,FALSE)</f>
        <v>Store#2</v>
      </c>
      <c r="G2228">
        <f>INDEX(CalLookUpTable,MATCH($B2228,CalLookUpRow,0),MATCH(G$1,CalLookUpColumn,0))</f>
        <v>2019</v>
      </c>
      <c r="H2228">
        <f>INDEX(CalLookUpTable,MATCH($B2228,CalLookUpRow,0),MATCH(H$1,CalLookUpColumn,0))</f>
        <v>3</v>
      </c>
      <c r="I2228">
        <f>INDEX(CalLookUpTable,MATCH($B2228,CalLookUpRow,0),MATCH(I$1,CalLookUpColumn,0))</f>
        <v>3</v>
      </c>
    </row>
    <row r="2229" spans="1:9" x14ac:dyDescent="0.25">
      <c r="A2229" s="7">
        <v>2</v>
      </c>
      <c r="B2229" s="8">
        <v>43540</v>
      </c>
      <c r="C2229" s="9" t="s">
        <v>5</v>
      </c>
      <c r="D2229" s="10">
        <v>1166.1299999999999</v>
      </c>
      <c r="E2229" s="10">
        <v>0</v>
      </c>
      <c r="F2229" t="str">
        <f>VLOOKUP(A2229,StoreLookup,2,FALSE)</f>
        <v>Store#2</v>
      </c>
      <c r="G2229">
        <f>INDEX(CalLookUpTable,MATCH($B2229,CalLookUpRow,0),MATCH(G$1,CalLookUpColumn,0))</f>
        <v>2019</v>
      </c>
      <c r="H2229">
        <f>INDEX(CalLookUpTable,MATCH($B2229,CalLookUpRow,0),MATCH(H$1,CalLookUpColumn,0))</f>
        <v>3</v>
      </c>
      <c r="I2229">
        <f>INDEX(CalLookUpTable,MATCH($B2229,CalLookUpRow,0),MATCH(I$1,CalLookUpColumn,0))</f>
        <v>3</v>
      </c>
    </row>
    <row r="2230" spans="1:9" x14ac:dyDescent="0.25">
      <c r="A2230" s="7">
        <v>2</v>
      </c>
      <c r="B2230" s="8">
        <v>43541</v>
      </c>
      <c r="C2230" s="9" t="s">
        <v>6</v>
      </c>
      <c r="D2230" s="10">
        <v>82.914999999999992</v>
      </c>
      <c r="E2230" s="10">
        <v>379.98099999999999</v>
      </c>
      <c r="F2230" t="str">
        <f>VLOOKUP(A2230,StoreLookup,2,FALSE)</f>
        <v>Store#2</v>
      </c>
      <c r="G2230">
        <f>INDEX(CalLookUpTable,MATCH($B2230,CalLookUpRow,0),MATCH(G$1,CalLookUpColumn,0))</f>
        <v>2019</v>
      </c>
      <c r="H2230">
        <f>INDEX(CalLookUpTable,MATCH($B2230,CalLookUpRow,0),MATCH(H$1,CalLookUpColumn,0))</f>
        <v>3</v>
      </c>
      <c r="I2230">
        <f>INDEX(CalLookUpTable,MATCH($B2230,CalLookUpRow,0),MATCH(I$1,CalLookUpColumn,0))</f>
        <v>3</v>
      </c>
    </row>
    <row r="2231" spans="1:9" x14ac:dyDescent="0.25">
      <c r="A2231" s="7">
        <v>2</v>
      </c>
      <c r="B2231" s="8">
        <v>43541</v>
      </c>
      <c r="C2231" s="9" t="s">
        <v>4</v>
      </c>
      <c r="D2231" s="10">
        <v>1348.5989999999999</v>
      </c>
      <c r="E2231" s="10">
        <v>1406.9649999999999</v>
      </c>
      <c r="F2231" t="str">
        <f>VLOOKUP(A2231,StoreLookup,2,FALSE)</f>
        <v>Store#2</v>
      </c>
      <c r="G2231">
        <f>INDEX(CalLookUpTable,MATCH($B2231,CalLookUpRow,0),MATCH(G$1,CalLookUpColumn,0))</f>
        <v>2019</v>
      </c>
      <c r="H2231">
        <f>INDEX(CalLookUpTable,MATCH($B2231,CalLookUpRow,0),MATCH(H$1,CalLookUpColumn,0))</f>
        <v>3</v>
      </c>
      <c r="I2231">
        <f>INDEX(CalLookUpTable,MATCH($B2231,CalLookUpRow,0),MATCH(I$1,CalLookUpColumn,0))</f>
        <v>3</v>
      </c>
    </row>
    <row r="2232" spans="1:9" x14ac:dyDescent="0.25">
      <c r="A2232" s="7">
        <v>2</v>
      </c>
      <c r="B2232" s="8">
        <v>43541</v>
      </c>
      <c r="C2232" s="9" t="s">
        <v>3</v>
      </c>
      <c r="D2232" s="10">
        <v>38.359999999999992</v>
      </c>
      <c r="E2232" s="10">
        <v>161.54599999999999</v>
      </c>
      <c r="F2232" t="str">
        <f>VLOOKUP(A2232,StoreLookup,2,FALSE)</f>
        <v>Store#2</v>
      </c>
      <c r="G2232">
        <f>INDEX(CalLookUpTable,MATCH($B2232,CalLookUpRow,0),MATCH(G$1,CalLookUpColumn,0))</f>
        <v>2019</v>
      </c>
      <c r="H2232">
        <f>INDEX(CalLookUpTable,MATCH($B2232,CalLookUpRow,0),MATCH(H$1,CalLookUpColumn,0))</f>
        <v>3</v>
      </c>
      <c r="I2232">
        <f>INDEX(CalLookUpTable,MATCH($B2232,CalLookUpRow,0),MATCH(I$1,CalLookUpColumn,0))</f>
        <v>3</v>
      </c>
    </row>
    <row r="2233" spans="1:9" x14ac:dyDescent="0.25">
      <c r="A2233" s="7">
        <v>2</v>
      </c>
      <c r="B2233" s="8">
        <v>43541</v>
      </c>
      <c r="C2233" s="9" t="s">
        <v>5</v>
      </c>
      <c r="D2233" s="10">
        <v>680.93899999999996</v>
      </c>
      <c r="E2233" s="10">
        <v>0</v>
      </c>
      <c r="F2233" t="str">
        <f>VLOOKUP(A2233,StoreLookup,2,FALSE)</f>
        <v>Store#2</v>
      </c>
      <c r="G2233">
        <f>INDEX(CalLookUpTable,MATCH($B2233,CalLookUpRow,0),MATCH(G$1,CalLookUpColumn,0))</f>
        <v>2019</v>
      </c>
      <c r="H2233">
        <f>INDEX(CalLookUpTable,MATCH($B2233,CalLookUpRow,0),MATCH(H$1,CalLookUpColumn,0))</f>
        <v>3</v>
      </c>
      <c r="I2233">
        <f>INDEX(CalLookUpTable,MATCH($B2233,CalLookUpRow,0),MATCH(I$1,CalLookUpColumn,0))</f>
        <v>3</v>
      </c>
    </row>
    <row r="2234" spans="1:9" x14ac:dyDescent="0.25">
      <c r="A2234" s="7">
        <v>2</v>
      </c>
      <c r="B2234" s="8">
        <v>43542</v>
      </c>
      <c r="C2234" s="9" t="s">
        <v>3</v>
      </c>
      <c r="D2234" s="10">
        <v>0</v>
      </c>
      <c r="E2234" s="10">
        <v>0</v>
      </c>
      <c r="F2234" t="str">
        <f>VLOOKUP(A2234,StoreLookup,2,FALSE)</f>
        <v>Store#2</v>
      </c>
      <c r="G2234">
        <f>INDEX(CalLookUpTable,MATCH($B2234,CalLookUpRow,0),MATCH(G$1,CalLookUpColumn,0))</f>
        <v>2019</v>
      </c>
      <c r="H2234">
        <f>INDEX(CalLookUpTable,MATCH($B2234,CalLookUpRow,0),MATCH(H$1,CalLookUpColumn,0))</f>
        <v>3</v>
      </c>
      <c r="I2234">
        <f>INDEX(CalLookUpTable,MATCH($B2234,CalLookUpRow,0),MATCH(I$1,CalLookUpColumn,0))</f>
        <v>4</v>
      </c>
    </row>
    <row r="2235" spans="1:9" x14ac:dyDescent="0.25">
      <c r="A2235" s="7">
        <v>2</v>
      </c>
      <c r="B2235" s="8">
        <v>43542</v>
      </c>
      <c r="C2235" s="9" t="s">
        <v>4</v>
      </c>
      <c r="D2235" s="10">
        <v>1238.4749999999999</v>
      </c>
      <c r="E2235" s="10">
        <v>1880.3889999999999</v>
      </c>
      <c r="F2235" t="str">
        <f>VLOOKUP(A2235,StoreLookup,2,FALSE)</f>
        <v>Store#2</v>
      </c>
      <c r="G2235">
        <f>INDEX(CalLookUpTable,MATCH($B2235,CalLookUpRow,0),MATCH(G$1,CalLookUpColumn,0))</f>
        <v>2019</v>
      </c>
      <c r="H2235">
        <f>INDEX(CalLookUpTable,MATCH($B2235,CalLookUpRow,0),MATCH(H$1,CalLookUpColumn,0))</f>
        <v>3</v>
      </c>
      <c r="I2235">
        <f>INDEX(CalLookUpTable,MATCH($B2235,CalLookUpRow,0),MATCH(I$1,CalLookUpColumn,0))</f>
        <v>4</v>
      </c>
    </row>
    <row r="2236" spans="1:9" x14ac:dyDescent="0.25">
      <c r="A2236" s="7">
        <v>2</v>
      </c>
      <c r="B2236" s="8">
        <v>43542</v>
      </c>
      <c r="C2236" s="9" t="s">
        <v>5</v>
      </c>
      <c r="D2236" s="10">
        <v>897.47699999999986</v>
      </c>
      <c r="E2236" s="10">
        <v>0</v>
      </c>
      <c r="F2236" t="str">
        <f>VLOOKUP(A2236,StoreLookup,2,FALSE)</f>
        <v>Store#2</v>
      </c>
      <c r="G2236">
        <f>INDEX(CalLookUpTable,MATCH($B2236,CalLookUpRow,0),MATCH(G$1,CalLookUpColumn,0))</f>
        <v>2019</v>
      </c>
      <c r="H2236">
        <f>INDEX(CalLookUpTable,MATCH($B2236,CalLookUpRow,0),MATCH(H$1,CalLookUpColumn,0))</f>
        <v>3</v>
      </c>
      <c r="I2236">
        <f>INDEX(CalLookUpTable,MATCH($B2236,CalLookUpRow,0),MATCH(I$1,CalLookUpColumn,0))</f>
        <v>4</v>
      </c>
    </row>
    <row r="2237" spans="1:9" x14ac:dyDescent="0.25">
      <c r="A2237" s="7">
        <v>2</v>
      </c>
      <c r="B2237" s="8">
        <v>43542</v>
      </c>
      <c r="C2237" s="9" t="s">
        <v>6</v>
      </c>
      <c r="D2237" s="10">
        <v>174.88800000000001</v>
      </c>
      <c r="E2237" s="10">
        <v>525.01400000000001</v>
      </c>
      <c r="F2237" t="str">
        <f>VLOOKUP(A2237,StoreLookup,2,FALSE)</f>
        <v>Store#2</v>
      </c>
      <c r="G2237">
        <f>INDEX(CalLookUpTable,MATCH($B2237,CalLookUpRow,0),MATCH(G$1,CalLookUpColumn,0))</f>
        <v>2019</v>
      </c>
      <c r="H2237">
        <f>INDEX(CalLookUpTable,MATCH($B2237,CalLookUpRow,0),MATCH(H$1,CalLookUpColumn,0))</f>
        <v>3</v>
      </c>
      <c r="I2237">
        <f>INDEX(CalLookUpTable,MATCH($B2237,CalLookUpRow,0),MATCH(I$1,CalLookUpColumn,0))</f>
        <v>4</v>
      </c>
    </row>
    <row r="2238" spans="1:9" x14ac:dyDescent="0.25">
      <c r="A2238" s="7">
        <v>2</v>
      </c>
      <c r="B2238" s="8">
        <v>43543</v>
      </c>
      <c r="C2238" s="9" t="s">
        <v>6</v>
      </c>
      <c r="D2238" s="10">
        <v>656.10299999999995</v>
      </c>
      <c r="E2238" s="10">
        <v>548.77199999999993</v>
      </c>
      <c r="F2238" t="str">
        <f>VLOOKUP(A2238,StoreLookup,2,FALSE)</f>
        <v>Store#2</v>
      </c>
      <c r="G2238">
        <f>INDEX(CalLookUpTable,MATCH($B2238,CalLookUpRow,0),MATCH(G$1,CalLookUpColumn,0))</f>
        <v>2019</v>
      </c>
      <c r="H2238">
        <f>INDEX(CalLookUpTable,MATCH($B2238,CalLookUpRow,0),MATCH(H$1,CalLookUpColumn,0))</f>
        <v>3</v>
      </c>
      <c r="I2238">
        <f>INDEX(CalLookUpTable,MATCH($B2238,CalLookUpRow,0),MATCH(I$1,CalLookUpColumn,0))</f>
        <v>4</v>
      </c>
    </row>
    <row r="2239" spans="1:9" x14ac:dyDescent="0.25">
      <c r="A2239" s="7">
        <v>2</v>
      </c>
      <c r="B2239" s="8">
        <v>43543</v>
      </c>
      <c r="C2239" s="9" t="s">
        <v>4</v>
      </c>
      <c r="D2239" s="10">
        <v>1917.7549999999999</v>
      </c>
      <c r="E2239" s="10">
        <v>2070.2919999999999</v>
      </c>
      <c r="F2239" t="str">
        <f>VLOOKUP(A2239,StoreLookup,2,FALSE)</f>
        <v>Store#2</v>
      </c>
      <c r="G2239">
        <f>INDEX(CalLookUpTable,MATCH($B2239,CalLookUpRow,0),MATCH(G$1,CalLookUpColumn,0))</f>
        <v>2019</v>
      </c>
      <c r="H2239">
        <f>INDEX(CalLookUpTable,MATCH($B2239,CalLookUpRow,0),MATCH(H$1,CalLookUpColumn,0))</f>
        <v>3</v>
      </c>
      <c r="I2239">
        <f>INDEX(CalLookUpTable,MATCH($B2239,CalLookUpRow,0),MATCH(I$1,CalLookUpColumn,0))</f>
        <v>4</v>
      </c>
    </row>
    <row r="2240" spans="1:9" x14ac:dyDescent="0.25">
      <c r="A2240" s="7">
        <v>2</v>
      </c>
      <c r="B2240" s="8">
        <v>43543</v>
      </c>
      <c r="C2240" s="9" t="s">
        <v>3</v>
      </c>
      <c r="D2240" s="10">
        <v>31.597999999999999</v>
      </c>
      <c r="E2240" s="10">
        <v>0</v>
      </c>
      <c r="F2240" t="str">
        <f>VLOOKUP(A2240,StoreLookup,2,FALSE)</f>
        <v>Store#2</v>
      </c>
      <c r="G2240">
        <f>INDEX(CalLookUpTable,MATCH($B2240,CalLookUpRow,0),MATCH(G$1,CalLookUpColumn,0))</f>
        <v>2019</v>
      </c>
      <c r="H2240">
        <f>INDEX(CalLookUpTable,MATCH($B2240,CalLookUpRow,0),MATCH(H$1,CalLookUpColumn,0))</f>
        <v>3</v>
      </c>
      <c r="I2240">
        <f>INDEX(CalLookUpTable,MATCH($B2240,CalLookUpRow,0),MATCH(I$1,CalLookUpColumn,0))</f>
        <v>4</v>
      </c>
    </row>
    <row r="2241" spans="1:9" x14ac:dyDescent="0.25">
      <c r="A2241" s="7">
        <v>2</v>
      </c>
      <c r="B2241" s="8">
        <v>43543</v>
      </c>
      <c r="C2241" s="9" t="s">
        <v>5</v>
      </c>
      <c r="D2241" s="10">
        <v>1032.08</v>
      </c>
      <c r="E2241" s="10">
        <v>0</v>
      </c>
      <c r="F2241" t="str">
        <f>VLOOKUP(A2241,StoreLookup,2,FALSE)</f>
        <v>Store#2</v>
      </c>
      <c r="G2241">
        <f>INDEX(CalLookUpTable,MATCH($B2241,CalLookUpRow,0),MATCH(G$1,CalLookUpColumn,0))</f>
        <v>2019</v>
      </c>
      <c r="H2241">
        <f>INDEX(CalLookUpTable,MATCH($B2241,CalLookUpRow,0),MATCH(H$1,CalLookUpColumn,0))</f>
        <v>3</v>
      </c>
      <c r="I2241">
        <f>INDEX(CalLookUpTable,MATCH($B2241,CalLookUpRow,0),MATCH(I$1,CalLookUpColumn,0))</f>
        <v>4</v>
      </c>
    </row>
    <row r="2242" spans="1:9" x14ac:dyDescent="0.25">
      <c r="A2242" s="7">
        <v>2</v>
      </c>
      <c r="B2242" s="8">
        <v>43544</v>
      </c>
      <c r="C2242" s="9" t="s">
        <v>3</v>
      </c>
      <c r="D2242" s="10">
        <v>211.56100000000001</v>
      </c>
      <c r="E2242" s="10">
        <v>0</v>
      </c>
      <c r="F2242" t="str">
        <f>VLOOKUP(A2242,StoreLookup,2,FALSE)</f>
        <v>Store#2</v>
      </c>
      <c r="G2242">
        <f>INDEX(CalLookUpTable,MATCH($B2242,CalLookUpRow,0),MATCH(G$1,CalLookUpColumn,0))</f>
        <v>2019</v>
      </c>
      <c r="H2242">
        <f>INDEX(CalLookUpTable,MATCH($B2242,CalLookUpRow,0),MATCH(H$1,CalLookUpColumn,0))</f>
        <v>3</v>
      </c>
      <c r="I2242">
        <f>INDEX(CalLookUpTable,MATCH($B2242,CalLookUpRow,0),MATCH(I$1,CalLookUpColumn,0))</f>
        <v>4</v>
      </c>
    </row>
    <row r="2243" spans="1:9" x14ac:dyDescent="0.25">
      <c r="A2243" s="7">
        <v>2</v>
      </c>
      <c r="B2243" s="8">
        <v>43544</v>
      </c>
      <c r="C2243" s="9" t="s">
        <v>6</v>
      </c>
      <c r="D2243" s="10">
        <v>263.83</v>
      </c>
      <c r="E2243" s="10">
        <v>132.74099999999999</v>
      </c>
      <c r="F2243" t="str">
        <f>VLOOKUP(A2243,StoreLookup,2,FALSE)</f>
        <v>Store#2</v>
      </c>
      <c r="G2243">
        <f>INDEX(CalLookUpTable,MATCH($B2243,CalLookUpRow,0),MATCH(G$1,CalLookUpColumn,0))</f>
        <v>2019</v>
      </c>
      <c r="H2243">
        <f>INDEX(CalLookUpTable,MATCH($B2243,CalLookUpRow,0),MATCH(H$1,CalLookUpColumn,0))</f>
        <v>3</v>
      </c>
      <c r="I2243">
        <f>INDEX(CalLookUpTable,MATCH($B2243,CalLookUpRow,0),MATCH(I$1,CalLookUpColumn,0))</f>
        <v>4</v>
      </c>
    </row>
    <row r="2244" spans="1:9" x14ac:dyDescent="0.25">
      <c r="A2244" s="7">
        <v>2</v>
      </c>
      <c r="B2244" s="8">
        <v>43544</v>
      </c>
      <c r="C2244" s="9" t="s">
        <v>4</v>
      </c>
      <c r="D2244" s="10">
        <v>1473.7380000000001</v>
      </c>
      <c r="E2244" s="10">
        <v>2287.7749999999996</v>
      </c>
      <c r="F2244" t="str">
        <f>VLOOKUP(A2244,StoreLookup,2,FALSE)</f>
        <v>Store#2</v>
      </c>
      <c r="G2244">
        <f>INDEX(CalLookUpTable,MATCH($B2244,CalLookUpRow,0),MATCH(G$1,CalLookUpColumn,0))</f>
        <v>2019</v>
      </c>
      <c r="H2244">
        <f>INDEX(CalLookUpTable,MATCH($B2244,CalLookUpRow,0),MATCH(H$1,CalLookUpColumn,0))</f>
        <v>3</v>
      </c>
      <c r="I2244">
        <f>INDEX(CalLookUpTable,MATCH($B2244,CalLookUpRow,0),MATCH(I$1,CalLookUpColumn,0))</f>
        <v>4</v>
      </c>
    </row>
    <row r="2245" spans="1:9" x14ac:dyDescent="0.25">
      <c r="A2245" s="7">
        <v>2</v>
      </c>
      <c r="B2245" s="8">
        <v>43544</v>
      </c>
      <c r="C2245" s="9" t="s">
        <v>5</v>
      </c>
      <c r="D2245" s="10">
        <v>964.48799999999983</v>
      </c>
      <c r="E2245" s="10">
        <v>0</v>
      </c>
      <c r="F2245" t="str">
        <f>VLOOKUP(A2245,StoreLookup,2,FALSE)</f>
        <v>Store#2</v>
      </c>
      <c r="G2245">
        <f>INDEX(CalLookUpTable,MATCH($B2245,CalLookUpRow,0),MATCH(G$1,CalLookUpColumn,0))</f>
        <v>2019</v>
      </c>
      <c r="H2245">
        <f>INDEX(CalLookUpTable,MATCH($B2245,CalLookUpRow,0),MATCH(H$1,CalLookUpColumn,0))</f>
        <v>3</v>
      </c>
      <c r="I2245">
        <f>INDEX(CalLookUpTable,MATCH($B2245,CalLookUpRow,0),MATCH(I$1,CalLookUpColumn,0))</f>
        <v>4</v>
      </c>
    </row>
    <row r="2246" spans="1:9" x14ac:dyDescent="0.25">
      <c r="A2246" s="7">
        <v>2</v>
      </c>
      <c r="B2246" s="8">
        <v>43545</v>
      </c>
      <c r="C2246" s="9" t="s">
        <v>4</v>
      </c>
      <c r="D2246" s="10">
        <v>1644.16</v>
      </c>
      <c r="E2246" s="10">
        <v>2485.721</v>
      </c>
      <c r="F2246" t="str">
        <f>VLOOKUP(A2246,StoreLookup,2,FALSE)</f>
        <v>Store#2</v>
      </c>
      <c r="G2246">
        <f>INDEX(CalLookUpTable,MATCH($B2246,CalLookUpRow,0),MATCH(G$1,CalLookUpColumn,0))</f>
        <v>2019</v>
      </c>
      <c r="H2246">
        <f>INDEX(CalLookUpTable,MATCH($B2246,CalLookUpRow,0),MATCH(H$1,CalLookUpColumn,0))</f>
        <v>3</v>
      </c>
      <c r="I2246">
        <f>INDEX(CalLookUpTable,MATCH($B2246,CalLookUpRow,0),MATCH(I$1,CalLookUpColumn,0))</f>
        <v>4</v>
      </c>
    </row>
    <row r="2247" spans="1:9" x14ac:dyDescent="0.25">
      <c r="A2247" s="7">
        <v>2</v>
      </c>
      <c r="B2247" s="8">
        <v>43545</v>
      </c>
      <c r="C2247" s="9" t="s">
        <v>5</v>
      </c>
      <c r="D2247" s="10">
        <v>1045.3589999999999</v>
      </c>
      <c r="E2247" s="10">
        <v>0</v>
      </c>
      <c r="F2247" t="str">
        <f>VLOOKUP(A2247,StoreLookup,2,FALSE)</f>
        <v>Store#2</v>
      </c>
      <c r="G2247">
        <f>INDEX(CalLookUpTable,MATCH($B2247,CalLookUpRow,0),MATCH(G$1,CalLookUpColumn,0))</f>
        <v>2019</v>
      </c>
      <c r="H2247">
        <f>INDEX(CalLookUpTable,MATCH($B2247,CalLookUpRow,0),MATCH(H$1,CalLookUpColumn,0))</f>
        <v>3</v>
      </c>
      <c r="I2247">
        <f>INDEX(CalLookUpTable,MATCH($B2247,CalLookUpRow,0),MATCH(I$1,CalLookUpColumn,0))</f>
        <v>4</v>
      </c>
    </row>
    <row r="2248" spans="1:9" x14ac:dyDescent="0.25">
      <c r="A2248" s="7">
        <v>2</v>
      </c>
      <c r="B2248" s="8">
        <v>43545</v>
      </c>
      <c r="C2248" s="9" t="s">
        <v>3</v>
      </c>
      <c r="D2248" s="10">
        <v>0</v>
      </c>
      <c r="E2248" s="10">
        <v>0</v>
      </c>
      <c r="F2248" t="str">
        <f>VLOOKUP(A2248,StoreLookup,2,FALSE)</f>
        <v>Store#2</v>
      </c>
      <c r="G2248">
        <f>INDEX(CalLookUpTable,MATCH($B2248,CalLookUpRow,0),MATCH(G$1,CalLookUpColumn,0))</f>
        <v>2019</v>
      </c>
      <c r="H2248">
        <f>INDEX(CalLookUpTable,MATCH($B2248,CalLookUpRow,0),MATCH(H$1,CalLookUpColumn,0))</f>
        <v>3</v>
      </c>
      <c r="I2248">
        <f>INDEX(CalLookUpTable,MATCH($B2248,CalLookUpRow,0),MATCH(I$1,CalLookUpColumn,0))</f>
        <v>4</v>
      </c>
    </row>
    <row r="2249" spans="1:9" x14ac:dyDescent="0.25">
      <c r="A2249" s="7">
        <v>2</v>
      </c>
      <c r="B2249" s="8">
        <v>43545</v>
      </c>
      <c r="C2249" s="9" t="s">
        <v>6</v>
      </c>
      <c r="D2249" s="10">
        <v>417.46599999999995</v>
      </c>
      <c r="E2249" s="10">
        <v>308.30099999999999</v>
      </c>
      <c r="F2249" t="str">
        <f>VLOOKUP(A2249,StoreLookup,2,FALSE)</f>
        <v>Store#2</v>
      </c>
      <c r="G2249">
        <f>INDEX(CalLookUpTable,MATCH($B2249,CalLookUpRow,0),MATCH(G$1,CalLookUpColumn,0))</f>
        <v>2019</v>
      </c>
      <c r="H2249">
        <f>INDEX(CalLookUpTable,MATCH($B2249,CalLookUpRow,0),MATCH(H$1,CalLookUpColumn,0))</f>
        <v>3</v>
      </c>
      <c r="I2249">
        <f>INDEX(CalLookUpTable,MATCH($B2249,CalLookUpRow,0),MATCH(I$1,CalLookUpColumn,0))</f>
        <v>4</v>
      </c>
    </row>
    <row r="2250" spans="1:9" x14ac:dyDescent="0.25">
      <c r="A2250" s="7">
        <v>2</v>
      </c>
      <c r="B2250" s="8">
        <v>43546</v>
      </c>
      <c r="C2250" s="9" t="s">
        <v>3</v>
      </c>
      <c r="D2250" s="10">
        <v>0</v>
      </c>
      <c r="E2250" s="10">
        <v>176.54</v>
      </c>
      <c r="F2250" t="str">
        <f>VLOOKUP(A2250,StoreLookup,2,FALSE)</f>
        <v>Store#2</v>
      </c>
      <c r="G2250">
        <f>INDEX(CalLookUpTable,MATCH($B2250,CalLookUpRow,0),MATCH(G$1,CalLookUpColumn,0))</f>
        <v>2019</v>
      </c>
      <c r="H2250">
        <f>INDEX(CalLookUpTable,MATCH($B2250,CalLookUpRow,0),MATCH(H$1,CalLookUpColumn,0))</f>
        <v>3</v>
      </c>
      <c r="I2250">
        <f>INDEX(CalLookUpTable,MATCH($B2250,CalLookUpRow,0),MATCH(I$1,CalLookUpColumn,0))</f>
        <v>4</v>
      </c>
    </row>
    <row r="2251" spans="1:9" x14ac:dyDescent="0.25">
      <c r="A2251" s="7">
        <v>2</v>
      </c>
      <c r="B2251" s="8">
        <v>43546</v>
      </c>
      <c r="C2251" s="9" t="s">
        <v>5</v>
      </c>
      <c r="D2251" s="10">
        <v>1283.6669999999999</v>
      </c>
      <c r="E2251" s="10">
        <v>0</v>
      </c>
      <c r="F2251" t="str">
        <f>VLOOKUP(A2251,StoreLookup,2,FALSE)</f>
        <v>Store#2</v>
      </c>
      <c r="G2251">
        <f>INDEX(CalLookUpTable,MATCH($B2251,CalLookUpRow,0),MATCH(G$1,CalLookUpColumn,0))</f>
        <v>2019</v>
      </c>
      <c r="H2251">
        <f>INDEX(CalLookUpTable,MATCH($B2251,CalLookUpRow,0),MATCH(H$1,CalLookUpColumn,0))</f>
        <v>3</v>
      </c>
      <c r="I2251">
        <f>INDEX(CalLookUpTable,MATCH($B2251,CalLookUpRow,0),MATCH(I$1,CalLookUpColumn,0))</f>
        <v>4</v>
      </c>
    </row>
    <row r="2252" spans="1:9" x14ac:dyDescent="0.25">
      <c r="A2252" s="7">
        <v>2</v>
      </c>
      <c r="B2252" s="8">
        <v>43546</v>
      </c>
      <c r="C2252" s="9" t="s">
        <v>6</v>
      </c>
      <c r="D2252" s="10">
        <v>502.60699999999997</v>
      </c>
      <c r="E2252" s="10">
        <v>550.05299999999988</v>
      </c>
      <c r="F2252" t="str">
        <f>VLOOKUP(A2252,StoreLookup,2,FALSE)</f>
        <v>Store#2</v>
      </c>
      <c r="G2252">
        <f>INDEX(CalLookUpTable,MATCH($B2252,CalLookUpRow,0),MATCH(G$1,CalLookUpColumn,0))</f>
        <v>2019</v>
      </c>
      <c r="H2252">
        <f>INDEX(CalLookUpTable,MATCH($B2252,CalLookUpRow,0),MATCH(H$1,CalLookUpColumn,0))</f>
        <v>3</v>
      </c>
      <c r="I2252">
        <f>INDEX(CalLookUpTable,MATCH($B2252,CalLookUpRow,0),MATCH(I$1,CalLookUpColumn,0))</f>
        <v>4</v>
      </c>
    </row>
    <row r="2253" spans="1:9" x14ac:dyDescent="0.25">
      <c r="A2253" s="7">
        <v>2</v>
      </c>
      <c r="B2253" s="8">
        <v>43546</v>
      </c>
      <c r="C2253" s="9" t="s">
        <v>4</v>
      </c>
      <c r="D2253" s="10">
        <v>2041.3539999999998</v>
      </c>
      <c r="E2253" s="10">
        <v>2686.4459999999999</v>
      </c>
      <c r="F2253" t="str">
        <f>VLOOKUP(A2253,StoreLookup,2,FALSE)</f>
        <v>Store#2</v>
      </c>
      <c r="G2253">
        <f>INDEX(CalLookUpTable,MATCH($B2253,CalLookUpRow,0),MATCH(G$1,CalLookUpColumn,0))</f>
        <v>2019</v>
      </c>
      <c r="H2253">
        <f>INDEX(CalLookUpTable,MATCH($B2253,CalLookUpRow,0),MATCH(H$1,CalLookUpColumn,0))</f>
        <v>3</v>
      </c>
      <c r="I2253">
        <f>INDEX(CalLookUpTable,MATCH($B2253,CalLookUpRow,0),MATCH(I$1,CalLookUpColumn,0))</f>
        <v>4</v>
      </c>
    </row>
    <row r="2254" spans="1:9" x14ac:dyDescent="0.25">
      <c r="A2254" s="7">
        <v>2</v>
      </c>
      <c r="B2254" s="8">
        <v>43547</v>
      </c>
      <c r="C2254" s="9" t="s">
        <v>3</v>
      </c>
      <c r="D2254" s="10">
        <v>0</v>
      </c>
      <c r="E2254" s="10">
        <v>0</v>
      </c>
      <c r="F2254" t="str">
        <f>VLOOKUP(A2254,StoreLookup,2,FALSE)</f>
        <v>Store#2</v>
      </c>
      <c r="G2254">
        <f>INDEX(CalLookUpTable,MATCH($B2254,CalLookUpRow,0),MATCH(G$1,CalLookUpColumn,0))</f>
        <v>2019</v>
      </c>
      <c r="H2254">
        <f>INDEX(CalLookUpTable,MATCH($B2254,CalLookUpRow,0),MATCH(H$1,CalLookUpColumn,0))</f>
        <v>3</v>
      </c>
      <c r="I2254">
        <f>INDEX(CalLookUpTable,MATCH($B2254,CalLookUpRow,0),MATCH(I$1,CalLookUpColumn,0))</f>
        <v>4</v>
      </c>
    </row>
    <row r="2255" spans="1:9" x14ac:dyDescent="0.25">
      <c r="A2255" s="7">
        <v>2</v>
      </c>
      <c r="B2255" s="8">
        <v>43547</v>
      </c>
      <c r="C2255" s="9" t="s">
        <v>6</v>
      </c>
      <c r="D2255" s="10">
        <v>357.82599999999996</v>
      </c>
      <c r="E2255" s="10">
        <v>454.77599999999995</v>
      </c>
      <c r="F2255" t="str">
        <f>VLOOKUP(A2255,StoreLookup,2,FALSE)</f>
        <v>Store#2</v>
      </c>
      <c r="G2255">
        <f>INDEX(CalLookUpTable,MATCH($B2255,CalLookUpRow,0),MATCH(G$1,CalLookUpColumn,0))</f>
        <v>2019</v>
      </c>
      <c r="H2255">
        <f>INDEX(CalLookUpTable,MATCH($B2255,CalLookUpRow,0),MATCH(H$1,CalLookUpColumn,0))</f>
        <v>3</v>
      </c>
      <c r="I2255">
        <f>INDEX(CalLookUpTable,MATCH($B2255,CalLookUpRow,0),MATCH(I$1,CalLookUpColumn,0))</f>
        <v>4</v>
      </c>
    </row>
    <row r="2256" spans="1:9" x14ac:dyDescent="0.25">
      <c r="A2256" s="7">
        <v>2</v>
      </c>
      <c r="B2256" s="8">
        <v>43547</v>
      </c>
      <c r="C2256" s="9" t="s">
        <v>4</v>
      </c>
      <c r="D2256" s="10">
        <v>2539.1169999999997</v>
      </c>
      <c r="E2256" s="10">
        <v>2468.9490000000001</v>
      </c>
      <c r="F2256" t="str">
        <f>VLOOKUP(A2256,StoreLookup,2,FALSE)</f>
        <v>Store#2</v>
      </c>
      <c r="G2256">
        <f>INDEX(CalLookUpTable,MATCH($B2256,CalLookUpRow,0),MATCH(G$1,CalLookUpColumn,0))</f>
        <v>2019</v>
      </c>
      <c r="H2256">
        <f>INDEX(CalLookUpTable,MATCH($B2256,CalLookUpRow,0),MATCH(H$1,CalLookUpColumn,0))</f>
        <v>3</v>
      </c>
      <c r="I2256">
        <f>INDEX(CalLookUpTable,MATCH($B2256,CalLookUpRow,0),MATCH(I$1,CalLookUpColumn,0))</f>
        <v>4</v>
      </c>
    </row>
    <row r="2257" spans="1:9" x14ac:dyDescent="0.25">
      <c r="A2257" s="7">
        <v>2</v>
      </c>
      <c r="B2257" s="8">
        <v>43547</v>
      </c>
      <c r="C2257" s="9" t="s">
        <v>5</v>
      </c>
      <c r="D2257" s="10">
        <v>1138.424</v>
      </c>
      <c r="E2257" s="10">
        <v>0</v>
      </c>
      <c r="F2257" t="str">
        <f>VLOOKUP(A2257,StoreLookup,2,FALSE)</f>
        <v>Store#2</v>
      </c>
      <c r="G2257">
        <f>INDEX(CalLookUpTable,MATCH($B2257,CalLookUpRow,0),MATCH(G$1,CalLookUpColumn,0))</f>
        <v>2019</v>
      </c>
      <c r="H2257">
        <f>INDEX(CalLookUpTable,MATCH($B2257,CalLookUpRow,0),MATCH(H$1,CalLookUpColumn,0))</f>
        <v>3</v>
      </c>
      <c r="I2257">
        <f>INDEX(CalLookUpTable,MATCH($B2257,CalLookUpRow,0),MATCH(I$1,CalLookUpColumn,0))</f>
        <v>4</v>
      </c>
    </row>
    <row r="2258" spans="1:9" x14ac:dyDescent="0.25">
      <c r="A2258" s="7">
        <v>2</v>
      </c>
      <c r="B2258" s="8">
        <v>43548</v>
      </c>
      <c r="C2258" s="9" t="s">
        <v>4</v>
      </c>
      <c r="D2258" s="10">
        <v>1336.6849999999999</v>
      </c>
      <c r="E2258" s="10">
        <v>1502.3820000000001</v>
      </c>
      <c r="F2258" t="str">
        <f>VLOOKUP(A2258,StoreLookup,2,FALSE)</f>
        <v>Store#2</v>
      </c>
      <c r="G2258">
        <f>INDEX(CalLookUpTable,MATCH($B2258,CalLookUpRow,0),MATCH(G$1,CalLookUpColumn,0))</f>
        <v>2019</v>
      </c>
      <c r="H2258">
        <f>INDEX(CalLookUpTable,MATCH($B2258,CalLookUpRow,0),MATCH(H$1,CalLookUpColumn,0))</f>
        <v>3</v>
      </c>
      <c r="I2258">
        <f>INDEX(CalLookUpTable,MATCH($B2258,CalLookUpRow,0),MATCH(I$1,CalLookUpColumn,0))</f>
        <v>4</v>
      </c>
    </row>
    <row r="2259" spans="1:9" x14ac:dyDescent="0.25">
      <c r="A2259" s="7">
        <v>2</v>
      </c>
      <c r="B2259" s="8">
        <v>43548</v>
      </c>
      <c r="C2259" s="9" t="s">
        <v>5</v>
      </c>
      <c r="D2259" s="10">
        <v>588.67200000000003</v>
      </c>
      <c r="E2259" s="10">
        <v>0</v>
      </c>
      <c r="F2259" t="str">
        <f>VLOOKUP(A2259,StoreLookup,2,FALSE)</f>
        <v>Store#2</v>
      </c>
      <c r="G2259">
        <f>INDEX(CalLookUpTable,MATCH($B2259,CalLookUpRow,0),MATCH(G$1,CalLookUpColumn,0))</f>
        <v>2019</v>
      </c>
      <c r="H2259">
        <f>INDEX(CalLookUpTable,MATCH($B2259,CalLookUpRow,0),MATCH(H$1,CalLookUpColumn,0))</f>
        <v>3</v>
      </c>
      <c r="I2259">
        <f>INDEX(CalLookUpTable,MATCH($B2259,CalLookUpRow,0),MATCH(I$1,CalLookUpColumn,0))</f>
        <v>4</v>
      </c>
    </row>
    <row r="2260" spans="1:9" x14ac:dyDescent="0.25">
      <c r="A2260" s="7">
        <v>2</v>
      </c>
      <c r="B2260" s="8">
        <v>43548</v>
      </c>
      <c r="C2260" s="9" t="s">
        <v>3</v>
      </c>
      <c r="D2260" s="10">
        <v>0</v>
      </c>
      <c r="E2260" s="10">
        <v>0</v>
      </c>
      <c r="F2260" t="str">
        <f>VLOOKUP(A2260,StoreLookup,2,FALSE)</f>
        <v>Store#2</v>
      </c>
      <c r="G2260">
        <f>INDEX(CalLookUpTable,MATCH($B2260,CalLookUpRow,0),MATCH(G$1,CalLookUpColumn,0))</f>
        <v>2019</v>
      </c>
      <c r="H2260">
        <f>INDEX(CalLookUpTable,MATCH($B2260,CalLookUpRow,0),MATCH(H$1,CalLookUpColumn,0))</f>
        <v>3</v>
      </c>
      <c r="I2260">
        <f>INDEX(CalLookUpTable,MATCH($B2260,CalLookUpRow,0),MATCH(I$1,CalLookUpColumn,0))</f>
        <v>4</v>
      </c>
    </row>
    <row r="2261" spans="1:9" x14ac:dyDescent="0.25">
      <c r="A2261" s="7">
        <v>2</v>
      </c>
      <c r="B2261" s="8">
        <v>43548</v>
      </c>
      <c r="C2261" s="9" t="s">
        <v>6</v>
      </c>
      <c r="D2261" s="10">
        <v>282.01599999999996</v>
      </c>
      <c r="E2261" s="10">
        <v>402.03100000000001</v>
      </c>
      <c r="F2261" t="str">
        <f>VLOOKUP(A2261,StoreLookup,2,FALSE)</f>
        <v>Store#2</v>
      </c>
      <c r="G2261">
        <f>INDEX(CalLookUpTable,MATCH($B2261,CalLookUpRow,0),MATCH(G$1,CalLookUpColumn,0))</f>
        <v>2019</v>
      </c>
      <c r="H2261">
        <f>INDEX(CalLookUpTable,MATCH($B2261,CalLookUpRow,0),MATCH(H$1,CalLookUpColumn,0))</f>
        <v>3</v>
      </c>
      <c r="I2261">
        <f>INDEX(CalLookUpTable,MATCH($B2261,CalLookUpRow,0),MATCH(I$1,CalLookUpColumn,0))</f>
        <v>4</v>
      </c>
    </row>
    <row r="2262" spans="1:9" x14ac:dyDescent="0.25">
      <c r="A2262" s="7">
        <v>2</v>
      </c>
      <c r="B2262" s="8">
        <v>43549</v>
      </c>
      <c r="C2262" s="9" t="s">
        <v>5</v>
      </c>
      <c r="D2262" s="10">
        <v>997.43700000000001</v>
      </c>
      <c r="E2262" s="10">
        <v>0</v>
      </c>
      <c r="F2262" t="str">
        <f>VLOOKUP(A2262,StoreLookup,2,FALSE)</f>
        <v>Store#2</v>
      </c>
      <c r="G2262">
        <f>INDEX(CalLookUpTable,MATCH($B2262,CalLookUpRow,0),MATCH(G$1,CalLookUpColumn,0))</f>
        <v>2019</v>
      </c>
      <c r="H2262">
        <f>INDEX(CalLookUpTable,MATCH($B2262,CalLookUpRow,0),MATCH(H$1,CalLookUpColumn,0))</f>
        <v>3</v>
      </c>
      <c r="I2262">
        <f>INDEX(CalLookUpTable,MATCH($B2262,CalLookUpRow,0),MATCH(I$1,CalLookUpColumn,0))</f>
        <v>5</v>
      </c>
    </row>
    <row r="2263" spans="1:9" x14ac:dyDescent="0.25">
      <c r="A2263" s="7">
        <v>2</v>
      </c>
      <c r="B2263" s="8">
        <v>43549</v>
      </c>
      <c r="C2263" s="9" t="s">
        <v>4</v>
      </c>
      <c r="D2263" s="10">
        <v>1544.48</v>
      </c>
      <c r="E2263" s="10">
        <v>1445.6189999999999</v>
      </c>
      <c r="F2263" t="str">
        <f>VLOOKUP(A2263,StoreLookup,2,FALSE)</f>
        <v>Store#2</v>
      </c>
      <c r="G2263">
        <f>INDEX(CalLookUpTable,MATCH($B2263,CalLookUpRow,0),MATCH(G$1,CalLookUpColumn,0))</f>
        <v>2019</v>
      </c>
      <c r="H2263">
        <f>INDEX(CalLookUpTable,MATCH($B2263,CalLookUpRow,0),MATCH(H$1,CalLookUpColumn,0))</f>
        <v>3</v>
      </c>
      <c r="I2263">
        <f>INDEX(CalLookUpTable,MATCH($B2263,CalLookUpRow,0),MATCH(I$1,CalLookUpColumn,0))</f>
        <v>5</v>
      </c>
    </row>
    <row r="2264" spans="1:9" x14ac:dyDescent="0.25">
      <c r="A2264" s="7">
        <v>2</v>
      </c>
      <c r="B2264" s="8">
        <v>43549</v>
      </c>
      <c r="C2264" s="9" t="s">
        <v>6</v>
      </c>
      <c r="D2264" s="10">
        <v>228.809</v>
      </c>
      <c r="E2264" s="10">
        <v>442.51199999999994</v>
      </c>
      <c r="F2264" t="str">
        <f>VLOOKUP(A2264,StoreLookup,2,FALSE)</f>
        <v>Store#2</v>
      </c>
      <c r="G2264">
        <f>INDEX(CalLookUpTable,MATCH($B2264,CalLookUpRow,0),MATCH(G$1,CalLookUpColumn,0))</f>
        <v>2019</v>
      </c>
      <c r="H2264">
        <f>INDEX(CalLookUpTable,MATCH($B2264,CalLookUpRow,0),MATCH(H$1,CalLookUpColumn,0))</f>
        <v>3</v>
      </c>
      <c r="I2264">
        <f>INDEX(CalLookUpTable,MATCH($B2264,CalLookUpRow,0),MATCH(I$1,CalLookUpColumn,0))</f>
        <v>5</v>
      </c>
    </row>
    <row r="2265" spans="1:9" x14ac:dyDescent="0.25">
      <c r="A2265" s="7">
        <v>2</v>
      </c>
      <c r="B2265" s="8">
        <v>43549</v>
      </c>
      <c r="C2265" s="9" t="s">
        <v>3</v>
      </c>
      <c r="D2265" s="10">
        <v>0</v>
      </c>
      <c r="E2265" s="10">
        <v>0</v>
      </c>
      <c r="F2265" t="str">
        <f>VLOOKUP(A2265,StoreLookup,2,FALSE)</f>
        <v>Store#2</v>
      </c>
      <c r="G2265">
        <f>INDEX(CalLookUpTable,MATCH($B2265,CalLookUpRow,0),MATCH(G$1,CalLookUpColumn,0))</f>
        <v>2019</v>
      </c>
      <c r="H2265">
        <f>INDEX(CalLookUpTable,MATCH($B2265,CalLookUpRow,0),MATCH(H$1,CalLookUpColumn,0))</f>
        <v>3</v>
      </c>
      <c r="I2265">
        <f>INDEX(CalLookUpTable,MATCH($B2265,CalLookUpRow,0),MATCH(I$1,CalLookUpColumn,0))</f>
        <v>5</v>
      </c>
    </row>
    <row r="2266" spans="1:9" x14ac:dyDescent="0.25">
      <c r="A2266" s="7">
        <v>2</v>
      </c>
      <c r="B2266" s="8">
        <v>43550</v>
      </c>
      <c r="C2266" s="9" t="s">
        <v>4</v>
      </c>
      <c r="D2266" s="10">
        <v>1801.3799999999999</v>
      </c>
      <c r="E2266" s="10">
        <v>2163.6859999999997</v>
      </c>
      <c r="F2266" t="str">
        <f>VLOOKUP(A2266,StoreLookup,2,FALSE)</f>
        <v>Store#2</v>
      </c>
      <c r="G2266">
        <f>INDEX(CalLookUpTable,MATCH($B2266,CalLookUpRow,0),MATCH(G$1,CalLookUpColumn,0))</f>
        <v>2019</v>
      </c>
      <c r="H2266">
        <f>INDEX(CalLookUpTable,MATCH($B2266,CalLookUpRow,0),MATCH(H$1,CalLookUpColumn,0))</f>
        <v>3</v>
      </c>
      <c r="I2266">
        <f>INDEX(CalLookUpTable,MATCH($B2266,CalLookUpRow,0),MATCH(I$1,CalLookUpColumn,0))</f>
        <v>5</v>
      </c>
    </row>
    <row r="2267" spans="1:9" x14ac:dyDescent="0.25">
      <c r="A2267" s="7">
        <v>2</v>
      </c>
      <c r="B2267" s="8">
        <v>43550</v>
      </c>
      <c r="C2267" s="9" t="s">
        <v>5</v>
      </c>
      <c r="D2267" s="10">
        <v>1052.9959999999999</v>
      </c>
      <c r="E2267" s="10">
        <v>0</v>
      </c>
      <c r="F2267" t="str">
        <f>VLOOKUP(A2267,StoreLookup,2,FALSE)</f>
        <v>Store#2</v>
      </c>
      <c r="G2267">
        <f>INDEX(CalLookUpTable,MATCH($B2267,CalLookUpRow,0),MATCH(G$1,CalLookUpColumn,0))</f>
        <v>2019</v>
      </c>
      <c r="H2267">
        <f>INDEX(CalLookUpTable,MATCH($B2267,CalLookUpRow,0),MATCH(H$1,CalLookUpColumn,0))</f>
        <v>3</v>
      </c>
      <c r="I2267">
        <f>INDEX(CalLookUpTable,MATCH($B2267,CalLookUpRow,0),MATCH(I$1,CalLookUpColumn,0))</f>
        <v>5</v>
      </c>
    </row>
    <row r="2268" spans="1:9" x14ac:dyDescent="0.25">
      <c r="A2268" s="7">
        <v>2</v>
      </c>
      <c r="B2268" s="8">
        <v>43550</v>
      </c>
      <c r="C2268" s="9" t="s">
        <v>3</v>
      </c>
      <c r="D2268" s="10">
        <v>0</v>
      </c>
      <c r="E2268" s="10">
        <v>157.68899999999999</v>
      </c>
      <c r="F2268" t="str">
        <f>VLOOKUP(A2268,StoreLookup,2,FALSE)</f>
        <v>Store#2</v>
      </c>
      <c r="G2268">
        <f>INDEX(CalLookUpTable,MATCH($B2268,CalLookUpRow,0),MATCH(G$1,CalLookUpColumn,0))</f>
        <v>2019</v>
      </c>
      <c r="H2268">
        <f>INDEX(CalLookUpTable,MATCH($B2268,CalLookUpRow,0),MATCH(H$1,CalLookUpColumn,0))</f>
        <v>3</v>
      </c>
      <c r="I2268">
        <f>INDEX(CalLookUpTable,MATCH($B2268,CalLookUpRow,0),MATCH(I$1,CalLookUpColumn,0))</f>
        <v>5</v>
      </c>
    </row>
    <row r="2269" spans="1:9" x14ac:dyDescent="0.25">
      <c r="A2269" s="7">
        <v>2</v>
      </c>
      <c r="B2269" s="8">
        <v>43550</v>
      </c>
      <c r="C2269" s="9" t="s">
        <v>6</v>
      </c>
      <c r="D2269" s="10">
        <v>226.91200000000001</v>
      </c>
      <c r="E2269" s="10">
        <v>383.45299999999997</v>
      </c>
      <c r="F2269" t="str">
        <f>VLOOKUP(A2269,StoreLookup,2,FALSE)</f>
        <v>Store#2</v>
      </c>
      <c r="G2269">
        <f>INDEX(CalLookUpTable,MATCH($B2269,CalLookUpRow,0),MATCH(G$1,CalLookUpColumn,0))</f>
        <v>2019</v>
      </c>
      <c r="H2269">
        <f>INDEX(CalLookUpTable,MATCH($B2269,CalLookUpRow,0),MATCH(H$1,CalLookUpColumn,0))</f>
        <v>3</v>
      </c>
      <c r="I2269">
        <f>INDEX(CalLookUpTable,MATCH($B2269,CalLookUpRow,0),MATCH(I$1,CalLookUpColumn,0))</f>
        <v>5</v>
      </c>
    </row>
    <row r="2270" spans="1:9" x14ac:dyDescent="0.25">
      <c r="A2270" s="7">
        <v>2</v>
      </c>
      <c r="B2270" s="8">
        <v>43551</v>
      </c>
      <c r="C2270" s="9" t="s">
        <v>3</v>
      </c>
      <c r="D2270" s="10">
        <v>319.536</v>
      </c>
      <c r="E2270" s="10">
        <v>0</v>
      </c>
      <c r="F2270" t="str">
        <f>VLOOKUP(A2270,StoreLookup,2,FALSE)</f>
        <v>Store#2</v>
      </c>
      <c r="G2270">
        <f>INDEX(CalLookUpTable,MATCH($B2270,CalLookUpRow,0),MATCH(G$1,CalLookUpColumn,0))</f>
        <v>2019</v>
      </c>
      <c r="H2270">
        <f>INDEX(CalLookUpTable,MATCH($B2270,CalLookUpRow,0),MATCH(H$1,CalLookUpColumn,0))</f>
        <v>3</v>
      </c>
      <c r="I2270">
        <f>INDEX(CalLookUpTable,MATCH($B2270,CalLookUpRow,0),MATCH(I$1,CalLookUpColumn,0))</f>
        <v>5</v>
      </c>
    </row>
    <row r="2271" spans="1:9" x14ac:dyDescent="0.25">
      <c r="A2271" s="7">
        <v>2</v>
      </c>
      <c r="B2271" s="8">
        <v>43551</v>
      </c>
      <c r="C2271" s="9" t="s">
        <v>5</v>
      </c>
      <c r="D2271" s="10">
        <v>1019.83</v>
      </c>
      <c r="E2271" s="10">
        <v>0</v>
      </c>
      <c r="F2271" t="str">
        <f>VLOOKUP(A2271,StoreLookup,2,FALSE)</f>
        <v>Store#2</v>
      </c>
      <c r="G2271">
        <f>INDEX(CalLookUpTable,MATCH($B2271,CalLookUpRow,0),MATCH(G$1,CalLookUpColumn,0))</f>
        <v>2019</v>
      </c>
      <c r="H2271">
        <f>INDEX(CalLookUpTable,MATCH($B2271,CalLookUpRow,0),MATCH(H$1,CalLookUpColumn,0))</f>
        <v>3</v>
      </c>
      <c r="I2271">
        <f>INDEX(CalLookUpTable,MATCH($B2271,CalLookUpRow,0),MATCH(I$1,CalLookUpColumn,0))</f>
        <v>5</v>
      </c>
    </row>
    <row r="2272" spans="1:9" x14ac:dyDescent="0.25">
      <c r="A2272" s="7">
        <v>2</v>
      </c>
      <c r="B2272" s="8">
        <v>43551</v>
      </c>
      <c r="C2272" s="9" t="s">
        <v>4</v>
      </c>
      <c r="D2272" s="10">
        <v>1728.5869999999998</v>
      </c>
      <c r="E2272" s="10">
        <v>2495.5210000000002</v>
      </c>
      <c r="F2272" t="str">
        <f>VLOOKUP(A2272,StoreLookup,2,FALSE)</f>
        <v>Store#2</v>
      </c>
      <c r="G2272">
        <f>INDEX(CalLookUpTable,MATCH($B2272,CalLookUpRow,0),MATCH(G$1,CalLookUpColumn,0))</f>
        <v>2019</v>
      </c>
      <c r="H2272">
        <f>INDEX(CalLookUpTable,MATCH($B2272,CalLookUpRow,0),MATCH(H$1,CalLookUpColumn,0))</f>
        <v>3</v>
      </c>
      <c r="I2272">
        <f>INDEX(CalLookUpTable,MATCH($B2272,CalLookUpRow,0),MATCH(I$1,CalLookUpColumn,0))</f>
        <v>5</v>
      </c>
    </row>
    <row r="2273" spans="1:9" x14ac:dyDescent="0.25">
      <c r="A2273" s="7">
        <v>2</v>
      </c>
      <c r="B2273" s="8">
        <v>43551</v>
      </c>
      <c r="C2273" s="9" t="s">
        <v>6</v>
      </c>
      <c r="D2273" s="10">
        <v>379.95999999999992</v>
      </c>
      <c r="E2273" s="10">
        <v>385.64399999999995</v>
      </c>
      <c r="F2273" t="str">
        <f>VLOOKUP(A2273,StoreLookup,2,FALSE)</f>
        <v>Store#2</v>
      </c>
      <c r="G2273">
        <f>INDEX(CalLookUpTable,MATCH($B2273,CalLookUpRow,0),MATCH(G$1,CalLookUpColumn,0))</f>
        <v>2019</v>
      </c>
      <c r="H2273">
        <f>INDEX(CalLookUpTable,MATCH($B2273,CalLookUpRow,0),MATCH(H$1,CalLookUpColumn,0))</f>
        <v>3</v>
      </c>
      <c r="I2273">
        <f>INDEX(CalLookUpTable,MATCH($B2273,CalLookUpRow,0),MATCH(I$1,CalLookUpColumn,0))</f>
        <v>5</v>
      </c>
    </row>
    <row r="2274" spans="1:9" x14ac:dyDescent="0.25">
      <c r="A2274" s="7">
        <v>2</v>
      </c>
      <c r="B2274" s="8">
        <v>43552</v>
      </c>
      <c r="C2274" s="9" t="s">
        <v>6</v>
      </c>
      <c r="D2274" s="10">
        <v>281.33699999999999</v>
      </c>
      <c r="E2274" s="10">
        <v>305.54300000000001</v>
      </c>
      <c r="F2274" t="str">
        <f>VLOOKUP(A2274,StoreLookup,2,FALSE)</f>
        <v>Store#2</v>
      </c>
      <c r="G2274">
        <f>INDEX(CalLookUpTable,MATCH($B2274,CalLookUpRow,0),MATCH(G$1,CalLookUpColumn,0))</f>
        <v>2019</v>
      </c>
      <c r="H2274">
        <f>INDEX(CalLookUpTable,MATCH($B2274,CalLookUpRow,0),MATCH(H$1,CalLookUpColumn,0))</f>
        <v>3</v>
      </c>
      <c r="I2274">
        <f>INDEX(CalLookUpTable,MATCH($B2274,CalLookUpRow,0),MATCH(I$1,CalLookUpColumn,0))</f>
        <v>5</v>
      </c>
    </row>
    <row r="2275" spans="1:9" x14ac:dyDescent="0.25">
      <c r="A2275" s="7">
        <v>2</v>
      </c>
      <c r="B2275" s="8">
        <v>43552</v>
      </c>
      <c r="C2275" s="9" t="s">
        <v>5</v>
      </c>
      <c r="D2275" s="10">
        <v>1319.4859999999999</v>
      </c>
      <c r="E2275" s="10">
        <v>0</v>
      </c>
      <c r="F2275" t="str">
        <f>VLOOKUP(A2275,StoreLookup,2,FALSE)</f>
        <v>Store#2</v>
      </c>
      <c r="G2275">
        <f>INDEX(CalLookUpTable,MATCH($B2275,CalLookUpRow,0),MATCH(G$1,CalLookUpColumn,0))</f>
        <v>2019</v>
      </c>
      <c r="H2275">
        <f>INDEX(CalLookUpTable,MATCH($B2275,CalLookUpRow,0),MATCH(H$1,CalLookUpColumn,0))</f>
        <v>3</v>
      </c>
      <c r="I2275">
        <f>INDEX(CalLookUpTable,MATCH($B2275,CalLookUpRow,0),MATCH(I$1,CalLookUpColumn,0))</f>
        <v>5</v>
      </c>
    </row>
    <row r="2276" spans="1:9" x14ac:dyDescent="0.25">
      <c r="A2276" s="7">
        <v>2</v>
      </c>
      <c r="B2276" s="8">
        <v>43552</v>
      </c>
      <c r="C2276" s="9" t="s">
        <v>3</v>
      </c>
      <c r="D2276" s="10">
        <v>0</v>
      </c>
      <c r="E2276" s="10">
        <v>0</v>
      </c>
      <c r="F2276" t="str">
        <f>VLOOKUP(A2276,StoreLookup,2,FALSE)</f>
        <v>Store#2</v>
      </c>
      <c r="G2276">
        <f>INDEX(CalLookUpTable,MATCH($B2276,CalLookUpRow,0),MATCH(G$1,CalLookUpColumn,0))</f>
        <v>2019</v>
      </c>
      <c r="H2276">
        <f>INDEX(CalLookUpTable,MATCH($B2276,CalLookUpRow,0),MATCH(H$1,CalLookUpColumn,0))</f>
        <v>3</v>
      </c>
      <c r="I2276">
        <f>INDEX(CalLookUpTable,MATCH($B2276,CalLookUpRow,0),MATCH(I$1,CalLookUpColumn,0))</f>
        <v>5</v>
      </c>
    </row>
    <row r="2277" spans="1:9" x14ac:dyDescent="0.25">
      <c r="A2277" s="7">
        <v>2</v>
      </c>
      <c r="B2277" s="8">
        <v>43552</v>
      </c>
      <c r="C2277" s="9" t="s">
        <v>4</v>
      </c>
      <c r="D2277" s="10">
        <v>2173.5070000000001</v>
      </c>
      <c r="E2277" s="10">
        <v>2137.8490000000002</v>
      </c>
      <c r="F2277" t="str">
        <f>VLOOKUP(A2277,StoreLookup,2,FALSE)</f>
        <v>Store#2</v>
      </c>
      <c r="G2277">
        <f>INDEX(CalLookUpTable,MATCH($B2277,CalLookUpRow,0),MATCH(G$1,CalLookUpColumn,0))</f>
        <v>2019</v>
      </c>
      <c r="H2277">
        <f>INDEX(CalLookUpTable,MATCH($B2277,CalLookUpRow,0),MATCH(H$1,CalLookUpColumn,0))</f>
        <v>3</v>
      </c>
      <c r="I2277">
        <f>INDEX(CalLookUpTable,MATCH($B2277,CalLookUpRow,0),MATCH(I$1,CalLookUpColumn,0))</f>
        <v>5</v>
      </c>
    </row>
    <row r="2278" spans="1:9" x14ac:dyDescent="0.25">
      <c r="A2278" s="7">
        <v>2</v>
      </c>
      <c r="B2278" s="8">
        <v>43553</v>
      </c>
      <c r="C2278" s="9" t="s">
        <v>4</v>
      </c>
      <c r="D2278" s="10">
        <v>2187.1779999999999</v>
      </c>
      <c r="E2278" s="10">
        <v>2518.2779999999998</v>
      </c>
      <c r="F2278" t="str">
        <f>VLOOKUP(A2278,StoreLookup,2,FALSE)</f>
        <v>Store#2</v>
      </c>
      <c r="G2278">
        <f>INDEX(CalLookUpTable,MATCH($B2278,CalLookUpRow,0),MATCH(G$1,CalLookUpColumn,0))</f>
        <v>2019</v>
      </c>
      <c r="H2278">
        <f>INDEX(CalLookUpTable,MATCH($B2278,CalLookUpRow,0),MATCH(H$1,CalLookUpColumn,0))</f>
        <v>3</v>
      </c>
      <c r="I2278">
        <f>INDEX(CalLookUpTable,MATCH($B2278,CalLookUpRow,0),MATCH(I$1,CalLookUpColumn,0))</f>
        <v>5</v>
      </c>
    </row>
    <row r="2279" spans="1:9" x14ac:dyDescent="0.25">
      <c r="A2279" s="7">
        <v>2</v>
      </c>
      <c r="B2279" s="8">
        <v>43553</v>
      </c>
      <c r="C2279" s="9" t="s">
        <v>3</v>
      </c>
      <c r="D2279" s="10">
        <v>303.17</v>
      </c>
      <c r="E2279" s="10">
        <v>0</v>
      </c>
      <c r="F2279" t="str">
        <f>VLOOKUP(A2279,StoreLookup,2,FALSE)</f>
        <v>Store#2</v>
      </c>
      <c r="G2279">
        <f>INDEX(CalLookUpTable,MATCH($B2279,CalLookUpRow,0),MATCH(G$1,CalLookUpColumn,0))</f>
        <v>2019</v>
      </c>
      <c r="H2279">
        <f>INDEX(CalLookUpTable,MATCH($B2279,CalLookUpRow,0),MATCH(H$1,CalLookUpColumn,0))</f>
        <v>3</v>
      </c>
      <c r="I2279">
        <f>INDEX(CalLookUpTable,MATCH($B2279,CalLookUpRow,0),MATCH(I$1,CalLookUpColumn,0))</f>
        <v>5</v>
      </c>
    </row>
    <row r="2280" spans="1:9" x14ac:dyDescent="0.25">
      <c r="A2280" s="7">
        <v>2</v>
      </c>
      <c r="B2280" s="8">
        <v>43553</v>
      </c>
      <c r="C2280" s="9" t="s">
        <v>5</v>
      </c>
      <c r="D2280" s="10">
        <v>1111.1029999999998</v>
      </c>
      <c r="E2280" s="10">
        <v>0</v>
      </c>
      <c r="F2280" t="str">
        <f>VLOOKUP(A2280,StoreLookup,2,FALSE)</f>
        <v>Store#2</v>
      </c>
      <c r="G2280">
        <f>INDEX(CalLookUpTable,MATCH($B2280,CalLookUpRow,0),MATCH(G$1,CalLookUpColumn,0))</f>
        <v>2019</v>
      </c>
      <c r="H2280">
        <f>INDEX(CalLookUpTable,MATCH($B2280,CalLookUpRow,0),MATCH(H$1,CalLookUpColumn,0))</f>
        <v>3</v>
      </c>
      <c r="I2280">
        <f>INDEX(CalLookUpTable,MATCH($B2280,CalLookUpRow,0),MATCH(I$1,CalLookUpColumn,0))</f>
        <v>5</v>
      </c>
    </row>
    <row r="2281" spans="1:9" x14ac:dyDescent="0.25">
      <c r="A2281" s="7">
        <v>2</v>
      </c>
      <c r="B2281" s="8">
        <v>43553</v>
      </c>
      <c r="C2281" s="9" t="s">
        <v>6</v>
      </c>
      <c r="D2281" s="10">
        <v>472.59799999999996</v>
      </c>
      <c r="E2281" s="10">
        <v>443.83499999999992</v>
      </c>
      <c r="F2281" t="str">
        <f>VLOOKUP(A2281,StoreLookup,2,FALSE)</f>
        <v>Store#2</v>
      </c>
      <c r="G2281">
        <f>INDEX(CalLookUpTable,MATCH($B2281,CalLookUpRow,0),MATCH(G$1,CalLookUpColumn,0))</f>
        <v>2019</v>
      </c>
      <c r="H2281">
        <f>INDEX(CalLookUpTable,MATCH($B2281,CalLookUpRow,0),MATCH(H$1,CalLookUpColumn,0))</f>
        <v>3</v>
      </c>
      <c r="I2281">
        <f>INDEX(CalLookUpTable,MATCH($B2281,CalLookUpRow,0),MATCH(I$1,CalLookUpColumn,0))</f>
        <v>5</v>
      </c>
    </row>
    <row r="2282" spans="1:9" x14ac:dyDescent="0.25">
      <c r="A2282" s="7">
        <v>2</v>
      </c>
      <c r="B2282" s="8">
        <v>43554</v>
      </c>
      <c r="C2282" s="9" t="s">
        <v>4</v>
      </c>
      <c r="D2282" s="10">
        <v>2383.8359999999998</v>
      </c>
      <c r="E2282" s="10">
        <v>2772.3849999999998</v>
      </c>
      <c r="F2282" t="str">
        <f>VLOOKUP(A2282,StoreLookup,2,FALSE)</f>
        <v>Store#2</v>
      </c>
      <c r="G2282">
        <f>INDEX(CalLookUpTable,MATCH($B2282,CalLookUpRow,0),MATCH(G$1,CalLookUpColumn,0))</f>
        <v>2019</v>
      </c>
      <c r="H2282">
        <f>INDEX(CalLookUpTable,MATCH($B2282,CalLookUpRow,0),MATCH(H$1,CalLookUpColumn,0))</f>
        <v>3</v>
      </c>
      <c r="I2282">
        <f>INDEX(CalLookUpTable,MATCH($B2282,CalLookUpRow,0),MATCH(I$1,CalLookUpColumn,0))</f>
        <v>5</v>
      </c>
    </row>
    <row r="2283" spans="1:9" x14ac:dyDescent="0.25">
      <c r="A2283" s="7">
        <v>2</v>
      </c>
      <c r="B2283" s="8">
        <v>43554</v>
      </c>
      <c r="C2283" s="9" t="s">
        <v>6</v>
      </c>
      <c r="D2283" s="10">
        <v>444.48599999999999</v>
      </c>
      <c r="E2283" s="10">
        <v>504.07</v>
      </c>
      <c r="F2283" t="str">
        <f>VLOOKUP(A2283,StoreLookup,2,FALSE)</f>
        <v>Store#2</v>
      </c>
      <c r="G2283">
        <f>INDEX(CalLookUpTable,MATCH($B2283,CalLookUpRow,0),MATCH(G$1,CalLookUpColumn,0))</f>
        <v>2019</v>
      </c>
      <c r="H2283">
        <f>INDEX(CalLookUpTable,MATCH($B2283,CalLookUpRow,0),MATCH(H$1,CalLookUpColumn,0))</f>
        <v>3</v>
      </c>
      <c r="I2283">
        <f>INDEX(CalLookUpTable,MATCH($B2283,CalLookUpRow,0),MATCH(I$1,CalLookUpColumn,0))</f>
        <v>5</v>
      </c>
    </row>
    <row r="2284" spans="1:9" x14ac:dyDescent="0.25">
      <c r="A2284" s="7">
        <v>2</v>
      </c>
      <c r="B2284" s="8">
        <v>43554</v>
      </c>
      <c r="C2284" s="9" t="s">
        <v>5</v>
      </c>
      <c r="D2284" s="10">
        <v>925.58199999999988</v>
      </c>
      <c r="E2284" s="10">
        <v>0</v>
      </c>
      <c r="F2284" t="str">
        <f>VLOOKUP(A2284,StoreLookup,2,FALSE)</f>
        <v>Store#2</v>
      </c>
      <c r="G2284">
        <f>INDEX(CalLookUpTable,MATCH($B2284,CalLookUpRow,0),MATCH(G$1,CalLookUpColumn,0))</f>
        <v>2019</v>
      </c>
      <c r="H2284">
        <f>INDEX(CalLookUpTable,MATCH($B2284,CalLookUpRow,0),MATCH(H$1,CalLookUpColumn,0))</f>
        <v>3</v>
      </c>
      <c r="I2284">
        <f>INDEX(CalLookUpTable,MATCH($B2284,CalLookUpRow,0),MATCH(I$1,CalLookUpColumn,0))</f>
        <v>5</v>
      </c>
    </row>
    <row r="2285" spans="1:9" x14ac:dyDescent="0.25">
      <c r="A2285" s="7">
        <v>2</v>
      </c>
      <c r="B2285" s="8">
        <v>43554</v>
      </c>
      <c r="C2285" s="9" t="s">
        <v>3</v>
      </c>
      <c r="D2285" s="10">
        <v>0</v>
      </c>
      <c r="E2285" s="10">
        <v>141.589</v>
      </c>
      <c r="F2285" t="str">
        <f>VLOOKUP(A2285,StoreLookup,2,FALSE)</f>
        <v>Store#2</v>
      </c>
      <c r="G2285">
        <f>INDEX(CalLookUpTable,MATCH($B2285,CalLookUpRow,0),MATCH(G$1,CalLookUpColumn,0))</f>
        <v>2019</v>
      </c>
      <c r="H2285">
        <f>INDEX(CalLookUpTable,MATCH($B2285,CalLookUpRow,0),MATCH(H$1,CalLookUpColumn,0))</f>
        <v>3</v>
      </c>
      <c r="I2285">
        <f>INDEX(CalLookUpTable,MATCH($B2285,CalLookUpRow,0),MATCH(I$1,CalLookUpColumn,0))</f>
        <v>5</v>
      </c>
    </row>
    <row r="2286" spans="1:9" x14ac:dyDescent="0.25">
      <c r="A2286" s="7">
        <v>2</v>
      </c>
      <c r="B2286" s="8">
        <v>43555</v>
      </c>
      <c r="C2286" s="9" t="s">
        <v>3</v>
      </c>
      <c r="D2286" s="10">
        <v>0</v>
      </c>
      <c r="E2286" s="10">
        <v>0</v>
      </c>
      <c r="F2286" t="str">
        <f>VLOOKUP(A2286,StoreLookup,2,FALSE)</f>
        <v>Store#2</v>
      </c>
      <c r="G2286">
        <f>INDEX(CalLookUpTable,MATCH($B2286,CalLookUpRow,0),MATCH(G$1,CalLookUpColumn,0))</f>
        <v>2019</v>
      </c>
      <c r="H2286">
        <f>INDEX(CalLookUpTable,MATCH($B2286,CalLookUpRow,0),MATCH(H$1,CalLookUpColumn,0))</f>
        <v>3</v>
      </c>
      <c r="I2286">
        <f>INDEX(CalLookUpTable,MATCH($B2286,CalLookUpRow,0),MATCH(I$1,CalLookUpColumn,0))</f>
        <v>5</v>
      </c>
    </row>
    <row r="2287" spans="1:9" x14ac:dyDescent="0.25">
      <c r="A2287" s="7">
        <v>2</v>
      </c>
      <c r="B2287" s="8">
        <v>43555</v>
      </c>
      <c r="C2287" s="9" t="s">
        <v>6</v>
      </c>
      <c r="D2287" s="10">
        <v>299.71899999999999</v>
      </c>
      <c r="E2287" s="10">
        <v>146.85299999999998</v>
      </c>
      <c r="F2287" t="str">
        <f>VLOOKUP(A2287,StoreLookup,2,FALSE)</f>
        <v>Store#2</v>
      </c>
      <c r="G2287">
        <f>INDEX(CalLookUpTable,MATCH($B2287,CalLookUpRow,0),MATCH(G$1,CalLookUpColumn,0))</f>
        <v>2019</v>
      </c>
      <c r="H2287">
        <f>INDEX(CalLookUpTable,MATCH($B2287,CalLookUpRow,0),MATCH(H$1,CalLookUpColumn,0))</f>
        <v>3</v>
      </c>
      <c r="I2287">
        <f>INDEX(CalLookUpTable,MATCH($B2287,CalLookUpRow,0),MATCH(I$1,CalLookUpColumn,0))</f>
        <v>5</v>
      </c>
    </row>
    <row r="2288" spans="1:9" x14ac:dyDescent="0.25">
      <c r="A2288" s="7">
        <v>2</v>
      </c>
      <c r="B2288" s="8">
        <v>43555</v>
      </c>
      <c r="C2288" s="9" t="s">
        <v>4</v>
      </c>
      <c r="D2288" s="10">
        <v>1418.711</v>
      </c>
      <c r="E2288" s="10">
        <v>1538.999</v>
      </c>
      <c r="F2288" t="str">
        <f>VLOOKUP(A2288,StoreLookup,2,FALSE)</f>
        <v>Store#2</v>
      </c>
      <c r="G2288">
        <f>INDEX(CalLookUpTable,MATCH($B2288,CalLookUpRow,0),MATCH(G$1,CalLookUpColumn,0))</f>
        <v>2019</v>
      </c>
      <c r="H2288">
        <f>INDEX(CalLookUpTable,MATCH($B2288,CalLookUpRow,0),MATCH(H$1,CalLookUpColumn,0))</f>
        <v>3</v>
      </c>
      <c r="I2288">
        <f>INDEX(CalLookUpTable,MATCH($B2288,CalLookUpRow,0),MATCH(I$1,CalLookUpColumn,0))</f>
        <v>5</v>
      </c>
    </row>
    <row r="2289" spans="1:9" x14ac:dyDescent="0.25">
      <c r="A2289" s="7">
        <v>2</v>
      </c>
      <c r="B2289" s="8">
        <v>43555</v>
      </c>
      <c r="C2289" s="9" t="s">
        <v>5</v>
      </c>
      <c r="D2289" s="10">
        <v>758.61099999999999</v>
      </c>
      <c r="E2289" s="10">
        <v>0</v>
      </c>
      <c r="F2289" t="str">
        <f>VLOOKUP(A2289,StoreLookup,2,FALSE)</f>
        <v>Store#2</v>
      </c>
      <c r="G2289">
        <f>INDEX(CalLookUpTable,MATCH($B2289,CalLookUpRow,0),MATCH(G$1,CalLookUpColumn,0))</f>
        <v>2019</v>
      </c>
      <c r="H2289">
        <f>INDEX(CalLookUpTable,MATCH($B2289,CalLookUpRow,0),MATCH(H$1,CalLookUpColumn,0))</f>
        <v>3</v>
      </c>
      <c r="I2289">
        <f>INDEX(CalLookUpTable,MATCH($B2289,CalLookUpRow,0),MATCH(I$1,CalLookUpColumn,0))</f>
        <v>5</v>
      </c>
    </row>
    <row r="2290" spans="1:9" x14ac:dyDescent="0.25">
      <c r="A2290" s="7">
        <v>2</v>
      </c>
      <c r="B2290" s="8">
        <v>43556</v>
      </c>
      <c r="C2290" s="9" t="s">
        <v>6</v>
      </c>
      <c r="D2290" s="10">
        <v>336.12599999999998</v>
      </c>
      <c r="E2290" s="10">
        <v>364.81899999999996</v>
      </c>
      <c r="F2290" t="str">
        <f>VLOOKUP(A2290,StoreLookup,2,FALSE)</f>
        <v>Store#2</v>
      </c>
      <c r="G2290">
        <f>INDEX(CalLookUpTable,MATCH($B2290,CalLookUpRow,0),MATCH(G$1,CalLookUpColumn,0))</f>
        <v>2019</v>
      </c>
      <c r="H2290">
        <f>INDEX(CalLookUpTable,MATCH($B2290,CalLookUpRow,0),MATCH(H$1,CalLookUpColumn,0))</f>
        <v>4</v>
      </c>
      <c r="I2290">
        <f>INDEX(CalLookUpTable,MATCH($B2290,CalLookUpRow,0),MATCH(I$1,CalLookUpColumn,0))</f>
        <v>1</v>
      </c>
    </row>
    <row r="2291" spans="1:9" x14ac:dyDescent="0.25">
      <c r="A2291" s="7">
        <v>2</v>
      </c>
      <c r="B2291" s="8">
        <v>43556</v>
      </c>
      <c r="C2291" s="9" t="s">
        <v>4</v>
      </c>
      <c r="D2291" s="10">
        <v>1223.18</v>
      </c>
      <c r="E2291" s="10">
        <v>1778.203</v>
      </c>
      <c r="F2291" t="str">
        <f>VLOOKUP(A2291,StoreLookup,2,FALSE)</f>
        <v>Store#2</v>
      </c>
      <c r="G2291">
        <f>INDEX(CalLookUpTable,MATCH($B2291,CalLookUpRow,0),MATCH(G$1,CalLookUpColumn,0))</f>
        <v>2019</v>
      </c>
      <c r="H2291">
        <f>INDEX(CalLookUpTable,MATCH($B2291,CalLookUpRow,0),MATCH(H$1,CalLookUpColumn,0))</f>
        <v>4</v>
      </c>
      <c r="I2291">
        <f>INDEX(CalLookUpTable,MATCH($B2291,CalLookUpRow,0),MATCH(I$1,CalLookUpColumn,0))</f>
        <v>1</v>
      </c>
    </row>
    <row r="2292" spans="1:9" x14ac:dyDescent="0.25">
      <c r="A2292" s="7">
        <v>2</v>
      </c>
      <c r="B2292" s="8">
        <v>43556</v>
      </c>
      <c r="C2292" s="9" t="s">
        <v>3</v>
      </c>
      <c r="D2292" s="10">
        <v>0</v>
      </c>
      <c r="E2292" s="10">
        <v>0</v>
      </c>
      <c r="F2292" t="str">
        <f>VLOOKUP(A2292,StoreLookup,2,FALSE)</f>
        <v>Store#2</v>
      </c>
      <c r="G2292">
        <f>INDEX(CalLookUpTable,MATCH($B2292,CalLookUpRow,0),MATCH(G$1,CalLookUpColumn,0))</f>
        <v>2019</v>
      </c>
      <c r="H2292">
        <f>INDEX(CalLookUpTable,MATCH($B2292,CalLookUpRow,0),MATCH(H$1,CalLookUpColumn,0))</f>
        <v>4</v>
      </c>
      <c r="I2292">
        <f>INDEX(CalLookUpTable,MATCH($B2292,CalLookUpRow,0),MATCH(I$1,CalLookUpColumn,0))</f>
        <v>1</v>
      </c>
    </row>
    <row r="2293" spans="1:9" x14ac:dyDescent="0.25">
      <c r="A2293" s="7">
        <v>2</v>
      </c>
      <c r="B2293" s="8">
        <v>43556</v>
      </c>
      <c r="C2293" s="9" t="s">
        <v>5</v>
      </c>
      <c r="D2293" s="10">
        <v>1125.9849999999999</v>
      </c>
      <c r="E2293" s="10">
        <v>0</v>
      </c>
      <c r="F2293" t="str">
        <f>VLOOKUP(A2293,StoreLookup,2,FALSE)</f>
        <v>Store#2</v>
      </c>
      <c r="G2293">
        <f>INDEX(CalLookUpTable,MATCH($B2293,CalLookUpRow,0),MATCH(G$1,CalLookUpColumn,0))</f>
        <v>2019</v>
      </c>
      <c r="H2293">
        <f>INDEX(CalLookUpTable,MATCH($B2293,CalLookUpRow,0),MATCH(H$1,CalLookUpColumn,0))</f>
        <v>4</v>
      </c>
      <c r="I2293">
        <f>INDEX(CalLookUpTable,MATCH($B2293,CalLookUpRow,0),MATCH(I$1,CalLookUpColumn,0))</f>
        <v>1</v>
      </c>
    </row>
    <row r="2294" spans="1:9" x14ac:dyDescent="0.25">
      <c r="A2294" s="7">
        <v>2</v>
      </c>
      <c r="B2294" s="8">
        <v>43557</v>
      </c>
      <c r="C2294" s="9" t="s">
        <v>4</v>
      </c>
      <c r="D2294" s="10">
        <v>1482.3899999999999</v>
      </c>
      <c r="E2294" s="10">
        <v>2053.0369999999998</v>
      </c>
      <c r="F2294" t="str">
        <f>VLOOKUP(A2294,StoreLookup,2,FALSE)</f>
        <v>Store#2</v>
      </c>
      <c r="G2294">
        <f>INDEX(CalLookUpTable,MATCH($B2294,CalLookUpRow,0),MATCH(G$1,CalLookUpColumn,0))</f>
        <v>2019</v>
      </c>
      <c r="H2294">
        <f>INDEX(CalLookUpTable,MATCH($B2294,CalLookUpRow,0),MATCH(H$1,CalLookUpColumn,0))</f>
        <v>4</v>
      </c>
      <c r="I2294">
        <f>INDEX(CalLookUpTable,MATCH($B2294,CalLookUpRow,0),MATCH(I$1,CalLookUpColumn,0))</f>
        <v>1</v>
      </c>
    </row>
    <row r="2295" spans="1:9" x14ac:dyDescent="0.25">
      <c r="A2295" s="7">
        <v>2</v>
      </c>
      <c r="B2295" s="8">
        <v>43557</v>
      </c>
      <c r="C2295" s="9" t="s">
        <v>3</v>
      </c>
      <c r="D2295" s="10">
        <v>0</v>
      </c>
      <c r="E2295" s="10">
        <v>161.54599999999999</v>
      </c>
      <c r="F2295" t="str">
        <f>VLOOKUP(A2295,StoreLookup,2,FALSE)</f>
        <v>Store#2</v>
      </c>
      <c r="G2295">
        <f>INDEX(CalLookUpTable,MATCH($B2295,CalLookUpRow,0),MATCH(G$1,CalLookUpColumn,0))</f>
        <v>2019</v>
      </c>
      <c r="H2295">
        <f>INDEX(CalLookUpTable,MATCH($B2295,CalLookUpRow,0),MATCH(H$1,CalLookUpColumn,0))</f>
        <v>4</v>
      </c>
      <c r="I2295">
        <f>INDEX(CalLookUpTable,MATCH($B2295,CalLookUpRow,0),MATCH(I$1,CalLookUpColumn,0))</f>
        <v>1</v>
      </c>
    </row>
    <row r="2296" spans="1:9" x14ac:dyDescent="0.25">
      <c r="A2296" s="7">
        <v>2</v>
      </c>
      <c r="B2296" s="8">
        <v>43557</v>
      </c>
      <c r="C2296" s="9" t="s">
        <v>5</v>
      </c>
      <c r="D2296" s="10">
        <v>1114.386</v>
      </c>
      <c r="E2296" s="10">
        <v>0</v>
      </c>
      <c r="F2296" t="str">
        <f>VLOOKUP(A2296,StoreLookup,2,FALSE)</f>
        <v>Store#2</v>
      </c>
      <c r="G2296">
        <f>INDEX(CalLookUpTable,MATCH($B2296,CalLookUpRow,0),MATCH(G$1,CalLookUpColumn,0))</f>
        <v>2019</v>
      </c>
      <c r="H2296">
        <f>INDEX(CalLookUpTable,MATCH($B2296,CalLookUpRow,0),MATCH(H$1,CalLookUpColumn,0))</f>
        <v>4</v>
      </c>
      <c r="I2296">
        <f>INDEX(CalLookUpTable,MATCH($B2296,CalLookUpRow,0),MATCH(I$1,CalLookUpColumn,0))</f>
        <v>1</v>
      </c>
    </row>
    <row r="2297" spans="1:9" x14ac:dyDescent="0.25">
      <c r="A2297" s="7">
        <v>2</v>
      </c>
      <c r="B2297" s="8">
        <v>43557</v>
      </c>
      <c r="C2297" s="9" t="s">
        <v>6</v>
      </c>
      <c r="D2297" s="10">
        <v>431.98399999999998</v>
      </c>
      <c r="E2297" s="10">
        <v>450.91899999999993</v>
      </c>
      <c r="F2297" t="str">
        <f>VLOOKUP(A2297,StoreLookup,2,FALSE)</f>
        <v>Store#2</v>
      </c>
      <c r="G2297">
        <f>INDEX(CalLookUpTable,MATCH($B2297,CalLookUpRow,0),MATCH(G$1,CalLookUpColumn,0))</f>
        <v>2019</v>
      </c>
      <c r="H2297">
        <f>INDEX(CalLookUpTable,MATCH($B2297,CalLookUpRow,0),MATCH(H$1,CalLookUpColumn,0))</f>
        <v>4</v>
      </c>
      <c r="I2297">
        <f>INDEX(CalLookUpTable,MATCH($B2297,CalLookUpRow,0),MATCH(I$1,CalLookUpColumn,0))</f>
        <v>1</v>
      </c>
    </row>
    <row r="2298" spans="1:9" x14ac:dyDescent="0.25">
      <c r="A2298" s="7">
        <v>2</v>
      </c>
      <c r="B2298" s="8">
        <v>43558</v>
      </c>
      <c r="C2298" s="9" t="s">
        <v>4</v>
      </c>
      <c r="D2298" s="10">
        <v>1705.5710000000001</v>
      </c>
      <c r="E2298" s="10">
        <v>2174.3609999999999</v>
      </c>
      <c r="F2298" t="str">
        <f>VLOOKUP(A2298,StoreLookup,2,FALSE)</f>
        <v>Store#2</v>
      </c>
      <c r="G2298">
        <f>INDEX(CalLookUpTable,MATCH($B2298,CalLookUpRow,0),MATCH(G$1,CalLookUpColumn,0))</f>
        <v>2019</v>
      </c>
      <c r="H2298">
        <f>INDEX(CalLookUpTable,MATCH($B2298,CalLookUpRow,0),MATCH(H$1,CalLookUpColumn,0))</f>
        <v>4</v>
      </c>
      <c r="I2298">
        <f>INDEX(CalLookUpTable,MATCH($B2298,CalLookUpRow,0),MATCH(I$1,CalLookUpColumn,0))</f>
        <v>1</v>
      </c>
    </row>
    <row r="2299" spans="1:9" x14ac:dyDescent="0.25">
      <c r="A2299" s="7">
        <v>2</v>
      </c>
      <c r="B2299" s="8">
        <v>43558</v>
      </c>
      <c r="C2299" s="9" t="s">
        <v>6</v>
      </c>
      <c r="D2299" s="10">
        <v>164.64699999999999</v>
      </c>
      <c r="E2299" s="10">
        <v>397.69099999999997</v>
      </c>
      <c r="F2299" t="str">
        <f>VLOOKUP(A2299,StoreLookup,2,FALSE)</f>
        <v>Store#2</v>
      </c>
      <c r="G2299">
        <f>INDEX(CalLookUpTable,MATCH($B2299,CalLookUpRow,0),MATCH(G$1,CalLookUpColumn,0))</f>
        <v>2019</v>
      </c>
      <c r="H2299">
        <f>INDEX(CalLookUpTable,MATCH($B2299,CalLookUpRow,0),MATCH(H$1,CalLookUpColumn,0))</f>
        <v>4</v>
      </c>
      <c r="I2299">
        <f>INDEX(CalLookUpTable,MATCH($B2299,CalLookUpRow,0),MATCH(I$1,CalLookUpColumn,0))</f>
        <v>1</v>
      </c>
    </row>
    <row r="2300" spans="1:9" x14ac:dyDescent="0.25">
      <c r="A2300" s="7">
        <v>2</v>
      </c>
      <c r="B2300" s="8">
        <v>43558</v>
      </c>
      <c r="C2300" s="9" t="s">
        <v>5</v>
      </c>
      <c r="D2300" s="10">
        <v>1097.5999999999999</v>
      </c>
      <c r="E2300" s="10">
        <v>0</v>
      </c>
      <c r="F2300" t="str">
        <f>VLOOKUP(A2300,StoreLookup,2,FALSE)</f>
        <v>Store#2</v>
      </c>
      <c r="G2300">
        <f>INDEX(CalLookUpTable,MATCH($B2300,CalLookUpRow,0),MATCH(G$1,CalLookUpColumn,0))</f>
        <v>2019</v>
      </c>
      <c r="H2300">
        <f>INDEX(CalLookUpTable,MATCH($B2300,CalLookUpRow,0),MATCH(H$1,CalLookUpColumn,0))</f>
        <v>4</v>
      </c>
      <c r="I2300">
        <f>INDEX(CalLookUpTable,MATCH($B2300,CalLookUpRow,0),MATCH(I$1,CalLookUpColumn,0))</f>
        <v>1</v>
      </c>
    </row>
    <row r="2301" spans="1:9" x14ac:dyDescent="0.25">
      <c r="A2301" s="7">
        <v>2</v>
      </c>
      <c r="B2301" s="8">
        <v>43558</v>
      </c>
      <c r="C2301" s="9" t="s">
        <v>3</v>
      </c>
      <c r="D2301" s="10">
        <v>221.35400000000001</v>
      </c>
      <c r="E2301" s="10">
        <v>0</v>
      </c>
      <c r="F2301" t="str">
        <f>VLOOKUP(A2301,StoreLookup,2,FALSE)</f>
        <v>Store#2</v>
      </c>
      <c r="G2301">
        <f>INDEX(CalLookUpTable,MATCH($B2301,CalLookUpRow,0),MATCH(G$1,CalLookUpColumn,0))</f>
        <v>2019</v>
      </c>
      <c r="H2301">
        <f>INDEX(CalLookUpTable,MATCH($B2301,CalLookUpRow,0),MATCH(H$1,CalLookUpColumn,0))</f>
        <v>4</v>
      </c>
      <c r="I2301">
        <f>INDEX(CalLookUpTable,MATCH($B2301,CalLookUpRow,0),MATCH(I$1,CalLookUpColumn,0))</f>
        <v>1</v>
      </c>
    </row>
    <row r="2302" spans="1:9" x14ac:dyDescent="0.25">
      <c r="A2302" s="7">
        <v>2</v>
      </c>
      <c r="B2302" s="8">
        <v>43559</v>
      </c>
      <c r="C2302" s="9" t="s">
        <v>4</v>
      </c>
      <c r="D2302" s="10">
        <v>2046.4079999999999</v>
      </c>
      <c r="E2302" s="10">
        <v>3242.3859999999995</v>
      </c>
      <c r="F2302" t="str">
        <f>VLOOKUP(A2302,StoreLookup,2,FALSE)</f>
        <v>Store#2</v>
      </c>
      <c r="G2302">
        <f>INDEX(CalLookUpTable,MATCH($B2302,CalLookUpRow,0),MATCH(G$1,CalLookUpColumn,0))</f>
        <v>2019</v>
      </c>
      <c r="H2302">
        <f>INDEX(CalLookUpTable,MATCH($B2302,CalLookUpRow,0),MATCH(H$1,CalLookUpColumn,0))</f>
        <v>4</v>
      </c>
      <c r="I2302">
        <f>INDEX(CalLookUpTable,MATCH($B2302,CalLookUpRow,0),MATCH(I$1,CalLookUpColumn,0))</f>
        <v>1</v>
      </c>
    </row>
    <row r="2303" spans="1:9" x14ac:dyDescent="0.25">
      <c r="A2303" s="7">
        <v>2</v>
      </c>
      <c r="B2303" s="8">
        <v>43559</v>
      </c>
      <c r="C2303" s="9" t="s">
        <v>5</v>
      </c>
      <c r="D2303" s="10">
        <v>1096.7389999999998</v>
      </c>
      <c r="E2303" s="10">
        <v>0</v>
      </c>
      <c r="F2303" t="str">
        <f>VLOOKUP(A2303,StoreLookup,2,FALSE)</f>
        <v>Store#2</v>
      </c>
      <c r="G2303">
        <f>INDEX(CalLookUpTable,MATCH($B2303,CalLookUpRow,0),MATCH(G$1,CalLookUpColumn,0))</f>
        <v>2019</v>
      </c>
      <c r="H2303">
        <f>INDEX(CalLookUpTable,MATCH($B2303,CalLookUpRow,0),MATCH(H$1,CalLookUpColumn,0))</f>
        <v>4</v>
      </c>
      <c r="I2303">
        <f>INDEX(CalLookUpTable,MATCH($B2303,CalLookUpRow,0),MATCH(I$1,CalLookUpColumn,0))</f>
        <v>1</v>
      </c>
    </row>
    <row r="2304" spans="1:9" x14ac:dyDescent="0.25">
      <c r="A2304" s="7">
        <v>2</v>
      </c>
      <c r="B2304" s="8">
        <v>43559</v>
      </c>
      <c r="C2304" s="9" t="s">
        <v>6</v>
      </c>
      <c r="D2304" s="10">
        <v>506.11399999999998</v>
      </c>
      <c r="E2304" s="10">
        <v>549.12199999999996</v>
      </c>
      <c r="F2304" t="str">
        <f>VLOOKUP(A2304,StoreLookup,2,FALSE)</f>
        <v>Store#2</v>
      </c>
      <c r="G2304">
        <f>INDEX(CalLookUpTable,MATCH($B2304,CalLookUpRow,0),MATCH(G$1,CalLookUpColumn,0))</f>
        <v>2019</v>
      </c>
      <c r="H2304">
        <f>INDEX(CalLookUpTable,MATCH($B2304,CalLookUpRow,0),MATCH(H$1,CalLookUpColumn,0))</f>
        <v>4</v>
      </c>
      <c r="I2304">
        <f>INDEX(CalLookUpTable,MATCH($B2304,CalLookUpRow,0),MATCH(I$1,CalLookUpColumn,0))</f>
        <v>1</v>
      </c>
    </row>
    <row r="2305" spans="1:9" x14ac:dyDescent="0.25">
      <c r="A2305" s="7">
        <v>2</v>
      </c>
      <c r="B2305" s="8">
        <v>43559</v>
      </c>
      <c r="C2305" s="9" t="s">
        <v>3</v>
      </c>
      <c r="D2305" s="10">
        <v>0</v>
      </c>
      <c r="E2305" s="10">
        <v>223.083</v>
      </c>
      <c r="F2305" t="str">
        <f>VLOOKUP(A2305,StoreLookup,2,FALSE)</f>
        <v>Store#2</v>
      </c>
      <c r="G2305">
        <f>INDEX(CalLookUpTable,MATCH($B2305,CalLookUpRow,0),MATCH(G$1,CalLookUpColumn,0))</f>
        <v>2019</v>
      </c>
      <c r="H2305">
        <f>INDEX(CalLookUpTable,MATCH($B2305,CalLookUpRow,0),MATCH(H$1,CalLookUpColumn,0))</f>
        <v>4</v>
      </c>
      <c r="I2305">
        <f>INDEX(CalLookUpTable,MATCH($B2305,CalLookUpRow,0),MATCH(I$1,CalLookUpColumn,0))</f>
        <v>1</v>
      </c>
    </row>
    <row r="2306" spans="1:9" x14ac:dyDescent="0.25">
      <c r="A2306" s="7">
        <v>2</v>
      </c>
      <c r="B2306" s="8">
        <v>43560</v>
      </c>
      <c r="C2306" s="9" t="s">
        <v>6</v>
      </c>
      <c r="D2306" s="10">
        <v>463.37899999999996</v>
      </c>
      <c r="E2306" s="10">
        <v>635.84500000000003</v>
      </c>
      <c r="F2306" t="str">
        <f>VLOOKUP(A2306,StoreLookup,2,FALSE)</f>
        <v>Store#2</v>
      </c>
      <c r="G2306">
        <f>INDEX(CalLookUpTable,MATCH($B2306,CalLookUpRow,0),MATCH(G$1,CalLookUpColumn,0))</f>
        <v>2019</v>
      </c>
      <c r="H2306">
        <f>INDEX(CalLookUpTable,MATCH($B2306,CalLookUpRow,0),MATCH(H$1,CalLookUpColumn,0))</f>
        <v>4</v>
      </c>
      <c r="I2306">
        <f>INDEX(CalLookUpTable,MATCH($B2306,CalLookUpRow,0),MATCH(I$1,CalLookUpColumn,0))</f>
        <v>1</v>
      </c>
    </row>
    <row r="2307" spans="1:9" x14ac:dyDescent="0.25">
      <c r="A2307" s="7">
        <v>2</v>
      </c>
      <c r="B2307" s="8">
        <v>43560</v>
      </c>
      <c r="C2307" s="9" t="s">
        <v>3</v>
      </c>
      <c r="D2307" s="10">
        <v>0</v>
      </c>
      <c r="E2307" s="10">
        <v>371.245</v>
      </c>
      <c r="F2307" t="str">
        <f>VLOOKUP(A2307,StoreLookup,2,FALSE)</f>
        <v>Store#2</v>
      </c>
      <c r="G2307">
        <f>INDEX(CalLookUpTable,MATCH($B2307,CalLookUpRow,0),MATCH(G$1,CalLookUpColumn,0))</f>
        <v>2019</v>
      </c>
      <c r="H2307">
        <f>INDEX(CalLookUpTable,MATCH($B2307,CalLookUpRow,0),MATCH(H$1,CalLookUpColumn,0))</f>
        <v>4</v>
      </c>
      <c r="I2307">
        <f>INDEX(CalLookUpTable,MATCH($B2307,CalLookUpRow,0),MATCH(I$1,CalLookUpColumn,0))</f>
        <v>1</v>
      </c>
    </row>
    <row r="2308" spans="1:9" x14ac:dyDescent="0.25">
      <c r="A2308" s="7">
        <v>2</v>
      </c>
      <c r="B2308" s="8">
        <v>43560</v>
      </c>
      <c r="C2308" s="9" t="s">
        <v>4</v>
      </c>
      <c r="D2308" s="10">
        <v>2565.6959999999999</v>
      </c>
      <c r="E2308" s="10">
        <v>2706.6479999999997</v>
      </c>
      <c r="F2308" t="str">
        <f>VLOOKUP(A2308,StoreLookup,2,FALSE)</f>
        <v>Store#2</v>
      </c>
      <c r="G2308">
        <f>INDEX(CalLookUpTable,MATCH($B2308,CalLookUpRow,0),MATCH(G$1,CalLookUpColumn,0))</f>
        <v>2019</v>
      </c>
      <c r="H2308">
        <f>INDEX(CalLookUpTable,MATCH($B2308,CalLookUpRow,0),MATCH(H$1,CalLookUpColumn,0))</f>
        <v>4</v>
      </c>
      <c r="I2308">
        <f>INDEX(CalLookUpTable,MATCH($B2308,CalLookUpRow,0),MATCH(I$1,CalLookUpColumn,0))</f>
        <v>1</v>
      </c>
    </row>
    <row r="2309" spans="1:9" x14ac:dyDescent="0.25">
      <c r="A2309" s="7">
        <v>2</v>
      </c>
      <c r="B2309" s="8">
        <v>43560</v>
      </c>
      <c r="C2309" s="9" t="s">
        <v>5</v>
      </c>
      <c r="D2309" s="10">
        <v>1166.711</v>
      </c>
      <c r="E2309" s="10">
        <v>0</v>
      </c>
      <c r="F2309" t="str">
        <f>VLOOKUP(A2309,StoreLookup,2,FALSE)</f>
        <v>Store#2</v>
      </c>
      <c r="G2309">
        <f>INDEX(CalLookUpTable,MATCH($B2309,CalLookUpRow,0),MATCH(G$1,CalLookUpColumn,0))</f>
        <v>2019</v>
      </c>
      <c r="H2309">
        <f>INDEX(CalLookUpTable,MATCH($B2309,CalLookUpRow,0),MATCH(H$1,CalLookUpColumn,0))</f>
        <v>4</v>
      </c>
      <c r="I2309">
        <f>INDEX(CalLookUpTable,MATCH($B2309,CalLookUpRow,0),MATCH(I$1,CalLookUpColumn,0))</f>
        <v>1</v>
      </c>
    </row>
    <row r="2310" spans="1:9" x14ac:dyDescent="0.25">
      <c r="A2310" s="7">
        <v>2</v>
      </c>
      <c r="B2310" s="8">
        <v>43561</v>
      </c>
      <c r="C2310" s="9" t="s">
        <v>3</v>
      </c>
      <c r="D2310" s="10">
        <v>16.744</v>
      </c>
      <c r="E2310" s="10">
        <v>7.6859999999999999</v>
      </c>
      <c r="F2310" t="str">
        <f>VLOOKUP(A2310,StoreLookup,2,FALSE)</f>
        <v>Store#2</v>
      </c>
      <c r="G2310">
        <f>INDEX(CalLookUpTable,MATCH($B2310,CalLookUpRow,0),MATCH(G$1,CalLookUpColumn,0))</f>
        <v>2019</v>
      </c>
      <c r="H2310">
        <f>INDEX(CalLookUpTable,MATCH($B2310,CalLookUpRow,0),MATCH(H$1,CalLookUpColumn,0))</f>
        <v>4</v>
      </c>
      <c r="I2310">
        <f>INDEX(CalLookUpTable,MATCH($B2310,CalLookUpRow,0),MATCH(I$1,CalLookUpColumn,0))</f>
        <v>1</v>
      </c>
    </row>
    <row r="2311" spans="1:9" x14ac:dyDescent="0.25">
      <c r="A2311" s="7">
        <v>2</v>
      </c>
      <c r="B2311" s="8">
        <v>43561</v>
      </c>
      <c r="C2311" s="9" t="s">
        <v>6</v>
      </c>
      <c r="D2311" s="10">
        <v>315.04199999999997</v>
      </c>
      <c r="E2311" s="10">
        <v>575.89699999999993</v>
      </c>
      <c r="F2311" t="str">
        <f>VLOOKUP(A2311,StoreLookup,2,FALSE)</f>
        <v>Store#2</v>
      </c>
      <c r="G2311">
        <f>INDEX(CalLookUpTable,MATCH($B2311,CalLookUpRow,0),MATCH(G$1,CalLookUpColumn,0))</f>
        <v>2019</v>
      </c>
      <c r="H2311">
        <f>INDEX(CalLookUpTable,MATCH($B2311,CalLookUpRow,0),MATCH(H$1,CalLookUpColumn,0))</f>
        <v>4</v>
      </c>
      <c r="I2311">
        <f>INDEX(CalLookUpTable,MATCH($B2311,CalLookUpRow,0),MATCH(I$1,CalLookUpColumn,0))</f>
        <v>1</v>
      </c>
    </row>
    <row r="2312" spans="1:9" x14ac:dyDescent="0.25">
      <c r="A2312" s="7">
        <v>2</v>
      </c>
      <c r="B2312" s="8">
        <v>43561</v>
      </c>
      <c r="C2312" s="9" t="s">
        <v>4</v>
      </c>
      <c r="D2312" s="10">
        <v>2678.9490000000001</v>
      </c>
      <c r="E2312" s="10">
        <v>2205.2660000000001</v>
      </c>
      <c r="F2312" t="str">
        <f>VLOOKUP(A2312,StoreLookup,2,FALSE)</f>
        <v>Store#2</v>
      </c>
      <c r="G2312">
        <f>INDEX(CalLookUpTable,MATCH($B2312,CalLookUpRow,0),MATCH(G$1,CalLookUpColumn,0))</f>
        <v>2019</v>
      </c>
      <c r="H2312">
        <f>INDEX(CalLookUpTable,MATCH($B2312,CalLookUpRow,0),MATCH(H$1,CalLookUpColumn,0))</f>
        <v>4</v>
      </c>
      <c r="I2312">
        <f>INDEX(CalLookUpTable,MATCH($B2312,CalLookUpRow,0),MATCH(I$1,CalLookUpColumn,0))</f>
        <v>1</v>
      </c>
    </row>
    <row r="2313" spans="1:9" x14ac:dyDescent="0.25">
      <c r="A2313" s="7">
        <v>2</v>
      </c>
      <c r="B2313" s="8">
        <v>43561</v>
      </c>
      <c r="C2313" s="9" t="s">
        <v>5</v>
      </c>
      <c r="D2313" s="10">
        <v>1163.6309999999999</v>
      </c>
      <c r="E2313" s="10">
        <v>0</v>
      </c>
      <c r="F2313" t="str">
        <f>VLOOKUP(A2313,StoreLookup,2,FALSE)</f>
        <v>Store#2</v>
      </c>
      <c r="G2313">
        <f>INDEX(CalLookUpTable,MATCH($B2313,CalLookUpRow,0),MATCH(G$1,CalLookUpColumn,0))</f>
        <v>2019</v>
      </c>
      <c r="H2313">
        <f>INDEX(CalLookUpTable,MATCH($B2313,CalLookUpRow,0),MATCH(H$1,CalLookUpColumn,0))</f>
        <v>4</v>
      </c>
      <c r="I2313">
        <f>INDEX(CalLookUpTable,MATCH($B2313,CalLookUpRow,0),MATCH(I$1,CalLookUpColumn,0))</f>
        <v>1</v>
      </c>
    </row>
    <row r="2314" spans="1:9" x14ac:dyDescent="0.25">
      <c r="A2314" s="7">
        <v>2</v>
      </c>
      <c r="B2314" s="8">
        <v>43562</v>
      </c>
      <c r="C2314" s="9" t="s">
        <v>3</v>
      </c>
      <c r="D2314" s="10">
        <v>206.96200000000002</v>
      </c>
      <c r="E2314" s="10">
        <v>0</v>
      </c>
      <c r="F2314" t="str">
        <f>VLOOKUP(A2314,StoreLookup,2,FALSE)</f>
        <v>Store#2</v>
      </c>
      <c r="G2314">
        <f>INDEX(CalLookUpTable,MATCH($B2314,CalLookUpRow,0),MATCH(G$1,CalLookUpColumn,0))</f>
        <v>2019</v>
      </c>
      <c r="H2314">
        <f>INDEX(CalLookUpTable,MATCH($B2314,CalLookUpRow,0),MATCH(H$1,CalLookUpColumn,0))</f>
        <v>4</v>
      </c>
      <c r="I2314">
        <f>INDEX(CalLookUpTable,MATCH($B2314,CalLookUpRow,0),MATCH(I$1,CalLookUpColumn,0))</f>
        <v>1</v>
      </c>
    </row>
    <row r="2315" spans="1:9" x14ac:dyDescent="0.25">
      <c r="A2315" s="7">
        <v>2</v>
      </c>
      <c r="B2315" s="8">
        <v>43562</v>
      </c>
      <c r="C2315" s="9" t="s">
        <v>6</v>
      </c>
      <c r="D2315" s="10">
        <v>220.80099999999999</v>
      </c>
      <c r="E2315" s="10">
        <v>209.79699999999997</v>
      </c>
      <c r="F2315" t="str">
        <f>VLOOKUP(A2315,StoreLookup,2,FALSE)</f>
        <v>Store#2</v>
      </c>
      <c r="G2315">
        <f>INDEX(CalLookUpTable,MATCH($B2315,CalLookUpRow,0),MATCH(G$1,CalLookUpColumn,0))</f>
        <v>2019</v>
      </c>
      <c r="H2315">
        <f>INDEX(CalLookUpTable,MATCH($B2315,CalLookUpRow,0),MATCH(H$1,CalLookUpColumn,0))</f>
        <v>4</v>
      </c>
      <c r="I2315">
        <f>INDEX(CalLookUpTable,MATCH($B2315,CalLookUpRow,0),MATCH(I$1,CalLookUpColumn,0))</f>
        <v>1</v>
      </c>
    </row>
    <row r="2316" spans="1:9" x14ac:dyDescent="0.25">
      <c r="A2316" s="7">
        <v>2</v>
      </c>
      <c r="B2316" s="8">
        <v>43562</v>
      </c>
      <c r="C2316" s="9" t="s">
        <v>5</v>
      </c>
      <c r="D2316" s="10">
        <v>822.21999999999991</v>
      </c>
      <c r="E2316" s="10">
        <v>0</v>
      </c>
      <c r="F2316" t="str">
        <f>VLOOKUP(A2316,StoreLookup,2,FALSE)</f>
        <v>Store#2</v>
      </c>
      <c r="G2316">
        <f>INDEX(CalLookUpTable,MATCH($B2316,CalLookUpRow,0),MATCH(G$1,CalLookUpColumn,0))</f>
        <v>2019</v>
      </c>
      <c r="H2316">
        <f>INDEX(CalLookUpTable,MATCH($B2316,CalLookUpRow,0),MATCH(H$1,CalLookUpColumn,0))</f>
        <v>4</v>
      </c>
      <c r="I2316">
        <f>INDEX(CalLookUpTable,MATCH($B2316,CalLookUpRow,0),MATCH(I$1,CalLookUpColumn,0))</f>
        <v>1</v>
      </c>
    </row>
    <row r="2317" spans="1:9" x14ac:dyDescent="0.25">
      <c r="A2317" s="7">
        <v>2</v>
      </c>
      <c r="B2317" s="8">
        <v>43562</v>
      </c>
      <c r="C2317" s="9" t="s">
        <v>4</v>
      </c>
      <c r="D2317" s="10">
        <v>1170.5260000000001</v>
      </c>
      <c r="E2317" s="10">
        <v>1496.2570000000001</v>
      </c>
      <c r="F2317" t="str">
        <f>VLOOKUP(A2317,StoreLookup,2,FALSE)</f>
        <v>Store#2</v>
      </c>
      <c r="G2317">
        <f>INDEX(CalLookUpTable,MATCH($B2317,CalLookUpRow,0),MATCH(G$1,CalLookUpColumn,0))</f>
        <v>2019</v>
      </c>
      <c r="H2317">
        <f>INDEX(CalLookUpTable,MATCH($B2317,CalLookUpRow,0),MATCH(H$1,CalLookUpColumn,0))</f>
        <v>4</v>
      </c>
      <c r="I2317">
        <f>INDEX(CalLookUpTable,MATCH($B2317,CalLookUpRow,0),MATCH(I$1,CalLookUpColumn,0))</f>
        <v>1</v>
      </c>
    </row>
    <row r="2318" spans="1:9" x14ac:dyDescent="0.25">
      <c r="A2318" s="7">
        <v>2</v>
      </c>
      <c r="B2318" s="8">
        <v>43563</v>
      </c>
      <c r="C2318" s="9" t="s">
        <v>3</v>
      </c>
      <c r="D2318" s="10">
        <v>126.931</v>
      </c>
      <c r="E2318" s="10">
        <v>0</v>
      </c>
      <c r="F2318" t="str">
        <f>VLOOKUP(A2318,StoreLookup,2,FALSE)</f>
        <v>Store#2</v>
      </c>
      <c r="G2318">
        <f>INDEX(CalLookUpTable,MATCH($B2318,CalLookUpRow,0),MATCH(G$1,CalLookUpColumn,0))</f>
        <v>2019</v>
      </c>
      <c r="H2318">
        <f>INDEX(CalLookUpTable,MATCH($B2318,CalLookUpRow,0),MATCH(H$1,CalLookUpColumn,0))</f>
        <v>4</v>
      </c>
      <c r="I2318">
        <f>INDEX(CalLookUpTable,MATCH($B2318,CalLookUpRow,0),MATCH(I$1,CalLookUpColumn,0))</f>
        <v>2</v>
      </c>
    </row>
    <row r="2319" spans="1:9" x14ac:dyDescent="0.25">
      <c r="A2319" s="7">
        <v>2</v>
      </c>
      <c r="B2319" s="8">
        <v>43563</v>
      </c>
      <c r="C2319" s="9" t="s">
        <v>5</v>
      </c>
      <c r="D2319" s="10">
        <v>955.29</v>
      </c>
      <c r="E2319" s="10">
        <v>0</v>
      </c>
      <c r="F2319" t="str">
        <f>VLOOKUP(A2319,StoreLookup,2,FALSE)</f>
        <v>Store#2</v>
      </c>
      <c r="G2319">
        <f>INDEX(CalLookUpTable,MATCH($B2319,CalLookUpRow,0),MATCH(G$1,CalLookUpColumn,0))</f>
        <v>2019</v>
      </c>
      <c r="H2319">
        <f>INDEX(CalLookUpTable,MATCH($B2319,CalLookUpRow,0),MATCH(H$1,CalLookUpColumn,0))</f>
        <v>4</v>
      </c>
      <c r="I2319">
        <f>INDEX(CalLookUpTable,MATCH($B2319,CalLookUpRow,0),MATCH(I$1,CalLookUpColumn,0))</f>
        <v>2</v>
      </c>
    </row>
    <row r="2320" spans="1:9" x14ac:dyDescent="0.25">
      <c r="A2320" s="7">
        <v>2</v>
      </c>
      <c r="B2320" s="8">
        <v>43563</v>
      </c>
      <c r="C2320" s="9" t="s">
        <v>4</v>
      </c>
      <c r="D2320" s="10">
        <v>1953.2029999999997</v>
      </c>
      <c r="E2320" s="10">
        <v>1539.9649999999997</v>
      </c>
      <c r="F2320" t="str">
        <f>VLOOKUP(A2320,StoreLookup,2,FALSE)</f>
        <v>Store#2</v>
      </c>
      <c r="G2320">
        <f>INDEX(CalLookUpTable,MATCH($B2320,CalLookUpRow,0),MATCH(G$1,CalLookUpColumn,0))</f>
        <v>2019</v>
      </c>
      <c r="H2320">
        <f>INDEX(CalLookUpTable,MATCH($B2320,CalLookUpRow,0),MATCH(H$1,CalLookUpColumn,0))</f>
        <v>4</v>
      </c>
      <c r="I2320">
        <f>INDEX(CalLookUpTable,MATCH($B2320,CalLookUpRow,0),MATCH(I$1,CalLookUpColumn,0))</f>
        <v>2</v>
      </c>
    </row>
    <row r="2321" spans="1:9" x14ac:dyDescent="0.25">
      <c r="A2321" s="7">
        <v>2</v>
      </c>
      <c r="B2321" s="8">
        <v>43563</v>
      </c>
      <c r="C2321" s="9" t="s">
        <v>6</v>
      </c>
      <c r="D2321" s="10">
        <v>189.28700000000001</v>
      </c>
      <c r="E2321" s="10">
        <v>441.61599999999999</v>
      </c>
      <c r="F2321" t="str">
        <f>VLOOKUP(A2321,StoreLookup,2,FALSE)</f>
        <v>Store#2</v>
      </c>
      <c r="G2321">
        <f>INDEX(CalLookUpTable,MATCH($B2321,CalLookUpRow,0),MATCH(G$1,CalLookUpColumn,0))</f>
        <v>2019</v>
      </c>
      <c r="H2321">
        <f>INDEX(CalLookUpTable,MATCH($B2321,CalLookUpRow,0),MATCH(H$1,CalLookUpColumn,0))</f>
        <v>4</v>
      </c>
      <c r="I2321">
        <f>INDEX(CalLookUpTable,MATCH($B2321,CalLookUpRow,0),MATCH(I$1,CalLookUpColumn,0))</f>
        <v>2</v>
      </c>
    </row>
    <row r="2322" spans="1:9" x14ac:dyDescent="0.25">
      <c r="A2322" s="7">
        <v>2</v>
      </c>
      <c r="B2322" s="8">
        <v>43564</v>
      </c>
      <c r="C2322" s="9" t="s">
        <v>6</v>
      </c>
      <c r="D2322" s="10">
        <v>273.18199999999996</v>
      </c>
      <c r="E2322" s="10">
        <v>346.01</v>
      </c>
      <c r="F2322" t="str">
        <f>VLOOKUP(A2322,StoreLookup,2,FALSE)</f>
        <v>Store#2</v>
      </c>
      <c r="G2322">
        <f>INDEX(CalLookUpTable,MATCH($B2322,CalLookUpRow,0),MATCH(G$1,CalLookUpColumn,0))</f>
        <v>2019</v>
      </c>
      <c r="H2322">
        <f>INDEX(CalLookUpTable,MATCH($B2322,CalLookUpRow,0),MATCH(H$1,CalLookUpColumn,0))</f>
        <v>4</v>
      </c>
      <c r="I2322">
        <f>INDEX(CalLookUpTable,MATCH($B2322,CalLookUpRow,0),MATCH(I$1,CalLookUpColumn,0))</f>
        <v>2</v>
      </c>
    </row>
    <row r="2323" spans="1:9" x14ac:dyDescent="0.25">
      <c r="A2323" s="7">
        <v>2</v>
      </c>
      <c r="B2323" s="8">
        <v>43564</v>
      </c>
      <c r="C2323" s="9" t="s">
        <v>4</v>
      </c>
      <c r="D2323" s="10">
        <v>1781.8710000000001</v>
      </c>
      <c r="E2323" s="10">
        <v>2219.2169999999996</v>
      </c>
      <c r="F2323" t="str">
        <f>VLOOKUP(A2323,StoreLookup,2,FALSE)</f>
        <v>Store#2</v>
      </c>
      <c r="G2323">
        <f>INDEX(CalLookUpTable,MATCH($B2323,CalLookUpRow,0),MATCH(G$1,CalLookUpColumn,0))</f>
        <v>2019</v>
      </c>
      <c r="H2323">
        <f>INDEX(CalLookUpTable,MATCH($B2323,CalLookUpRow,0),MATCH(H$1,CalLookUpColumn,0))</f>
        <v>4</v>
      </c>
      <c r="I2323">
        <f>INDEX(CalLookUpTable,MATCH($B2323,CalLookUpRow,0),MATCH(I$1,CalLookUpColumn,0))</f>
        <v>2</v>
      </c>
    </row>
    <row r="2324" spans="1:9" x14ac:dyDescent="0.25">
      <c r="A2324" s="7">
        <v>2</v>
      </c>
      <c r="B2324" s="8">
        <v>43564</v>
      </c>
      <c r="C2324" s="9" t="s">
        <v>3</v>
      </c>
      <c r="D2324" s="10">
        <v>0</v>
      </c>
      <c r="E2324" s="10">
        <v>488.20099999999991</v>
      </c>
      <c r="F2324" t="str">
        <f>VLOOKUP(A2324,StoreLookup,2,FALSE)</f>
        <v>Store#2</v>
      </c>
      <c r="G2324">
        <f>INDEX(CalLookUpTable,MATCH($B2324,CalLookUpRow,0),MATCH(G$1,CalLookUpColumn,0))</f>
        <v>2019</v>
      </c>
      <c r="H2324">
        <f>INDEX(CalLookUpTable,MATCH($B2324,CalLookUpRow,0),MATCH(H$1,CalLookUpColumn,0))</f>
        <v>4</v>
      </c>
      <c r="I2324">
        <f>INDEX(CalLookUpTable,MATCH($B2324,CalLookUpRow,0),MATCH(I$1,CalLookUpColumn,0))</f>
        <v>2</v>
      </c>
    </row>
    <row r="2325" spans="1:9" x14ac:dyDescent="0.25">
      <c r="A2325" s="7">
        <v>2</v>
      </c>
      <c r="B2325" s="8">
        <v>43564</v>
      </c>
      <c r="C2325" s="9" t="s">
        <v>5</v>
      </c>
      <c r="D2325" s="10">
        <v>1254.0429999999999</v>
      </c>
      <c r="E2325" s="10">
        <v>0</v>
      </c>
      <c r="F2325" t="str">
        <f>VLOOKUP(A2325,StoreLookup,2,FALSE)</f>
        <v>Store#2</v>
      </c>
      <c r="G2325">
        <f>INDEX(CalLookUpTable,MATCH($B2325,CalLookUpRow,0),MATCH(G$1,CalLookUpColumn,0))</f>
        <v>2019</v>
      </c>
      <c r="H2325">
        <f>INDEX(CalLookUpTable,MATCH($B2325,CalLookUpRow,0),MATCH(H$1,CalLookUpColumn,0))</f>
        <v>4</v>
      </c>
      <c r="I2325">
        <f>INDEX(CalLookUpTable,MATCH($B2325,CalLookUpRow,0),MATCH(I$1,CalLookUpColumn,0))</f>
        <v>2</v>
      </c>
    </row>
    <row r="2326" spans="1:9" x14ac:dyDescent="0.25">
      <c r="A2326" s="7">
        <v>2</v>
      </c>
      <c r="B2326" s="8">
        <v>43565</v>
      </c>
      <c r="C2326" s="9" t="s">
        <v>3</v>
      </c>
      <c r="D2326" s="10">
        <v>0</v>
      </c>
      <c r="E2326" s="10">
        <v>155.946</v>
      </c>
      <c r="F2326" t="str">
        <f>VLOOKUP(A2326,StoreLookup,2,FALSE)</f>
        <v>Store#2</v>
      </c>
      <c r="G2326">
        <f>INDEX(CalLookUpTable,MATCH($B2326,CalLookUpRow,0),MATCH(G$1,CalLookUpColumn,0))</f>
        <v>2019</v>
      </c>
      <c r="H2326">
        <f>INDEX(CalLookUpTable,MATCH($B2326,CalLookUpRow,0),MATCH(H$1,CalLookUpColumn,0))</f>
        <v>4</v>
      </c>
      <c r="I2326">
        <f>INDEX(CalLookUpTable,MATCH($B2326,CalLookUpRow,0),MATCH(I$1,CalLookUpColumn,0))</f>
        <v>2</v>
      </c>
    </row>
    <row r="2327" spans="1:9" x14ac:dyDescent="0.25">
      <c r="A2327" s="7">
        <v>2</v>
      </c>
      <c r="B2327" s="8">
        <v>43565</v>
      </c>
      <c r="C2327" s="9" t="s">
        <v>6</v>
      </c>
      <c r="D2327" s="10">
        <v>331.68099999999998</v>
      </c>
      <c r="E2327" s="10">
        <v>421.55399999999997</v>
      </c>
      <c r="F2327" t="str">
        <f>VLOOKUP(A2327,StoreLookup,2,FALSE)</f>
        <v>Store#2</v>
      </c>
      <c r="G2327">
        <f>INDEX(CalLookUpTable,MATCH($B2327,CalLookUpRow,0),MATCH(G$1,CalLookUpColumn,0))</f>
        <v>2019</v>
      </c>
      <c r="H2327">
        <f>INDEX(CalLookUpTable,MATCH($B2327,CalLookUpRow,0),MATCH(H$1,CalLookUpColumn,0))</f>
        <v>4</v>
      </c>
      <c r="I2327">
        <f>INDEX(CalLookUpTable,MATCH($B2327,CalLookUpRow,0),MATCH(I$1,CalLookUpColumn,0))</f>
        <v>2</v>
      </c>
    </row>
    <row r="2328" spans="1:9" x14ac:dyDescent="0.25">
      <c r="A2328" s="7">
        <v>2</v>
      </c>
      <c r="B2328" s="8">
        <v>43565</v>
      </c>
      <c r="C2328" s="9" t="s">
        <v>4</v>
      </c>
      <c r="D2328" s="10">
        <v>1813.5319999999999</v>
      </c>
      <c r="E2328" s="10">
        <v>1835.4699999999998</v>
      </c>
      <c r="F2328" t="str">
        <f>VLOOKUP(A2328,StoreLookup,2,FALSE)</f>
        <v>Store#2</v>
      </c>
      <c r="G2328">
        <f>INDEX(CalLookUpTable,MATCH($B2328,CalLookUpRow,0),MATCH(G$1,CalLookUpColumn,0))</f>
        <v>2019</v>
      </c>
      <c r="H2328">
        <f>INDEX(CalLookUpTable,MATCH($B2328,CalLookUpRow,0),MATCH(H$1,CalLookUpColumn,0))</f>
        <v>4</v>
      </c>
      <c r="I2328">
        <f>INDEX(CalLookUpTable,MATCH($B2328,CalLookUpRow,0),MATCH(I$1,CalLookUpColumn,0))</f>
        <v>2</v>
      </c>
    </row>
    <row r="2329" spans="1:9" x14ac:dyDescent="0.25">
      <c r="A2329" s="7">
        <v>2</v>
      </c>
      <c r="B2329" s="8">
        <v>43565</v>
      </c>
      <c r="C2329" s="9" t="s">
        <v>5</v>
      </c>
      <c r="D2329" s="10">
        <v>1099.441</v>
      </c>
      <c r="E2329" s="10">
        <v>0</v>
      </c>
      <c r="F2329" t="str">
        <f>VLOOKUP(A2329,StoreLookup,2,FALSE)</f>
        <v>Store#2</v>
      </c>
      <c r="G2329">
        <f>INDEX(CalLookUpTable,MATCH($B2329,CalLookUpRow,0),MATCH(G$1,CalLookUpColumn,0))</f>
        <v>2019</v>
      </c>
      <c r="H2329">
        <f>INDEX(CalLookUpTable,MATCH($B2329,CalLookUpRow,0),MATCH(H$1,CalLookUpColumn,0))</f>
        <v>4</v>
      </c>
      <c r="I2329">
        <f>INDEX(CalLookUpTable,MATCH($B2329,CalLookUpRow,0),MATCH(I$1,CalLookUpColumn,0))</f>
        <v>2</v>
      </c>
    </row>
    <row r="2330" spans="1:9" x14ac:dyDescent="0.25">
      <c r="A2330" s="7">
        <v>2</v>
      </c>
      <c r="B2330" s="8">
        <v>43566</v>
      </c>
      <c r="C2330" s="9" t="s">
        <v>5</v>
      </c>
      <c r="D2330" s="10">
        <v>1039.3529999999998</v>
      </c>
      <c r="E2330" s="10">
        <v>0</v>
      </c>
      <c r="F2330" t="str">
        <f>VLOOKUP(A2330,StoreLookup,2,FALSE)</f>
        <v>Store#2</v>
      </c>
      <c r="G2330">
        <f>INDEX(CalLookUpTable,MATCH($B2330,CalLookUpRow,0),MATCH(G$1,CalLookUpColumn,0))</f>
        <v>2019</v>
      </c>
      <c r="H2330">
        <f>INDEX(CalLookUpTable,MATCH($B2330,CalLookUpRow,0),MATCH(H$1,CalLookUpColumn,0))</f>
        <v>4</v>
      </c>
      <c r="I2330">
        <f>INDEX(CalLookUpTable,MATCH($B2330,CalLookUpRow,0),MATCH(I$1,CalLookUpColumn,0))</f>
        <v>2</v>
      </c>
    </row>
    <row r="2331" spans="1:9" x14ac:dyDescent="0.25">
      <c r="A2331" s="7">
        <v>2</v>
      </c>
      <c r="B2331" s="8">
        <v>43566</v>
      </c>
      <c r="C2331" s="9" t="s">
        <v>6</v>
      </c>
      <c r="D2331" s="10">
        <v>347.98399999999998</v>
      </c>
      <c r="E2331" s="10">
        <v>516.07499999999993</v>
      </c>
      <c r="F2331" t="str">
        <f>VLOOKUP(A2331,StoreLookup,2,FALSE)</f>
        <v>Store#2</v>
      </c>
      <c r="G2331">
        <f>INDEX(CalLookUpTable,MATCH($B2331,CalLookUpRow,0),MATCH(G$1,CalLookUpColumn,0))</f>
        <v>2019</v>
      </c>
      <c r="H2331">
        <f>INDEX(CalLookUpTable,MATCH($B2331,CalLookUpRow,0),MATCH(H$1,CalLookUpColumn,0))</f>
        <v>4</v>
      </c>
      <c r="I2331">
        <f>INDEX(CalLookUpTable,MATCH($B2331,CalLookUpRow,0),MATCH(I$1,CalLookUpColumn,0))</f>
        <v>2</v>
      </c>
    </row>
    <row r="2332" spans="1:9" x14ac:dyDescent="0.25">
      <c r="A2332" s="7">
        <v>2</v>
      </c>
      <c r="B2332" s="8">
        <v>43566</v>
      </c>
      <c r="C2332" s="9" t="s">
        <v>4</v>
      </c>
      <c r="D2332" s="10">
        <v>1736.0139999999999</v>
      </c>
      <c r="E2332" s="10">
        <v>2276.9039999999995</v>
      </c>
      <c r="F2332" t="str">
        <f>VLOOKUP(A2332,StoreLookup,2,FALSE)</f>
        <v>Store#2</v>
      </c>
      <c r="G2332">
        <f>INDEX(CalLookUpTable,MATCH($B2332,CalLookUpRow,0),MATCH(G$1,CalLookUpColumn,0))</f>
        <v>2019</v>
      </c>
      <c r="H2332">
        <f>INDEX(CalLookUpTable,MATCH($B2332,CalLookUpRow,0),MATCH(H$1,CalLookUpColumn,0))</f>
        <v>4</v>
      </c>
      <c r="I2332">
        <f>INDEX(CalLookUpTable,MATCH($B2332,CalLookUpRow,0),MATCH(I$1,CalLookUpColumn,0))</f>
        <v>2</v>
      </c>
    </row>
    <row r="2333" spans="1:9" x14ac:dyDescent="0.25">
      <c r="A2333" s="7">
        <v>2</v>
      </c>
      <c r="B2333" s="8">
        <v>43566</v>
      </c>
      <c r="C2333" s="9" t="s">
        <v>3</v>
      </c>
      <c r="D2333" s="10">
        <v>281.56799999999998</v>
      </c>
      <c r="E2333" s="10">
        <v>168.62299999999999</v>
      </c>
      <c r="F2333" t="str">
        <f>VLOOKUP(A2333,StoreLookup,2,FALSE)</f>
        <v>Store#2</v>
      </c>
      <c r="G2333">
        <f>INDEX(CalLookUpTable,MATCH($B2333,CalLookUpRow,0),MATCH(G$1,CalLookUpColumn,0))</f>
        <v>2019</v>
      </c>
      <c r="H2333">
        <f>INDEX(CalLookUpTable,MATCH($B2333,CalLookUpRow,0),MATCH(H$1,CalLookUpColumn,0))</f>
        <v>4</v>
      </c>
      <c r="I2333">
        <f>INDEX(CalLookUpTable,MATCH($B2333,CalLookUpRow,0),MATCH(I$1,CalLookUpColumn,0))</f>
        <v>2</v>
      </c>
    </row>
    <row r="2334" spans="1:9" x14ac:dyDescent="0.25">
      <c r="A2334" s="7">
        <v>2</v>
      </c>
      <c r="B2334" s="8">
        <v>43567</v>
      </c>
      <c r="C2334" s="9" t="s">
        <v>3</v>
      </c>
      <c r="D2334" s="10">
        <v>0</v>
      </c>
      <c r="E2334" s="10">
        <v>0</v>
      </c>
      <c r="F2334" t="str">
        <f>VLOOKUP(A2334,StoreLookup,2,FALSE)</f>
        <v>Store#2</v>
      </c>
      <c r="G2334">
        <f>INDEX(CalLookUpTable,MATCH($B2334,CalLookUpRow,0),MATCH(G$1,CalLookUpColumn,0))</f>
        <v>2019</v>
      </c>
      <c r="H2334">
        <f>INDEX(CalLookUpTable,MATCH($B2334,CalLookUpRow,0),MATCH(H$1,CalLookUpColumn,0))</f>
        <v>4</v>
      </c>
      <c r="I2334">
        <f>INDEX(CalLookUpTable,MATCH($B2334,CalLookUpRow,0),MATCH(I$1,CalLookUpColumn,0))</f>
        <v>2</v>
      </c>
    </row>
    <row r="2335" spans="1:9" x14ac:dyDescent="0.25">
      <c r="A2335" s="7">
        <v>2</v>
      </c>
      <c r="B2335" s="8">
        <v>43567</v>
      </c>
      <c r="C2335" s="9" t="s">
        <v>6</v>
      </c>
      <c r="D2335" s="10">
        <v>266.97999999999996</v>
      </c>
      <c r="E2335" s="10">
        <v>662.58499999999992</v>
      </c>
      <c r="F2335" t="str">
        <f>VLOOKUP(A2335,StoreLookup,2,FALSE)</f>
        <v>Store#2</v>
      </c>
      <c r="G2335">
        <f>INDEX(CalLookUpTable,MATCH($B2335,CalLookUpRow,0),MATCH(G$1,CalLookUpColumn,0))</f>
        <v>2019</v>
      </c>
      <c r="H2335">
        <f>INDEX(CalLookUpTable,MATCH($B2335,CalLookUpRow,0),MATCH(H$1,CalLookUpColumn,0))</f>
        <v>4</v>
      </c>
      <c r="I2335">
        <f>INDEX(CalLookUpTable,MATCH($B2335,CalLookUpRow,0),MATCH(I$1,CalLookUpColumn,0))</f>
        <v>2</v>
      </c>
    </row>
    <row r="2336" spans="1:9" x14ac:dyDescent="0.25">
      <c r="A2336" s="7">
        <v>2</v>
      </c>
      <c r="B2336" s="8">
        <v>43567</v>
      </c>
      <c r="C2336" s="9" t="s">
        <v>4</v>
      </c>
      <c r="D2336" s="10">
        <v>2672.3689999999997</v>
      </c>
      <c r="E2336" s="10">
        <v>2984.8420000000001</v>
      </c>
      <c r="F2336" t="str">
        <f>VLOOKUP(A2336,StoreLookup,2,FALSE)</f>
        <v>Store#2</v>
      </c>
      <c r="G2336">
        <f>INDEX(CalLookUpTable,MATCH($B2336,CalLookUpRow,0),MATCH(G$1,CalLookUpColumn,0))</f>
        <v>2019</v>
      </c>
      <c r="H2336">
        <f>INDEX(CalLookUpTable,MATCH($B2336,CalLookUpRow,0),MATCH(H$1,CalLookUpColumn,0))</f>
        <v>4</v>
      </c>
      <c r="I2336">
        <f>INDEX(CalLookUpTable,MATCH($B2336,CalLookUpRow,0),MATCH(I$1,CalLookUpColumn,0))</f>
        <v>2</v>
      </c>
    </row>
    <row r="2337" spans="1:9" x14ac:dyDescent="0.25">
      <c r="A2337" s="7">
        <v>2</v>
      </c>
      <c r="B2337" s="8">
        <v>43567</v>
      </c>
      <c r="C2337" s="9" t="s">
        <v>5</v>
      </c>
      <c r="D2337" s="10">
        <v>1335.9079999999999</v>
      </c>
      <c r="E2337" s="10">
        <v>0</v>
      </c>
      <c r="F2337" t="str">
        <f>VLOOKUP(A2337,StoreLookup,2,FALSE)</f>
        <v>Store#2</v>
      </c>
      <c r="G2337">
        <f>INDEX(CalLookUpTable,MATCH($B2337,CalLookUpRow,0),MATCH(G$1,CalLookUpColumn,0))</f>
        <v>2019</v>
      </c>
      <c r="H2337">
        <f>INDEX(CalLookUpTable,MATCH($B2337,CalLookUpRow,0),MATCH(H$1,CalLookUpColumn,0))</f>
        <v>4</v>
      </c>
      <c r="I2337">
        <f>INDEX(CalLookUpTable,MATCH($B2337,CalLookUpRow,0),MATCH(I$1,CalLookUpColumn,0))</f>
        <v>2</v>
      </c>
    </row>
    <row r="2338" spans="1:9" x14ac:dyDescent="0.25">
      <c r="A2338" s="7">
        <v>2</v>
      </c>
      <c r="B2338" s="8">
        <v>43568</v>
      </c>
      <c r="C2338" s="9" t="s">
        <v>5</v>
      </c>
      <c r="D2338" s="10">
        <v>1125.7049999999999</v>
      </c>
      <c r="E2338" s="10">
        <v>0</v>
      </c>
      <c r="F2338" t="str">
        <f>VLOOKUP(A2338,StoreLookup,2,FALSE)</f>
        <v>Store#2</v>
      </c>
      <c r="G2338">
        <f>INDEX(CalLookUpTable,MATCH($B2338,CalLookUpRow,0),MATCH(G$1,CalLookUpColumn,0))</f>
        <v>2019</v>
      </c>
      <c r="H2338">
        <f>INDEX(CalLookUpTable,MATCH($B2338,CalLookUpRow,0),MATCH(H$1,CalLookUpColumn,0))</f>
        <v>4</v>
      </c>
      <c r="I2338">
        <f>INDEX(CalLookUpTable,MATCH($B2338,CalLookUpRow,0),MATCH(I$1,CalLookUpColumn,0))</f>
        <v>2</v>
      </c>
    </row>
    <row r="2339" spans="1:9" x14ac:dyDescent="0.25">
      <c r="A2339" s="7">
        <v>2</v>
      </c>
      <c r="B2339" s="8">
        <v>43568</v>
      </c>
      <c r="C2339" s="9" t="s">
        <v>6</v>
      </c>
      <c r="D2339" s="10">
        <v>307.29300000000001</v>
      </c>
      <c r="E2339" s="10">
        <v>445.89299999999997</v>
      </c>
      <c r="F2339" t="str">
        <f>VLOOKUP(A2339,StoreLookup,2,FALSE)</f>
        <v>Store#2</v>
      </c>
      <c r="G2339">
        <f>INDEX(CalLookUpTable,MATCH($B2339,CalLookUpRow,0),MATCH(G$1,CalLookUpColumn,0))</f>
        <v>2019</v>
      </c>
      <c r="H2339">
        <f>INDEX(CalLookUpTable,MATCH($B2339,CalLookUpRow,0),MATCH(H$1,CalLookUpColumn,0))</f>
        <v>4</v>
      </c>
      <c r="I2339">
        <f>INDEX(CalLookUpTable,MATCH($B2339,CalLookUpRow,0),MATCH(I$1,CalLookUpColumn,0))</f>
        <v>2</v>
      </c>
    </row>
    <row r="2340" spans="1:9" x14ac:dyDescent="0.25">
      <c r="A2340" s="7">
        <v>2</v>
      </c>
      <c r="B2340" s="8">
        <v>43568</v>
      </c>
      <c r="C2340" s="9" t="s">
        <v>3</v>
      </c>
      <c r="D2340" s="10">
        <v>0</v>
      </c>
      <c r="E2340" s="10">
        <v>0</v>
      </c>
      <c r="F2340" t="str">
        <f>VLOOKUP(A2340,StoreLookup,2,FALSE)</f>
        <v>Store#2</v>
      </c>
      <c r="G2340">
        <f>INDEX(CalLookUpTable,MATCH($B2340,CalLookUpRow,0),MATCH(G$1,CalLookUpColumn,0))</f>
        <v>2019</v>
      </c>
      <c r="H2340">
        <f>INDEX(CalLookUpTable,MATCH($B2340,CalLookUpRow,0),MATCH(H$1,CalLookUpColumn,0))</f>
        <v>4</v>
      </c>
      <c r="I2340">
        <f>INDEX(CalLookUpTable,MATCH($B2340,CalLookUpRow,0),MATCH(I$1,CalLookUpColumn,0))</f>
        <v>2</v>
      </c>
    </row>
    <row r="2341" spans="1:9" x14ac:dyDescent="0.25">
      <c r="A2341" s="7">
        <v>2</v>
      </c>
      <c r="B2341" s="8">
        <v>43568</v>
      </c>
      <c r="C2341" s="9" t="s">
        <v>4</v>
      </c>
      <c r="D2341" s="10">
        <v>2818.3609999999999</v>
      </c>
      <c r="E2341" s="10">
        <v>2499.5320000000002</v>
      </c>
      <c r="F2341" t="str">
        <f>VLOOKUP(A2341,StoreLookup,2,FALSE)</f>
        <v>Store#2</v>
      </c>
      <c r="G2341">
        <f>INDEX(CalLookUpTable,MATCH($B2341,CalLookUpRow,0),MATCH(G$1,CalLookUpColumn,0))</f>
        <v>2019</v>
      </c>
      <c r="H2341">
        <f>INDEX(CalLookUpTable,MATCH($B2341,CalLookUpRow,0),MATCH(H$1,CalLookUpColumn,0))</f>
        <v>4</v>
      </c>
      <c r="I2341">
        <f>INDEX(CalLookUpTable,MATCH($B2341,CalLookUpRow,0),MATCH(I$1,CalLookUpColumn,0))</f>
        <v>2</v>
      </c>
    </row>
    <row r="2342" spans="1:9" x14ac:dyDescent="0.25">
      <c r="A2342" s="7">
        <v>2</v>
      </c>
      <c r="B2342" s="8">
        <v>43569</v>
      </c>
      <c r="C2342" s="9" t="s">
        <v>5</v>
      </c>
      <c r="D2342" s="10">
        <v>547.673</v>
      </c>
      <c r="E2342" s="10">
        <v>0</v>
      </c>
      <c r="F2342" t="str">
        <f>VLOOKUP(A2342,StoreLookup,2,FALSE)</f>
        <v>Store#2</v>
      </c>
      <c r="G2342">
        <f>INDEX(CalLookUpTable,MATCH($B2342,CalLookUpRow,0),MATCH(G$1,CalLookUpColumn,0))</f>
        <v>2019</v>
      </c>
      <c r="H2342">
        <f>INDEX(CalLookUpTable,MATCH($B2342,CalLookUpRow,0),MATCH(H$1,CalLookUpColumn,0))</f>
        <v>4</v>
      </c>
      <c r="I2342">
        <f>INDEX(CalLookUpTable,MATCH($B2342,CalLookUpRow,0),MATCH(I$1,CalLookUpColumn,0))</f>
        <v>2</v>
      </c>
    </row>
    <row r="2343" spans="1:9" x14ac:dyDescent="0.25">
      <c r="A2343" s="7">
        <v>2</v>
      </c>
      <c r="B2343" s="8">
        <v>43569</v>
      </c>
      <c r="C2343" s="9" t="s">
        <v>3</v>
      </c>
      <c r="D2343" s="10">
        <v>0</v>
      </c>
      <c r="E2343" s="10">
        <v>0</v>
      </c>
      <c r="F2343" t="str">
        <f>VLOOKUP(A2343,StoreLookup,2,FALSE)</f>
        <v>Store#2</v>
      </c>
      <c r="G2343">
        <f>INDEX(CalLookUpTable,MATCH($B2343,CalLookUpRow,0),MATCH(G$1,CalLookUpColumn,0))</f>
        <v>2019</v>
      </c>
      <c r="H2343">
        <f>INDEX(CalLookUpTable,MATCH($B2343,CalLookUpRow,0),MATCH(H$1,CalLookUpColumn,0))</f>
        <v>4</v>
      </c>
      <c r="I2343">
        <f>INDEX(CalLookUpTable,MATCH($B2343,CalLookUpRow,0),MATCH(I$1,CalLookUpColumn,0))</f>
        <v>2</v>
      </c>
    </row>
    <row r="2344" spans="1:9" x14ac:dyDescent="0.25">
      <c r="A2344" s="7">
        <v>2</v>
      </c>
      <c r="B2344" s="8">
        <v>43569</v>
      </c>
      <c r="C2344" s="9" t="s">
        <v>6</v>
      </c>
      <c r="D2344" s="10">
        <v>262.91299999999995</v>
      </c>
      <c r="E2344" s="10">
        <v>333.61299999999994</v>
      </c>
      <c r="F2344" t="str">
        <f>VLOOKUP(A2344,StoreLookup,2,FALSE)</f>
        <v>Store#2</v>
      </c>
      <c r="G2344">
        <f>INDEX(CalLookUpTable,MATCH($B2344,CalLookUpRow,0),MATCH(G$1,CalLookUpColumn,0))</f>
        <v>2019</v>
      </c>
      <c r="H2344">
        <f>INDEX(CalLookUpTable,MATCH($B2344,CalLookUpRow,0),MATCH(H$1,CalLookUpColumn,0))</f>
        <v>4</v>
      </c>
      <c r="I2344">
        <f>INDEX(CalLookUpTable,MATCH($B2344,CalLookUpRow,0),MATCH(I$1,CalLookUpColumn,0))</f>
        <v>2</v>
      </c>
    </row>
    <row r="2345" spans="1:9" x14ac:dyDescent="0.25">
      <c r="A2345" s="7">
        <v>2</v>
      </c>
      <c r="B2345" s="8">
        <v>43569</v>
      </c>
      <c r="C2345" s="9" t="s">
        <v>4</v>
      </c>
      <c r="D2345" s="10">
        <v>1461.383</v>
      </c>
      <c r="E2345" s="10">
        <v>1509.886</v>
      </c>
      <c r="F2345" t="str">
        <f>VLOOKUP(A2345,StoreLookup,2,FALSE)</f>
        <v>Store#2</v>
      </c>
      <c r="G2345">
        <f>INDEX(CalLookUpTable,MATCH($B2345,CalLookUpRow,0),MATCH(G$1,CalLookUpColumn,0))</f>
        <v>2019</v>
      </c>
      <c r="H2345">
        <f>INDEX(CalLookUpTable,MATCH($B2345,CalLookUpRow,0),MATCH(H$1,CalLookUpColumn,0))</f>
        <v>4</v>
      </c>
      <c r="I2345">
        <f>INDEX(CalLookUpTable,MATCH($B2345,CalLookUpRow,0),MATCH(I$1,CalLookUpColumn,0))</f>
        <v>2</v>
      </c>
    </row>
    <row r="2346" spans="1:9" x14ac:dyDescent="0.25">
      <c r="A2346" s="7">
        <v>2</v>
      </c>
      <c r="B2346" s="8">
        <v>43570</v>
      </c>
      <c r="C2346" s="9" t="s">
        <v>5</v>
      </c>
      <c r="D2346" s="10">
        <v>1083.4949999999999</v>
      </c>
      <c r="E2346" s="10">
        <v>0</v>
      </c>
      <c r="F2346" t="str">
        <f>VLOOKUP(A2346,StoreLookup,2,FALSE)</f>
        <v>Store#2</v>
      </c>
      <c r="G2346">
        <f>INDEX(CalLookUpTable,MATCH($B2346,CalLookUpRow,0),MATCH(G$1,CalLookUpColumn,0))</f>
        <v>2019</v>
      </c>
      <c r="H2346">
        <f>INDEX(CalLookUpTable,MATCH($B2346,CalLookUpRow,0),MATCH(H$1,CalLookUpColumn,0))</f>
        <v>4</v>
      </c>
      <c r="I2346">
        <f>INDEX(CalLookUpTable,MATCH($B2346,CalLookUpRow,0),MATCH(I$1,CalLookUpColumn,0))</f>
        <v>3</v>
      </c>
    </row>
    <row r="2347" spans="1:9" x14ac:dyDescent="0.25">
      <c r="A2347" s="7">
        <v>2</v>
      </c>
      <c r="B2347" s="8">
        <v>43570</v>
      </c>
      <c r="C2347" s="9" t="s">
        <v>6</v>
      </c>
      <c r="D2347" s="10">
        <v>368.02499999999998</v>
      </c>
      <c r="E2347" s="10">
        <v>439.166</v>
      </c>
      <c r="F2347" t="str">
        <f>VLOOKUP(A2347,StoreLookup,2,FALSE)</f>
        <v>Store#2</v>
      </c>
      <c r="G2347">
        <f>INDEX(CalLookUpTable,MATCH($B2347,CalLookUpRow,0),MATCH(G$1,CalLookUpColumn,0))</f>
        <v>2019</v>
      </c>
      <c r="H2347">
        <f>INDEX(CalLookUpTable,MATCH($B2347,CalLookUpRow,0),MATCH(H$1,CalLookUpColumn,0))</f>
        <v>4</v>
      </c>
      <c r="I2347">
        <f>INDEX(CalLookUpTable,MATCH($B2347,CalLookUpRow,0),MATCH(I$1,CalLookUpColumn,0))</f>
        <v>3</v>
      </c>
    </row>
    <row r="2348" spans="1:9" x14ac:dyDescent="0.25">
      <c r="A2348" s="7">
        <v>2</v>
      </c>
      <c r="B2348" s="8">
        <v>43570</v>
      </c>
      <c r="C2348" s="9" t="s">
        <v>4</v>
      </c>
      <c r="D2348" s="10">
        <v>1564.9549999999999</v>
      </c>
      <c r="E2348" s="10">
        <v>1687.3219999999999</v>
      </c>
      <c r="F2348" t="str">
        <f>VLOOKUP(A2348,StoreLookup,2,FALSE)</f>
        <v>Store#2</v>
      </c>
      <c r="G2348">
        <f>INDEX(CalLookUpTable,MATCH($B2348,CalLookUpRow,0),MATCH(G$1,CalLookUpColumn,0))</f>
        <v>2019</v>
      </c>
      <c r="H2348">
        <f>INDEX(CalLookUpTable,MATCH($B2348,CalLookUpRow,0),MATCH(H$1,CalLookUpColumn,0))</f>
        <v>4</v>
      </c>
      <c r="I2348">
        <f>INDEX(CalLookUpTable,MATCH($B2348,CalLookUpRow,0),MATCH(I$1,CalLookUpColumn,0))</f>
        <v>3</v>
      </c>
    </row>
    <row r="2349" spans="1:9" x14ac:dyDescent="0.25">
      <c r="A2349" s="7">
        <v>2</v>
      </c>
      <c r="B2349" s="8">
        <v>43570</v>
      </c>
      <c r="C2349" s="9" t="s">
        <v>3</v>
      </c>
      <c r="D2349" s="10">
        <v>0</v>
      </c>
      <c r="E2349" s="10">
        <v>0</v>
      </c>
      <c r="F2349" t="str">
        <f>VLOOKUP(A2349,StoreLookup,2,FALSE)</f>
        <v>Store#2</v>
      </c>
      <c r="G2349">
        <f>INDEX(CalLookUpTable,MATCH($B2349,CalLookUpRow,0),MATCH(G$1,CalLookUpColumn,0))</f>
        <v>2019</v>
      </c>
      <c r="H2349">
        <f>INDEX(CalLookUpTable,MATCH($B2349,CalLookUpRow,0),MATCH(H$1,CalLookUpColumn,0))</f>
        <v>4</v>
      </c>
      <c r="I2349">
        <f>INDEX(CalLookUpTable,MATCH($B2349,CalLookUpRow,0),MATCH(I$1,CalLookUpColumn,0))</f>
        <v>3</v>
      </c>
    </row>
    <row r="2350" spans="1:9" x14ac:dyDescent="0.25">
      <c r="A2350" s="7">
        <v>2</v>
      </c>
      <c r="B2350" s="8">
        <v>43571</v>
      </c>
      <c r="C2350" s="9" t="s">
        <v>4</v>
      </c>
      <c r="D2350" s="10">
        <v>1991.8219999999999</v>
      </c>
      <c r="E2350" s="10">
        <v>1921.675</v>
      </c>
      <c r="F2350" t="str">
        <f>VLOOKUP(A2350,StoreLookup,2,FALSE)</f>
        <v>Store#2</v>
      </c>
      <c r="G2350">
        <f>INDEX(CalLookUpTable,MATCH($B2350,CalLookUpRow,0),MATCH(G$1,CalLookUpColumn,0))</f>
        <v>2019</v>
      </c>
      <c r="H2350">
        <f>INDEX(CalLookUpTable,MATCH($B2350,CalLookUpRow,0),MATCH(H$1,CalLookUpColumn,0))</f>
        <v>4</v>
      </c>
      <c r="I2350">
        <f>INDEX(CalLookUpTable,MATCH($B2350,CalLookUpRow,0),MATCH(I$1,CalLookUpColumn,0))</f>
        <v>3</v>
      </c>
    </row>
    <row r="2351" spans="1:9" x14ac:dyDescent="0.25">
      <c r="A2351" s="7">
        <v>2</v>
      </c>
      <c r="B2351" s="8">
        <v>43571</v>
      </c>
      <c r="C2351" s="9" t="s">
        <v>5</v>
      </c>
      <c r="D2351" s="10">
        <v>847.74899999999991</v>
      </c>
      <c r="E2351" s="10">
        <v>0</v>
      </c>
      <c r="F2351" t="str">
        <f>VLOOKUP(A2351,StoreLookup,2,FALSE)</f>
        <v>Store#2</v>
      </c>
      <c r="G2351">
        <f>INDEX(CalLookUpTable,MATCH($B2351,CalLookUpRow,0),MATCH(G$1,CalLookUpColumn,0))</f>
        <v>2019</v>
      </c>
      <c r="H2351">
        <f>INDEX(CalLookUpTable,MATCH($B2351,CalLookUpRow,0),MATCH(H$1,CalLookUpColumn,0))</f>
        <v>4</v>
      </c>
      <c r="I2351">
        <f>INDEX(CalLookUpTable,MATCH($B2351,CalLookUpRow,0),MATCH(I$1,CalLookUpColumn,0))</f>
        <v>3</v>
      </c>
    </row>
    <row r="2352" spans="1:9" x14ac:dyDescent="0.25">
      <c r="A2352" s="7">
        <v>2</v>
      </c>
      <c r="B2352" s="8">
        <v>43571</v>
      </c>
      <c r="C2352" s="9" t="s">
        <v>6</v>
      </c>
      <c r="D2352" s="10">
        <v>221.63399999999999</v>
      </c>
      <c r="E2352" s="10">
        <v>382.78800000000001</v>
      </c>
      <c r="F2352" t="str">
        <f>VLOOKUP(A2352,StoreLookup,2,FALSE)</f>
        <v>Store#2</v>
      </c>
      <c r="G2352">
        <f>INDEX(CalLookUpTable,MATCH($B2352,CalLookUpRow,0),MATCH(G$1,CalLookUpColumn,0))</f>
        <v>2019</v>
      </c>
      <c r="H2352">
        <f>INDEX(CalLookUpTable,MATCH($B2352,CalLookUpRow,0),MATCH(H$1,CalLookUpColumn,0))</f>
        <v>4</v>
      </c>
      <c r="I2352">
        <f>INDEX(CalLookUpTable,MATCH($B2352,CalLookUpRow,0),MATCH(I$1,CalLookUpColumn,0))</f>
        <v>3</v>
      </c>
    </row>
    <row r="2353" spans="1:9" x14ac:dyDescent="0.25">
      <c r="A2353" s="7">
        <v>2</v>
      </c>
      <c r="B2353" s="8">
        <v>43571</v>
      </c>
      <c r="C2353" s="9" t="s">
        <v>3</v>
      </c>
      <c r="D2353" s="10">
        <v>0</v>
      </c>
      <c r="E2353" s="10">
        <v>0</v>
      </c>
      <c r="F2353" t="str">
        <f>VLOOKUP(A2353,StoreLookup,2,FALSE)</f>
        <v>Store#2</v>
      </c>
      <c r="G2353">
        <f>INDEX(CalLookUpTable,MATCH($B2353,CalLookUpRow,0),MATCH(G$1,CalLookUpColumn,0))</f>
        <v>2019</v>
      </c>
      <c r="H2353">
        <f>INDEX(CalLookUpTable,MATCH($B2353,CalLookUpRow,0),MATCH(H$1,CalLookUpColumn,0))</f>
        <v>4</v>
      </c>
      <c r="I2353">
        <f>INDEX(CalLookUpTable,MATCH($B2353,CalLookUpRow,0),MATCH(I$1,CalLookUpColumn,0))</f>
        <v>3</v>
      </c>
    </row>
    <row r="2354" spans="1:9" x14ac:dyDescent="0.25">
      <c r="A2354" s="7">
        <v>2</v>
      </c>
      <c r="B2354" s="8">
        <v>43572</v>
      </c>
      <c r="C2354" s="9" t="s">
        <v>5</v>
      </c>
      <c r="D2354" s="10">
        <v>1128.7639999999999</v>
      </c>
      <c r="E2354" s="10">
        <v>0</v>
      </c>
      <c r="F2354" t="str">
        <f>VLOOKUP(A2354,StoreLookup,2,FALSE)</f>
        <v>Store#2</v>
      </c>
      <c r="G2354">
        <f>INDEX(CalLookUpTable,MATCH($B2354,CalLookUpRow,0),MATCH(G$1,CalLookUpColumn,0))</f>
        <v>2019</v>
      </c>
      <c r="H2354">
        <f>INDEX(CalLookUpTable,MATCH($B2354,CalLookUpRow,0),MATCH(H$1,CalLookUpColumn,0))</f>
        <v>4</v>
      </c>
      <c r="I2354">
        <f>INDEX(CalLookUpTable,MATCH($B2354,CalLookUpRow,0),MATCH(I$1,CalLookUpColumn,0))</f>
        <v>3</v>
      </c>
    </row>
    <row r="2355" spans="1:9" x14ac:dyDescent="0.25">
      <c r="A2355" s="7">
        <v>2</v>
      </c>
      <c r="B2355" s="8">
        <v>43572</v>
      </c>
      <c r="C2355" s="9" t="s">
        <v>4</v>
      </c>
      <c r="D2355" s="10">
        <v>1696.933</v>
      </c>
      <c r="E2355" s="10">
        <v>2065.63</v>
      </c>
      <c r="F2355" t="str">
        <f>VLOOKUP(A2355,StoreLookup,2,FALSE)</f>
        <v>Store#2</v>
      </c>
      <c r="G2355">
        <f>INDEX(CalLookUpTable,MATCH($B2355,CalLookUpRow,0),MATCH(G$1,CalLookUpColumn,0))</f>
        <v>2019</v>
      </c>
      <c r="H2355">
        <f>INDEX(CalLookUpTable,MATCH($B2355,CalLookUpRow,0),MATCH(H$1,CalLookUpColumn,0))</f>
        <v>4</v>
      </c>
      <c r="I2355">
        <f>INDEX(CalLookUpTable,MATCH($B2355,CalLookUpRow,0),MATCH(I$1,CalLookUpColumn,0))</f>
        <v>3</v>
      </c>
    </row>
    <row r="2356" spans="1:9" x14ac:dyDescent="0.25">
      <c r="A2356" s="7">
        <v>2</v>
      </c>
      <c r="B2356" s="8">
        <v>43572</v>
      </c>
      <c r="C2356" s="9" t="s">
        <v>3</v>
      </c>
      <c r="D2356" s="10">
        <v>356.95799999999997</v>
      </c>
      <c r="E2356" s="10">
        <v>161.54599999999999</v>
      </c>
      <c r="F2356" t="str">
        <f>VLOOKUP(A2356,StoreLookup,2,FALSE)</f>
        <v>Store#2</v>
      </c>
      <c r="G2356">
        <f>INDEX(CalLookUpTable,MATCH($B2356,CalLookUpRow,0),MATCH(G$1,CalLookUpColumn,0))</f>
        <v>2019</v>
      </c>
      <c r="H2356">
        <f>INDEX(CalLookUpTable,MATCH($B2356,CalLookUpRow,0),MATCH(H$1,CalLookUpColumn,0))</f>
        <v>4</v>
      </c>
      <c r="I2356">
        <f>INDEX(CalLookUpTable,MATCH($B2356,CalLookUpRow,0),MATCH(I$1,CalLookUpColumn,0))</f>
        <v>3</v>
      </c>
    </row>
    <row r="2357" spans="1:9" x14ac:dyDescent="0.25">
      <c r="A2357" s="7">
        <v>2</v>
      </c>
      <c r="B2357" s="8">
        <v>43572</v>
      </c>
      <c r="C2357" s="9" t="s">
        <v>6</v>
      </c>
      <c r="D2357" s="10">
        <v>322.26599999999996</v>
      </c>
      <c r="E2357" s="10">
        <v>283.27600000000001</v>
      </c>
      <c r="F2357" t="str">
        <f>VLOOKUP(A2357,StoreLookup,2,FALSE)</f>
        <v>Store#2</v>
      </c>
      <c r="G2357">
        <f>INDEX(CalLookUpTable,MATCH($B2357,CalLookUpRow,0),MATCH(G$1,CalLookUpColumn,0))</f>
        <v>2019</v>
      </c>
      <c r="H2357">
        <f>INDEX(CalLookUpTable,MATCH($B2357,CalLookUpRow,0),MATCH(H$1,CalLookUpColumn,0))</f>
        <v>4</v>
      </c>
      <c r="I2357">
        <f>INDEX(CalLookUpTable,MATCH($B2357,CalLookUpRow,0),MATCH(I$1,CalLookUpColumn,0))</f>
        <v>3</v>
      </c>
    </row>
    <row r="2358" spans="1:9" x14ac:dyDescent="0.25">
      <c r="A2358" s="7">
        <v>2</v>
      </c>
      <c r="B2358" s="8">
        <v>43573</v>
      </c>
      <c r="C2358" s="9" t="s">
        <v>5</v>
      </c>
      <c r="D2358" s="10">
        <v>1120.2729999999999</v>
      </c>
      <c r="E2358" s="10">
        <v>0</v>
      </c>
      <c r="F2358" t="str">
        <f>VLOOKUP(A2358,StoreLookup,2,FALSE)</f>
        <v>Store#2</v>
      </c>
      <c r="G2358">
        <f>INDEX(CalLookUpTable,MATCH($B2358,CalLookUpRow,0),MATCH(G$1,CalLookUpColumn,0))</f>
        <v>2019</v>
      </c>
      <c r="H2358">
        <f>INDEX(CalLookUpTable,MATCH($B2358,CalLookUpRow,0),MATCH(H$1,CalLookUpColumn,0))</f>
        <v>4</v>
      </c>
      <c r="I2358">
        <f>INDEX(CalLookUpTable,MATCH($B2358,CalLookUpRow,0),MATCH(I$1,CalLookUpColumn,0))</f>
        <v>3</v>
      </c>
    </row>
    <row r="2359" spans="1:9" x14ac:dyDescent="0.25">
      <c r="A2359" s="7">
        <v>2</v>
      </c>
      <c r="B2359" s="8">
        <v>43573</v>
      </c>
      <c r="C2359" s="9" t="s">
        <v>4</v>
      </c>
      <c r="D2359" s="10">
        <v>1921.1219999999998</v>
      </c>
      <c r="E2359" s="10">
        <v>2455.3829999999998</v>
      </c>
      <c r="F2359" t="str">
        <f>VLOOKUP(A2359,StoreLookup,2,FALSE)</f>
        <v>Store#2</v>
      </c>
      <c r="G2359">
        <f>INDEX(CalLookUpTable,MATCH($B2359,CalLookUpRow,0),MATCH(G$1,CalLookUpColumn,0))</f>
        <v>2019</v>
      </c>
      <c r="H2359">
        <f>INDEX(CalLookUpTable,MATCH($B2359,CalLookUpRow,0),MATCH(H$1,CalLookUpColumn,0))</f>
        <v>4</v>
      </c>
      <c r="I2359">
        <f>INDEX(CalLookUpTable,MATCH($B2359,CalLookUpRow,0),MATCH(I$1,CalLookUpColumn,0))</f>
        <v>3</v>
      </c>
    </row>
    <row r="2360" spans="1:9" x14ac:dyDescent="0.25">
      <c r="A2360" s="7">
        <v>2</v>
      </c>
      <c r="B2360" s="8">
        <v>43573</v>
      </c>
      <c r="C2360" s="9" t="s">
        <v>3</v>
      </c>
      <c r="D2360" s="10">
        <v>0</v>
      </c>
      <c r="E2360" s="10">
        <v>0</v>
      </c>
      <c r="F2360" t="str">
        <f>VLOOKUP(A2360,StoreLookup,2,FALSE)</f>
        <v>Store#2</v>
      </c>
      <c r="G2360">
        <f>INDEX(CalLookUpTable,MATCH($B2360,CalLookUpRow,0),MATCH(G$1,CalLookUpColumn,0))</f>
        <v>2019</v>
      </c>
      <c r="H2360">
        <f>INDEX(CalLookUpTable,MATCH($B2360,CalLookUpRow,0),MATCH(H$1,CalLookUpColumn,0))</f>
        <v>4</v>
      </c>
      <c r="I2360">
        <f>INDEX(CalLookUpTable,MATCH($B2360,CalLookUpRow,0),MATCH(I$1,CalLookUpColumn,0))</f>
        <v>3</v>
      </c>
    </row>
    <row r="2361" spans="1:9" x14ac:dyDescent="0.25">
      <c r="A2361" s="7">
        <v>2</v>
      </c>
      <c r="B2361" s="8">
        <v>43573</v>
      </c>
      <c r="C2361" s="9" t="s">
        <v>6</v>
      </c>
      <c r="D2361" s="10">
        <v>473.88599999999997</v>
      </c>
      <c r="E2361" s="10">
        <v>501.03199999999998</v>
      </c>
      <c r="F2361" t="str">
        <f>VLOOKUP(A2361,StoreLookup,2,FALSE)</f>
        <v>Store#2</v>
      </c>
      <c r="G2361">
        <f>INDEX(CalLookUpTable,MATCH($B2361,CalLookUpRow,0),MATCH(G$1,CalLookUpColumn,0))</f>
        <v>2019</v>
      </c>
      <c r="H2361">
        <f>INDEX(CalLookUpTable,MATCH($B2361,CalLookUpRow,0),MATCH(H$1,CalLookUpColumn,0))</f>
        <v>4</v>
      </c>
      <c r="I2361">
        <f>INDEX(CalLookUpTable,MATCH($B2361,CalLookUpRow,0),MATCH(I$1,CalLookUpColumn,0))</f>
        <v>3</v>
      </c>
    </row>
    <row r="2362" spans="1:9" x14ac:dyDescent="0.25">
      <c r="A2362" s="7">
        <v>2</v>
      </c>
      <c r="B2362" s="8">
        <v>43574</v>
      </c>
      <c r="C2362" s="9" t="s">
        <v>5</v>
      </c>
      <c r="D2362" s="10">
        <v>1444.2469999999998</v>
      </c>
      <c r="E2362" s="10">
        <v>0</v>
      </c>
      <c r="F2362" t="str">
        <f>VLOOKUP(A2362,StoreLookup,2,FALSE)</f>
        <v>Store#2</v>
      </c>
      <c r="G2362">
        <f>INDEX(CalLookUpTable,MATCH($B2362,CalLookUpRow,0),MATCH(G$1,CalLookUpColumn,0))</f>
        <v>2019</v>
      </c>
      <c r="H2362">
        <f>INDEX(CalLookUpTable,MATCH($B2362,CalLookUpRow,0),MATCH(H$1,CalLookUpColumn,0))</f>
        <v>4</v>
      </c>
      <c r="I2362">
        <f>INDEX(CalLookUpTable,MATCH($B2362,CalLookUpRow,0),MATCH(I$1,CalLookUpColumn,0))</f>
        <v>3</v>
      </c>
    </row>
    <row r="2363" spans="1:9" x14ac:dyDescent="0.25">
      <c r="A2363" s="7">
        <v>2</v>
      </c>
      <c r="B2363" s="8">
        <v>43574</v>
      </c>
      <c r="C2363" s="9" t="s">
        <v>6</v>
      </c>
      <c r="D2363" s="10">
        <v>366.47099999999995</v>
      </c>
      <c r="E2363" s="10">
        <v>729.7639999999999</v>
      </c>
      <c r="F2363" t="str">
        <f>VLOOKUP(A2363,StoreLookup,2,FALSE)</f>
        <v>Store#2</v>
      </c>
      <c r="G2363">
        <f>INDEX(CalLookUpTable,MATCH($B2363,CalLookUpRow,0),MATCH(G$1,CalLookUpColumn,0))</f>
        <v>2019</v>
      </c>
      <c r="H2363">
        <f>INDEX(CalLookUpTable,MATCH($B2363,CalLookUpRow,0),MATCH(H$1,CalLookUpColumn,0))</f>
        <v>4</v>
      </c>
      <c r="I2363">
        <f>INDEX(CalLookUpTable,MATCH($B2363,CalLookUpRow,0),MATCH(I$1,CalLookUpColumn,0))</f>
        <v>3</v>
      </c>
    </row>
    <row r="2364" spans="1:9" x14ac:dyDescent="0.25">
      <c r="A2364" s="7">
        <v>2</v>
      </c>
      <c r="B2364" s="8">
        <v>43574</v>
      </c>
      <c r="C2364" s="9" t="s">
        <v>3</v>
      </c>
      <c r="D2364" s="10">
        <v>41.873999999999995</v>
      </c>
      <c r="E2364" s="10">
        <v>0</v>
      </c>
      <c r="F2364" t="str">
        <f>VLOOKUP(A2364,StoreLookup,2,FALSE)</f>
        <v>Store#2</v>
      </c>
      <c r="G2364">
        <f>INDEX(CalLookUpTable,MATCH($B2364,CalLookUpRow,0),MATCH(G$1,CalLookUpColumn,0))</f>
        <v>2019</v>
      </c>
      <c r="H2364">
        <f>INDEX(CalLookUpTable,MATCH($B2364,CalLookUpRow,0),MATCH(H$1,CalLookUpColumn,0))</f>
        <v>4</v>
      </c>
      <c r="I2364">
        <f>INDEX(CalLookUpTable,MATCH($B2364,CalLookUpRow,0),MATCH(I$1,CalLookUpColumn,0))</f>
        <v>3</v>
      </c>
    </row>
    <row r="2365" spans="1:9" x14ac:dyDescent="0.25">
      <c r="A2365" s="7">
        <v>2</v>
      </c>
      <c r="B2365" s="8">
        <v>43574</v>
      </c>
      <c r="C2365" s="9" t="s">
        <v>4</v>
      </c>
      <c r="D2365" s="10">
        <v>2373.8049999999998</v>
      </c>
      <c r="E2365" s="10">
        <v>3035.6619999999998</v>
      </c>
      <c r="F2365" t="str">
        <f>VLOOKUP(A2365,StoreLookup,2,FALSE)</f>
        <v>Store#2</v>
      </c>
      <c r="G2365">
        <f>INDEX(CalLookUpTable,MATCH($B2365,CalLookUpRow,0),MATCH(G$1,CalLookUpColumn,0))</f>
        <v>2019</v>
      </c>
      <c r="H2365">
        <f>INDEX(CalLookUpTable,MATCH($B2365,CalLookUpRow,0),MATCH(H$1,CalLookUpColumn,0))</f>
        <v>4</v>
      </c>
      <c r="I2365">
        <f>INDEX(CalLookUpTable,MATCH($B2365,CalLookUpRow,0),MATCH(I$1,CalLookUpColumn,0))</f>
        <v>3</v>
      </c>
    </row>
    <row r="2366" spans="1:9" x14ac:dyDescent="0.25">
      <c r="A2366" s="7">
        <v>2</v>
      </c>
      <c r="B2366" s="8">
        <v>43575</v>
      </c>
      <c r="C2366" s="9" t="s">
        <v>5</v>
      </c>
      <c r="D2366" s="10">
        <v>1001.1959999999999</v>
      </c>
      <c r="E2366" s="10">
        <v>0</v>
      </c>
      <c r="F2366" t="str">
        <f>VLOOKUP(A2366,StoreLookup,2,FALSE)</f>
        <v>Store#2</v>
      </c>
      <c r="G2366">
        <f>INDEX(CalLookUpTable,MATCH($B2366,CalLookUpRow,0),MATCH(G$1,CalLookUpColumn,0))</f>
        <v>2019</v>
      </c>
      <c r="H2366">
        <f>INDEX(CalLookUpTable,MATCH($B2366,CalLookUpRow,0),MATCH(H$1,CalLookUpColumn,0))</f>
        <v>4</v>
      </c>
      <c r="I2366">
        <f>INDEX(CalLookUpTable,MATCH($B2366,CalLookUpRow,0),MATCH(I$1,CalLookUpColumn,0))</f>
        <v>3</v>
      </c>
    </row>
    <row r="2367" spans="1:9" x14ac:dyDescent="0.25">
      <c r="A2367" s="7">
        <v>2</v>
      </c>
      <c r="B2367" s="8">
        <v>43575</v>
      </c>
      <c r="C2367" s="9" t="s">
        <v>4</v>
      </c>
      <c r="D2367" s="10">
        <v>2355.3809999999999</v>
      </c>
      <c r="E2367" s="10">
        <v>2646.364</v>
      </c>
      <c r="F2367" t="str">
        <f>VLOOKUP(A2367,StoreLookup,2,FALSE)</f>
        <v>Store#2</v>
      </c>
      <c r="G2367">
        <f>INDEX(CalLookUpTable,MATCH($B2367,CalLookUpRow,0),MATCH(G$1,CalLookUpColumn,0))</f>
        <v>2019</v>
      </c>
      <c r="H2367">
        <f>INDEX(CalLookUpTable,MATCH($B2367,CalLookUpRow,0),MATCH(H$1,CalLookUpColumn,0))</f>
        <v>4</v>
      </c>
      <c r="I2367">
        <f>INDEX(CalLookUpTable,MATCH($B2367,CalLookUpRow,0),MATCH(I$1,CalLookUpColumn,0))</f>
        <v>3</v>
      </c>
    </row>
    <row r="2368" spans="1:9" x14ac:dyDescent="0.25">
      <c r="A2368" s="7">
        <v>2</v>
      </c>
      <c r="B2368" s="8">
        <v>43575</v>
      </c>
      <c r="C2368" s="9" t="s">
        <v>3</v>
      </c>
      <c r="D2368" s="10">
        <v>0</v>
      </c>
      <c r="E2368" s="10">
        <v>0</v>
      </c>
      <c r="F2368" t="str">
        <f>VLOOKUP(A2368,StoreLookup,2,FALSE)</f>
        <v>Store#2</v>
      </c>
      <c r="G2368">
        <f>INDEX(CalLookUpTable,MATCH($B2368,CalLookUpRow,0),MATCH(G$1,CalLookUpColumn,0))</f>
        <v>2019</v>
      </c>
      <c r="H2368">
        <f>INDEX(CalLookUpTable,MATCH($B2368,CalLookUpRow,0),MATCH(H$1,CalLookUpColumn,0))</f>
        <v>4</v>
      </c>
      <c r="I2368">
        <f>INDEX(CalLookUpTable,MATCH($B2368,CalLookUpRow,0),MATCH(I$1,CalLookUpColumn,0))</f>
        <v>3</v>
      </c>
    </row>
    <row r="2369" spans="1:9" x14ac:dyDescent="0.25">
      <c r="A2369" s="7">
        <v>2</v>
      </c>
      <c r="B2369" s="8">
        <v>43575</v>
      </c>
      <c r="C2369" s="9" t="s">
        <v>6</v>
      </c>
      <c r="D2369" s="10">
        <v>340.68299999999999</v>
      </c>
      <c r="E2369" s="10">
        <v>243.71899999999999</v>
      </c>
      <c r="F2369" t="str">
        <f>VLOOKUP(A2369,StoreLookup,2,FALSE)</f>
        <v>Store#2</v>
      </c>
      <c r="G2369">
        <f>INDEX(CalLookUpTable,MATCH($B2369,CalLookUpRow,0),MATCH(G$1,CalLookUpColumn,0))</f>
        <v>2019</v>
      </c>
      <c r="H2369">
        <f>INDEX(CalLookUpTable,MATCH($B2369,CalLookUpRow,0),MATCH(H$1,CalLookUpColumn,0))</f>
        <v>4</v>
      </c>
      <c r="I2369">
        <f>INDEX(CalLookUpTable,MATCH($B2369,CalLookUpRow,0),MATCH(I$1,CalLookUpColumn,0))</f>
        <v>3</v>
      </c>
    </row>
    <row r="2370" spans="1:9" x14ac:dyDescent="0.25">
      <c r="A2370" s="7">
        <v>2</v>
      </c>
      <c r="B2370" s="8">
        <v>43576</v>
      </c>
      <c r="C2370" s="9" t="s">
        <v>6</v>
      </c>
      <c r="D2370" s="10">
        <v>190.86199999999999</v>
      </c>
      <c r="E2370" s="10">
        <v>351.59599999999995</v>
      </c>
      <c r="F2370" t="str">
        <f>VLOOKUP(A2370,StoreLookup,2,FALSE)</f>
        <v>Store#2</v>
      </c>
      <c r="G2370">
        <f>INDEX(CalLookUpTable,MATCH($B2370,CalLookUpRow,0),MATCH(G$1,CalLookUpColumn,0))</f>
        <v>2019</v>
      </c>
      <c r="H2370">
        <f>INDEX(CalLookUpTable,MATCH($B2370,CalLookUpRow,0),MATCH(H$1,CalLookUpColumn,0))</f>
        <v>4</v>
      </c>
      <c r="I2370">
        <f>INDEX(CalLookUpTable,MATCH($B2370,CalLookUpRow,0),MATCH(I$1,CalLookUpColumn,0))</f>
        <v>3</v>
      </c>
    </row>
    <row r="2371" spans="1:9" x14ac:dyDescent="0.25">
      <c r="A2371" s="7">
        <v>2</v>
      </c>
      <c r="B2371" s="8">
        <v>43576</v>
      </c>
      <c r="C2371" s="9" t="s">
        <v>4</v>
      </c>
      <c r="D2371" s="10">
        <v>1219.729</v>
      </c>
      <c r="E2371" s="10">
        <v>1451.828</v>
      </c>
      <c r="F2371" t="str">
        <f>VLOOKUP(A2371,StoreLookup,2,FALSE)</f>
        <v>Store#2</v>
      </c>
      <c r="G2371">
        <f>INDEX(CalLookUpTable,MATCH($B2371,CalLookUpRow,0),MATCH(G$1,CalLookUpColumn,0))</f>
        <v>2019</v>
      </c>
      <c r="H2371">
        <f>INDEX(CalLookUpTable,MATCH($B2371,CalLookUpRow,0),MATCH(H$1,CalLookUpColumn,0))</f>
        <v>4</v>
      </c>
      <c r="I2371">
        <f>INDEX(CalLookUpTable,MATCH($B2371,CalLookUpRow,0),MATCH(I$1,CalLookUpColumn,0))</f>
        <v>3</v>
      </c>
    </row>
    <row r="2372" spans="1:9" x14ac:dyDescent="0.25">
      <c r="A2372" s="7">
        <v>2</v>
      </c>
      <c r="B2372" s="8">
        <v>43576</v>
      </c>
      <c r="C2372" s="9" t="s">
        <v>3</v>
      </c>
      <c r="D2372" s="10">
        <v>0</v>
      </c>
      <c r="E2372" s="10">
        <v>0</v>
      </c>
      <c r="F2372" t="str">
        <f>VLOOKUP(A2372,StoreLookup,2,FALSE)</f>
        <v>Store#2</v>
      </c>
      <c r="G2372">
        <f>INDEX(CalLookUpTable,MATCH($B2372,CalLookUpRow,0),MATCH(G$1,CalLookUpColumn,0))</f>
        <v>2019</v>
      </c>
      <c r="H2372">
        <f>INDEX(CalLookUpTable,MATCH($B2372,CalLookUpRow,0),MATCH(H$1,CalLookUpColumn,0))</f>
        <v>4</v>
      </c>
      <c r="I2372">
        <f>INDEX(CalLookUpTable,MATCH($B2372,CalLookUpRow,0),MATCH(I$1,CalLookUpColumn,0))</f>
        <v>3</v>
      </c>
    </row>
    <row r="2373" spans="1:9" x14ac:dyDescent="0.25">
      <c r="A2373" s="7">
        <v>2</v>
      </c>
      <c r="B2373" s="8">
        <v>43576</v>
      </c>
      <c r="C2373" s="9" t="s">
        <v>5</v>
      </c>
      <c r="D2373" s="10">
        <v>564.94899999999996</v>
      </c>
      <c r="E2373" s="10">
        <v>0</v>
      </c>
      <c r="F2373" t="str">
        <f>VLOOKUP(A2373,StoreLookup,2,FALSE)</f>
        <v>Store#2</v>
      </c>
      <c r="G2373">
        <f>INDEX(CalLookUpTable,MATCH($B2373,CalLookUpRow,0),MATCH(G$1,CalLookUpColumn,0))</f>
        <v>2019</v>
      </c>
      <c r="H2373">
        <f>INDEX(CalLookUpTable,MATCH($B2373,CalLookUpRow,0),MATCH(H$1,CalLookUpColumn,0))</f>
        <v>4</v>
      </c>
      <c r="I2373">
        <f>INDEX(CalLookUpTable,MATCH($B2373,CalLookUpRow,0),MATCH(I$1,CalLookUpColumn,0))</f>
        <v>3</v>
      </c>
    </row>
    <row r="2374" spans="1:9" x14ac:dyDescent="0.25">
      <c r="A2374" s="7">
        <v>2</v>
      </c>
      <c r="B2374" s="8">
        <v>43577</v>
      </c>
      <c r="C2374" s="9" t="s">
        <v>6</v>
      </c>
      <c r="D2374" s="10">
        <v>140.66499999999999</v>
      </c>
      <c r="E2374" s="10">
        <v>395.17799999999994</v>
      </c>
      <c r="F2374" t="str">
        <f>VLOOKUP(A2374,StoreLookup,2,FALSE)</f>
        <v>Store#2</v>
      </c>
      <c r="G2374">
        <f>INDEX(CalLookUpTable,MATCH($B2374,CalLookUpRow,0),MATCH(G$1,CalLookUpColumn,0))</f>
        <v>2019</v>
      </c>
      <c r="H2374">
        <f>INDEX(CalLookUpTable,MATCH($B2374,CalLookUpRow,0),MATCH(H$1,CalLookUpColumn,0))</f>
        <v>4</v>
      </c>
      <c r="I2374">
        <f>INDEX(CalLookUpTable,MATCH($B2374,CalLookUpRow,0),MATCH(I$1,CalLookUpColumn,0))</f>
        <v>4</v>
      </c>
    </row>
    <row r="2375" spans="1:9" x14ac:dyDescent="0.25">
      <c r="A2375" s="7">
        <v>2</v>
      </c>
      <c r="B2375" s="8">
        <v>43577</v>
      </c>
      <c r="C2375" s="9" t="s">
        <v>4</v>
      </c>
      <c r="D2375" s="10">
        <v>2089.605</v>
      </c>
      <c r="E2375" s="10">
        <v>1699.5369999999998</v>
      </c>
      <c r="F2375" t="str">
        <f>VLOOKUP(A2375,StoreLookup,2,FALSE)</f>
        <v>Store#2</v>
      </c>
      <c r="G2375">
        <f>INDEX(CalLookUpTable,MATCH($B2375,CalLookUpRow,0),MATCH(G$1,CalLookUpColumn,0))</f>
        <v>2019</v>
      </c>
      <c r="H2375">
        <f>INDEX(CalLookUpTable,MATCH($B2375,CalLookUpRow,0),MATCH(H$1,CalLookUpColumn,0))</f>
        <v>4</v>
      </c>
      <c r="I2375">
        <f>INDEX(CalLookUpTable,MATCH($B2375,CalLookUpRow,0),MATCH(I$1,CalLookUpColumn,0))</f>
        <v>4</v>
      </c>
    </row>
    <row r="2376" spans="1:9" x14ac:dyDescent="0.25">
      <c r="A2376" s="7">
        <v>2</v>
      </c>
      <c r="B2376" s="8">
        <v>43577</v>
      </c>
      <c r="C2376" s="9" t="s">
        <v>5</v>
      </c>
      <c r="D2376" s="10">
        <v>1007.972</v>
      </c>
      <c r="E2376" s="10">
        <v>0</v>
      </c>
      <c r="F2376" t="str">
        <f>VLOOKUP(A2376,StoreLookup,2,FALSE)</f>
        <v>Store#2</v>
      </c>
      <c r="G2376">
        <f>INDEX(CalLookUpTable,MATCH($B2376,CalLookUpRow,0),MATCH(G$1,CalLookUpColumn,0))</f>
        <v>2019</v>
      </c>
      <c r="H2376">
        <f>INDEX(CalLookUpTable,MATCH($B2376,CalLookUpRow,0),MATCH(H$1,CalLookUpColumn,0))</f>
        <v>4</v>
      </c>
      <c r="I2376">
        <f>INDEX(CalLookUpTable,MATCH($B2376,CalLookUpRow,0),MATCH(I$1,CalLookUpColumn,0))</f>
        <v>4</v>
      </c>
    </row>
    <row r="2377" spans="1:9" x14ac:dyDescent="0.25">
      <c r="A2377" s="7">
        <v>2</v>
      </c>
      <c r="B2377" s="8">
        <v>43577</v>
      </c>
      <c r="C2377" s="9" t="s">
        <v>3</v>
      </c>
      <c r="D2377" s="10">
        <v>0</v>
      </c>
      <c r="E2377" s="10">
        <v>0</v>
      </c>
      <c r="F2377" t="str">
        <f>VLOOKUP(A2377,StoreLookup,2,FALSE)</f>
        <v>Store#2</v>
      </c>
      <c r="G2377">
        <f>INDEX(CalLookUpTable,MATCH($B2377,CalLookUpRow,0),MATCH(G$1,CalLookUpColumn,0))</f>
        <v>2019</v>
      </c>
      <c r="H2377">
        <f>INDEX(CalLookUpTable,MATCH($B2377,CalLookUpRow,0),MATCH(H$1,CalLookUpColumn,0))</f>
        <v>4</v>
      </c>
      <c r="I2377">
        <f>INDEX(CalLookUpTable,MATCH($B2377,CalLookUpRow,0),MATCH(I$1,CalLookUpColumn,0))</f>
        <v>4</v>
      </c>
    </row>
    <row r="2378" spans="1:9" x14ac:dyDescent="0.25">
      <c r="A2378" s="7">
        <v>2</v>
      </c>
      <c r="B2378" s="8">
        <v>43578</v>
      </c>
      <c r="C2378" s="9" t="s">
        <v>6</v>
      </c>
      <c r="D2378" s="10">
        <v>188.53099999999998</v>
      </c>
      <c r="E2378" s="10">
        <v>283.30399999999997</v>
      </c>
      <c r="F2378" t="str">
        <f>VLOOKUP(A2378,StoreLookup,2,FALSE)</f>
        <v>Store#2</v>
      </c>
      <c r="G2378">
        <f>INDEX(CalLookUpTable,MATCH($B2378,CalLookUpRow,0),MATCH(G$1,CalLookUpColumn,0))</f>
        <v>2019</v>
      </c>
      <c r="H2378">
        <f>INDEX(CalLookUpTable,MATCH($B2378,CalLookUpRow,0),MATCH(H$1,CalLookUpColumn,0))</f>
        <v>4</v>
      </c>
      <c r="I2378">
        <f>INDEX(CalLookUpTable,MATCH($B2378,CalLookUpRow,0),MATCH(I$1,CalLookUpColumn,0))</f>
        <v>4</v>
      </c>
    </row>
    <row r="2379" spans="1:9" x14ac:dyDescent="0.25">
      <c r="A2379" s="7">
        <v>2</v>
      </c>
      <c r="B2379" s="8">
        <v>43578</v>
      </c>
      <c r="C2379" s="9" t="s">
        <v>4</v>
      </c>
      <c r="D2379" s="10">
        <v>1826.6149999999998</v>
      </c>
      <c r="E2379" s="10">
        <v>2115.547</v>
      </c>
      <c r="F2379" t="str">
        <f>VLOOKUP(A2379,StoreLookup,2,FALSE)</f>
        <v>Store#2</v>
      </c>
      <c r="G2379">
        <f>INDEX(CalLookUpTable,MATCH($B2379,CalLookUpRow,0),MATCH(G$1,CalLookUpColumn,0))</f>
        <v>2019</v>
      </c>
      <c r="H2379">
        <f>INDEX(CalLookUpTable,MATCH($B2379,CalLookUpRow,0),MATCH(H$1,CalLookUpColumn,0))</f>
        <v>4</v>
      </c>
      <c r="I2379">
        <f>INDEX(CalLookUpTable,MATCH($B2379,CalLookUpRow,0),MATCH(I$1,CalLookUpColumn,0))</f>
        <v>4</v>
      </c>
    </row>
    <row r="2380" spans="1:9" x14ac:dyDescent="0.25">
      <c r="A2380" s="7">
        <v>2</v>
      </c>
      <c r="B2380" s="8">
        <v>43578</v>
      </c>
      <c r="C2380" s="9" t="s">
        <v>3</v>
      </c>
      <c r="D2380" s="10">
        <v>263.02499999999998</v>
      </c>
      <c r="E2380" s="10">
        <v>242.31899999999999</v>
      </c>
      <c r="F2380" t="str">
        <f>VLOOKUP(A2380,StoreLookup,2,FALSE)</f>
        <v>Store#2</v>
      </c>
      <c r="G2380">
        <f>INDEX(CalLookUpTable,MATCH($B2380,CalLookUpRow,0),MATCH(G$1,CalLookUpColumn,0))</f>
        <v>2019</v>
      </c>
      <c r="H2380">
        <f>INDEX(CalLookUpTable,MATCH($B2380,CalLookUpRow,0),MATCH(H$1,CalLookUpColumn,0))</f>
        <v>4</v>
      </c>
      <c r="I2380">
        <f>INDEX(CalLookUpTable,MATCH($B2380,CalLookUpRow,0),MATCH(I$1,CalLookUpColumn,0))</f>
        <v>4</v>
      </c>
    </row>
    <row r="2381" spans="1:9" x14ac:dyDescent="0.25">
      <c r="A2381" s="7">
        <v>2</v>
      </c>
      <c r="B2381" s="8">
        <v>43578</v>
      </c>
      <c r="C2381" s="9" t="s">
        <v>5</v>
      </c>
      <c r="D2381" s="10">
        <v>877.56200000000001</v>
      </c>
      <c r="E2381" s="10">
        <v>0</v>
      </c>
      <c r="F2381" t="str">
        <f>VLOOKUP(A2381,StoreLookup,2,FALSE)</f>
        <v>Store#2</v>
      </c>
      <c r="G2381">
        <f>INDEX(CalLookUpTable,MATCH($B2381,CalLookUpRow,0),MATCH(G$1,CalLookUpColumn,0))</f>
        <v>2019</v>
      </c>
      <c r="H2381">
        <f>INDEX(CalLookUpTable,MATCH($B2381,CalLookUpRow,0),MATCH(H$1,CalLookUpColumn,0))</f>
        <v>4</v>
      </c>
      <c r="I2381">
        <f>INDEX(CalLookUpTable,MATCH($B2381,CalLookUpRow,0),MATCH(I$1,CalLookUpColumn,0))</f>
        <v>4</v>
      </c>
    </row>
    <row r="2382" spans="1:9" x14ac:dyDescent="0.25">
      <c r="A2382" s="7">
        <v>2</v>
      </c>
      <c r="B2382" s="8">
        <v>43579</v>
      </c>
      <c r="C2382" s="9" t="s">
        <v>4</v>
      </c>
      <c r="D2382" s="10">
        <v>1721.93</v>
      </c>
      <c r="E2382" s="10">
        <v>2280.9289999999996</v>
      </c>
      <c r="F2382" t="str">
        <f>VLOOKUP(A2382,StoreLookup,2,FALSE)</f>
        <v>Store#2</v>
      </c>
      <c r="G2382">
        <f>INDEX(CalLookUpTable,MATCH($B2382,CalLookUpRow,0),MATCH(G$1,CalLookUpColumn,0))</f>
        <v>2019</v>
      </c>
      <c r="H2382">
        <f>INDEX(CalLookUpTable,MATCH($B2382,CalLookUpRow,0),MATCH(H$1,CalLookUpColumn,0))</f>
        <v>4</v>
      </c>
      <c r="I2382">
        <f>INDEX(CalLookUpTable,MATCH($B2382,CalLookUpRow,0),MATCH(I$1,CalLookUpColumn,0))</f>
        <v>4</v>
      </c>
    </row>
    <row r="2383" spans="1:9" x14ac:dyDescent="0.25">
      <c r="A2383" s="7">
        <v>2</v>
      </c>
      <c r="B2383" s="8">
        <v>43579</v>
      </c>
      <c r="C2383" s="9" t="s">
        <v>5</v>
      </c>
      <c r="D2383" s="10">
        <v>1158.8429999999998</v>
      </c>
      <c r="E2383" s="10">
        <v>0</v>
      </c>
      <c r="F2383" t="str">
        <f>VLOOKUP(A2383,StoreLookup,2,FALSE)</f>
        <v>Store#2</v>
      </c>
      <c r="G2383">
        <f>INDEX(CalLookUpTable,MATCH($B2383,CalLookUpRow,0),MATCH(G$1,CalLookUpColumn,0))</f>
        <v>2019</v>
      </c>
      <c r="H2383">
        <f>INDEX(CalLookUpTable,MATCH($B2383,CalLookUpRow,0),MATCH(H$1,CalLookUpColumn,0))</f>
        <v>4</v>
      </c>
      <c r="I2383">
        <f>INDEX(CalLookUpTable,MATCH($B2383,CalLookUpRow,0),MATCH(I$1,CalLookUpColumn,0))</f>
        <v>4</v>
      </c>
    </row>
    <row r="2384" spans="1:9" x14ac:dyDescent="0.25">
      <c r="A2384" s="7">
        <v>2</v>
      </c>
      <c r="B2384" s="8">
        <v>43579</v>
      </c>
      <c r="C2384" s="9" t="s">
        <v>6</v>
      </c>
      <c r="D2384" s="10">
        <v>264.36899999999997</v>
      </c>
      <c r="E2384" s="10">
        <v>378.74199999999996</v>
      </c>
      <c r="F2384" t="str">
        <f>VLOOKUP(A2384,StoreLookup,2,FALSE)</f>
        <v>Store#2</v>
      </c>
      <c r="G2384">
        <f>INDEX(CalLookUpTable,MATCH($B2384,CalLookUpRow,0),MATCH(G$1,CalLookUpColumn,0))</f>
        <v>2019</v>
      </c>
      <c r="H2384">
        <f>INDEX(CalLookUpTable,MATCH($B2384,CalLookUpRow,0),MATCH(H$1,CalLookUpColumn,0))</f>
        <v>4</v>
      </c>
      <c r="I2384">
        <f>INDEX(CalLookUpTable,MATCH($B2384,CalLookUpRow,0),MATCH(I$1,CalLookUpColumn,0))</f>
        <v>4</v>
      </c>
    </row>
    <row r="2385" spans="1:9" x14ac:dyDescent="0.25">
      <c r="A2385" s="7">
        <v>2</v>
      </c>
      <c r="B2385" s="8">
        <v>43579</v>
      </c>
      <c r="C2385" s="9" t="s">
        <v>3</v>
      </c>
      <c r="D2385" s="10">
        <v>0</v>
      </c>
      <c r="E2385" s="10">
        <v>401.91899999999993</v>
      </c>
      <c r="F2385" t="str">
        <f>VLOOKUP(A2385,StoreLookup,2,FALSE)</f>
        <v>Store#2</v>
      </c>
      <c r="G2385">
        <f>INDEX(CalLookUpTable,MATCH($B2385,CalLookUpRow,0),MATCH(G$1,CalLookUpColumn,0))</f>
        <v>2019</v>
      </c>
      <c r="H2385">
        <f>INDEX(CalLookUpTable,MATCH($B2385,CalLookUpRow,0),MATCH(H$1,CalLookUpColumn,0))</f>
        <v>4</v>
      </c>
      <c r="I2385">
        <f>INDEX(CalLookUpTable,MATCH($B2385,CalLookUpRow,0),MATCH(I$1,CalLookUpColumn,0))</f>
        <v>4</v>
      </c>
    </row>
    <row r="2386" spans="1:9" x14ac:dyDescent="0.25">
      <c r="A2386" s="7">
        <v>2</v>
      </c>
      <c r="B2386" s="8">
        <v>43580</v>
      </c>
      <c r="C2386" s="9" t="s">
        <v>5</v>
      </c>
      <c r="D2386" s="10">
        <v>1213.5899999999999</v>
      </c>
      <c r="E2386" s="10">
        <v>0</v>
      </c>
      <c r="F2386" t="str">
        <f>VLOOKUP(A2386,StoreLookup,2,FALSE)</f>
        <v>Store#2</v>
      </c>
      <c r="G2386">
        <f>INDEX(CalLookUpTable,MATCH($B2386,CalLookUpRow,0),MATCH(G$1,CalLookUpColumn,0))</f>
        <v>2019</v>
      </c>
      <c r="H2386">
        <f>INDEX(CalLookUpTable,MATCH($B2386,CalLookUpRow,0),MATCH(H$1,CalLookUpColumn,0))</f>
        <v>4</v>
      </c>
      <c r="I2386">
        <f>INDEX(CalLookUpTable,MATCH($B2386,CalLookUpRow,0),MATCH(I$1,CalLookUpColumn,0))</f>
        <v>4</v>
      </c>
    </row>
    <row r="2387" spans="1:9" x14ac:dyDescent="0.25">
      <c r="A2387" s="7">
        <v>2</v>
      </c>
      <c r="B2387" s="8">
        <v>43580</v>
      </c>
      <c r="C2387" s="9" t="s">
        <v>4</v>
      </c>
      <c r="D2387" s="10">
        <v>2040.4159999999999</v>
      </c>
      <c r="E2387" s="10">
        <v>2577.6029999999996</v>
      </c>
      <c r="F2387" t="str">
        <f>VLOOKUP(A2387,StoreLookup,2,FALSE)</f>
        <v>Store#2</v>
      </c>
      <c r="G2387">
        <f>INDEX(CalLookUpTable,MATCH($B2387,CalLookUpRow,0),MATCH(G$1,CalLookUpColumn,0))</f>
        <v>2019</v>
      </c>
      <c r="H2387">
        <f>INDEX(CalLookUpTable,MATCH($B2387,CalLookUpRow,0),MATCH(H$1,CalLookUpColumn,0))</f>
        <v>4</v>
      </c>
      <c r="I2387">
        <f>INDEX(CalLookUpTable,MATCH($B2387,CalLookUpRow,0),MATCH(I$1,CalLookUpColumn,0))</f>
        <v>4</v>
      </c>
    </row>
    <row r="2388" spans="1:9" x14ac:dyDescent="0.25">
      <c r="A2388" s="7">
        <v>2</v>
      </c>
      <c r="B2388" s="8">
        <v>43580</v>
      </c>
      <c r="C2388" s="9" t="s">
        <v>3</v>
      </c>
      <c r="D2388" s="10">
        <v>0</v>
      </c>
      <c r="E2388" s="10">
        <v>0</v>
      </c>
      <c r="F2388" t="str">
        <f>VLOOKUP(A2388,StoreLookup,2,FALSE)</f>
        <v>Store#2</v>
      </c>
      <c r="G2388">
        <f>INDEX(CalLookUpTable,MATCH($B2388,CalLookUpRow,0),MATCH(G$1,CalLookUpColumn,0))</f>
        <v>2019</v>
      </c>
      <c r="H2388">
        <f>INDEX(CalLookUpTable,MATCH($B2388,CalLookUpRow,0),MATCH(H$1,CalLookUpColumn,0))</f>
        <v>4</v>
      </c>
      <c r="I2388">
        <f>INDEX(CalLookUpTable,MATCH($B2388,CalLookUpRow,0),MATCH(I$1,CalLookUpColumn,0))</f>
        <v>4</v>
      </c>
    </row>
    <row r="2389" spans="1:9" x14ac:dyDescent="0.25">
      <c r="A2389" s="7">
        <v>2</v>
      </c>
      <c r="B2389" s="8">
        <v>43580</v>
      </c>
      <c r="C2389" s="9" t="s">
        <v>6</v>
      </c>
      <c r="D2389" s="10">
        <v>363.40499999999997</v>
      </c>
      <c r="E2389" s="10">
        <v>469.51099999999997</v>
      </c>
      <c r="F2389" t="str">
        <f>VLOOKUP(A2389,StoreLookup,2,FALSE)</f>
        <v>Store#2</v>
      </c>
      <c r="G2389">
        <f>INDEX(CalLookUpTable,MATCH($B2389,CalLookUpRow,0),MATCH(G$1,CalLookUpColumn,0))</f>
        <v>2019</v>
      </c>
      <c r="H2389">
        <f>INDEX(CalLookUpTable,MATCH($B2389,CalLookUpRow,0),MATCH(H$1,CalLookUpColumn,0))</f>
        <v>4</v>
      </c>
      <c r="I2389">
        <f>INDEX(CalLookUpTable,MATCH($B2389,CalLookUpRow,0),MATCH(I$1,CalLookUpColumn,0))</f>
        <v>4</v>
      </c>
    </row>
    <row r="2390" spans="1:9" x14ac:dyDescent="0.25">
      <c r="A2390" s="7">
        <v>2</v>
      </c>
      <c r="B2390" s="8">
        <v>43581</v>
      </c>
      <c r="C2390" s="9" t="s">
        <v>5</v>
      </c>
      <c r="D2390" s="10">
        <v>1678.7049999999999</v>
      </c>
      <c r="E2390" s="10">
        <v>0</v>
      </c>
      <c r="F2390" t="str">
        <f>VLOOKUP(A2390,StoreLookup,2,FALSE)</f>
        <v>Store#2</v>
      </c>
      <c r="G2390">
        <f>INDEX(CalLookUpTable,MATCH($B2390,CalLookUpRow,0),MATCH(G$1,CalLookUpColumn,0))</f>
        <v>2019</v>
      </c>
      <c r="H2390">
        <f>INDEX(CalLookUpTable,MATCH($B2390,CalLookUpRow,0),MATCH(H$1,CalLookUpColumn,0))</f>
        <v>4</v>
      </c>
      <c r="I2390">
        <f>INDEX(CalLookUpTable,MATCH($B2390,CalLookUpRow,0),MATCH(I$1,CalLookUpColumn,0))</f>
        <v>4</v>
      </c>
    </row>
    <row r="2391" spans="1:9" x14ac:dyDescent="0.25">
      <c r="A2391" s="7">
        <v>2</v>
      </c>
      <c r="B2391" s="8">
        <v>43581</v>
      </c>
      <c r="C2391" s="9" t="s">
        <v>4</v>
      </c>
      <c r="D2391" s="10">
        <v>2437.4629999999997</v>
      </c>
      <c r="E2391" s="10">
        <v>3049.6129999999998</v>
      </c>
      <c r="F2391" t="str">
        <f>VLOOKUP(A2391,StoreLookup,2,FALSE)</f>
        <v>Store#2</v>
      </c>
      <c r="G2391">
        <f>INDEX(CalLookUpTable,MATCH($B2391,CalLookUpRow,0),MATCH(G$1,CalLookUpColumn,0))</f>
        <v>2019</v>
      </c>
      <c r="H2391">
        <f>INDEX(CalLookUpTable,MATCH($B2391,CalLookUpRow,0),MATCH(H$1,CalLookUpColumn,0))</f>
        <v>4</v>
      </c>
      <c r="I2391">
        <f>INDEX(CalLookUpTable,MATCH($B2391,CalLookUpRow,0),MATCH(I$1,CalLookUpColumn,0))</f>
        <v>4</v>
      </c>
    </row>
    <row r="2392" spans="1:9" x14ac:dyDescent="0.25">
      <c r="A2392" s="7">
        <v>2</v>
      </c>
      <c r="B2392" s="8">
        <v>43581</v>
      </c>
      <c r="C2392" s="9" t="s">
        <v>3</v>
      </c>
      <c r="D2392" s="10">
        <v>164.82899999999998</v>
      </c>
      <c r="E2392" s="10">
        <v>0</v>
      </c>
      <c r="F2392" t="str">
        <f>VLOOKUP(A2392,StoreLookup,2,FALSE)</f>
        <v>Store#2</v>
      </c>
      <c r="G2392">
        <f>INDEX(CalLookUpTable,MATCH($B2392,CalLookUpRow,0),MATCH(G$1,CalLookUpColumn,0))</f>
        <v>2019</v>
      </c>
      <c r="H2392">
        <f>INDEX(CalLookUpTable,MATCH($B2392,CalLookUpRow,0),MATCH(H$1,CalLookUpColumn,0))</f>
        <v>4</v>
      </c>
      <c r="I2392">
        <f>INDEX(CalLookUpTable,MATCH($B2392,CalLookUpRow,0),MATCH(I$1,CalLookUpColumn,0))</f>
        <v>4</v>
      </c>
    </row>
    <row r="2393" spans="1:9" x14ac:dyDescent="0.25">
      <c r="A2393" s="7">
        <v>2</v>
      </c>
      <c r="B2393" s="8">
        <v>43581</v>
      </c>
      <c r="C2393" s="9" t="s">
        <v>6</v>
      </c>
      <c r="D2393" s="10">
        <v>515.39599999999996</v>
      </c>
      <c r="E2393" s="10">
        <v>657.87400000000002</v>
      </c>
      <c r="F2393" t="str">
        <f>VLOOKUP(A2393,StoreLookup,2,FALSE)</f>
        <v>Store#2</v>
      </c>
      <c r="G2393">
        <f>INDEX(CalLookUpTable,MATCH($B2393,CalLookUpRow,0),MATCH(G$1,CalLookUpColumn,0))</f>
        <v>2019</v>
      </c>
      <c r="H2393">
        <f>INDEX(CalLookUpTable,MATCH($B2393,CalLookUpRow,0),MATCH(H$1,CalLookUpColumn,0))</f>
        <v>4</v>
      </c>
      <c r="I2393">
        <f>INDEX(CalLookUpTable,MATCH($B2393,CalLookUpRow,0),MATCH(I$1,CalLookUpColumn,0))</f>
        <v>4</v>
      </c>
    </row>
    <row r="2394" spans="1:9" x14ac:dyDescent="0.25">
      <c r="A2394" s="7">
        <v>2</v>
      </c>
      <c r="B2394" s="8">
        <v>43582</v>
      </c>
      <c r="C2394" s="9" t="s">
        <v>6</v>
      </c>
      <c r="D2394" s="10">
        <v>399.40600000000001</v>
      </c>
      <c r="E2394" s="10">
        <v>329.35699999999997</v>
      </c>
      <c r="F2394" t="str">
        <f>VLOOKUP(A2394,StoreLookup,2,FALSE)</f>
        <v>Store#2</v>
      </c>
      <c r="G2394">
        <f>INDEX(CalLookUpTable,MATCH($B2394,CalLookUpRow,0),MATCH(G$1,CalLookUpColumn,0))</f>
        <v>2019</v>
      </c>
      <c r="H2394">
        <f>INDEX(CalLookUpTable,MATCH($B2394,CalLookUpRow,0),MATCH(H$1,CalLookUpColumn,0))</f>
        <v>4</v>
      </c>
      <c r="I2394">
        <f>INDEX(CalLookUpTable,MATCH($B2394,CalLookUpRow,0),MATCH(I$1,CalLookUpColumn,0))</f>
        <v>4</v>
      </c>
    </row>
    <row r="2395" spans="1:9" x14ac:dyDescent="0.25">
      <c r="A2395" s="7">
        <v>2</v>
      </c>
      <c r="B2395" s="8">
        <v>43582</v>
      </c>
      <c r="C2395" s="9" t="s">
        <v>4</v>
      </c>
      <c r="D2395" s="10">
        <v>2512.4119999999998</v>
      </c>
      <c r="E2395" s="10">
        <v>3206.6299999999997</v>
      </c>
      <c r="F2395" t="str">
        <f>VLOOKUP(A2395,StoreLookup,2,FALSE)</f>
        <v>Store#2</v>
      </c>
      <c r="G2395">
        <f>INDEX(CalLookUpTable,MATCH($B2395,CalLookUpRow,0),MATCH(G$1,CalLookUpColumn,0))</f>
        <v>2019</v>
      </c>
      <c r="H2395">
        <f>INDEX(CalLookUpTable,MATCH($B2395,CalLookUpRow,0),MATCH(H$1,CalLookUpColumn,0))</f>
        <v>4</v>
      </c>
      <c r="I2395">
        <f>INDEX(CalLookUpTable,MATCH($B2395,CalLookUpRow,0),MATCH(I$1,CalLookUpColumn,0))</f>
        <v>4</v>
      </c>
    </row>
    <row r="2396" spans="1:9" x14ac:dyDescent="0.25">
      <c r="A2396" s="7">
        <v>2</v>
      </c>
      <c r="B2396" s="8">
        <v>43582</v>
      </c>
      <c r="C2396" s="9" t="s">
        <v>3</v>
      </c>
      <c r="D2396" s="10">
        <v>0</v>
      </c>
      <c r="E2396" s="10">
        <v>0</v>
      </c>
      <c r="F2396" t="str">
        <f>VLOOKUP(A2396,StoreLookup,2,FALSE)</f>
        <v>Store#2</v>
      </c>
      <c r="G2396">
        <f>INDEX(CalLookUpTable,MATCH($B2396,CalLookUpRow,0),MATCH(G$1,CalLookUpColumn,0))</f>
        <v>2019</v>
      </c>
      <c r="H2396">
        <f>INDEX(CalLookUpTable,MATCH($B2396,CalLookUpRow,0),MATCH(H$1,CalLookUpColumn,0))</f>
        <v>4</v>
      </c>
      <c r="I2396">
        <f>INDEX(CalLookUpTable,MATCH($B2396,CalLookUpRow,0),MATCH(I$1,CalLookUpColumn,0))</f>
        <v>4</v>
      </c>
    </row>
    <row r="2397" spans="1:9" x14ac:dyDescent="0.25">
      <c r="A2397" s="7">
        <v>2</v>
      </c>
      <c r="B2397" s="8">
        <v>43582</v>
      </c>
      <c r="C2397" s="9" t="s">
        <v>5</v>
      </c>
      <c r="D2397" s="10">
        <v>1124.6339999999998</v>
      </c>
      <c r="E2397" s="10">
        <v>0</v>
      </c>
      <c r="F2397" t="str">
        <f>VLOOKUP(A2397,StoreLookup,2,FALSE)</f>
        <v>Store#2</v>
      </c>
      <c r="G2397">
        <f>INDEX(CalLookUpTable,MATCH($B2397,CalLookUpRow,0),MATCH(G$1,CalLookUpColumn,0))</f>
        <v>2019</v>
      </c>
      <c r="H2397">
        <f>INDEX(CalLookUpTable,MATCH($B2397,CalLookUpRow,0),MATCH(H$1,CalLookUpColumn,0))</f>
        <v>4</v>
      </c>
      <c r="I2397">
        <f>INDEX(CalLookUpTable,MATCH($B2397,CalLookUpRow,0),MATCH(I$1,CalLookUpColumn,0))</f>
        <v>4</v>
      </c>
    </row>
    <row r="2398" spans="1:9" x14ac:dyDescent="0.25">
      <c r="A2398" s="7">
        <v>2</v>
      </c>
      <c r="B2398" s="8">
        <v>43583</v>
      </c>
      <c r="C2398" s="9" t="s">
        <v>5</v>
      </c>
      <c r="D2398" s="10">
        <v>889.29399999999998</v>
      </c>
      <c r="E2398" s="10">
        <v>0</v>
      </c>
      <c r="F2398" t="str">
        <f>VLOOKUP(A2398,StoreLookup,2,FALSE)</f>
        <v>Store#2</v>
      </c>
      <c r="G2398">
        <f>INDEX(CalLookUpTable,MATCH($B2398,CalLookUpRow,0),MATCH(G$1,CalLookUpColumn,0))</f>
        <v>2019</v>
      </c>
      <c r="H2398">
        <f>INDEX(CalLookUpTable,MATCH($B2398,CalLookUpRow,0),MATCH(H$1,CalLookUpColumn,0))</f>
        <v>4</v>
      </c>
      <c r="I2398">
        <f>INDEX(CalLookUpTable,MATCH($B2398,CalLookUpRow,0),MATCH(I$1,CalLookUpColumn,0))</f>
        <v>4</v>
      </c>
    </row>
    <row r="2399" spans="1:9" x14ac:dyDescent="0.25">
      <c r="A2399" s="7">
        <v>2</v>
      </c>
      <c r="B2399" s="8">
        <v>43583</v>
      </c>
      <c r="C2399" s="9" t="s">
        <v>3</v>
      </c>
      <c r="D2399" s="10">
        <v>82.361999999999995</v>
      </c>
      <c r="E2399" s="10">
        <v>0</v>
      </c>
      <c r="F2399" t="str">
        <f>VLOOKUP(A2399,StoreLookup,2,FALSE)</f>
        <v>Store#2</v>
      </c>
      <c r="G2399">
        <f>INDEX(CalLookUpTable,MATCH($B2399,CalLookUpRow,0),MATCH(G$1,CalLookUpColumn,0))</f>
        <v>2019</v>
      </c>
      <c r="H2399">
        <f>INDEX(CalLookUpTable,MATCH($B2399,CalLookUpRow,0),MATCH(H$1,CalLookUpColumn,0))</f>
        <v>4</v>
      </c>
      <c r="I2399">
        <f>INDEX(CalLookUpTable,MATCH($B2399,CalLookUpRow,0),MATCH(I$1,CalLookUpColumn,0))</f>
        <v>4</v>
      </c>
    </row>
    <row r="2400" spans="1:9" x14ac:dyDescent="0.25">
      <c r="A2400" s="7">
        <v>2</v>
      </c>
      <c r="B2400" s="8">
        <v>43583</v>
      </c>
      <c r="C2400" s="9" t="s">
        <v>4</v>
      </c>
      <c r="D2400" s="10">
        <v>1322.3139999999999</v>
      </c>
      <c r="E2400" s="10">
        <v>1486.4639999999999</v>
      </c>
      <c r="F2400" t="str">
        <f>VLOOKUP(A2400,StoreLookup,2,FALSE)</f>
        <v>Store#2</v>
      </c>
      <c r="G2400">
        <f>INDEX(CalLookUpTable,MATCH($B2400,CalLookUpRow,0),MATCH(G$1,CalLookUpColumn,0))</f>
        <v>2019</v>
      </c>
      <c r="H2400">
        <f>INDEX(CalLookUpTable,MATCH($B2400,CalLookUpRow,0),MATCH(H$1,CalLookUpColumn,0))</f>
        <v>4</v>
      </c>
      <c r="I2400">
        <f>INDEX(CalLookUpTable,MATCH($B2400,CalLookUpRow,0),MATCH(I$1,CalLookUpColumn,0))</f>
        <v>4</v>
      </c>
    </row>
    <row r="2401" spans="1:9" x14ac:dyDescent="0.25">
      <c r="A2401" s="7">
        <v>2</v>
      </c>
      <c r="B2401" s="8">
        <v>43583</v>
      </c>
      <c r="C2401" s="9" t="s">
        <v>6</v>
      </c>
      <c r="D2401" s="10">
        <v>408.12099999999998</v>
      </c>
      <c r="E2401" s="10">
        <v>322.88199999999995</v>
      </c>
      <c r="F2401" t="str">
        <f>VLOOKUP(A2401,StoreLookup,2,FALSE)</f>
        <v>Store#2</v>
      </c>
      <c r="G2401">
        <f>INDEX(CalLookUpTable,MATCH($B2401,CalLookUpRow,0),MATCH(G$1,CalLookUpColumn,0))</f>
        <v>2019</v>
      </c>
      <c r="H2401">
        <f>INDEX(CalLookUpTable,MATCH($B2401,CalLookUpRow,0),MATCH(H$1,CalLookUpColumn,0))</f>
        <v>4</v>
      </c>
      <c r="I2401">
        <f>INDEX(CalLookUpTable,MATCH($B2401,CalLookUpRow,0),MATCH(I$1,CalLookUpColumn,0))</f>
        <v>4</v>
      </c>
    </row>
    <row r="2402" spans="1:9" x14ac:dyDescent="0.25">
      <c r="A2402" s="7">
        <v>2</v>
      </c>
      <c r="B2402" s="8">
        <v>43584</v>
      </c>
      <c r="C2402" s="9" t="s">
        <v>6</v>
      </c>
      <c r="D2402" s="10">
        <v>356.99299999999999</v>
      </c>
      <c r="E2402" s="10">
        <v>219.261</v>
      </c>
      <c r="F2402" t="str">
        <f>VLOOKUP(A2402,StoreLookup,2,FALSE)</f>
        <v>Store#2</v>
      </c>
      <c r="G2402">
        <f>INDEX(CalLookUpTable,MATCH($B2402,CalLookUpRow,0),MATCH(G$1,CalLookUpColumn,0))</f>
        <v>2019</v>
      </c>
      <c r="H2402">
        <f>INDEX(CalLookUpTable,MATCH($B2402,CalLookUpRow,0),MATCH(H$1,CalLookUpColumn,0))</f>
        <v>5</v>
      </c>
      <c r="I2402">
        <f>INDEX(CalLookUpTable,MATCH($B2402,CalLookUpRow,0),MATCH(I$1,CalLookUpColumn,0))</f>
        <v>1</v>
      </c>
    </row>
    <row r="2403" spans="1:9" x14ac:dyDescent="0.25">
      <c r="A2403" s="7">
        <v>2</v>
      </c>
      <c r="B2403" s="8">
        <v>43584</v>
      </c>
      <c r="C2403" s="9" t="s">
        <v>3</v>
      </c>
      <c r="D2403" s="10">
        <v>0</v>
      </c>
      <c r="E2403" s="10">
        <v>151.40299999999999</v>
      </c>
      <c r="F2403" t="str">
        <f>VLOOKUP(A2403,StoreLookup,2,FALSE)</f>
        <v>Store#2</v>
      </c>
      <c r="G2403">
        <f>INDEX(CalLookUpTable,MATCH($B2403,CalLookUpRow,0),MATCH(G$1,CalLookUpColumn,0))</f>
        <v>2019</v>
      </c>
      <c r="H2403">
        <f>INDEX(CalLookUpTable,MATCH($B2403,CalLookUpRow,0),MATCH(H$1,CalLookUpColumn,0))</f>
        <v>5</v>
      </c>
      <c r="I2403">
        <f>INDEX(CalLookUpTable,MATCH($B2403,CalLookUpRow,0),MATCH(I$1,CalLookUpColumn,0))</f>
        <v>1</v>
      </c>
    </row>
    <row r="2404" spans="1:9" x14ac:dyDescent="0.25">
      <c r="A2404" s="7">
        <v>2</v>
      </c>
      <c r="B2404" s="8">
        <v>43584</v>
      </c>
      <c r="C2404" s="9" t="s">
        <v>4</v>
      </c>
      <c r="D2404" s="10">
        <v>1662.6399999999999</v>
      </c>
      <c r="E2404" s="10">
        <v>1725.7660000000001</v>
      </c>
      <c r="F2404" t="str">
        <f>VLOOKUP(A2404,StoreLookup,2,FALSE)</f>
        <v>Store#2</v>
      </c>
      <c r="G2404">
        <f>INDEX(CalLookUpTable,MATCH($B2404,CalLookUpRow,0),MATCH(G$1,CalLookUpColumn,0))</f>
        <v>2019</v>
      </c>
      <c r="H2404">
        <f>INDEX(CalLookUpTable,MATCH($B2404,CalLookUpRow,0),MATCH(H$1,CalLookUpColumn,0))</f>
        <v>5</v>
      </c>
      <c r="I2404">
        <f>INDEX(CalLookUpTable,MATCH($B2404,CalLookUpRow,0),MATCH(I$1,CalLookUpColumn,0))</f>
        <v>1</v>
      </c>
    </row>
    <row r="2405" spans="1:9" x14ac:dyDescent="0.25">
      <c r="A2405" s="7">
        <v>2</v>
      </c>
      <c r="B2405" s="8">
        <v>43584</v>
      </c>
      <c r="C2405" s="9" t="s">
        <v>5</v>
      </c>
      <c r="D2405" s="10">
        <v>887.62099999999998</v>
      </c>
      <c r="E2405" s="10">
        <v>0</v>
      </c>
      <c r="F2405" t="str">
        <f>VLOOKUP(A2405,StoreLookup,2,FALSE)</f>
        <v>Store#2</v>
      </c>
      <c r="G2405">
        <f>INDEX(CalLookUpTable,MATCH($B2405,CalLookUpRow,0),MATCH(G$1,CalLookUpColumn,0))</f>
        <v>2019</v>
      </c>
      <c r="H2405">
        <f>INDEX(CalLookUpTable,MATCH($B2405,CalLookUpRow,0),MATCH(H$1,CalLookUpColumn,0))</f>
        <v>5</v>
      </c>
      <c r="I2405">
        <f>INDEX(CalLookUpTable,MATCH($B2405,CalLookUpRow,0),MATCH(I$1,CalLookUpColumn,0))</f>
        <v>1</v>
      </c>
    </row>
    <row r="2406" spans="1:9" x14ac:dyDescent="0.25">
      <c r="A2406" s="7">
        <v>2</v>
      </c>
      <c r="B2406" s="8">
        <v>43585</v>
      </c>
      <c r="C2406" s="9" t="s">
        <v>5</v>
      </c>
      <c r="D2406" s="10">
        <v>1215.4029999999998</v>
      </c>
      <c r="E2406" s="10">
        <v>0</v>
      </c>
      <c r="F2406" t="str">
        <f>VLOOKUP(A2406,StoreLookup,2,FALSE)</f>
        <v>Store#2</v>
      </c>
      <c r="G2406">
        <f>INDEX(CalLookUpTable,MATCH($B2406,CalLookUpRow,0),MATCH(G$1,CalLookUpColumn,0))</f>
        <v>2019</v>
      </c>
      <c r="H2406">
        <f>INDEX(CalLookUpTable,MATCH($B2406,CalLookUpRow,0),MATCH(H$1,CalLookUpColumn,0))</f>
        <v>5</v>
      </c>
      <c r="I2406">
        <f>INDEX(CalLookUpTable,MATCH($B2406,CalLookUpRow,0),MATCH(I$1,CalLookUpColumn,0))</f>
        <v>1</v>
      </c>
    </row>
    <row r="2407" spans="1:9" x14ac:dyDescent="0.25">
      <c r="A2407" s="7">
        <v>2</v>
      </c>
      <c r="B2407" s="8">
        <v>43585</v>
      </c>
      <c r="C2407" s="9" t="s">
        <v>3</v>
      </c>
      <c r="D2407" s="10">
        <v>305.24199999999996</v>
      </c>
      <c r="E2407" s="10">
        <v>0</v>
      </c>
      <c r="F2407" t="str">
        <f>VLOOKUP(A2407,StoreLookup,2,FALSE)</f>
        <v>Store#2</v>
      </c>
      <c r="G2407">
        <f>INDEX(CalLookUpTable,MATCH($B2407,CalLookUpRow,0),MATCH(G$1,CalLookUpColumn,0))</f>
        <v>2019</v>
      </c>
      <c r="H2407">
        <f>INDEX(CalLookUpTable,MATCH($B2407,CalLookUpRow,0),MATCH(H$1,CalLookUpColumn,0))</f>
        <v>5</v>
      </c>
      <c r="I2407">
        <f>INDEX(CalLookUpTable,MATCH($B2407,CalLookUpRow,0),MATCH(I$1,CalLookUpColumn,0))</f>
        <v>1</v>
      </c>
    </row>
    <row r="2408" spans="1:9" x14ac:dyDescent="0.25">
      <c r="A2408" s="7">
        <v>2</v>
      </c>
      <c r="B2408" s="8">
        <v>43585</v>
      </c>
      <c r="C2408" s="9" t="s">
        <v>4</v>
      </c>
      <c r="D2408" s="10">
        <v>1791.1179999999997</v>
      </c>
      <c r="E2408" s="10">
        <v>2262.2109999999998</v>
      </c>
      <c r="F2408" t="str">
        <f>VLOOKUP(A2408,StoreLookup,2,FALSE)</f>
        <v>Store#2</v>
      </c>
      <c r="G2408">
        <f>INDEX(CalLookUpTable,MATCH($B2408,CalLookUpRow,0),MATCH(G$1,CalLookUpColumn,0))</f>
        <v>2019</v>
      </c>
      <c r="H2408">
        <f>INDEX(CalLookUpTable,MATCH($B2408,CalLookUpRow,0),MATCH(H$1,CalLookUpColumn,0))</f>
        <v>5</v>
      </c>
      <c r="I2408">
        <f>INDEX(CalLookUpTable,MATCH($B2408,CalLookUpRow,0),MATCH(I$1,CalLookUpColumn,0))</f>
        <v>1</v>
      </c>
    </row>
    <row r="2409" spans="1:9" x14ac:dyDescent="0.25">
      <c r="A2409" s="7">
        <v>2</v>
      </c>
      <c r="B2409" s="8">
        <v>43585</v>
      </c>
      <c r="C2409" s="9" t="s">
        <v>6</v>
      </c>
      <c r="D2409" s="10">
        <v>279.08999999999997</v>
      </c>
      <c r="E2409" s="10">
        <v>429.98899999999998</v>
      </c>
      <c r="F2409" t="str">
        <f>VLOOKUP(A2409,StoreLookup,2,FALSE)</f>
        <v>Store#2</v>
      </c>
      <c r="G2409">
        <f>INDEX(CalLookUpTable,MATCH($B2409,CalLookUpRow,0),MATCH(G$1,CalLookUpColumn,0))</f>
        <v>2019</v>
      </c>
      <c r="H2409">
        <f>INDEX(CalLookUpTable,MATCH($B2409,CalLookUpRow,0),MATCH(H$1,CalLookUpColumn,0))</f>
        <v>5</v>
      </c>
      <c r="I2409">
        <f>INDEX(CalLookUpTable,MATCH($B2409,CalLookUpRow,0),MATCH(I$1,CalLookUpColumn,0))</f>
        <v>1</v>
      </c>
    </row>
    <row r="2410" spans="1:9" x14ac:dyDescent="0.25">
      <c r="A2410" s="7">
        <v>2</v>
      </c>
      <c r="B2410" s="8">
        <v>43586</v>
      </c>
      <c r="C2410" s="9" t="s">
        <v>3</v>
      </c>
      <c r="D2410" s="10">
        <v>0</v>
      </c>
      <c r="E2410" s="10">
        <v>217.31499999999997</v>
      </c>
      <c r="F2410" t="str">
        <f>VLOOKUP(A2410,StoreLookup,2,FALSE)</f>
        <v>Store#2</v>
      </c>
      <c r="G2410">
        <f>INDEX(CalLookUpTable,MATCH($B2410,CalLookUpRow,0),MATCH(G$1,CalLookUpColumn,0))</f>
        <v>2019</v>
      </c>
      <c r="H2410">
        <f>INDEX(CalLookUpTable,MATCH($B2410,CalLookUpRow,0),MATCH(H$1,CalLookUpColumn,0))</f>
        <v>5</v>
      </c>
      <c r="I2410">
        <f>INDEX(CalLookUpTable,MATCH($B2410,CalLookUpRow,0),MATCH(I$1,CalLookUpColumn,0))</f>
        <v>1</v>
      </c>
    </row>
    <row r="2411" spans="1:9" x14ac:dyDescent="0.25">
      <c r="A2411" s="7">
        <v>2</v>
      </c>
      <c r="B2411" s="8">
        <v>43586</v>
      </c>
      <c r="C2411" s="9" t="s">
        <v>4</v>
      </c>
      <c r="D2411" s="10">
        <v>1825.2009999999998</v>
      </c>
      <c r="E2411" s="10">
        <v>1946.2659999999998</v>
      </c>
      <c r="F2411" t="str">
        <f>VLOOKUP(A2411,StoreLookup,2,FALSE)</f>
        <v>Store#2</v>
      </c>
      <c r="G2411">
        <f>INDEX(CalLookUpTable,MATCH($B2411,CalLookUpRow,0),MATCH(G$1,CalLookUpColumn,0))</f>
        <v>2019</v>
      </c>
      <c r="H2411">
        <f>INDEX(CalLookUpTable,MATCH($B2411,CalLookUpRow,0),MATCH(H$1,CalLookUpColumn,0))</f>
        <v>5</v>
      </c>
      <c r="I2411">
        <f>INDEX(CalLookUpTable,MATCH($B2411,CalLookUpRow,0),MATCH(I$1,CalLookUpColumn,0))</f>
        <v>1</v>
      </c>
    </row>
    <row r="2412" spans="1:9" x14ac:dyDescent="0.25">
      <c r="A2412" s="7">
        <v>2</v>
      </c>
      <c r="B2412" s="8">
        <v>43586</v>
      </c>
      <c r="C2412" s="9" t="s">
        <v>6</v>
      </c>
      <c r="D2412" s="10">
        <v>417.55699999999996</v>
      </c>
      <c r="E2412" s="10">
        <v>328.86</v>
      </c>
      <c r="F2412" t="str">
        <f>VLOOKUP(A2412,StoreLookup,2,FALSE)</f>
        <v>Store#2</v>
      </c>
      <c r="G2412">
        <f>INDEX(CalLookUpTable,MATCH($B2412,CalLookUpRow,0),MATCH(G$1,CalLookUpColumn,0))</f>
        <v>2019</v>
      </c>
      <c r="H2412">
        <f>INDEX(CalLookUpTable,MATCH($B2412,CalLookUpRow,0),MATCH(H$1,CalLookUpColumn,0))</f>
        <v>5</v>
      </c>
      <c r="I2412">
        <f>INDEX(CalLookUpTable,MATCH($B2412,CalLookUpRow,0),MATCH(I$1,CalLookUpColumn,0))</f>
        <v>1</v>
      </c>
    </row>
    <row r="2413" spans="1:9" x14ac:dyDescent="0.25">
      <c r="A2413" s="7">
        <v>2</v>
      </c>
      <c r="B2413" s="8">
        <v>43586</v>
      </c>
      <c r="C2413" s="9" t="s">
        <v>5</v>
      </c>
      <c r="D2413" s="10">
        <v>1245.7059999999999</v>
      </c>
      <c r="E2413" s="10">
        <v>0</v>
      </c>
      <c r="F2413" t="str">
        <f>VLOOKUP(A2413,StoreLookup,2,FALSE)</f>
        <v>Store#2</v>
      </c>
      <c r="G2413">
        <f>INDEX(CalLookUpTable,MATCH($B2413,CalLookUpRow,0),MATCH(G$1,CalLookUpColumn,0))</f>
        <v>2019</v>
      </c>
      <c r="H2413">
        <f>INDEX(CalLookUpTable,MATCH($B2413,CalLookUpRow,0),MATCH(H$1,CalLookUpColumn,0))</f>
        <v>5</v>
      </c>
      <c r="I2413">
        <f>INDEX(CalLookUpTable,MATCH($B2413,CalLookUpRow,0),MATCH(I$1,CalLookUpColumn,0))</f>
        <v>1</v>
      </c>
    </row>
    <row r="2414" spans="1:9" x14ac:dyDescent="0.25">
      <c r="A2414" s="7">
        <v>2</v>
      </c>
      <c r="B2414" s="8">
        <v>43587</v>
      </c>
      <c r="C2414" s="9" t="s">
        <v>6</v>
      </c>
      <c r="D2414" s="10">
        <v>291.24899999999997</v>
      </c>
      <c r="E2414" s="10">
        <v>560</v>
      </c>
      <c r="F2414" t="str">
        <f>VLOOKUP(A2414,StoreLookup,2,FALSE)</f>
        <v>Store#2</v>
      </c>
      <c r="G2414">
        <f>INDEX(CalLookUpTable,MATCH($B2414,CalLookUpRow,0),MATCH(G$1,CalLookUpColumn,0))</f>
        <v>2019</v>
      </c>
      <c r="H2414">
        <f>INDEX(CalLookUpTable,MATCH($B2414,CalLookUpRow,0),MATCH(H$1,CalLookUpColumn,0))</f>
        <v>5</v>
      </c>
      <c r="I2414">
        <f>INDEX(CalLookUpTable,MATCH($B2414,CalLookUpRow,0),MATCH(I$1,CalLookUpColumn,0))</f>
        <v>1</v>
      </c>
    </row>
    <row r="2415" spans="1:9" x14ac:dyDescent="0.25">
      <c r="A2415" s="7">
        <v>2</v>
      </c>
      <c r="B2415" s="8">
        <v>43587</v>
      </c>
      <c r="C2415" s="9" t="s">
        <v>4</v>
      </c>
      <c r="D2415" s="10">
        <v>2105.2289999999998</v>
      </c>
      <c r="E2415" s="10">
        <v>2533.1389999999997</v>
      </c>
      <c r="F2415" t="str">
        <f>VLOOKUP(A2415,StoreLookup,2,FALSE)</f>
        <v>Store#2</v>
      </c>
      <c r="G2415">
        <f>INDEX(CalLookUpTable,MATCH($B2415,CalLookUpRow,0),MATCH(G$1,CalLookUpColumn,0))</f>
        <v>2019</v>
      </c>
      <c r="H2415">
        <f>INDEX(CalLookUpTable,MATCH($B2415,CalLookUpRow,0),MATCH(H$1,CalLookUpColumn,0))</f>
        <v>5</v>
      </c>
      <c r="I2415">
        <f>INDEX(CalLookUpTable,MATCH($B2415,CalLookUpRow,0),MATCH(I$1,CalLookUpColumn,0))</f>
        <v>1</v>
      </c>
    </row>
    <row r="2416" spans="1:9" x14ac:dyDescent="0.25">
      <c r="A2416" s="7">
        <v>2</v>
      </c>
      <c r="B2416" s="8">
        <v>43587</v>
      </c>
      <c r="C2416" s="9" t="s">
        <v>3</v>
      </c>
      <c r="D2416" s="10">
        <v>0</v>
      </c>
      <c r="E2416" s="10">
        <v>339.24799999999999</v>
      </c>
      <c r="F2416" t="str">
        <f>VLOOKUP(A2416,StoreLookup,2,FALSE)</f>
        <v>Store#2</v>
      </c>
      <c r="G2416">
        <f>INDEX(CalLookUpTable,MATCH($B2416,CalLookUpRow,0),MATCH(G$1,CalLookUpColumn,0))</f>
        <v>2019</v>
      </c>
      <c r="H2416">
        <f>INDEX(CalLookUpTable,MATCH($B2416,CalLookUpRow,0),MATCH(H$1,CalLookUpColumn,0))</f>
        <v>5</v>
      </c>
      <c r="I2416">
        <f>INDEX(CalLookUpTable,MATCH($B2416,CalLookUpRow,0),MATCH(I$1,CalLookUpColumn,0))</f>
        <v>1</v>
      </c>
    </row>
    <row r="2417" spans="1:9" x14ac:dyDescent="0.25">
      <c r="A2417" s="7">
        <v>2</v>
      </c>
      <c r="B2417" s="8">
        <v>43587</v>
      </c>
      <c r="C2417" s="9" t="s">
        <v>5</v>
      </c>
      <c r="D2417" s="10">
        <v>1264.9419999999998</v>
      </c>
      <c r="E2417" s="10">
        <v>0</v>
      </c>
      <c r="F2417" t="str">
        <f>VLOOKUP(A2417,StoreLookup,2,FALSE)</f>
        <v>Store#2</v>
      </c>
      <c r="G2417">
        <f>INDEX(CalLookUpTable,MATCH($B2417,CalLookUpRow,0),MATCH(G$1,CalLookUpColumn,0))</f>
        <v>2019</v>
      </c>
      <c r="H2417">
        <f>INDEX(CalLookUpTable,MATCH($B2417,CalLookUpRow,0),MATCH(H$1,CalLookUpColumn,0))</f>
        <v>5</v>
      </c>
      <c r="I2417">
        <f>INDEX(CalLookUpTable,MATCH($B2417,CalLookUpRow,0),MATCH(I$1,CalLookUpColumn,0))</f>
        <v>1</v>
      </c>
    </row>
    <row r="2418" spans="1:9" x14ac:dyDescent="0.25">
      <c r="A2418" s="7">
        <v>2</v>
      </c>
      <c r="B2418" s="8">
        <v>43588</v>
      </c>
      <c r="C2418" s="9" t="s">
        <v>3</v>
      </c>
      <c r="D2418" s="10">
        <v>380.79999999999995</v>
      </c>
      <c r="E2418" s="10">
        <v>26.235999999999997</v>
      </c>
      <c r="F2418" t="str">
        <f>VLOOKUP(A2418,StoreLookup,2,FALSE)</f>
        <v>Store#2</v>
      </c>
      <c r="G2418">
        <f>INDEX(CalLookUpTable,MATCH($B2418,CalLookUpRow,0),MATCH(G$1,CalLookUpColumn,0))</f>
        <v>2019</v>
      </c>
      <c r="H2418">
        <f>INDEX(CalLookUpTable,MATCH($B2418,CalLookUpRow,0),MATCH(H$1,CalLookUpColumn,0))</f>
        <v>5</v>
      </c>
      <c r="I2418">
        <f>INDEX(CalLookUpTable,MATCH($B2418,CalLookUpRow,0),MATCH(I$1,CalLookUpColumn,0))</f>
        <v>1</v>
      </c>
    </row>
    <row r="2419" spans="1:9" x14ac:dyDescent="0.25">
      <c r="A2419" s="7">
        <v>2</v>
      </c>
      <c r="B2419" s="8">
        <v>43588</v>
      </c>
      <c r="C2419" s="9" t="s">
        <v>4</v>
      </c>
      <c r="D2419" s="10">
        <v>2511.8029999999999</v>
      </c>
      <c r="E2419" s="10">
        <v>3696.2939999999999</v>
      </c>
      <c r="F2419" t="str">
        <f>VLOOKUP(A2419,StoreLookup,2,FALSE)</f>
        <v>Store#2</v>
      </c>
      <c r="G2419">
        <f>INDEX(CalLookUpTable,MATCH($B2419,CalLookUpRow,0),MATCH(G$1,CalLookUpColumn,0))</f>
        <v>2019</v>
      </c>
      <c r="H2419">
        <f>INDEX(CalLookUpTable,MATCH($B2419,CalLookUpRow,0),MATCH(H$1,CalLookUpColumn,0))</f>
        <v>5</v>
      </c>
      <c r="I2419">
        <f>INDEX(CalLookUpTable,MATCH($B2419,CalLookUpRow,0),MATCH(I$1,CalLookUpColumn,0))</f>
        <v>1</v>
      </c>
    </row>
    <row r="2420" spans="1:9" x14ac:dyDescent="0.25">
      <c r="A2420" s="7">
        <v>2</v>
      </c>
      <c r="B2420" s="8">
        <v>43588</v>
      </c>
      <c r="C2420" s="9" t="s">
        <v>6</v>
      </c>
      <c r="D2420" s="10">
        <v>513.47799999999995</v>
      </c>
      <c r="E2420" s="10">
        <v>679.53899999999999</v>
      </c>
      <c r="F2420" t="str">
        <f>VLOOKUP(A2420,StoreLookup,2,FALSE)</f>
        <v>Store#2</v>
      </c>
      <c r="G2420">
        <f>INDEX(CalLookUpTable,MATCH($B2420,CalLookUpRow,0),MATCH(G$1,CalLookUpColumn,0))</f>
        <v>2019</v>
      </c>
      <c r="H2420">
        <f>INDEX(CalLookUpTable,MATCH($B2420,CalLookUpRow,0),MATCH(H$1,CalLookUpColumn,0))</f>
        <v>5</v>
      </c>
      <c r="I2420">
        <f>INDEX(CalLookUpTable,MATCH($B2420,CalLookUpRow,0),MATCH(I$1,CalLookUpColumn,0))</f>
        <v>1</v>
      </c>
    </row>
    <row r="2421" spans="1:9" x14ac:dyDescent="0.25">
      <c r="A2421" s="7">
        <v>2</v>
      </c>
      <c r="B2421" s="8">
        <v>43588</v>
      </c>
      <c r="C2421" s="9" t="s">
        <v>5</v>
      </c>
      <c r="D2421" s="10">
        <v>1171.8979999999999</v>
      </c>
      <c r="E2421" s="10">
        <v>0</v>
      </c>
      <c r="F2421" t="str">
        <f>VLOOKUP(A2421,StoreLookup,2,FALSE)</f>
        <v>Store#2</v>
      </c>
      <c r="G2421">
        <f>INDEX(CalLookUpTable,MATCH($B2421,CalLookUpRow,0),MATCH(G$1,CalLookUpColumn,0))</f>
        <v>2019</v>
      </c>
      <c r="H2421">
        <f>INDEX(CalLookUpTable,MATCH($B2421,CalLookUpRow,0),MATCH(H$1,CalLookUpColumn,0))</f>
        <v>5</v>
      </c>
      <c r="I2421">
        <f>INDEX(CalLookUpTable,MATCH($B2421,CalLookUpRow,0),MATCH(I$1,CalLookUpColumn,0))</f>
        <v>1</v>
      </c>
    </row>
    <row r="2422" spans="1:9" x14ac:dyDescent="0.25">
      <c r="A2422" s="7">
        <v>2</v>
      </c>
      <c r="B2422" s="8">
        <v>43589</v>
      </c>
      <c r="C2422" s="9" t="s">
        <v>6</v>
      </c>
      <c r="D2422" s="10">
        <v>235.33299999999997</v>
      </c>
      <c r="E2422" s="10">
        <v>816.88599999999997</v>
      </c>
      <c r="F2422" t="str">
        <f>VLOOKUP(A2422,StoreLookup,2,FALSE)</f>
        <v>Store#2</v>
      </c>
      <c r="G2422">
        <f>INDEX(CalLookUpTable,MATCH($B2422,CalLookUpRow,0),MATCH(G$1,CalLookUpColumn,0))</f>
        <v>2019</v>
      </c>
      <c r="H2422">
        <f>INDEX(CalLookUpTable,MATCH($B2422,CalLookUpRow,0),MATCH(H$1,CalLookUpColumn,0))</f>
        <v>5</v>
      </c>
      <c r="I2422">
        <f>INDEX(CalLookUpTable,MATCH($B2422,CalLookUpRow,0),MATCH(I$1,CalLookUpColumn,0))</f>
        <v>1</v>
      </c>
    </row>
    <row r="2423" spans="1:9" x14ac:dyDescent="0.25">
      <c r="A2423" s="7">
        <v>2</v>
      </c>
      <c r="B2423" s="8">
        <v>43589</v>
      </c>
      <c r="C2423" s="9" t="s">
        <v>4</v>
      </c>
      <c r="D2423" s="10">
        <v>2626.1969999999997</v>
      </c>
      <c r="E2423" s="10">
        <v>3603.3829999999994</v>
      </c>
      <c r="F2423" t="str">
        <f>VLOOKUP(A2423,StoreLookup,2,FALSE)</f>
        <v>Store#2</v>
      </c>
      <c r="G2423">
        <f>INDEX(CalLookUpTable,MATCH($B2423,CalLookUpRow,0),MATCH(G$1,CalLookUpColumn,0))</f>
        <v>2019</v>
      </c>
      <c r="H2423">
        <f>INDEX(CalLookUpTable,MATCH($B2423,CalLookUpRow,0),MATCH(H$1,CalLookUpColumn,0))</f>
        <v>5</v>
      </c>
      <c r="I2423">
        <f>INDEX(CalLookUpTable,MATCH($B2423,CalLookUpRow,0),MATCH(I$1,CalLookUpColumn,0))</f>
        <v>1</v>
      </c>
    </row>
    <row r="2424" spans="1:9" x14ac:dyDescent="0.25">
      <c r="A2424" s="7">
        <v>2</v>
      </c>
      <c r="B2424" s="8">
        <v>43589</v>
      </c>
      <c r="C2424" s="9" t="s">
        <v>3</v>
      </c>
      <c r="D2424" s="10">
        <v>0</v>
      </c>
      <c r="E2424" s="10">
        <v>269.06599999999997</v>
      </c>
      <c r="F2424" t="str">
        <f>VLOOKUP(A2424,StoreLookup,2,FALSE)</f>
        <v>Store#2</v>
      </c>
      <c r="G2424">
        <f>INDEX(CalLookUpTable,MATCH($B2424,CalLookUpRow,0),MATCH(G$1,CalLookUpColumn,0))</f>
        <v>2019</v>
      </c>
      <c r="H2424">
        <f>INDEX(CalLookUpTable,MATCH($B2424,CalLookUpRow,0),MATCH(H$1,CalLookUpColumn,0))</f>
        <v>5</v>
      </c>
      <c r="I2424">
        <f>INDEX(CalLookUpTable,MATCH($B2424,CalLookUpRow,0),MATCH(I$1,CalLookUpColumn,0))</f>
        <v>1</v>
      </c>
    </row>
    <row r="2425" spans="1:9" x14ac:dyDescent="0.25">
      <c r="A2425" s="7">
        <v>2</v>
      </c>
      <c r="B2425" s="8">
        <v>43589</v>
      </c>
      <c r="C2425" s="9" t="s">
        <v>5</v>
      </c>
      <c r="D2425" s="10">
        <v>954.29599999999994</v>
      </c>
      <c r="E2425" s="10">
        <v>0</v>
      </c>
      <c r="F2425" t="str">
        <f>VLOOKUP(A2425,StoreLookup,2,FALSE)</f>
        <v>Store#2</v>
      </c>
      <c r="G2425">
        <f>INDEX(CalLookUpTable,MATCH($B2425,CalLookUpRow,0),MATCH(G$1,CalLookUpColumn,0))</f>
        <v>2019</v>
      </c>
      <c r="H2425">
        <f>INDEX(CalLookUpTable,MATCH($B2425,CalLookUpRow,0),MATCH(H$1,CalLookUpColumn,0))</f>
        <v>5</v>
      </c>
      <c r="I2425">
        <f>INDEX(CalLookUpTable,MATCH($B2425,CalLookUpRow,0),MATCH(I$1,CalLookUpColumn,0))</f>
        <v>1</v>
      </c>
    </row>
    <row r="2426" spans="1:9" x14ac:dyDescent="0.25">
      <c r="A2426" s="7">
        <v>2</v>
      </c>
      <c r="B2426" s="8">
        <v>43590</v>
      </c>
      <c r="C2426" s="9" t="s">
        <v>3</v>
      </c>
      <c r="D2426" s="10">
        <v>534.98199999999997</v>
      </c>
      <c r="E2426" s="10">
        <v>0</v>
      </c>
      <c r="F2426" t="str">
        <f>VLOOKUP(A2426,StoreLookup,2,FALSE)</f>
        <v>Store#2</v>
      </c>
      <c r="G2426">
        <f>INDEX(CalLookUpTable,MATCH($B2426,CalLookUpRow,0),MATCH(G$1,CalLookUpColumn,0))</f>
        <v>2019</v>
      </c>
      <c r="H2426">
        <f>INDEX(CalLookUpTable,MATCH($B2426,CalLookUpRow,0),MATCH(H$1,CalLookUpColumn,0))</f>
        <v>5</v>
      </c>
      <c r="I2426">
        <f>INDEX(CalLookUpTable,MATCH($B2426,CalLookUpRow,0),MATCH(I$1,CalLookUpColumn,0))</f>
        <v>1</v>
      </c>
    </row>
    <row r="2427" spans="1:9" x14ac:dyDescent="0.25">
      <c r="A2427" s="7">
        <v>2</v>
      </c>
      <c r="B2427" s="8">
        <v>43590</v>
      </c>
      <c r="C2427" s="9" t="s">
        <v>6</v>
      </c>
      <c r="D2427" s="10">
        <v>417.50099999999992</v>
      </c>
      <c r="E2427" s="10">
        <v>111.755</v>
      </c>
      <c r="F2427" t="str">
        <f>VLOOKUP(A2427,StoreLookup,2,FALSE)</f>
        <v>Store#2</v>
      </c>
      <c r="G2427">
        <f>INDEX(CalLookUpTable,MATCH($B2427,CalLookUpRow,0),MATCH(G$1,CalLookUpColumn,0))</f>
        <v>2019</v>
      </c>
      <c r="H2427">
        <f>INDEX(CalLookUpTable,MATCH($B2427,CalLookUpRow,0),MATCH(H$1,CalLookUpColumn,0))</f>
        <v>5</v>
      </c>
      <c r="I2427">
        <f>INDEX(CalLookUpTable,MATCH($B2427,CalLookUpRow,0),MATCH(I$1,CalLookUpColumn,0))</f>
        <v>1</v>
      </c>
    </row>
    <row r="2428" spans="1:9" x14ac:dyDescent="0.25">
      <c r="A2428" s="7">
        <v>2</v>
      </c>
      <c r="B2428" s="8">
        <v>43590</v>
      </c>
      <c r="C2428" s="9" t="s">
        <v>4</v>
      </c>
      <c r="D2428" s="10">
        <v>1669.5979999999997</v>
      </c>
      <c r="E2428" s="10">
        <v>1506.26</v>
      </c>
      <c r="F2428" t="str">
        <f>VLOOKUP(A2428,StoreLookup,2,FALSE)</f>
        <v>Store#2</v>
      </c>
      <c r="G2428">
        <f>INDEX(CalLookUpTable,MATCH($B2428,CalLookUpRow,0),MATCH(G$1,CalLookUpColumn,0))</f>
        <v>2019</v>
      </c>
      <c r="H2428">
        <f>INDEX(CalLookUpTable,MATCH($B2428,CalLookUpRow,0),MATCH(H$1,CalLookUpColumn,0))</f>
        <v>5</v>
      </c>
      <c r="I2428">
        <f>INDEX(CalLookUpTable,MATCH($B2428,CalLookUpRow,0),MATCH(I$1,CalLookUpColumn,0))</f>
        <v>1</v>
      </c>
    </row>
    <row r="2429" spans="1:9" x14ac:dyDescent="0.25">
      <c r="A2429" s="7">
        <v>2</v>
      </c>
      <c r="B2429" s="8">
        <v>43590</v>
      </c>
      <c r="C2429" s="9" t="s">
        <v>5</v>
      </c>
      <c r="D2429" s="10">
        <v>894.27799999999991</v>
      </c>
      <c r="E2429" s="10">
        <v>0</v>
      </c>
      <c r="F2429" t="str">
        <f>VLOOKUP(A2429,StoreLookup,2,FALSE)</f>
        <v>Store#2</v>
      </c>
      <c r="G2429">
        <f>INDEX(CalLookUpTable,MATCH($B2429,CalLookUpRow,0),MATCH(G$1,CalLookUpColumn,0))</f>
        <v>2019</v>
      </c>
      <c r="H2429">
        <f>INDEX(CalLookUpTable,MATCH($B2429,CalLookUpRow,0),MATCH(H$1,CalLookUpColumn,0))</f>
        <v>5</v>
      </c>
      <c r="I2429">
        <f>INDEX(CalLookUpTable,MATCH($B2429,CalLookUpRow,0),MATCH(I$1,CalLookUpColumn,0))</f>
        <v>1</v>
      </c>
    </row>
    <row r="2430" spans="1:9" x14ac:dyDescent="0.25">
      <c r="A2430" s="7">
        <v>2</v>
      </c>
      <c r="B2430" s="8">
        <v>43591</v>
      </c>
      <c r="C2430" s="9" t="s">
        <v>4</v>
      </c>
      <c r="D2430" s="10">
        <v>1406.307</v>
      </c>
      <c r="E2430" s="10">
        <v>1648.2899999999997</v>
      </c>
      <c r="F2430" t="str">
        <f>VLOOKUP(A2430,StoreLookup,2,FALSE)</f>
        <v>Store#2</v>
      </c>
      <c r="G2430">
        <f>INDEX(CalLookUpTable,MATCH($B2430,CalLookUpRow,0),MATCH(G$1,CalLookUpColumn,0))</f>
        <v>2019</v>
      </c>
      <c r="H2430">
        <f>INDEX(CalLookUpTable,MATCH($B2430,CalLookUpRow,0),MATCH(H$1,CalLookUpColumn,0))</f>
        <v>5</v>
      </c>
      <c r="I2430">
        <f>INDEX(CalLookUpTable,MATCH($B2430,CalLookUpRow,0),MATCH(I$1,CalLookUpColumn,0))</f>
        <v>2</v>
      </c>
    </row>
    <row r="2431" spans="1:9" x14ac:dyDescent="0.25">
      <c r="A2431" s="7">
        <v>2</v>
      </c>
      <c r="B2431" s="8">
        <v>43591</v>
      </c>
      <c r="C2431" s="9" t="s">
        <v>6</v>
      </c>
      <c r="D2431" s="10">
        <v>444.17799999999994</v>
      </c>
      <c r="E2431" s="10">
        <v>331.00899999999996</v>
      </c>
      <c r="F2431" t="str">
        <f>VLOOKUP(A2431,StoreLookup,2,FALSE)</f>
        <v>Store#2</v>
      </c>
      <c r="G2431">
        <f>INDEX(CalLookUpTable,MATCH($B2431,CalLookUpRow,0),MATCH(G$1,CalLookUpColumn,0))</f>
        <v>2019</v>
      </c>
      <c r="H2431">
        <f>INDEX(CalLookUpTable,MATCH($B2431,CalLookUpRow,0),MATCH(H$1,CalLookUpColumn,0))</f>
        <v>5</v>
      </c>
      <c r="I2431">
        <f>INDEX(CalLookUpTable,MATCH($B2431,CalLookUpRow,0),MATCH(I$1,CalLookUpColumn,0))</f>
        <v>2</v>
      </c>
    </row>
    <row r="2432" spans="1:9" x14ac:dyDescent="0.25">
      <c r="A2432" s="7">
        <v>2</v>
      </c>
      <c r="B2432" s="8">
        <v>43591</v>
      </c>
      <c r="C2432" s="9" t="s">
        <v>3</v>
      </c>
      <c r="D2432" s="10">
        <v>0</v>
      </c>
      <c r="E2432" s="10">
        <v>0</v>
      </c>
      <c r="F2432" t="str">
        <f>VLOOKUP(A2432,StoreLookup,2,FALSE)</f>
        <v>Store#2</v>
      </c>
      <c r="G2432">
        <f>INDEX(CalLookUpTable,MATCH($B2432,CalLookUpRow,0),MATCH(G$1,CalLookUpColumn,0))</f>
        <v>2019</v>
      </c>
      <c r="H2432">
        <f>INDEX(CalLookUpTable,MATCH($B2432,CalLookUpRow,0),MATCH(H$1,CalLookUpColumn,0))</f>
        <v>5</v>
      </c>
      <c r="I2432">
        <f>INDEX(CalLookUpTable,MATCH($B2432,CalLookUpRow,0),MATCH(I$1,CalLookUpColumn,0))</f>
        <v>2</v>
      </c>
    </row>
    <row r="2433" spans="1:9" x14ac:dyDescent="0.25">
      <c r="A2433" s="7">
        <v>2</v>
      </c>
      <c r="B2433" s="8">
        <v>43591</v>
      </c>
      <c r="C2433" s="9" t="s">
        <v>5</v>
      </c>
      <c r="D2433" s="10">
        <v>977.66200000000003</v>
      </c>
      <c r="E2433" s="10">
        <v>0</v>
      </c>
      <c r="F2433" t="str">
        <f>VLOOKUP(A2433,StoreLookup,2,FALSE)</f>
        <v>Store#2</v>
      </c>
      <c r="G2433">
        <f>INDEX(CalLookUpTable,MATCH($B2433,CalLookUpRow,0),MATCH(G$1,CalLookUpColumn,0))</f>
        <v>2019</v>
      </c>
      <c r="H2433">
        <f>INDEX(CalLookUpTable,MATCH($B2433,CalLookUpRow,0),MATCH(H$1,CalLookUpColumn,0))</f>
        <v>5</v>
      </c>
      <c r="I2433">
        <f>INDEX(CalLookUpTable,MATCH($B2433,CalLookUpRow,0),MATCH(I$1,CalLookUpColumn,0))</f>
        <v>2</v>
      </c>
    </row>
    <row r="2434" spans="1:9" x14ac:dyDescent="0.25">
      <c r="A2434" s="7">
        <v>2</v>
      </c>
      <c r="B2434" s="8">
        <v>43592</v>
      </c>
      <c r="C2434" s="9" t="s">
        <v>5</v>
      </c>
      <c r="D2434" s="10">
        <v>1067.059</v>
      </c>
      <c r="E2434" s="10">
        <v>0</v>
      </c>
      <c r="F2434" t="str">
        <f>VLOOKUP(A2434,StoreLookup,2,FALSE)</f>
        <v>Store#2</v>
      </c>
      <c r="G2434">
        <f>INDEX(CalLookUpTable,MATCH($B2434,CalLookUpRow,0),MATCH(G$1,CalLookUpColumn,0))</f>
        <v>2019</v>
      </c>
      <c r="H2434">
        <f>INDEX(CalLookUpTable,MATCH($B2434,CalLookUpRow,0),MATCH(H$1,CalLookUpColumn,0))</f>
        <v>5</v>
      </c>
      <c r="I2434">
        <f>INDEX(CalLookUpTable,MATCH($B2434,CalLookUpRow,0),MATCH(I$1,CalLookUpColumn,0))</f>
        <v>2</v>
      </c>
    </row>
    <row r="2435" spans="1:9" x14ac:dyDescent="0.25">
      <c r="A2435" s="7">
        <v>2</v>
      </c>
      <c r="B2435" s="8">
        <v>43592</v>
      </c>
      <c r="C2435" s="9" t="s">
        <v>3</v>
      </c>
      <c r="D2435" s="10">
        <v>211.56100000000001</v>
      </c>
      <c r="E2435" s="10">
        <v>0</v>
      </c>
      <c r="F2435" t="str">
        <f>VLOOKUP(A2435,StoreLookup,2,FALSE)</f>
        <v>Store#2</v>
      </c>
      <c r="G2435">
        <f>INDEX(CalLookUpTable,MATCH($B2435,CalLookUpRow,0),MATCH(G$1,CalLookUpColumn,0))</f>
        <v>2019</v>
      </c>
      <c r="H2435">
        <f>INDEX(CalLookUpTable,MATCH($B2435,CalLookUpRow,0),MATCH(H$1,CalLookUpColumn,0))</f>
        <v>5</v>
      </c>
      <c r="I2435">
        <f>INDEX(CalLookUpTable,MATCH($B2435,CalLookUpRow,0),MATCH(I$1,CalLookUpColumn,0))</f>
        <v>2</v>
      </c>
    </row>
    <row r="2436" spans="1:9" x14ac:dyDescent="0.25">
      <c r="A2436" s="7">
        <v>2</v>
      </c>
      <c r="B2436" s="8">
        <v>43592</v>
      </c>
      <c r="C2436" s="9" t="s">
        <v>4</v>
      </c>
      <c r="D2436" s="10">
        <v>1772.6729999999998</v>
      </c>
      <c r="E2436" s="10">
        <v>2723.4059999999999</v>
      </c>
      <c r="F2436" t="str">
        <f>VLOOKUP(A2436,StoreLookup,2,FALSE)</f>
        <v>Store#2</v>
      </c>
      <c r="G2436">
        <f>INDEX(CalLookUpTable,MATCH($B2436,CalLookUpRow,0),MATCH(G$1,CalLookUpColumn,0))</f>
        <v>2019</v>
      </c>
      <c r="H2436">
        <f>INDEX(CalLookUpTable,MATCH($B2436,CalLookUpRow,0),MATCH(H$1,CalLookUpColumn,0))</f>
        <v>5</v>
      </c>
      <c r="I2436">
        <f>INDEX(CalLookUpTable,MATCH($B2436,CalLookUpRow,0),MATCH(I$1,CalLookUpColumn,0))</f>
        <v>2</v>
      </c>
    </row>
    <row r="2437" spans="1:9" x14ac:dyDescent="0.25">
      <c r="A2437" s="7">
        <v>2</v>
      </c>
      <c r="B2437" s="8">
        <v>43592</v>
      </c>
      <c r="C2437" s="9" t="s">
        <v>6</v>
      </c>
      <c r="D2437" s="10">
        <v>591.84999999999991</v>
      </c>
      <c r="E2437" s="10">
        <v>367.99700000000001</v>
      </c>
      <c r="F2437" t="str">
        <f>VLOOKUP(A2437,StoreLookup,2,FALSE)</f>
        <v>Store#2</v>
      </c>
      <c r="G2437">
        <f>INDEX(CalLookUpTable,MATCH($B2437,CalLookUpRow,0),MATCH(G$1,CalLookUpColumn,0))</f>
        <v>2019</v>
      </c>
      <c r="H2437">
        <f>INDEX(CalLookUpTable,MATCH($B2437,CalLookUpRow,0),MATCH(H$1,CalLookUpColumn,0))</f>
        <v>5</v>
      </c>
      <c r="I2437">
        <f>INDEX(CalLookUpTable,MATCH($B2437,CalLookUpRow,0),MATCH(I$1,CalLookUpColumn,0))</f>
        <v>2</v>
      </c>
    </row>
    <row r="2438" spans="1:9" x14ac:dyDescent="0.25">
      <c r="A2438" s="7">
        <v>2</v>
      </c>
      <c r="B2438" s="8">
        <v>43593</v>
      </c>
      <c r="C2438" s="9" t="s">
        <v>3</v>
      </c>
      <c r="D2438" s="10">
        <v>448.39199999999994</v>
      </c>
      <c r="E2438" s="10">
        <v>181.53799999999998</v>
      </c>
      <c r="F2438" t="str">
        <f>VLOOKUP(A2438,StoreLookup,2,FALSE)</f>
        <v>Store#2</v>
      </c>
      <c r="G2438">
        <f>INDEX(CalLookUpTable,MATCH($B2438,CalLookUpRow,0),MATCH(G$1,CalLookUpColumn,0))</f>
        <v>2019</v>
      </c>
      <c r="H2438">
        <f>INDEX(CalLookUpTable,MATCH($B2438,CalLookUpRow,0),MATCH(H$1,CalLookUpColumn,0))</f>
        <v>5</v>
      </c>
      <c r="I2438">
        <f>INDEX(CalLookUpTable,MATCH($B2438,CalLookUpRow,0),MATCH(I$1,CalLookUpColumn,0))</f>
        <v>2</v>
      </c>
    </row>
    <row r="2439" spans="1:9" x14ac:dyDescent="0.25">
      <c r="A2439" s="7">
        <v>2</v>
      </c>
      <c r="B2439" s="8">
        <v>43593</v>
      </c>
      <c r="C2439" s="9" t="s">
        <v>4</v>
      </c>
      <c r="D2439" s="10">
        <v>2090.06</v>
      </c>
      <c r="E2439" s="10">
        <v>1891.127</v>
      </c>
      <c r="F2439" t="str">
        <f>VLOOKUP(A2439,StoreLookup,2,FALSE)</f>
        <v>Store#2</v>
      </c>
      <c r="G2439">
        <f>INDEX(CalLookUpTable,MATCH($B2439,CalLookUpRow,0),MATCH(G$1,CalLookUpColumn,0))</f>
        <v>2019</v>
      </c>
      <c r="H2439">
        <f>INDEX(CalLookUpTable,MATCH($B2439,CalLookUpRow,0),MATCH(H$1,CalLookUpColumn,0))</f>
        <v>5</v>
      </c>
      <c r="I2439">
        <f>INDEX(CalLookUpTable,MATCH($B2439,CalLookUpRow,0),MATCH(I$1,CalLookUpColumn,0))</f>
        <v>2</v>
      </c>
    </row>
    <row r="2440" spans="1:9" x14ac:dyDescent="0.25">
      <c r="A2440" s="7">
        <v>2</v>
      </c>
      <c r="B2440" s="8">
        <v>43593</v>
      </c>
      <c r="C2440" s="9" t="s">
        <v>6</v>
      </c>
      <c r="D2440" s="10">
        <v>183.904</v>
      </c>
      <c r="E2440" s="10">
        <v>398.14599999999996</v>
      </c>
      <c r="F2440" t="str">
        <f>VLOOKUP(A2440,StoreLookup,2,FALSE)</f>
        <v>Store#2</v>
      </c>
      <c r="G2440">
        <f>INDEX(CalLookUpTable,MATCH($B2440,CalLookUpRow,0),MATCH(G$1,CalLookUpColumn,0))</f>
        <v>2019</v>
      </c>
      <c r="H2440">
        <f>INDEX(CalLookUpTable,MATCH($B2440,CalLookUpRow,0),MATCH(H$1,CalLookUpColumn,0))</f>
        <v>5</v>
      </c>
      <c r="I2440">
        <f>INDEX(CalLookUpTable,MATCH($B2440,CalLookUpRow,0),MATCH(I$1,CalLookUpColumn,0))</f>
        <v>2</v>
      </c>
    </row>
    <row r="2441" spans="1:9" x14ac:dyDescent="0.25">
      <c r="A2441" s="7">
        <v>2</v>
      </c>
      <c r="B2441" s="8">
        <v>43593</v>
      </c>
      <c r="C2441" s="9" t="s">
        <v>5</v>
      </c>
      <c r="D2441" s="10">
        <v>912.35199999999986</v>
      </c>
      <c r="E2441" s="10">
        <v>0</v>
      </c>
      <c r="F2441" t="str">
        <f>VLOOKUP(A2441,StoreLookup,2,FALSE)</f>
        <v>Store#2</v>
      </c>
      <c r="G2441">
        <f>INDEX(CalLookUpTable,MATCH($B2441,CalLookUpRow,0),MATCH(G$1,CalLookUpColumn,0))</f>
        <v>2019</v>
      </c>
      <c r="H2441">
        <f>INDEX(CalLookUpTable,MATCH($B2441,CalLookUpRow,0),MATCH(H$1,CalLookUpColumn,0))</f>
        <v>5</v>
      </c>
      <c r="I2441">
        <f>INDEX(CalLookUpTable,MATCH($B2441,CalLookUpRow,0),MATCH(I$1,CalLookUpColumn,0))</f>
        <v>2</v>
      </c>
    </row>
    <row r="2442" spans="1:9" x14ac:dyDescent="0.25">
      <c r="A2442" s="7">
        <v>2</v>
      </c>
      <c r="B2442" s="8">
        <v>43594</v>
      </c>
      <c r="C2442" s="9" t="s">
        <v>5</v>
      </c>
      <c r="D2442" s="10">
        <v>1095.5</v>
      </c>
      <c r="E2442" s="10">
        <v>0</v>
      </c>
      <c r="F2442" t="str">
        <f>VLOOKUP(A2442,StoreLookup,2,FALSE)</f>
        <v>Store#2</v>
      </c>
      <c r="G2442">
        <f>INDEX(CalLookUpTable,MATCH($B2442,CalLookUpRow,0),MATCH(G$1,CalLookUpColumn,0))</f>
        <v>2019</v>
      </c>
      <c r="H2442">
        <f>INDEX(CalLookUpTable,MATCH($B2442,CalLookUpRow,0),MATCH(H$1,CalLookUpColumn,0))</f>
        <v>5</v>
      </c>
      <c r="I2442">
        <f>INDEX(CalLookUpTable,MATCH($B2442,CalLookUpRow,0),MATCH(I$1,CalLookUpColumn,0))</f>
        <v>2</v>
      </c>
    </row>
    <row r="2443" spans="1:9" x14ac:dyDescent="0.25">
      <c r="A2443" s="7">
        <v>2</v>
      </c>
      <c r="B2443" s="8">
        <v>43594</v>
      </c>
      <c r="C2443" s="9" t="s">
        <v>4</v>
      </c>
      <c r="D2443" s="10">
        <v>1718.9269999999999</v>
      </c>
      <c r="E2443" s="10">
        <v>2426.4659999999999</v>
      </c>
      <c r="F2443" t="str">
        <f>VLOOKUP(A2443,StoreLookup,2,FALSE)</f>
        <v>Store#2</v>
      </c>
      <c r="G2443">
        <f>INDEX(CalLookUpTable,MATCH($B2443,CalLookUpRow,0),MATCH(G$1,CalLookUpColumn,0))</f>
        <v>2019</v>
      </c>
      <c r="H2443">
        <f>INDEX(CalLookUpTable,MATCH($B2443,CalLookUpRow,0),MATCH(H$1,CalLookUpColumn,0))</f>
        <v>5</v>
      </c>
      <c r="I2443">
        <f>INDEX(CalLookUpTable,MATCH($B2443,CalLookUpRow,0),MATCH(I$1,CalLookUpColumn,0))</f>
        <v>2</v>
      </c>
    </row>
    <row r="2444" spans="1:9" x14ac:dyDescent="0.25">
      <c r="A2444" s="7">
        <v>2</v>
      </c>
      <c r="B2444" s="8">
        <v>43594</v>
      </c>
      <c r="C2444" s="9" t="s">
        <v>6</v>
      </c>
      <c r="D2444" s="10">
        <v>246.88299999999998</v>
      </c>
      <c r="E2444" s="10">
        <v>535.19199999999989</v>
      </c>
      <c r="F2444" t="str">
        <f>VLOOKUP(A2444,StoreLookup,2,FALSE)</f>
        <v>Store#2</v>
      </c>
      <c r="G2444">
        <f>INDEX(CalLookUpTable,MATCH($B2444,CalLookUpRow,0),MATCH(G$1,CalLookUpColumn,0))</f>
        <v>2019</v>
      </c>
      <c r="H2444">
        <f>INDEX(CalLookUpTable,MATCH($B2444,CalLookUpRow,0),MATCH(H$1,CalLookUpColumn,0))</f>
        <v>5</v>
      </c>
      <c r="I2444">
        <f>INDEX(CalLookUpTable,MATCH($B2444,CalLookUpRow,0),MATCH(I$1,CalLookUpColumn,0))</f>
        <v>2</v>
      </c>
    </row>
    <row r="2445" spans="1:9" x14ac:dyDescent="0.25">
      <c r="A2445" s="7">
        <v>2</v>
      </c>
      <c r="B2445" s="8">
        <v>43594</v>
      </c>
      <c r="C2445" s="9" t="s">
        <v>3</v>
      </c>
      <c r="D2445" s="10">
        <v>0</v>
      </c>
      <c r="E2445" s="10">
        <v>0</v>
      </c>
      <c r="F2445" t="str">
        <f>VLOOKUP(A2445,StoreLookup,2,FALSE)</f>
        <v>Store#2</v>
      </c>
      <c r="G2445">
        <f>INDEX(CalLookUpTable,MATCH($B2445,CalLookUpRow,0),MATCH(G$1,CalLookUpColumn,0))</f>
        <v>2019</v>
      </c>
      <c r="H2445">
        <f>INDEX(CalLookUpTable,MATCH($B2445,CalLookUpRow,0),MATCH(H$1,CalLookUpColumn,0))</f>
        <v>5</v>
      </c>
      <c r="I2445">
        <f>INDEX(CalLookUpTable,MATCH($B2445,CalLookUpRow,0),MATCH(I$1,CalLookUpColumn,0))</f>
        <v>2</v>
      </c>
    </row>
    <row r="2446" spans="1:9" x14ac:dyDescent="0.25">
      <c r="A2446" s="7">
        <v>2</v>
      </c>
      <c r="B2446" s="8">
        <v>43595</v>
      </c>
      <c r="C2446" s="9" t="s">
        <v>5</v>
      </c>
      <c r="D2446" s="10">
        <v>1158.43</v>
      </c>
      <c r="E2446" s="10">
        <v>0</v>
      </c>
      <c r="F2446" t="str">
        <f>VLOOKUP(A2446,StoreLookup,2,FALSE)</f>
        <v>Store#2</v>
      </c>
      <c r="G2446">
        <f>INDEX(CalLookUpTable,MATCH($B2446,CalLookUpRow,0),MATCH(G$1,CalLookUpColumn,0))</f>
        <v>2019</v>
      </c>
      <c r="H2446">
        <f>INDEX(CalLookUpTable,MATCH($B2446,CalLookUpRow,0),MATCH(H$1,CalLookUpColumn,0))</f>
        <v>5</v>
      </c>
      <c r="I2446">
        <f>INDEX(CalLookUpTable,MATCH($B2446,CalLookUpRow,0),MATCH(I$1,CalLookUpColumn,0))</f>
        <v>2</v>
      </c>
    </row>
    <row r="2447" spans="1:9" x14ac:dyDescent="0.25">
      <c r="A2447" s="7">
        <v>2</v>
      </c>
      <c r="B2447" s="8">
        <v>43595</v>
      </c>
      <c r="C2447" s="9" t="s">
        <v>3</v>
      </c>
      <c r="D2447" s="10">
        <v>0</v>
      </c>
      <c r="E2447" s="10">
        <v>276.94799999999998</v>
      </c>
      <c r="F2447" t="str">
        <f>VLOOKUP(A2447,StoreLookup,2,FALSE)</f>
        <v>Store#2</v>
      </c>
      <c r="G2447">
        <f>INDEX(CalLookUpTable,MATCH($B2447,CalLookUpRow,0),MATCH(G$1,CalLookUpColumn,0))</f>
        <v>2019</v>
      </c>
      <c r="H2447">
        <f>INDEX(CalLookUpTable,MATCH($B2447,CalLookUpRow,0),MATCH(H$1,CalLookUpColumn,0))</f>
        <v>5</v>
      </c>
      <c r="I2447">
        <f>INDEX(CalLookUpTable,MATCH($B2447,CalLookUpRow,0),MATCH(I$1,CalLookUpColumn,0))</f>
        <v>2</v>
      </c>
    </row>
    <row r="2448" spans="1:9" x14ac:dyDescent="0.25">
      <c r="A2448" s="7">
        <v>2</v>
      </c>
      <c r="B2448" s="8">
        <v>43595</v>
      </c>
      <c r="C2448" s="9" t="s">
        <v>4</v>
      </c>
      <c r="D2448" s="10">
        <v>1910.027</v>
      </c>
      <c r="E2448" s="10">
        <v>2847.4389999999999</v>
      </c>
      <c r="F2448" t="str">
        <f>VLOOKUP(A2448,StoreLookup,2,FALSE)</f>
        <v>Store#2</v>
      </c>
      <c r="G2448">
        <f>INDEX(CalLookUpTable,MATCH($B2448,CalLookUpRow,0),MATCH(G$1,CalLookUpColumn,0))</f>
        <v>2019</v>
      </c>
      <c r="H2448">
        <f>INDEX(CalLookUpTable,MATCH($B2448,CalLookUpRow,0),MATCH(H$1,CalLookUpColumn,0))</f>
        <v>5</v>
      </c>
      <c r="I2448">
        <f>INDEX(CalLookUpTable,MATCH($B2448,CalLookUpRow,0),MATCH(I$1,CalLookUpColumn,0))</f>
        <v>2</v>
      </c>
    </row>
    <row r="2449" spans="1:9" x14ac:dyDescent="0.25">
      <c r="A2449" s="7">
        <v>2</v>
      </c>
      <c r="B2449" s="8">
        <v>43595</v>
      </c>
      <c r="C2449" s="9" t="s">
        <v>6</v>
      </c>
      <c r="D2449" s="10">
        <v>446.15199999999999</v>
      </c>
      <c r="E2449" s="10">
        <v>360.07299999999998</v>
      </c>
      <c r="F2449" t="str">
        <f>VLOOKUP(A2449,StoreLookup,2,FALSE)</f>
        <v>Store#2</v>
      </c>
      <c r="G2449">
        <f>INDEX(CalLookUpTable,MATCH($B2449,CalLookUpRow,0),MATCH(G$1,CalLookUpColumn,0))</f>
        <v>2019</v>
      </c>
      <c r="H2449">
        <f>INDEX(CalLookUpTable,MATCH($B2449,CalLookUpRow,0),MATCH(H$1,CalLookUpColumn,0))</f>
        <v>5</v>
      </c>
      <c r="I2449">
        <f>INDEX(CalLookUpTable,MATCH($B2449,CalLookUpRow,0),MATCH(I$1,CalLookUpColumn,0))</f>
        <v>2</v>
      </c>
    </row>
    <row r="2450" spans="1:9" x14ac:dyDescent="0.25">
      <c r="A2450" s="7">
        <v>2</v>
      </c>
      <c r="B2450" s="8">
        <v>43596</v>
      </c>
      <c r="C2450" s="9" t="s">
        <v>4</v>
      </c>
      <c r="D2450" s="10">
        <v>2309.2579999999998</v>
      </c>
      <c r="E2450" s="10">
        <v>2544.85</v>
      </c>
      <c r="F2450" t="str">
        <f>VLOOKUP(A2450,StoreLookup,2,FALSE)</f>
        <v>Store#2</v>
      </c>
      <c r="G2450">
        <f>INDEX(CalLookUpTable,MATCH($B2450,CalLookUpRow,0),MATCH(G$1,CalLookUpColumn,0))</f>
        <v>2019</v>
      </c>
      <c r="H2450">
        <f>INDEX(CalLookUpTable,MATCH($B2450,CalLookUpRow,0),MATCH(H$1,CalLookUpColumn,0))</f>
        <v>5</v>
      </c>
      <c r="I2450">
        <f>INDEX(CalLookUpTable,MATCH($B2450,CalLookUpRow,0),MATCH(I$1,CalLookUpColumn,0))</f>
        <v>2</v>
      </c>
    </row>
    <row r="2451" spans="1:9" x14ac:dyDescent="0.25">
      <c r="A2451" s="7">
        <v>2</v>
      </c>
      <c r="B2451" s="8">
        <v>43596</v>
      </c>
      <c r="C2451" s="9" t="s">
        <v>3</v>
      </c>
      <c r="D2451" s="10">
        <v>448.97999999999996</v>
      </c>
      <c r="E2451" s="10">
        <v>0</v>
      </c>
      <c r="F2451" t="str">
        <f>VLOOKUP(A2451,StoreLookup,2,FALSE)</f>
        <v>Store#2</v>
      </c>
      <c r="G2451">
        <f>INDEX(CalLookUpTable,MATCH($B2451,CalLookUpRow,0),MATCH(G$1,CalLookUpColumn,0))</f>
        <v>2019</v>
      </c>
      <c r="H2451">
        <f>INDEX(CalLookUpTable,MATCH($B2451,CalLookUpRow,0),MATCH(H$1,CalLookUpColumn,0))</f>
        <v>5</v>
      </c>
      <c r="I2451">
        <f>INDEX(CalLookUpTable,MATCH($B2451,CalLookUpRow,0),MATCH(I$1,CalLookUpColumn,0))</f>
        <v>2</v>
      </c>
    </row>
    <row r="2452" spans="1:9" x14ac:dyDescent="0.25">
      <c r="A2452" s="7">
        <v>2</v>
      </c>
      <c r="B2452" s="8">
        <v>43596</v>
      </c>
      <c r="C2452" s="9" t="s">
        <v>6</v>
      </c>
      <c r="D2452" s="10">
        <v>480.24900000000002</v>
      </c>
      <c r="E2452" s="10">
        <v>537.22900000000004</v>
      </c>
      <c r="F2452" t="str">
        <f>VLOOKUP(A2452,StoreLookup,2,FALSE)</f>
        <v>Store#2</v>
      </c>
      <c r="G2452">
        <f>INDEX(CalLookUpTable,MATCH($B2452,CalLookUpRow,0),MATCH(G$1,CalLookUpColumn,0))</f>
        <v>2019</v>
      </c>
      <c r="H2452">
        <f>INDEX(CalLookUpTable,MATCH($B2452,CalLookUpRow,0),MATCH(H$1,CalLookUpColumn,0))</f>
        <v>5</v>
      </c>
      <c r="I2452">
        <f>INDEX(CalLookUpTable,MATCH($B2452,CalLookUpRow,0),MATCH(I$1,CalLookUpColumn,0))</f>
        <v>2</v>
      </c>
    </row>
    <row r="2453" spans="1:9" x14ac:dyDescent="0.25">
      <c r="A2453" s="7">
        <v>2</v>
      </c>
      <c r="B2453" s="8">
        <v>43596</v>
      </c>
      <c r="C2453" s="9" t="s">
        <v>5</v>
      </c>
      <c r="D2453" s="10">
        <v>1081.346</v>
      </c>
      <c r="E2453" s="10">
        <v>0</v>
      </c>
      <c r="F2453" t="str">
        <f>VLOOKUP(A2453,StoreLookup,2,FALSE)</f>
        <v>Store#2</v>
      </c>
      <c r="G2453">
        <f>INDEX(CalLookUpTable,MATCH($B2453,CalLookUpRow,0),MATCH(G$1,CalLookUpColumn,0))</f>
        <v>2019</v>
      </c>
      <c r="H2453">
        <f>INDEX(CalLookUpTable,MATCH($B2453,CalLookUpRow,0),MATCH(H$1,CalLookUpColumn,0))</f>
        <v>5</v>
      </c>
      <c r="I2453">
        <f>INDEX(CalLookUpTable,MATCH($B2453,CalLookUpRow,0),MATCH(I$1,CalLookUpColumn,0))</f>
        <v>2</v>
      </c>
    </row>
    <row r="2454" spans="1:9" x14ac:dyDescent="0.25">
      <c r="A2454" s="7">
        <v>2</v>
      </c>
      <c r="B2454" s="8">
        <v>43597</v>
      </c>
      <c r="C2454" s="9" t="s">
        <v>6</v>
      </c>
      <c r="D2454" s="10">
        <v>317.56200000000001</v>
      </c>
      <c r="E2454" s="10">
        <v>539.95899999999995</v>
      </c>
      <c r="F2454" t="str">
        <f>VLOOKUP(A2454,StoreLookup,2,FALSE)</f>
        <v>Store#2</v>
      </c>
      <c r="G2454">
        <f>INDEX(CalLookUpTable,MATCH($B2454,CalLookUpRow,0),MATCH(G$1,CalLookUpColumn,0))</f>
        <v>2019</v>
      </c>
      <c r="H2454">
        <f>INDEX(CalLookUpTable,MATCH($B2454,CalLookUpRow,0),MATCH(H$1,CalLookUpColumn,0))</f>
        <v>5</v>
      </c>
      <c r="I2454">
        <f>INDEX(CalLookUpTable,MATCH($B2454,CalLookUpRow,0),MATCH(I$1,CalLookUpColumn,0))</f>
        <v>2</v>
      </c>
    </row>
    <row r="2455" spans="1:9" x14ac:dyDescent="0.25">
      <c r="A2455" s="7">
        <v>2</v>
      </c>
      <c r="B2455" s="8">
        <v>43597</v>
      </c>
      <c r="C2455" s="9" t="s">
        <v>4</v>
      </c>
      <c r="D2455" s="10">
        <v>1471.8689999999999</v>
      </c>
      <c r="E2455" s="10">
        <v>1559.18</v>
      </c>
      <c r="F2455" t="str">
        <f>VLOOKUP(A2455,StoreLookup,2,FALSE)</f>
        <v>Store#2</v>
      </c>
      <c r="G2455">
        <f>INDEX(CalLookUpTable,MATCH($B2455,CalLookUpRow,0),MATCH(G$1,CalLookUpColumn,0))</f>
        <v>2019</v>
      </c>
      <c r="H2455">
        <f>INDEX(CalLookUpTable,MATCH($B2455,CalLookUpRow,0),MATCH(H$1,CalLookUpColumn,0))</f>
        <v>5</v>
      </c>
      <c r="I2455">
        <f>INDEX(CalLookUpTable,MATCH($B2455,CalLookUpRow,0),MATCH(I$1,CalLookUpColumn,0))</f>
        <v>2</v>
      </c>
    </row>
    <row r="2456" spans="1:9" x14ac:dyDescent="0.25">
      <c r="A2456" s="7">
        <v>2</v>
      </c>
      <c r="B2456" s="8">
        <v>43597</v>
      </c>
      <c r="C2456" s="9" t="s">
        <v>3</v>
      </c>
      <c r="D2456" s="10">
        <v>0</v>
      </c>
      <c r="E2456" s="10">
        <v>16.001999999999999</v>
      </c>
      <c r="F2456" t="str">
        <f>VLOOKUP(A2456,StoreLookup,2,FALSE)</f>
        <v>Store#2</v>
      </c>
      <c r="G2456">
        <f>INDEX(CalLookUpTable,MATCH($B2456,CalLookUpRow,0),MATCH(G$1,CalLookUpColumn,0))</f>
        <v>2019</v>
      </c>
      <c r="H2456">
        <f>INDEX(CalLookUpTable,MATCH($B2456,CalLookUpRow,0),MATCH(H$1,CalLookUpColumn,0))</f>
        <v>5</v>
      </c>
      <c r="I2456">
        <f>INDEX(CalLookUpTable,MATCH($B2456,CalLookUpRow,0),MATCH(I$1,CalLookUpColumn,0))</f>
        <v>2</v>
      </c>
    </row>
    <row r="2457" spans="1:9" x14ac:dyDescent="0.25">
      <c r="A2457" s="7">
        <v>2</v>
      </c>
      <c r="B2457" s="8">
        <v>43597</v>
      </c>
      <c r="C2457" s="9" t="s">
        <v>5</v>
      </c>
      <c r="D2457" s="10">
        <v>777.84699999999998</v>
      </c>
      <c r="E2457" s="10">
        <v>0</v>
      </c>
      <c r="F2457" t="str">
        <f>VLOOKUP(A2457,StoreLookup,2,FALSE)</f>
        <v>Store#2</v>
      </c>
      <c r="G2457">
        <f>INDEX(CalLookUpTable,MATCH($B2457,CalLookUpRow,0),MATCH(G$1,CalLookUpColumn,0))</f>
        <v>2019</v>
      </c>
      <c r="H2457">
        <f>INDEX(CalLookUpTable,MATCH($B2457,CalLookUpRow,0),MATCH(H$1,CalLookUpColumn,0))</f>
        <v>5</v>
      </c>
      <c r="I2457">
        <f>INDEX(CalLookUpTable,MATCH($B2457,CalLookUpRow,0),MATCH(I$1,CalLookUpColumn,0))</f>
        <v>2</v>
      </c>
    </row>
    <row r="2458" spans="1:9" x14ac:dyDescent="0.25">
      <c r="A2458" s="7">
        <v>2</v>
      </c>
      <c r="B2458" s="8">
        <v>43598</v>
      </c>
      <c r="C2458" s="9" t="s">
        <v>4</v>
      </c>
      <c r="D2458" s="10">
        <v>1862.8119999999997</v>
      </c>
      <c r="E2458" s="10">
        <v>1765.5889999999999</v>
      </c>
      <c r="F2458" t="str">
        <f>VLOOKUP(A2458,StoreLookup,2,FALSE)</f>
        <v>Store#2</v>
      </c>
      <c r="G2458">
        <f>INDEX(CalLookUpTable,MATCH($B2458,CalLookUpRow,0),MATCH(G$1,CalLookUpColumn,0))</f>
        <v>2019</v>
      </c>
      <c r="H2458">
        <f>INDEX(CalLookUpTable,MATCH($B2458,CalLookUpRow,0),MATCH(H$1,CalLookUpColumn,0))</f>
        <v>5</v>
      </c>
      <c r="I2458">
        <f>INDEX(CalLookUpTable,MATCH($B2458,CalLookUpRow,0),MATCH(I$1,CalLookUpColumn,0))</f>
        <v>3</v>
      </c>
    </row>
    <row r="2459" spans="1:9" x14ac:dyDescent="0.25">
      <c r="A2459" s="7">
        <v>2</v>
      </c>
      <c r="B2459" s="8">
        <v>43598</v>
      </c>
      <c r="C2459" s="9" t="s">
        <v>5</v>
      </c>
      <c r="D2459" s="10">
        <v>853.35599999999988</v>
      </c>
      <c r="E2459" s="10">
        <v>0</v>
      </c>
      <c r="F2459" t="str">
        <f>VLOOKUP(A2459,StoreLookup,2,FALSE)</f>
        <v>Store#2</v>
      </c>
      <c r="G2459">
        <f>INDEX(CalLookUpTable,MATCH($B2459,CalLookUpRow,0),MATCH(G$1,CalLookUpColumn,0))</f>
        <v>2019</v>
      </c>
      <c r="H2459">
        <f>INDEX(CalLookUpTable,MATCH($B2459,CalLookUpRow,0),MATCH(H$1,CalLookUpColumn,0))</f>
        <v>5</v>
      </c>
      <c r="I2459">
        <f>INDEX(CalLookUpTable,MATCH($B2459,CalLookUpRow,0),MATCH(I$1,CalLookUpColumn,0))</f>
        <v>3</v>
      </c>
    </row>
    <row r="2460" spans="1:9" x14ac:dyDescent="0.25">
      <c r="A2460" s="7">
        <v>2</v>
      </c>
      <c r="B2460" s="8">
        <v>43598</v>
      </c>
      <c r="C2460" s="9" t="s">
        <v>3</v>
      </c>
      <c r="D2460" s="10">
        <v>36.231999999999999</v>
      </c>
      <c r="E2460" s="10">
        <v>278.67699999999996</v>
      </c>
      <c r="F2460" t="str">
        <f>VLOOKUP(A2460,StoreLookup,2,FALSE)</f>
        <v>Store#2</v>
      </c>
      <c r="G2460">
        <f>INDEX(CalLookUpTable,MATCH($B2460,CalLookUpRow,0),MATCH(G$1,CalLookUpColumn,0))</f>
        <v>2019</v>
      </c>
      <c r="H2460">
        <f>INDEX(CalLookUpTable,MATCH($B2460,CalLookUpRow,0),MATCH(H$1,CalLookUpColumn,0))</f>
        <v>5</v>
      </c>
      <c r="I2460">
        <f>INDEX(CalLookUpTable,MATCH($B2460,CalLookUpRow,0),MATCH(I$1,CalLookUpColumn,0))</f>
        <v>3</v>
      </c>
    </row>
    <row r="2461" spans="1:9" x14ac:dyDescent="0.25">
      <c r="A2461" s="7">
        <v>2</v>
      </c>
      <c r="B2461" s="8">
        <v>43598</v>
      </c>
      <c r="C2461" s="9" t="s">
        <v>6</v>
      </c>
      <c r="D2461" s="10">
        <v>345.82099999999997</v>
      </c>
      <c r="E2461" s="10">
        <v>355.334</v>
      </c>
      <c r="F2461" t="str">
        <f>VLOOKUP(A2461,StoreLookup,2,FALSE)</f>
        <v>Store#2</v>
      </c>
      <c r="G2461">
        <f>INDEX(CalLookUpTable,MATCH($B2461,CalLookUpRow,0),MATCH(G$1,CalLookUpColumn,0))</f>
        <v>2019</v>
      </c>
      <c r="H2461">
        <f>INDEX(CalLookUpTable,MATCH($B2461,CalLookUpRow,0),MATCH(H$1,CalLookUpColumn,0))</f>
        <v>5</v>
      </c>
      <c r="I2461">
        <f>INDEX(CalLookUpTable,MATCH($B2461,CalLookUpRow,0),MATCH(I$1,CalLookUpColumn,0))</f>
        <v>3</v>
      </c>
    </row>
    <row r="2462" spans="1:9" x14ac:dyDescent="0.25">
      <c r="A2462" s="7">
        <v>2</v>
      </c>
      <c r="B2462" s="8">
        <v>43599</v>
      </c>
      <c r="C2462" s="9" t="s">
        <v>5</v>
      </c>
      <c r="D2462" s="10">
        <v>958.99299999999994</v>
      </c>
      <c r="E2462" s="10">
        <v>0</v>
      </c>
      <c r="F2462" t="str">
        <f>VLOOKUP(A2462,StoreLookup,2,FALSE)</f>
        <v>Store#2</v>
      </c>
      <c r="G2462">
        <f>INDEX(CalLookUpTable,MATCH($B2462,CalLookUpRow,0),MATCH(G$1,CalLookUpColumn,0))</f>
        <v>2019</v>
      </c>
      <c r="H2462">
        <f>INDEX(CalLookUpTable,MATCH($B2462,CalLookUpRow,0),MATCH(H$1,CalLookUpColumn,0))</f>
        <v>5</v>
      </c>
      <c r="I2462">
        <f>INDEX(CalLookUpTable,MATCH($B2462,CalLookUpRow,0),MATCH(I$1,CalLookUpColumn,0))</f>
        <v>3</v>
      </c>
    </row>
    <row r="2463" spans="1:9" x14ac:dyDescent="0.25">
      <c r="A2463" s="7">
        <v>2</v>
      </c>
      <c r="B2463" s="8">
        <v>43599</v>
      </c>
      <c r="C2463" s="9" t="s">
        <v>4</v>
      </c>
      <c r="D2463" s="10">
        <v>1769.1589999999999</v>
      </c>
      <c r="E2463" s="10">
        <v>1965.6210000000001</v>
      </c>
      <c r="F2463" t="str">
        <f>VLOOKUP(A2463,StoreLookup,2,FALSE)</f>
        <v>Store#2</v>
      </c>
      <c r="G2463">
        <f>INDEX(CalLookUpTable,MATCH($B2463,CalLookUpRow,0),MATCH(G$1,CalLookUpColumn,0))</f>
        <v>2019</v>
      </c>
      <c r="H2463">
        <f>INDEX(CalLookUpTable,MATCH($B2463,CalLookUpRow,0),MATCH(H$1,CalLookUpColumn,0))</f>
        <v>5</v>
      </c>
      <c r="I2463">
        <f>INDEX(CalLookUpTable,MATCH($B2463,CalLookUpRow,0),MATCH(I$1,CalLookUpColumn,0))</f>
        <v>3</v>
      </c>
    </row>
    <row r="2464" spans="1:9" x14ac:dyDescent="0.25">
      <c r="A2464" s="7">
        <v>2</v>
      </c>
      <c r="B2464" s="8">
        <v>43599</v>
      </c>
      <c r="C2464" s="9" t="s">
        <v>6</v>
      </c>
      <c r="D2464" s="10">
        <v>306.78199999999998</v>
      </c>
      <c r="E2464" s="10">
        <v>539.65800000000002</v>
      </c>
      <c r="F2464" t="str">
        <f>VLOOKUP(A2464,StoreLookup,2,FALSE)</f>
        <v>Store#2</v>
      </c>
      <c r="G2464">
        <f>INDEX(CalLookUpTable,MATCH($B2464,CalLookUpRow,0),MATCH(G$1,CalLookUpColumn,0))</f>
        <v>2019</v>
      </c>
      <c r="H2464">
        <f>INDEX(CalLookUpTable,MATCH($B2464,CalLookUpRow,0),MATCH(H$1,CalLookUpColumn,0))</f>
        <v>5</v>
      </c>
      <c r="I2464">
        <f>INDEX(CalLookUpTable,MATCH($B2464,CalLookUpRow,0),MATCH(I$1,CalLookUpColumn,0))</f>
        <v>3</v>
      </c>
    </row>
    <row r="2465" spans="1:9" x14ac:dyDescent="0.25">
      <c r="A2465" s="7">
        <v>2</v>
      </c>
      <c r="B2465" s="8">
        <v>43599</v>
      </c>
      <c r="C2465" s="9" t="s">
        <v>3</v>
      </c>
      <c r="D2465" s="10">
        <v>0</v>
      </c>
      <c r="E2465" s="10">
        <v>27.257999999999996</v>
      </c>
      <c r="F2465" t="str">
        <f>VLOOKUP(A2465,StoreLookup,2,FALSE)</f>
        <v>Store#2</v>
      </c>
      <c r="G2465">
        <f>INDEX(CalLookUpTable,MATCH($B2465,CalLookUpRow,0),MATCH(G$1,CalLookUpColumn,0))</f>
        <v>2019</v>
      </c>
      <c r="H2465">
        <f>INDEX(CalLookUpTable,MATCH($B2465,CalLookUpRow,0),MATCH(H$1,CalLookUpColumn,0))</f>
        <v>5</v>
      </c>
      <c r="I2465">
        <f>INDEX(CalLookUpTable,MATCH($B2465,CalLookUpRow,0),MATCH(I$1,CalLookUpColumn,0))</f>
        <v>3</v>
      </c>
    </row>
    <row r="2466" spans="1:9" x14ac:dyDescent="0.25">
      <c r="A2466" s="7">
        <v>2</v>
      </c>
      <c r="B2466" s="8">
        <v>43600</v>
      </c>
      <c r="C2466" s="9" t="s">
        <v>4</v>
      </c>
      <c r="D2466" s="10">
        <v>1894.6479999999997</v>
      </c>
      <c r="E2466" s="10">
        <v>2031.5399999999997</v>
      </c>
      <c r="F2466" t="str">
        <f>VLOOKUP(A2466,StoreLookup,2,FALSE)</f>
        <v>Store#2</v>
      </c>
      <c r="G2466">
        <f>INDEX(CalLookUpTable,MATCH($B2466,CalLookUpRow,0),MATCH(G$1,CalLookUpColumn,0))</f>
        <v>2019</v>
      </c>
      <c r="H2466">
        <f>INDEX(CalLookUpTable,MATCH($B2466,CalLookUpRow,0),MATCH(H$1,CalLookUpColumn,0))</f>
        <v>5</v>
      </c>
      <c r="I2466">
        <f>INDEX(CalLookUpTable,MATCH($B2466,CalLookUpRow,0),MATCH(I$1,CalLookUpColumn,0))</f>
        <v>3</v>
      </c>
    </row>
    <row r="2467" spans="1:9" x14ac:dyDescent="0.25">
      <c r="A2467" s="7">
        <v>2</v>
      </c>
      <c r="B2467" s="8">
        <v>43600</v>
      </c>
      <c r="C2467" s="9" t="s">
        <v>6</v>
      </c>
      <c r="D2467" s="10">
        <v>359.33800000000002</v>
      </c>
      <c r="E2467" s="10">
        <v>203.97999999999996</v>
      </c>
      <c r="F2467" t="str">
        <f>VLOOKUP(A2467,StoreLookup,2,FALSE)</f>
        <v>Store#2</v>
      </c>
      <c r="G2467">
        <f>INDEX(CalLookUpTable,MATCH($B2467,CalLookUpRow,0),MATCH(G$1,CalLookUpColumn,0))</f>
        <v>2019</v>
      </c>
      <c r="H2467">
        <f>INDEX(CalLookUpTable,MATCH($B2467,CalLookUpRow,0),MATCH(H$1,CalLookUpColumn,0))</f>
        <v>5</v>
      </c>
      <c r="I2467">
        <f>INDEX(CalLookUpTable,MATCH($B2467,CalLookUpRow,0),MATCH(I$1,CalLookUpColumn,0))</f>
        <v>3</v>
      </c>
    </row>
    <row r="2468" spans="1:9" x14ac:dyDescent="0.25">
      <c r="A2468" s="7">
        <v>2</v>
      </c>
      <c r="B2468" s="8">
        <v>43600</v>
      </c>
      <c r="C2468" s="9" t="s">
        <v>5</v>
      </c>
      <c r="D2468" s="10">
        <v>1079.2249999999999</v>
      </c>
      <c r="E2468" s="10">
        <v>0</v>
      </c>
      <c r="F2468" t="str">
        <f>VLOOKUP(A2468,StoreLookup,2,FALSE)</f>
        <v>Store#2</v>
      </c>
      <c r="G2468">
        <f>INDEX(CalLookUpTable,MATCH($B2468,CalLookUpRow,0),MATCH(G$1,CalLookUpColumn,0))</f>
        <v>2019</v>
      </c>
      <c r="H2468">
        <f>INDEX(CalLookUpTable,MATCH($B2468,CalLookUpRow,0),MATCH(H$1,CalLookUpColumn,0))</f>
        <v>5</v>
      </c>
      <c r="I2468">
        <f>INDEX(CalLookUpTable,MATCH($B2468,CalLookUpRow,0),MATCH(I$1,CalLookUpColumn,0))</f>
        <v>3</v>
      </c>
    </row>
    <row r="2469" spans="1:9" x14ac:dyDescent="0.25">
      <c r="A2469" s="7">
        <v>2</v>
      </c>
      <c r="B2469" s="8">
        <v>43600</v>
      </c>
      <c r="C2469" s="9" t="s">
        <v>3</v>
      </c>
      <c r="D2469" s="10">
        <v>47.88</v>
      </c>
      <c r="E2469" s="10">
        <v>183.57499999999999</v>
      </c>
      <c r="F2469" t="str">
        <f>VLOOKUP(A2469,StoreLookup,2,FALSE)</f>
        <v>Store#2</v>
      </c>
      <c r="G2469">
        <f>INDEX(CalLookUpTable,MATCH($B2469,CalLookUpRow,0),MATCH(G$1,CalLookUpColumn,0))</f>
        <v>2019</v>
      </c>
      <c r="H2469">
        <f>INDEX(CalLookUpTable,MATCH($B2469,CalLookUpRow,0),MATCH(H$1,CalLookUpColumn,0))</f>
        <v>5</v>
      </c>
      <c r="I2469">
        <f>INDEX(CalLookUpTable,MATCH($B2469,CalLookUpRow,0),MATCH(I$1,CalLookUpColumn,0))</f>
        <v>3</v>
      </c>
    </row>
    <row r="2470" spans="1:9" x14ac:dyDescent="0.25">
      <c r="A2470" s="7">
        <v>2</v>
      </c>
      <c r="B2470" s="8">
        <v>43601</v>
      </c>
      <c r="C2470" s="9" t="s">
        <v>6</v>
      </c>
      <c r="D2470" s="10">
        <v>369.09599999999995</v>
      </c>
      <c r="E2470" s="10">
        <v>330.73599999999999</v>
      </c>
      <c r="F2470" t="str">
        <f>VLOOKUP(A2470,StoreLookup,2,FALSE)</f>
        <v>Store#2</v>
      </c>
      <c r="G2470">
        <f>INDEX(CalLookUpTable,MATCH($B2470,CalLookUpRow,0),MATCH(G$1,CalLookUpColumn,0))</f>
        <v>2019</v>
      </c>
      <c r="H2470">
        <f>INDEX(CalLookUpTable,MATCH($B2470,CalLookUpRow,0),MATCH(H$1,CalLookUpColumn,0))</f>
        <v>5</v>
      </c>
      <c r="I2470">
        <f>INDEX(CalLookUpTable,MATCH($B2470,CalLookUpRow,0),MATCH(I$1,CalLookUpColumn,0))</f>
        <v>3</v>
      </c>
    </row>
    <row r="2471" spans="1:9" x14ac:dyDescent="0.25">
      <c r="A2471" s="7">
        <v>2</v>
      </c>
      <c r="B2471" s="8">
        <v>43601</v>
      </c>
      <c r="C2471" s="9" t="s">
        <v>4</v>
      </c>
      <c r="D2471" s="10">
        <v>1996.9880000000001</v>
      </c>
      <c r="E2471" s="10">
        <v>2463.636</v>
      </c>
      <c r="F2471" t="str">
        <f>VLOOKUP(A2471,StoreLookup,2,FALSE)</f>
        <v>Store#2</v>
      </c>
      <c r="G2471">
        <f>INDEX(CalLookUpTable,MATCH($B2471,CalLookUpRow,0),MATCH(G$1,CalLookUpColumn,0))</f>
        <v>2019</v>
      </c>
      <c r="H2471">
        <f>INDEX(CalLookUpTable,MATCH($B2471,CalLookUpRow,0),MATCH(H$1,CalLookUpColumn,0))</f>
        <v>5</v>
      </c>
      <c r="I2471">
        <f>INDEX(CalLookUpTable,MATCH($B2471,CalLookUpRow,0),MATCH(I$1,CalLookUpColumn,0))</f>
        <v>3</v>
      </c>
    </row>
    <row r="2472" spans="1:9" x14ac:dyDescent="0.25">
      <c r="A2472" s="7">
        <v>2</v>
      </c>
      <c r="B2472" s="8">
        <v>43601</v>
      </c>
      <c r="C2472" s="9" t="s">
        <v>3</v>
      </c>
      <c r="D2472" s="10">
        <v>13.278999999999998</v>
      </c>
      <c r="E2472" s="10">
        <v>217.68600000000001</v>
      </c>
      <c r="F2472" t="str">
        <f>VLOOKUP(A2472,StoreLookup,2,FALSE)</f>
        <v>Store#2</v>
      </c>
      <c r="G2472">
        <f>INDEX(CalLookUpTable,MATCH($B2472,CalLookUpRow,0),MATCH(G$1,CalLookUpColumn,0))</f>
        <v>2019</v>
      </c>
      <c r="H2472">
        <f>INDEX(CalLookUpTable,MATCH($B2472,CalLookUpRow,0),MATCH(H$1,CalLookUpColumn,0))</f>
        <v>5</v>
      </c>
      <c r="I2472">
        <f>INDEX(CalLookUpTable,MATCH($B2472,CalLookUpRow,0),MATCH(I$1,CalLookUpColumn,0))</f>
        <v>3</v>
      </c>
    </row>
    <row r="2473" spans="1:9" x14ac:dyDescent="0.25">
      <c r="A2473" s="7">
        <v>2</v>
      </c>
      <c r="B2473" s="8">
        <v>43601</v>
      </c>
      <c r="C2473" s="9" t="s">
        <v>5</v>
      </c>
      <c r="D2473" s="10">
        <v>1189.5940000000001</v>
      </c>
      <c r="E2473" s="10">
        <v>0</v>
      </c>
      <c r="F2473" t="str">
        <f>VLOOKUP(A2473,StoreLookup,2,FALSE)</f>
        <v>Store#2</v>
      </c>
      <c r="G2473">
        <f>INDEX(CalLookUpTable,MATCH($B2473,CalLookUpRow,0),MATCH(G$1,CalLookUpColumn,0))</f>
        <v>2019</v>
      </c>
      <c r="H2473">
        <f>INDEX(CalLookUpTable,MATCH($B2473,CalLookUpRow,0),MATCH(H$1,CalLookUpColumn,0))</f>
        <v>5</v>
      </c>
      <c r="I2473">
        <f>INDEX(CalLookUpTable,MATCH($B2473,CalLookUpRow,0),MATCH(I$1,CalLookUpColumn,0))</f>
        <v>3</v>
      </c>
    </row>
    <row r="2474" spans="1:9" x14ac:dyDescent="0.25">
      <c r="A2474" s="7">
        <v>2</v>
      </c>
      <c r="B2474" s="8">
        <v>43602</v>
      </c>
      <c r="C2474" s="9" t="s">
        <v>5</v>
      </c>
      <c r="D2474" s="10">
        <v>1555.1339999999998</v>
      </c>
      <c r="E2474" s="10">
        <v>0</v>
      </c>
      <c r="F2474" t="str">
        <f>VLOOKUP(A2474,StoreLookup,2,FALSE)</f>
        <v>Store#2</v>
      </c>
      <c r="G2474">
        <f>INDEX(CalLookUpTable,MATCH($B2474,CalLookUpRow,0),MATCH(G$1,CalLookUpColumn,0))</f>
        <v>2019</v>
      </c>
      <c r="H2474">
        <f>INDEX(CalLookUpTable,MATCH($B2474,CalLookUpRow,0),MATCH(H$1,CalLookUpColumn,0))</f>
        <v>5</v>
      </c>
      <c r="I2474">
        <f>INDEX(CalLookUpTable,MATCH($B2474,CalLookUpRow,0),MATCH(I$1,CalLookUpColumn,0))</f>
        <v>3</v>
      </c>
    </row>
    <row r="2475" spans="1:9" x14ac:dyDescent="0.25">
      <c r="A2475" s="7">
        <v>2</v>
      </c>
      <c r="B2475" s="8">
        <v>43602</v>
      </c>
      <c r="C2475" s="9" t="s">
        <v>4</v>
      </c>
      <c r="D2475" s="10">
        <v>2338.7979999999998</v>
      </c>
      <c r="E2475" s="10">
        <v>2742.3339999999998</v>
      </c>
      <c r="F2475" t="str">
        <f>VLOOKUP(A2475,StoreLookup,2,FALSE)</f>
        <v>Store#2</v>
      </c>
      <c r="G2475">
        <f>INDEX(CalLookUpTable,MATCH($B2475,CalLookUpRow,0),MATCH(G$1,CalLookUpColumn,0))</f>
        <v>2019</v>
      </c>
      <c r="H2475">
        <f>INDEX(CalLookUpTable,MATCH($B2475,CalLookUpRow,0),MATCH(H$1,CalLookUpColumn,0))</f>
        <v>5</v>
      </c>
      <c r="I2475">
        <f>INDEX(CalLookUpTable,MATCH($B2475,CalLookUpRow,0),MATCH(I$1,CalLookUpColumn,0))</f>
        <v>3</v>
      </c>
    </row>
    <row r="2476" spans="1:9" x14ac:dyDescent="0.25">
      <c r="A2476" s="7">
        <v>2</v>
      </c>
      <c r="B2476" s="8">
        <v>43602</v>
      </c>
      <c r="C2476" s="9" t="s">
        <v>6</v>
      </c>
      <c r="D2476" s="10">
        <v>443.149</v>
      </c>
      <c r="E2476" s="10">
        <v>563.23399999999992</v>
      </c>
      <c r="F2476" t="str">
        <f>VLOOKUP(A2476,StoreLookup,2,FALSE)</f>
        <v>Store#2</v>
      </c>
      <c r="G2476">
        <f>INDEX(CalLookUpTable,MATCH($B2476,CalLookUpRow,0),MATCH(G$1,CalLookUpColumn,0))</f>
        <v>2019</v>
      </c>
      <c r="H2476">
        <f>INDEX(CalLookUpTable,MATCH($B2476,CalLookUpRow,0),MATCH(H$1,CalLookUpColumn,0))</f>
        <v>5</v>
      </c>
      <c r="I2476">
        <f>INDEX(CalLookUpTable,MATCH($B2476,CalLookUpRow,0),MATCH(I$1,CalLookUpColumn,0))</f>
        <v>3</v>
      </c>
    </row>
    <row r="2477" spans="1:9" x14ac:dyDescent="0.25">
      <c r="A2477" s="7">
        <v>2</v>
      </c>
      <c r="B2477" s="8">
        <v>43602</v>
      </c>
      <c r="C2477" s="9" t="s">
        <v>3</v>
      </c>
      <c r="D2477" s="10">
        <v>0</v>
      </c>
      <c r="E2477" s="10">
        <v>0</v>
      </c>
      <c r="F2477" t="str">
        <f>VLOOKUP(A2477,StoreLookup,2,FALSE)</f>
        <v>Store#2</v>
      </c>
      <c r="G2477">
        <f>INDEX(CalLookUpTable,MATCH($B2477,CalLookUpRow,0),MATCH(G$1,CalLookUpColumn,0))</f>
        <v>2019</v>
      </c>
      <c r="H2477">
        <f>INDEX(CalLookUpTable,MATCH($B2477,CalLookUpRow,0),MATCH(H$1,CalLookUpColumn,0))</f>
        <v>5</v>
      </c>
      <c r="I2477">
        <f>INDEX(CalLookUpTable,MATCH($B2477,CalLookUpRow,0),MATCH(I$1,CalLookUpColumn,0))</f>
        <v>3</v>
      </c>
    </row>
    <row r="2478" spans="1:9" x14ac:dyDescent="0.25">
      <c r="A2478" s="7">
        <v>2</v>
      </c>
      <c r="B2478" s="8">
        <v>43603</v>
      </c>
      <c r="C2478" s="9" t="s">
        <v>4</v>
      </c>
      <c r="D2478" s="10">
        <v>2582.6219999999998</v>
      </c>
      <c r="E2478" s="10">
        <v>3197.3269999999998</v>
      </c>
      <c r="F2478" t="str">
        <f>VLOOKUP(A2478,StoreLookup,2,FALSE)</f>
        <v>Store#2</v>
      </c>
      <c r="G2478">
        <f>INDEX(CalLookUpTable,MATCH($B2478,CalLookUpRow,0),MATCH(G$1,CalLookUpColumn,0))</f>
        <v>2019</v>
      </c>
      <c r="H2478">
        <f>INDEX(CalLookUpTable,MATCH($B2478,CalLookUpRow,0),MATCH(H$1,CalLookUpColumn,0))</f>
        <v>5</v>
      </c>
      <c r="I2478">
        <f>INDEX(CalLookUpTable,MATCH($B2478,CalLookUpRow,0),MATCH(I$1,CalLookUpColumn,0))</f>
        <v>3</v>
      </c>
    </row>
    <row r="2479" spans="1:9" x14ac:dyDescent="0.25">
      <c r="A2479" s="7">
        <v>2</v>
      </c>
      <c r="B2479" s="8">
        <v>43603</v>
      </c>
      <c r="C2479" s="9" t="s">
        <v>3</v>
      </c>
      <c r="D2479" s="10">
        <v>16.085999999999999</v>
      </c>
      <c r="E2479" s="10">
        <v>0</v>
      </c>
      <c r="F2479" t="str">
        <f>VLOOKUP(A2479,StoreLookup,2,FALSE)</f>
        <v>Store#2</v>
      </c>
      <c r="G2479">
        <f>INDEX(CalLookUpTable,MATCH($B2479,CalLookUpRow,0),MATCH(G$1,CalLookUpColumn,0))</f>
        <v>2019</v>
      </c>
      <c r="H2479">
        <f>INDEX(CalLookUpTable,MATCH($B2479,CalLookUpRow,0),MATCH(H$1,CalLookUpColumn,0))</f>
        <v>5</v>
      </c>
      <c r="I2479">
        <f>INDEX(CalLookUpTable,MATCH($B2479,CalLookUpRow,0),MATCH(I$1,CalLookUpColumn,0))</f>
        <v>3</v>
      </c>
    </row>
    <row r="2480" spans="1:9" x14ac:dyDescent="0.25">
      <c r="A2480" s="7">
        <v>2</v>
      </c>
      <c r="B2480" s="8">
        <v>43603</v>
      </c>
      <c r="C2480" s="9" t="s">
        <v>6</v>
      </c>
      <c r="D2480" s="10">
        <v>424.31899999999996</v>
      </c>
      <c r="E2480" s="10">
        <v>519.86899999999991</v>
      </c>
      <c r="F2480" t="str">
        <f>VLOOKUP(A2480,StoreLookup,2,FALSE)</f>
        <v>Store#2</v>
      </c>
      <c r="G2480">
        <f>INDEX(CalLookUpTable,MATCH($B2480,CalLookUpRow,0),MATCH(G$1,CalLookUpColumn,0))</f>
        <v>2019</v>
      </c>
      <c r="H2480">
        <f>INDEX(CalLookUpTable,MATCH($B2480,CalLookUpRow,0),MATCH(H$1,CalLookUpColumn,0))</f>
        <v>5</v>
      </c>
      <c r="I2480">
        <f>INDEX(CalLookUpTable,MATCH($B2480,CalLookUpRow,0),MATCH(I$1,CalLookUpColumn,0))</f>
        <v>3</v>
      </c>
    </row>
    <row r="2481" spans="1:9" x14ac:dyDescent="0.25">
      <c r="A2481" s="7">
        <v>2</v>
      </c>
      <c r="B2481" s="8">
        <v>43603</v>
      </c>
      <c r="C2481" s="9" t="s">
        <v>5</v>
      </c>
      <c r="D2481" s="10">
        <v>1018.4019999999998</v>
      </c>
      <c r="E2481" s="10">
        <v>0</v>
      </c>
      <c r="F2481" t="str">
        <f>VLOOKUP(A2481,StoreLookup,2,FALSE)</f>
        <v>Store#2</v>
      </c>
      <c r="G2481">
        <f>INDEX(CalLookUpTable,MATCH($B2481,CalLookUpRow,0),MATCH(G$1,CalLookUpColumn,0))</f>
        <v>2019</v>
      </c>
      <c r="H2481">
        <f>INDEX(CalLookUpTable,MATCH($B2481,CalLookUpRow,0),MATCH(H$1,CalLookUpColumn,0))</f>
        <v>5</v>
      </c>
      <c r="I2481">
        <f>INDEX(CalLookUpTable,MATCH($B2481,CalLookUpRow,0),MATCH(I$1,CalLookUpColumn,0))</f>
        <v>3</v>
      </c>
    </row>
    <row r="2482" spans="1:9" x14ac:dyDescent="0.25">
      <c r="A2482" s="7">
        <v>2</v>
      </c>
      <c r="B2482" s="8">
        <v>43604</v>
      </c>
      <c r="C2482" s="9" t="s">
        <v>5</v>
      </c>
      <c r="D2482" s="10">
        <v>766.55599999999993</v>
      </c>
      <c r="E2482" s="10">
        <v>0</v>
      </c>
      <c r="F2482" t="str">
        <f>VLOOKUP(A2482,StoreLookup,2,FALSE)</f>
        <v>Store#2</v>
      </c>
      <c r="G2482">
        <f>INDEX(CalLookUpTable,MATCH($B2482,CalLookUpRow,0),MATCH(G$1,CalLookUpColumn,0))</f>
        <v>2019</v>
      </c>
      <c r="H2482">
        <f>INDEX(CalLookUpTable,MATCH($B2482,CalLookUpRow,0),MATCH(H$1,CalLookUpColumn,0))</f>
        <v>5</v>
      </c>
      <c r="I2482">
        <f>INDEX(CalLookUpTable,MATCH($B2482,CalLookUpRow,0),MATCH(I$1,CalLookUpColumn,0))</f>
        <v>3</v>
      </c>
    </row>
    <row r="2483" spans="1:9" x14ac:dyDescent="0.25">
      <c r="A2483" s="7">
        <v>2</v>
      </c>
      <c r="B2483" s="8">
        <v>43604</v>
      </c>
      <c r="C2483" s="9" t="s">
        <v>3</v>
      </c>
      <c r="D2483" s="10">
        <v>10.485999999999999</v>
      </c>
      <c r="E2483" s="10">
        <v>0</v>
      </c>
      <c r="F2483" t="str">
        <f>VLOOKUP(A2483,StoreLookup,2,FALSE)</f>
        <v>Store#2</v>
      </c>
      <c r="G2483">
        <f>INDEX(CalLookUpTable,MATCH($B2483,CalLookUpRow,0),MATCH(G$1,CalLookUpColumn,0))</f>
        <v>2019</v>
      </c>
      <c r="H2483">
        <f>INDEX(CalLookUpTable,MATCH($B2483,CalLookUpRow,0),MATCH(H$1,CalLookUpColumn,0))</f>
        <v>5</v>
      </c>
      <c r="I2483">
        <f>INDEX(CalLookUpTable,MATCH($B2483,CalLookUpRow,0),MATCH(I$1,CalLookUpColumn,0))</f>
        <v>3</v>
      </c>
    </row>
    <row r="2484" spans="1:9" x14ac:dyDescent="0.25">
      <c r="A2484" s="7">
        <v>2</v>
      </c>
      <c r="B2484" s="8">
        <v>43604</v>
      </c>
      <c r="C2484" s="9" t="s">
        <v>6</v>
      </c>
      <c r="D2484" s="10">
        <v>212.68099999999998</v>
      </c>
      <c r="E2484" s="10">
        <v>401.14199999999994</v>
      </c>
      <c r="F2484" t="str">
        <f>VLOOKUP(A2484,StoreLookup,2,FALSE)</f>
        <v>Store#2</v>
      </c>
      <c r="G2484">
        <f>INDEX(CalLookUpTable,MATCH($B2484,CalLookUpRow,0),MATCH(G$1,CalLookUpColumn,0))</f>
        <v>2019</v>
      </c>
      <c r="H2484">
        <f>INDEX(CalLookUpTable,MATCH($B2484,CalLookUpRow,0),MATCH(H$1,CalLookUpColumn,0))</f>
        <v>5</v>
      </c>
      <c r="I2484">
        <f>INDEX(CalLookUpTable,MATCH($B2484,CalLookUpRow,0),MATCH(I$1,CalLookUpColumn,0))</f>
        <v>3</v>
      </c>
    </row>
    <row r="2485" spans="1:9" x14ac:dyDescent="0.25">
      <c r="A2485" s="7">
        <v>2</v>
      </c>
      <c r="B2485" s="8">
        <v>43604</v>
      </c>
      <c r="C2485" s="9" t="s">
        <v>4</v>
      </c>
      <c r="D2485" s="10">
        <v>1159.9349999999999</v>
      </c>
      <c r="E2485" s="10">
        <v>1774.7449999999999</v>
      </c>
      <c r="F2485" t="str">
        <f>VLOOKUP(A2485,StoreLookup,2,FALSE)</f>
        <v>Store#2</v>
      </c>
      <c r="G2485">
        <f>INDEX(CalLookUpTable,MATCH($B2485,CalLookUpRow,0),MATCH(G$1,CalLookUpColumn,0))</f>
        <v>2019</v>
      </c>
      <c r="H2485">
        <f>INDEX(CalLookUpTable,MATCH($B2485,CalLookUpRow,0),MATCH(H$1,CalLookUpColumn,0))</f>
        <v>5</v>
      </c>
      <c r="I2485">
        <f>INDEX(CalLookUpTable,MATCH($B2485,CalLookUpRow,0),MATCH(I$1,CalLookUpColumn,0))</f>
        <v>3</v>
      </c>
    </row>
    <row r="2486" spans="1:9" x14ac:dyDescent="0.25">
      <c r="A2486" s="7">
        <v>2</v>
      </c>
      <c r="B2486" s="8">
        <v>43605</v>
      </c>
      <c r="C2486" s="9" t="s">
        <v>5</v>
      </c>
      <c r="D2486" s="10">
        <v>884.12799999999993</v>
      </c>
      <c r="E2486" s="10">
        <v>0</v>
      </c>
      <c r="F2486" t="str">
        <f>VLOOKUP(A2486,StoreLookup,2,FALSE)</f>
        <v>Store#2</v>
      </c>
      <c r="G2486">
        <f>INDEX(CalLookUpTable,MATCH($B2486,CalLookUpRow,0),MATCH(G$1,CalLookUpColumn,0))</f>
        <v>2019</v>
      </c>
      <c r="H2486">
        <f>INDEX(CalLookUpTable,MATCH($B2486,CalLookUpRow,0),MATCH(H$1,CalLookUpColumn,0))</f>
        <v>5</v>
      </c>
      <c r="I2486">
        <f>INDEX(CalLookUpTable,MATCH($B2486,CalLookUpRow,0),MATCH(I$1,CalLookUpColumn,0))</f>
        <v>4</v>
      </c>
    </row>
    <row r="2487" spans="1:9" x14ac:dyDescent="0.25">
      <c r="A2487" s="7">
        <v>2</v>
      </c>
      <c r="B2487" s="8">
        <v>43605</v>
      </c>
      <c r="C2487" s="9" t="s">
        <v>6</v>
      </c>
      <c r="D2487" s="10">
        <v>240.702</v>
      </c>
      <c r="E2487" s="10">
        <v>212.303</v>
      </c>
      <c r="F2487" t="str">
        <f>VLOOKUP(A2487,StoreLookup,2,FALSE)</f>
        <v>Store#2</v>
      </c>
      <c r="G2487">
        <f>INDEX(CalLookUpTable,MATCH($B2487,CalLookUpRow,0),MATCH(G$1,CalLookUpColumn,0))</f>
        <v>2019</v>
      </c>
      <c r="H2487">
        <f>INDEX(CalLookUpTable,MATCH($B2487,CalLookUpRow,0),MATCH(H$1,CalLookUpColumn,0))</f>
        <v>5</v>
      </c>
      <c r="I2487">
        <f>INDEX(CalLookUpTable,MATCH($B2487,CalLookUpRow,0),MATCH(I$1,CalLookUpColumn,0))</f>
        <v>4</v>
      </c>
    </row>
    <row r="2488" spans="1:9" x14ac:dyDescent="0.25">
      <c r="A2488" s="7">
        <v>2</v>
      </c>
      <c r="B2488" s="8">
        <v>43605</v>
      </c>
      <c r="C2488" s="9" t="s">
        <v>4</v>
      </c>
      <c r="D2488" s="10">
        <v>1781.1079999999999</v>
      </c>
      <c r="E2488" s="10">
        <v>1607.9839999999999</v>
      </c>
      <c r="F2488" t="str">
        <f>VLOOKUP(A2488,StoreLookup,2,FALSE)</f>
        <v>Store#2</v>
      </c>
      <c r="G2488">
        <f>INDEX(CalLookUpTable,MATCH($B2488,CalLookUpRow,0),MATCH(G$1,CalLookUpColumn,0))</f>
        <v>2019</v>
      </c>
      <c r="H2488">
        <f>INDEX(CalLookUpTable,MATCH($B2488,CalLookUpRow,0),MATCH(H$1,CalLookUpColumn,0))</f>
        <v>5</v>
      </c>
      <c r="I2488">
        <f>INDEX(CalLookUpTable,MATCH($B2488,CalLookUpRow,0),MATCH(I$1,CalLookUpColumn,0))</f>
        <v>4</v>
      </c>
    </row>
    <row r="2489" spans="1:9" x14ac:dyDescent="0.25">
      <c r="A2489" s="7">
        <v>2</v>
      </c>
      <c r="B2489" s="8">
        <v>43605</v>
      </c>
      <c r="C2489" s="9" t="s">
        <v>3</v>
      </c>
      <c r="D2489" s="10">
        <v>10.619</v>
      </c>
      <c r="E2489" s="10">
        <v>0</v>
      </c>
      <c r="F2489" t="str">
        <f>VLOOKUP(A2489,StoreLookup,2,FALSE)</f>
        <v>Store#2</v>
      </c>
      <c r="G2489">
        <f>INDEX(CalLookUpTable,MATCH($B2489,CalLookUpRow,0),MATCH(G$1,CalLookUpColumn,0))</f>
        <v>2019</v>
      </c>
      <c r="H2489">
        <f>INDEX(CalLookUpTable,MATCH($B2489,CalLookUpRow,0),MATCH(H$1,CalLookUpColumn,0))</f>
        <v>5</v>
      </c>
      <c r="I2489">
        <f>INDEX(CalLookUpTable,MATCH($B2489,CalLookUpRow,0),MATCH(I$1,CalLookUpColumn,0))</f>
        <v>4</v>
      </c>
    </row>
    <row r="2490" spans="1:9" x14ac:dyDescent="0.25">
      <c r="A2490" s="7">
        <v>2</v>
      </c>
      <c r="B2490" s="8">
        <v>43606</v>
      </c>
      <c r="C2490" s="9" t="s">
        <v>3</v>
      </c>
      <c r="D2490" s="10">
        <v>0</v>
      </c>
      <c r="E2490" s="10">
        <v>408.87700000000001</v>
      </c>
      <c r="F2490" t="str">
        <f>VLOOKUP(A2490,StoreLookup,2,FALSE)</f>
        <v>Store#2</v>
      </c>
      <c r="G2490">
        <f>INDEX(CalLookUpTable,MATCH($B2490,CalLookUpRow,0),MATCH(G$1,CalLookUpColumn,0))</f>
        <v>2019</v>
      </c>
      <c r="H2490">
        <f>INDEX(CalLookUpTable,MATCH($B2490,CalLookUpRow,0),MATCH(H$1,CalLookUpColumn,0))</f>
        <v>5</v>
      </c>
      <c r="I2490">
        <f>INDEX(CalLookUpTable,MATCH($B2490,CalLookUpRow,0),MATCH(I$1,CalLookUpColumn,0))</f>
        <v>4</v>
      </c>
    </row>
    <row r="2491" spans="1:9" x14ac:dyDescent="0.25">
      <c r="A2491" s="7">
        <v>2</v>
      </c>
      <c r="B2491" s="8">
        <v>43606</v>
      </c>
      <c r="C2491" s="9" t="s">
        <v>4</v>
      </c>
      <c r="D2491" s="10">
        <v>1858.4369999999997</v>
      </c>
      <c r="E2491" s="10">
        <v>2476.39</v>
      </c>
      <c r="F2491" t="str">
        <f>VLOOKUP(A2491,StoreLookup,2,FALSE)</f>
        <v>Store#2</v>
      </c>
      <c r="G2491">
        <f>INDEX(CalLookUpTable,MATCH($B2491,CalLookUpRow,0),MATCH(G$1,CalLookUpColumn,0))</f>
        <v>2019</v>
      </c>
      <c r="H2491">
        <f>INDEX(CalLookUpTable,MATCH($B2491,CalLookUpRow,0),MATCH(H$1,CalLookUpColumn,0))</f>
        <v>5</v>
      </c>
      <c r="I2491">
        <f>INDEX(CalLookUpTable,MATCH($B2491,CalLookUpRow,0),MATCH(I$1,CalLookUpColumn,0))</f>
        <v>4</v>
      </c>
    </row>
    <row r="2492" spans="1:9" x14ac:dyDescent="0.25">
      <c r="A2492" s="7">
        <v>2</v>
      </c>
      <c r="B2492" s="8">
        <v>43606</v>
      </c>
      <c r="C2492" s="9" t="s">
        <v>6</v>
      </c>
      <c r="D2492" s="10">
        <v>239.66599999999997</v>
      </c>
      <c r="E2492" s="10">
        <v>326.87199999999996</v>
      </c>
      <c r="F2492" t="str">
        <f>VLOOKUP(A2492,StoreLookup,2,FALSE)</f>
        <v>Store#2</v>
      </c>
      <c r="G2492">
        <f>INDEX(CalLookUpTable,MATCH($B2492,CalLookUpRow,0),MATCH(G$1,CalLookUpColumn,0))</f>
        <v>2019</v>
      </c>
      <c r="H2492">
        <f>INDEX(CalLookUpTable,MATCH($B2492,CalLookUpRow,0),MATCH(H$1,CalLookUpColumn,0))</f>
        <v>5</v>
      </c>
      <c r="I2492">
        <f>INDEX(CalLookUpTable,MATCH($B2492,CalLookUpRow,0),MATCH(I$1,CalLookUpColumn,0))</f>
        <v>4</v>
      </c>
    </row>
    <row r="2493" spans="1:9" x14ac:dyDescent="0.25">
      <c r="A2493" s="7">
        <v>2</v>
      </c>
      <c r="B2493" s="8">
        <v>43606</v>
      </c>
      <c r="C2493" s="9" t="s">
        <v>5</v>
      </c>
      <c r="D2493" s="10">
        <v>1111.4459999999999</v>
      </c>
      <c r="E2493" s="10">
        <v>0</v>
      </c>
      <c r="F2493" t="str">
        <f>VLOOKUP(A2493,StoreLookup,2,FALSE)</f>
        <v>Store#2</v>
      </c>
      <c r="G2493">
        <f>INDEX(CalLookUpTable,MATCH($B2493,CalLookUpRow,0),MATCH(G$1,CalLookUpColumn,0))</f>
        <v>2019</v>
      </c>
      <c r="H2493">
        <f>INDEX(CalLookUpTable,MATCH($B2493,CalLookUpRow,0),MATCH(H$1,CalLookUpColumn,0))</f>
        <v>5</v>
      </c>
      <c r="I2493">
        <f>INDEX(CalLookUpTable,MATCH($B2493,CalLookUpRow,0),MATCH(I$1,CalLookUpColumn,0))</f>
        <v>4</v>
      </c>
    </row>
    <row r="2494" spans="1:9" x14ac:dyDescent="0.25">
      <c r="A2494" s="7">
        <v>2</v>
      </c>
      <c r="B2494" s="8">
        <v>43607</v>
      </c>
      <c r="C2494" s="9" t="s">
        <v>3</v>
      </c>
      <c r="D2494" s="10">
        <v>0</v>
      </c>
      <c r="E2494" s="10">
        <v>201.929</v>
      </c>
      <c r="F2494" t="str">
        <f>VLOOKUP(A2494,StoreLookup,2,FALSE)</f>
        <v>Store#2</v>
      </c>
      <c r="G2494">
        <f>INDEX(CalLookUpTable,MATCH($B2494,CalLookUpRow,0),MATCH(G$1,CalLookUpColumn,0))</f>
        <v>2019</v>
      </c>
      <c r="H2494">
        <f>INDEX(CalLookUpTable,MATCH($B2494,CalLookUpRow,0),MATCH(H$1,CalLookUpColumn,0))</f>
        <v>5</v>
      </c>
      <c r="I2494">
        <f>INDEX(CalLookUpTable,MATCH($B2494,CalLookUpRow,0),MATCH(I$1,CalLookUpColumn,0))</f>
        <v>4</v>
      </c>
    </row>
    <row r="2495" spans="1:9" x14ac:dyDescent="0.25">
      <c r="A2495" s="7">
        <v>2</v>
      </c>
      <c r="B2495" s="8">
        <v>43607</v>
      </c>
      <c r="C2495" s="9" t="s">
        <v>5</v>
      </c>
      <c r="D2495" s="10">
        <v>1061.9699999999998</v>
      </c>
      <c r="E2495" s="10">
        <v>0</v>
      </c>
      <c r="F2495" t="str">
        <f>VLOOKUP(A2495,StoreLookup,2,FALSE)</f>
        <v>Store#2</v>
      </c>
      <c r="G2495">
        <f>INDEX(CalLookUpTable,MATCH($B2495,CalLookUpRow,0),MATCH(G$1,CalLookUpColumn,0))</f>
        <v>2019</v>
      </c>
      <c r="H2495">
        <f>INDEX(CalLookUpTable,MATCH($B2495,CalLookUpRow,0),MATCH(H$1,CalLookUpColumn,0))</f>
        <v>5</v>
      </c>
      <c r="I2495">
        <f>INDEX(CalLookUpTable,MATCH($B2495,CalLookUpRow,0),MATCH(I$1,CalLookUpColumn,0))</f>
        <v>4</v>
      </c>
    </row>
    <row r="2496" spans="1:9" x14ac:dyDescent="0.25">
      <c r="A2496" s="7">
        <v>2</v>
      </c>
      <c r="B2496" s="8">
        <v>43607</v>
      </c>
      <c r="C2496" s="9" t="s">
        <v>4</v>
      </c>
      <c r="D2496" s="10">
        <v>1719.1579999999999</v>
      </c>
      <c r="E2496" s="10">
        <v>1975.6729999999998</v>
      </c>
      <c r="F2496" t="str">
        <f>VLOOKUP(A2496,StoreLookup,2,FALSE)</f>
        <v>Store#2</v>
      </c>
      <c r="G2496">
        <f>INDEX(CalLookUpTable,MATCH($B2496,CalLookUpRow,0),MATCH(G$1,CalLookUpColumn,0))</f>
        <v>2019</v>
      </c>
      <c r="H2496">
        <f>INDEX(CalLookUpTable,MATCH($B2496,CalLookUpRow,0),MATCH(H$1,CalLookUpColumn,0))</f>
        <v>5</v>
      </c>
      <c r="I2496">
        <f>INDEX(CalLookUpTable,MATCH($B2496,CalLookUpRow,0),MATCH(I$1,CalLookUpColumn,0))</f>
        <v>4</v>
      </c>
    </row>
    <row r="2497" spans="1:9" x14ac:dyDescent="0.25">
      <c r="A2497" s="7">
        <v>2</v>
      </c>
      <c r="B2497" s="8">
        <v>43607</v>
      </c>
      <c r="C2497" s="9" t="s">
        <v>6</v>
      </c>
      <c r="D2497" s="10">
        <v>410.774</v>
      </c>
      <c r="E2497" s="10">
        <v>402.89199999999994</v>
      </c>
      <c r="F2497" t="str">
        <f>VLOOKUP(A2497,StoreLookup,2,FALSE)</f>
        <v>Store#2</v>
      </c>
      <c r="G2497">
        <f>INDEX(CalLookUpTable,MATCH($B2497,CalLookUpRow,0),MATCH(G$1,CalLookUpColumn,0))</f>
        <v>2019</v>
      </c>
      <c r="H2497">
        <f>INDEX(CalLookUpTable,MATCH($B2497,CalLookUpRow,0),MATCH(H$1,CalLookUpColumn,0))</f>
        <v>5</v>
      </c>
      <c r="I2497">
        <f>INDEX(CalLookUpTable,MATCH($B2497,CalLookUpRow,0),MATCH(I$1,CalLookUpColumn,0))</f>
        <v>4</v>
      </c>
    </row>
    <row r="2498" spans="1:9" x14ac:dyDescent="0.25">
      <c r="A2498" s="7">
        <v>2</v>
      </c>
      <c r="B2498" s="8">
        <v>43608</v>
      </c>
      <c r="C2498" s="9" t="s">
        <v>6</v>
      </c>
      <c r="D2498" s="10">
        <v>270.14400000000001</v>
      </c>
      <c r="E2498" s="10">
        <v>491.029</v>
      </c>
      <c r="F2498" t="str">
        <f>VLOOKUP(A2498,StoreLookup,2,FALSE)</f>
        <v>Store#2</v>
      </c>
      <c r="G2498">
        <f>INDEX(CalLookUpTable,MATCH($B2498,CalLookUpRow,0),MATCH(G$1,CalLookUpColumn,0))</f>
        <v>2019</v>
      </c>
      <c r="H2498">
        <f>INDEX(CalLookUpTable,MATCH($B2498,CalLookUpRow,0),MATCH(H$1,CalLookUpColumn,0))</f>
        <v>5</v>
      </c>
      <c r="I2498">
        <f>INDEX(CalLookUpTable,MATCH($B2498,CalLookUpRow,0),MATCH(I$1,CalLookUpColumn,0))</f>
        <v>4</v>
      </c>
    </row>
    <row r="2499" spans="1:9" x14ac:dyDescent="0.25">
      <c r="A2499" s="7">
        <v>2</v>
      </c>
      <c r="B2499" s="8">
        <v>43608</v>
      </c>
      <c r="C2499" s="9" t="s">
        <v>4</v>
      </c>
      <c r="D2499" s="10">
        <v>2617.335</v>
      </c>
      <c r="E2499" s="10">
        <v>2412.83</v>
      </c>
      <c r="F2499" t="str">
        <f>VLOOKUP(A2499,StoreLookup,2,FALSE)</f>
        <v>Store#2</v>
      </c>
      <c r="G2499">
        <f>INDEX(CalLookUpTable,MATCH($B2499,CalLookUpRow,0),MATCH(G$1,CalLookUpColumn,0))</f>
        <v>2019</v>
      </c>
      <c r="H2499">
        <f>INDEX(CalLookUpTable,MATCH($B2499,CalLookUpRow,0),MATCH(H$1,CalLookUpColumn,0))</f>
        <v>5</v>
      </c>
      <c r="I2499">
        <f>INDEX(CalLookUpTable,MATCH($B2499,CalLookUpRow,0),MATCH(I$1,CalLookUpColumn,0))</f>
        <v>4</v>
      </c>
    </row>
    <row r="2500" spans="1:9" x14ac:dyDescent="0.25">
      <c r="A2500" s="7">
        <v>2</v>
      </c>
      <c r="B2500" s="8">
        <v>43608</v>
      </c>
      <c r="C2500" s="9" t="s">
        <v>3</v>
      </c>
      <c r="D2500" s="10">
        <v>0</v>
      </c>
      <c r="E2500" s="10">
        <v>43.672999999999995</v>
      </c>
      <c r="F2500" t="str">
        <f>VLOOKUP(A2500,StoreLookup,2,FALSE)</f>
        <v>Store#2</v>
      </c>
      <c r="G2500">
        <f>INDEX(CalLookUpTable,MATCH($B2500,CalLookUpRow,0),MATCH(G$1,CalLookUpColumn,0))</f>
        <v>2019</v>
      </c>
      <c r="H2500">
        <f>INDEX(CalLookUpTable,MATCH($B2500,CalLookUpRow,0),MATCH(H$1,CalLookUpColumn,0))</f>
        <v>5</v>
      </c>
      <c r="I2500">
        <f>INDEX(CalLookUpTable,MATCH($B2500,CalLookUpRow,0),MATCH(I$1,CalLookUpColumn,0))</f>
        <v>4</v>
      </c>
    </row>
    <row r="2501" spans="1:9" x14ac:dyDescent="0.25">
      <c r="A2501" s="7">
        <v>2</v>
      </c>
      <c r="B2501" s="8">
        <v>43608</v>
      </c>
      <c r="C2501" s="9" t="s">
        <v>5</v>
      </c>
      <c r="D2501" s="10">
        <v>1246.0909999999999</v>
      </c>
      <c r="E2501" s="10">
        <v>0</v>
      </c>
      <c r="F2501" t="str">
        <f>VLOOKUP(A2501,StoreLookup,2,FALSE)</f>
        <v>Store#2</v>
      </c>
      <c r="G2501">
        <f>INDEX(CalLookUpTable,MATCH($B2501,CalLookUpRow,0),MATCH(G$1,CalLookUpColumn,0))</f>
        <v>2019</v>
      </c>
      <c r="H2501">
        <f>INDEX(CalLookUpTable,MATCH($B2501,CalLookUpRow,0),MATCH(H$1,CalLookUpColumn,0))</f>
        <v>5</v>
      </c>
      <c r="I2501">
        <f>INDEX(CalLookUpTable,MATCH($B2501,CalLookUpRow,0),MATCH(I$1,CalLookUpColumn,0))</f>
        <v>4</v>
      </c>
    </row>
    <row r="2502" spans="1:9" x14ac:dyDescent="0.25">
      <c r="A2502" s="7">
        <v>2</v>
      </c>
      <c r="B2502" s="8">
        <v>43609</v>
      </c>
      <c r="C2502" s="9" t="s">
        <v>3</v>
      </c>
      <c r="D2502" s="10">
        <v>438.05999999999995</v>
      </c>
      <c r="E2502" s="10">
        <v>0</v>
      </c>
      <c r="F2502" t="str">
        <f>VLOOKUP(A2502,StoreLookup,2,FALSE)</f>
        <v>Store#2</v>
      </c>
      <c r="G2502">
        <f>INDEX(CalLookUpTable,MATCH($B2502,CalLookUpRow,0),MATCH(G$1,CalLookUpColumn,0))</f>
        <v>2019</v>
      </c>
      <c r="H2502">
        <f>INDEX(CalLookUpTable,MATCH($B2502,CalLookUpRow,0),MATCH(H$1,CalLookUpColumn,0))</f>
        <v>5</v>
      </c>
      <c r="I2502">
        <f>INDEX(CalLookUpTable,MATCH($B2502,CalLookUpRow,0),MATCH(I$1,CalLookUpColumn,0))</f>
        <v>4</v>
      </c>
    </row>
    <row r="2503" spans="1:9" x14ac:dyDescent="0.25">
      <c r="A2503" s="7">
        <v>2</v>
      </c>
      <c r="B2503" s="8">
        <v>43609</v>
      </c>
      <c r="C2503" s="9" t="s">
        <v>5</v>
      </c>
      <c r="D2503" s="10">
        <v>875.69299999999998</v>
      </c>
      <c r="E2503" s="10">
        <v>0</v>
      </c>
      <c r="F2503" t="str">
        <f>VLOOKUP(A2503,StoreLookup,2,FALSE)</f>
        <v>Store#2</v>
      </c>
      <c r="G2503">
        <f>INDEX(CalLookUpTable,MATCH($B2503,CalLookUpRow,0),MATCH(G$1,CalLookUpColumn,0))</f>
        <v>2019</v>
      </c>
      <c r="H2503">
        <f>INDEX(CalLookUpTable,MATCH($B2503,CalLookUpRow,0),MATCH(H$1,CalLookUpColumn,0))</f>
        <v>5</v>
      </c>
      <c r="I2503">
        <f>INDEX(CalLookUpTable,MATCH($B2503,CalLookUpRow,0),MATCH(I$1,CalLookUpColumn,0))</f>
        <v>4</v>
      </c>
    </row>
    <row r="2504" spans="1:9" x14ac:dyDescent="0.25">
      <c r="A2504" s="7">
        <v>2</v>
      </c>
      <c r="B2504" s="8">
        <v>43609</v>
      </c>
      <c r="C2504" s="9" t="s">
        <v>6</v>
      </c>
      <c r="D2504" s="10">
        <v>485.38699999999994</v>
      </c>
      <c r="E2504" s="10">
        <v>490.79099999999994</v>
      </c>
      <c r="F2504" t="str">
        <f>VLOOKUP(A2504,StoreLookup,2,FALSE)</f>
        <v>Store#2</v>
      </c>
      <c r="G2504">
        <f>INDEX(CalLookUpTable,MATCH($B2504,CalLookUpRow,0),MATCH(G$1,CalLookUpColumn,0))</f>
        <v>2019</v>
      </c>
      <c r="H2504">
        <f>INDEX(CalLookUpTable,MATCH($B2504,CalLookUpRow,0),MATCH(H$1,CalLookUpColumn,0))</f>
        <v>5</v>
      </c>
      <c r="I2504">
        <f>INDEX(CalLookUpTable,MATCH($B2504,CalLookUpRow,0),MATCH(I$1,CalLookUpColumn,0))</f>
        <v>4</v>
      </c>
    </row>
    <row r="2505" spans="1:9" x14ac:dyDescent="0.25">
      <c r="A2505" s="7">
        <v>2</v>
      </c>
      <c r="B2505" s="8">
        <v>43609</v>
      </c>
      <c r="C2505" s="9" t="s">
        <v>4</v>
      </c>
      <c r="D2505" s="10">
        <v>1893.1639999999998</v>
      </c>
      <c r="E2505" s="10">
        <v>2614.6610000000001</v>
      </c>
      <c r="F2505" t="str">
        <f>VLOOKUP(A2505,StoreLookup,2,FALSE)</f>
        <v>Store#2</v>
      </c>
      <c r="G2505">
        <f>INDEX(CalLookUpTable,MATCH($B2505,CalLookUpRow,0),MATCH(G$1,CalLookUpColumn,0))</f>
        <v>2019</v>
      </c>
      <c r="H2505">
        <f>INDEX(CalLookUpTable,MATCH($B2505,CalLookUpRow,0),MATCH(H$1,CalLookUpColumn,0))</f>
        <v>5</v>
      </c>
      <c r="I2505">
        <f>INDEX(CalLookUpTable,MATCH($B2505,CalLookUpRow,0),MATCH(I$1,CalLookUpColumn,0))</f>
        <v>4</v>
      </c>
    </row>
    <row r="2506" spans="1:9" x14ac:dyDescent="0.25">
      <c r="A2506" s="7">
        <v>2</v>
      </c>
      <c r="B2506" s="8">
        <v>43610</v>
      </c>
      <c r="C2506" s="9" t="s">
        <v>6</v>
      </c>
      <c r="D2506" s="10">
        <v>385.02799999999996</v>
      </c>
      <c r="E2506" s="10">
        <v>357.74899999999997</v>
      </c>
      <c r="F2506" t="str">
        <f>VLOOKUP(A2506,StoreLookup,2,FALSE)</f>
        <v>Store#2</v>
      </c>
      <c r="G2506">
        <f>INDEX(CalLookUpTable,MATCH($B2506,CalLookUpRow,0),MATCH(G$1,CalLookUpColumn,0))</f>
        <v>2019</v>
      </c>
      <c r="H2506">
        <f>INDEX(CalLookUpTable,MATCH($B2506,CalLookUpRow,0),MATCH(H$1,CalLookUpColumn,0))</f>
        <v>5</v>
      </c>
      <c r="I2506">
        <f>INDEX(CalLookUpTable,MATCH($B2506,CalLookUpRow,0),MATCH(I$1,CalLookUpColumn,0))</f>
        <v>4</v>
      </c>
    </row>
    <row r="2507" spans="1:9" x14ac:dyDescent="0.25">
      <c r="A2507" s="7">
        <v>2</v>
      </c>
      <c r="B2507" s="8">
        <v>43610</v>
      </c>
      <c r="C2507" s="9" t="s">
        <v>4</v>
      </c>
      <c r="D2507" s="10">
        <v>1823.3669999999997</v>
      </c>
      <c r="E2507" s="10">
        <v>2697.5969999999998</v>
      </c>
      <c r="F2507" t="str">
        <f>VLOOKUP(A2507,StoreLookup,2,FALSE)</f>
        <v>Store#2</v>
      </c>
      <c r="G2507">
        <f>INDEX(CalLookUpTable,MATCH($B2507,CalLookUpRow,0),MATCH(G$1,CalLookUpColumn,0))</f>
        <v>2019</v>
      </c>
      <c r="H2507">
        <f>INDEX(CalLookUpTable,MATCH($B2507,CalLookUpRow,0),MATCH(H$1,CalLookUpColumn,0))</f>
        <v>5</v>
      </c>
      <c r="I2507">
        <f>INDEX(CalLookUpTable,MATCH($B2507,CalLookUpRow,0),MATCH(I$1,CalLookUpColumn,0))</f>
        <v>4</v>
      </c>
    </row>
    <row r="2508" spans="1:9" x14ac:dyDescent="0.25">
      <c r="A2508" s="7">
        <v>2</v>
      </c>
      <c r="B2508" s="8">
        <v>43610</v>
      </c>
      <c r="C2508" s="9" t="s">
        <v>3</v>
      </c>
      <c r="D2508" s="10">
        <v>232.65899999999999</v>
      </c>
      <c r="E2508" s="10">
        <v>0</v>
      </c>
      <c r="F2508" t="str">
        <f>VLOOKUP(A2508,StoreLookup,2,FALSE)</f>
        <v>Store#2</v>
      </c>
      <c r="G2508">
        <f>INDEX(CalLookUpTable,MATCH($B2508,CalLookUpRow,0),MATCH(G$1,CalLookUpColumn,0))</f>
        <v>2019</v>
      </c>
      <c r="H2508">
        <f>INDEX(CalLookUpTable,MATCH($B2508,CalLookUpRow,0),MATCH(H$1,CalLookUpColumn,0))</f>
        <v>5</v>
      </c>
      <c r="I2508">
        <f>INDEX(CalLookUpTable,MATCH($B2508,CalLookUpRow,0),MATCH(I$1,CalLookUpColumn,0))</f>
        <v>4</v>
      </c>
    </row>
    <row r="2509" spans="1:9" x14ac:dyDescent="0.25">
      <c r="A2509" s="7">
        <v>2</v>
      </c>
      <c r="B2509" s="8">
        <v>43610</v>
      </c>
      <c r="C2509" s="9" t="s">
        <v>5</v>
      </c>
      <c r="D2509" s="10">
        <v>1103.2629999999999</v>
      </c>
      <c r="E2509" s="10">
        <v>0</v>
      </c>
      <c r="F2509" t="str">
        <f>VLOOKUP(A2509,StoreLookup,2,FALSE)</f>
        <v>Store#2</v>
      </c>
      <c r="G2509">
        <f>INDEX(CalLookUpTable,MATCH($B2509,CalLookUpRow,0),MATCH(G$1,CalLookUpColumn,0))</f>
        <v>2019</v>
      </c>
      <c r="H2509">
        <f>INDEX(CalLookUpTable,MATCH($B2509,CalLookUpRow,0),MATCH(H$1,CalLookUpColumn,0))</f>
        <v>5</v>
      </c>
      <c r="I2509">
        <f>INDEX(CalLookUpTable,MATCH($B2509,CalLookUpRow,0),MATCH(I$1,CalLookUpColumn,0))</f>
        <v>4</v>
      </c>
    </row>
    <row r="2510" spans="1:9" x14ac:dyDescent="0.25">
      <c r="A2510" s="7">
        <v>2</v>
      </c>
      <c r="B2510" s="8">
        <v>43611</v>
      </c>
      <c r="C2510" s="9" t="s">
        <v>3</v>
      </c>
      <c r="D2510" s="10">
        <v>10.843</v>
      </c>
      <c r="E2510" s="10">
        <v>0</v>
      </c>
      <c r="F2510" t="str">
        <f>VLOOKUP(A2510,StoreLookup,2,FALSE)</f>
        <v>Store#2</v>
      </c>
      <c r="G2510">
        <f>INDEX(CalLookUpTable,MATCH($B2510,CalLookUpRow,0),MATCH(G$1,CalLookUpColumn,0))</f>
        <v>2019</v>
      </c>
      <c r="H2510">
        <f>INDEX(CalLookUpTable,MATCH($B2510,CalLookUpRow,0),MATCH(H$1,CalLookUpColumn,0))</f>
        <v>5</v>
      </c>
      <c r="I2510">
        <f>INDEX(CalLookUpTable,MATCH($B2510,CalLookUpRow,0),MATCH(I$1,CalLookUpColumn,0))</f>
        <v>4</v>
      </c>
    </row>
    <row r="2511" spans="1:9" x14ac:dyDescent="0.25">
      <c r="A2511" s="7">
        <v>2</v>
      </c>
      <c r="B2511" s="8">
        <v>43611</v>
      </c>
      <c r="C2511" s="9" t="s">
        <v>6</v>
      </c>
      <c r="D2511" s="10">
        <v>213.59099999999998</v>
      </c>
      <c r="E2511" s="10">
        <v>211.309</v>
      </c>
      <c r="F2511" t="str">
        <f>VLOOKUP(A2511,StoreLookup,2,FALSE)</f>
        <v>Store#2</v>
      </c>
      <c r="G2511">
        <f>INDEX(CalLookUpTable,MATCH($B2511,CalLookUpRow,0),MATCH(G$1,CalLookUpColumn,0))</f>
        <v>2019</v>
      </c>
      <c r="H2511">
        <f>INDEX(CalLookUpTable,MATCH($B2511,CalLookUpRow,0),MATCH(H$1,CalLookUpColumn,0))</f>
        <v>5</v>
      </c>
      <c r="I2511">
        <f>INDEX(CalLookUpTable,MATCH($B2511,CalLookUpRow,0),MATCH(I$1,CalLookUpColumn,0))</f>
        <v>4</v>
      </c>
    </row>
    <row r="2512" spans="1:9" x14ac:dyDescent="0.25">
      <c r="A2512" s="7">
        <v>2</v>
      </c>
      <c r="B2512" s="8">
        <v>43611</v>
      </c>
      <c r="C2512" s="9" t="s">
        <v>4</v>
      </c>
      <c r="D2512" s="10">
        <v>1259.4889999999998</v>
      </c>
      <c r="E2512" s="10">
        <v>1330.5319999999999</v>
      </c>
      <c r="F2512" t="str">
        <f>VLOOKUP(A2512,StoreLookup,2,FALSE)</f>
        <v>Store#2</v>
      </c>
      <c r="G2512">
        <f>INDEX(CalLookUpTable,MATCH($B2512,CalLookUpRow,0),MATCH(G$1,CalLookUpColumn,0))</f>
        <v>2019</v>
      </c>
      <c r="H2512">
        <f>INDEX(CalLookUpTable,MATCH($B2512,CalLookUpRow,0),MATCH(H$1,CalLookUpColumn,0))</f>
        <v>5</v>
      </c>
      <c r="I2512">
        <f>INDEX(CalLookUpTable,MATCH($B2512,CalLookUpRow,0),MATCH(I$1,CalLookUpColumn,0))</f>
        <v>4</v>
      </c>
    </row>
    <row r="2513" spans="1:9" x14ac:dyDescent="0.25">
      <c r="A2513" s="7">
        <v>2</v>
      </c>
      <c r="B2513" s="8">
        <v>43611</v>
      </c>
      <c r="C2513" s="9" t="s">
        <v>5</v>
      </c>
      <c r="D2513" s="10">
        <v>607.92899999999997</v>
      </c>
      <c r="E2513" s="10">
        <v>0</v>
      </c>
      <c r="F2513" t="str">
        <f>VLOOKUP(A2513,StoreLookup,2,FALSE)</f>
        <v>Store#2</v>
      </c>
      <c r="G2513">
        <f>INDEX(CalLookUpTable,MATCH($B2513,CalLookUpRow,0),MATCH(G$1,CalLookUpColumn,0))</f>
        <v>2019</v>
      </c>
      <c r="H2513">
        <f>INDEX(CalLookUpTable,MATCH($B2513,CalLookUpRow,0),MATCH(H$1,CalLookUpColumn,0))</f>
        <v>5</v>
      </c>
      <c r="I2513">
        <f>INDEX(CalLookUpTable,MATCH($B2513,CalLookUpRow,0),MATCH(I$1,CalLookUpColumn,0))</f>
        <v>4</v>
      </c>
    </row>
    <row r="2514" spans="1:9" x14ac:dyDescent="0.25">
      <c r="A2514" s="7">
        <v>2</v>
      </c>
      <c r="B2514" s="8">
        <v>43612</v>
      </c>
      <c r="C2514" s="9" t="s">
        <v>5</v>
      </c>
      <c r="D2514" s="10">
        <v>1120.098</v>
      </c>
      <c r="E2514" s="10">
        <v>0</v>
      </c>
      <c r="F2514" t="str">
        <f>VLOOKUP(A2514,StoreLookup,2,FALSE)</f>
        <v>Store#2</v>
      </c>
      <c r="G2514">
        <f>INDEX(CalLookUpTable,MATCH($B2514,CalLookUpRow,0),MATCH(G$1,CalLookUpColumn,0))</f>
        <v>2019</v>
      </c>
      <c r="H2514">
        <f>INDEX(CalLookUpTable,MATCH($B2514,CalLookUpRow,0),MATCH(H$1,CalLookUpColumn,0))</f>
        <v>6</v>
      </c>
      <c r="I2514">
        <f>INDEX(CalLookUpTable,MATCH($B2514,CalLookUpRow,0),MATCH(I$1,CalLookUpColumn,0))</f>
        <v>1</v>
      </c>
    </row>
    <row r="2515" spans="1:9" x14ac:dyDescent="0.25">
      <c r="A2515" s="7">
        <v>2</v>
      </c>
      <c r="B2515" s="8">
        <v>43612</v>
      </c>
      <c r="C2515" s="9" t="s">
        <v>6</v>
      </c>
      <c r="D2515" s="10">
        <v>365.13399999999996</v>
      </c>
      <c r="E2515" s="10">
        <v>469.37799999999993</v>
      </c>
      <c r="F2515" t="str">
        <f>VLOOKUP(A2515,StoreLookup,2,FALSE)</f>
        <v>Store#2</v>
      </c>
      <c r="G2515">
        <f>INDEX(CalLookUpTable,MATCH($B2515,CalLookUpRow,0),MATCH(G$1,CalLookUpColumn,0))</f>
        <v>2019</v>
      </c>
      <c r="H2515">
        <f>INDEX(CalLookUpTable,MATCH($B2515,CalLookUpRow,0),MATCH(H$1,CalLookUpColumn,0))</f>
        <v>6</v>
      </c>
      <c r="I2515">
        <f>INDEX(CalLookUpTable,MATCH($B2515,CalLookUpRow,0),MATCH(I$1,CalLookUpColumn,0))</f>
        <v>1</v>
      </c>
    </row>
    <row r="2516" spans="1:9" x14ac:dyDescent="0.25">
      <c r="A2516" s="7">
        <v>2</v>
      </c>
      <c r="B2516" s="8">
        <v>43612</v>
      </c>
      <c r="C2516" s="9" t="s">
        <v>4</v>
      </c>
      <c r="D2516" s="10">
        <v>2009.8119999999997</v>
      </c>
      <c r="E2516" s="10">
        <v>1935.1569999999999</v>
      </c>
      <c r="F2516" t="str">
        <f>VLOOKUP(A2516,StoreLookup,2,FALSE)</f>
        <v>Store#2</v>
      </c>
      <c r="G2516">
        <f>INDEX(CalLookUpTable,MATCH($B2516,CalLookUpRow,0),MATCH(G$1,CalLookUpColumn,0))</f>
        <v>2019</v>
      </c>
      <c r="H2516">
        <f>INDEX(CalLookUpTable,MATCH($B2516,CalLookUpRow,0),MATCH(H$1,CalLookUpColumn,0))</f>
        <v>6</v>
      </c>
      <c r="I2516">
        <f>INDEX(CalLookUpTable,MATCH($B2516,CalLookUpRow,0),MATCH(I$1,CalLookUpColumn,0))</f>
        <v>1</v>
      </c>
    </row>
    <row r="2517" spans="1:9" x14ac:dyDescent="0.25">
      <c r="A2517" s="7">
        <v>2</v>
      </c>
      <c r="B2517" s="8">
        <v>43612</v>
      </c>
      <c r="C2517" s="9" t="s">
        <v>3</v>
      </c>
      <c r="D2517" s="10">
        <v>0</v>
      </c>
      <c r="E2517" s="10">
        <v>0</v>
      </c>
      <c r="F2517" t="str">
        <f>VLOOKUP(A2517,StoreLookup,2,FALSE)</f>
        <v>Store#2</v>
      </c>
      <c r="G2517">
        <f>INDEX(CalLookUpTable,MATCH($B2517,CalLookUpRow,0),MATCH(G$1,CalLookUpColumn,0))</f>
        <v>2019</v>
      </c>
      <c r="H2517">
        <f>INDEX(CalLookUpTable,MATCH($B2517,CalLookUpRow,0),MATCH(H$1,CalLookUpColumn,0))</f>
        <v>6</v>
      </c>
      <c r="I2517">
        <f>INDEX(CalLookUpTable,MATCH($B2517,CalLookUpRow,0),MATCH(I$1,CalLookUpColumn,0))</f>
        <v>1</v>
      </c>
    </row>
    <row r="2518" spans="1:9" x14ac:dyDescent="0.25">
      <c r="A2518" s="7">
        <v>2</v>
      </c>
      <c r="B2518" s="8">
        <v>43613</v>
      </c>
      <c r="C2518" s="9" t="s">
        <v>4</v>
      </c>
      <c r="D2518" s="10">
        <v>1615.1589999999999</v>
      </c>
      <c r="E2518" s="10">
        <v>2044.952</v>
      </c>
      <c r="F2518" t="str">
        <f>VLOOKUP(A2518,StoreLookup,2,FALSE)</f>
        <v>Store#2</v>
      </c>
      <c r="G2518">
        <f>INDEX(CalLookUpTable,MATCH($B2518,CalLookUpRow,0),MATCH(G$1,CalLookUpColumn,0))</f>
        <v>2019</v>
      </c>
      <c r="H2518">
        <f>INDEX(CalLookUpTable,MATCH($B2518,CalLookUpRow,0),MATCH(H$1,CalLookUpColumn,0))</f>
        <v>6</v>
      </c>
      <c r="I2518">
        <f>INDEX(CalLookUpTable,MATCH($B2518,CalLookUpRow,0),MATCH(I$1,CalLookUpColumn,0))</f>
        <v>1</v>
      </c>
    </row>
    <row r="2519" spans="1:9" x14ac:dyDescent="0.25">
      <c r="A2519" s="7">
        <v>2</v>
      </c>
      <c r="B2519" s="8">
        <v>43613</v>
      </c>
      <c r="C2519" s="9" t="s">
        <v>6</v>
      </c>
      <c r="D2519" s="10">
        <v>240.07199999999997</v>
      </c>
      <c r="E2519" s="10">
        <v>476.10499999999996</v>
      </c>
      <c r="F2519" t="str">
        <f>VLOOKUP(A2519,StoreLookup,2,FALSE)</f>
        <v>Store#2</v>
      </c>
      <c r="G2519">
        <f>INDEX(CalLookUpTable,MATCH($B2519,CalLookUpRow,0),MATCH(G$1,CalLookUpColumn,0))</f>
        <v>2019</v>
      </c>
      <c r="H2519">
        <f>INDEX(CalLookUpTable,MATCH($B2519,CalLookUpRow,0),MATCH(H$1,CalLookUpColumn,0))</f>
        <v>6</v>
      </c>
      <c r="I2519">
        <f>INDEX(CalLookUpTable,MATCH($B2519,CalLookUpRow,0),MATCH(I$1,CalLookUpColumn,0))</f>
        <v>1</v>
      </c>
    </row>
    <row r="2520" spans="1:9" x14ac:dyDescent="0.25">
      <c r="A2520" s="7">
        <v>2</v>
      </c>
      <c r="B2520" s="8">
        <v>43613</v>
      </c>
      <c r="C2520" s="9" t="s">
        <v>5</v>
      </c>
      <c r="D2520" s="10">
        <v>887.15899999999988</v>
      </c>
      <c r="E2520" s="10">
        <v>450.786</v>
      </c>
      <c r="F2520" t="str">
        <f>VLOOKUP(A2520,StoreLookup,2,FALSE)</f>
        <v>Store#2</v>
      </c>
      <c r="G2520">
        <f>INDEX(CalLookUpTable,MATCH($B2520,CalLookUpRow,0),MATCH(G$1,CalLookUpColumn,0))</f>
        <v>2019</v>
      </c>
      <c r="H2520">
        <f>INDEX(CalLookUpTable,MATCH($B2520,CalLookUpRow,0),MATCH(H$1,CalLookUpColumn,0))</f>
        <v>6</v>
      </c>
      <c r="I2520">
        <f>INDEX(CalLookUpTable,MATCH($B2520,CalLookUpRow,0),MATCH(I$1,CalLookUpColumn,0))</f>
        <v>1</v>
      </c>
    </row>
    <row r="2521" spans="1:9" x14ac:dyDescent="0.25">
      <c r="A2521" s="7">
        <v>2</v>
      </c>
      <c r="B2521" s="8">
        <v>43613</v>
      </c>
      <c r="C2521" s="9" t="s">
        <v>3</v>
      </c>
      <c r="D2521" s="10">
        <v>0</v>
      </c>
      <c r="E2521" s="10">
        <v>32.507999999999996</v>
      </c>
      <c r="F2521" t="str">
        <f>VLOOKUP(A2521,StoreLookup,2,FALSE)</f>
        <v>Store#2</v>
      </c>
      <c r="G2521">
        <f>INDEX(CalLookUpTable,MATCH($B2521,CalLookUpRow,0),MATCH(G$1,CalLookUpColumn,0))</f>
        <v>2019</v>
      </c>
      <c r="H2521">
        <f>INDEX(CalLookUpTable,MATCH($B2521,CalLookUpRow,0),MATCH(H$1,CalLookUpColumn,0))</f>
        <v>6</v>
      </c>
      <c r="I2521">
        <f>INDEX(CalLookUpTable,MATCH($B2521,CalLookUpRow,0),MATCH(I$1,CalLookUpColumn,0))</f>
        <v>1</v>
      </c>
    </row>
    <row r="2522" spans="1:9" x14ac:dyDescent="0.25">
      <c r="A2522" s="7">
        <v>2</v>
      </c>
      <c r="B2522" s="8">
        <v>43614</v>
      </c>
      <c r="C2522" s="9" t="s">
        <v>4</v>
      </c>
      <c r="D2522" s="10">
        <v>1695.7429999999997</v>
      </c>
      <c r="E2522" s="10">
        <v>1751.3929999999998</v>
      </c>
      <c r="F2522" t="str">
        <f>VLOOKUP(A2522,StoreLookup,2,FALSE)</f>
        <v>Store#2</v>
      </c>
      <c r="G2522">
        <f>INDEX(CalLookUpTable,MATCH($B2522,CalLookUpRow,0),MATCH(G$1,CalLookUpColumn,0))</f>
        <v>2019</v>
      </c>
      <c r="H2522">
        <f>INDEX(CalLookUpTable,MATCH($B2522,CalLookUpRow,0),MATCH(H$1,CalLookUpColumn,0))</f>
        <v>6</v>
      </c>
      <c r="I2522">
        <f>INDEX(CalLookUpTable,MATCH($B2522,CalLookUpRow,0),MATCH(I$1,CalLookUpColumn,0))</f>
        <v>1</v>
      </c>
    </row>
    <row r="2523" spans="1:9" x14ac:dyDescent="0.25">
      <c r="A2523" s="7">
        <v>2</v>
      </c>
      <c r="B2523" s="8">
        <v>43614</v>
      </c>
      <c r="C2523" s="9" t="s">
        <v>5</v>
      </c>
      <c r="D2523" s="10">
        <v>827.89</v>
      </c>
      <c r="E2523" s="10">
        <v>603.6869999999999</v>
      </c>
      <c r="F2523" t="str">
        <f>VLOOKUP(A2523,StoreLookup,2,FALSE)</f>
        <v>Store#2</v>
      </c>
      <c r="G2523">
        <f>INDEX(CalLookUpTable,MATCH($B2523,CalLookUpRow,0),MATCH(G$1,CalLookUpColumn,0))</f>
        <v>2019</v>
      </c>
      <c r="H2523">
        <f>INDEX(CalLookUpTable,MATCH($B2523,CalLookUpRow,0),MATCH(H$1,CalLookUpColumn,0))</f>
        <v>6</v>
      </c>
      <c r="I2523">
        <f>INDEX(CalLookUpTable,MATCH($B2523,CalLookUpRow,0),MATCH(I$1,CalLookUpColumn,0))</f>
        <v>1</v>
      </c>
    </row>
    <row r="2524" spans="1:9" x14ac:dyDescent="0.25">
      <c r="A2524" s="7">
        <v>2</v>
      </c>
      <c r="B2524" s="8">
        <v>43614</v>
      </c>
      <c r="C2524" s="9" t="s">
        <v>6</v>
      </c>
      <c r="D2524" s="10">
        <v>419.22999999999996</v>
      </c>
      <c r="E2524" s="10">
        <v>446.404</v>
      </c>
      <c r="F2524" t="str">
        <f>VLOOKUP(A2524,StoreLookup,2,FALSE)</f>
        <v>Store#2</v>
      </c>
      <c r="G2524">
        <f>INDEX(CalLookUpTable,MATCH($B2524,CalLookUpRow,0),MATCH(G$1,CalLookUpColumn,0))</f>
        <v>2019</v>
      </c>
      <c r="H2524">
        <f>INDEX(CalLookUpTable,MATCH($B2524,CalLookUpRow,0),MATCH(H$1,CalLookUpColumn,0))</f>
        <v>6</v>
      </c>
      <c r="I2524">
        <f>INDEX(CalLookUpTable,MATCH($B2524,CalLookUpRow,0),MATCH(I$1,CalLookUpColumn,0))</f>
        <v>1</v>
      </c>
    </row>
    <row r="2525" spans="1:9" x14ac:dyDescent="0.25">
      <c r="A2525" s="7">
        <v>2</v>
      </c>
      <c r="B2525" s="8">
        <v>43614</v>
      </c>
      <c r="C2525" s="9" t="s">
        <v>3</v>
      </c>
      <c r="D2525" s="10">
        <v>0</v>
      </c>
      <c r="E2525" s="10">
        <v>363.86699999999996</v>
      </c>
      <c r="F2525" t="str">
        <f>VLOOKUP(A2525,StoreLookup,2,FALSE)</f>
        <v>Store#2</v>
      </c>
      <c r="G2525">
        <f>INDEX(CalLookUpTable,MATCH($B2525,CalLookUpRow,0),MATCH(G$1,CalLookUpColumn,0))</f>
        <v>2019</v>
      </c>
      <c r="H2525">
        <f>INDEX(CalLookUpTable,MATCH($B2525,CalLookUpRow,0),MATCH(H$1,CalLookUpColumn,0))</f>
        <v>6</v>
      </c>
      <c r="I2525">
        <f>INDEX(CalLookUpTable,MATCH($B2525,CalLookUpRow,0),MATCH(I$1,CalLookUpColumn,0))</f>
        <v>1</v>
      </c>
    </row>
    <row r="2526" spans="1:9" x14ac:dyDescent="0.25">
      <c r="A2526" s="7">
        <v>2</v>
      </c>
      <c r="B2526" s="8">
        <v>43615</v>
      </c>
      <c r="C2526" s="9" t="s">
        <v>6</v>
      </c>
      <c r="D2526" s="10">
        <v>279.25099999999998</v>
      </c>
      <c r="E2526" s="10">
        <v>297.68199999999996</v>
      </c>
      <c r="F2526" t="str">
        <f>VLOOKUP(A2526,StoreLookup,2,FALSE)</f>
        <v>Store#2</v>
      </c>
      <c r="G2526">
        <f>INDEX(CalLookUpTable,MATCH($B2526,CalLookUpRow,0),MATCH(G$1,CalLookUpColumn,0))</f>
        <v>2019</v>
      </c>
      <c r="H2526">
        <f>INDEX(CalLookUpTable,MATCH($B2526,CalLookUpRow,0),MATCH(H$1,CalLookUpColumn,0))</f>
        <v>6</v>
      </c>
      <c r="I2526">
        <f>INDEX(CalLookUpTable,MATCH($B2526,CalLookUpRow,0),MATCH(I$1,CalLookUpColumn,0))</f>
        <v>1</v>
      </c>
    </row>
    <row r="2527" spans="1:9" x14ac:dyDescent="0.25">
      <c r="A2527" s="7">
        <v>2</v>
      </c>
      <c r="B2527" s="8">
        <v>43615</v>
      </c>
      <c r="C2527" s="9" t="s">
        <v>4</v>
      </c>
      <c r="D2527" s="10">
        <v>1690.5139999999999</v>
      </c>
      <c r="E2527" s="10">
        <v>2021.0749999999998</v>
      </c>
      <c r="F2527" t="str">
        <f>VLOOKUP(A2527,StoreLookup,2,FALSE)</f>
        <v>Store#2</v>
      </c>
      <c r="G2527">
        <f>INDEX(CalLookUpTable,MATCH($B2527,CalLookUpRow,0),MATCH(G$1,CalLookUpColumn,0))</f>
        <v>2019</v>
      </c>
      <c r="H2527">
        <f>INDEX(CalLookUpTable,MATCH($B2527,CalLookUpRow,0),MATCH(H$1,CalLookUpColumn,0))</f>
        <v>6</v>
      </c>
      <c r="I2527">
        <f>INDEX(CalLookUpTable,MATCH($B2527,CalLookUpRow,0),MATCH(I$1,CalLookUpColumn,0))</f>
        <v>1</v>
      </c>
    </row>
    <row r="2528" spans="1:9" x14ac:dyDescent="0.25">
      <c r="A2528" s="7">
        <v>2</v>
      </c>
      <c r="B2528" s="8">
        <v>43615</v>
      </c>
      <c r="C2528" s="9" t="s">
        <v>3</v>
      </c>
      <c r="D2528" s="10">
        <v>0</v>
      </c>
      <c r="E2528" s="10">
        <v>0</v>
      </c>
      <c r="F2528" t="str">
        <f>VLOOKUP(A2528,StoreLookup,2,FALSE)</f>
        <v>Store#2</v>
      </c>
      <c r="G2528">
        <f>INDEX(CalLookUpTable,MATCH($B2528,CalLookUpRow,0),MATCH(G$1,CalLookUpColumn,0))</f>
        <v>2019</v>
      </c>
      <c r="H2528">
        <f>INDEX(CalLookUpTable,MATCH($B2528,CalLookUpRow,0),MATCH(H$1,CalLookUpColumn,0))</f>
        <v>6</v>
      </c>
      <c r="I2528">
        <f>INDEX(CalLookUpTable,MATCH($B2528,CalLookUpRow,0),MATCH(I$1,CalLookUpColumn,0))</f>
        <v>1</v>
      </c>
    </row>
    <row r="2529" spans="1:9" x14ac:dyDescent="0.25">
      <c r="A2529" s="7">
        <v>2</v>
      </c>
      <c r="B2529" s="8">
        <v>43615</v>
      </c>
      <c r="C2529" s="9" t="s">
        <v>5</v>
      </c>
      <c r="D2529" s="10">
        <v>1063.2160000000001</v>
      </c>
      <c r="E2529" s="10">
        <v>569.77199999999993</v>
      </c>
      <c r="F2529" t="str">
        <f>VLOOKUP(A2529,StoreLookup,2,FALSE)</f>
        <v>Store#2</v>
      </c>
      <c r="G2529">
        <f>INDEX(CalLookUpTable,MATCH($B2529,CalLookUpRow,0),MATCH(G$1,CalLookUpColumn,0))</f>
        <v>2019</v>
      </c>
      <c r="H2529">
        <f>INDEX(CalLookUpTable,MATCH($B2529,CalLookUpRow,0),MATCH(H$1,CalLookUpColumn,0))</f>
        <v>6</v>
      </c>
      <c r="I2529">
        <f>INDEX(CalLookUpTable,MATCH($B2529,CalLookUpRow,0),MATCH(I$1,CalLookUpColumn,0))</f>
        <v>1</v>
      </c>
    </row>
    <row r="2530" spans="1:9" x14ac:dyDescent="0.25">
      <c r="A2530" s="7">
        <v>2</v>
      </c>
      <c r="B2530" s="8">
        <v>43616</v>
      </c>
      <c r="C2530" s="9" t="s">
        <v>6</v>
      </c>
      <c r="D2530" s="10">
        <v>299.62099999999998</v>
      </c>
      <c r="E2530" s="10">
        <v>486.69599999999997</v>
      </c>
      <c r="F2530" t="str">
        <f>VLOOKUP(A2530,StoreLookup,2,FALSE)</f>
        <v>Store#2</v>
      </c>
      <c r="G2530">
        <f>INDEX(CalLookUpTable,MATCH($B2530,CalLookUpRow,0),MATCH(G$1,CalLookUpColumn,0))</f>
        <v>2019</v>
      </c>
      <c r="H2530">
        <f>INDEX(CalLookUpTable,MATCH($B2530,CalLookUpRow,0),MATCH(H$1,CalLookUpColumn,0))</f>
        <v>6</v>
      </c>
      <c r="I2530">
        <f>INDEX(CalLookUpTable,MATCH($B2530,CalLookUpRow,0),MATCH(I$1,CalLookUpColumn,0))</f>
        <v>1</v>
      </c>
    </row>
    <row r="2531" spans="1:9" x14ac:dyDescent="0.25">
      <c r="A2531" s="7">
        <v>2</v>
      </c>
      <c r="B2531" s="8">
        <v>43616</v>
      </c>
      <c r="C2531" s="9" t="s">
        <v>4</v>
      </c>
      <c r="D2531" s="10">
        <v>2378.6</v>
      </c>
      <c r="E2531" s="10">
        <v>2430.239</v>
      </c>
      <c r="F2531" t="str">
        <f>VLOOKUP(A2531,StoreLookup,2,FALSE)</f>
        <v>Store#2</v>
      </c>
      <c r="G2531">
        <f>INDEX(CalLookUpTable,MATCH($B2531,CalLookUpRow,0),MATCH(G$1,CalLookUpColumn,0))</f>
        <v>2019</v>
      </c>
      <c r="H2531">
        <f>INDEX(CalLookUpTable,MATCH($B2531,CalLookUpRow,0),MATCH(H$1,CalLookUpColumn,0))</f>
        <v>6</v>
      </c>
      <c r="I2531">
        <f>INDEX(CalLookUpTable,MATCH($B2531,CalLookUpRow,0),MATCH(I$1,CalLookUpColumn,0))</f>
        <v>1</v>
      </c>
    </row>
    <row r="2532" spans="1:9" x14ac:dyDescent="0.25">
      <c r="A2532" s="7">
        <v>2</v>
      </c>
      <c r="B2532" s="8">
        <v>43616</v>
      </c>
      <c r="C2532" s="9" t="s">
        <v>3</v>
      </c>
      <c r="D2532" s="10">
        <v>0</v>
      </c>
      <c r="E2532" s="10">
        <v>0</v>
      </c>
      <c r="F2532" t="str">
        <f>VLOOKUP(A2532,StoreLookup,2,FALSE)</f>
        <v>Store#2</v>
      </c>
      <c r="G2532">
        <f>INDEX(CalLookUpTable,MATCH($B2532,CalLookUpRow,0),MATCH(G$1,CalLookUpColumn,0))</f>
        <v>2019</v>
      </c>
      <c r="H2532">
        <f>INDEX(CalLookUpTable,MATCH($B2532,CalLookUpRow,0),MATCH(H$1,CalLookUpColumn,0))</f>
        <v>6</v>
      </c>
      <c r="I2532">
        <f>INDEX(CalLookUpTable,MATCH($B2532,CalLookUpRow,0),MATCH(I$1,CalLookUpColumn,0))</f>
        <v>1</v>
      </c>
    </row>
    <row r="2533" spans="1:9" x14ac:dyDescent="0.25">
      <c r="A2533" s="7">
        <v>2</v>
      </c>
      <c r="B2533" s="8">
        <v>43616</v>
      </c>
      <c r="C2533" s="9" t="s">
        <v>5</v>
      </c>
      <c r="D2533" s="10">
        <v>1252.104</v>
      </c>
      <c r="E2533" s="10">
        <v>681.779</v>
      </c>
      <c r="F2533" t="str">
        <f>VLOOKUP(A2533,StoreLookup,2,FALSE)</f>
        <v>Store#2</v>
      </c>
      <c r="G2533">
        <f>INDEX(CalLookUpTable,MATCH($B2533,CalLookUpRow,0),MATCH(G$1,CalLookUpColumn,0))</f>
        <v>2019</v>
      </c>
      <c r="H2533">
        <f>INDEX(CalLookUpTable,MATCH($B2533,CalLookUpRow,0),MATCH(H$1,CalLookUpColumn,0))</f>
        <v>6</v>
      </c>
      <c r="I2533">
        <f>INDEX(CalLookUpTable,MATCH($B2533,CalLookUpRow,0),MATCH(I$1,CalLookUpColumn,0))</f>
        <v>1</v>
      </c>
    </row>
    <row r="2534" spans="1:9" x14ac:dyDescent="0.25">
      <c r="A2534" s="7">
        <v>2</v>
      </c>
      <c r="B2534" s="8">
        <v>43617</v>
      </c>
      <c r="C2534" s="9" t="s">
        <v>4</v>
      </c>
      <c r="D2534" s="10">
        <v>2085.2440000000001</v>
      </c>
      <c r="E2534" s="10">
        <v>2732.9119999999998</v>
      </c>
      <c r="F2534" t="str">
        <f>VLOOKUP(A2534,StoreLookup,2,FALSE)</f>
        <v>Store#2</v>
      </c>
      <c r="G2534">
        <f>INDEX(CalLookUpTable,MATCH($B2534,CalLookUpRow,0),MATCH(G$1,CalLookUpColumn,0))</f>
        <v>2019</v>
      </c>
      <c r="H2534">
        <f>INDEX(CalLookUpTable,MATCH($B2534,CalLookUpRow,0),MATCH(H$1,CalLookUpColumn,0))</f>
        <v>6</v>
      </c>
      <c r="I2534">
        <f>INDEX(CalLookUpTable,MATCH($B2534,CalLookUpRow,0),MATCH(I$1,CalLookUpColumn,0))</f>
        <v>1</v>
      </c>
    </row>
    <row r="2535" spans="1:9" x14ac:dyDescent="0.25">
      <c r="A2535" s="7">
        <v>2</v>
      </c>
      <c r="B2535" s="8">
        <v>43617</v>
      </c>
      <c r="C2535" s="9" t="s">
        <v>3</v>
      </c>
      <c r="D2535" s="10">
        <v>0</v>
      </c>
      <c r="E2535" s="10">
        <v>0</v>
      </c>
      <c r="F2535" t="str">
        <f>VLOOKUP(A2535,StoreLookup,2,FALSE)</f>
        <v>Store#2</v>
      </c>
      <c r="G2535">
        <f>INDEX(CalLookUpTable,MATCH($B2535,CalLookUpRow,0),MATCH(G$1,CalLookUpColumn,0))</f>
        <v>2019</v>
      </c>
      <c r="H2535">
        <f>INDEX(CalLookUpTable,MATCH($B2535,CalLookUpRow,0),MATCH(H$1,CalLookUpColumn,0))</f>
        <v>6</v>
      </c>
      <c r="I2535">
        <f>INDEX(CalLookUpTable,MATCH($B2535,CalLookUpRow,0),MATCH(I$1,CalLookUpColumn,0))</f>
        <v>1</v>
      </c>
    </row>
    <row r="2536" spans="1:9" x14ac:dyDescent="0.25">
      <c r="A2536" s="7">
        <v>2</v>
      </c>
      <c r="B2536" s="8">
        <v>43617</v>
      </c>
      <c r="C2536" s="9" t="s">
        <v>6</v>
      </c>
      <c r="D2536" s="10">
        <v>427.58800000000002</v>
      </c>
      <c r="E2536" s="10">
        <v>506.91899999999993</v>
      </c>
      <c r="F2536" t="str">
        <f>VLOOKUP(A2536,StoreLookup,2,FALSE)</f>
        <v>Store#2</v>
      </c>
      <c r="G2536">
        <f>INDEX(CalLookUpTable,MATCH($B2536,CalLookUpRow,0),MATCH(G$1,CalLookUpColumn,0))</f>
        <v>2019</v>
      </c>
      <c r="H2536">
        <f>INDEX(CalLookUpTable,MATCH($B2536,CalLookUpRow,0),MATCH(H$1,CalLookUpColumn,0))</f>
        <v>6</v>
      </c>
      <c r="I2536">
        <f>INDEX(CalLookUpTable,MATCH($B2536,CalLookUpRow,0),MATCH(I$1,CalLookUpColumn,0))</f>
        <v>1</v>
      </c>
    </row>
    <row r="2537" spans="1:9" x14ac:dyDescent="0.25">
      <c r="A2537" s="7">
        <v>2</v>
      </c>
      <c r="B2537" s="8">
        <v>43617</v>
      </c>
      <c r="C2537" s="9" t="s">
        <v>5</v>
      </c>
      <c r="D2537" s="10">
        <v>794.80100000000004</v>
      </c>
      <c r="E2537" s="10">
        <v>417.08100000000002</v>
      </c>
      <c r="F2537" t="str">
        <f>VLOOKUP(A2537,StoreLookup,2,FALSE)</f>
        <v>Store#2</v>
      </c>
      <c r="G2537">
        <f>INDEX(CalLookUpTable,MATCH($B2537,CalLookUpRow,0),MATCH(G$1,CalLookUpColumn,0))</f>
        <v>2019</v>
      </c>
      <c r="H2537">
        <f>INDEX(CalLookUpTable,MATCH($B2537,CalLookUpRow,0),MATCH(H$1,CalLookUpColumn,0))</f>
        <v>6</v>
      </c>
      <c r="I2537">
        <f>INDEX(CalLookUpTable,MATCH($B2537,CalLookUpRow,0),MATCH(I$1,CalLookUpColumn,0))</f>
        <v>1</v>
      </c>
    </row>
    <row r="2538" spans="1:9" x14ac:dyDescent="0.25">
      <c r="A2538" s="7">
        <v>2</v>
      </c>
      <c r="B2538" s="8">
        <v>43618</v>
      </c>
      <c r="C2538" s="9" t="s">
        <v>6</v>
      </c>
      <c r="D2538" s="10">
        <v>303.60399999999998</v>
      </c>
      <c r="E2538" s="10">
        <v>326.46599999999995</v>
      </c>
      <c r="F2538" t="str">
        <f>VLOOKUP(A2538,StoreLookup,2,FALSE)</f>
        <v>Store#2</v>
      </c>
      <c r="G2538">
        <f>INDEX(CalLookUpTable,MATCH($B2538,CalLookUpRow,0),MATCH(G$1,CalLookUpColumn,0))</f>
        <v>2019</v>
      </c>
      <c r="H2538">
        <f>INDEX(CalLookUpTable,MATCH($B2538,CalLookUpRow,0),MATCH(H$1,CalLookUpColumn,0))</f>
        <v>6</v>
      </c>
      <c r="I2538">
        <f>INDEX(CalLookUpTable,MATCH($B2538,CalLookUpRow,0),MATCH(I$1,CalLookUpColumn,0))</f>
        <v>1</v>
      </c>
    </row>
    <row r="2539" spans="1:9" x14ac:dyDescent="0.25">
      <c r="A2539" s="7">
        <v>2</v>
      </c>
      <c r="B2539" s="8">
        <v>43618</v>
      </c>
      <c r="C2539" s="9" t="s">
        <v>5</v>
      </c>
      <c r="D2539" s="10">
        <v>682.77299999999991</v>
      </c>
      <c r="E2539" s="10">
        <v>469.90999999999991</v>
      </c>
      <c r="F2539" t="str">
        <f>VLOOKUP(A2539,StoreLookup,2,FALSE)</f>
        <v>Store#2</v>
      </c>
      <c r="G2539">
        <f>INDEX(CalLookUpTable,MATCH($B2539,CalLookUpRow,0),MATCH(G$1,CalLookUpColumn,0))</f>
        <v>2019</v>
      </c>
      <c r="H2539">
        <f>INDEX(CalLookUpTable,MATCH($B2539,CalLookUpRow,0),MATCH(H$1,CalLookUpColumn,0))</f>
        <v>6</v>
      </c>
      <c r="I2539">
        <f>INDEX(CalLookUpTable,MATCH($B2539,CalLookUpRow,0),MATCH(I$1,CalLookUpColumn,0))</f>
        <v>1</v>
      </c>
    </row>
    <row r="2540" spans="1:9" x14ac:dyDescent="0.25">
      <c r="A2540" s="7">
        <v>2</v>
      </c>
      <c r="B2540" s="8">
        <v>43618</v>
      </c>
      <c r="C2540" s="9" t="s">
        <v>4</v>
      </c>
      <c r="D2540" s="10">
        <v>1104.5160000000001</v>
      </c>
      <c r="E2540" s="10">
        <v>1027.6489999999999</v>
      </c>
      <c r="F2540" t="str">
        <f>VLOOKUP(A2540,StoreLookup,2,FALSE)</f>
        <v>Store#2</v>
      </c>
      <c r="G2540">
        <f>INDEX(CalLookUpTable,MATCH($B2540,CalLookUpRow,0),MATCH(G$1,CalLookUpColumn,0))</f>
        <v>2019</v>
      </c>
      <c r="H2540">
        <f>INDEX(CalLookUpTable,MATCH($B2540,CalLookUpRow,0),MATCH(H$1,CalLookUpColumn,0))</f>
        <v>6</v>
      </c>
      <c r="I2540">
        <f>INDEX(CalLookUpTable,MATCH($B2540,CalLookUpRow,0),MATCH(I$1,CalLookUpColumn,0))</f>
        <v>1</v>
      </c>
    </row>
    <row r="2541" spans="1:9" x14ac:dyDescent="0.25">
      <c r="A2541" s="7">
        <v>2</v>
      </c>
      <c r="B2541" s="8">
        <v>43618</v>
      </c>
      <c r="C2541" s="9" t="s">
        <v>3</v>
      </c>
      <c r="D2541" s="10">
        <v>31.744999999999997</v>
      </c>
      <c r="E2541" s="10">
        <v>345.80699999999996</v>
      </c>
      <c r="F2541" t="str">
        <f>VLOOKUP(A2541,StoreLookup,2,FALSE)</f>
        <v>Store#2</v>
      </c>
      <c r="G2541">
        <f>INDEX(CalLookUpTable,MATCH($B2541,CalLookUpRow,0),MATCH(G$1,CalLookUpColumn,0))</f>
        <v>2019</v>
      </c>
      <c r="H2541">
        <f>INDEX(CalLookUpTable,MATCH($B2541,CalLookUpRow,0),MATCH(H$1,CalLookUpColumn,0))</f>
        <v>6</v>
      </c>
      <c r="I2541">
        <f>INDEX(CalLookUpTable,MATCH($B2541,CalLookUpRow,0),MATCH(I$1,CalLookUpColumn,0))</f>
        <v>1</v>
      </c>
    </row>
    <row r="2542" spans="1:9" x14ac:dyDescent="0.25">
      <c r="A2542" s="7">
        <v>2</v>
      </c>
      <c r="B2542" s="8">
        <v>43619</v>
      </c>
      <c r="C2542" s="9" t="s">
        <v>4</v>
      </c>
      <c r="D2542" s="10">
        <v>1665.1880000000001</v>
      </c>
      <c r="E2542" s="10">
        <v>1876.2939999999999</v>
      </c>
      <c r="F2542" t="str">
        <f>VLOOKUP(A2542,StoreLookup,2,FALSE)</f>
        <v>Store#2</v>
      </c>
      <c r="G2542">
        <f>INDEX(CalLookUpTable,MATCH($B2542,CalLookUpRow,0),MATCH(G$1,CalLookUpColumn,0))</f>
        <v>2019</v>
      </c>
      <c r="H2542">
        <f>INDEX(CalLookUpTable,MATCH($B2542,CalLookUpRow,0),MATCH(H$1,CalLookUpColumn,0))</f>
        <v>6</v>
      </c>
      <c r="I2542">
        <f>INDEX(CalLookUpTable,MATCH($B2542,CalLookUpRow,0),MATCH(I$1,CalLookUpColumn,0))</f>
        <v>2</v>
      </c>
    </row>
    <row r="2543" spans="1:9" x14ac:dyDescent="0.25">
      <c r="A2543" s="7">
        <v>2</v>
      </c>
      <c r="B2543" s="8">
        <v>43619</v>
      </c>
      <c r="C2543" s="9" t="s">
        <v>3</v>
      </c>
      <c r="D2543" s="10">
        <v>0</v>
      </c>
      <c r="E2543" s="10">
        <v>0</v>
      </c>
      <c r="F2543" t="str">
        <f>VLOOKUP(A2543,StoreLookup,2,FALSE)</f>
        <v>Store#2</v>
      </c>
      <c r="G2543">
        <f>INDEX(CalLookUpTable,MATCH($B2543,CalLookUpRow,0),MATCH(G$1,CalLookUpColumn,0))</f>
        <v>2019</v>
      </c>
      <c r="H2543">
        <f>INDEX(CalLookUpTable,MATCH($B2543,CalLookUpRow,0),MATCH(H$1,CalLookUpColumn,0))</f>
        <v>6</v>
      </c>
      <c r="I2543">
        <f>INDEX(CalLookUpTable,MATCH($B2543,CalLookUpRow,0),MATCH(I$1,CalLookUpColumn,0))</f>
        <v>2</v>
      </c>
    </row>
    <row r="2544" spans="1:9" x14ac:dyDescent="0.25">
      <c r="A2544" s="7">
        <v>2</v>
      </c>
      <c r="B2544" s="8">
        <v>43619</v>
      </c>
      <c r="C2544" s="9" t="s">
        <v>5</v>
      </c>
      <c r="D2544" s="10">
        <v>926.68799999999987</v>
      </c>
      <c r="E2544" s="10">
        <v>481.08899999999994</v>
      </c>
      <c r="F2544" t="str">
        <f>VLOOKUP(A2544,StoreLookup,2,FALSE)</f>
        <v>Store#2</v>
      </c>
      <c r="G2544">
        <f>INDEX(CalLookUpTable,MATCH($B2544,CalLookUpRow,0),MATCH(G$1,CalLookUpColumn,0))</f>
        <v>2019</v>
      </c>
      <c r="H2544">
        <f>INDEX(CalLookUpTable,MATCH($B2544,CalLookUpRow,0),MATCH(H$1,CalLookUpColumn,0))</f>
        <v>6</v>
      </c>
      <c r="I2544">
        <f>INDEX(CalLookUpTable,MATCH($B2544,CalLookUpRow,0),MATCH(I$1,CalLookUpColumn,0))</f>
        <v>2</v>
      </c>
    </row>
    <row r="2545" spans="1:9" x14ac:dyDescent="0.25">
      <c r="A2545" s="7">
        <v>2</v>
      </c>
      <c r="B2545" s="8">
        <v>43619</v>
      </c>
      <c r="C2545" s="9" t="s">
        <v>6</v>
      </c>
      <c r="D2545" s="10">
        <v>242.31899999999999</v>
      </c>
      <c r="E2545" s="10">
        <v>308.959</v>
      </c>
      <c r="F2545" t="str">
        <f>VLOOKUP(A2545,StoreLookup,2,FALSE)</f>
        <v>Store#2</v>
      </c>
      <c r="G2545">
        <f>INDEX(CalLookUpTable,MATCH($B2545,CalLookUpRow,0),MATCH(G$1,CalLookUpColumn,0))</f>
        <v>2019</v>
      </c>
      <c r="H2545">
        <f>INDEX(CalLookUpTable,MATCH($B2545,CalLookUpRow,0),MATCH(H$1,CalLookUpColumn,0))</f>
        <v>6</v>
      </c>
      <c r="I2545">
        <f>INDEX(CalLookUpTable,MATCH($B2545,CalLookUpRow,0),MATCH(I$1,CalLookUpColumn,0))</f>
        <v>2</v>
      </c>
    </row>
    <row r="2546" spans="1:9" x14ac:dyDescent="0.25">
      <c r="A2546" s="7">
        <v>2</v>
      </c>
      <c r="B2546" s="8">
        <v>43620</v>
      </c>
      <c r="C2546" s="9" t="s">
        <v>4</v>
      </c>
      <c r="D2546" s="10">
        <v>1872.5629999999999</v>
      </c>
      <c r="E2546" s="10">
        <v>2108.6169999999997</v>
      </c>
      <c r="F2546" t="str">
        <f>VLOOKUP(A2546,StoreLookup,2,FALSE)</f>
        <v>Store#2</v>
      </c>
      <c r="G2546">
        <f>INDEX(CalLookUpTable,MATCH($B2546,CalLookUpRow,0),MATCH(G$1,CalLookUpColumn,0))</f>
        <v>2019</v>
      </c>
      <c r="H2546">
        <f>INDEX(CalLookUpTable,MATCH($B2546,CalLookUpRow,0),MATCH(H$1,CalLookUpColumn,0))</f>
        <v>6</v>
      </c>
      <c r="I2546">
        <f>INDEX(CalLookUpTable,MATCH($B2546,CalLookUpRow,0),MATCH(I$1,CalLookUpColumn,0))</f>
        <v>2</v>
      </c>
    </row>
    <row r="2547" spans="1:9" x14ac:dyDescent="0.25">
      <c r="A2547" s="7">
        <v>2</v>
      </c>
      <c r="B2547" s="8">
        <v>43620</v>
      </c>
      <c r="C2547" s="9" t="s">
        <v>3</v>
      </c>
      <c r="D2547" s="10">
        <v>0</v>
      </c>
      <c r="E2547" s="10">
        <v>207.71799999999999</v>
      </c>
      <c r="F2547" t="str">
        <f>VLOOKUP(A2547,StoreLookup,2,FALSE)</f>
        <v>Store#2</v>
      </c>
      <c r="G2547">
        <f>INDEX(CalLookUpTable,MATCH($B2547,CalLookUpRow,0),MATCH(G$1,CalLookUpColumn,0))</f>
        <v>2019</v>
      </c>
      <c r="H2547">
        <f>INDEX(CalLookUpTable,MATCH($B2547,CalLookUpRow,0),MATCH(H$1,CalLookUpColumn,0))</f>
        <v>6</v>
      </c>
      <c r="I2547">
        <f>INDEX(CalLookUpTable,MATCH($B2547,CalLookUpRow,0),MATCH(I$1,CalLookUpColumn,0))</f>
        <v>2</v>
      </c>
    </row>
    <row r="2548" spans="1:9" x14ac:dyDescent="0.25">
      <c r="A2548" s="7">
        <v>2</v>
      </c>
      <c r="B2548" s="8">
        <v>43620</v>
      </c>
      <c r="C2548" s="9" t="s">
        <v>6</v>
      </c>
      <c r="D2548" s="10">
        <v>521.59100000000001</v>
      </c>
      <c r="E2548" s="10">
        <v>551.1099999999999</v>
      </c>
      <c r="F2548" t="str">
        <f>VLOOKUP(A2548,StoreLookup,2,FALSE)</f>
        <v>Store#2</v>
      </c>
      <c r="G2548">
        <f>INDEX(CalLookUpTable,MATCH($B2548,CalLookUpRow,0),MATCH(G$1,CalLookUpColumn,0))</f>
        <v>2019</v>
      </c>
      <c r="H2548">
        <f>INDEX(CalLookUpTable,MATCH($B2548,CalLookUpRow,0),MATCH(H$1,CalLookUpColumn,0))</f>
        <v>6</v>
      </c>
      <c r="I2548">
        <f>INDEX(CalLookUpTable,MATCH($B2548,CalLookUpRow,0),MATCH(I$1,CalLookUpColumn,0))</f>
        <v>2</v>
      </c>
    </row>
    <row r="2549" spans="1:9" x14ac:dyDescent="0.25">
      <c r="A2549" s="7">
        <v>2</v>
      </c>
      <c r="B2549" s="8">
        <v>43620</v>
      </c>
      <c r="C2549" s="9" t="s">
        <v>5</v>
      </c>
      <c r="D2549" s="10">
        <v>929.404</v>
      </c>
      <c r="E2549" s="10">
        <v>506.00199999999995</v>
      </c>
      <c r="F2549" t="str">
        <f>VLOOKUP(A2549,StoreLookup,2,FALSE)</f>
        <v>Store#2</v>
      </c>
      <c r="G2549">
        <f>INDEX(CalLookUpTable,MATCH($B2549,CalLookUpRow,0),MATCH(G$1,CalLookUpColumn,0))</f>
        <v>2019</v>
      </c>
      <c r="H2549">
        <f>INDEX(CalLookUpTable,MATCH($B2549,CalLookUpRow,0),MATCH(H$1,CalLookUpColumn,0))</f>
        <v>6</v>
      </c>
      <c r="I2549">
        <f>INDEX(CalLookUpTable,MATCH($B2549,CalLookUpRow,0),MATCH(I$1,CalLookUpColumn,0))</f>
        <v>2</v>
      </c>
    </row>
    <row r="2550" spans="1:9" x14ac:dyDescent="0.25">
      <c r="A2550" s="7">
        <v>2</v>
      </c>
      <c r="B2550" s="8">
        <v>43621</v>
      </c>
      <c r="C2550" s="9" t="s">
        <v>4</v>
      </c>
      <c r="D2550" s="10">
        <v>1533.9029999999998</v>
      </c>
      <c r="E2550" s="10">
        <v>1653.9739999999999</v>
      </c>
      <c r="F2550" t="str">
        <f>VLOOKUP(A2550,StoreLookup,2,FALSE)</f>
        <v>Store#2</v>
      </c>
      <c r="G2550">
        <f>INDEX(CalLookUpTable,MATCH($B2550,CalLookUpRow,0),MATCH(G$1,CalLookUpColumn,0))</f>
        <v>2019</v>
      </c>
      <c r="H2550">
        <f>INDEX(CalLookUpTable,MATCH($B2550,CalLookUpRow,0),MATCH(H$1,CalLookUpColumn,0))</f>
        <v>6</v>
      </c>
      <c r="I2550">
        <f>INDEX(CalLookUpTable,MATCH($B2550,CalLookUpRow,0),MATCH(I$1,CalLookUpColumn,0))</f>
        <v>2</v>
      </c>
    </row>
    <row r="2551" spans="1:9" x14ac:dyDescent="0.25">
      <c r="A2551" s="7">
        <v>2</v>
      </c>
      <c r="B2551" s="8">
        <v>43621</v>
      </c>
      <c r="C2551" s="9" t="s">
        <v>3</v>
      </c>
      <c r="D2551" s="10">
        <v>0</v>
      </c>
      <c r="E2551" s="10">
        <v>0</v>
      </c>
      <c r="F2551" t="str">
        <f>VLOOKUP(A2551,StoreLookup,2,FALSE)</f>
        <v>Store#2</v>
      </c>
      <c r="G2551">
        <f>INDEX(CalLookUpTable,MATCH($B2551,CalLookUpRow,0),MATCH(G$1,CalLookUpColumn,0))</f>
        <v>2019</v>
      </c>
      <c r="H2551">
        <f>INDEX(CalLookUpTable,MATCH($B2551,CalLookUpRow,0),MATCH(H$1,CalLookUpColumn,0))</f>
        <v>6</v>
      </c>
      <c r="I2551">
        <f>INDEX(CalLookUpTable,MATCH($B2551,CalLookUpRow,0),MATCH(I$1,CalLookUpColumn,0))</f>
        <v>2</v>
      </c>
    </row>
    <row r="2552" spans="1:9" x14ac:dyDescent="0.25">
      <c r="A2552" s="7">
        <v>2</v>
      </c>
      <c r="B2552" s="8">
        <v>43621</v>
      </c>
      <c r="C2552" s="9" t="s">
        <v>5</v>
      </c>
      <c r="D2552" s="10">
        <v>972.15999999999985</v>
      </c>
      <c r="E2552" s="10">
        <v>554.15499999999997</v>
      </c>
      <c r="F2552" t="str">
        <f>VLOOKUP(A2552,StoreLookup,2,FALSE)</f>
        <v>Store#2</v>
      </c>
      <c r="G2552">
        <f>INDEX(CalLookUpTable,MATCH($B2552,CalLookUpRow,0),MATCH(G$1,CalLookUpColumn,0))</f>
        <v>2019</v>
      </c>
      <c r="H2552">
        <f>INDEX(CalLookUpTable,MATCH($B2552,CalLookUpRow,0),MATCH(H$1,CalLookUpColumn,0))</f>
        <v>6</v>
      </c>
      <c r="I2552">
        <f>INDEX(CalLookUpTable,MATCH($B2552,CalLookUpRow,0),MATCH(I$1,CalLookUpColumn,0))</f>
        <v>2</v>
      </c>
    </row>
    <row r="2553" spans="1:9" x14ac:dyDescent="0.25">
      <c r="A2553" s="7">
        <v>2</v>
      </c>
      <c r="B2553" s="8">
        <v>43621</v>
      </c>
      <c r="C2553" s="9" t="s">
        <v>6</v>
      </c>
      <c r="D2553" s="10">
        <v>294.09099999999995</v>
      </c>
      <c r="E2553" s="10">
        <v>287.476</v>
      </c>
      <c r="F2553" t="str">
        <f>VLOOKUP(A2553,StoreLookup,2,FALSE)</f>
        <v>Store#2</v>
      </c>
      <c r="G2553">
        <f>INDEX(CalLookUpTable,MATCH($B2553,CalLookUpRow,0),MATCH(G$1,CalLookUpColumn,0))</f>
        <v>2019</v>
      </c>
      <c r="H2553">
        <f>INDEX(CalLookUpTable,MATCH($B2553,CalLookUpRow,0),MATCH(H$1,CalLookUpColumn,0))</f>
        <v>6</v>
      </c>
      <c r="I2553">
        <f>INDEX(CalLookUpTable,MATCH($B2553,CalLookUpRow,0),MATCH(I$1,CalLookUpColumn,0))</f>
        <v>2</v>
      </c>
    </row>
    <row r="2554" spans="1:9" x14ac:dyDescent="0.25">
      <c r="A2554" s="7">
        <v>2</v>
      </c>
      <c r="B2554" s="8">
        <v>43622</v>
      </c>
      <c r="C2554" s="9" t="s">
        <v>4</v>
      </c>
      <c r="D2554" s="10">
        <v>1493.1979999999999</v>
      </c>
      <c r="E2554" s="10">
        <v>2307.1929999999998</v>
      </c>
      <c r="F2554" t="str">
        <f>VLOOKUP(A2554,StoreLookup,2,FALSE)</f>
        <v>Store#2</v>
      </c>
      <c r="G2554">
        <f>INDEX(CalLookUpTable,MATCH($B2554,CalLookUpRow,0),MATCH(G$1,CalLookUpColumn,0))</f>
        <v>2019</v>
      </c>
      <c r="H2554">
        <f>INDEX(CalLookUpTable,MATCH($B2554,CalLookUpRow,0),MATCH(H$1,CalLookUpColumn,0))</f>
        <v>6</v>
      </c>
      <c r="I2554">
        <f>INDEX(CalLookUpTable,MATCH($B2554,CalLookUpRow,0),MATCH(I$1,CalLookUpColumn,0))</f>
        <v>2</v>
      </c>
    </row>
    <row r="2555" spans="1:9" x14ac:dyDescent="0.25">
      <c r="A2555" s="7">
        <v>2</v>
      </c>
      <c r="B2555" s="8">
        <v>43622</v>
      </c>
      <c r="C2555" s="9" t="s">
        <v>5</v>
      </c>
      <c r="D2555" s="10">
        <v>1150.4849999999999</v>
      </c>
      <c r="E2555" s="10">
        <v>495.97799999999995</v>
      </c>
      <c r="F2555" t="str">
        <f>VLOOKUP(A2555,StoreLookup,2,FALSE)</f>
        <v>Store#2</v>
      </c>
      <c r="G2555">
        <f>INDEX(CalLookUpTable,MATCH($B2555,CalLookUpRow,0),MATCH(G$1,CalLookUpColumn,0))</f>
        <v>2019</v>
      </c>
      <c r="H2555">
        <f>INDEX(CalLookUpTable,MATCH($B2555,CalLookUpRow,0),MATCH(H$1,CalLookUpColumn,0))</f>
        <v>6</v>
      </c>
      <c r="I2555">
        <f>INDEX(CalLookUpTable,MATCH($B2555,CalLookUpRow,0),MATCH(I$1,CalLookUpColumn,0))</f>
        <v>2</v>
      </c>
    </row>
    <row r="2556" spans="1:9" x14ac:dyDescent="0.25">
      <c r="A2556" s="7">
        <v>2</v>
      </c>
      <c r="B2556" s="8">
        <v>43622</v>
      </c>
      <c r="C2556" s="9" t="s">
        <v>3</v>
      </c>
      <c r="D2556" s="10">
        <v>0</v>
      </c>
      <c r="E2556" s="10">
        <v>0</v>
      </c>
      <c r="F2556" t="str">
        <f>VLOOKUP(A2556,StoreLookup,2,FALSE)</f>
        <v>Store#2</v>
      </c>
      <c r="G2556">
        <f>INDEX(CalLookUpTable,MATCH($B2556,CalLookUpRow,0),MATCH(G$1,CalLookUpColumn,0))</f>
        <v>2019</v>
      </c>
      <c r="H2556">
        <f>INDEX(CalLookUpTable,MATCH($B2556,CalLookUpRow,0),MATCH(H$1,CalLookUpColumn,0))</f>
        <v>6</v>
      </c>
      <c r="I2556">
        <f>INDEX(CalLookUpTable,MATCH($B2556,CalLookUpRow,0),MATCH(I$1,CalLookUpColumn,0))</f>
        <v>2</v>
      </c>
    </row>
    <row r="2557" spans="1:9" x14ac:dyDescent="0.25">
      <c r="A2557" s="7">
        <v>2</v>
      </c>
      <c r="B2557" s="8">
        <v>43622</v>
      </c>
      <c r="C2557" s="9" t="s">
        <v>6</v>
      </c>
      <c r="D2557" s="10">
        <v>506.16300000000001</v>
      </c>
      <c r="E2557" s="10">
        <v>358.267</v>
      </c>
      <c r="F2557" t="str">
        <f>VLOOKUP(A2557,StoreLookup,2,FALSE)</f>
        <v>Store#2</v>
      </c>
      <c r="G2557">
        <f>INDEX(CalLookUpTable,MATCH($B2557,CalLookUpRow,0),MATCH(G$1,CalLookUpColumn,0))</f>
        <v>2019</v>
      </c>
      <c r="H2557">
        <f>INDEX(CalLookUpTable,MATCH($B2557,CalLookUpRow,0),MATCH(H$1,CalLookUpColumn,0))</f>
        <v>6</v>
      </c>
      <c r="I2557">
        <f>INDEX(CalLookUpTable,MATCH($B2557,CalLookUpRow,0),MATCH(I$1,CalLookUpColumn,0))</f>
        <v>2</v>
      </c>
    </row>
    <row r="2558" spans="1:9" x14ac:dyDescent="0.25">
      <c r="A2558" s="7">
        <v>2</v>
      </c>
      <c r="B2558" s="8">
        <v>43623</v>
      </c>
      <c r="C2558" s="9" t="s">
        <v>5</v>
      </c>
      <c r="D2558" s="10">
        <v>1265.6209999999999</v>
      </c>
      <c r="E2558" s="10">
        <v>758.53399999999988</v>
      </c>
      <c r="F2558" t="str">
        <f>VLOOKUP(A2558,StoreLookup,2,FALSE)</f>
        <v>Store#2</v>
      </c>
      <c r="G2558">
        <f>INDEX(CalLookUpTable,MATCH($B2558,CalLookUpRow,0),MATCH(G$1,CalLookUpColumn,0))</f>
        <v>2019</v>
      </c>
      <c r="H2558">
        <f>INDEX(CalLookUpTable,MATCH($B2558,CalLookUpRow,0),MATCH(H$1,CalLookUpColumn,0))</f>
        <v>6</v>
      </c>
      <c r="I2558">
        <f>INDEX(CalLookUpTable,MATCH($B2558,CalLookUpRow,0),MATCH(I$1,CalLookUpColumn,0))</f>
        <v>2</v>
      </c>
    </row>
    <row r="2559" spans="1:9" x14ac:dyDescent="0.25">
      <c r="A2559" s="7">
        <v>2</v>
      </c>
      <c r="B2559" s="8">
        <v>43623</v>
      </c>
      <c r="C2559" s="9" t="s">
        <v>6</v>
      </c>
      <c r="D2559" s="10">
        <v>353.60499999999996</v>
      </c>
      <c r="E2559" s="10">
        <v>482.57999999999993</v>
      </c>
      <c r="F2559" t="str">
        <f>VLOOKUP(A2559,StoreLookup,2,FALSE)</f>
        <v>Store#2</v>
      </c>
      <c r="G2559">
        <f>INDEX(CalLookUpTable,MATCH($B2559,CalLookUpRow,0),MATCH(G$1,CalLookUpColumn,0))</f>
        <v>2019</v>
      </c>
      <c r="H2559">
        <f>INDEX(CalLookUpTable,MATCH($B2559,CalLookUpRow,0),MATCH(H$1,CalLookUpColumn,0))</f>
        <v>6</v>
      </c>
      <c r="I2559">
        <f>INDEX(CalLookUpTable,MATCH($B2559,CalLookUpRow,0),MATCH(I$1,CalLookUpColumn,0))</f>
        <v>2</v>
      </c>
    </row>
    <row r="2560" spans="1:9" x14ac:dyDescent="0.25">
      <c r="A2560" s="7">
        <v>2</v>
      </c>
      <c r="B2560" s="8">
        <v>43623</v>
      </c>
      <c r="C2560" s="9" t="s">
        <v>4</v>
      </c>
      <c r="D2560" s="10">
        <v>2512.5869999999995</v>
      </c>
      <c r="E2560" s="10">
        <v>2284.87</v>
      </c>
      <c r="F2560" t="str">
        <f>VLOOKUP(A2560,StoreLookup,2,FALSE)</f>
        <v>Store#2</v>
      </c>
      <c r="G2560">
        <f>INDEX(CalLookUpTable,MATCH($B2560,CalLookUpRow,0),MATCH(G$1,CalLookUpColumn,0))</f>
        <v>2019</v>
      </c>
      <c r="H2560">
        <f>INDEX(CalLookUpTable,MATCH($B2560,CalLookUpRow,0),MATCH(H$1,CalLookUpColumn,0))</f>
        <v>6</v>
      </c>
      <c r="I2560">
        <f>INDEX(CalLookUpTable,MATCH($B2560,CalLookUpRow,0),MATCH(I$1,CalLookUpColumn,0))</f>
        <v>2</v>
      </c>
    </row>
    <row r="2561" spans="1:9" x14ac:dyDescent="0.25">
      <c r="A2561" s="7">
        <v>2</v>
      </c>
      <c r="B2561" s="8">
        <v>43623</v>
      </c>
      <c r="C2561" s="9" t="s">
        <v>3</v>
      </c>
      <c r="D2561" s="10">
        <v>201.07499999999999</v>
      </c>
      <c r="E2561" s="10">
        <v>0</v>
      </c>
      <c r="F2561" t="str">
        <f>VLOOKUP(A2561,StoreLookup,2,FALSE)</f>
        <v>Store#2</v>
      </c>
      <c r="G2561">
        <f>INDEX(CalLookUpTable,MATCH($B2561,CalLookUpRow,0),MATCH(G$1,CalLookUpColumn,0))</f>
        <v>2019</v>
      </c>
      <c r="H2561">
        <f>INDEX(CalLookUpTable,MATCH($B2561,CalLookUpRow,0),MATCH(H$1,CalLookUpColumn,0))</f>
        <v>6</v>
      </c>
      <c r="I2561">
        <f>INDEX(CalLookUpTable,MATCH($B2561,CalLookUpRow,0),MATCH(I$1,CalLookUpColumn,0))</f>
        <v>2</v>
      </c>
    </row>
    <row r="2562" spans="1:9" x14ac:dyDescent="0.25">
      <c r="A2562" s="7">
        <v>2</v>
      </c>
      <c r="B2562" s="8">
        <v>43624</v>
      </c>
      <c r="C2562" s="9" t="s">
        <v>5</v>
      </c>
      <c r="D2562" s="10">
        <v>762.27199999999993</v>
      </c>
      <c r="E2562" s="10">
        <v>658.08399999999995</v>
      </c>
      <c r="F2562" t="str">
        <f>VLOOKUP(A2562,StoreLookup,2,FALSE)</f>
        <v>Store#2</v>
      </c>
      <c r="G2562">
        <f>INDEX(CalLookUpTable,MATCH($B2562,CalLookUpRow,0),MATCH(G$1,CalLookUpColumn,0))</f>
        <v>2019</v>
      </c>
      <c r="H2562">
        <f>INDEX(CalLookUpTable,MATCH($B2562,CalLookUpRow,0),MATCH(H$1,CalLookUpColumn,0))</f>
        <v>6</v>
      </c>
      <c r="I2562">
        <f>INDEX(CalLookUpTable,MATCH($B2562,CalLookUpRow,0),MATCH(I$1,CalLookUpColumn,0))</f>
        <v>2</v>
      </c>
    </row>
    <row r="2563" spans="1:9" x14ac:dyDescent="0.25">
      <c r="A2563" s="7">
        <v>2</v>
      </c>
      <c r="B2563" s="8">
        <v>43624</v>
      </c>
      <c r="C2563" s="9" t="s">
        <v>3</v>
      </c>
      <c r="D2563" s="10">
        <v>23.484999999999996</v>
      </c>
      <c r="E2563" s="10">
        <v>161.54599999999999</v>
      </c>
      <c r="F2563" t="str">
        <f>VLOOKUP(A2563,StoreLookup,2,FALSE)</f>
        <v>Store#2</v>
      </c>
      <c r="G2563">
        <f>INDEX(CalLookUpTable,MATCH($B2563,CalLookUpRow,0),MATCH(G$1,CalLookUpColumn,0))</f>
        <v>2019</v>
      </c>
      <c r="H2563">
        <f>INDEX(CalLookUpTable,MATCH($B2563,CalLookUpRow,0),MATCH(H$1,CalLookUpColumn,0))</f>
        <v>6</v>
      </c>
      <c r="I2563">
        <f>INDEX(CalLookUpTable,MATCH($B2563,CalLookUpRow,0),MATCH(I$1,CalLookUpColumn,0))</f>
        <v>2</v>
      </c>
    </row>
    <row r="2564" spans="1:9" x14ac:dyDescent="0.25">
      <c r="A2564" s="7">
        <v>2</v>
      </c>
      <c r="B2564" s="8">
        <v>43624</v>
      </c>
      <c r="C2564" s="9" t="s">
        <v>6</v>
      </c>
      <c r="D2564" s="10">
        <v>447.14599999999996</v>
      </c>
      <c r="E2564" s="10">
        <v>427.79799999999994</v>
      </c>
      <c r="F2564" t="str">
        <f>VLOOKUP(A2564,StoreLookup,2,FALSE)</f>
        <v>Store#2</v>
      </c>
      <c r="G2564">
        <f>INDEX(CalLookUpTable,MATCH($B2564,CalLookUpRow,0),MATCH(G$1,CalLookUpColumn,0))</f>
        <v>2019</v>
      </c>
      <c r="H2564">
        <f>INDEX(CalLookUpTable,MATCH($B2564,CalLookUpRow,0),MATCH(H$1,CalLookUpColumn,0))</f>
        <v>6</v>
      </c>
      <c r="I2564">
        <f>INDEX(CalLookUpTable,MATCH($B2564,CalLookUpRow,0),MATCH(I$1,CalLookUpColumn,0))</f>
        <v>2</v>
      </c>
    </row>
    <row r="2565" spans="1:9" x14ac:dyDescent="0.25">
      <c r="A2565" s="7">
        <v>2</v>
      </c>
      <c r="B2565" s="8">
        <v>43624</v>
      </c>
      <c r="C2565" s="9" t="s">
        <v>4</v>
      </c>
      <c r="D2565" s="10">
        <v>2212.2939999999999</v>
      </c>
      <c r="E2565" s="10">
        <v>2342.8789999999999</v>
      </c>
      <c r="F2565" t="str">
        <f>VLOOKUP(A2565,StoreLookup,2,FALSE)</f>
        <v>Store#2</v>
      </c>
      <c r="G2565">
        <f>INDEX(CalLookUpTable,MATCH($B2565,CalLookUpRow,0),MATCH(G$1,CalLookUpColumn,0))</f>
        <v>2019</v>
      </c>
      <c r="H2565">
        <f>INDEX(CalLookUpTable,MATCH($B2565,CalLookUpRow,0),MATCH(H$1,CalLookUpColumn,0))</f>
        <v>6</v>
      </c>
      <c r="I2565">
        <f>INDEX(CalLookUpTable,MATCH($B2565,CalLookUpRow,0),MATCH(I$1,CalLookUpColumn,0))</f>
        <v>2</v>
      </c>
    </row>
    <row r="2566" spans="1:9" x14ac:dyDescent="0.25">
      <c r="A2566" s="7">
        <v>2</v>
      </c>
      <c r="B2566" s="8">
        <v>43625</v>
      </c>
      <c r="C2566" s="9" t="s">
        <v>4</v>
      </c>
      <c r="D2566" s="10">
        <v>1606.0519999999999</v>
      </c>
      <c r="E2566" s="10">
        <v>1565.1929999999998</v>
      </c>
      <c r="F2566" t="str">
        <f>VLOOKUP(A2566,StoreLookup,2,FALSE)</f>
        <v>Store#2</v>
      </c>
      <c r="G2566">
        <f>INDEX(CalLookUpTable,MATCH($B2566,CalLookUpRow,0),MATCH(G$1,CalLookUpColumn,0))</f>
        <v>2019</v>
      </c>
      <c r="H2566">
        <f>INDEX(CalLookUpTable,MATCH($B2566,CalLookUpRow,0),MATCH(H$1,CalLookUpColumn,0))</f>
        <v>6</v>
      </c>
      <c r="I2566">
        <f>INDEX(CalLookUpTable,MATCH($B2566,CalLookUpRow,0),MATCH(I$1,CalLookUpColumn,0))</f>
        <v>2</v>
      </c>
    </row>
    <row r="2567" spans="1:9" x14ac:dyDescent="0.25">
      <c r="A2567" s="7">
        <v>2</v>
      </c>
      <c r="B2567" s="8">
        <v>43625</v>
      </c>
      <c r="C2567" s="9" t="s">
        <v>6</v>
      </c>
      <c r="D2567" s="10">
        <v>124.41799999999999</v>
      </c>
      <c r="E2567" s="10">
        <v>173.292</v>
      </c>
      <c r="F2567" t="str">
        <f>VLOOKUP(A2567,StoreLookup,2,FALSE)</f>
        <v>Store#2</v>
      </c>
      <c r="G2567">
        <f>INDEX(CalLookUpTable,MATCH($B2567,CalLookUpRow,0),MATCH(G$1,CalLookUpColumn,0))</f>
        <v>2019</v>
      </c>
      <c r="H2567">
        <f>INDEX(CalLookUpTable,MATCH($B2567,CalLookUpRow,0),MATCH(H$1,CalLookUpColumn,0))</f>
        <v>6</v>
      </c>
      <c r="I2567">
        <f>INDEX(CalLookUpTable,MATCH($B2567,CalLookUpRow,0),MATCH(I$1,CalLookUpColumn,0))</f>
        <v>2</v>
      </c>
    </row>
    <row r="2568" spans="1:9" x14ac:dyDescent="0.25">
      <c r="A2568" s="7">
        <v>2</v>
      </c>
      <c r="B2568" s="8">
        <v>43625</v>
      </c>
      <c r="C2568" s="9" t="s">
        <v>3</v>
      </c>
      <c r="D2568" s="10">
        <v>0</v>
      </c>
      <c r="E2568" s="10">
        <v>0</v>
      </c>
      <c r="F2568" t="str">
        <f>VLOOKUP(A2568,StoreLookup,2,FALSE)</f>
        <v>Store#2</v>
      </c>
      <c r="G2568">
        <f>INDEX(CalLookUpTable,MATCH($B2568,CalLookUpRow,0),MATCH(G$1,CalLookUpColumn,0))</f>
        <v>2019</v>
      </c>
      <c r="H2568">
        <f>INDEX(CalLookUpTable,MATCH($B2568,CalLookUpRow,0),MATCH(H$1,CalLookUpColumn,0))</f>
        <v>6</v>
      </c>
      <c r="I2568">
        <f>INDEX(CalLookUpTable,MATCH($B2568,CalLookUpRow,0),MATCH(I$1,CalLookUpColumn,0))</f>
        <v>2</v>
      </c>
    </row>
    <row r="2569" spans="1:9" x14ac:dyDescent="0.25">
      <c r="A2569" s="7">
        <v>2</v>
      </c>
      <c r="B2569" s="8">
        <v>43625</v>
      </c>
      <c r="C2569" s="9" t="s">
        <v>5</v>
      </c>
      <c r="D2569" s="10">
        <v>821.07899999999995</v>
      </c>
      <c r="E2569" s="10">
        <v>469.02099999999996</v>
      </c>
      <c r="F2569" t="str">
        <f>VLOOKUP(A2569,StoreLookup,2,FALSE)</f>
        <v>Store#2</v>
      </c>
      <c r="G2569">
        <f>INDEX(CalLookUpTable,MATCH($B2569,CalLookUpRow,0),MATCH(G$1,CalLookUpColumn,0))</f>
        <v>2019</v>
      </c>
      <c r="H2569">
        <f>INDEX(CalLookUpTable,MATCH($B2569,CalLookUpRow,0),MATCH(H$1,CalLookUpColumn,0))</f>
        <v>6</v>
      </c>
      <c r="I2569">
        <f>INDEX(CalLookUpTable,MATCH($B2569,CalLookUpRow,0),MATCH(I$1,CalLookUpColumn,0))</f>
        <v>2</v>
      </c>
    </row>
    <row r="2570" spans="1:9" x14ac:dyDescent="0.25">
      <c r="A2570" s="7">
        <v>2</v>
      </c>
      <c r="B2570" s="8">
        <v>43626</v>
      </c>
      <c r="C2570" s="9" t="s">
        <v>6</v>
      </c>
      <c r="D2570" s="10">
        <v>248.703</v>
      </c>
      <c r="E2570" s="10">
        <v>219.52</v>
      </c>
      <c r="F2570" t="str">
        <f>VLOOKUP(A2570,StoreLookup,2,FALSE)</f>
        <v>Store#2</v>
      </c>
      <c r="G2570">
        <f>INDEX(CalLookUpTable,MATCH($B2570,CalLookUpRow,0),MATCH(G$1,CalLookUpColumn,0))</f>
        <v>2019</v>
      </c>
      <c r="H2570">
        <f>INDEX(CalLookUpTable,MATCH($B2570,CalLookUpRow,0),MATCH(H$1,CalLookUpColumn,0))</f>
        <v>6</v>
      </c>
      <c r="I2570">
        <f>INDEX(CalLookUpTable,MATCH($B2570,CalLookUpRow,0),MATCH(I$1,CalLookUpColumn,0))</f>
        <v>3</v>
      </c>
    </row>
    <row r="2571" spans="1:9" x14ac:dyDescent="0.25">
      <c r="A2571" s="7">
        <v>2</v>
      </c>
      <c r="B2571" s="8">
        <v>43626</v>
      </c>
      <c r="C2571" s="9" t="s">
        <v>4</v>
      </c>
      <c r="D2571" s="10">
        <v>1792.3149999999998</v>
      </c>
      <c r="E2571" s="10">
        <v>1836.1979999999999</v>
      </c>
      <c r="F2571" t="str">
        <f>VLOOKUP(A2571,StoreLookup,2,FALSE)</f>
        <v>Store#2</v>
      </c>
      <c r="G2571">
        <f>INDEX(CalLookUpTable,MATCH($B2571,CalLookUpRow,0),MATCH(G$1,CalLookUpColumn,0))</f>
        <v>2019</v>
      </c>
      <c r="H2571">
        <f>INDEX(CalLookUpTable,MATCH($B2571,CalLookUpRow,0),MATCH(H$1,CalLookUpColumn,0))</f>
        <v>6</v>
      </c>
      <c r="I2571">
        <f>INDEX(CalLookUpTable,MATCH($B2571,CalLookUpRow,0),MATCH(I$1,CalLookUpColumn,0))</f>
        <v>3</v>
      </c>
    </row>
    <row r="2572" spans="1:9" x14ac:dyDescent="0.25">
      <c r="A2572" s="7">
        <v>2</v>
      </c>
      <c r="B2572" s="8">
        <v>43626</v>
      </c>
      <c r="C2572" s="9" t="s">
        <v>5</v>
      </c>
      <c r="D2572" s="10">
        <v>1190.4129999999998</v>
      </c>
      <c r="E2572" s="10">
        <v>484.75699999999995</v>
      </c>
      <c r="F2572" t="str">
        <f>VLOOKUP(A2572,StoreLookup,2,FALSE)</f>
        <v>Store#2</v>
      </c>
      <c r="G2572">
        <f>INDEX(CalLookUpTable,MATCH($B2572,CalLookUpRow,0),MATCH(G$1,CalLookUpColumn,0))</f>
        <v>2019</v>
      </c>
      <c r="H2572">
        <f>INDEX(CalLookUpTable,MATCH($B2572,CalLookUpRow,0),MATCH(H$1,CalLookUpColumn,0))</f>
        <v>6</v>
      </c>
      <c r="I2572">
        <f>INDEX(CalLookUpTable,MATCH($B2572,CalLookUpRow,0),MATCH(I$1,CalLookUpColumn,0))</f>
        <v>3</v>
      </c>
    </row>
    <row r="2573" spans="1:9" x14ac:dyDescent="0.25">
      <c r="A2573" s="7">
        <v>2</v>
      </c>
      <c r="B2573" s="8">
        <v>43626</v>
      </c>
      <c r="C2573" s="9" t="s">
        <v>3</v>
      </c>
      <c r="D2573" s="10">
        <v>691.74</v>
      </c>
      <c r="E2573" s="10">
        <v>0</v>
      </c>
      <c r="F2573" t="str">
        <f>VLOOKUP(A2573,StoreLookup,2,FALSE)</f>
        <v>Store#2</v>
      </c>
      <c r="G2573">
        <f>INDEX(CalLookUpTable,MATCH($B2573,CalLookUpRow,0),MATCH(G$1,CalLookUpColumn,0))</f>
        <v>2019</v>
      </c>
      <c r="H2573">
        <f>INDEX(CalLookUpTable,MATCH($B2573,CalLookUpRow,0),MATCH(H$1,CalLookUpColumn,0))</f>
        <v>6</v>
      </c>
      <c r="I2573">
        <f>INDEX(CalLookUpTable,MATCH($B2573,CalLookUpRow,0),MATCH(I$1,CalLookUpColumn,0))</f>
        <v>3</v>
      </c>
    </row>
    <row r="2574" spans="1:9" x14ac:dyDescent="0.25">
      <c r="A2574" s="7">
        <v>2</v>
      </c>
      <c r="B2574" s="8">
        <v>43627</v>
      </c>
      <c r="C2574" s="9" t="s">
        <v>6</v>
      </c>
      <c r="D2574" s="10">
        <v>558.85899999999992</v>
      </c>
      <c r="E2574" s="10">
        <v>498.49799999999993</v>
      </c>
      <c r="F2574" t="str">
        <f>VLOOKUP(A2574,StoreLookup,2,FALSE)</f>
        <v>Store#2</v>
      </c>
      <c r="G2574">
        <f>INDEX(CalLookUpTable,MATCH($B2574,CalLookUpRow,0),MATCH(G$1,CalLookUpColumn,0))</f>
        <v>2019</v>
      </c>
      <c r="H2574">
        <f>INDEX(CalLookUpTable,MATCH($B2574,CalLookUpRow,0),MATCH(H$1,CalLookUpColumn,0))</f>
        <v>6</v>
      </c>
      <c r="I2574">
        <f>INDEX(CalLookUpTable,MATCH($B2574,CalLookUpRow,0),MATCH(I$1,CalLookUpColumn,0))</f>
        <v>3</v>
      </c>
    </row>
    <row r="2575" spans="1:9" x14ac:dyDescent="0.25">
      <c r="A2575" s="7">
        <v>2</v>
      </c>
      <c r="B2575" s="8">
        <v>43627</v>
      </c>
      <c r="C2575" s="9" t="s">
        <v>4</v>
      </c>
      <c r="D2575" s="10">
        <v>1923.7049999999999</v>
      </c>
      <c r="E2575" s="10">
        <v>2271.6539999999995</v>
      </c>
      <c r="F2575" t="str">
        <f>VLOOKUP(A2575,StoreLookup,2,FALSE)</f>
        <v>Store#2</v>
      </c>
      <c r="G2575">
        <f>INDEX(CalLookUpTable,MATCH($B2575,CalLookUpRow,0),MATCH(G$1,CalLookUpColumn,0))</f>
        <v>2019</v>
      </c>
      <c r="H2575">
        <f>INDEX(CalLookUpTable,MATCH($B2575,CalLookUpRow,0),MATCH(H$1,CalLookUpColumn,0))</f>
        <v>6</v>
      </c>
      <c r="I2575">
        <f>INDEX(CalLookUpTable,MATCH($B2575,CalLookUpRow,0),MATCH(I$1,CalLookUpColumn,0))</f>
        <v>3</v>
      </c>
    </row>
    <row r="2576" spans="1:9" x14ac:dyDescent="0.25">
      <c r="A2576" s="7">
        <v>2</v>
      </c>
      <c r="B2576" s="8">
        <v>43627</v>
      </c>
      <c r="C2576" s="9" t="s">
        <v>5</v>
      </c>
      <c r="D2576" s="10">
        <v>1241.443</v>
      </c>
      <c r="E2576" s="10">
        <v>610.07099999999991</v>
      </c>
      <c r="F2576" t="str">
        <f>VLOOKUP(A2576,StoreLookup,2,FALSE)</f>
        <v>Store#2</v>
      </c>
      <c r="G2576">
        <f>INDEX(CalLookUpTable,MATCH($B2576,CalLookUpRow,0),MATCH(G$1,CalLookUpColumn,0))</f>
        <v>2019</v>
      </c>
      <c r="H2576">
        <f>INDEX(CalLookUpTable,MATCH($B2576,CalLookUpRow,0),MATCH(H$1,CalLookUpColumn,0))</f>
        <v>6</v>
      </c>
      <c r="I2576">
        <f>INDEX(CalLookUpTable,MATCH($B2576,CalLookUpRow,0),MATCH(I$1,CalLookUpColumn,0))</f>
        <v>3</v>
      </c>
    </row>
    <row r="2577" spans="1:9" x14ac:dyDescent="0.25">
      <c r="A2577" s="7">
        <v>2</v>
      </c>
      <c r="B2577" s="8">
        <v>43627</v>
      </c>
      <c r="C2577" s="9" t="s">
        <v>3</v>
      </c>
      <c r="D2577" s="10">
        <v>0</v>
      </c>
      <c r="E2577" s="10">
        <v>161.54599999999999</v>
      </c>
      <c r="F2577" t="str">
        <f>VLOOKUP(A2577,StoreLookup,2,FALSE)</f>
        <v>Store#2</v>
      </c>
      <c r="G2577">
        <f>INDEX(CalLookUpTable,MATCH($B2577,CalLookUpRow,0),MATCH(G$1,CalLookUpColumn,0))</f>
        <v>2019</v>
      </c>
      <c r="H2577">
        <f>INDEX(CalLookUpTable,MATCH($B2577,CalLookUpRow,0),MATCH(H$1,CalLookUpColumn,0))</f>
        <v>6</v>
      </c>
      <c r="I2577">
        <f>INDEX(CalLookUpTable,MATCH($B2577,CalLookUpRow,0),MATCH(I$1,CalLookUpColumn,0))</f>
        <v>3</v>
      </c>
    </row>
    <row r="2578" spans="1:9" x14ac:dyDescent="0.25">
      <c r="A2578" s="7">
        <v>2</v>
      </c>
      <c r="B2578" s="8">
        <v>43628</v>
      </c>
      <c r="C2578" s="9" t="s">
        <v>4</v>
      </c>
      <c r="D2578" s="10">
        <v>1654.9539999999997</v>
      </c>
      <c r="E2578" s="10">
        <v>1656.8579999999999</v>
      </c>
      <c r="F2578" t="str">
        <f>VLOOKUP(A2578,StoreLookup,2,FALSE)</f>
        <v>Store#2</v>
      </c>
      <c r="G2578">
        <f>INDEX(CalLookUpTable,MATCH($B2578,CalLookUpRow,0),MATCH(G$1,CalLookUpColumn,0))</f>
        <v>2019</v>
      </c>
      <c r="H2578">
        <f>INDEX(CalLookUpTable,MATCH($B2578,CalLookUpRow,0),MATCH(H$1,CalLookUpColumn,0))</f>
        <v>6</v>
      </c>
      <c r="I2578">
        <f>INDEX(CalLookUpTable,MATCH($B2578,CalLookUpRow,0),MATCH(I$1,CalLookUpColumn,0))</f>
        <v>3</v>
      </c>
    </row>
    <row r="2579" spans="1:9" x14ac:dyDescent="0.25">
      <c r="A2579" s="7">
        <v>2</v>
      </c>
      <c r="B2579" s="8">
        <v>43628</v>
      </c>
      <c r="C2579" s="9" t="s">
        <v>3</v>
      </c>
      <c r="D2579" s="10">
        <v>1106.2589999999998</v>
      </c>
      <c r="E2579" s="10">
        <v>0</v>
      </c>
      <c r="F2579" t="str">
        <f>VLOOKUP(A2579,StoreLookup,2,FALSE)</f>
        <v>Store#2</v>
      </c>
      <c r="G2579">
        <f>INDEX(CalLookUpTable,MATCH($B2579,CalLookUpRow,0),MATCH(G$1,CalLookUpColumn,0))</f>
        <v>2019</v>
      </c>
      <c r="H2579">
        <f>INDEX(CalLookUpTable,MATCH($B2579,CalLookUpRow,0),MATCH(H$1,CalLookUpColumn,0))</f>
        <v>6</v>
      </c>
      <c r="I2579">
        <f>INDEX(CalLookUpTable,MATCH($B2579,CalLookUpRow,0),MATCH(I$1,CalLookUpColumn,0))</f>
        <v>3</v>
      </c>
    </row>
    <row r="2580" spans="1:9" x14ac:dyDescent="0.25">
      <c r="A2580" s="7">
        <v>2</v>
      </c>
      <c r="B2580" s="8">
        <v>43628</v>
      </c>
      <c r="C2580" s="9" t="s">
        <v>6</v>
      </c>
      <c r="D2580" s="10">
        <v>299.98500000000001</v>
      </c>
      <c r="E2580" s="10">
        <v>531.55200000000002</v>
      </c>
      <c r="F2580" t="str">
        <f>VLOOKUP(A2580,StoreLookup,2,FALSE)</f>
        <v>Store#2</v>
      </c>
      <c r="G2580">
        <f>INDEX(CalLookUpTable,MATCH($B2580,CalLookUpRow,0),MATCH(G$1,CalLookUpColumn,0))</f>
        <v>2019</v>
      </c>
      <c r="H2580">
        <f>INDEX(CalLookUpTable,MATCH($B2580,CalLookUpRow,0),MATCH(H$1,CalLookUpColumn,0))</f>
        <v>6</v>
      </c>
      <c r="I2580">
        <f>INDEX(CalLookUpTable,MATCH($B2580,CalLookUpRow,0),MATCH(I$1,CalLookUpColumn,0))</f>
        <v>3</v>
      </c>
    </row>
    <row r="2581" spans="1:9" x14ac:dyDescent="0.25">
      <c r="A2581" s="7">
        <v>2</v>
      </c>
      <c r="B2581" s="8">
        <v>43628</v>
      </c>
      <c r="C2581" s="9" t="s">
        <v>5</v>
      </c>
      <c r="D2581" s="10">
        <v>1075.557</v>
      </c>
      <c r="E2581" s="10">
        <v>440.286</v>
      </c>
      <c r="F2581" t="str">
        <f>VLOOKUP(A2581,StoreLookup,2,FALSE)</f>
        <v>Store#2</v>
      </c>
      <c r="G2581">
        <f>INDEX(CalLookUpTable,MATCH($B2581,CalLookUpRow,0),MATCH(G$1,CalLookUpColumn,0))</f>
        <v>2019</v>
      </c>
      <c r="H2581">
        <f>INDEX(CalLookUpTable,MATCH($B2581,CalLookUpRow,0),MATCH(H$1,CalLookUpColumn,0))</f>
        <v>6</v>
      </c>
      <c r="I2581">
        <f>INDEX(CalLookUpTable,MATCH($B2581,CalLookUpRow,0),MATCH(I$1,CalLookUpColumn,0))</f>
        <v>3</v>
      </c>
    </row>
    <row r="2582" spans="1:9" x14ac:dyDescent="0.25">
      <c r="A2582" s="7">
        <v>2</v>
      </c>
      <c r="B2582" s="8">
        <v>43629</v>
      </c>
      <c r="C2582" s="9" t="s">
        <v>6</v>
      </c>
      <c r="D2582" s="10">
        <v>274.59599999999995</v>
      </c>
      <c r="E2582" s="10">
        <v>670.75400000000002</v>
      </c>
      <c r="F2582" t="str">
        <f>VLOOKUP(A2582,StoreLookup,2,FALSE)</f>
        <v>Store#2</v>
      </c>
      <c r="G2582">
        <f>INDEX(CalLookUpTable,MATCH($B2582,CalLookUpRow,0),MATCH(G$1,CalLookUpColumn,0))</f>
        <v>2019</v>
      </c>
      <c r="H2582">
        <f>INDEX(CalLookUpTable,MATCH($B2582,CalLookUpRow,0),MATCH(H$1,CalLookUpColumn,0))</f>
        <v>6</v>
      </c>
      <c r="I2582">
        <f>INDEX(CalLookUpTable,MATCH($B2582,CalLookUpRow,0),MATCH(I$1,CalLookUpColumn,0))</f>
        <v>3</v>
      </c>
    </row>
    <row r="2583" spans="1:9" x14ac:dyDescent="0.25">
      <c r="A2583" s="7">
        <v>2</v>
      </c>
      <c r="B2583" s="8">
        <v>43629</v>
      </c>
      <c r="C2583" s="9" t="s">
        <v>4</v>
      </c>
      <c r="D2583" s="10">
        <v>1821.7359999999999</v>
      </c>
      <c r="E2583" s="10">
        <v>1904.0629999999999</v>
      </c>
      <c r="F2583" t="str">
        <f>VLOOKUP(A2583,StoreLookup,2,FALSE)</f>
        <v>Store#2</v>
      </c>
      <c r="G2583">
        <f>INDEX(CalLookUpTable,MATCH($B2583,CalLookUpRow,0),MATCH(G$1,CalLookUpColumn,0))</f>
        <v>2019</v>
      </c>
      <c r="H2583">
        <f>INDEX(CalLookUpTable,MATCH($B2583,CalLookUpRow,0),MATCH(H$1,CalLookUpColumn,0))</f>
        <v>6</v>
      </c>
      <c r="I2583">
        <f>INDEX(CalLookUpTable,MATCH($B2583,CalLookUpRow,0),MATCH(I$1,CalLookUpColumn,0))</f>
        <v>3</v>
      </c>
    </row>
    <row r="2584" spans="1:9" x14ac:dyDescent="0.25">
      <c r="A2584" s="7">
        <v>2</v>
      </c>
      <c r="B2584" s="8">
        <v>43629</v>
      </c>
      <c r="C2584" s="9" t="s">
        <v>5</v>
      </c>
      <c r="D2584" s="10">
        <v>1430.0719999999999</v>
      </c>
      <c r="E2584" s="10">
        <v>716.66</v>
      </c>
      <c r="F2584" t="str">
        <f>VLOOKUP(A2584,StoreLookup,2,FALSE)</f>
        <v>Store#2</v>
      </c>
      <c r="G2584">
        <f>INDEX(CalLookUpTable,MATCH($B2584,CalLookUpRow,0),MATCH(G$1,CalLookUpColumn,0))</f>
        <v>2019</v>
      </c>
      <c r="H2584">
        <f>INDEX(CalLookUpTable,MATCH($B2584,CalLookUpRow,0),MATCH(H$1,CalLookUpColumn,0))</f>
        <v>6</v>
      </c>
      <c r="I2584">
        <f>INDEX(CalLookUpTable,MATCH($B2584,CalLookUpRow,0),MATCH(I$1,CalLookUpColumn,0))</f>
        <v>3</v>
      </c>
    </row>
    <row r="2585" spans="1:9" x14ac:dyDescent="0.25">
      <c r="A2585" s="7">
        <v>2</v>
      </c>
      <c r="B2585" s="8">
        <v>43629</v>
      </c>
      <c r="C2585" s="9" t="s">
        <v>3</v>
      </c>
      <c r="D2585" s="10">
        <v>65.757999999999996</v>
      </c>
      <c r="E2585" s="10">
        <v>27.341999999999999</v>
      </c>
      <c r="F2585" t="str">
        <f>VLOOKUP(A2585,StoreLookup,2,FALSE)</f>
        <v>Store#2</v>
      </c>
      <c r="G2585">
        <f>INDEX(CalLookUpTable,MATCH($B2585,CalLookUpRow,0),MATCH(G$1,CalLookUpColumn,0))</f>
        <v>2019</v>
      </c>
      <c r="H2585">
        <f>INDEX(CalLookUpTable,MATCH($B2585,CalLookUpRow,0),MATCH(H$1,CalLookUpColumn,0))</f>
        <v>6</v>
      </c>
      <c r="I2585">
        <f>INDEX(CalLookUpTable,MATCH($B2585,CalLookUpRow,0),MATCH(I$1,CalLookUpColumn,0))</f>
        <v>3</v>
      </c>
    </row>
    <row r="2586" spans="1:9" x14ac:dyDescent="0.25">
      <c r="A2586" s="7">
        <v>2</v>
      </c>
      <c r="B2586" s="8">
        <v>43630</v>
      </c>
      <c r="C2586" s="9" t="s">
        <v>5</v>
      </c>
      <c r="D2586" s="10">
        <v>1163.4699999999998</v>
      </c>
      <c r="E2586" s="10">
        <v>594.61500000000001</v>
      </c>
      <c r="F2586" t="str">
        <f>VLOOKUP(A2586,StoreLookup,2,FALSE)</f>
        <v>Store#2</v>
      </c>
      <c r="G2586">
        <f>INDEX(CalLookUpTable,MATCH($B2586,CalLookUpRow,0),MATCH(G$1,CalLookUpColumn,0))</f>
        <v>2019</v>
      </c>
      <c r="H2586">
        <f>INDEX(CalLookUpTable,MATCH($B2586,CalLookUpRow,0),MATCH(H$1,CalLookUpColumn,0))</f>
        <v>6</v>
      </c>
      <c r="I2586">
        <f>INDEX(CalLookUpTable,MATCH($B2586,CalLookUpRow,0),MATCH(I$1,CalLookUpColumn,0))</f>
        <v>3</v>
      </c>
    </row>
    <row r="2587" spans="1:9" x14ac:dyDescent="0.25">
      <c r="A2587" s="7">
        <v>2</v>
      </c>
      <c r="B2587" s="8">
        <v>43630</v>
      </c>
      <c r="C2587" s="9" t="s">
        <v>6</v>
      </c>
      <c r="D2587" s="10">
        <v>249.74599999999995</v>
      </c>
      <c r="E2587" s="10">
        <v>334.04699999999997</v>
      </c>
      <c r="F2587" t="str">
        <f>VLOOKUP(A2587,StoreLookup,2,FALSE)</f>
        <v>Store#2</v>
      </c>
      <c r="G2587">
        <f>INDEX(CalLookUpTable,MATCH($B2587,CalLookUpRow,0),MATCH(G$1,CalLookUpColumn,0))</f>
        <v>2019</v>
      </c>
      <c r="H2587">
        <f>INDEX(CalLookUpTable,MATCH($B2587,CalLookUpRow,0),MATCH(H$1,CalLookUpColumn,0))</f>
        <v>6</v>
      </c>
      <c r="I2587">
        <f>INDEX(CalLookUpTable,MATCH($B2587,CalLookUpRow,0),MATCH(I$1,CalLookUpColumn,0))</f>
        <v>3</v>
      </c>
    </row>
    <row r="2588" spans="1:9" x14ac:dyDescent="0.25">
      <c r="A2588" s="7">
        <v>2</v>
      </c>
      <c r="B2588" s="8">
        <v>43630</v>
      </c>
      <c r="C2588" s="9" t="s">
        <v>4</v>
      </c>
      <c r="D2588" s="10">
        <v>2595.047</v>
      </c>
      <c r="E2588" s="10">
        <v>2583.9939999999997</v>
      </c>
      <c r="F2588" t="str">
        <f>VLOOKUP(A2588,StoreLookup,2,FALSE)</f>
        <v>Store#2</v>
      </c>
      <c r="G2588">
        <f>INDEX(CalLookUpTable,MATCH($B2588,CalLookUpRow,0),MATCH(G$1,CalLookUpColumn,0))</f>
        <v>2019</v>
      </c>
      <c r="H2588">
        <f>INDEX(CalLookUpTable,MATCH($B2588,CalLookUpRow,0),MATCH(H$1,CalLookUpColumn,0))</f>
        <v>6</v>
      </c>
      <c r="I2588">
        <f>INDEX(CalLookUpTable,MATCH($B2588,CalLookUpRow,0),MATCH(I$1,CalLookUpColumn,0))</f>
        <v>3</v>
      </c>
    </row>
    <row r="2589" spans="1:9" x14ac:dyDescent="0.25">
      <c r="A2589" s="7">
        <v>2</v>
      </c>
      <c r="B2589" s="8">
        <v>43630</v>
      </c>
      <c r="C2589" s="9" t="s">
        <v>3</v>
      </c>
      <c r="D2589" s="10">
        <v>0</v>
      </c>
      <c r="E2589" s="10">
        <v>0</v>
      </c>
      <c r="F2589" t="str">
        <f>VLOOKUP(A2589,StoreLookup,2,FALSE)</f>
        <v>Store#2</v>
      </c>
      <c r="G2589">
        <f>INDEX(CalLookUpTable,MATCH($B2589,CalLookUpRow,0),MATCH(G$1,CalLookUpColumn,0))</f>
        <v>2019</v>
      </c>
      <c r="H2589">
        <f>INDEX(CalLookUpTable,MATCH($B2589,CalLookUpRow,0),MATCH(H$1,CalLookUpColumn,0))</f>
        <v>6</v>
      </c>
      <c r="I2589">
        <f>INDEX(CalLookUpTable,MATCH($B2589,CalLookUpRow,0),MATCH(I$1,CalLookUpColumn,0))</f>
        <v>3</v>
      </c>
    </row>
    <row r="2590" spans="1:9" x14ac:dyDescent="0.25">
      <c r="A2590" s="7">
        <v>2</v>
      </c>
      <c r="B2590" s="8">
        <v>43631</v>
      </c>
      <c r="C2590" s="9" t="s">
        <v>6</v>
      </c>
      <c r="D2590" s="10">
        <v>481.92899999999997</v>
      </c>
      <c r="E2590" s="10">
        <v>407.988</v>
      </c>
      <c r="F2590" t="str">
        <f>VLOOKUP(A2590,StoreLookup,2,FALSE)</f>
        <v>Store#2</v>
      </c>
      <c r="G2590">
        <f>INDEX(CalLookUpTable,MATCH($B2590,CalLookUpRow,0),MATCH(G$1,CalLookUpColumn,0))</f>
        <v>2019</v>
      </c>
      <c r="H2590">
        <f>INDEX(CalLookUpTable,MATCH($B2590,CalLookUpRow,0),MATCH(H$1,CalLookUpColumn,0))</f>
        <v>6</v>
      </c>
      <c r="I2590">
        <f>INDEX(CalLookUpTable,MATCH($B2590,CalLookUpRow,0),MATCH(I$1,CalLookUpColumn,0))</f>
        <v>3</v>
      </c>
    </row>
    <row r="2591" spans="1:9" x14ac:dyDescent="0.25">
      <c r="A2591" s="7">
        <v>2</v>
      </c>
      <c r="B2591" s="8">
        <v>43631</v>
      </c>
      <c r="C2591" s="9" t="s">
        <v>4</v>
      </c>
      <c r="D2591" s="10">
        <v>2627.38</v>
      </c>
      <c r="E2591" s="10">
        <v>2035.7819999999999</v>
      </c>
      <c r="F2591" t="str">
        <f>VLOOKUP(A2591,StoreLookup,2,FALSE)</f>
        <v>Store#2</v>
      </c>
      <c r="G2591">
        <f>INDEX(CalLookUpTable,MATCH($B2591,CalLookUpRow,0),MATCH(G$1,CalLookUpColumn,0))</f>
        <v>2019</v>
      </c>
      <c r="H2591">
        <f>INDEX(CalLookUpTable,MATCH($B2591,CalLookUpRow,0),MATCH(H$1,CalLookUpColumn,0))</f>
        <v>6</v>
      </c>
      <c r="I2591">
        <f>INDEX(CalLookUpTable,MATCH($B2591,CalLookUpRow,0),MATCH(I$1,CalLookUpColumn,0))</f>
        <v>3</v>
      </c>
    </row>
    <row r="2592" spans="1:9" x14ac:dyDescent="0.25">
      <c r="A2592" s="7">
        <v>2</v>
      </c>
      <c r="B2592" s="8">
        <v>43631</v>
      </c>
      <c r="C2592" s="9" t="s">
        <v>3</v>
      </c>
      <c r="D2592" s="10">
        <v>15.308999999999999</v>
      </c>
      <c r="E2592" s="10">
        <v>0</v>
      </c>
      <c r="F2592" t="str">
        <f>VLOOKUP(A2592,StoreLookup,2,FALSE)</f>
        <v>Store#2</v>
      </c>
      <c r="G2592">
        <f>INDEX(CalLookUpTable,MATCH($B2592,CalLookUpRow,0),MATCH(G$1,CalLookUpColumn,0))</f>
        <v>2019</v>
      </c>
      <c r="H2592">
        <f>INDEX(CalLookUpTable,MATCH($B2592,CalLookUpRow,0),MATCH(H$1,CalLookUpColumn,0))</f>
        <v>6</v>
      </c>
      <c r="I2592">
        <f>INDEX(CalLookUpTable,MATCH($B2592,CalLookUpRow,0),MATCH(I$1,CalLookUpColumn,0))</f>
        <v>3</v>
      </c>
    </row>
    <row r="2593" spans="1:9" x14ac:dyDescent="0.25">
      <c r="A2593" s="7">
        <v>2</v>
      </c>
      <c r="B2593" s="8">
        <v>43631</v>
      </c>
      <c r="C2593" s="9" t="s">
        <v>5</v>
      </c>
      <c r="D2593" s="10">
        <v>1221.0449999999998</v>
      </c>
      <c r="E2593" s="10">
        <v>600.649</v>
      </c>
      <c r="F2593" t="str">
        <f>VLOOKUP(A2593,StoreLookup,2,FALSE)</f>
        <v>Store#2</v>
      </c>
      <c r="G2593">
        <f>INDEX(CalLookUpTable,MATCH($B2593,CalLookUpRow,0),MATCH(G$1,CalLookUpColumn,0))</f>
        <v>2019</v>
      </c>
      <c r="H2593">
        <f>INDEX(CalLookUpTable,MATCH($B2593,CalLookUpRow,0),MATCH(H$1,CalLookUpColumn,0))</f>
        <v>6</v>
      </c>
      <c r="I2593">
        <f>INDEX(CalLookUpTable,MATCH($B2593,CalLookUpRow,0),MATCH(I$1,CalLookUpColumn,0))</f>
        <v>3</v>
      </c>
    </row>
    <row r="2594" spans="1:9" x14ac:dyDescent="0.25">
      <c r="A2594" s="7">
        <v>2</v>
      </c>
      <c r="B2594" s="8">
        <v>43632</v>
      </c>
      <c r="C2594" s="9" t="s">
        <v>3</v>
      </c>
      <c r="D2594" s="10">
        <v>0</v>
      </c>
      <c r="E2594" s="10">
        <v>21.181999999999999</v>
      </c>
      <c r="F2594" t="str">
        <f>VLOOKUP(A2594,StoreLookup,2,FALSE)</f>
        <v>Store#2</v>
      </c>
      <c r="G2594">
        <f>INDEX(CalLookUpTable,MATCH($B2594,CalLookUpRow,0),MATCH(G$1,CalLookUpColumn,0))</f>
        <v>2019</v>
      </c>
      <c r="H2594">
        <f>INDEX(CalLookUpTable,MATCH($B2594,CalLookUpRow,0),MATCH(H$1,CalLookUpColumn,0))</f>
        <v>6</v>
      </c>
      <c r="I2594">
        <f>INDEX(CalLookUpTable,MATCH($B2594,CalLookUpRow,0),MATCH(I$1,CalLookUpColumn,0))</f>
        <v>3</v>
      </c>
    </row>
    <row r="2595" spans="1:9" x14ac:dyDescent="0.25">
      <c r="A2595" s="7">
        <v>2</v>
      </c>
      <c r="B2595" s="8">
        <v>43632</v>
      </c>
      <c r="C2595" s="9" t="s">
        <v>4</v>
      </c>
      <c r="D2595" s="10">
        <v>1441.4259999999997</v>
      </c>
      <c r="E2595" s="10">
        <v>878.3599999999999</v>
      </c>
      <c r="F2595" t="str">
        <f>VLOOKUP(A2595,StoreLookup,2,FALSE)</f>
        <v>Store#2</v>
      </c>
      <c r="G2595">
        <f>INDEX(CalLookUpTable,MATCH($B2595,CalLookUpRow,0),MATCH(G$1,CalLookUpColumn,0))</f>
        <v>2019</v>
      </c>
      <c r="H2595">
        <f>INDEX(CalLookUpTable,MATCH($B2595,CalLookUpRow,0),MATCH(H$1,CalLookUpColumn,0))</f>
        <v>6</v>
      </c>
      <c r="I2595">
        <f>INDEX(CalLookUpTable,MATCH($B2595,CalLookUpRow,0),MATCH(I$1,CalLookUpColumn,0))</f>
        <v>3</v>
      </c>
    </row>
    <row r="2596" spans="1:9" x14ac:dyDescent="0.25">
      <c r="A2596" s="7">
        <v>2</v>
      </c>
      <c r="B2596" s="8">
        <v>43632</v>
      </c>
      <c r="C2596" s="9" t="s">
        <v>6</v>
      </c>
      <c r="D2596" s="10">
        <v>284.25599999999997</v>
      </c>
      <c r="E2596" s="10">
        <v>255.94799999999998</v>
      </c>
      <c r="F2596" t="str">
        <f>VLOOKUP(A2596,StoreLookup,2,FALSE)</f>
        <v>Store#2</v>
      </c>
      <c r="G2596">
        <f>INDEX(CalLookUpTable,MATCH($B2596,CalLookUpRow,0),MATCH(G$1,CalLookUpColumn,0))</f>
        <v>2019</v>
      </c>
      <c r="H2596">
        <f>INDEX(CalLookUpTable,MATCH($B2596,CalLookUpRow,0),MATCH(H$1,CalLookUpColumn,0))</f>
        <v>6</v>
      </c>
      <c r="I2596">
        <f>INDEX(CalLookUpTable,MATCH($B2596,CalLookUpRow,0),MATCH(I$1,CalLookUpColumn,0))</f>
        <v>3</v>
      </c>
    </row>
    <row r="2597" spans="1:9" x14ac:dyDescent="0.25">
      <c r="A2597" s="7">
        <v>2</v>
      </c>
      <c r="B2597" s="8">
        <v>43632</v>
      </c>
      <c r="C2597" s="9" t="s">
        <v>5</v>
      </c>
      <c r="D2597" s="10">
        <v>604.98899999999992</v>
      </c>
      <c r="E2597" s="10">
        <v>378.34999999999997</v>
      </c>
      <c r="F2597" t="str">
        <f>VLOOKUP(A2597,StoreLookup,2,FALSE)</f>
        <v>Store#2</v>
      </c>
      <c r="G2597">
        <f>INDEX(CalLookUpTable,MATCH($B2597,CalLookUpRow,0),MATCH(G$1,CalLookUpColumn,0))</f>
        <v>2019</v>
      </c>
      <c r="H2597">
        <f>INDEX(CalLookUpTable,MATCH($B2597,CalLookUpRow,0),MATCH(H$1,CalLookUpColumn,0))</f>
        <v>6</v>
      </c>
      <c r="I2597">
        <f>INDEX(CalLookUpTable,MATCH($B2597,CalLookUpRow,0),MATCH(I$1,CalLookUpColumn,0))</f>
        <v>3</v>
      </c>
    </row>
    <row r="2598" spans="1:9" x14ac:dyDescent="0.25">
      <c r="A2598" s="7">
        <v>2</v>
      </c>
      <c r="B2598" s="8">
        <v>43633</v>
      </c>
      <c r="C2598" s="9" t="s">
        <v>5</v>
      </c>
      <c r="D2598" s="10">
        <v>940.59699999999998</v>
      </c>
      <c r="E2598" s="10">
        <v>484.86199999999997</v>
      </c>
      <c r="F2598" t="str">
        <f>VLOOKUP(A2598,StoreLookup,2,FALSE)</f>
        <v>Store#2</v>
      </c>
      <c r="G2598">
        <f>INDEX(CalLookUpTable,MATCH($B2598,CalLookUpRow,0),MATCH(G$1,CalLookUpColumn,0))</f>
        <v>2019</v>
      </c>
      <c r="H2598">
        <f>INDEX(CalLookUpTable,MATCH($B2598,CalLookUpRow,0),MATCH(H$1,CalLookUpColumn,0))</f>
        <v>6</v>
      </c>
      <c r="I2598">
        <f>INDEX(CalLookUpTable,MATCH($B2598,CalLookUpRow,0),MATCH(I$1,CalLookUpColumn,0))</f>
        <v>4</v>
      </c>
    </row>
    <row r="2599" spans="1:9" x14ac:dyDescent="0.25">
      <c r="A2599" s="7">
        <v>2</v>
      </c>
      <c r="B2599" s="8">
        <v>43633</v>
      </c>
      <c r="C2599" s="9" t="s">
        <v>6</v>
      </c>
      <c r="D2599" s="10">
        <v>333.17899999999997</v>
      </c>
      <c r="E2599" s="10">
        <v>334.06099999999998</v>
      </c>
      <c r="F2599" t="str">
        <f>VLOOKUP(A2599,StoreLookup,2,FALSE)</f>
        <v>Store#2</v>
      </c>
      <c r="G2599">
        <f>INDEX(CalLookUpTable,MATCH($B2599,CalLookUpRow,0),MATCH(G$1,CalLookUpColumn,0))</f>
        <v>2019</v>
      </c>
      <c r="H2599">
        <f>INDEX(CalLookUpTable,MATCH($B2599,CalLookUpRow,0),MATCH(H$1,CalLookUpColumn,0))</f>
        <v>6</v>
      </c>
      <c r="I2599">
        <f>INDEX(CalLookUpTable,MATCH($B2599,CalLookUpRow,0),MATCH(I$1,CalLookUpColumn,0))</f>
        <v>4</v>
      </c>
    </row>
    <row r="2600" spans="1:9" x14ac:dyDescent="0.25">
      <c r="A2600" s="7">
        <v>2</v>
      </c>
      <c r="B2600" s="8">
        <v>43633</v>
      </c>
      <c r="C2600" s="9" t="s">
        <v>4</v>
      </c>
      <c r="D2600" s="10">
        <v>1446.1229999999998</v>
      </c>
      <c r="E2600" s="10">
        <v>1662.7660000000001</v>
      </c>
      <c r="F2600" t="str">
        <f>VLOOKUP(A2600,StoreLookup,2,FALSE)</f>
        <v>Store#2</v>
      </c>
      <c r="G2600">
        <f>INDEX(CalLookUpTable,MATCH($B2600,CalLookUpRow,0),MATCH(G$1,CalLookUpColumn,0))</f>
        <v>2019</v>
      </c>
      <c r="H2600">
        <f>INDEX(CalLookUpTable,MATCH($B2600,CalLookUpRow,0),MATCH(H$1,CalLookUpColumn,0))</f>
        <v>6</v>
      </c>
      <c r="I2600">
        <f>INDEX(CalLookUpTable,MATCH($B2600,CalLookUpRow,0),MATCH(I$1,CalLookUpColumn,0))</f>
        <v>4</v>
      </c>
    </row>
    <row r="2601" spans="1:9" x14ac:dyDescent="0.25">
      <c r="A2601" s="7">
        <v>2</v>
      </c>
      <c r="B2601" s="8">
        <v>43633</v>
      </c>
      <c r="C2601" s="9" t="s">
        <v>3</v>
      </c>
      <c r="D2601" s="10">
        <v>0</v>
      </c>
      <c r="E2601" s="10">
        <v>0</v>
      </c>
      <c r="F2601" t="str">
        <f>VLOOKUP(A2601,StoreLookup,2,FALSE)</f>
        <v>Store#2</v>
      </c>
      <c r="G2601">
        <f>INDEX(CalLookUpTable,MATCH($B2601,CalLookUpRow,0),MATCH(G$1,CalLookUpColumn,0))</f>
        <v>2019</v>
      </c>
      <c r="H2601">
        <f>INDEX(CalLookUpTable,MATCH($B2601,CalLookUpRow,0),MATCH(H$1,CalLookUpColumn,0))</f>
        <v>6</v>
      </c>
      <c r="I2601">
        <f>INDEX(CalLookUpTable,MATCH($B2601,CalLookUpRow,0),MATCH(I$1,CalLookUpColumn,0))</f>
        <v>4</v>
      </c>
    </row>
    <row r="2602" spans="1:9" x14ac:dyDescent="0.25">
      <c r="A2602" s="7">
        <v>2</v>
      </c>
      <c r="B2602" s="8">
        <v>43634</v>
      </c>
      <c r="C2602" s="9" t="s">
        <v>5</v>
      </c>
      <c r="D2602" s="10">
        <v>1090.5999999999999</v>
      </c>
      <c r="E2602" s="10">
        <v>553.46899999999994</v>
      </c>
      <c r="F2602" t="str">
        <f>VLOOKUP(A2602,StoreLookup,2,FALSE)</f>
        <v>Store#2</v>
      </c>
      <c r="G2602">
        <f>INDEX(CalLookUpTable,MATCH($B2602,CalLookUpRow,0),MATCH(G$1,CalLookUpColumn,0))</f>
        <v>2019</v>
      </c>
      <c r="H2602">
        <f>INDEX(CalLookUpTable,MATCH($B2602,CalLookUpRow,0),MATCH(H$1,CalLookUpColumn,0))</f>
        <v>6</v>
      </c>
      <c r="I2602">
        <f>INDEX(CalLookUpTable,MATCH($B2602,CalLookUpRow,0),MATCH(I$1,CalLookUpColumn,0))</f>
        <v>4</v>
      </c>
    </row>
    <row r="2603" spans="1:9" x14ac:dyDescent="0.25">
      <c r="A2603" s="7">
        <v>2</v>
      </c>
      <c r="B2603" s="8">
        <v>43634</v>
      </c>
      <c r="C2603" s="9" t="s">
        <v>6</v>
      </c>
      <c r="D2603" s="10">
        <v>298.62700000000001</v>
      </c>
      <c r="E2603" s="10">
        <v>387.43599999999998</v>
      </c>
      <c r="F2603" t="str">
        <f>VLOOKUP(A2603,StoreLookup,2,FALSE)</f>
        <v>Store#2</v>
      </c>
      <c r="G2603">
        <f>INDEX(CalLookUpTable,MATCH($B2603,CalLookUpRow,0),MATCH(G$1,CalLookUpColumn,0))</f>
        <v>2019</v>
      </c>
      <c r="H2603">
        <f>INDEX(CalLookUpTable,MATCH($B2603,CalLookUpRow,0),MATCH(H$1,CalLookUpColumn,0))</f>
        <v>6</v>
      </c>
      <c r="I2603">
        <f>INDEX(CalLookUpTable,MATCH($B2603,CalLookUpRow,0),MATCH(I$1,CalLookUpColumn,0))</f>
        <v>4</v>
      </c>
    </row>
    <row r="2604" spans="1:9" x14ac:dyDescent="0.25">
      <c r="A2604" s="7">
        <v>2</v>
      </c>
      <c r="B2604" s="8">
        <v>43634</v>
      </c>
      <c r="C2604" s="9" t="s">
        <v>3</v>
      </c>
      <c r="D2604" s="10">
        <v>354.03899999999999</v>
      </c>
      <c r="E2604" s="10">
        <v>0</v>
      </c>
      <c r="F2604" t="str">
        <f>VLOOKUP(A2604,StoreLookup,2,FALSE)</f>
        <v>Store#2</v>
      </c>
      <c r="G2604">
        <f>INDEX(CalLookUpTable,MATCH($B2604,CalLookUpRow,0),MATCH(G$1,CalLookUpColumn,0))</f>
        <v>2019</v>
      </c>
      <c r="H2604">
        <f>INDEX(CalLookUpTable,MATCH($B2604,CalLookUpRow,0),MATCH(H$1,CalLookUpColumn,0))</f>
        <v>6</v>
      </c>
      <c r="I2604">
        <f>INDEX(CalLookUpTable,MATCH($B2604,CalLookUpRow,0),MATCH(I$1,CalLookUpColumn,0))</f>
        <v>4</v>
      </c>
    </row>
    <row r="2605" spans="1:9" x14ac:dyDescent="0.25">
      <c r="A2605" s="7">
        <v>2</v>
      </c>
      <c r="B2605" s="8">
        <v>43634</v>
      </c>
      <c r="C2605" s="9" t="s">
        <v>4</v>
      </c>
      <c r="D2605" s="10">
        <v>1950.2699999999998</v>
      </c>
      <c r="E2605" s="10">
        <v>1899.4570000000001</v>
      </c>
      <c r="F2605" t="str">
        <f>VLOOKUP(A2605,StoreLookup,2,FALSE)</f>
        <v>Store#2</v>
      </c>
      <c r="G2605">
        <f>INDEX(CalLookUpTable,MATCH($B2605,CalLookUpRow,0),MATCH(G$1,CalLookUpColumn,0))</f>
        <v>2019</v>
      </c>
      <c r="H2605">
        <f>INDEX(CalLookUpTable,MATCH($B2605,CalLookUpRow,0),MATCH(H$1,CalLookUpColumn,0))</f>
        <v>6</v>
      </c>
      <c r="I2605">
        <f>INDEX(CalLookUpTable,MATCH($B2605,CalLookUpRow,0),MATCH(I$1,CalLookUpColumn,0))</f>
        <v>4</v>
      </c>
    </row>
    <row r="2606" spans="1:9" x14ac:dyDescent="0.25">
      <c r="A2606" s="7">
        <v>2</v>
      </c>
      <c r="B2606" s="8">
        <v>43635</v>
      </c>
      <c r="C2606" s="9" t="s">
        <v>4</v>
      </c>
      <c r="D2606" s="10">
        <v>1988.4549999999999</v>
      </c>
      <c r="E2606" s="10">
        <v>1836.0509999999997</v>
      </c>
      <c r="F2606" t="str">
        <f>VLOOKUP(A2606,StoreLookup,2,FALSE)</f>
        <v>Store#2</v>
      </c>
      <c r="G2606">
        <f>INDEX(CalLookUpTable,MATCH($B2606,CalLookUpRow,0),MATCH(G$1,CalLookUpColumn,0))</f>
        <v>2019</v>
      </c>
      <c r="H2606">
        <f>INDEX(CalLookUpTable,MATCH($B2606,CalLookUpRow,0),MATCH(H$1,CalLookUpColumn,0))</f>
        <v>6</v>
      </c>
      <c r="I2606">
        <f>INDEX(CalLookUpTable,MATCH($B2606,CalLookUpRow,0),MATCH(I$1,CalLookUpColumn,0))</f>
        <v>4</v>
      </c>
    </row>
    <row r="2607" spans="1:9" x14ac:dyDescent="0.25">
      <c r="A2607" s="7">
        <v>2</v>
      </c>
      <c r="B2607" s="8">
        <v>43635</v>
      </c>
      <c r="C2607" s="9" t="s">
        <v>6</v>
      </c>
      <c r="D2607" s="10">
        <v>549.12900000000002</v>
      </c>
      <c r="E2607" s="10">
        <v>342.14599999999996</v>
      </c>
      <c r="F2607" t="str">
        <f>VLOOKUP(A2607,StoreLookup,2,FALSE)</f>
        <v>Store#2</v>
      </c>
      <c r="G2607">
        <f>INDEX(CalLookUpTable,MATCH($B2607,CalLookUpRow,0),MATCH(G$1,CalLookUpColumn,0))</f>
        <v>2019</v>
      </c>
      <c r="H2607">
        <f>INDEX(CalLookUpTable,MATCH($B2607,CalLookUpRow,0),MATCH(H$1,CalLookUpColumn,0))</f>
        <v>6</v>
      </c>
      <c r="I2607">
        <f>INDEX(CalLookUpTable,MATCH($B2607,CalLookUpRow,0),MATCH(I$1,CalLookUpColumn,0))</f>
        <v>4</v>
      </c>
    </row>
    <row r="2608" spans="1:9" x14ac:dyDescent="0.25">
      <c r="A2608" s="7">
        <v>2</v>
      </c>
      <c r="B2608" s="8">
        <v>43635</v>
      </c>
      <c r="C2608" s="9" t="s">
        <v>5</v>
      </c>
      <c r="D2608" s="10">
        <v>1140.867</v>
      </c>
      <c r="E2608" s="10">
        <v>598.66099999999994</v>
      </c>
      <c r="F2608" t="str">
        <f>VLOOKUP(A2608,StoreLookup,2,FALSE)</f>
        <v>Store#2</v>
      </c>
      <c r="G2608">
        <f>INDEX(CalLookUpTable,MATCH($B2608,CalLookUpRow,0),MATCH(G$1,CalLookUpColumn,0))</f>
        <v>2019</v>
      </c>
      <c r="H2608">
        <f>INDEX(CalLookUpTable,MATCH($B2608,CalLookUpRow,0),MATCH(H$1,CalLookUpColumn,0))</f>
        <v>6</v>
      </c>
      <c r="I2608">
        <f>INDEX(CalLookUpTable,MATCH($B2608,CalLookUpRow,0),MATCH(I$1,CalLookUpColumn,0))</f>
        <v>4</v>
      </c>
    </row>
    <row r="2609" spans="1:9" x14ac:dyDescent="0.25">
      <c r="A2609" s="7">
        <v>2</v>
      </c>
      <c r="B2609" s="8">
        <v>43635</v>
      </c>
      <c r="C2609" s="9" t="s">
        <v>3</v>
      </c>
      <c r="D2609" s="10">
        <v>0</v>
      </c>
      <c r="E2609" s="10">
        <v>155.946</v>
      </c>
      <c r="F2609" t="str">
        <f>VLOOKUP(A2609,StoreLookup,2,FALSE)</f>
        <v>Store#2</v>
      </c>
      <c r="G2609">
        <f>INDEX(CalLookUpTable,MATCH($B2609,CalLookUpRow,0),MATCH(G$1,CalLookUpColumn,0))</f>
        <v>2019</v>
      </c>
      <c r="H2609">
        <f>INDEX(CalLookUpTable,MATCH($B2609,CalLookUpRow,0),MATCH(H$1,CalLookUpColumn,0))</f>
        <v>6</v>
      </c>
      <c r="I2609">
        <f>INDEX(CalLookUpTable,MATCH($B2609,CalLookUpRow,0),MATCH(I$1,CalLookUpColumn,0))</f>
        <v>4</v>
      </c>
    </row>
    <row r="2610" spans="1:9" x14ac:dyDescent="0.25">
      <c r="A2610" s="7">
        <v>2</v>
      </c>
      <c r="B2610" s="8">
        <v>43636</v>
      </c>
      <c r="C2610" s="9" t="s">
        <v>3</v>
      </c>
      <c r="D2610" s="10">
        <v>0</v>
      </c>
      <c r="E2610" s="10">
        <v>0</v>
      </c>
      <c r="F2610" t="str">
        <f>VLOOKUP(A2610,StoreLookup,2,FALSE)</f>
        <v>Store#2</v>
      </c>
      <c r="G2610">
        <f>INDEX(CalLookUpTable,MATCH($B2610,CalLookUpRow,0),MATCH(G$1,CalLookUpColumn,0))</f>
        <v>2019</v>
      </c>
      <c r="H2610">
        <f>INDEX(CalLookUpTable,MATCH($B2610,CalLookUpRow,0),MATCH(H$1,CalLookUpColumn,0))</f>
        <v>6</v>
      </c>
      <c r="I2610">
        <f>INDEX(CalLookUpTable,MATCH($B2610,CalLookUpRow,0),MATCH(I$1,CalLookUpColumn,0))</f>
        <v>4</v>
      </c>
    </row>
    <row r="2611" spans="1:9" x14ac:dyDescent="0.25">
      <c r="A2611" s="7">
        <v>2</v>
      </c>
      <c r="B2611" s="8">
        <v>43636</v>
      </c>
      <c r="C2611" s="9" t="s">
        <v>5</v>
      </c>
      <c r="D2611" s="10">
        <v>1259.7199999999998</v>
      </c>
      <c r="E2611" s="10">
        <v>566.28599999999994</v>
      </c>
      <c r="F2611" t="str">
        <f>VLOOKUP(A2611,StoreLookup,2,FALSE)</f>
        <v>Store#2</v>
      </c>
      <c r="G2611">
        <f>INDEX(CalLookUpTable,MATCH($B2611,CalLookUpRow,0),MATCH(G$1,CalLookUpColumn,0))</f>
        <v>2019</v>
      </c>
      <c r="H2611">
        <f>INDEX(CalLookUpTable,MATCH($B2611,CalLookUpRow,0),MATCH(H$1,CalLookUpColumn,0))</f>
        <v>6</v>
      </c>
      <c r="I2611">
        <f>INDEX(CalLookUpTable,MATCH($B2611,CalLookUpRow,0),MATCH(I$1,CalLookUpColumn,0))</f>
        <v>4</v>
      </c>
    </row>
    <row r="2612" spans="1:9" x14ac:dyDescent="0.25">
      <c r="A2612" s="7">
        <v>2</v>
      </c>
      <c r="B2612" s="8">
        <v>43636</v>
      </c>
      <c r="C2612" s="9" t="s">
        <v>4</v>
      </c>
      <c r="D2612" s="10">
        <v>1761.144</v>
      </c>
      <c r="E2612" s="10">
        <v>2128.7839999999997</v>
      </c>
      <c r="F2612" t="str">
        <f>VLOOKUP(A2612,StoreLookup,2,FALSE)</f>
        <v>Store#2</v>
      </c>
      <c r="G2612">
        <f>INDEX(CalLookUpTable,MATCH($B2612,CalLookUpRow,0),MATCH(G$1,CalLookUpColumn,0))</f>
        <v>2019</v>
      </c>
      <c r="H2612">
        <f>INDEX(CalLookUpTable,MATCH($B2612,CalLookUpRow,0),MATCH(H$1,CalLookUpColumn,0))</f>
        <v>6</v>
      </c>
      <c r="I2612">
        <f>INDEX(CalLookUpTable,MATCH($B2612,CalLookUpRow,0),MATCH(I$1,CalLookUpColumn,0))</f>
        <v>4</v>
      </c>
    </row>
    <row r="2613" spans="1:9" x14ac:dyDescent="0.25">
      <c r="A2613" s="7">
        <v>2</v>
      </c>
      <c r="B2613" s="8">
        <v>43636</v>
      </c>
      <c r="C2613" s="9" t="s">
        <v>6</v>
      </c>
      <c r="D2613" s="10">
        <v>501.80899999999997</v>
      </c>
      <c r="E2613" s="10">
        <v>426.58</v>
      </c>
      <c r="F2613" t="str">
        <f>VLOOKUP(A2613,StoreLookup,2,FALSE)</f>
        <v>Store#2</v>
      </c>
      <c r="G2613">
        <f>INDEX(CalLookUpTable,MATCH($B2613,CalLookUpRow,0),MATCH(G$1,CalLookUpColumn,0))</f>
        <v>2019</v>
      </c>
      <c r="H2613">
        <f>INDEX(CalLookUpTable,MATCH($B2613,CalLookUpRow,0),MATCH(H$1,CalLookUpColumn,0))</f>
        <v>6</v>
      </c>
      <c r="I2613">
        <f>INDEX(CalLookUpTable,MATCH($B2613,CalLookUpRow,0),MATCH(I$1,CalLookUpColumn,0))</f>
        <v>4</v>
      </c>
    </row>
    <row r="2614" spans="1:9" x14ac:dyDescent="0.25">
      <c r="A2614" s="7">
        <v>2</v>
      </c>
      <c r="B2614" s="8">
        <v>43637</v>
      </c>
      <c r="C2614" s="9" t="s">
        <v>6</v>
      </c>
      <c r="D2614" s="10">
        <v>254.268</v>
      </c>
      <c r="E2614" s="10">
        <v>571.9</v>
      </c>
      <c r="F2614" t="str">
        <f>VLOOKUP(A2614,StoreLookup,2,FALSE)</f>
        <v>Store#2</v>
      </c>
      <c r="G2614">
        <f>INDEX(CalLookUpTable,MATCH($B2614,CalLookUpRow,0),MATCH(G$1,CalLookUpColumn,0))</f>
        <v>2019</v>
      </c>
      <c r="H2614">
        <f>INDEX(CalLookUpTable,MATCH($B2614,CalLookUpRow,0),MATCH(H$1,CalLookUpColumn,0))</f>
        <v>6</v>
      </c>
      <c r="I2614">
        <f>INDEX(CalLookUpTable,MATCH($B2614,CalLookUpRow,0),MATCH(I$1,CalLookUpColumn,0))</f>
        <v>4</v>
      </c>
    </row>
    <row r="2615" spans="1:9" x14ac:dyDescent="0.25">
      <c r="A2615" s="7">
        <v>2</v>
      </c>
      <c r="B2615" s="8">
        <v>43637</v>
      </c>
      <c r="C2615" s="9" t="s">
        <v>5</v>
      </c>
      <c r="D2615" s="10">
        <v>1175.587</v>
      </c>
      <c r="E2615" s="10">
        <v>951.86699999999985</v>
      </c>
      <c r="F2615" t="str">
        <f>VLOOKUP(A2615,StoreLookup,2,FALSE)</f>
        <v>Store#2</v>
      </c>
      <c r="G2615">
        <f>INDEX(CalLookUpTable,MATCH($B2615,CalLookUpRow,0),MATCH(G$1,CalLookUpColumn,0))</f>
        <v>2019</v>
      </c>
      <c r="H2615">
        <f>INDEX(CalLookUpTable,MATCH($B2615,CalLookUpRow,0),MATCH(H$1,CalLookUpColumn,0))</f>
        <v>6</v>
      </c>
      <c r="I2615">
        <f>INDEX(CalLookUpTable,MATCH($B2615,CalLookUpRow,0),MATCH(I$1,CalLookUpColumn,0))</f>
        <v>4</v>
      </c>
    </row>
    <row r="2616" spans="1:9" x14ac:dyDescent="0.25">
      <c r="A2616" s="7">
        <v>2</v>
      </c>
      <c r="B2616" s="8">
        <v>43637</v>
      </c>
      <c r="C2616" s="9" t="s">
        <v>4</v>
      </c>
      <c r="D2616" s="10">
        <v>2307.6410000000001</v>
      </c>
      <c r="E2616" s="10">
        <v>2443.5249999999996</v>
      </c>
      <c r="F2616" t="str">
        <f>VLOOKUP(A2616,StoreLookup,2,FALSE)</f>
        <v>Store#2</v>
      </c>
      <c r="G2616">
        <f>INDEX(CalLookUpTable,MATCH($B2616,CalLookUpRow,0),MATCH(G$1,CalLookUpColumn,0))</f>
        <v>2019</v>
      </c>
      <c r="H2616">
        <f>INDEX(CalLookUpTable,MATCH($B2616,CalLookUpRow,0),MATCH(H$1,CalLookUpColumn,0))</f>
        <v>6</v>
      </c>
      <c r="I2616">
        <f>INDEX(CalLookUpTable,MATCH($B2616,CalLookUpRow,0),MATCH(I$1,CalLookUpColumn,0))</f>
        <v>4</v>
      </c>
    </row>
    <row r="2617" spans="1:9" x14ac:dyDescent="0.25">
      <c r="A2617" s="7">
        <v>2</v>
      </c>
      <c r="B2617" s="8">
        <v>43637</v>
      </c>
      <c r="C2617" s="9" t="s">
        <v>3</v>
      </c>
      <c r="D2617" s="10">
        <v>583.19099999999992</v>
      </c>
      <c r="E2617" s="10">
        <v>0</v>
      </c>
      <c r="F2617" t="str">
        <f>VLOOKUP(A2617,StoreLookup,2,FALSE)</f>
        <v>Store#2</v>
      </c>
      <c r="G2617">
        <f>INDEX(CalLookUpTable,MATCH($B2617,CalLookUpRow,0),MATCH(G$1,CalLookUpColumn,0))</f>
        <v>2019</v>
      </c>
      <c r="H2617">
        <f>INDEX(CalLookUpTable,MATCH($B2617,CalLookUpRow,0),MATCH(H$1,CalLookUpColumn,0))</f>
        <v>6</v>
      </c>
      <c r="I2617">
        <f>INDEX(CalLookUpTable,MATCH($B2617,CalLookUpRow,0),MATCH(I$1,CalLookUpColumn,0))</f>
        <v>4</v>
      </c>
    </row>
    <row r="2618" spans="1:9" x14ac:dyDescent="0.25">
      <c r="A2618" s="7">
        <v>2</v>
      </c>
      <c r="B2618" s="8">
        <v>43638</v>
      </c>
      <c r="C2618" s="9" t="s">
        <v>5</v>
      </c>
      <c r="D2618" s="10">
        <v>859.31299999999987</v>
      </c>
      <c r="E2618" s="10">
        <v>719.27099999999996</v>
      </c>
      <c r="F2618" t="str">
        <f>VLOOKUP(A2618,StoreLookup,2,FALSE)</f>
        <v>Store#2</v>
      </c>
      <c r="G2618">
        <f>INDEX(CalLookUpTable,MATCH($B2618,CalLookUpRow,0),MATCH(G$1,CalLookUpColumn,0))</f>
        <v>2019</v>
      </c>
      <c r="H2618">
        <f>INDEX(CalLookUpTable,MATCH($B2618,CalLookUpRow,0),MATCH(H$1,CalLookUpColumn,0))</f>
        <v>6</v>
      </c>
      <c r="I2618">
        <f>INDEX(CalLookUpTable,MATCH($B2618,CalLookUpRow,0),MATCH(I$1,CalLookUpColumn,0))</f>
        <v>4</v>
      </c>
    </row>
    <row r="2619" spans="1:9" x14ac:dyDescent="0.25">
      <c r="A2619" s="7">
        <v>2</v>
      </c>
      <c r="B2619" s="8">
        <v>43638</v>
      </c>
      <c r="C2619" s="9" t="s">
        <v>6</v>
      </c>
      <c r="D2619" s="10">
        <v>251.97900000000001</v>
      </c>
      <c r="E2619" s="10">
        <v>437.10099999999994</v>
      </c>
      <c r="F2619" t="str">
        <f>VLOOKUP(A2619,StoreLookup,2,FALSE)</f>
        <v>Store#2</v>
      </c>
      <c r="G2619">
        <f>INDEX(CalLookUpTable,MATCH($B2619,CalLookUpRow,0),MATCH(G$1,CalLookUpColumn,0))</f>
        <v>2019</v>
      </c>
      <c r="H2619">
        <f>INDEX(CalLookUpTable,MATCH($B2619,CalLookUpRow,0),MATCH(H$1,CalLookUpColumn,0))</f>
        <v>6</v>
      </c>
      <c r="I2619">
        <f>INDEX(CalLookUpTable,MATCH($B2619,CalLookUpRow,0),MATCH(I$1,CalLookUpColumn,0))</f>
        <v>4</v>
      </c>
    </row>
    <row r="2620" spans="1:9" x14ac:dyDescent="0.25">
      <c r="A2620" s="7">
        <v>2</v>
      </c>
      <c r="B2620" s="8">
        <v>43638</v>
      </c>
      <c r="C2620" s="9" t="s">
        <v>4</v>
      </c>
      <c r="D2620" s="10">
        <v>2076.1929999999998</v>
      </c>
      <c r="E2620" s="10">
        <v>2565.4089999999997</v>
      </c>
      <c r="F2620" t="str">
        <f>VLOOKUP(A2620,StoreLookup,2,FALSE)</f>
        <v>Store#2</v>
      </c>
      <c r="G2620">
        <f>INDEX(CalLookUpTable,MATCH($B2620,CalLookUpRow,0),MATCH(G$1,CalLookUpColumn,0))</f>
        <v>2019</v>
      </c>
      <c r="H2620">
        <f>INDEX(CalLookUpTable,MATCH($B2620,CalLookUpRow,0),MATCH(H$1,CalLookUpColumn,0))</f>
        <v>6</v>
      </c>
      <c r="I2620">
        <f>INDEX(CalLookUpTable,MATCH($B2620,CalLookUpRow,0),MATCH(I$1,CalLookUpColumn,0))</f>
        <v>4</v>
      </c>
    </row>
    <row r="2621" spans="1:9" x14ac:dyDescent="0.25">
      <c r="A2621" s="7">
        <v>2</v>
      </c>
      <c r="B2621" s="8">
        <v>43638</v>
      </c>
      <c r="C2621" s="9" t="s">
        <v>3</v>
      </c>
      <c r="D2621" s="10">
        <v>1407.665</v>
      </c>
      <c r="E2621" s="10">
        <v>0</v>
      </c>
      <c r="F2621" t="str">
        <f>VLOOKUP(A2621,StoreLookup,2,FALSE)</f>
        <v>Store#2</v>
      </c>
      <c r="G2621">
        <f>INDEX(CalLookUpTable,MATCH($B2621,CalLookUpRow,0),MATCH(G$1,CalLookUpColumn,0))</f>
        <v>2019</v>
      </c>
      <c r="H2621">
        <f>INDEX(CalLookUpTable,MATCH($B2621,CalLookUpRow,0),MATCH(H$1,CalLookUpColumn,0))</f>
        <v>6</v>
      </c>
      <c r="I2621">
        <f>INDEX(CalLookUpTable,MATCH($B2621,CalLookUpRow,0),MATCH(I$1,CalLookUpColumn,0))</f>
        <v>4</v>
      </c>
    </row>
    <row r="2622" spans="1:9" x14ac:dyDescent="0.25">
      <c r="A2622" s="7">
        <v>2</v>
      </c>
      <c r="B2622" s="8">
        <v>43639</v>
      </c>
      <c r="C2622" s="9" t="s">
        <v>4</v>
      </c>
      <c r="D2622" s="10">
        <v>1554.749</v>
      </c>
      <c r="E2622" s="10">
        <v>927.11500000000001</v>
      </c>
      <c r="F2622" t="str">
        <f>VLOOKUP(A2622,StoreLookup,2,FALSE)</f>
        <v>Store#2</v>
      </c>
      <c r="G2622">
        <f>INDEX(CalLookUpTable,MATCH($B2622,CalLookUpRow,0),MATCH(G$1,CalLookUpColumn,0))</f>
        <v>2019</v>
      </c>
      <c r="H2622">
        <f>INDEX(CalLookUpTable,MATCH($B2622,CalLookUpRow,0),MATCH(H$1,CalLookUpColumn,0))</f>
        <v>6</v>
      </c>
      <c r="I2622">
        <f>INDEX(CalLookUpTable,MATCH($B2622,CalLookUpRow,0),MATCH(I$1,CalLookUpColumn,0))</f>
        <v>4</v>
      </c>
    </row>
    <row r="2623" spans="1:9" x14ac:dyDescent="0.25">
      <c r="A2623" s="7">
        <v>2</v>
      </c>
      <c r="B2623" s="8">
        <v>43639</v>
      </c>
      <c r="C2623" s="9" t="s">
        <v>6</v>
      </c>
      <c r="D2623" s="10">
        <v>247.55499999999998</v>
      </c>
      <c r="E2623" s="10">
        <v>247.702</v>
      </c>
      <c r="F2623" t="str">
        <f>VLOOKUP(A2623,StoreLookup,2,FALSE)</f>
        <v>Store#2</v>
      </c>
      <c r="G2623">
        <f>INDEX(CalLookUpTable,MATCH($B2623,CalLookUpRow,0),MATCH(G$1,CalLookUpColumn,0))</f>
        <v>2019</v>
      </c>
      <c r="H2623">
        <f>INDEX(CalLookUpTable,MATCH($B2623,CalLookUpRow,0),MATCH(H$1,CalLookUpColumn,0))</f>
        <v>6</v>
      </c>
      <c r="I2623">
        <f>INDEX(CalLookUpTable,MATCH($B2623,CalLookUpRow,0),MATCH(I$1,CalLookUpColumn,0))</f>
        <v>4</v>
      </c>
    </row>
    <row r="2624" spans="1:9" x14ac:dyDescent="0.25">
      <c r="A2624" s="7">
        <v>2</v>
      </c>
      <c r="B2624" s="8">
        <v>43639</v>
      </c>
      <c r="C2624" s="9" t="s">
        <v>3</v>
      </c>
      <c r="D2624" s="10">
        <v>0</v>
      </c>
      <c r="E2624" s="10">
        <v>0</v>
      </c>
      <c r="F2624" t="str">
        <f>VLOOKUP(A2624,StoreLookup,2,FALSE)</f>
        <v>Store#2</v>
      </c>
      <c r="G2624">
        <f>INDEX(CalLookUpTable,MATCH($B2624,CalLookUpRow,0),MATCH(G$1,CalLookUpColumn,0))</f>
        <v>2019</v>
      </c>
      <c r="H2624">
        <f>INDEX(CalLookUpTable,MATCH($B2624,CalLookUpRow,0),MATCH(H$1,CalLookUpColumn,0))</f>
        <v>6</v>
      </c>
      <c r="I2624">
        <f>INDEX(CalLookUpTable,MATCH($B2624,CalLookUpRow,0),MATCH(I$1,CalLookUpColumn,0))</f>
        <v>4</v>
      </c>
    </row>
    <row r="2625" spans="1:9" x14ac:dyDescent="0.25">
      <c r="A2625" s="7">
        <v>2</v>
      </c>
      <c r="B2625" s="8">
        <v>43639</v>
      </c>
      <c r="C2625" s="9" t="s">
        <v>5</v>
      </c>
      <c r="D2625" s="10">
        <v>558.76099999999997</v>
      </c>
      <c r="E2625" s="10">
        <v>361.70400000000001</v>
      </c>
      <c r="F2625" t="str">
        <f>VLOOKUP(A2625,StoreLookup,2,FALSE)</f>
        <v>Store#2</v>
      </c>
      <c r="G2625">
        <f>INDEX(CalLookUpTable,MATCH($B2625,CalLookUpRow,0),MATCH(G$1,CalLookUpColumn,0))</f>
        <v>2019</v>
      </c>
      <c r="H2625">
        <f>INDEX(CalLookUpTable,MATCH($B2625,CalLookUpRow,0),MATCH(H$1,CalLookUpColumn,0))</f>
        <v>6</v>
      </c>
      <c r="I2625">
        <f>INDEX(CalLookUpTable,MATCH($B2625,CalLookUpRow,0),MATCH(I$1,CalLookUpColumn,0))</f>
        <v>4</v>
      </c>
    </row>
    <row r="2626" spans="1:9" x14ac:dyDescent="0.25">
      <c r="A2626" s="7">
        <v>2</v>
      </c>
      <c r="B2626" s="8">
        <v>43640</v>
      </c>
      <c r="C2626" s="9" t="s">
        <v>3</v>
      </c>
      <c r="D2626" s="10">
        <v>320.14499999999998</v>
      </c>
      <c r="E2626" s="10">
        <v>617.6869999999999</v>
      </c>
      <c r="F2626" t="str">
        <f>VLOOKUP(A2626,StoreLookup,2,FALSE)</f>
        <v>Store#2</v>
      </c>
      <c r="G2626">
        <f>INDEX(CalLookUpTable,MATCH($B2626,CalLookUpRow,0),MATCH(G$1,CalLookUpColumn,0))</f>
        <v>2019</v>
      </c>
      <c r="H2626">
        <f>INDEX(CalLookUpTable,MATCH($B2626,CalLookUpRow,0),MATCH(H$1,CalLookUpColumn,0))</f>
        <v>6</v>
      </c>
      <c r="I2626">
        <f>INDEX(CalLookUpTable,MATCH($B2626,CalLookUpRow,0),MATCH(I$1,CalLookUpColumn,0))</f>
        <v>5</v>
      </c>
    </row>
    <row r="2627" spans="1:9" x14ac:dyDescent="0.25">
      <c r="A2627" s="7">
        <v>2</v>
      </c>
      <c r="B2627" s="8">
        <v>43640</v>
      </c>
      <c r="C2627" s="9" t="s">
        <v>4</v>
      </c>
      <c r="D2627" s="10">
        <v>1562.1619999999998</v>
      </c>
      <c r="E2627" s="10">
        <v>1709.3089999999997</v>
      </c>
      <c r="F2627" t="str">
        <f>VLOOKUP(A2627,StoreLookup,2,FALSE)</f>
        <v>Store#2</v>
      </c>
      <c r="G2627">
        <f>INDEX(CalLookUpTable,MATCH($B2627,CalLookUpRow,0),MATCH(G$1,CalLookUpColumn,0))</f>
        <v>2019</v>
      </c>
      <c r="H2627">
        <f>INDEX(CalLookUpTable,MATCH($B2627,CalLookUpRow,0),MATCH(H$1,CalLookUpColumn,0))</f>
        <v>6</v>
      </c>
      <c r="I2627">
        <f>INDEX(CalLookUpTable,MATCH($B2627,CalLookUpRow,0),MATCH(I$1,CalLookUpColumn,0))</f>
        <v>5</v>
      </c>
    </row>
    <row r="2628" spans="1:9" x14ac:dyDescent="0.25">
      <c r="A2628" s="7">
        <v>2</v>
      </c>
      <c r="B2628" s="8">
        <v>43640</v>
      </c>
      <c r="C2628" s="9" t="s">
        <v>6</v>
      </c>
      <c r="D2628" s="10">
        <v>448.245</v>
      </c>
      <c r="E2628" s="10">
        <v>327.93599999999998</v>
      </c>
      <c r="F2628" t="str">
        <f>VLOOKUP(A2628,StoreLookup,2,FALSE)</f>
        <v>Store#2</v>
      </c>
      <c r="G2628">
        <f>INDEX(CalLookUpTable,MATCH($B2628,CalLookUpRow,0),MATCH(G$1,CalLookUpColumn,0))</f>
        <v>2019</v>
      </c>
      <c r="H2628">
        <f>INDEX(CalLookUpTable,MATCH($B2628,CalLookUpRow,0),MATCH(H$1,CalLookUpColumn,0))</f>
        <v>6</v>
      </c>
      <c r="I2628">
        <f>INDEX(CalLookUpTable,MATCH($B2628,CalLookUpRow,0),MATCH(I$1,CalLookUpColumn,0))</f>
        <v>5</v>
      </c>
    </row>
    <row r="2629" spans="1:9" x14ac:dyDescent="0.25">
      <c r="A2629" s="7">
        <v>2</v>
      </c>
      <c r="B2629" s="8">
        <v>43640</v>
      </c>
      <c r="C2629" s="9" t="s">
        <v>5</v>
      </c>
      <c r="D2629" s="10">
        <v>1000.279</v>
      </c>
      <c r="E2629" s="10">
        <v>626.36699999999996</v>
      </c>
      <c r="F2629" t="str">
        <f>VLOOKUP(A2629,StoreLookup,2,FALSE)</f>
        <v>Store#2</v>
      </c>
      <c r="G2629">
        <f>INDEX(CalLookUpTable,MATCH($B2629,CalLookUpRow,0),MATCH(G$1,CalLookUpColumn,0))</f>
        <v>2019</v>
      </c>
      <c r="H2629">
        <f>INDEX(CalLookUpTable,MATCH($B2629,CalLookUpRow,0),MATCH(H$1,CalLookUpColumn,0))</f>
        <v>6</v>
      </c>
      <c r="I2629">
        <f>INDEX(CalLookUpTable,MATCH($B2629,CalLookUpRow,0),MATCH(I$1,CalLookUpColumn,0))</f>
        <v>5</v>
      </c>
    </row>
    <row r="2630" spans="1:9" x14ac:dyDescent="0.25">
      <c r="A2630" s="7">
        <v>2</v>
      </c>
      <c r="B2630" s="8">
        <v>43641</v>
      </c>
      <c r="C2630" s="9" t="s">
        <v>4</v>
      </c>
      <c r="D2630" s="10">
        <v>1966.2929999999997</v>
      </c>
      <c r="E2630" s="10">
        <v>1794.7859999999998</v>
      </c>
      <c r="F2630" t="str">
        <f>VLOOKUP(A2630,StoreLookup,2,FALSE)</f>
        <v>Store#2</v>
      </c>
      <c r="G2630">
        <f>INDEX(CalLookUpTable,MATCH($B2630,CalLookUpRow,0),MATCH(G$1,CalLookUpColumn,0))</f>
        <v>2019</v>
      </c>
      <c r="H2630">
        <f>INDEX(CalLookUpTable,MATCH($B2630,CalLookUpRow,0),MATCH(H$1,CalLookUpColumn,0))</f>
        <v>6</v>
      </c>
      <c r="I2630">
        <f>INDEX(CalLookUpTable,MATCH($B2630,CalLookUpRow,0),MATCH(I$1,CalLookUpColumn,0))</f>
        <v>5</v>
      </c>
    </row>
    <row r="2631" spans="1:9" x14ac:dyDescent="0.25">
      <c r="A2631" s="7">
        <v>2</v>
      </c>
      <c r="B2631" s="8">
        <v>43641</v>
      </c>
      <c r="C2631" s="9" t="s">
        <v>5</v>
      </c>
      <c r="D2631" s="10">
        <v>1108.1980000000001</v>
      </c>
      <c r="E2631" s="10">
        <v>664.94399999999996</v>
      </c>
      <c r="F2631" t="str">
        <f>VLOOKUP(A2631,StoreLookup,2,FALSE)</f>
        <v>Store#2</v>
      </c>
      <c r="G2631">
        <f>INDEX(CalLookUpTable,MATCH($B2631,CalLookUpRow,0),MATCH(G$1,CalLookUpColumn,0))</f>
        <v>2019</v>
      </c>
      <c r="H2631">
        <f>INDEX(CalLookUpTable,MATCH($B2631,CalLookUpRow,0),MATCH(H$1,CalLookUpColumn,0))</f>
        <v>6</v>
      </c>
      <c r="I2631">
        <f>INDEX(CalLookUpTable,MATCH($B2631,CalLookUpRow,0),MATCH(I$1,CalLookUpColumn,0))</f>
        <v>5</v>
      </c>
    </row>
    <row r="2632" spans="1:9" x14ac:dyDescent="0.25">
      <c r="A2632" s="7">
        <v>2</v>
      </c>
      <c r="B2632" s="8">
        <v>43641</v>
      </c>
      <c r="C2632" s="9" t="s">
        <v>3</v>
      </c>
      <c r="D2632" s="10">
        <v>1166.2349999999999</v>
      </c>
      <c r="E2632" s="10">
        <v>413.58800000000002</v>
      </c>
      <c r="F2632" t="str">
        <f>VLOOKUP(A2632,StoreLookup,2,FALSE)</f>
        <v>Store#2</v>
      </c>
      <c r="G2632">
        <f>INDEX(CalLookUpTable,MATCH($B2632,CalLookUpRow,0),MATCH(G$1,CalLookUpColumn,0))</f>
        <v>2019</v>
      </c>
      <c r="H2632">
        <f>INDEX(CalLookUpTable,MATCH($B2632,CalLookUpRow,0),MATCH(H$1,CalLookUpColumn,0))</f>
        <v>6</v>
      </c>
      <c r="I2632">
        <f>INDEX(CalLookUpTable,MATCH($B2632,CalLookUpRow,0),MATCH(I$1,CalLookUpColumn,0))</f>
        <v>5</v>
      </c>
    </row>
    <row r="2633" spans="1:9" x14ac:dyDescent="0.25">
      <c r="A2633" s="7">
        <v>2</v>
      </c>
      <c r="B2633" s="8">
        <v>43641</v>
      </c>
      <c r="C2633" s="9" t="s">
        <v>6</v>
      </c>
      <c r="D2633" s="10">
        <v>306.95699999999999</v>
      </c>
      <c r="E2633" s="10">
        <v>278.14499999999998</v>
      </c>
      <c r="F2633" t="str">
        <f>VLOOKUP(A2633,StoreLookup,2,FALSE)</f>
        <v>Store#2</v>
      </c>
      <c r="G2633">
        <f>INDEX(CalLookUpTable,MATCH($B2633,CalLookUpRow,0),MATCH(G$1,CalLookUpColumn,0))</f>
        <v>2019</v>
      </c>
      <c r="H2633">
        <f>INDEX(CalLookUpTable,MATCH($B2633,CalLookUpRow,0),MATCH(H$1,CalLookUpColumn,0))</f>
        <v>6</v>
      </c>
      <c r="I2633">
        <f>INDEX(CalLookUpTable,MATCH($B2633,CalLookUpRow,0),MATCH(I$1,CalLookUpColumn,0))</f>
        <v>5</v>
      </c>
    </row>
    <row r="2634" spans="1:9" x14ac:dyDescent="0.25">
      <c r="A2634" s="7">
        <v>2</v>
      </c>
      <c r="B2634" s="8">
        <v>43642</v>
      </c>
      <c r="C2634" s="9" t="s">
        <v>4</v>
      </c>
      <c r="D2634" s="10">
        <v>1496.502</v>
      </c>
      <c r="E2634" s="10">
        <v>1914.85</v>
      </c>
      <c r="F2634" t="str">
        <f>VLOOKUP(A2634,StoreLookup,2,FALSE)</f>
        <v>Store#2</v>
      </c>
      <c r="G2634">
        <f>INDEX(CalLookUpTable,MATCH($B2634,CalLookUpRow,0),MATCH(G$1,CalLookUpColumn,0))</f>
        <v>2019</v>
      </c>
      <c r="H2634">
        <f>INDEX(CalLookUpTable,MATCH($B2634,CalLookUpRow,0),MATCH(H$1,CalLookUpColumn,0))</f>
        <v>6</v>
      </c>
      <c r="I2634">
        <f>INDEX(CalLookUpTable,MATCH($B2634,CalLookUpRow,0),MATCH(I$1,CalLookUpColumn,0))</f>
        <v>5</v>
      </c>
    </row>
    <row r="2635" spans="1:9" x14ac:dyDescent="0.25">
      <c r="A2635" s="7">
        <v>2</v>
      </c>
      <c r="B2635" s="8">
        <v>43642</v>
      </c>
      <c r="C2635" s="9" t="s">
        <v>6</v>
      </c>
      <c r="D2635" s="10">
        <v>161.79799999999997</v>
      </c>
      <c r="E2635" s="10">
        <v>227.94799999999998</v>
      </c>
      <c r="F2635" t="str">
        <f>VLOOKUP(A2635,StoreLookup,2,FALSE)</f>
        <v>Store#2</v>
      </c>
      <c r="G2635">
        <f>INDEX(CalLookUpTable,MATCH($B2635,CalLookUpRow,0),MATCH(G$1,CalLookUpColumn,0))</f>
        <v>2019</v>
      </c>
      <c r="H2635">
        <f>INDEX(CalLookUpTable,MATCH($B2635,CalLookUpRow,0),MATCH(H$1,CalLookUpColumn,0))</f>
        <v>6</v>
      </c>
      <c r="I2635">
        <f>INDEX(CalLookUpTable,MATCH($B2635,CalLookUpRow,0),MATCH(I$1,CalLookUpColumn,0))</f>
        <v>5</v>
      </c>
    </row>
    <row r="2636" spans="1:9" x14ac:dyDescent="0.25">
      <c r="A2636" s="7">
        <v>2</v>
      </c>
      <c r="B2636" s="8">
        <v>43642</v>
      </c>
      <c r="C2636" s="9" t="s">
        <v>3</v>
      </c>
      <c r="D2636" s="10">
        <v>0</v>
      </c>
      <c r="E2636" s="10">
        <v>212.19799999999998</v>
      </c>
      <c r="F2636" t="str">
        <f>VLOOKUP(A2636,StoreLookup,2,FALSE)</f>
        <v>Store#2</v>
      </c>
      <c r="G2636">
        <f>INDEX(CalLookUpTable,MATCH($B2636,CalLookUpRow,0),MATCH(G$1,CalLookUpColumn,0))</f>
        <v>2019</v>
      </c>
      <c r="H2636">
        <f>INDEX(CalLookUpTable,MATCH($B2636,CalLookUpRow,0),MATCH(H$1,CalLookUpColumn,0))</f>
        <v>6</v>
      </c>
      <c r="I2636">
        <f>INDEX(CalLookUpTable,MATCH($B2636,CalLookUpRow,0),MATCH(I$1,CalLookUpColumn,0))</f>
        <v>5</v>
      </c>
    </row>
    <row r="2637" spans="1:9" x14ac:dyDescent="0.25">
      <c r="A2637" s="7">
        <v>2</v>
      </c>
      <c r="B2637" s="8">
        <v>43642</v>
      </c>
      <c r="C2637" s="9" t="s">
        <v>5</v>
      </c>
      <c r="D2637" s="10">
        <v>1023.2459999999999</v>
      </c>
      <c r="E2637" s="10">
        <v>698.64199999999994</v>
      </c>
      <c r="F2637" t="str">
        <f>VLOOKUP(A2637,StoreLookup,2,FALSE)</f>
        <v>Store#2</v>
      </c>
      <c r="G2637">
        <f>INDEX(CalLookUpTable,MATCH($B2637,CalLookUpRow,0),MATCH(G$1,CalLookUpColumn,0))</f>
        <v>2019</v>
      </c>
      <c r="H2637">
        <f>INDEX(CalLookUpTable,MATCH($B2637,CalLookUpRow,0),MATCH(H$1,CalLookUpColumn,0))</f>
        <v>6</v>
      </c>
      <c r="I2637">
        <f>INDEX(CalLookUpTable,MATCH($B2637,CalLookUpRow,0),MATCH(I$1,CalLookUpColumn,0))</f>
        <v>5</v>
      </c>
    </row>
    <row r="2638" spans="1:9" x14ac:dyDescent="0.25">
      <c r="A2638" s="7">
        <v>2</v>
      </c>
      <c r="B2638" s="8">
        <v>43643</v>
      </c>
      <c r="C2638" s="9" t="s">
        <v>3</v>
      </c>
      <c r="D2638" s="10">
        <v>22.645</v>
      </c>
      <c r="E2638" s="10">
        <v>194.62800000000001</v>
      </c>
      <c r="F2638" t="str">
        <f>VLOOKUP(A2638,StoreLookup,2,FALSE)</f>
        <v>Store#2</v>
      </c>
      <c r="G2638">
        <f>INDEX(CalLookUpTable,MATCH($B2638,CalLookUpRow,0),MATCH(G$1,CalLookUpColumn,0))</f>
        <v>2019</v>
      </c>
      <c r="H2638">
        <f>INDEX(CalLookUpTable,MATCH($B2638,CalLookUpRow,0),MATCH(H$1,CalLookUpColumn,0))</f>
        <v>6</v>
      </c>
      <c r="I2638">
        <f>INDEX(CalLookUpTable,MATCH($B2638,CalLookUpRow,0),MATCH(I$1,CalLookUpColumn,0))</f>
        <v>5</v>
      </c>
    </row>
    <row r="2639" spans="1:9" x14ac:dyDescent="0.25">
      <c r="A2639" s="7">
        <v>2</v>
      </c>
      <c r="B2639" s="8">
        <v>43643</v>
      </c>
      <c r="C2639" s="9" t="s">
        <v>6</v>
      </c>
      <c r="D2639" s="10">
        <v>305.34699999999998</v>
      </c>
      <c r="E2639" s="10">
        <v>520.625</v>
      </c>
      <c r="F2639" t="str">
        <f>VLOOKUP(A2639,StoreLookup,2,FALSE)</f>
        <v>Store#2</v>
      </c>
      <c r="G2639">
        <f>INDEX(CalLookUpTable,MATCH($B2639,CalLookUpRow,0),MATCH(G$1,CalLookUpColumn,0))</f>
        <v>2019</v>
      </c>
      <c r="H2639">
        <f>INDEX(CalLookUpTable,MATCH($B2639,CalLookUpRow,0),MATCH(H$1,CalLookUpColumn,0))</f>
        <v>6</v>
      </c>
      <c r="I2639">
        <f>INDEX(CalLookUpTable,MATCH($B2639,CalLookUpRow,0),MATCH(I$1,CalLookUpColumn,0))</f>
        <v>5</v>
      </c>
    </row>
    <row r="2640" spans="1:9" x14ac:dyDescent="0.25">
      <c r="A2640" s="7">
        <v>2</v>
      </c>
      <c r="B2640" s="8">
        <v>43643</v>
      </c>
      <c r="C2640" s="9" t="s">
        <v>4</v>
      </c>
      <c r="D2640" s="10">
        <v>2112.5720000000001</v>
      </c>
      <c r="E2640" s="10">
        <v>2289.8049999999998</v>
      </c>
      <c r="F2640" t="str">
        <f>VLOOKUP(A2640,StoreLookup,2,FALSE)</f>
        <v>Store#2</v>
      </c>
      <c r="G2640">
        <f>INDEX(CalLookUpTable,MATCH($B2640,CalLookUpRow,0),MATCH(G$1,CalLookUpColumn,0))</f>
        <v>2019</v>
      </c>
      <c r="H2640">
        <f>INDEX(CalLookUpTable,MATCH($B2640,CalLookUpRow,0),MATCH(H$1,CalLookUpColumn,0))</f>
        <v>6</v>
      </c>
      <c r="I2640">
        <f>INDEX(CalLookUpTable,MATCH($B2640,CalLookUpRow,0),MATCH(I$1,CalLookUpColumn,0))</f>
        <v>5</v>
      </c>
    </row>
    <row r="2641" spans="1:9" x14ac:dyDescent="0.25">
      <c r="A2641" s="7">
        <v>2</v>
      </c>
      <c r="B2641" s="8">
        <v>43643</v>
      </c>
      <c r="C2641" s="9" t="s">
        <v>5</v>
      </c>
      <c r="D2641" s="10">
        <v>1209.81</v>
      </c>
      <c r="E2641" s="10">
        <v>583.21899999999994</v>
      </c>
      <c r="F2641" t="str">
        <f>VLOOKUP(A2641,StoreLookup,2,FALSE)</f>
        <v>Store#2</v>
      </c>
      <c r="G2641">
        <f>INDEX(CalLookUpTable,MATCH($B2641,CalLookUpRow,0),MATCH(G$1,CalLookUpColumn,0))</f>
        <v>2019</v>
      </c>
      <c r="H2641">
        <f>INDEX(CalLookUpTable,MATCH($B2641,CalLookUpRow,0),MATCH(H$1,CalLookUpColumn,0))</f>
        <v>6</v>
      </c>
      <c r="I2641">
        <f>INDEX(CalLookUpTable,MATCH($B2641,CalLookUpRow,0),MATCH(I$1,CalLookUpColumn,0))</f>
        <v>5</v>
      </c>
    </row>
    <row r="2642" spans="1:9" x14ac:dyDescent="0.25">
      <c r="A2642" s="7">
        <v>2</v>
      </c>
      <c r="B2642" s="8">
        <v>43644</v>
      </c>
      <c r="C2642" s="9" t="s">
        <v>6</v>
      </c>
      <c r="D2642" s="10">
        <v>285.01900000000001</v>
      </c>
      <c r="E2642" s="10">
        <v>431.12299999999999</v>
      </c>
      <c r="F2642" t="str">
        <f>VLOOKUP(A2642,StoreLookup,2,FALSE)</f>
        <v>Store#2</v>
      </c>
      <c r="G2642">
        <f>INDEX(CalLookUpTable,MATCH($B2642,CalLookUpRow,0),MATCH(G$1,CalLookUpColumn,0))</f>
        <v>2019</v>
      </c>
      <c r="H2642">
        <f>INDEX(CalLookUpTable,MATCH($B2642,CalLookUpRow,0),MATCH(H$1,CalLookUpColumn,0))</f>
        <v>6</v>
      </c>
      <c r="I2642">
        <f>INDEX(CalLookUpTable,MATCH($B2642,CalLookUpRow,0),MATCH(I$1,CalLookUpColumn,0))</f>
        <v>5</v>
      </c>
    </row>
    <row r="2643" spans="1:9" x14ac:dyDescent="0.25">
      <c r="A2643" s="7">
        <v>2</v>
      </c>
      <c r="B2643" s="8">
        <v>43644</v>
      </c>
      <c r="C2643" s="9" t="s">
        <v>4</v>
      </c>
      <c r="D2643" s="10">
        <v>2141.4470000000001</v>
      </c>
      <c r="E2643" s="10">
        <v>2629.2629999999999</v>
      </c>
      <c r="F2643" t="str">
        <f>VLOOKUP(A2643,StoreLookup,2,FALSE)</f>
        <v>Store#2</v>
      </c>
      <c r="G2643">
        <f>INDEX(CalLookUpTable,MATCH($B2643,CalLookUpRow,0),MATCH(G$1,CalLookUpColumn,0))</f>
        <v>2019</v>
      </c>
      <c r="H2643">
        <f>INDEX(CalLookUpTable,MATCH($B2643,CalLookUpRow,0),MATCH(H$1,CalLookUpColumn,0))</f>
        <v>6</v>
      </c>
      <c r="I2643">
        <f>INDEX(CalLookUpTable,MATCH($B2643,CalLookUpRow,0),MATCH(I$1,CalLookUpColumn,0))</f>
        <v>5</v>
      </c>
    </row>
    <row r="2644" spans="1:9" x14ac:dyDescent="0.25">
      <c r="A2644" s="7">
        <v>2</v>
      </c>
      <c r="B2644" s="8">
        <v>43644</v>
      </c>
      <c r="C2644" s="9" t="s">
        <v>3</v>
      </c>
      <c r="D2644" s="10">
        <v>0</v>
      </c>
      <c r="E2644" s="10">
        <v>0</v>
      </c>
      <c r="F2644" t="str">
        <f>VLOOKUP(A2644,StoreLookup,2,FALSE)</f>
        <v>Store#2</v>
      </c>
      <c r="G2644">
        <f>INDEX(CalLookUpTable,MATCH($B2644,CalLookUpRow,0),MATCH(G$1,CalLookUpColumn,0))</f>
        <v>2019</v>
      </c>
      <c r="H2644">
        <f>INDEX(CalLookUpTable,MATCH($B2644,CalLookUpRow,0),MATCH(H$1,CalLookUpColumn,0))</f>
        <v>6</v>
      </c>
      <c r="I2644">
        <f>INDEX(CalLookUpTable,MATCH($B2644,CalLookUpRow,0),MATCH(I$1,CalLookUpColumn,0))</f>
        <v>5</v>
      </c>
    </row>
    <row r="2645" spans="1:9" x14ac:dyDescent="0.25">
      <c r="A2645" s="7">
        <v>2</v>
      </c>
      <c r="B2645" s="8">
        <v>43644</v>
      </c>
      <c r="C2645" s="9" t="s">
        <v>5</v>
      </c>
      <c r="D2645" s="10">
        <v>1289.386</v>
      </c>
      <c r="E2645" s="10">
        <v>736.82699999999988</v>
      </c>
      <c r="F2645" t="str">
        <f>VLOOKUP(A2645,StoreLookup,2,FALSE)</f>
        <v>Store#2</v>
      </c>
      <c r="G2645">
        <f>INDEX(CalLookUpTable,MATCH($B2645,CalLookUpRow,0),MATCH(G$1,CalLookUpColumn,0))</f>
        <v>2019</v>
      </c>
      <c r="H2645">
        <f>INDEX(CalLookUpTable,MATCH($B2645,CalLookUpRow,0),MATCH(H$1,CalLookUpColumn,0))</f>
        <v>6</v>
      </c>
      <c r="I2645">
        <f>INDEX(CalLookUpTable,MATCH($B2645,CalLookUpRow,0),MATCH(I$1,CalLookUpColumn,0))</f>
        <v>5</v>
      </c>
    </row>
    <row r="2646" spans="1:9" x14ac:dyDescent="0.25">
      <c r="A2646" s="7">
        <v>2</v>
      </c>
      <c r="B2646" s="8">
        <v>43645</v>
      </c>
      <c r="C2646" s="9" t="s">
        <v>5</v>
      </c>
      <c r="D2646" s="10">
        <v>993.59399999999994</v>
      </c>
      <c r="E2646" s="10">
        <v>695.26799999999992</v>
      </c>
      <c r="F2646" t="str">
        <f>VLOOKUP(A2646,StoreLookup,2,FALSE)</f>
        <v>Store#2</v>
      </c>
      <c r="G2646">
        <f>INDEX(CalLookUpTable,MATCH($B2646,CalLookUpRow,0),MATCH(G$1,CalLookUpColumn,0))</f>
        <v>2019</v>
      </c>
      <c r="H2646">
        <f>INDEX(CalLookUpTable,MATCH($B2646,CalLookUpRow,0),MATCH(H$1,CalLookUpColumn,0))</f>
        <v>6</v>
      </c>
      <c r="I2646">
        <f>INDEX(CalLookUpTable,MATCH($B2646,CalLookUpRow,0),MATCH(I$1,CalLookUpColumn,0))</f>
        <v>5</v>
      </c>
    </row>
    <row r="2647" spans="1:9" x14ac:dyDescent="0.25">
      <c r="A2647" s="7">
        <v>2</v>
      </c>
      <c r="B2647" s="8">
        <v>43645</v>
      </c>
      <c r="C2647" s="9" t="s">
        <v>6</v>
      </c>
      <c r="D2647" s="10">
        <v>269.64699999999999</v>
      </c>
      <c r="E2647" s="10">
        <v>341.92899999999997</v>
      </c>
      <c r="F2647" t="str">
        <f>VLOOKUP(A2647,StoreLookup,2,FALSE)</f>
        <v>Store#2</v>
      </c>
      <c r="G2647">
        <f>INDEX(CalLookUpTable,MATCH($B2647,CalLookUpRow,0),MATCH(G$1,CalLookUpColumn,0))</f>
        <v>2019</v>
      </c>
      <c r="H2647">
        <f>INDEX(CalLookUpTable,MATCH($B2647,CalLookUpRow,0),MATCH(H$1,CalLookUpColumn,0))</f>
        <v>6</v>
      </c>
      <c r="I2647">
        <f>INDEX(CalLookUpTable,MATCH($B2647,CalLookUpRow,0),MATCH(I$1,CalLookUpColumn,0))</f>
        <v>5</v>
      </c>
    </row>
    <row r="2648" spans="1:9" x14ac:dyDescent="0.25">
      <c r="A2648" s="7">
        <v>2</v>
      </c>
      <c r="B2648" s="8">
        <v>43645</v>
      </c>
      <c r="C2648" s="9" t="s">
        <v>3</v>
      </c>
      <c r="D2648" s="10">
        <v>0</v>
      </c>
      <c r="E2648" s="10">
        <v>0</v>
      </c>
      <c r="F2648" t="str">
        <f>VLOOKUP(A2648,StoreLookup,2,FALSE)</f>
        <v>Store#2</v>
      </c>
      <c r="G2648">
        <f>INDEX(CalLookUpTable,MATCH($B2648,CalLookUpRow,0),MATCH(G$1,CalLookUpColumn,0))</f>
        <v>2019</v>
      </c>
      <c r="H2648">
        <f>INDEX(CalLookUpTable,MATCH($B2648,CalLookUpRow,0),MATCH(H$1,CalLookUpColumn,0))</f>
        <v>6</v>
      </c>
      <c r="I2648">
        <f>INDEX(CalLookUpTable,MATCH($B2648,CalLookUpRow,0),MATCH(I$1,CalLookUpColumn,0))</f>
        <v>5</v>
      </c>
    </row>
    <row r="2649" spans="1:9" x14ac:dyDescent="0.25">
      <c r="A2649" s="7">
        <v>2</v>
      </c>
      <c r="B2649" s="8">
        <v>43645</v>
      </c>
      <c r="C2649" s="9" t="s">
        <v>4</v>
      </c>
      <c r="D2649" s="10">
        <v>1901.3329999999999</v>
      </c>
      <c r="E2649" s="10">
        <v>2181.83</v>
      </c>
      <c r="F2649" t="str">
        <f>VLOOKUP(A2649,StoreLookup,2,FALSE)</f>
        <v>Store#2</v>
      </c>
      <c r="G2649">
        <f>INDEX(CalLookUpTable,MATCH($B2649,CalLookUpRow,0),MATCH(G$1,CalLookUpColumn,0))</f>
        <v>2019</v>
      </c>
      <c r="H2649">
        <f>INDEX(CalLookUpTable,MATCH($B2649,CalLookUpRow,0),MATCH(H$1,CalLookUpColumn,0))</f>
        <v>6</v>
      </c>
      <c r="I2649">
        <f>INDEX(CalLookUpTable,MATCH($B2649,CalLookUpRow,0),MATCH(I$1,CalLookUpColumn,0))</f>
        <v>5</v>
      </c>
    </row>
    <row r="2650" spans="1:9" x14ac:dyDescent="0.25">
      <c r="A2650" s="7">
        <v>2</v>
      </c>
      <c r="B2650" s="8">
        <v>43646</v>
      </c>
      <c r="C2650" s="9" t="s">
        <v>4</v>
      </c>
      <c r="D2650" s="10">
        <v>1293.9079999999999</v>
      </c>
      <c r="E2650" s="10">
        <v>1226.7569999999998</v>
      </c>
      <c r="F2650" t="str">
        <f>VLOOKUP(A2650,StoreLookup,2,FALSE)</f>
        <v>Store#2</v>
      </c>
      <c r="G2650">
        <f>INDEX(CalLookUpTable,MATCH($B2650,CalLookUpRow,0),MATCH(G$1,CalLookUpColumn,0))</f>
        <v>2019</v>
      </c>
      <c r="H2650">
        <f>INDEX(CalLookUpTable,MATCH($B2650,CalLookUpRow,0),MATCH(H$1,CalLookUpColumn,0))</f>
        <v>6</v>
      </c>
      <c r="I2650">
        <f>INDEX(CalLookUpTable,MATCH($B2650,CalLookUpRow,0),MATCH(I$1,CalLookUpColumn,0))</f>
        <v>5</v>
      </c>
    </row>
    <row r="2651" spans="1:9" x14ac:dyDescent="0.25">
      <c r="A2651" s="7">
        <v>2</v>
      </c>
      <c r="B2651" s="8">
        <v>43646</v>
      </c>
      <c r="C2651" s="9" t="s">
        <v>3</v>
      </c>
      <c r="D2651" s="10">
        <v>0</v>
      </c>
      <c r="E2651" s="10">
        <v>0</v>
      </c>
      <c r="F2651" t="str">
        <f>VLOOKUP(A2651,StoreLookup,2,FALSE)</f>
        <v>Store#2</v>
      </c>
      <c r="G2651">
        <f>INDEX(CalLookUpTable,MATCH($B2651,CalLookUpRow,0),MATCH(G$1,CalLookUpColumn,0))</f>
        <v>2019</v>
      </c>
      <c r="H2651">
        <f>INDEX(CalLookUpTable,MATCH($B2651,CalLookUpRow,0),MATCH(H$1,CalLookUpColumn,0))</f>
        <v>6</v>
      </c>
      <c r="I2651">
        <f>INDEX(CalLookUpTable,MATCH($B2651,CalLookUpRow,0),MATCH(I$1,CalLookUpColumn,0))</f>
        <v>5</v>
      </c>
    </row>
    <row r="2652" spans="1:9" x14ac:dyDescent="0.25">
      <c r="A2652" s="7">
        <v>2</v>
      </c>
      <c r="B2652" s="8">
        <v>43646</v>
      </c>
      <c r="C2652" s="9" t="s">
        <v>5</v>
      </c>
      <c r="D2652" s="10">
        <v>1007.314</v>
      </c>
      <c r="E2652" s="10">
        <v>614.50199999999995</v>
      </c>
      <c r="F2652" t="str">
        <f>VLOOKUP(A2652,StoreLookup,2,FALSE)</f>
        <v>Store#2</v>
      </c>
      <c r="G2652">
        <f>INDEX(CalLookUpTable,MATCH($B2652,CalLookUpRow,0),MATCH(G$1,CalLookUpColumn,0))</f>
        <v>2019</v>
      </c>
      <c r="H2652">
        <f>INDEX(CalLookUpTable,MATCH($B2652,CalLookUpRow,0),MATCH(H$1,CalLookUpColumn,0))</f>
        <v>6</v>
      </c>
      <c r="I2652">
        <f>INDEX(CalLookUpTable,MATCH($B2652,CalLookUpRow,0),MATCH(I$1,CalLookUpColumn,0))</f>
        <v>5</v>
      </c>
    </row>
    <row r="2653" spans="1:9" x14ac:dyDescent="0.25">
      <c r="A2653" s="7">
        <v>2</v>
      </c>
      <c r="B2653" s="8">
        <v>43646</v>
      </c>
      <c r="C2653" s="9" t="s">
        <v>6</v>
      </c>
      <c r="D2653" s="10">
        <v>266.81900000000002</v>
      </c>
      <c r="E2653" s="10">
        <v>169.547</v>
      </c>
      <c r="F2653" t="str">
        <f>VLOOKUP(A2653,StoreLookup,2,FALSE)</f>
        <v>Store#2</v>
      </c>
      <c r="G2653">
        <f>INDEX(CalLookUpTable,MATCH($B2653,CalLookUpRow,0),MATCH(G$1,CalLookUpColumn,0))</f>
        <v>2019</v>
      </c>
      <c r="H2653">
        <f>INDEX(CalLookUpTable,MATCH($B2653,CalLookUpRow,0),MATCH(H$1,CalLookUpColumn,0))</f>
        <v>6</v>
      </c>
      <c r="I2653">
        <f>INDEX(CalLookUpTable,MATCH($B2653,CalLookUpRow,0),MATCH(I$1,CalLookUpColumn,0))</f>
        <v>5</v>
      </c>
    </row>
    <row r="2654" spans="1:9" x14ac:dyDescent="0.25">
      <c r="A2654" s="7">
        <v>2</v>
      </c>
      <c r="B2654" s="8">
        <v>43647</v>
      </c>
      <c r="C2654" s="9" t="s">
        <v>4</v>
      </c>
      <c r="D2654" s="10">
        <v>1730.8759999999997</v>
      </c>
      <c r="E2654" s="10">
        <v>2363.48</v>
      </c>
      <c r="F2654" t="str">
        <f>VLOOKUP(A2654,StoreLookup,2,FALSE)</f>
        <v>Store#2</v>
      </c>
      <c r="G2654">
        <f>INDEX(CalLookUpTable,MATCH($B2654,CalLookUpRow,0),MATCH(G$1,CalLookUpColumn,0))</f>
        <v>2019</v>
      </c>
      <c r="H2654">
        <f>INDEX(CalLookUpTable,MATCH($B2654,CalLookUpRow,0),MATCH(H$1,CalLookUpColumn,0))</f>
        <v>7</v>
      </c>
      <c r="I2654">
        <f>INDEX(CalLookUpTable,MATCH($B2654,CalLookUpRow,0),MATCH(I$1,CalLookUpColumn,0))</f>
        <v>1</v>
      </c>
    </row>
    <row r="2655" spans="1:9" x14ac:dyDescent="0.25">
      <c r="A2655" s="7">
        <v>2</v>
      </c>
      <c r="B2655" s="8">
        <v>43647</v>
      </c>
      <c r="C2655" s="9" t="s">
        <v>5</v>
      </c>
      <c r="D2655" s="10">
        <v>1114.33</v>
      </c>
      <c r="E2655" s="10">
        <v>485.40800000000002</v>
      </c>
      <c r="F2655" t="str">
        <f>VLOOKUP(A2655,StoreLookup,2,FALSE)</f>
        <v>Store#2</v>
      </c>
      <c r="G2655">
        <f>INDEX(CalLookUpTable,MATCH($B2655,CalLookUpRow,0),MATCH(G$1,CalLookUpColumn,0))</f>
        <v>2019</v>
      </c>
      <c r="H2655">
        <f>INDEX(CalLookUpTable,MATCH($B2655,CalLookUpRow,0),MATCH(H$1,CalLookUpColumn,0))</f>
        <v>7</v>
      </c>
      <c r="I2655">
        <f>INDEX(CalLookUpTable,MATCH($B2655,CalLookUpRow,0),MATCH(I$1,CalLookUpColumn,0))</f>
        <v>1</v>
      </c>
    </row>
    <row r="2656" spans="1:9" x14ac:dyDescent="0.25">
      <c r="A2656" s="7">
        <v>2</v>
      </c>
      <c r="B2656" s="8">
        <v>43647</v>
      </c>
      <c r="C2656" s="9" t="s">
        <v>3</v>
      </c>
      <c r="D2656" s="10">
        <v>0</v>
      </c>
      <c r="E2656" s="10">
        <v>0</v>
      </c>
      <c r="F2656" t="str">
        <f>VLOOKUP(A2656,StoreLookup,2,FALSE)</f>
        <v>Store#2</v>
      </c>
      <c r="G2656">
        <f>INDEX(CalLookUpTable,MATCH($B2656,CalLookUpRow,0),MATCH(G$1,CalLookUpColumn,0))</f>
        <v>2019</v>
      </c>
      <c r="H2656">
        <f>INDEX(CalLookUpTable,MATCH($B2656,CalLookUpRow,0),MATCH(H$1,CalLookUpColumn,0))</f>
        <v>7</v>
      </c>
      <c r="I2656">
        <f>INDEX(CalLookUpTable,MATCH($B2656,CalLookUpRow,0),MATCH(I$1,CalLookUpColumn,0))</f>
        <v>1</v>
      </c>
    </row>
    <row r="2657" spans="1:9" x14ac:dyDescent="0.25">
      <c r="A2657" s="7">
        <v>2</v>
      </c>
      <c r="B2657" s="8">
        <v>43647</v>
      </c>
      <c r="C2657" s="9" t="s">
        <v>6</v>
      </c>
      <c r="D2657" s="10">
        <v>267.18299999999999</v>
      </c>
      <c r="E2657" s="10">
        <v>386.77799999999996</v>
      </c>
      <c r="F2657" t="str">
        <f>VLOOKUP(A2657,StoreLookup,2,FALSE)</f>
        <v>Store#2</v>
      </c>
      <c r="G2657">
        <f>INDEX(CalLookUpTable,MATCH($B2657,CalLookUpRow,0),MATCH(G$1,CalLookUpColumn,0))</f>
        <v>2019</v>
      </c>
      <c r="H2657">
        <f>INDEX(CalLookUpTable,MATCH($B2657,CalLookUpRow,0),MATCH(H$1,CalLookUpColumn,0))</f>
        <v>7</v>
      </c>
      <c r="I2657">
        <f>INDEX(CalLookUpTable,MATCH($B2657,CalLookUpRow,0),MATCH(I$1,CalLookUpColumn,0))</f>
        <v>1</v>
      </c>
    </row>
    <row r="2658" spans="1:9" x14ac:dyDescent="0.25">
      <c r="A2658" s="7">
        <v>2</v>
      </c>
      <c r="B2658" s="8">
        <v>43648</v>
      </c>
      <c r="C2658" s="9" t="s">
        <v>5</v>
      </c>
      <c r="D2658" s="10">
        <v>1143.3169999999998</v>
      </c>
      <c r="E2658" s="10">
        <v>771.07099999999991</v>
      </c>
      <c r="F2658" t="str">
        <f>VLOOKUP(A2658,StoreLookup,2,FALSE)</f>
        <v>Store#2</v>
      </c>
      <c r="G2658">
        <f>INDEX(CalLookUpTable,MATCH($B2658,CalLookUpRow,0),MATCH(G$1,CalLookUpColumn,0))</f>
        <v>2019</v>
      </c>
      <c r="H2658">
        <f>INDEX(CalLookUpTable,MATCH($B2658,CalLookUpRow,0),MATCH(H$1,CalLookUpColumn,0))</f>
        <v>7</v>
      </c>
      <c r="I2658">
        <f>INDEX(CalLookUpTable,MATCH($B2658,CalLookUpRow,0),MATCH(I$1,CalLookUpColumn,0))</f>
        <v>1</v>
      </c>
    </row>
    <row r="2659" spans="1:9" x14ac:dyDescent="0.25">
      <c r="A2659" s="7">
        <v>2</v>
      </c>
      <c r="B2659" s="8">
        <v>43648</v>
      </c>
      <c r="C2659" s="9" t="s">
        <v>6</v>
      </c>
      <c r="D2659" s="10">
        <v>241.227</v>
      </c>
      <c r="E2659" s="10">
        <v>524.89499999999998</v>
      </c>
      <c r="F2659" t="str">
        <f>VLOOKUP(A2659,StoreLookup,2,FALSE)</f>
        <v>Store#2</v>
      </c>
      <c r="G2659">
        <f>INDEX(CalLookUpTable,MATCH($B2659,CalLookUpRow,0),MATCH(G$1,CalLookUpColumn,0))</f>
        <v>2019</v>
      </c>
      <c r="H2659">
        <f>INDEX(CalLookUpTable,MATCH($B2659,CalLookUpRow,0),MATCH(H$1,CalLookUpColumn,0))</f>
        <v>7</v>
      </c>
      <c r="I2659">
        <f>INDEX(CalLookUpTable,MATCH($B2659,CalLookUpRow,0),MATCH(I$1,CalLookUpColumn,0))</f>
        <v>1</v>
      </c>
    </row>
    <row r="2660" spans="1:9" x14ac:dyDescent="0.25">
      <c r="A2660" s="7">
        <v>2</v>
      </c>
      <c r="B2660" s="8">
        <v>43648</v>
      </c>
      <c r="C2660" s="9" t="s">
        <v>4</v>
      </c>
      <c r="D2660" s="10">
        <v>2285.71</v>
      </c>
      <c r="E2660" s="10">
        <v>2314.172</v>
      </c>
      <c r="F2660" t="str">
        <f>VLOOKUP(A2660,StoreLookup,2,FALSE)</f>
        <v>Store#2</v>
      </c>
      <c r="G2660">
        <f>INDEX(CalLookUpTable,MATCH($B2660,CalLookUpRow,0),MATCH(G$1,CalLookUpColumn,0))</f>
        <v>2019</v>
      </c>
      <c r="H2660">
        <f>INDEX(CalLookUpTable,MATCH($B2660,CalLookUpRow,0),MATCH(H$1,CalLookUpColumn,0))</f>
        <v>7</v>
      </c>
      <c r="I2660">
        <f>INDEX(CalLookUpTable,MATCH($B2660,CalLookUpRow,0),MATCH(I$1,CalLookUpColumn,0))</f>
        <v>1</v>
      </c>
    </row>
    <row r="2661" spans="1:9" x14ac:dyDescent="0.25">
      <c r="A2661" s="7">
        <v>2</v>
      </c>
      <c r="B2661" s="8">
        <v>43648</v>
      </c>
      <c r="C2661" s="9" t="s">
        <v>3</v>
      </c>
      <c r="D2661" s="10">
        <v>4.1859999999999999</v>
      </c>
      <c r="E2661" s="10">
        <v>153.86699999999999</v>
      </c>
      <c r="F2661" t="str">
        <f>VLOOKUP(A2661,StoreLookup,2,FALSE)</f>
        <v>Store#2</v>
      </c>
      <c r="G2661">
        <f>INDEX(CalLookUpTable,MATCH($B2661,CalLookUpRow,0),MATCH(G$1,CalLookUpColumn,0))</f>
        <v>2019</v>
      </c>
      <c r="H2661">
        <f>INDEX(CalLookUpTable,MATCH($B2661,CalLookUpRow,0),MATCH(H$1,CalLookUpColumn,0))</f>
        <v>7</v>
      </c>
      <c r="I2661">
        <f>INDEX(CalLookUpTable,MATCH($B2661,CalLookUpRow,0),MATCH(I$1,CalLookUpColumn,0))</f>
        <v>1</v>
      </c>
    </row>
    <row r="2662" spans="1:9" x14ac:dyDescent="0.25">
      <c r="A2662" s="7">
        <v>2</v>
      </c>
      <c r="B2662" s="8">
        <v>43649</v>
      </c>
      <c r="C2662" s="9" t="s">
        <v>4</v>
      </c>
      <c r="D2662" s="10">
        <v>1989.12</v>
      </c>
      <c r="E2662" s="10">
        <v>1501.1990000000001</v>
      </c>
      <c r="F2662" t="str">
        <f>VLOOKUP(A2662,StoreLookup,2,FALSE)</f>
        <v>Store#2</v>
      </c>
      <c r="G2662">
        <f>INDEX(CalLookUpTable,MATCH($B2662,CalLookUpRow,0),MATCH(G$1,CalLookUpColumn,0))</f>
        <v>2019</v>
      </c>
      <c r="H2662">
        <f>INDEX(CalLookUpTable,MATCH($B2662,CalLookUpRow,0),MATCH(H$1,CalLookUpColumn,0))</f>
        <v>7</v>
      </c>
      <c r="I2662">
        <f>INDEX(CalLookUpTable,MATCH($B2662,CalLookUpRow,0),MATCH(I$1,CalLookUpColumn,0))</f>
        <v>1</v>
      </c>
    </row>
    <row r="2663" spans="1:9" x14ac:dyDescent="0.25">
      <c r="A2663" s="7">
        <v>2</v>
      </c>
      <c r="B2663" s="8">
        <v>43649</v>
      </c>
      <c r="C2663" s="9" t="s">
        <v>6</v>
      </c>
      <c r="D2663" s="10">
        <v>276.61899999999997</v>
      </c>
      <c r="E2663" s="10">
        <v>343.72800000000001</v>
      </c>
      <c r="F2663" t="str">
        <f>VLOOKUP(A2663,StoreLookup,2,FALSE)</f>
        <v>Store#2</v>
      </c>
      <c r="G2663">
        <f>INDEX(CalLookUpTable,MATCH($B2663,CalLookUpRow,0),MATCH(G$1,CalLookUpColumn,0))</f>
        <v>2019</v>
      </c>
      <c r="H2663">
        <f>INDEX(CalLookUpTable,MATCH($B2663,CalLookUpRow,0),MATCH(H$1,CalLookUpColumn,0))</f>
        <v>7</v>
      </c>
      <c r="I2663">
        <f>INDEX(CalLookUpTable,MATCH($B2663,CalLookUpRow,0),MATCH(I$1,CalLookUpColumn,0))</f>
        <v>1</v>
      </c>
    </row>
    <row r="2664" spans="1:9" x14ac:dyDescent="0.25">
      <c r="A2664" s="7">
        <v>2</v>
      </c>
      <c r="B2664" s="8">
        <v>43649</v>
      </c>
      <c r="C2664" s="9" t="s">
        <v>3</v>
      </c>
      <c r="D2664" s="10">
        <v>131.607</v>
      </c>
      <c r="E2664" s="10">
        <v>0</v>
      </c>
      <c r="F2664" t="str">
        <f>VLOOKUP(A2664,StoreLookup,2,FALSE)</f>
        <v>Store#2</v>
      </c>
      <c r="G2664">
        <f>INDEX(CalLookUpTable,MATCH($B2664,CalLookUpRow,0),MATCH(G$1,CalLookUpColumn,0))</f>
        <v>2019</v>
      </c>
      <c r="H2664">
        <f>INDEX(CalLookUpTable,MATCH($B2664,CalLookUpRow,0),MATCH(H$1,CalLookUpColumn,0))</f>
        <v>7</v>
      </c>
      <c r="I2664">
        <f>INDEX(CalLookUpTable,MATCH($B2664,CalLookUpRow,0),MATCH(I$1,CalLookUpColumn,0))</f>
        <v>1</v>
      </c>
    </row>
    <row r="2665" spans="1:9" x14ac:dyDescent="0.25">
      <c r="A2665" s="7">
        <v>2</v>
      </c>
      <c r="B2665" s="8">
        <v>43649</v>
      </c>
      <c r="C2665" s="9" t="s">
        <v>5</v>
      </c>
      <c r="D2665" s="10">
        <v>1272.8869999999999</v>
      </c>
      <c r="E2665" s="10">
        <v>245.85400000000001</v>
      </c>
      <c r="F2665" t="str">
        <f>VLOOKUP(A2665,StoreLookup,2,FALSE)</f>
        <v>Store#2</v>
      </c>
      <c r="G2665">
        <f>INDEX(CalLookUpTable,MATCH($B2665,CalLookUpRow,0),MATCH(G$1,CalLookUpColumn,0))</f>
        <v>2019</v>
      </c>
      <c r="H2665">
        <f>INDEX(CalLookUpTable,MATCH($B2665,CalLookUpRow,0),MATCH(H$1,CalLookUpColumn,0))</f>
        <v>7</v>
      </c>
      <c r="I2665">
        <f>INDEX(CalLookUpTable,MATCH($B2665,CalLookUpRow,0),MATCH(I$1,CalLookUpColumn,0))</f>
        <v>1</v>
      </c>
    </row>
    <row r="2666" spans="1:9" x14ac:dyDescent="0.25">
      <c r="A2666" s="7">
        <v>2</v>
      </c>
      <c r="B2666" s="8">
        <v>43650</v>
      </c>
      <c r="C2666" s="9" t="s">
        <v>5</v>
      </c>
      <c r="D2666" s="10">
        <v>606.62699999999995</v>
      </c>
      <c r="E2666" s="10">
        <v>570.04499999999996</v>
      </c>
      <c r="F2666" t="str">
        <f>VLOOKUP(A2666,StoreLookup,2,FALSE)</f>
        <v>Store#2</v>
      </c>
      <c r="G2666">
        <f>INDEX(CalLookUpTable,MATCH($B2666,CalLookUpRow,0),MATCH(G$1,CalLookUpColumn,0))</f>
        <v>2019</v>
      </c>
      <c r="H2666">
        <f>INDEX(CalLookUpTable,MATCH($B2666,CalLookUpRow,0),MATCH(H$1,CalLookUpColumn,0))</f>
        <v>7</v>
      </c>
      <c r="I2666">
        <f>INDEX(CalLookUpTable,MATCH($B2666,CalLookUpRow,0),MATCH(I$1,CalLookUpColumn,0))</f>
        <v>1</v>
      </c>
    </row>
    <row r="2667" spans="1:9" x14ac:dyDescent="0.25">
      <c r="A2667" s="7">
        <v>2</v>
      </c>
      <c r="B2667" s="8">
        <v>43650</v>
      </c>
      <c r="C2667" s="9" t="s">
        <v>4</v>
      </c>
      <c r="D2667" s="10">
        <v>1972.9639999999999</v>
      </c>
      <c r="E2667" s="10">
        <v>1829.9189999999999</v>
      </c>
      <c r="F2667" t="str">
        <f>VLOOKUP(A2667,StoreLookup,2,FALSE)</f>
        <v>Store#2</v>
      </c>
      <c r="G2667">
        <f>INDEX(CalLookUpTable,MATCH($B2667,CalLookUpRow,0),MATCH(G$1,CalLookUpColumn,0))</f>
        <v>2019</v>
      </c>
      <c r="H2667">
        <f>INDEX(CalLookUpTable,MATCH($B2667,CalLookUpRow,0),MATCH(H$1,CalLookUpColumn,0))</f>
        <v>7</v>
      </c>
      <c r="I2667">
        <f>INDEX(CalLookUpTable,MATCH($B2667,CalLookUpRow,0),MATCH(I$1,CalLookUpColumn,0))</f>
        <v>1</v>
      </c>
    </row>
    <row r="2668" spans="1:9" x14ac:dyDescent="0.25">
      <c r="A2668" s="7">
        <v>2</v>
      </c>
      <c r="B2668" s="8">
        <v>43650</v>
      </c>
      <c r="C2668" s="9" t="s">
        <v>6</v>
      </c>
      <c r="D2668" s="10">
        <v>208.89400000000001</v>
      </c>
      <c r="E2668" s="10">
        <v>211.54</v>
      </c>
      <c r="F2668" t="str">
        <f>VLOOKUP(A2668,StoreLookup,2,FALSE)</f>
        <v>Store#2</v>
      </c>
      <c r="G2668">
        <f>INDEX(CalLookUpTable,MATCH($B2668,CalLookUpRow,0),MATCH(G$1,CalLookUpColumn,0))</f>
        <v>2019</v>
      </c>
      <c r="H2668">
        <f>INDEX(CalLookUpTable,MATCH($B2668,CalLookUpRow,0),MATCH(H$1,CalLookUpColumn,0))</f>
        <v>7</v>
      </c>
      <c r="I2668">
        <f>INDEX(CalLookUpTable,MATCH($B2668,CalLookUpRow,0),MATCH(I$1,CalLookUpColumn,0))</f>
        <v>1</v>
      </c>
    </row>
    <row r="2669" spans="1:9" x14ac:dyDescent="0.25">
      <c r="A2669" s="7">
        <v>2</v>
      </c>
      <c r="B2669" s="8">
        <v>43650</v>
      </c>
      <c r="C2669" s="9" t="s">
        <v>3</v>
      </c>
      <c r="D2669" s="10">
        <v>0</v>
      </c>
      <c r="E2669" s="10">
        <v>1137.6399999999999</v>
      </c>
      <c r="F2669" t="str">
        <f>VLOOKUP(A2669,StoreLookup,2,FALSE)</f>
        <v>Store#2</v>
      </c>
      <c r="G2669">
        <f>INDEX(CalLookUpTable,MATCH($B2669,CalLookUpRow,0),MATCH(G$1,CalLookUpColumn,0))</f>
        <v>2019</v>
      </c>
      <c r="H2669">
        <f>INDEX(CalLookUpTable,MATCH($B2669,CalLookUpRow,0),MATCH(H$1,CalLookUpColumn,0))</f>
        <v>7</v>
      </c>
      <c r="I2669">
        <f>INDEX(CalLookUpTable,MATCH($B2669,CalLookUpRow,0),MATCH(I$1,CalLookUpColumn,0))</f>
        <v>1</v>
      </c>
    </row>
    <row r="2670" spans="1:9" x14ac:dyDescent="0.25">
      <c r="A2670" s="7">
        <v>2</v>
      </c>
      <c r="B2670" s="8">
        <v>43651</v>
      </c>
      <c r="C2670" s="9" t="s">
        <v>3</v>
      </c>
      <c r="D2670" s="10">
        <v>524.57999999999993</v>
      </c>
      <c r="E2670" s="10">
        <v>0</v>
      </c>
      <c r="F2670" t="str">
        <f>VLOOKUP(A2670,StoreLookup,2,FALSE)</f>
        <v>Store#2</v>
      </c>
      <c r="G2670">
        <f>INDEX(CalLookUpTable,MATCH($B2670,CalLookUpRow,0),MATCH(G$1,CalLookUpColumn,0))</f>
        <v>2019</v>
      </c>
      <c r="H2670">
        <f>INDEX(CalLookUpTable,MATCH($B2670,CalLookUpRow,0),MATCH(H$1,CalLookUpColumn,0))</f>
        <v>7</v>
      </c>
      <c r="I2670">
        <f>INDEX(CalLookUpTable,MATCH($B2670,CalLookUpRow,0),MATCH(I$1,CalLookUpColumn,0))</f>
        <v>1</v>
      </c>
    </row>
    <row r="2671" spans="1:9" x14ac:dyDescent="0.25">
      <c r="A2671" s="7">
        <v>2</v>
      </c>
      <c r="B2671" s="8">
        <v>43651</v>
      </c>
      <c r="C2671" s="9" t="s">
        <v>4</v>
      </c>
      <c r="D2671" s="10">
        <v>1960.6229999999998</v>
      </c>
      <c r="E2671" s="10">
        <v>2122.3649999999998</v>
      </c>
      <c r="F2671" t="str">
        <f>VLOOKUP(A2671,StoreLookup,2,FALSE)</f>
        <v>Store#2</v>
      </c>
      <c r="G2671">
        <f>INDEX(CalLookUpTable,MATCH($B2671,CalLookUpRow,0),MATCH(G$1,CalLookUpColumn,0))</f>
        <v>2019</v>
      </c>
      <c r="H2671">
        <f>INDEX(CalLookUpTable,MATCH($B2671,CalLookUpRow,0),MATCH(H$1,CalLookUpColumn,0))</f>
        <v>7</v>
      </c>
      <c r="I2671">
        <f>INDEX(CalLookUpTable,MATCH($B2671,CalLookUpRow,0),MATCH(I$1,CalLookUpColumn,0))</f>
        <v>1</v>
      </c>
    </row>
    <row r="2672" spans="1:9" x14ac:dyDescent="0.25">
      <c r="A2672" s="7">
        <v>2</v>
      </c>
      <c r="B2672" s="8">
        <v>43651</v>
      </c>
      <c r="C2672" s="9" t="s">
        <v>6</v>
      </c>
      <c r="D2672" s="10">
        <v>316.89</v>
      </c>
      <c r="E2672" s="10">
        <v>316.06399999999996</v>
      </c>
      <c r="F2672" t="str">
        <f>VLOOKUP(A2672,StoreLookup,2,FALSE)</f>
        <v>Store#2</v>
      </c>
      <c r="G2672">
        <f>INDEX(CalLookUpTable,MATCH($B2672,CalLookUpRow,0),MATCH(G$1,CalLookUpColumn,0))</f>
        <v>2019</v>
      </c>
      <c r="H2672">
        <f>INDEX(CalLookUpTable,MATCH($B2672,CalLookUpRow,0),MATCH(H$1,CalLookUpColumn,0))</f>
        <v>7</v>
      </c>
      <c r="I2672">
        <f>INDEX(CalLookUpTable,MATCH($B2672,CalLookUpRow,0),MATCH(I$1,CalLookUpColumn,0))</f>
        <v>1</v>
      </c>
    </row>
    <row r="2673" spans="1:9" x14ac:dyDescent="0.25">
      <c r="A2673" s="7">
        <v>2</v>
      </c>
      <c r="B2673" s="8">
        <v>43651</v>
      </c>
      <c r="C2673" s="9" t="s">
        <v>5</v>
      </c>
      <c r="D2673" s="10">
        <v>1068.5849999999998</v>
      </c>
      <c r="E2673" s="10">
        <v>707.37799999999993</v>
      </c>
      <c r="F2673" t="str">
        <f>VLOOKUP(A2673,StoreLookup,2,FALSE)</f>
        <v>Store#2</v>
      </c>
      <c r="G2673">
        <f>INDEX(CalLookUpTable,MATCH($B2673,CalLookUpRow,0),MATCH(G$1,CalLookUpColumn,0))</f>
        <v>2019</v>
      </c>
      <c r="H2673">
        <f>INDEX(CalLookUpTable,MATCH($B2673,CalLookUpRow,0),MATCH(H$1,CalLookUpColumn,0))</f>
        <v>7</v>
      </c>
      <c r="I2673">
        <f>INDEX(CalLookUpTable,MATCH($B2673,CalLookUpRow,0),MATCH(I$1,CalLookUpColumn,0))</f>
        <v>1</v>
      </c>
    </row>
    <row r="2674" spans="1:9" x14ac:dyDescent="0.25">
      <c r="A2674" s="7">
        <v>2</v>
      </c>
      <c r="B2674" s="8">
        <v>43652</v>
      </c>
      <c r="C2674" s="9" t="s">
        <v>4</v>
      </c>
      <c r="D2674" s="10">
        <v>2046.8559999999998</v>
      </c>
      <c r="E2674" s="10">
        <v>2242.527</v>
      </c>
      <c r="F2674" t="str">
        <f>VLOOKUP(A2674,StoreLookup,2,FALSE)</f>
        <v>Store#2</v>
      </c>
      <c r="G2674">
        <f>INDEX(CalLookUpTable,MATCH($B2674,CalLookUpRow,0),MATCH(G$1,CalLookUpColumn,0))</f>
        <v>2019</v>
      </c>
      <c r="H2674">
        <f>INDEX(CalLookUpTable,MATCH($B2674,CalLookUpRow,0),MATCH(H$1,CalLookUpColumn,0))</f>
        <v>7</v>
      </c>
      <c r="I2674">
        <f>INDEX(CalLookUpTable,MATCH($B2674,CalLookUpRow,0),MATCH(I$1,CalLookUpColumn,0))</f>
        <v>1</v>
      </c>
    </row>
    <row r="2675" spans="1:9" x14ac:dyDescent="0.25">
      <c r="A2675" s="7">
        <v>2</v>
      </c>
      <c r="B2675" s="8">
        <v>43652</v>
      </c>
      <c r="C2675" s="9" t="s">
        <v>5</v>
      </c>
      <c r="D2675" s="10">
        <v>1096.7249999999999</v>
      </c>
      <c r="E2675" s="10">
        <v>612.80099999999993</v>
      </c>
      <c r="F2675" t="str">
        <f>VLOOKUP(A2675,StoreLookup,2,FALSE)</f>
        <v>Store#2</v>
      </c>
      <c r="G2675">
        <f>INDEX(CalLookUpTable,MATCH($B2675,CalLookUpRow,0),MATCH(G$1,CalLookUpColumn,0))</f>
        <v>2019</v>
      </c>
      <c r="H2675">
        <f>INDEX(CalLookUpTable,MATCH($B2675,CalLookUpRow,0),MATCH(H$1,CalLookUpColumn,0))</f>
        <v>7</v>
      </c>
      <c r="I2675">
        <f>INDEX(CalLookUpTable,MATCH($B2675,CalLookUpRow,0),MATCH(I$1,CalLookUpColumn,0))</f>
        <v>1</v>
      </c>
    </row>
    <row r="2676" spans="1:9" x14ac:dyDescent="0.25">
      <c r="A2676" s="7">
        <v>2</v>
      </c>
      <c r="B2676" s="8">
        <v>43652</v>
      </c>
      <c r="C2676" s="9" t="s">
        <v>3</v>
      </c>
      <c r="D2676" s="10">
        <v>0</v>
      </c>
      <c r="E2676" s="10">
        <v>520.25400000000002</v>
      </c>
      <c r="F2676" t="str">
        <f>VLOOKUP(A2676,StoreLookup,2,FALSE)</f>
        <v>Store#2</v>
      </c>
      <c r="G2676">
        <f>INDEX(CalLookUpTable,MATCH($B2676,CalLookUpRow,0),MATCH(G$1,CalLookUpColumn,0))</f>
        <v>2019</v>
      </c>
      <c r="H2676">
        <f>INDEX(CalLookUpTable,MATCH($B2676,CalLookUpRow,0),MATCH(H$1,CalLookUpColumn,0))</f>
        <v>7</v>
      </c>
      <c r="I2676">
        <f>INDEX(CalLookUpTable,MATCH($B2676,CalLookUpRow,0),MATCH(I$1,CalLookUpColumn,0))</f>
        <v>1</v>
      </c>
    </row>
    <row r="2677" spans="1:9" x14ac:dyDescent="0.25">
      <c r="A2677" s="7">
        <v>2</v>
      </c>
      <c r="B2677" s="8">
        <v>43652</v>
      </c>
      <c r="C2677" s="9" t="s">
        <v>6</v>
      </c>
      <c r="D2677" s="10">
        <v>401.42200000000003</v>
      </c>
      <c r="E2677" s="10">
        <v>412.02</v>
      </c>
      <c r="F2677" t="str">
        <f>VLOOKUP(A2677,StoreLookup,2,FALSE)</f>
        <v>Store#2</v>
      </c>
      <c r="G2677">
        <f>INDEX(CalLookUpTable,MATCH($B2677,CalLookUpRow,0),MATCH(G$1,CalLookUpColumn,0))</f>
        <v>2019</v>
      </c>
      <c r="H2677">
        <f>INDEX(CalLookUpTable,MATCH($B2677,CalLookUpRow,0),MATCH(H$1,CalLookUpColumn,0))</f>
        <v>7</v>
      </c>
      <c r="I2677">
        <f>INDEX(CalLookUpTable,MATCH($B2677,CalLookUpRow,0),MATCH(I$1,CalLookUpColumn,0))</f>
        <v>1</v>
      </c>
    </row>
    <row r="2678" spans="1:9" x14ac:dyDescent="0.25">
      <c r="A2678" s="7">
        <v>2</v>
      </c>
      <c r="B2678" s="8">
        <v>43653</v>
      </c>
      <c r="C2678" s="9" t="s">
        <v>4</v>
      </c>
      <c r="D2678" s="10">
        <v>1496.8799999999999</v>
      </c>
      <c r="E2678" s="10">
        <v>1366.9739999999999</v>
      </c>
      <c r="F2678" t="str">
        <f>VLOOKUP(A2678,StoreLookup,2,FALSE)</f>
        <v>Store#2</v>
      </c>
      <c r="G2678">
        <f>INDEX(CalLookUpTable,MATCH($B2678,CalLookUpRow,0),MATCH(G$1,CalLookUpColumn,0))</f>
        <v>2019</v>
      </c>
      <c r="H2678">
        <f>INDEX(CalLookUpTable,MATCH($B2678,CalLookUpRow,0),MATCH(H$1,CalLookUpColumn,0))</f>
        <v>7</v>
      </c>
      <c r="I2678">
        <f>INDEX(CalLookUpTable,MATCH($B2678,CalLookUpRow,0),MATCH(I$1,CalLookUpColumn,0))</f>
        <v>1</v>
      </c>
    </row>
    <row r="2679" spans="1:9" x14ac:dyDescent="0.25">
      <c r="A2679" s="7">
        <v>2</v>
      </c>
      <c r="B2679" s="8">
        <v>43653</v>
      </c>
      <c r="C2679" s="9" t="s">
        <v>3</v>
      </c>
      <c r="D2679" s="10">
        <v>0</v>
      </c>
      <c r="E2679" s="10">
        <v>0</v>
      </c>
      <c r="F2679" t="str">
        <f>VLOOKUP(A2679,StoreLookup,2,FALSE)</f>
        <v>Store#2</v>
      </c>
      <c r="G2679">
        <f>INDEX(CalLookUpTable,MATCH($B2679,CalLookUpRow,0),MATCH(G$1,CalLookUpColumn,0))</f>
        <v>2019</v>
      </c>
      <c r="H2679">
        <f>INDEX(CalLookUpTable,MATCH($B2679,CalLookUpRow,0),MATCH(H$1,CalLookUpColumn,0))</f>
        <v>7</v>
      </c>
      <c r="I2679">
        <f>INDEX(CalLookUpTable,MATCH($B2679,CalLookUpRow,0),MATCH(I$1,CalLookUpColumn,0))</f>
        <v>1</v>
      </c>
    </row>
    <row r="2680" spans="1:9" x14ac:dyDescent="0.25">
      <c r="A2680" s="7">
        <v>2</v>
      </c>
      <c r="B2680" s="8">
        <v>43653</v>
      </c>
      <c r="C2680" s="9" t="s">
        <v>5</v>
      </c>
      <c r="D2680" s="10">
        <v>1054.7529999999999</v>
      </c>
      <c r="E2680" s="10">
        <v>499.24700000000001</v>
      </c>
      <c r="F2680" t="str">
        <f>VLOOKUP(A2680,StoreLookup,2,FALSE)</f>
        <v>Store#2</v>
      </c>
      <c r="G2680">
        <f>INDEX(CalLookUpTable,MATCH($B2680,CalLookUpRow,0),MATCH(G$1,CalLookUpColumn,0))</f>
        <v>2019</v>
      </c>
      <c r="H2680">
        <f>INDEX(CalLookUpTable,MATCH($B2680,CalLookUpRow,0),MATCH(H$1,CalLookUpColumn,0))</f>
        <v>7</v>
      </c>
      <c r="I2680">
        <f>INDEX(CalLookUpTable,MATCH($B2680,CalLookUpRow,0),MATCH(I$1,CalLookUpColumn,0))</f>
        <v>1</v>
      </c>
    </row>
    <row r="2681" spans="1:9" x14ac:dyDescent="0.25">
      <c r="A2681" s="7">
        <v>2</v>
      </c>
      <c r="B2681" s="8">
        <v>43653</v>
      </c>
      <c r="C2681" s="9" t="s">
        <v>6</v>
      </c>
      <c r="D2681" s="10">
        <v>176.75</v>
      </c>
      <c r="E2681" s="10">
        <v>360.577</v>
      </c>
      <c r="F2681" t="str">
        <f>VLOOKUP(A2681,StoreLookup,2,FALSE)</f>
        <v>Store#2</v>
      </c>
      <c r="G2681">
        <f>INDEX(CalLookUpTable,MATCH($B2681,CalLookUpRow,0),MATCH(G$1,CalLookUpColumn,0))</f>
        <v>2019</v>
      </c>
      <c r="H2681">
        <f>INDEX(CalLookUpTable,MATCH($B2681,CalLookUpRow,0),MATCH(H$1,CalLookUpColumn,0))</f>
        <v>7</v>
      </c>
      <c r="I2681">
        <f>INDEX(CalLookUpTable,MATCH($B2681,CalLookUpRow,0),MATCH(I$1,CalLookUpColumn,0))</f>
        <v>1</v>
      </c>
    </row>
    <row r="2682" spans="1:9" x14ac:dyDescent="0.25">
      <c r="A2682" s="7">
        <v>2</v>
      </c>
      <c r="B2682" s="8">
        <v>43654</v>
      </c>
      <c r="C2682" s="9" t="s">
        <v>6</v>
      </c>
      <c r="D2682" s="10">
        <v>129.31800000000001</v>
      </c>
      <c r="E2682" s="10">
        <v>316.40699999999998</v>
      </c>
      <c r="F2682" t="str">
        <f>VLOOKUP(A2682,StoreLookup,2,FALSE)</f>
        <v>Store#2</v>
      </c>
      <c r="G2682">
        <f>INDEX(CalLookUpTable,MATCH($B2682,CalLookUpRow,0),MATCH(G$1,CalLookUpColumn,0))</f>
        <v>2019</v>
      </c>
      <c r="H2682">
        <f>INDEX(CalLookUpTable,MATCH($B2682,CalLookUpRow,0),MATCH(H$1,CalLookUpColumn,0))</f>
        <v>7</v>
      </c>
      <c r="I2682">
        <f>INDEX(CalLookUpTable,MATCH($B2682,CalLookUpRow,0),MATCH(I$1,CalLookUpColumn,0))</f>
        <v>2</v>
      </c>
    </row>
    <row r="2683" spans="1:9" x14ac:dyDescent="0.25">
      <c r="A2683" s="7">
        <v>2</v>
      </c>
      <c r="B2683" s="8">
        <v>43654</v>
      </c>
      <c r="C2683" s="9" t="s">
        <v>3</v>
      </c>
      <c r="D2683" s="10">
        <v>0</v>
      </c>
      <c r="E2683" s="10">
        <v>6.6290000000000004</v>
      </c>
      <c r="F2683" t="str">
        <f>VLOOKUP(A2683,StoreLookup,2,FALSE)</f>
        <v>Store#2</v>
      </c>
      <c r="G2683">
        <f>INDEX(CalLookUpTable,MATCH($B2683,CalLookUpRow,0),MATCH(G$1,CalLookUpColumn,0))</f>
        <v>2019</v>
      </c>
      <c r="H2683">
        <f>INDEX(CalLookUpTable,MATCH($B2683,CalLookUpRow,0),MATCH(H$1,CalLookUpColumn,0))</f>
        <v>7</v>
      </c>
      <c r="I2683">
        <f>INDEX(CalLookUpTable,MATCH($B2683,CalLookUpRow,0),MATCH(I$1,CalLookUpColumn,0))</f>
        <v>2</v>
      </c>
    </row>
    <row r="2684" spans="1:9" x14ac:dyDescent="0.25">
      <c r="A2684" s="7">
        <v>2</v>
      </c>
      <c r="B2684" s="8">
        <v>43654</v>
      </c>
      <c r="C2684" s="9" t="s">
        <v>4</v>
      </c>
      <c r="D2684" s="10">
        <v>1500.3309999999999</v>
      </c>
      <c r="E2684" s="10">
        <v>1758.82</v>
      </c>
      <c r="F2684" t="str">
        <f>VLOOKUP(A2684,StoreLookup,2,FALSE)</f>
        <v>Store#2</v>
      </c>
      <c r="G2684">
        <f>INDEX(CalLookUpTable,MATCH($B2684,CalLookUpRow,0),MATCH(G$1,CalLookUpColumn,0))</f>
        <v>2019</v>
      </c>
      <c r="H2684">
        <f>INDEX(CalLookUpTable,MATCH($B2684,CalLookUpRow,0),MATCH(H$1,CalLookUpColumn,0))</f>
        <v>7</v>
      </c>
      <c r="I2684">
        <f>INDEX(CalLookUpTable,MATCH($B2684,CalLookUpRow,0),MATCH(I$1,CalLookUpColumn,0))</f>
        <v>2</v>
      </c>
    </row>
    <row r="2685" spans="1:9" x14ac:dyDescent="0.25">
      <c r="A2685" s="7">
        <v>2</v>
      </c>
      <c r="B2685" s="8">
        <v>43654</v>
      </c>
      <c r="C2685" s="9" t="s">
        <v>5</v>
      </c>
      <c r="D2685" s="10">
        <v>878.98299999999995</v>
      </c>
      <c r="E2685" s="10">
        <v>443.233</v>
      </c>
      <c r="F2685" t="str">
        <f>VLOOKUP(A2685,StoreLookup,2,FALSE)</f>
        <v>Store#2</v>
      </c>
      <c r="G2685">
        <f>INDEX(CalLookUpTable,MATCH($B2685,CalLookUpRow,0),MATCH(G$1,CalLookUpColumn,0))</f>
        <v>2019</v>
      </c>
      <c r="H2685">
        <f>INDEX(CalLookUpTable,MATCH($B2685,CalLookUpRow,0),MATCH(H$1,CalLookUpColumn,0))</f>
        <v>7</v>
      </c>
      <c r="I2685">
        <f>INDEX(CalLookUpTable,MATCH($B2685,CalLookUpRow,0),MATCH(I$1,CalLookUpColumn,0))</f>
        <v>2</v>
      </c>
    </row>
    <row r="2686" spans="1:9" x14ac:dyDescent="0.25">
      <c r="A2686" s="7">
        <v>2</v>
      </c>
      <c r="B2686" s="8">
        <v>43655</v>
      </c>
      <c r="C2686" s="9" t="s">
        <v>4</v>
      </c>
      <c r="D2686" s="10">
        <v>1755.432</v>
      </c>
      <c r="E2686" s="10">
        <v>1823.2339999999997</v>
      </c>
      <c r="F2686" t="str">
        <f>VLOOKUP(A2686,StoreLookup,2,FALSE)</f>
        <v>Store#2</v>
      </c>
      <c r="G2686">
        <f>INDEX(CalLookUpTable,MATCH($B2686,CalLookUpRow,0),MATCH(G$1,CalLookUpColumn,0))</f>
        <v>2019</v>
      </c>
      <c r="H2686">
        <f>INDEX(CalLookUpTable,MATCH($B2686,CalLookUpRow,0),MATCH(H$1,CalLookUpColumn,0))</f>
        <v>7</v>
      </c>
      <c r="I2686">
        <f>INDEX(CalLookUpTable,MATCH($B2686,CalLookUpRow,0),MATCH(I$1,CalLookUpColumn,0))</f>
        <v>2</v>
      </c>
    </row>
    <row r="2687" spans="1:9" x14ac:dyDescent="0.25">
      <c r="A2687" s="7">
        <v>2</v>
      </c>
      <c r="B2687" s="8">
        <v>43655</v>
      </c>
      <c r="C2687" s="9" t="s">
        <v>3</v>
      </c>
      <c r="D2687" s="10">
        <v>0</v>
      </c>
      <c r="E2687" s="10">
        <v>0</v>
      </c>
      <c r="F2687" t="str">
        <f>VLOOKUP(A2687,StoreLookup,2,FALSE)</f>
        <v>Store#2</v>
      </c>
      <c r="G2687">
        <f>INDEX(CalLookUpTable,MATCH($B2687,CalLookUpRow,0),MATCH(G$1,CalLookUpColumn,0))</f>
        <v>2019</v>
      </c>
      <c r="H2687">
        <f>INDEX(CalLookUpTable,MATCH($B2687,CalLookUpRow,0),MATCH(H$1,CalLookUpColumn,0))</f>
        <v>7</v>
      </c>
      <c r="I2687">
        <f>INDEX(CalLookUpTable,MATCH($B2687,CalLookUpRow,0),MATCH(I$1,CalLookUpColumn,0))</f>
        <v>2</v>
      </c>
    </row>
    <row r="2688" spans="1:9" x14ac:dyDescent="0.25">
      <c r="A2688" s="7">
        <v>2</v>
      </c>
      <c r="B2688" s="8">
        <v>43655</v>
      </c>
      <c r="C2688" s="9" t="s">
        <v>5</v>
      </c>
      <c r="D2688" s="10">
        <v>951.447</v>
      </c>
      <c r="E2688" s="10">
        <v>532.76300000000003</v>
      </c>
      <c r="F2688" t="str">
        <f>VLOOKUP(A2688,StoreLookup,2,FALSE)</f>
        <v>Store#2</v>
      </c>
      <c r="G2688">
        <f>INDEX(CalLookUpTable,MATCH($B2688,CalLookUpRow,0),MATCH(G$1,CalLookUpColumn,0))</f>
        <v>2019</v>
      </c>
      <c r="H2688">
        <f>INDEX(CalLookUpTable,MATCH($B2688,CalLookUpRow,0),MATCH(H$1,CalLookUpColumn,0))</f>
        <v>7</v>
      </c>
      <c r="I2688">
        <f>INDEX(CalLookUpTable,MATCH($B2688,CalLookUpRow,0),MATCH(I$1,CalLookUpColumn,0))</f>
        <v>2</v>
      </c>
    </row>
    <row r="2689" spans="1:9" x14ac:dyDescent="0.25">
      <c r="A2689" s="7">
        <v>2</v>
      </c>
      <c r="B2689" s="8">
        <v>43655</v>
      </c>
      <c r="C2689" s="9" t="s">
        <v>6</v>
      </c>
      <c r="D2689" s="10">
        <v>395.59099999999995</v>
      </c>
      <c r="E2689" s="10">
        <v>234.87799999999999</v>
      </c>
      <c r="F2689" t="str">
        <f>VLOOKUP(A2689,StoreLookup,2,FALSE)</f>
        <v>Store#2</v>
      </c>
      <c r="G2689">
        <f>INDEX(CalLookUpTable,MATCH($B2689,CalLookUpRow,0),MATCH(G$1,CalLookUpColumn,0))</f>
        <v>2019</v>
      </c>
      <c r="H2689">
        <f>INDEX(CalLookUpTable,MATCH($B2689,CalLookUpRow,0),MATCH(H$1,CalLookUpColumn,0))</f>
        <v>7</v>
      </c>
      <c r="I2689">
        <f>INDEX(CalLookUpTable,MATCH($B2689,CalLookUpRow,0),MATCH(I$1,CalLookUpColumn,0))</f>
        <v>2</v>
      </c>
    </row>
    <row r="2690" spans="1:9" x14ac:dyDescent="0.25">
      <c r="A2690" s="7">
        <v>2</v>
      </c>
      <c r="B2690" s="8">
        <v>43656</v>
      </c>
      <c r="C2690" s="9" t="s">
        <v>6</v>
      </c>
      <c r="D2690" s="10">
        <v>462.42699999999996</v>
      </c>
      <c r="E2690" s="10">
        <v>195.69899999999998</v>
      </c>
      <c r="F2690" t="str">
        <f>VLOOKUP(A2690,StoreLookup,2,FALSE)</f>
        <v>Store#2</v>
      </c>
      <c r="G2690">
        <f>INDEX(CalLookUpTable,MATCH($B2690,CalLookUpRow,0),MATCH(G$1,CalLookUpColumn,0))</f>
        <v>2019</v>
      </c>
      <c r="H2690">
        <f>INDEX(CalLookUpTable,MATCH($B2690,CalLookUpRow,0),MATCH(H$1,CalLookUpColumn,0))</f>
        <v>7</v>
      </c>
      <c r="I2690">
        <f>INDEX(CalLookUpTable,MATCH($B2690,CalLookUpRow,0),MATCH(I$1,CalLookUpColumn,0))</f>
        <v>2</v>
      </c>
    </row>
    <row r="2691" spans="1:9" x14ac:dyDescent="0.25">
      <c r="A2691" s="7">
        <v>2</v>
      </c>
      <c r="B2691" s="8">
        <v>43656</v>
      </c>
      <c r="C2691" s="9" t="s">
        <v>4</v>
      </c>
      <c r="D2691" s="10">
        <v>1604.5539999999999</v>
      </c>
      <c r="E2691" s="10">
        <v>1968.5889999999999</v>
      </c>
      <c r="F2691" t="str">
        <f>VLOOKUP(A2691,StoreLookup,2,FALSE)</f>
        <v>Store#2</v>
      </c>
      <c r="G2691">
        <f>INDEX(CalLookUpTable,MATCH($B2691,CalLookUpRow,0),MATCH(G$1,CalLookUpColumn,0))</f>
        <v>2019</v>
      </c>
      <c r="H2691">
        <f>INDEX(CalLookUpTable,MATCH($B2691,CalLookUpRow,0),MATCH(H$1,CalLookUpColumn,0))</f>
        <v>7</v>
      </c>
      <c r="I2691">
        <f>INDEX(CalLookUpTable,MATCH($B2691,CalLookUpRow,0),MATCH(I$1,CalLookUpColumn,0))</f>
        <v>2</v>
      </c>
    </row>
    <row r="2692" spans="1:9" x14ac:dyDescent="0.25">
      <c r="A2692" s="7">
        <v>2</v>
      </c>
      <c r="B2692" s="8">
        <v>43656</v>
      </c>
      <c r="C2692" s="9" t="s">
        <v>3</v>
      </c>
      <c r="D2692" s="10">
        <v>0</v>
      </c>
      <c r="E2692" s="10">
        <v>185.01</v>
      </c>
      <c r="F2692" t="str">
        <f>VLOOKUP(A2692,StoreLookup,2,FALSE)</f>
        <v>Store#2</v>
      </c>
      <c r="G2692">
        <f>INDEX(CalLookUpTable,MATCH($B2692,CalLookUpRow,0),MATCH(G$1,CalLookUpColumn,0))</f>
        <v>2019</v>
      </c>
      <c r="H2692">
        <f>INDEX(CalLookUpTable,MATCH($B2692,CalLookUpRow,0),MATCH(H$1,CalLookUpColumn,0))</f>
        <v>7</v>
      </c>
      <c r="I2692">
        <f>INDEX(CalLookUpTable,MATCH($B2692,CalLookUpRow,0),MATCH(I$1,CalLookUpColumn,0))</f>
        <v>2</v>
      </c>
    </row>
    <row r="2693" spans="1:9" x14ac:dyDescent="0.25">
      <c r="A2693" s="7">
        <v>2</v>
      </c>
      <c r="B2693" s="8">
        <v>43656</v>
      </c>
      <c r="C2693" s="9" t="s">
        <v>5</v>
      </c>
      <c r="D2693" s="10">
        <v>1013.4809999999999</v>
      </c>
      <c r="E2693" s="10">
        <v>887.18000000000006</v>
      </c>
      <c r="F2693" t="str">
        <f>VLOOKUP(A2693,StoreLookup,2,FALSE)</f>
        <v>Store#2</v>
      </c>
      <c r="G2693">
        <f>INDEX(CalLookUpTable,MATCH($B2693,CalLookUpRow,0),MATCH(G$1,CalLookUpColumn,0))</f>
        <v>2019</v>
      </c>
      <c r="H2693">
        <f>INDEX(CalLookUpTable,MATCH($B2693,CalLookUpRow,0),MATCH(H$1,CalLookUpColumn,0))</f>
        <v>7</v>
      </c>
      <c r="I2693">
        <f>INDEX(CalLookUpTable,MATCH($B2693,CalLookUpRow,0),MATCH(I$1,CalLookUpColumn,0))</f>
        <v>2</v>
      </c>
    </row>
    <row r="2694" spans="1:9" x14ac:dyDescent="0.25">
      <c r="A2694" s="7">
        <v>2</v>
      </c>
      <c r="B2694" s="8">
        <v>43657</v>
      </c>
      <c r="C2694" s="9" t="s">
        <v>6</v>
      </c>
      <c r="D2694" s="10">
        <v>170.40799999999999</v>
      </c>
      <c r="E2694" s="10">
        <v>409.00999999999993</v>
      </c>
      <c r="F2694" t="str">
        <f>VLOOKUP(A2694,StoreLookup,2,FALSE)</f>
        <v>Store#2</v>
      </c>
      <c r="G2694">
        <f>INDEX(CalLookUpTable,MATCH($B2694,CalLookUpRow,0),MATCH(G$1,CalLookUpColumn,0))</f>
        <v>2019</v>
      </c>
      <c r="H2694">
        <f>INDEX(CalLookUpTable,MATCH($B2694,CalLookUpRow,0),MATCH(H$1,CalLookUpColumn,0))</f>
        <v>7</v>
      </c>
      <c r="I2694">
        <f>INDEX(CalLookUpTable,MATCH($B2694,CalLookUpRow,0),MATCH(I$1,CalLookUpColumn,0))</f>
        <v>2</v>
      </c>
    </row>
    <row r="2695" spans="1:9" x14ac:dyDescent="0.25">
      <c r="A2695" s="7">
        <v>2</v>
      </c>
      <c r="B2695" s="8">
        <v>43657</v>
      </c>
      <c r="C2695" s="9" t="s">
        <v>3</v>
      </c>
      <c r="D2695" s="10">
        <v>0</v>
      </c>
      <c r="E2695" s="10">
        <v>0</v>
      </c>
      <c r="F2695" t="str">
        <f>VLOOKUP(A2695,StoreLookup,2,FALSE)</f>
        <v>Store#2</v>
      </c>
      <c r="G2695">
        <f>INDEX(CalLookUpTable,MATCH($B2695,CalLookUpRow,0),MATCH(G$1,CalLookUpColumn,0))</f>
        <v>2019</v>
      </c>
      <c r="H2695">
        <f>INDEX(CalLookUpTable,MATCH($B2695,CalLookUpRow,0),MATCH(H$1,CalLookUpColumn,0))</f>
        <v>7</v>
      </c>
      <c r="I2695">
        <f>INDEX(CalLookUpTable,MATCH($B2695,CalLookUpRow,0),MATCH(I$1,CalLookUpColumn,0))</f>
        <v>2</v>
      </c>
    </row>
    <row r="2696" spans="1:9" x14ac:dyDescent="0.25">
      <c r="A2696" s="7">
        <v>2</v>
      </c>
      <c r="B2696" s="8">
        <v>43657</v>
      </c>
      <c r="C2696" s="9" t="s">
        <v>4</v>
      </c>
      <c r="D2696" s="10">
        <v>2176.538</v>
      </c>
      <c r="E2696" s="10">
        <v>2353.89</v>
      </c>
      <c r="F2696" t="str">
        <f>VLOOKUP(A2696,StoreLookup,2,FALSE)</f>
        <v>Store#2</v>
      </c>
      <c r="G2696">
        <f>INDEX(CalLookUpTable,MATCH($B2696,CalLookUpRow,0),MATCH(G$1,CalLookUpColumn,0))</f>
        <v>2019</v>
      </c>
      <c r="H2696">
        <f>INDEX(CalLookUpTable,MATCH($B2696,CalLookUpRow,0),MATCH(H$1,CalLookUpColumn,0))</f>
        <v>7</v>
      </c>
      <c r="I2696">
        <f>INDEX(CalLookUpTable,MATCH($B2696,CalLookUpRow,0),MATCH(I$1,CalLookUpColumn,0))</f>
        <v>2</v>
      </c>
    </row>
    <row r="2697" spans="1:9" x14ac:dyDescent="0.25">
      <c r="A2697" s="7">
        <v>2</v>
      </c>
      <c r="B2697" s="8">
        <v>43657</v>
      </c>
      <c r="C2697" s="9" t="s">
        <v>5</v>
      </c>
      <c r="D2697" s="10">
        <v>1107.057</v>
      </c>
      <c r="E2697" s="10">
        <v>751.26799999999992</v>
      </c>
      <c r="F2697" t="str">
        <f>VLOOKUP(A2697,StoreLookup,2,FALSE)</f>
        <v>Store#2</v>
      </c>
      <c r="G2697">
        <f>INDEX(CalLookUpTable,MATCH($B2697,CalLookUpRow,0),MATCH(G$1,CalLookUpColumn,0))</f>
        <v>2019</v>
      </c>
      <c r="H2697">
        <f>INDEX(CalLookUpTable,MATCH($B2697,CalLookUpRow,0),MATCH(H$1,CalLookUpColumn,0))</f>
        <v>7</v>
      </c>
      <c r="I2697">
        <f>INDEX(CalLookUpTable,MATCH($B2697,CalLookUpRow,0),MATCH(I$1,CalLookUpColumn,0))</f>
        <v>2</v>
      </c>
    </row>
    <row r="2698" spans="1:9" x14ac:dyDescent="0.25">
      <c r="A2698" s="7">
        <v>2</v>
      </c>
      <c r="B2698" s="8">
        <v>43658</v>
      </c>
      <c r="C2698" s="9" t="s">
        <v>5</v>
      </c>
      <c r="D2698" s="10">
        <v>1282.54</v>
      </c>
      <c r="E2698" s="10">
        <v>958.73399999999981</v>
      </c>
      <c r="F2698" t="str">
        <f>VLOOKUP(A2698,StoreLookup,2,FALSE)</f>
        <v>Store#2</v>
      </c>
      <c r="G2698">
        <f>INDEX(CalLookUpTable,MATCH($B2698,CalLookUpRow,0),MATCH(G$1,CalLookUpColumn,0))</f>
        <v>2019</v>
      </c>
      <c r="H2698">
        <f>INDEX(CalLookUpTable,MATCH($B2698,CalLookUpRow,0),MATCH(H$1,CalLookUpColumn,0))</f>
        <v>7</v>
      </c>
      <c r="I2698">
        <f>INDEX(CalLookUpTable,MATCH($B2698,CalLookUpRow,0),MATCH(I$1,CalLookUpColumn,0))</f>
        <v>2</v>
      </c>
    </row>
    <row r="2699" spans="1:9" x14ac:dyDescent="0.25">
      <c r="A2699" s="7">
        <v>2</v>
      </c>
      <c r="B2699" s="8">
        <v>43658</v>
      </c>
      <c r="C2699" s="9" t="s">
        <v>3</v>
      </c>
      <c r="D2699" s="10">
        <v>169.45599999999999</v>
      </c>
      <c r="E2699" s="10">
        <v>0</v>
      </c>
      <c r="F2699" t="str">
        <f>VLOOKUP(A2699,StoreLookup,2,FALSE)</f>
        <v>Store#2</v>
      </c>
      <c r="G2699">
        <f>INDEX(CalLookUpTable,MATCH($B2699,CalLookUpRow,0),MATCH(G$1,CalLookUpColumn,0))</f>
        <v>2019</v>
      </c>
      <c r="H2699">
        <f>INDEX(CalLookUpTable,MATCH($B2699,CalLookUpRow,0),MATCH(H$1,CalLookUpColumn,0))</f>
        <v>7</v>
      </c>
      <c r="I2699">
        <f>INDEX(CalLookUpTable,MATCH($B2699,CalLookUpRow,0),MATCH(I$1,CalLookUpColumn,0))</f>
        <v>2</v>
      </c>
    </row>
    <row r="2700" spans="1:9" x14ac:dyDescent="0.25">
      <c r="A2700" s="7">
        <v>2</v>
      </c>
      <c r="B2700" s="8">
        <v>43658</v>
      </c>
      <c r="C2700" s="9" t="s">
        <v>6</v>
      </c>
      <c r="D2700" s="10">
        <v>278.166</v>
      </c>
      <c r="E2700" s="10">
        <v>496.74799999999993</v>
      </c>
      <c r="F2700" t="str">
        <f>VLOOKUP(A2700,StoreLookup,2,FALSE)</f>
        <v>Store#2</v>
      </c>
      <c r="G2700">
        <f>INDEX(CalLookUpTable,MATCH($B2700,CalLookUpRow,0),MATCH(G$1,CalLookUpColumn,0))</f>
        <v>2019</v>
      </c>
      <c r="H2700">
        <f>INDEX(CalLookUpTable,MATCH($B2700,CalLookUpRow,0),MATCH(H$1,CalLookUpColumn,0))</f>
        <v>7</v>
      </c>
      <c r="I2700">
        <f>INDEX(CalLookUpTable,MATCH($B2700,CalLookUpRow,0),MATCH(I$1,CalLookUpColumn,0))</f>
        <v>2</v>
      </c>
    </row>
    <row r="2701" spans="1:9" x14ac:dyDescent="0.25">
      <c r="A2701" s="7">
        <v>2</v>
      </c>
      <c r="B2701" s="8">
        <v>43658</v>
      </c>
      <c r="C2701" s="9" t="s">
        <v>4</v>
      </c>
      <c r="D2701" s="10">
        <v>2694.902</v>
      </c>
      <c r="E2701" s="10">
        <v>3193.2670000000003</v>
      </c>
      <c r="F2701" t="str">
        <f>VLOOKUP(A2701,StoreLookup,2,FALSE)</f>
        <v>Store#2</v>
      </c>
      <c r="G2701">
        <f>INDEX(CalLookUpTable,MATCH($B2701,CalLookUpRow,0),MATCH(G$1,CalLookUpColumn,0))</f>
        <v>2019</v>
      </c>
      <c r="H2701">
        <f>INDEX(CalLookUpTable,MATCH($B2701,CalLookUpRow,0),MATCH(H$1,CalLookUpColumn,0))</f>
        <v>7</v>
      </c>
      <c r="I2701">
        <f>INDEX(CalLookUpTable,MATCH($B2701,CalLookUpRow,0),MATCH(I$1,CalLookUpColumn,0))</f>
        <v>2</v>
      </c>
    </row>
    <row r="2702" spans="1:9" x14ac:dyDescent="0.25">
      <c r="A2702" s="7">
        <v>2</v>
      </c>
      <c r="B2702" s="8">
        <v>43659</v>
      </c>
      <c r="C2702" s="9" t="s">
        <v>4</v>
      </c>
      <c r="D2702" s="10">
        <v>2522.107</v>
      </c>
      <c r="E2702" s="10">
        <v>2512.02</v>
      </c>
      <c r="F2702" t="str">
        <f>VLOOKUP(A2702,StoreLookup,2,FALSE)</f>
        <v>Store#2</v>
      </c>
      <c r="G2702">
        <f>INDEX(CalLookUpTable,MATCH($B2702,CalLookUpRow,0),MATCH(G$1,CalLookUpColumn,0))</f>
        <v>2019</v>
      </c>
      <c r="H2702">
        <f>INDEX(CalLookUpTable,MATCH($B2702,CalLookUpRow,0),MATCH(H$1,CalLookUpColumn,0))</f>
        <v>7</v>
      </c>
      <c r="I2702">
        <f>INDEX(CalLookUpTable,MATCH($B2702,CalLookUpRow,0),MATCH(I$1,CalLookUpColumn,0))</f>
        <v>2</v>
      </c>
    </row>
    <row r="2703" spans="1:9" x14ac:dyDescent="0.25">
      <c r="A2703" s="7">
        <v>2</v>
      </c>
      <c r="B2703" s="8">
        <v>43659</v>
      </c>
      <c r="C2703" s="9" t="s">
        <v>5</v>
      </c>
      <c r="D2703" s="10">
        <v>1230.0609999999999</v>
      </c>
      <c r="E2703" s="10">
        <v>740.22199999999998</v>
      </c>
      <c r="F2703" t="str">
        <f>VLOOKUP(A2703,StoreLookup,2,FALSE)</f>
        <v>Store#2</v>
      </c>
      <c r="G2703">
        <f>INDEX(CalLookUpTable,MATCH($B2703,CalLookUpRow,0),MATCH(G$1,CalLookUpColumn,0))</f>
        <v>2019</v>
      </c>
      <c r="H2703">
        <f>INDEX(CalLookUpTable,MATCH($B2703,CalLookUpRow,0),MATCH(H$1,CalLookUpColumn,0))</f>
        <v>7</v>
      </c>
      <c r="I2703">
        <f>INDEX(CalLookUpTable,MATCH($B2703,CalLookUpRow,0),MATCH(I$1,CalLookUpColumn,0))</f>
        <v>2</v>
      </c>
    </row>
    <row r="2704" spans="1:9" x14ac:dyDescent="0.25">
      <c r="A2704" s="7">
        <v>2</v>
      </c>
      <c r="B2704" s="8">
        <v>43659</v>
      </c>
      <c r="C2704" s="9" t="s">
        <v>6</v>
      </c>
      <c r="D2704" s="10">
        <v>254.77199999999996</v>
      </c>
      <c r="E2704" s="10">
        <v>322.62999999999994</v>
      </c>
      <c r="F2704" t="str">
        <f>VLOOKUP(A2704,StoreLookup,2,FALSE)</f>
        <v>Store#2</v>
      </c>
      <c r="G2704">
        <f>INDEX(CalLookUpTable,MATCH($B2704,CalLookUpRow,0),MATCH(G$1,CalLookUpColumn,0))</f>
        <v>2019</v>
      </c>
      <c r="H2704">
        <f>INDEX(CalLookUpTable,MATCH($B2704,CalLookUpRow,0),MATCH(H$1,CalLookUpColumn,0))</f>
        <v>7</v>
      </c>
      <c r="I2704">
        <f>INDEX(CalLookUpTable,MATCH($B2704,CalLookUpRow,0),MATCH(I$1,CalLookUpColumn,0))</f>
        <v>2</v>
      </c>
    </row>
    <row r="2705" spans="1:9" x14ac:dyDescent="0.25">
      <c r="A2705" s="7">
        <v>2</v>
      </c>
      <c r="B2705" s="8">
        <v>43659</v>
      </c>
      <c r="C2705" s="9" t="s">
        <v>3</v>
      </c>
      <c r="D2705" s="10">
        <v>613.53599999999994</v>
      </c>
      <c r="E2705" s="10">
        <v>403.86500000000001</v>
      </c>
      <c r="F2705" t="str">
        <f>VLOOKUP(A2705,StoreLookup,2,FALSE)</f>
        <v>Store#2</v>
      </c>
      <c r="G2705">
        <f>INDEX(CalLookUpTable,MATCH($B2705,CalLookUpRow,0),MATCH(G$1,CalLookUpColumn,0))</f>
        <v>2019</v>
      </c>
      <c r="H2705">
        <f>INDEX(CalLookUpTable,MATCH($B2705,CalLookUpRow,0),MATCH(H$1,CalLookUpColumn,0))</f>
        <v>7</v>
      </c>
      <c r="I2705">
        <f>INDEX(CalLookUpTable,MATCH($B2705,CalLookUpRow,0),MATCH(I$1,CalLookUpColumn,0))</f>
        <v>2</v>
      </c>
    </row>
    <row r="2706" spans="1:9" x14ac:dyDescent="0.25">
      <c r="A2706" s="7">
        <v>2</v>
      </c>
      <c r="B2706" s="8">
        <v>43660</v>
      </c>
      <c r="C2706" s="9" t="s">
        <v>5</v>
      </c>
      <c r="D2706" s="10">
        <v>699.25099999999998</v>
      </c>
      <c r="E2706" s="10">
        <v>465.66799999999995</v>
      </c>
      <c r="F2706" t="str">
        <f>VLOOKUP(A2706,StoreLookup,2,FALSE)</f>
        <v>Store#2</v>
      </c>
      <c r="G2706">
        <f>INDEX(CalLookUpTable,MATCH($B2706,CalLookUpRow,0),MATCH(G$1,CalLookUpColumn,0))</f>
        <v>2019</v>
      </c>
      <c r="H2706">
        <f>INDEX(CalLookUpTable,MATCH($B2706,CalLookUpRow,0),MATCH(H$1,CalLookUpColumn,0))</f>
        <v>7</v>
      </c>
      <c r="I2706">
        <f>INDEX(CalLookUpTable,MATCH($B2706,CalLookUpRow,0),MATCH(I$1,CalLookUpColumn,0))</f>
        <v>2</v>
      </c>
    </row>
    <row r="2707" spans="1:9" x14ac:dyDescent="0.25">
      <c r="A2707" s="7">
        <v>2</v>
      </c>
      <c r="B2707" s="8">
        <v>43660</v>
      </c>
      <c r="C2707" s="9" t="s">
        <v>6</v>
      </c>
      <c r="D2707" s="10">
        <v>185.27599999999998</v>
      </c>
      <c r="E2707" s="10">
        <v>237.87399999999997</v>
      </c>
      <c r="F2707" t="str">
        <f>VLOOKUP(A2707,StoreLookup,2,FALSE)</f>
        <v>Store#2</v>
      </c>
      <c r="G2707">
        <f>INDEX(CalLookUpTable,MATCH($B2707,CalLookUpRow,0),MATCH(G$1,CalLookUpColumn,0))</f>
        <v>2019</v>
      </c>
      <c r="H2707">
        <f>INDEX(CalLookUpTable,MATCH($B2707,CalLookUpRow,0),MATCH(H$1,CalLookUpColumn,0))</f>
        <v>7</v>
      </c>
      <c r="I2707">
        <f>INDEX(CalLookUpTable,MATCH($B2707,CalLookUpRow,0),MATCH(I$1,CalLookUpColumn,0))</f>
        <v>2</v>
      </c>
    </row>
    <row r="2708" spans="1:9" x14ac:dyDescent="0.25">
      <c r="A2708" s="7">
        <v>2</v>
      </c>
      <c r="B2708" s="8">
        <v>43660</v>
      </c>
      <c r="C2708" s="9" t="s">
        <v>4</v>
      </c>
      <c r="D2708" s="10">
        <v>1123.1989999999998</v>
      </c>
      <c r="E2708" s="10">
        <v>1235.8709999999999</v>
      </c>
      <c r="F2708" t="str">
        <f>VLOOKUP(A2708,StoreLookup,2,FALSE)</f>
        <v>Store#2</v>
      </c>
      <c r="G2708">
        <f>INDEX(CalLookUpTable,MATCH($B2708,CalLookUpRow,0),MATCH(G$1,CalLookUpColumn,0))</f>
        <v>2019</v>
      </c>
      <c r="H2708">
        <f>INDEX(CalLookUpTable,MATCH($B2708,CalLookUpRow,0),MATCH(H$1,CalLookUpColumn,0))</f>
        <v>7</v>
      </c>
      <c r="I2708">
        <f>INDEX(CalLookUpTable,MATCH($B2708,CalLookUpRow,0),MATCH(I$1,CalLookUpColumn,0))</f>
        <v>2</v>
      </c>
    </row>
    <row r="2709" spans="1:9" x14ac:dyDescent="0.25">
      <c r="A2709" s="7">
        <v>2</v>
      </c>
      <c r="B2709" s="8">
        <v>43660</v>
      </c>
      <c r="C2709" s="9" t="s">
        <v>3</v>
      </c>
      <c r="D2709" s="10">
        <v>412.35599999999999</v>
      </c>
      <c r="E2709" s="10">
        <v>0</v>
      </c>
      <c r="F2709" t="str">
        <f>VLOOKUP(A2709,StoreLookup,2,FALSE)</f>
        <v>Store#2</v>
      </c>
      <c r="G2709">
        <f>INDEX(CalLookUpTable,MATCH($B2709,CalLookUpRow,0),MATCH(G$1,CalLookUpColumn,0))</f>
        <v>2019</v>
      </c>
      <c r="H2709">
        <f>INDEX(CalLookUpTable,MATCH($B2709,CalLookUpRow,0),MATCH(H$1,CalLookUpColumn,0))</f>
        <v>7</v>
      </c>
      <c r="I2709">
        <f>INDEX(CalLookUpTable,MATCH($B2709,CalLookUpRow,0),MATCH(I$1,CalLookUpColumn,0))</f>
        <v>2</v>
      </c>
    </row>
    <row r="2710" spans="1:9" x14ac:dyDescent="0.25">
      <c r="A2710" s="7">
        <v>2</v>
      </c>
      <c r="B2710" s="8">
        <v>43661</v>
      </c>
      <c r="C2710" s="9" t="s">
        <v>4</v>
      </c>
      <c r="D2710" s="10">
        <v>1492.925</v>
      </c>
      <c r="E2710" s="10">
        <v>1963.2199999999998</v>
      </c>
      <c r="F2710" t="str">
        <f>VLOOKUP(A2710,StoreLookup,2,FALSE)</f>
        <v>Store#2</v>
      </c>
      <c r="G2710">
        <f>INDEX(CalLookUpTable,MATCH($B2710,CalLookUpRow,0),MATCH(G$1,CalLookUpColumn,0))</f>
        <v>2019</v>
      </c>
      <c r="H2710">
        <f>INDEX(CalLookUpTable,MATCH($B2710,CalLookUpRow,0),MATCH(H$1,CalLookUpColumn,0))</f>
        <v>7</v>
      </c>
      <c r="I2710">
        <f>INDEX(CalLookUpTable,MATCH($B2710,CalLookUpRow,0),MATCH(I$1,CalLookUpColumn,0))</f>
        <v>3</v>
      </c>
    </row>
    <row r="2711" spans="1:9" x14ac:dyDescent="0.25">
      <c r="A2711" s="7">
        <v>2</v>
      </c>
      <c r="B2711" s="8">
        <v>43661</v>
      </c>
      <c r="C2711" s="9" t="s">
        <v>3</v>
      </c>
      <c r="D2711" s="10">
        <v>0</v>
      </c>
      <c r="E2711" s="10">
        <v>0</v>
      </c>
      <c r="F2711" t="str">
        <f>VLOOKUP(A2711,StoreLookup,2,FALSE)</f>
        <v>Store#2</v>
      </c>
      <c r="G2711">
        <f>INDEX(CalLookUpTable,MATCH($B2711,CalLookUpRow,0),MATCH(G$1,CalLookUpColumn,0))</f>
        <v>2019</v>
      </c>
      <c r="H2711">
        <f>INDEX(CalLookUpTable,MATCH($B2711,CalLookUpRow,0),MATCH(H$1,CalLookUpColumn,0))</f>
        <v>7</v>
      </c>
      <c r="I2711">
        <f>INDEX(CalLookUpTable,MATCH($B2711,CalLookUpRow,0),MATCH(I$1,CalLookUpColumn,0))</f>
        <v>3</v>
      </c>
    </row>
    <row r="2712" spans="1:9" x14ac:dyDescent="0.25">
      <c r="A2712" s="7">
        <v>2</v>
      </c>
      <c r="B2712" s="8">
        <v>43661</v>
      </c>
      <c r="C2712" s="9" t="s">
        <v>6</v>
      </c>
      <c r="D2712" s="10">
        <v>134.113</v>
      </c>
      <c r="E2712" s="10">
        <v>217.68600000000001</v>
      </c>
      <c r="F2712" t="str">
        <f>VLOOKUP(A2712,StoreLookup,2,FALSE)</f>
        <v>Store#2</v>
      </c>
      <c r="G2712">
        <f>INDEX(CalLookUpTable,MATCH($B2712,CalLookUpRow,0),MATCH(G$1,CalLookUpColumn,0))</f>
        <v>2019</v>
      </c>
      <c r="H2712">
        <f>INDEX(CalLookUpTable,MATCH($B2712,CalLookUpRow,0),MATCH(H$1,CalLookUpColumn,0))</f>
        <v>7</v>
      </c>
      <c r="I2712">
        <f>INDEX(CalLookUpTable,MATCH($B2712,CalLookUpRow,0),MATCH(I$1,CalLookUpColumn,0))</f>
        <v>3</v>
      </c>
    </row>
    <row r="2713" spans="1:9" x14ac:dyDescent="0.25">
      <c r="A2713" s="7">
        <v>2</v>
      </c>
      <c r="B2713" s="8">
        <v>43661</v>
      </c>
      <c r="C2713" s="9" t="s">
        <v>5</v>
      </c>
      <c r="D2713" s="10">
        <v>940.81399999999996</v>
      </c>
      <c r="E2713" s="10">
        <v>712.01899999999989</v>
      </c>
      <c r="F2713" t="str">
        <f>VLOOKUP(A2713,StoreLookup,2,FALSE)</f>
        <v>Store#2</v>
      </c>
      <c r="G2713">
        <f>INDEX(CalLookUpTable,MATCH($B2713,CalLookUpRow,0),MATCH(G$1,CalLookUpColumn,0))</f>
        <v>2019</v>
      </c>
      <c r="H2713">
        <f>INDEX(CalLookUpTable,MATCH($B2713,CalLookUpRow,0),MATCH(H$1,CalLookUpColumn,0))</f>
        <v>7</v>
      </c>
      <c r="I2713">
        <f>INDEX(CalLookUpTable,MATCH($B2713,CalLookUpRow,0),MATCH(I$1,CalLookUpColumn,0))</f>
        <v>3</v>
      </c>
    </row>
    <row r="2714" spans="1:9" x14ac:dyDescent="0.25">
      <c r="A2714" s="7">
        <v>2</v>
      </c>
      <c r="B2714" s="8">
        <v>43662</v>
      </c>
      <c r="C2714" s="9" t="s">
        <v>4</v>
      </c>
      <c r="D2714" s="10">
        <v>1700.3210000000001</v>
      </c>
      <c r="E2714" s="10">
        <v>1900.171</v>
      </c>
      <c r="F2714" t="str">
        <f>VLOOKUP(A2714,StoreLookup,2,FALSE)</f>
        <v>Store#2</v>
      </c>
      <c r="G2714">
        <f>INDEX(CalLookUpTable,MATCH($B2714,CalLookUpRow,0),MATCH(G$1,CalLookUpColumn,0))</f>
        <v>2019</v>
      </c>
      <c r="H2714">
        <f>INDEX(CalLookUpTable,MATCH($B2714,CalLookUpRow,0),MATCH(H$1,CalLookUpColumn,0))</f>
        <v>7</v>
      </c>
      <c r="I2714">
        <f>INDEX(CalLookUpTable,MATCH($B2714,CalLookUpRow,0),MATCH(I$1,CalLookUpColumn,0))</f>
        <v>3</v>
      </c>
    </row>
    <row r="2715" spans="1:9" x14ac:dyDescent="0.25">
      <c r="A2715" s="7">
        <v>2</v>
      </c>
      <c r="B2715" s="8">
        <v>43662</v>
      </c>
      <c r="C2715" s="9" t="s">
        <v>6</v>
      </c>
      <c r="D2715" s="10">
        <v>369.62799999999993</v>
      </c>
      <c r="E2715" s="10">
        <v>263.90699999999998</v>
      </c>
      <c r="F2715" t="str">
        <f>VLOOKUP(A2715,StoreLookup,2,FALSE)</f>
        <v>Store#2</v>
      </c>
      <c r="G2715">
        <f>INDEX(CalLookUpTable,MATCH($B2715,CalLookUpRow,0),MATCH(G$1,CalLookUpColumn,0))</f>
        <v>2019</v>
      </c>
      <c r="H2715">
        <f>INDEX(CalLookUpTable,MATCH($B2715,CalLookUpRow,0),MATCH(H$1,CalLookUpColumn,0))</f>
        <v>7</v>
      </c>
      <c r="I2715">
        <f>INDEX(CalLookUpTable,MATCH($B2715,CalLookUpRow,0),MATCH(I$1,CalLookUpColumn,0))</f>
        <v>3</v>
      </c>
    </row>
    <row r="2716" spans="1:9" x14ac:dyDescent="0.25">
      <c r="A2716" s="7">
        <v>2</v>
      </c>
      <c r="B2716" s="8">
        <v>43662</v>
      </c>
      <c r="C2716" s="9" t="s">
        <v>3</v>
      </c>
      <c r="D2716" s="10">
        <v>0</v>
      </c>
      <c r="E2716" s="10">
        <v>15.875999999999999</v>
      </c>
      <c r="F2716" t="str">
        <f>VLOOKUP(A2716,StoreLookup,2,FALSE)</f>
        <v>Store#2</v>
      </c>
      <c r="G2716">
        <f>INDEX(CalLookUpTable,MATCH($B2716,CalLookUpRow,0),MATCH(G$1,CalLookUpColumn,0))</f>
        <v>2019</v>
      </c>
      <c r="H2716">
        <f>INDEX(CalLookUpTable,MATCH($B2716,CalLookUpRow,0),MATCH(H$1,CalLookUpColumn,0))</f>
        <v>7</v>
      </c>
      <c r="I2716">
        <f>INDEX(CalLookUpTable,MATCH($B2716,CalLookUpRow,0),MATCH(I$1,CalLookUpColumn,0))</f>
        <v>3</v>
      </c>
    </row>
    <row r="2717" spans="1:9" x14ac:dyDescent="0.25">
      <c r="A2717" s="7">
        <v>2</v>
      </c>
      <c r="B2717" s="8">
        <v>43662</v>
      </c>
      <c r="C2717" s="9" t="s">
        <v>5</v>
      </c>
      <c r="D2717" s="10">
        <v>1075.9769999999999</v>
      </c>
      <c r="E2717" s="10">
        <v>595.23799999999994</v>
      </c>
      <c r="F2717" t="str">
        <f>VLOOKUP(A2717,StoreLookup,2,FALSE)</f>
        <v>Store#2</v>
      </c>
      <c r="G2717">
        <f>INDEX(CalLookUpTable,MATCH($B2717,CalLookUpRow,0),MATCH(G$1,CalLookUpColumn,0))</f>
        <v>2019</v>
      </c>
      <c r="H2717">
        <f>INDEX(CalLookUpTable,MATCH($B2717,CalLookUpRow,0),MATCH(H$1,CalLookUpColumn,0))</f>
        <v>7</v>
      </c>
      <c r="I2717">
        <f>INDEX(CalLookUpTable,MATCH($B2717,CalLookUpRow,0),MATCH(I$1,CalLookUpColumn,0))</f>
        <v>3</v>
      </c>
    </row>
    <row r="2718" spans="1:9" x14ac:dyDescent="0.25">
      <c r="A2718" s="7">
        <v>2</v>
      </c>
      <c r="B2718" s="8">
        <v>43663</v>
      </c>
      <c r="C2718" s="9" t="s">
        <v>4</v>
      </c>
      <c r="D2718" s="10">
        <v>1689.191</v>
      </c>
      <c r="E2718" s="10">
        <v>1559.271</v>
      </c>
      <c r="F2718" t="str">
        <f>VLOOKUP(A2718,StoreLookup,2,FALSE)</f>
        <v>Store#2</v>
      </c>
      <c r="G2718">
        <f>INDEX(CalLookUpTable,MATCH($B2718,CalLookUpRow,0),MATCH(G$1,CalLookUpColumn,0))</f>
        <v>2019</v>
      </c>
      <c r="H2718">
        <f>INDEX(CalLookUpTable,MATCH($B2718,CalLookUpRow,0),MATCH(H$1,CalLookUpColumn,0))</f>
        <v>7</v>
      </c>
      <c r="I2718">
        <f>INDEX(CalLookUpTable,MATCH($B2718,CalLookUpRow,0),MATCH(I$1,CalLookUpColumn,0))</f>
        <v>3</v>
      </c>
    </row>
    <row r="2719" spans="1:9" x14ac:dyDescent="0.25">
      <c r="A2719" s="7">
        <v>2</v>
      </c>
      <c r="B2719" s="8">
        <v>43663</v>
      </c>
      <c r="C2719" s="9" t="s">
        <v>6</v>
      </c>
      <c r="D2719" s="10">
        <v>215.87299999999999</v>
      </c>
      <c r="E2719" s="10">
        <v>372.274</v>
      </c>
      <c r="F2719" t="str">
        <f>VLOOKUP(A2719,StoreLookup,2,FALSE)</f>
        <v>Store#2</v>
      </c>
      <c r="G2719">
        <f>INDEX(CalLookUpTable,MATCH($B2719,CalLookUpRow,0),MATCH(G$1,CalLookUpColumn,0))</f>
        <v>2019</v>
      </c>
      <c r="H2719">
        <f>INDEX(CalLookUpTable,MATCH($B2719,CalLookUpRow,0),MATCH(H$1,CalLookUpColumn,0))</f>
        <v>7</v>
      </c>
      <c r="I2719">
        <f>INDEX(CalLookUpTable,MATCH($B2719,CalLookUpRow,0),MATCH(I$1,CalLookUpColumn,0))</f>
        <v>3</v>
      </c>
    </row>
    <row r="2720" spans="1:9" x14ac:dyDescent="0.25">
      <c r="A2720" s="7">
        <v>2</v>
      </c>
      <c r="B2720" s="8">
        <v>43663</v>
      </c>
      <c r="C2720" s="9" t="s">
        <v>3</v>
      </c>
      <c r="D2720" s="10">
        <v>230.79699999999997</v>
      </c>
      <c r="E2720" s="10">
        <v>275.40100000000001</v>
      </c>
      <c r="F2720" t="str">
        <f>VLOOKUP(A2720,StoreLookup,2,FALSE)</f>
        <v>Store#2</v>
      </c>
      <c r="G2720">
        <f>INDEX(CalLookUpTable,MATCH($B2720,CalLookUpRow,0),MATCH(G$1,CalLookUpColumn,0))</f>
        <v>2019</v>
      </c>
      <c r="H2720">
        <f>INDEX(CalLookUpTable,MATCH($B2720,CalLookUpRow,0),MATCH(H$1,CalLookUpColumn,0))</f>
        <v>7</v>
      </c>
      <c r="I2720">
        <f>INDEX(CalLookUpTable,MATCH($B2720,CalLookUpRow,0),MATCH(I$1,CalLookUpColumn,0))</f>
        <v>3</v>
      </c>
    </row>
    <row r="2721" spans="1:9" x14ac:dyDescent="0.25">
      <c r="A2721" s="7">
        <v>2</v>
      </c>
      <c r="B2721" s="8">
        <v>43663</v>
      </c>
      <c r="C2721" s="9" t="s">
        <v>5</v>
      </c>
      <c r="D2721" s="10">
        <v>1018.0939999999999</v>
      </c>
      <c r="E2721" s="10">
        <v>707.06999999999994</v>
      </c>
      <c r="F2721" t="str">
        <f>VLOOKUP(A2721,StoreLookup,2,FALSE)</f>
        <v>Store#2</v>
      </c>
      <c r="G2721">
        <f>INDEX(CalLookUpTable,MATCH($B2721,CalLookUpRow,0),MATCH(G$1,CalLookUpColumn,0))</f>
        <v>2019</v>
      </c>
      <c r="H2721">
        <f>INDEX(CalLookUpTable,MATCH($B2721,CalLookUpRow,0),MATCH(H$1,CalLookUpColumn,0))</f>
        <v>7</v>
      </c>
      <c r="I2721">
        <f>INDEX(CalLookUpTable,MATCH($B2721,CalLookUpRow,0),MATCH(I$1,CalLookUpColumn,0))</f>
        <v>3</v>
      </c>
    </row>
    <row r="2722" spans="1:9" x14ac:dyDescent="0.25">
      <c r="A2722" s="7">
        <v>2</v>
      </c>
      <c r="B2722" s="8">
        <v>43664</v>
      </c>
      <c r="C2722" s="9" t="s">
        <v>4</v>
      </c>
      <c r="D2722" s="10">
        <v>1839.607</v>
      </c>
      <c r="E2722" s="10">
        <v>2278.4299999999998</v>
      </c>
      <c r="F2722" t="str">
        <f>VLOOKUP(A2722,StoreLookup,2,FALSE)</f>
        <v>Store#2</v>
      </c>
      <c r="G2722">
        <f>INDEX(CalLookUpTable,MATCH($B2722,CalLookUpRow,0),MATCH(G$1,CalLookUpColumn,0))</f>
        <v>2019</v>
      </c>
      <c r="H2722">
        <f>INDEX(CalLookUpTable,MATCH($B2722,CalLookUpRow,0),MATCH(H$1,CalLookUpColumn,0))</f>
        <v>7</v>
      </c>
      <c r="I2722">
        <f>INDEX(CalLookUpTable,MATCH($B2722,CalLookUpRow,0),MATCH(I$1,CalLookUpColumn,0))</f>
        <v>3</v>
      </c>
    </row>
    <row r="2723" spans="1:9" x14ac:dyDescent="0.25">
      <c r="A2723" s="7">
        <v>2</v>
      </c>
      <c r="B2723" s="8">
        <v>43664</v>
      </c>
      <c r="C2723" s="9" t="s">
        <v>6</v>
      </c>
      <c r="D2723" s="10">
        <v>250.89400000000001</v>
      </c>
      <c r="E2723" s="10">
        <v>417.75999999999993</v>
      </c>
      <c r="F2723" t="str">
        <f>VLOOKUP(A2723,StoreLookup,2,FALSE)</f>
        <v>Store#2</v>
      </c>
      <c r="G2723">
        <f>INDEX(CalLookUpTable,MATCH($B2723,CalLookUpRow,0),MATCH(G$1,CalLookUpColumn,0))</f>
        <v>2019</v>
      </c>
      <c r="H2723">
        <f>INDEX(CalLookUpTable,MATCH($B2723,CalLookUpRow,0),MATCH(H$1,CalLookUpColumn,0))</f>
        <v>7</v>
      </c>
      <c r="I2723">
        <f>INDEX(CalLookUpTable,MATCH($B2723,CalLookUpRow,0),MATCH(I$1,CalLookUpColumn,0))</f>
        <v>3</v>
      </c>
    </row>
    <row r="2724" spans="1:9" x14ac:dyDescent="0.25">
      <c r="A2724" s="7">
        <v>2</v>
      </c>
      <c r="B2724" s="8">
        <v>43664</v>
      </c>
      <c r="C2724" s="9" t="s">
        <v>3</v>
      </c>
      <c r="D2724" s="10">
        <v>0</v>
      </c>
      <c r="E2724" s="10">
        <v>19.012</v>
      </c>
      <c r="F2724" t="str">
        <f>VLOOKUP(A2724,StoreLookup,2,FALSE)</f>
        <v>Store#2</v>
      </c>
      <c r="G2724">
        <f>INDEX(CalLookUpTable,MATCH($B2724,CalLookUpRow,0),MATCH(G$1,CalLookUpColumn,0))</f>
        <v>2019</v>
      </c>
      <c r="H2724">
        <f>INDEX(CalLookUpTable,MATCH($B2724,CalLookUpRow,0),MATCH(H$1,CalLookUpColumn,0))</f>
        <v>7</v>
      </c>
      <c r="I2724">
        <f>INDEX(CalLookUpTable,MATCH($B2724,CalLookUpRow,0),MATCH(I$1,CalLookUpColumn,0))</f>
        <v>3</v>
      </c>
    </row>
    <row r="2725" spans="1:9" x14ac:dyDescent="0.25">
      <c r="A2725" s="7">
        <v>2</v>
      </c>
      <c r="B2725" s="8">
        <v>43664</v>
      </c>
      <c r="C2725" s="9" t="s">
        <v>5</v>
      </c>
      <c r="D2725" s="10">
        <v>1127.847</v>
      </c>
      <c r="E2725" s="10">
        <v>780.14299999999992</v>
      </c>
      <c r="F2725" t="str">
        <f>VLOOKUP(A2725,StoreLookup,2,FALSE)</f>
        <v>Store#2</v>
      </c>
      <c r="G2725">
        <f>INDEX(CalLookUpTable,MATCH($B2725,CalLookUpRow,0),MATCH(G$1,CalLookUpColumn,0))</f>
        <v>2019</v>
      </c>
      <c r="H2725">
        <f>INDEX(CalLookUpTable,MATCH($B2725,CalLookUpRow,0),MATCH(H$1,CalLookUpColumn,0))</f>
        <v>7</v>
      </c>
      <c r="I2725">
        <f>INDEX(CalLookUpTable,MATCH($B2725,CalLookUpRow,0),MATCH(I$1,CalLookUpColumn,0))</f>
        <v>3</v>
      </c>
    </row>
    <row r="2726" spans="1:9" x14ac:dyDescent="0.25">
      <c r="A2726" s="7">
        <v>2</v>
      </c>
      <c r="B2726" s="8">
        <v>43665</v>
      </c>
      <c r="C2726" s="9" t="s">
        <v>5</v>
      </c>
      <c r="D2726" s="10">
        <v>1046.78</v>
      </c>
      <c r="E2726" s="10">
        <v>823.79499999999985</v>
      </c>
      <c r="F2726" t="str">
        <f>VLOOKUP(A2726,StoreLookup,2,FALSE)</f>
        <v>Store#2</v>
      </c>
      <c r="G2726">
        <f>INDEX(CalLookUpTable,MATCH($B2726,CalLookUpRow,0),MATCH(G$1,CalLookUpColumn,0))</f>
        <v>2019</v>
      </c>
      <c r="H2726">
        <f>INDEX(CalLookUpTable,MATCH($B2726,CalLookUpRow,0),MATCH(H$1,CalLookUpColumn,0))</f>
        <v>7</v>
      </c>
      <c r="I2726">
        <f>INDEX(CalLookUpTable,MATCH($B2726,CalLookUpRow,0),MATCH(I$1,CalLookUpColumn,0))</f>
        <v>3</v>
      </c>
    </row>
    <row r="2727" spans="1:9" x14ac:dyDescent="0.25">
      <c r="A2727" s="7">
        <v>2</v>
      </c>
      <c r="B2727" s="8">
        <v>43665</v>
      </c>
      <c r="C2727" s="9" t="s">
        <v>4</v>
      </c>
      <c r="D2727" s="10">
        <v>2249.5409999999997</v>
      </c>
      <c r="E2727" s="10">
        <v>2719.5630000000001</v>
      </c>
      <c r="F2727" t="str">
        <f>VLOOKUP(A2727,StoreLookup,2,FALSE)</f>
        <v>Store#2</v>
      </c>
      <c r="G2727">
        <f>INDEX(CalLookUpTable,MATCH($B2727,CalLookUpRow,0),MATCH(G$1,CalLookUpColumn,0))</f>
        <v>2019</v>
      </c>
      <c r="H2727">
        <f>INDEX(CalLookUpTable,MATCH($B2727,CalLookUpRow,0),MATCH(H$1,CalLookUpColumn,0))</f>
        <v>7</v>
      </c>
      <c r="I2727">
        <f>INDEX(CalLookUpTable,MATCH($B2727,CalLookUpRow,0),MATCH(I$1,CalLookUpColumn,0))</f>
        <v>3</v>
      </c>
    </row>
    <row r="2728" spans="1:9" x14ac:dyDescent="0.25">
      <c r="A2728" s="7">
        <v>2</v>
      </c>
      <c r="B2728" s="8">
        <v>43665</v>
      </c>
      <c r="C2728" s="9" t="s">
        <v>6</v>
      </c>
      <c r="D2728" s="10">
        <v>557.80200000000002</v>
      </c>
      <c r="E2728" s="10">
        <v>359.73699999999997</v>
      </c>
      <c r="F2728" t="str">
        <f>VLOOKUP(A2728,StoreLookup,2,FALSE)</f>
        <v>Store#2</v>
      </c>
      <c r="G2728">
        <f>INDEX(CalLookUpTable,MATCH($B2728,CalLookUpRow,0),MATCH(G$1,CalLookUpColumn,0))</f>
        <v>2019</v>
      </c>
      <c r="H2728">
        <f>INDEX(CalLookUpTable,MATCH($B2728,CalLookUpRow,0),MATCH(H$1,CalLookUpColumn,0))</f>
        <v>7</v>
      </c>
      <c r="I2728">
        <f>INDEX(CalLookUpTable,MATCH($B2728,CalLookUpRow,0),MATCH(I$1,CalLookUpColumn,0))</f>
        <v>3</v>
      </c>
    </row>
    <row r="2729" spans="1:9" x14ac:dyDescent="0.25">
      <c r="A2729" s="7">
        <v>2</v>
      </c>
      <c r="B2729" s="8">
        <v>43665</v>
      </c>
      <c r="C2729" s="9" t="s">
        <v>3</v>
      </c>
      <c r="D2729" s="10">
        <v>0</v>
      </c>
      <c r="E2729" s="10">
        <v>236.55799999999999</v>
      </c>
      <c r="F2729" t="str">
        <f>VLOOKUP(A2729,StoreLookup,2,FALSE)</f>
        <v>Store#2</v>
      </c>
      <c r="G2729">
        <f>INDEX(CalLookUpTable,MATCH($B2729,CalLookUpRow,0),MATCH(G$1,CalLookUpColumn,0))</f>
        <v>2019</v>
      </c>
      <c r="H2729">
        <f>INDEX(CalLookUpTable,MATCH($B2729,CalLookUpRow,0),MATCH(H$1,CalLookUpColumn,0))</f>
        <v>7</v>
      </c>
      <c r="I2729">
        <f>INDEX(CalLookUpTable,MATCH($B2729,CalLookUpRow,0),MATCH(I$1,CalLookUpColumn,0))</f>
        <v>3</v>
      </c>
    </row>
    <row r="2730" spans="1:9" x14ac:dyDescent="0.25">
      <c r="A2730" s="7">
        <v>2</v>
      </c>
      <c r="B2730" s="8">
        <v>43666</v>
      </c>
      <c r="C2730" s="9" t="s">
        <v>4</v>
      </c>
      <c r="D2730" s="10">
        <v>1933.5539999999996</v>
      </c>
      <c r="E2730" s="10">
        <v>2387.3429999999998</v>
      </c>
      <c r="F2730" t="str">
        <f>VLOOKUP(A2730,StoreLookup,2,FALSE)</f>
        <v>Store#2</v>
      </c>
      <c r="G2730">
        <f>INDEX(CalLookUpTable,MATCH($B2730,CalLookUpRow,0),MATCH(G$1,CalLookUpColumn,0))</f>
        <v>2019</v>
      </c>
      <c r="H2730">
        <f>INDEX(CalLookUpTable,MATCH($B2730,CalLookUpRow,0),MATCH(H$1,CalLookUpColumn,0))</f>
        <v>7</v>
      </c>
      <c r="I2730">
        <f>INDEX(CalLookUpTable,MATCH($B2730,CalLookUpRow,0),MATCH(I$1,CalLookUpColumn,0))</f>
        <v>3</v>
      </c>
    </row>
    <row r="2731" spans="1:9" x14ac:dyDescent="0.25">
      <c r="A2731" s="7">
        <v>2</v>
      </c>
      <c r="B2731" s="8">
        <v>43666</v>
      </c>
      <c r="C2731" s="9" t="s">
        <v>3</v>
      </c>
      <c r="D2731" s="10">
        <v>0</v>
      </c>
      <c r="E2731" s="10">
        <v>0</v>
      </c>
      <c r="F2731" t="str">
        <f>VLOOKUP(A2731,StoreLookup,2,FALSE)</f>
        <v>Store#2</v>
      </c>
      <c r="G2731">
        <f>INDEX(CalLookUpTable,MATCH($B2731,CalLookUpRow,0),MATCH(G$1,CalLookUpColumn,0))</f>
        <v>2019</v>
      </c>
      <c r="H2731">
        <f>INDEX(CalLookUpTable,MATCH($B2731,CalLookUpRow,0),MATCH(H$1,CalLookUpColumn,0))</f>
        <v>7</v>
      </c>
      <c r="I2731">
        <f>INDEX(CalLookUpTable,MATCH($B2731,CalLookUpRow,0),MATCH(I$1,CalLookUpColumn,0))</f>
        <v>3</v>
      </c>
    </row>
    <row r="2732" spans="1:9" x14ac:dyDescent="0.25">
      <c r="A2732" s="7">
        <v>2</v>
      </c>
      <c r="B2732" s="8">
        <v>43666</v>
      </c>
      <c r="C2732" s="9" t="s">
        <v>6</v>
      </c>
      <c r="D2732" s="10">
        <v>340.70400000000001</v>
      </c>
      <c r="E2732" s="10">
        <v>447.01299999999998</v>
      </c>
      <c r="F2732" t="str">
        <f>VLOOKUP(A2732,StoreLookup,2,FALSE)</f>
        <v>Store#2</v>
      </c>
      <c r="G2732">
        <f>INDEX(CalLookUpTable,MATCH($B2732,CalLookUpRow,0),MATCH(G$1,CalLookUpColumn,0))</f>
        <v>2019</v>
      </c>
      <c r="H2732">
        <f>INDEX(CalLookUpTable,MATCH($B2732,CalLookUpRow,0),MATCH(H$1,CalLookUpColumn,0))</f>
        <v>7</v>
      </c>
      <c r="I2732">
        <f>INDEX(CalLookUpTable,MATCH($B2732,CalLookUpRow,0),MATCH(I$1,CalLookUpColumn,0))</f>
        <v>3</v>
      </c>
    </row>
    <row r="2733" spans="1:9" x14ac:dyDescent="0.25">
      <c r="A2733" s="7">
        <v>2</v>
      </c>
      <c r="B2733" s="8">
        <v>43666</v>
      </c>
      <c r="C2733" s="9" t="s">
        <v>5</v>
      </c>
      <c r="D2733" s="10">
        <v>983.34599999999989</v>
      </c>
      <c r="E2733" s="10">
        <v>816.34699999999998</v>
      </c>
      <c r="F2733" t="str">
        <f>VLOOKUP(A2733,StoreLookup,2,FALSE)</f>
        <v>Store#2</v>
      </c>
      <c r="G2733">
        <f>INDEX(CalLookUpTable,MATCH($B2733,CalLookUpRow,0),MATCH(G$1,CalLookUpColumn,0))</f>
        <v>2019</v>
      </c>
      <c r="H2733">
        <f>INDEX(CalLookUpTable,MATCH($B2733,CalLookUpRow,0),MATCH(H$1,CalLookUpColumn,0))</f>
        <v>7</v>
      </c>
      <c r="I2733">
        <f>INDEX(CalLookUpTable,MATCH($B2733,CalLookUpRow,0),MATCH(I$1,CalLookUpColumn,0))</f>
        <v>3</v>
      </c>
    </row>
    <row r="2734" spans="1:9" x14ac:dyDescent="0.25">
      <c r="A2734" s="7">
        <v>2</v>
      </c>
      <c r="B2734" s="8">
        <v>43667</v>
      </c>
      <c r="C2734" s="9" t="s">
        <v>6</v>
      </c>
      <c r="D2734" s="10">
        <v>409.44399999999996</v>
      </c>
      <c r="E2734" s="10">
        <v>254.58999999999997</v>
      </c>
      <c r="F2734" t="str">
        <f>VLOOKUP(A2734,StoreLookup,2,FALSE)</f>
        <v>Store#2</v>
      </c>
      <c r="G2734">
        <f>INDEX(CalLookUpTable,MATCH($B2734,CalLookUpRow,0),MATCH(G$1,CalLookUpColumn,0))</f>
        <v>2019</v>
      </c>
      <c r="H2734">
        <f>INDEX(CalLookUpTable,MATCH($B2734,CalLookUpRow,0),MATCH(H$1,CalLookUpColumn,0))</f>
        <v>7</v>
      </c>
      <c r="I2734">
        <f>INDEX(CalLookUpTable,MATCH($B2734,CalLookUpRow,0),MATCH(I$1,CalLookUpColumn,0))</f>
        <v>3</v>
      </c>
    </row>
    <row r="2735" spans="1:9" x14ac:dyDescent="0.25">
      <c r="A2735" s="7">
        <v>2</v>
      </c>
      <c r="B2735" s="8">
        <v>43667</v>
      </c>
      <c r="C2735" s="9" t="s">
        <v>5</v>
      </c>
      <c r="D2735" s="10">
        <v>990.36699999999985</v>
      </c>
      <c r="E2735" s="10">
        <v>372.02199999999999</v>
      </c>
      <c r="F2735" t="str">
        <f>VLOOKUP(A2735,StoreLookup,2,FALSE)</f>
        <v>Store#2</v>
      </c>
      <c r="G2735">
        <f>INDEX(CalLookUpTable,MATCH($B2735,CalLookUpRow,0),MATCH(G$1,CalLookUpColumn,0))</f>
        <v>2019</v>
      </c>
      <c r="H2735">
        <f>INDEX(CalLookUpTable,MATCH($B2735,CalLookUpRow,0),MATCH(H$1,CalLookUpColumn,0))</f>
        <v>7</v>
      </c>
      <c r="I2735">
        <f>INDEX(CalLookUpTable,MATCH($B2735,CalLookUpRow,0),MATCH(I$1,CalLookUpColumn,0))</f>
        <v>3</v>
      </c>
    </row>
    <row r="2736" spans="1:9" x14ac:dyDescent="0.25">
      <c r="A2736" s="7">
        <v>2</v>
      </c>
      <c r="B2736" s="8">
        <v>43667</v>
      </c>
      <c r="C2736" s="9" t="s">
        <v>3</v>
      </c>
      <c r="D2736" s="10">
        <v>0</v>
      </c>
      <c r="E2736" s="10">
        <v>0</v>
      </c>
      <c r="F2736" t="str">
        <f>VLOOKUP(A2736,StoreLookup,2,FALSE)</f>
        <v>Store#2</v>
      </c>
      <c r="G2736">
        <f>INDEX(CalLookUpTable,MATCH($B2736,CalLookUpRow,0),MATCH(G$1,CalLookUpColumn,0))</f>
        <v>2019</v>
      </c>
      <c r="H2736">
        <f>INDEX(CalLookUpTable,MATCH($B2736,CalLookUpRow,0),MATCH(H$1,CalLookUpColumn,0))</f>
        <v>7</v>
      </c>
      <c r="I2736">
        <f>INDEX(CalLookUpTable,MATCH($B2736,CalLookUpRow,0),MATCH(I$1,CalLookUpColumn,0))</f>
        <v>3</v>
      </c>
    </row>
    <row r="2737" spans="1:9" x14ac:dyDescent="0.25">
      <c r="A2737" s="7">
        <v>2</v>
      </c>
      <c r="B2737" s="8">
        <v>43667</v>
      </c>
      <c r="C2737" s="9" t="s">
        <v>4</v>
      </c>
      <c r="D2737" s="10">
        <v>1135.0709999999999</v>
      </c>
      <c r="E2737" s="10">
        <v>1408.029</v>
      </c>
      <c r="F2737" t="str">
        <f>VLOOKUP(A2737,StoreLookup,2,FALSE)</f>
        <v>Store#2</v>
      </c>
      <c r="G2737">
        <f>INDEX(CalLookUpTable,MATCH($B2737,CalLookUpRow,0),MATCH(G$1,CalLookUpColumn,0))</f>
        <v>2019</v>
      </c>
      <c r="H2737">
        <f>INDEX(CalLookUpTable,MATCH($B2737,CalLookUpRow,0),MATCH(H$1,CalLookUpColumn,0))</f>
        <v>7</v>
      </c>
      <c r="I2737">
        <f>INDEX(CalLookUpTable,MATCH($B2737,CalLookUpRow,0),MATCH(I$1,CalLookUpColumn,0))</f>
        <v>3</v>
      </c>
    </row>
    <row r="2738" spans="1:9" x14ac:dyDescent="0.25">
      <c r="A2738" s="7">
        <v>2</v>
      </c>
      <c r="B2738" s="8">
        <v>43668</v>
      </c>
      <c r="C2738" s="9" t="s">
        <v>4</v>
      </c>
      <c r="D2738" s="10">
        <v>1551.347</v>
      </c>
      <c r="E2738" s="10">
        <v>1533.91</v>
      </c>
      <c r="F2738" t="str">
        <f>VLOOKUP(A2738,StoreLookup,2,FALSE)</f>
        <v>Store#2</v>
      </c>
      <c r="G2738">
        <f>INDEX(CalLookUpTable,MATCH($B2738,CalLookUpRow,0),MATCH(G$1,CalLookUpColumn,0))</f>
        <v>2019</v>
      </c>
      <c r="H2738">
        <f>INDEX(CalLookUpTable,MATCH($B2738,CalLookUpRow,0),MATCH(H$1,CalLookUpColumn,0))</f>
        <v>7</v>
      </c>
      <c r="I2738">
        <f>INDEX(CalLookUpTable,MATCH($B2738,CalLookUpRow,0),MATCH(I$1,CalLookUpColumn,0))</f>
        <v>4</v>
      </c>
    </row>
    <row r="2739" spans="1:9" x14ac:dyDescent="0.25">
      <c r="A2739" s="7">
        <v>2</v>
      </c>
      <c r="B2739" s="8">
        <v>43668</v>
      </c>
      <c r="C2739" s="9" t="s">
        <v>5</v>
      </c>
      <c r="D2739" s="10">
        <v>829.92699999999991</v>
      </c>
      <c r="E2739" s="10">
        <v>474.59999999999997</v>
      </c>
      <c r="F2739" t="str">
        <f>VLOOKUP(A2739,StoreLookup,2,FALSE)</f>
        <v>Store#2</v>
      </c>
      <c r="G2739">
        <f>INDEX(CalLookUpTable,MATCH($B2739,CalLookUpRow,0),MATCH(G$1,CalLookUpColumn,0))</f>
        <v>2019</v>
      </c>
      <c r="H2739">
        <f>INDEX(CalLookUpTable,MATCH($B2739,CalLookUpRow,0),MATCH(H$1,CalLookUpColumn,0))</f>
        <v>7</v>
      </c>
      <c r="I2739">
        <f>INDEX(CalLookUpTable,MATCH($B2739,CalLookUpRow,0),MATCH(I$1,CalLookUpColumn,0))</f>
        <v>4</v>
      </c>
    </row>
    <row r="2740" spans="1:9" x14ac:dyDescent="0.25">
      <c r="A2740" s="7">
        <v>2</v>
      </c>
      <c r="B2740" s="8">
        <v>43668</v>
      </c>
      <c r="C2740" s="9" t="s">
        <v>3</v>
      </c>
      <c r="D2740" s="10">
        <v>0</v>
      </c>
      <c r="E2740" s="10">
        <v>231.30799999999999</v>
      </c>
      <c r="F2740" t="str">
        <f>VLOOKUP(A2740,StoreLookup,2,FALSE)</f>
        <v>Store#2</v>
      </c>
      <c r="G2740">
        <f>INDEX(CalLookUpTable,MATCH($B2740,CalLookUpRow,0),MATCH(G$1,CalLookUpColumn,0))</f>
        <v>2019</v>
      </c>
      <c r="H2740">
        <f>INDEX(CalLookUpTable,MATCH($B2740,CalLookUpRow,0),MATCH(H$1,CalLookUpColumn,0))</f>
        <v>7</v>
      </c>
      <c r="I2740">
        <f>INDEX(CalLookUpTable,MATCH($B2740,CalLookUpRow,0),MATCH(I$1,CalLookUpColumn,0))</f>
        <v>4</v>
      </c>
    </row>
    <row r="2741" spans="1:9" x14ac:dyDescent="0.25">
      <c r="A2741" s="7">
        <v>2</v>
      </c>
      <c r="B2741" s="8">
        <v>43668</v>
      </c>
      <c r="C2741" s="9" t="s">
        <v>6</v>
      </c>
      <c r="D2741" s="10">
        <v>438.06699999999995</v>
      </c>
      <c r="E2741" s="10">
        <v>243.23599999999999</v>
      </c>
      <c r="F2741" t="str">
        <f>VLOOKUP(A2741,StoreLookup,2,FALSE)</f>
        <v>Store#2</v>
      </c>
      <c r="G2741">
        <f>INDEX(CalLookUpTable,MATCH($B2741,CalLookUpRow,0),MATCH(G$1,CalLookUpColumn,0))</f>
        <v>2019</v>
      </c>
      <c r="H2741">
        <f>INDEX(CalLookUpTable,MATCH($B2741,CalLookUpRow,0),MATCH(H$1,CalLookUpColumn,0))</f>
        <v>7</v>
      </c>
      <c r="I2741">
        <f>INDEX(CalLookUpTable,MATCH($B2741,CalLookUpRow,0),MATCH(I$1,CalLookUpColumn,0))</f>
        <v>4</v>
      </c>
    </row>
    <row r="2742" spans="1:9" x14ac:dyDescent="0.25">
      <c r="A2742" s="7">
        <v>2</v>
      </c>
      <c r="B2742" s="8">
        <v>43669</v>
      </c>
      <c r="C2742" s="9" t="s">
        <v>3</v>
      </c>
      <c r="D2742" s="10">
        <v>0</v>
      </c>
      <c r="E2742" s="10">
        <v>0</v>
      </c>
      <c r="F2742" t="str">
        <f>VLOOKUP(A2742,StoreLookup,2,FALSE)</f>
        <v>Store#2</v>
      </c>
      <c r="G2742">
        <f>INDEX(CalLookUpTable,MATCH($B2742,CalLookUpRow,0),MATCH(G$1,CalLookUpColumn,0))</f>
        <v>2019</v>
      </c>
      <c r="H2742">
        <f>INDEX(CalLookUpTable,MATCH($B2742,CalLookUpRow,0),MATCH(H$1,CalLookUpColumn,0))</f>
        <v>7</v>
      </c>
      <c r="I2742">
        <f>INDEX(CalLookUpTable,MATCH($B2742,CalLookUpRow,0),MATCH(I$1,CalLookUpColumn,0))</f>
        <v>4</v>
      </c>
    </row>
    <row r="2743" spans="1:9" x14ac:dyDescent="0.25">
      <c r="A2743" s="7">
        <v>2</v>
      </c>
      <c r="B2743" s="8">
        <v>43669</v>
      </c>
      <c r="C2743" s="9" t="s">
        <v>5</v>
      </c>
      <c r="D2743" s="10">
        <v>1142.8620000000001</v>
      </c>
      <c r="E2743" s="10">
        <v>837.75999999999988</v>
      </c>
      <c r="F2743" t="str">
        <f>VLOOKUP(A2743,StoreLookup,2,FALSE)</f>
        <v>Store#2</v>
      </c>
      <c r="G2743">
        <f>INDEX(CalLookUpTable,MATCH($B2743,CalLookUpRow,0),MATCH(G$1,CalLookUpColumn,0))</f>
        <v>2019</v>
      </c>
      <c r="H2743">
        <f>INDEX(CalLookUpTable,MATCH($B2743,CalLookUpRow,0),MATCH(H$1,CalLookUpColumn,0))</f>
        <v>7</v>
      </c>
      <c r="I2743">
        <f>INDEX(CalLookUpTable,MATCH($B2743,CalLookUpRow,0),MATCH(I$1,CalLookUpColumn,0))</f>
        <v>4</v>
      </c>
    </row>
    <row r="2744" spans="1:9" x14ac:dyDescent="0.25">
      <c r="A2744" s="7">
        <v>2</v>
      </c>
      <c r="B2744" s="8">
        <v>43669</v>
      </c>
      <c r="C2744" s="9" t="s">
        <v>6</v>
      </c>
      <c r="D2744" s="10">
        <v>454.62899999999996</v>
      </c>
      <c r="E2744" s="10">
        <v>257.94299999999998</v>
      </c>
      <c r="F2744" t="str">
        <f>VLOOKUP(A2744,StoreLookup,2,FALSE)</f>
        <v>Store#2</v>
      </c>
      <c r="G2744">
        <f>INDEX(CalLookUpTable,MATCH($B2744,CalLookUpRow,0),MATCH(G$1,CalLookUpColumn,0))</f>
        <v>2019</v>
      </c>
      <c r="H2744">
        <f>INDEX(CalLookUpTable,MATCH($B2744,CalLookUpRow,0),MATCH(H$1,CalLookUpColumn,0))</f>
        <v>7</v>
      </c>
      <c r="I2744">
        <f>INDEX(CalLookUpTable,MATCH($B2744,CalLookUpRow,0),MATCH(I$1,CalLookUpColumn,0))</f>
        <v>4</v>
      </c>
    </row>
    <row r="2745" spans="1:9" x14ac:dyDescent="0.25">
      <c r="A2745" s="7">
        <v>2</v>
      </c>
      <c r="B2745" s="8">
        <v>43669</v>
      </c>
      <c r="C2745" s="9" t="s">
        <v>4</v>
      </c>
      <c r="D2745" s="10">
        <v>2080.442</v>
      </c>
      <c r="E2745" s="10">
        <v>2721.6279999999997</v>
      </c>
      <c r="F2745" t="str">
        <f>VLOOKUP(A2745,StoreLookup,2,FALSE)</f>
        <v>Store#2</v>
      </c>
      <c r="G2745">
        <f>INDEX(CalLookUpTable,MATCH($B2745,CalLookUpRow,0),MATCH(G$1,CalLookUpColumn,0))</f>
        <v>2019</v>
      </c>
      <c r="H2745">
        <f>INDEX(CalLookUpTable,MATCH($B2745,CalLookUpRow,0),MATCH(H$1,CalLookUpColumn,0))</f>
        <v>7</v>
      </c>
      <c r="I2745">
        <f>INDEX(CalLookUpTable,MATCH($B2745,CalLookUpRow,0),MATCH(I$1,CalLookUpColumn,0))</f>
        <v>4</v>
      </c>
    </row>
    <row r="2746" spans="1:9" x14ac:dyDescent="0.25">
      <c r="A2746" s="7">
        <v>2</v>
      </c>
      <c r="B2746" s="8">
        <v>43670</v>
      </c>
      <c r="C2746" s="9" t="s">
        <v>4</v>
      </c>
      <c r="D2746" s="10">
        <v>2230.2559999999999</v>
      </c>
      <c r="E2746" s="10">
        <v>1625.0639999999999</v>
      </c>
      <c r="F2746" t="str">
        <f>VLOOKUP(A2746,StoreLookup,2,FALSE)</f>
        <v>Store#2</v>
      </c>
      <c r="G2746">
        <f>INDEX(CalLookUpTable,MATCH($B2746,CalLookUpRow,0),MATCH(G$1,CalLookUpColumn,0))</f>
        <v>2019</v>
      </c>
      <c r="H2746">
        <f>INDEX(CalLookUpTable,MATCH($B2746,CalLookUpRow,0),MATCH(H$1,CalLookUpColumn,0))</f>
        <v>7</v>
      </c>
      <c r="I2746">
        <f>INDEX(CalLookUpTable,MATCH($B2746,CalLookUpRow,0),MATCH(I$1,CalLookUpColumn,0))</f>
        <v>4</v>
      </c>
    </row>
    <row r="2747" spans="1:9" x14ac:dyDescent="0.25">
      <c r="A2747" s="7">
        <v>2</v>
      </c>
      <c r="B2747" s="8">
        <v>43670</v>
      </c>
      <c r="C2747" s="9" t="s">
        <v>3</v>
      </c>
      <c r="D2747" s="10">
        <v>0</v>
      </c>
      <c r="E2747" s="10">
        <v>0</v>
      </c>
      <c r="F2747" t="str">
        <f>VLOOKUP(A2747,StoreLookup,2,FALSE)</f>
        <v>Store#2</v>
      </c>
      <c r="G2747">
        <f>INDEX(CalLookUpTable,MATCH($B2747,CalLookUpRow,0),MATCH(G$1,CalLookUpColumn,0))</f>
        <v>2019</v>
      </c>
      <c r="H2747">
        <f>INDEX(CalLookUpTable,MATCH($B2747,CalLookUpRow,0),MATCH(H$1,CalLookUpColumn,0))</f>
        <v>7</v>
      </c>
      <c r="I2747">
        <f>INDEX(CalLookUpTable,MATCH($B2747,CalLookUpRow,0),MATCH(I$1,CalLookUpColumn,0))</f>
        <v>4</v>
      </c>
    </row>
    <row r="2748" spans="1:9" x14ac:dyDescent="0.25">
      <c r="A2748" s="7">
        <v>2</v>
      </c>
      <c r="B2748" s="8">
        <v>43670</v>
      </c>
      <c r="C2748" s="9" t="s">
        <v>5</v>
      </c>
      <c r="D2748" s="10">
        <v>810.77499999999998</v>
      </c>
      <c r="E2748" s="10">
        <v>544.50900000000001</v>
      </c>
      <c r="F2748" t="str">
        <f>VLOOKUP(A2748,StoreLookup,2,FALSE)</f>
        <v>Store#2</v>
      </c>
      <c r="G2748">
        <f>INDEX(CalLookUpTable,MATCH($B2748,CalLookUpRow,0),MATCH(G$1,CalLookUpColumn,0))</f>
        <v>2019</v>
      </c>
      <c r="H2748">
        <f>INDEX(CalLookUpTable,MATCH($B2748,CalLookUpRow,0),MATCH(H$1,CalLookUpColumn,0))</f>
        <v>7</v>
      </c>
      <c r="I2748">
        <f>INDEX(CalLookUpTable,MATCH($B2748,CalLookUpRow,0),MATCH(I$1,CalLookUpColumn,0))</f>
        <v>4</v>
      </c>
    </row>
    <row r="2749" spans="1:9" x14ac:dyDescent="0.25">
      <c r="A2749" s="7">
        <v>2</v>
      </c>
      <c r="B2749" s="8">
        <v>43670</v>
      </c>
      <c r="C2749" s="9" t="s">
        <v>6</v>
      </c>
      <c r="D2749" s="10">
        <v>440.39099999999996</v>
      </c>
      <c r="E2749" s="10">
        <v>327.55799999999999</v>
      </c>
      <c r="F2749" t="str">
        <f>VLOOKUP(A2749,StoreLookup,2,FALSE)</f>
        <v>Store#2</v>
      </c>
      <c r="G2749">
        <f>INDEX(CalLookUpTable,MATCH($B2749,CalLookUpRow,0),MATCH(G$1,CalLookUpColumn,0))</f>
        <v>2019</v>
      </c>
      <c r="H2749">
        <f>INDEX(CalLookUpTable,MATCH($B2749,CalLookUpRow,0),MATCH(H$1,CalLookUpColumn,0))</f>
        <v>7</v>
      </c>
      <c r="I2749">
        <f>INDEX(CalLookUpTable,MATCH($B2749,CalLookUpRow,0),MATCH(I$1,CalLookUpColumn,0))</f>
        <v>4</v>
      </c>
    </row>
    <row r="2750" spans="1:9" x14ac:dyDescent="0.25">
      <c r="A2750" s="7">
        <v>2</v>
      </c>
      <c r="B2750" s="8">
        <v>43671</v>
      </c>
      <c r="C2750" s="9" t="s">
        <v>4</v>
      </c>
      <c r="D2750" s="10">
        <v>1301.7829999999999</v>
      </c>
      <c r="E2750" s="10">
        <v>2055.3469999999998</v>
      </c>
      <c r="F2750" t="str">
        <f>VLOOKUP(A2750,StoreLookup,2,FALSE)</f>
        <v>Store#2</v>
      </c>
      <c r="G2750">
        <f>INDEX(CalLookUpTable,MATCH($B2750,CalLookUpRow,0),MATCH(G$1,CalLookUpColumn,0))</f>
        <v>2019</v>
      </c>
      <c r="H2750">
        <f>INDEX(CalLookUpTable,MATCH($B2750,CalLookUpRow,0),MATCH(H$1,CalLookUpColumn,0))</f>
        <v>7</v>
      </c>
      <c r="I2750">
        <f>INDEX(CalLookUpTable,MATCH($B2750,CalLookUpRow,0),MATCH(I$1,CalLookUpColumn,0))</f>
        <v>4</v>
      </c>
    </row>
    <row r="2751" spans="1:9" x14ac:dyDescent="0.25">
      <c r="A2751" s="7">
        <v>2</v>
      </c>
      <c r="B2751" s="8">
        <v>43671</v>
      </c>
      <c r="C2751" s="9" t="s">
        <v>5</v>
      </c>
      <c r="D2751" s="10">
        <v>1107.6309999999999</v>
      </c>
      <c r="E2751" s="10">
        <v>678.66399999999999</v>
      </c>
      <c r="F2751" t="str">
        <f>VLOOKUP(A2751,StoreLookup,2,FALSE)</f>
        <v>Store#2</v>
      </c>
      <c r="G2751">
        <f>INDEX(CalLookUpTable,MATCH($B2751,CalLookUpRow,0),MATCH(G$1,CalLookUpColumn,0))</f>
        <v>2019</v>
      </c>
      <c r="H2751">
        <f>INDEX(CalLookUpTable,MATCH($B2751,CalLookUpRow,0),MATCH(H$1,CalLookUpColumn,0))</f>
        <v>7</v>
      </c>
      <c r="I2751">
        <f>INDEX(CalLookUpTable,MATCH($B2751,CalLookUpRow,0),MATCH(I$1,CalLookUpColumn,0))</f>
        <v>4</v>
      </c>
    </row>
    <row r="2752" spans="1:9" x14ac:dyDescent="0.25">
      <c r="A2752" s="7">
        <v>2</v>
      </c>
      <c r="B2752" s="8">
        <v>43671</v>
      </c>
      <c r="C2752" s="9" t="s">
        <v>3</v>
      </c>
      <c r="D2752" s="10">
        <v>96.515999999999991</v>
      </c>
      <c r="E2752" s="10">
        <v>0</v>
      </c>
      <c r="F2752" t="str">
        <f>VLOOKUP(A2752,StoreLookup,2,FALSE)</f>
        <v>Store#2</v>
      </c>
      <c r="G2752">
        <f>INDEX(CalLookUpTable,MATCH($B2752,CalLookUpRow,0),MATCH(G$1,CalLookUpColumn,0))</f>
        <v>2019</v>
      </c>
      <c r="H2752">
        <f>INDEX(CalLookUpTable,MATCH($B2752,CalLookUpRow,0),MATCH(H$1,CalLookUpColumn,0))</f>
        <v>7</v>
      </c>
      <c r="I2752">
        <f>INDEX(CalLookUpTable,MATCH($B2752,CalLookUpRow,0),MATCH(I$1,CalLookUpColumn,0))</f>
        <v>4</v>
      </c>
    </row>
    <row r="2753" spans="1:9" x14ac:dyDescent="0.25">
      <c r="A2753" s="7">
        <v>2</v>
      </c>
      <c r="B2753" s="8">
        <v>43671</v>
      </c>
      <c r="C2753" s="9" t="s">
        <v>6</v>
      </c>
      <c r="D2753" s="10">
        <v>302.61</v>
      </c>
      <c r="E2753" s="10">
        <v>546.7349999999999</v>
      </c>
      <c r="F2753" t="str">
        <f>VLOOKUP(A2753,StoreLookup,2,FALSE)</f>
        <v>Store#2</v>
      </c>
      <c r="G2753">
        <f>INDEX(CalLookUpTable,MATCH($B2753,CalLookUpRow,0),MATCH(G$1,CalLookUpColumn,0))</f>
        <v>2019</v>
      </c>
      <c r="H2753">
        <f>INDEX(CalLookUpTable,MATCH($B2753,CalLookUpRow,0),MATCH(H$1,CalLookUpColumn,0))</f>
        <v>7</v>
      </c>
      <c r="I2753">
        <f>INDEX(CalLookUpTable,MATCH($B2753,CalLookUpRow,0),MATCH(I$1,CalLookUpColumn,0))</f>
        <v>4</v>
      </c>
    </row>
    <row r="2754" spans="1:9" x14ac:dyDescent="0.25">
      <c r="A2754" s="7">
        <v>2</v>
      </c>
      <c r="B2754" s="8">
        <v>43672</v>
      </c>
      <c r="C2754" s="9" t="s">
        <v>6</v>
      </c>
      <c r="D2754" s="10">
        <v>553.39199999999994</v>
      </c>
      <c r="E2754" s="10">
        <v>385.67899999999997</v>
      </c>
      <c r="F2754" t="str">
        <f>VLOOKUP(A2754,StoreLookup,2,FALSE)</f>
        <v>Store#2</v>
      </c>
      <c r="G2754">
        <f>INDEX(CalLookUpTable,MATCH($B2754,CalLookUpRow,0),MATCH(G$1,CalLookUpColumn,0))</f>
        <v>2019</v>
      </c>
      <c r="H2754">
        <f>INDEX(CalLookUpTable,MATCH($B2754,CalLookUpRow,0),MATCH(H$1,CalLookUpColumn,0))</f>
        <v>7</v>
      </c>
      <c r="I2754">
        <f>INDEX(CalLookUpTable,MATCH($B2754,CalLookUpRow,0),MATCH(I$1,CalLookUpColumn,0))</f>
        <v>4</v>
      </c>
    </row>
    <row r="2755" spans="1:9" x14ac:dyDescent="0.25">
      <c r="A2755" s="7">
        <v>2</v>
      </c>
      <c r="B2755" s="8">
        <v>43672</v>
      </c>
      <c r="C2755" s="9" t="s">
        <v>4</v>
      </c>
      <c r="D2755" s="10">
        <v>2378.6839999999997</v>
      </c>
      <c r="E2755" s="10">
        <v>2732.4779999999996</v>
      </c>
      <c r="F2755" t="str">
        <f>VLOOKUP(A2755,StoreLookup,2,FALSE)</f>
        <v>Store#2</v>
      </c>
      <c r="G2755">
        <f>INDEX(CalLookUpTable,MATCH($B2755,CalLookUpRow,0),MATCH(G$1,CalLookUpColumn,0))</f>
        <v>2019</v>
      </c>
      <c r="H2755">
        <f>INDEX(CalLookUpTable,MATCH($B2755,CalLookUpRow,0),MATCH(H$1,CalLookUpColumn,0))</f>
        <v>7</v>
      </c>
      <c r="I2755">
        <f>INDEX(CalLookUpTable,MATCH($B2755,CalLookUpRow,0),MATCH(I$1,CalLookUpColumn,0))</f>
        <v>4</v>
      </c>
    </row>
    <row r="2756" spans="1:9" x14ac:dyDescent="0.25">
      <c r="A2756" s="7">
        <v>2</v>
      </c>
      <c r="B2756" s="8">
        <v>43672</v>
      </c>
      <c r="C2756" s="9" t="s">
        <v>3</v>
      </c>
      <c r="D2756" s="10">
        <v>0</v>
      </c>
      <c r="E2756" s="10">
        <v>0</v>
      </c>
      <c r="F2756" t="str">
        <f>VLOOKUP(A2756,StoreLookup,2,FALSE)</f>
        <v>Store#2</v>
      </c>
      <c r="G2756">
        <f>INDEX(CalLookUpTable,MATCH($B2756,CalLookUpRow,0),MATCH(G$1,CalLookUpColumn,0))</f>
        <v>2019</v>
      </c>
      <c r="H2756">
        <f>INDEX(CalLookUpTable,MATCH($B2756,CalLookUpRow,0),MATCH(H$1,CalLookUpColumn,0))</f>
        <v>7</v>
      </c>
      <c r="I2756">
        <f>INDEX(CalLookUpTable,MATCH($B2756,CalLookUpRow,0),MATCH(I$1,CalLookUpColumn,0))</f>
        <v>4</v>
      </c>
    </row>
    <row r="2757" spans="1:9" x14ac:dyDescent="0.25">
      <c r="A2757" s="7">
        <v>2</v>
      </c>
      <c r="B2757" s="8">
        <v>43672</v>
      </c>
      <c r="C2757" s="9" t="s">
        <v>5</v>
      </c>
      <c r="D2757" s="10">
        <v>1324.9879999999998</v>
      </c>
      <c r="E2757" s="10">
        <v>1139.8869999999999</v>
      </c>
      <c r="F2757" t="str">
        <f>VLOOKUP(A2757,StoreLookup,2,FALSE)</f>
        <v>Store#2</v>
      </c>
      <c r="G2757">
        <f>INDEX(CalLookUpTable,MATCH($B2757,CalLookUpRow,0),MATCH(G$1,CalLookUpColumn,0))</f>
        <v>2019</v>
      </c>
      <c r="H2757">
        <f>INDEX(CalLookUpTable,MATCH($B2757,CalLookUpRow,0),MATCH(H$1,CalLookUpColumn,0))</f>
        <v>7</v>
      </c>
      <c r="I2757">
        <f>INDEX(CalLookUpTable,MATCH($B2757,CalLookUpRow,0),MATCH(I$1,CalLookUpColumn,0))</f>
        <v>4</v>
      </c>
    </row>
    <row r="2758" spans="1:9" x14ac:dyDescent="0.25">
      <c r="A2758" s="7">
        <v>2</v>
      </c>
      <c r="B2758" s="8">
        <v>43673</v>
      </c>
      <c r="C2758" s="9" t="s">
        <v>4</v>
      </c>
      <c r="D2758" s="10">
        <v>2430.8130000000001</v>
      </c>
      <c r="E2758" s="10">
        <v>2384.8020000000001</v>
      </c>
      <c r="F2758" t="str">
        <f>VLOOKUP(A2758,StoreLookup,2,FALSE)</f>
        <v>Store#2</v>
      </c>
      <c r="G2758">
        <f>INDEX(CalLookUpTable,MATCH($B2758,CalLookUpRow,0),MATCH(G$1,CalLookUpColumn,0))</f>
        <v>2019</v>
      </c>
      <c r="H2758">
        <f>INDEX(CalLookUpTable,MATCH($B2758,CalLookUpRow,0),MATCH(H$1,CalLookUpColumn,0))</f>
        <v>7</v>
      </c>
      <c r="I2758">
        <f>INDEX(CalLookUpTable,MATCH($B2758,CalLookUpRow,0),MATCH(I$1,CalLookUpColumn,0))</f>
        <v>4</v>
      </c>
    </row>
    <row r="2759" spans="1:9" x14ac:dyDescent="0.25">
      <c r="A2759" s="7">
        <v>2</v>
      </c>
      <c r="B2759" s="8">
        <v>43673</v>
      </c>
      <c r="C2759" s="9" t="s">
        <v>3</v>
      </c>
      <c r="D2759" s="10">
        <v>0</v>
      </c>
      <c r="E2759" s="10">
        <v>13.132</v>
      </c>
      <c r="F2759" t="str">
        <f>VLOOKUP(A2759,StoreLookup,2,FALSE)</f>
        <v>Store#2</v>
      </c>
      <c r="G2759">
        <f>INDEX(CalLookUpTable,MATCH($B2759,CalLookUpRow,0),MATCH(G$1,CalLookUpColumn,0))</f>
        <v>2019</v>
      </c>
      <c r="H2759">
        <f>INDEX(CalLookUpTable,MATCH($B2759,CalLookUpRow,0),MATCH(H$1,CalLookUpColumn,0))</f>
        <v>7</v>
      </c>
      <c r="I2759">
        <f>INDEX(CalLookUpTable,MATCH($B2759,CalLookUpRow,0),MATCH(I$1,CalLookUpColumn,0))</f>
        <v>4</v>
      </c>
    </row>
    <row r="2760" spans="1:9" x14ac:dyDescent="0.25">
      <c r="A2760" s="7">
        <v>2</v>
      </c>
      <c r="B2760" s="8">
        <v>43673</v>
      </c>
      <c r="C2760" s="9" t="s">
        <v>5</v>
      </c>
      <c r="D2760" s="10">
        <v>923.12499999999989</v>
      </c>
      <c r="E2760" s="10">
        <v>603.18999999999994</v>
      </c>
      <c r="F2760" t="str">
        <f>VLOOKUP(A2760,StoreLookup,2,FALSE)</f>
        <v>Store#2</v>
      </c>
      <c r="G2760">
        <f>INDEX(CalLookUpTable,MATCH($B2760,CalLookUpRow,0),MATCH(G$1,CalLookUpColumn,0))</f>
        <v>2019</v>
      </c>
      <c r="H2760">
        <f>INDEX(CalLookUpTable,MATCH($B2760,CalLookUpRow,0),MATCH(H$1,CalLookUpColumn,0))</f>
        <v>7</v>
      </c>
      <c r="I2760">
        <f>INDEX(CalLookUpTable,MATCH($B2760,CalLookUpRow,0),MATCH(I$1,CalLookUpColumn,0))</f>
        <v>4</v>
      </c>
    </row>
    <row r="2761" spans="1:9" x14ac:dyDescent="0.25">
      <c r="A2761" s="7">
        <v>2</v>
      </c>
      <c r="B2761" s="8">
        <v>43673</v>
      </c>
      <c r="C2761" s="9" t="s">
        <v>6</v>
      </c>
      <c r="D2761" s="10">
        <v>340.41699999999997</v>
      </c>
      <c r="E2761" s="10">
        <v>268.05099999999999</v>
      </c>
      <c r="F2761" t="str">
        <f>VLOOKUP(A2761,StoreLookup,2,FALSE)</f>
        <v>Store#2</v>
      </c>
      <c r="G2761">
        <f>INDEX(CalLookUpTable,MATCH($B2761,CalLookUpRow,0),MATCH(G$1,CalLookUpColumn,0))</f>
        <v>2019</v>
      </c>
      <c r="H2761">
        <f>INDEX(CalLookUpTable,MATCH($B2761,CalLookUpRow,0),MATCH(H$1,CalLookUpColumn,0))</f>
        <v>7</v>
      </c>
      <c r="I2761">
        <f>INDEX(CalLookUpTable,MATCH($B2761,CalLookUpRow,0),MATCH(I$1,CalLookUpColumn,0))</f>
        <v>4</v>
      </c>
    </row>
    <row r="2762" spans="1:9" x14ac:dyDescent="0.25">
      <c r="A2762" s="7">
        <v>2</v>
      </c>
      <c r="B2762" s="8">
        <v>43674</v>
      </c>
      <c r="C2762" s="9" t="s">
        <v>5</v>
      </c>
      <c r="D2762" s="10">
        <v>719.86599999999999</v>
      </c>
      <c r="E2762" s="10">
        <v>437.29</v>
      </c>
      <c r="F2762" t="str">
        <f>VLOOKUP(A2762,StoreLookup,2,FALSE)</f>
        <v>Store#2</v>
      </c>
      <c r="G2762">
        <f>INDEX(CalLookUpTable,MATCH($B2762,CalLookUpRow,0),MATCH(G$1,CalLookUpColumn,0))</f>
        <v>2019</v>
      </c>
      <c r="H2762">
        <f>INDEX(CalLookUpTable,MATCH($B2762,CalLookUpRow,0),MATCH(H$1,CalLookUpColumn,0))</f>
        <v>7</v>
      </c>
      <c r="I2762">
        <f>INDEX(CalLookUpTable,MATCH($B2762,CalLookUpRow,0),MATCH(I$1,CalLookUpColumn,0))</f>
        <v>4</v>
      </c>
    </row>
    <row r="2763" spans="1:9" x14ac:dyDescent="0.25">
      <c r="A2763" s="7">
        <v>2</v>
      </c>
      <c r="B2763" s="8">
        <v>43674</v>
      </c>
      <c r="C2763" s="9" t="s">
        <v>6</v>
      </c>
      <c r="D2763" s="10">
        <v>141.876</v>
      </c>
      <c r="E2763" s="10">
        <v>291.31900000000002</v>
      </c>
      <c r="F2763" t="str">
        <f>VLOOKUP(A2763,StoreLookup,2,FALSE)</f>
        <v>Store#2</v>
      </c>
      <c r="G2763">
        <f>INDEX(CalLookUpTable,MATCH($B2763,CalLookUpRow,0),MATCH(G$1,CalLookUpColumn,0))</f>
        <v>2019</v>
      </c>
      <c r="H2763">
        <f>INDEX(CalLookUpTable,MATCH($B2763,CalLookUpRow,0),MATCH(H$1,CalLookUpColumn,0))</f>
        <v>7</v>
      </c>
      <c r="I2763">
        <f>INDEX(CalLookUpTable,MATCH($B2763,CalLookUpRow,0),MATCH(I$1,CalLookUpColumn,0))</f>
        <v>4</v>
      </c>
    </row>
    <row r="2764" spans="1:9" x14ac:dyDescent="0.25">
      <c r="A2764" s="7">
        <v>2</v>
      </c>
      <c r="B2764" s="8">
        <v>43674</v>
      </c>
      <c r="C2764" s="9" t="s">
        <v>3</v>
      </c>
      <c r="D2764" s="10">
        <v>0</v>
      </c>
      <c r="E2764" s="10">
        <v>219.09299999999999</v>
      </c>
      <c r="F2764" t="str">
        <f>VLOOKUP(A2764,StoreLookup,2,FALSE)</f>
        <v>Store#2</v>
      </c>
      <c r="G2764">
        <f>INDEX(CalLookUpTable,MATCH($B2764,CalLookUpRow,0),MATCH(G$1,CalLookUpColumn,0))</f>
        <v>2019</v>
      </c>
      <c r="H2764">
        <f>INDEX(CalLookUpTable,MATCH($B2764,CalLookUpRow,0),MATCH(H$1,CalLookUpColumn,0))</f>
        <v>7</v>
      </c>
      <c r="I2764">
        <f>INDEX(CalLookUpTable,MATCH($B2764,CalLookUpRow,0),MATCH(I$1,CalLookUpColumn,0))</f>
        <v>4</v>
      </c>
    </row>
    <row r="2765" spans="1:9" x14ac:dyDescent="0.25">
      <c r="A2765" s="7">
        <v>2</v>
      </c>
      <c r="B2765" s="8">
        <v>43674</v>
      </c>
      <c r="C2765" s="9" t="s">
        <v>4</v>
      </c>
      <c r="D2765" s="10">
        <v>1375.7099999999998</v>
      </c>
      <c r="E2765" s="10">
        <v>1335.068</v>
      </c>
      <c r="F2765" t="str">
        <f>VLOOKUP(A2765,StoreLookup,2,FALSE)</f>
        <v>Store#2</v>
      </c>
      <c r="G2765">
        <f>INDEX(CalLookUpTable,MATCH($B2765,CalLookUpRow,0),MATCH(G$1,CalLookUpColumn,0))</f>
        <v>2019</v>
      </c>
      <c r="H2765">
        <f>INDEX(CalLookUpTable,MATCH($B2765,CalLookUpRow,0),MATCH(H$1,CalLookUpColumn,0))</f>
        <v>7</v>
      </c>
      <c r="I2765">
        <f>INDEX(CalLookUpTable,MATCH($B2765,CalLookUpRow,0),MATCH(I$1,CalLookUpColumn,0))</f>
        <v>4</v>
      </c>
    </row>
    <row r="2766" spans="1:9" x14ac:dyDescent="0.25">
      <c r="A2766" s="7">
        <v>2</v>
      </c>
      <c r="B2766" s="8">
        <v>43675</v>
      </c>
      <c r="C2766" s="9" t="s">
        <v>3</v>
      </c>
      <c r="D2766" s="10">
        <v>0</v>
      </c>
      <c r="E2766" s="10">
        <v>189.62999999999997</v>
      </c>
      <c r="F2766" t="str">
        <f>VLOOKUP(A2766,StoreLookup,2,FALSE)</f>
        <v>Store#2</v>
      </c>
      <c r="G2766">
        <f>INDEX(CalLookUpTable,MATCH($B2766,CalLookUpRow,0),MATCH(G$1,CalLookUpColumn,0))</f>
        <v>2019</v>
      </c>
      <c r="H2766">
        <f>INDEX(CalLookUpTable,MATCH($B2766,CalLookUpRow,0),MATCH(H$1,CalLookUpColumn,0))</f>
        <v>8</v>
      </c>
      <c r="I2766">
        <f>INDEX(CalLookUpTable,MATCH($B2766,CalLookUpRow,0),MATCH(I$1,CalLookUpColumn,0))</f>
        <v>1</v>
      </c>
    </row>
    <row r="2767" spans="1:9" x14ac:dyDescent="0.25">
      <c r="A2767" s="7">
        <v>2</v>
      </c>
      <c r="B2767" s="8">
        <v>43675</v>
      </c>
      <c r="C2767" s="9" t="s">
        <v>6</v>
      </c>
      <c r="D2767" s="10">
        <v>187.768</v>
      </c>
      <c r="E2767" s="10">
        <v>167.41899999999998</v>
      </c>
      <c r="F2767" t="str">
        <f>VLOOKUP(A2767,StoreLookup,2,FALSE)</f>
        <v>Store#2</v>
      </c>
      <c r="G2767">
        <f>INDEX(CalLookUpTable,MATCH($B2767,CalLookUpRow,0),MATCH(G$1,CalLookUpColumn,0))</f>
        <v>2019</v>
      </c>
      <c r="H2767">
        <f>INDEX(CalLookUpTable,MATCH($B2767,CalLookUpRow,0),MATCH(H$1,CalLookUpColumn,0))</f>
        <v>8</v>
      </c>
      <c r="I2767">
        <f>INDEX(CalLookUpTable,MATCH($B2767,CalLookUpRow,0),MATCH(I$1,CalLookUpColumn,0))</f>
        <v>1</v>
      </c>
    </row>
    <row r="2768" spans="1:9" x14ac:dyDescent="0.25">
      <c r="A2768" s="7">
        <v>2</v>
      </c>
      <c r="B2768" s="8">
        <v>43675</v>
      </c>
      <c r="C2768" s="9" t="s">
        <v>4</v>
      </c>
      <c r="D2768" s="10">
        <v>1671.894</v>
      </c>
      <c r="E2768" s="10">
        <v>1648.367</v>
      </c>
      <c r="F2768" t="str">
        <f>VLOOKUP(A2768,StoreLookup,2,FALSE)</f>
        <v>Store#2</v>
      </c>
      <c r="G2768">
        <f>INDEX(CalLookUpTable,MATCH($B2768,CalLookUpRow,0),MATCH(G$1,CalLookUpColumn,0))</f>
        <v>2019</v>
      </c>
      <c r="H2768">
        <f>INDEX(CalLookUpTable,MATCH($B2768,CalLookUpRow,0),MATCH(H$1,CalLookUpColumn,0))</f>
        <v>8</v>
      </c>
      <c r="I2768">
        <f>INDEX(CalLookUpTable,MATCH($B2768,CalLookUpRow,0),MATCH(I$1,CalLookUpColumn,0))</f>
        <v>1</v>
      </c>
    </row>
    <row r="2769" spans="1:9" x14ac:dyDescent="0.25">
      <c r="A2769" s="7">
        <v>2</v>
      </c>
      <c r="B2769" s="8">
        <v>43675</v>
      </c>
      <c r="C2769" s="9" t="s">
        <v>5</v>
      </c>
      <c r="D2769" s="10">
        <v>895.18099999999993</v>
      </c>
      <c r="E2769" s="10">
        <v>584.72400000000005</v>
      </c>
      <c r="F2769" t="str">
        <f>VLOOKUP(A2769,StoreLookup,2,FALSE)</f>
        <v>Store#2</v>
      </c>
      <c r="G2769">
        <f>INDEX(CalLookUpTable,MATCH($B2769,CalLookUpRow,0),MATCH(G$1,CalLookUpColumn,0))</f>
        <v>2019</v>
      </c>
      <c r="H2769">
        <f>INDEX(CalLookUpTable,MATCH($B2769,CalLookUpRow,0),MATCH(H$1,CalLookUpColumn,0))</f>
        <v>8</v>
      </c>
      <c r="I2769">
        <f>INDEX(CalLookUpTable,MATCH($B2769,CalLookUpRow,0),MATCH(I$1,CalLookUpColumn,0))</f>
        <v>1</v>
      </c>
    </row>
    <row r="2770" spans="1:9" x14ac:dyDescent="0.25">
      <c r="A2770" s="7">
        <v>2</v>
      </c>
      <c r="B2770" s="8">
        <v>43676</v>
      </c>
      <c r="C2770" s="9" t="s">
        <v>3</v>
      </c>
      <c r="D2770" s="10">
        <v>0</v>
      </c>
      <c r="E2770" s="10">
        <v>35.650999999999996</v>
      </c>
      <c r="F2770" t="str">
        <f>VLOOKUP(A2770,StoreLookup,2,FALSE)</f>
        <v>Store#2</v>
      </c>
      <c r="G2770">
        <f>INDEX(CalLookUpTable,MATCH($B2770,CalLookUpRow,0),MATCH(G$1,CalLookUpColumn,0))</f>
        <v>2019</v>
      </c>
      <c r="H2770">
        <f>INDEX(CalLookUpTable,MATCH($B2770,CalLookUpRow,0),MATCH(H$1,CalLookUpColumn,0))</f>
        <v>8</v>
      </c>
      <c r="I2770">
        <f>INDEX(CalLookUpTable,MATCH($B2770,CalLookUpRow,0),MATCH(I$1,CalLookUpColumn,0))</f>
        <v>1</v>
      </c>
    </row>
    <row r="2771" spans="1:9" x14ac:dyDescent="0.25">
      <c r="A2771" s="7">
        <v>2</v>
      </c>
      <c r="B2771" s="8">
        <v>43676</v>
      </c>
      <c r="C2771" s="9" t="s">
        <v>4</v>
      </c>
      <c r="D2771" s="10">
        <v>1768.0740000000001</v>
      </c>
      <c r="E2771" s="10">
        <v>2204.0129999999999</v>
      </c>
      <c r="F2771" t="str">
        <f>VLOOKUP(A2771,StoreLookup,2,FALSE)</f>
        <v>Store#2</v>
      </c>
      <c r="G2771">
        <f>INDEX(CalLookUpTable,MATCH($B2771,CalLookUpRow,0),MATCH(G$1,CalLookUpColumn,0))</f>
        <v>2019</v>
      </c>
      <c r="H2771">
        <f>INDEX(CalLookUpTable,MATCH($B2771,CalLookUpRow,0),MATCH(H$1,CalLookUpColumn,0))</f>
        <v>8</v>
      </c>
      <c r="I2771">
        <f>INDEX(CalLookUpTable,MATCH($B2771,CalLookUpRow,0),MATCH(I$1,CalLookUpColumn,0))</f>
        <v>1</v>
      </c>
    </row>
    <row r="2772" spans="1:9" x14ac:dyDescent="0.25">
      <c r="A2772" s="7">
        <v>2</v>
      </c>
      <c r="B2772" s="8">
        <v>43676</v>
      </c>
      <c r="C2772" s="9" t="s">
        <v>5</v>
      </c>
      <c r="D2772" s="10">
        <v>1054.06</v>
      </c>
      <c r="E2772" s="10">
        <v>597.702</v>
      </c>
      <c r="F2772" t="str">
        <f>VLOOKUP(A2772,StoreLookup,2,FALSE)</f>
        <v>Store#2</v>
      </c>
      <c r="G2772">
        <f>INDEX(CalLookUpTable,MATCH($B2772,CalLookUpRow,0),MATCH(G$1,CalLookUpColumn,0))</f>
        <v>2019</v>
      </c>
      <c r="H2772">
        <f>INDEX(CalLookUpTable,MATCH($B2772,CalLookUpRow,0),MATCH(H$1,CalLookUpColumn,0))</f>
        <v>8</v>
      </c>
      <c r="I2772">
        <f>INDEX(CalLookUpTable,MATCH($B2772,CalLookUpRow,0),MATCH(I$1,CalLookUpColumn,0))</f>
        <v>1</v>
      </c>
    </row>
    <row r="2773" spans="1:9" x14ac:dyDescent="0.25">
      <c r="A2773" s="7">
        <v>2</v>
      </c>
      <c r="B2773" s="8">
        <v>43676</v>
      </c>
      <c r="C2773" s="9" t="s">
        <v>6</v>
      </c>
      <c r="D2773" s="10">
        <v>242.22800000000001</v>
      </c>
      <c r="E2773" s="10">
        <v>313.05399999999997</v>
      </c>
      <c r="F2773" t="str">
        <f>VLOOKUP(A2773,StoreLookup,2,FALSE)</f>
        <v>Store#2</v>
      </c>
      <c r="G2773">
        <f>INDEX(CalLookUpTable,MATCH($B2773,CalLookUpRow,0),MATCH(G$1,CalLookUpColumn,0))</f>
        <v>2019</v>
      </c>
      <c r="H2773">
        <f>INDEX(CalLookUpTable,MATCH($B2773,CalLookUpRow,0),MATCH(H$1,CalLookUpColumn,0))</f>
        <v>8</v>
      </c>
      <c r="I2773">
        <f>INDEX(CalLookUpTable,MATCH($B2773,CalLookUpRow,0),MATCH(I$1,CalLookUpColumn,0))</f>
        <v>1</v>
      </c>
    </row>
    <row r="2774" spans="1:9" x14ac:dyDescent="0.25">
      <c r="A2774" s="7">
        <v>2</v>
      </c>
      <c r="B2774" s="8">
        <v>43677</v>
      </c>
      <c r="C2774" s="9" t="s">
        <v>6</v>
      </c>
      <c r="D2774" s="10">
        <v>212.42199999999997</v>
      </c>
      <c r="E2774" s="10">
        <v>251.18099999999998</v>
      </c>
      <c r="F2774" t="str">
        <f>VLOOKUP(A2774,StoreLookup,2,FALSE)</f>
        <v>Store#2</v>
      </c>
      <c r="G2774">
        <f>INDEX(CalLookUpTable,MATCH($B2774,CalLookUpRow,0),MATCH(G$1,CalLookUpColumn,0))</f>
        <v>2019</v>
      </c>
      <c r="H2774">
        <f>INDEX(CalLookUpTable,MATCH($B2774,CalLookUpRow,0),MATCH(H$1,CalLookUpColumn,0))</f>
        <v>8</v>
      </c>
      <c r="I2774">
        <f>INDEX(CalLookUpTable,MATCH($B2774,CalLookUpRow,0),MATCH(I$1,CalLookUpColumn,0))</f>
        <v>1</v>
      </c>
    </row>
    <row r="2775" spans="1:9" x14ac:dyDescent="0.25">
      <c r="A2775" s="7">
        <v>2</v>
      </c>
      <c r="B2775" s="8">
        <v>43677</v>
      </c>
      <c r="C2775" s="9" t="s">
        <v>4</v>
      </c>
      <c r="D2775" s="10">
        <v>1975.5889999999999</v>
      </c>
      <c r="E2775" s="10">
        <v>2250.395</v>
      </c>
      <c r="F2775" t="str">
        <f>VLOOKUP(A2775,StoreLookup,2,FALSE)</f>
        <v>Store#2</v>
      </c>
      <c r="G2775">
        <f>INDEX(CalLookUpTable,MATCH($B2775,CalLookUpRow,0),MATCH(G$1,CalLookUpColumn,0))</f>
        <v>2019</v>
      </c>
      <c r="H2775">
        <f>INDEX(CalLookUpTable,MATCH($B2775,CalLookUpRow,0),MATCH(H$1,CalLookUpColumn,0))</f>
        <v>8</v>
      </c>
      <c r="I2775">
        <f>INDEX(CalLookUpTable,MATCH($B2775,CalLookUpRow,0),MATCH(I$1,CalLookUpColumn,0))</f>
        <v>1</v>
      </c>
    </row>
    <row r="2776" spans="1:9" x14ac:dyDescent="0.25">
      <c r="A2776" s="7">
        <v>2</v>
      </c>
      <c r="B2776" s="8">
        <v>43677</v>
      </c>
      <c r="C2776" s="9" t="s">
        <v>3</v>
      </c>
      <c r="D2776" s="10">
        <v>0</v>
      </c>
      <c r="E2776" s="10">
        <v>235.24899999999997</v>
      </c>
      <c r="F2776" t="str">
        <f>VLOOKUP(A2776,StoreLookup,2,FALSE)</f>
        <v>Store#2</v>
      </c>
      <c r="G2776">
        <f>INDEX(CalLookUpTable,MATCH($B2776,CalLookUpRow,0),MATCH(G$1,CalLookUpColumn,0))</f>
        <v>2019</v>
      </c>
      <c r="H2776">
        <f>INDEX(CalLookUpTable,MATCH($B2776,CalLookUpRow,0),MATCH(H$1,CalLookUpColumn,0))</f>
        <v>8</v>
      </c>
      <c r="I2776">
        <f>INDEX(CalLookUpTable,MATCH($B2776,CalLookUpRow,0),MATCH(I$1,CalLookUpColumn,0))</f>
        <v>1</v>
      </c>
    </row>
    <row r="2777" spans="1:9" x14ac:dyDescent="0.25">
      <c r="A2777" s="7">
        <v>2</v>
      </c>
      <c r="B2777" s="8">
        <v>43677</v>
      </c>
      <c r="C2777" s="9" t="s">
        <v>5</v>
      </c>
      <c r="D2777" s="10">
        <v>1106.0349999999999</v>
      </c>
      <c r="E2777" s="10">
        <v>667.49199999999996</v>
      </c>
      <c r="F2777" t="str">
        <f>VLOOKUP(A2777,StoreLookup,2,FALSE)</f>
        <v>Store#2</v>
      </c>
      <c r="G2777">
        <f>INDEX(CalLookUpTable,MATCH($B2777,CalLookUpRow,0),MATCH(G$1,CalLookUpColumn,0))</f>
        <v>2019</v>
      </c>
      <c r="H2777">
        <f>INDEX(CalLookUpTable,MATCH($B2777,CalLookUpRow,0),MATCH(H$1,CalLookUpColumn,0))</f>
        <v>8</v>
      </c>
      <c r="I2777">
        <f>INDEX(CalLookUpTable,MATCH($B2777,CalLookUpRow,0),MATCH(I$1,CalLookUpColumn,0))</f>
        <v>1</v>
      </c>
    </row>
    <row r="2778" spans="1:9" x14ac:dyDescent="0.25">
      <c r="A2778" s="7">
        <v>2</v>
      </c>
      <c r="B2778" s="8">
        <v>43678</v>
      </c>
      <c r="C2778" s="9" t="s">
        <v>5</v>
      </c>
      <c r="D2778" s="10">
        <v>1087.4079999999999</v>
      </c>
      <c r="E2778" s="10">
        <v>796.65599999999995</v>
      </c>
      <c r="F2778" t="str">
        <f>VLOOKUP(A2778,StoreLookup,2,FALSE)</f>
        <v>Store#2</v>
      </c>
      <c r="G2778">
        <f>INDEX(CalLookUpTable,MATCH($B2778,CalLookUpRow,0),MATCH(G$1,CalLookUpColumn,0))</f>
        <v>2019</v>
      </c>
      <c r="H2778">
        <f>INDEX(CalLookUpTable,MATCH($B2778,CalLookUpRow,0),MATCH(H$1,CalLookUpColumn,0))</f>
        <v>8</v>
      </c>
      <c r="I2778">
        <f>INDEX(CalLookUpTable,MATCH($B2778,CalLookUpRow,0),MATCH(I$1,CalLookUpColumn,0))</f>
        <v>1</v>
      </c>
    </row>
    <row r="2779" spans="1:9" x14ac:dyDescent="0.25">
      <c r="A2779" s="7">
        <v>2</v>
      </c>
      <c r="B2779" s="8">
        <v>43678</v>
      </c>
      <c r="C2779" s="9" t="s">
        <v>6</v>
      </c>
      <c r="D2779" s="10">
        <v>232.25299999999999</v>
      </c>
      <c r="E2779" s="10">
        <v>125.54499999999999</v>
      </c>
      <c r="F2779" t="str">
        <f>VLOOKUP(A2779,StoreLookup,2,FALSE)</f>
        <v>Store#2</v>
      </c>
      <c r="G2779">
        <f>INDEX(CalLookUpTable,MATCH($B2779,CalLookUpRow,0),MATCH(G$1,CalLookUpColumn,0))</f>
        <v>2019</v>
      </c>
      <c r="H2779">
        <f>INDEX(CalLookUpTable,MATCH($B2779,CalLookUpRow,0),MATCH(H$1,CalLookUpColumn,0))</f>
        <v>8</v>
      </c>
      <c r="I2779">
        <f>INDEX(CalLookUpTable,MATCH($B2779,CalLookUpRow,0),MATCH(I$1,CalLookUpColumn,0))</f>
        <v>1</v>
      </c>
    </row>
    <row r="2780" spans="1:9" x14ac:dyDescent="0.25">
      <c r="A2780" s="7">
        <v>2</v>
      </c>
      <c r="B2780" s="8">
        <v>43678</v>
      </c>
      <c r="C2780" s="9" t="s">
        <v>3</v>
      </c>
      <c r="D2780" s="10">
        <v>132.71299999999999</v>
      </c>
      <c r="E2780" s="10">
        <v>384.64299999999997</v>
      </c>
      <c r="F2780" t="str">
        <f>VLOOKUP(A2780,StoreLookup,2,FALSE)</f>
        <v>Store#2</v>
      </c>
      <c r="G2780">
        <f>INDEX(CalLookUpTable,MATCH($B2780,CalLookUpRow,0),MATCH(G$1,CalLookUpColumn,0))</f>
        <v>2019</v>
      </c>
      <c r="H2780">
        <f>INDEX(CalLookUpTable,MATCH($B2780,CalLookUpRow,0),MATCH(H$1,CalLookUpColumn,0))</f>
        <v>8</v>
      </c>
      <c r="I2780">
        <f>INDEX(CalLookUpTable,MATCH($B2780,CalLookUpRow,0),MATCH(I$1,CalLookUpColumn,0))</f>
        <v>1</v>
      </c>
    </row>
    <row r="2781" spans="1:9" x14ac:dyDescent="0.25">
      <c r="A2781" s="7">
        <v>2</v>
      </c>
      <c r="B2781" s="8">
        <v>43678</v>
      </c>
      <c r="C2781" s="9" t="s">
        <v>4</v>
      </c>
      <c r="D2781" s="10">
        <v>1521.7859999999998</v>
      </c>
      <c r="E2781" s="10">
        <v>2043.741</v>
      </c>
      <c r="F2781" t="str">
        <f>VLOOKUP(A2781,StoreLookup,2,FALSE)</f>
        <v>Store#2</v>
      </c>
      <c r="G2781">
        <f>INDEX(CalLookUpTable,MATCH($B2781,CalLookUpRow,0),MATCH(G$1,CalLookUpColumn,0))</f>
        <v>2019</v>
      </c>
      <c r="H2781">
        <f>INDEX(CalLookUpTable,MATCH($B2781,CalLookUpRow,0),MATCH(H$1,CalLookUpColumn,0))</f>
        <v>8</v>
      </c>
      <c r="I2781">
        <f>INDEX(CalLookUpTable,MATCH($B2781,CalLookUpRow,0),MATCH(I$1,CalLookUpColumn,0))</f>
        <v>1</v>
      </c>
    </row>
    <row r="2782" spans="1:9" x14ac:dyDescent="0.25">
      <c r="A2782" s="7">
        <v>2</v>
      </c>
      <c r="B2782" s="8">
        <v>43679</v>
      </c>
      <c r="C2782" s="9" t="s">
        <v>4</v>
      </c>
      <c r="D2782" s="10">
        <v>2333.3029999999999</v>
      </c>
      <c r="E2782" s="10">
        <v>2718.1279999999997</v>
      </c>
      <c r="F2782" t="str">
        <f>VLOOKUP(A2782,StoreLookup,2,FALSE)</f>
        <v>Store#2</v>
      </c>
      <c r="G2782">
        <f>INDEX(CalLookUpTable,MATCH($B2782,CalLookUpRow,0),MATCH(G$1,CalLookUpColumn,0))</f>
        <v>2019</v>
      </c>
      <c r="H2782">
        <f>INDEX(CalLookUpTable,MATCH($B2782,CalLookUpRow,0),MATCH(H$1,CalLookUpColumn,0))</f>
        <v>8</v>
      </c>
      <c r="I2782">
        <f>INDEX(CalLookUpTable,MATCH($B2782,CalLookUpRow,0),MATCH(I$1,CalLookUpColumn,0))</f>
        <v>1</v>
      </c>
    </row>
    <row r="2783" spans="1:9" x14ac:dyDescent="0.25">
      <c r="A2783" s="7">
        <v>2</v>
      </c>
      <c r="B2783" s="8">
        <v>43679</v>
      </c>
      <c r="C2783" s="9" t="s">
        <v>5</v>
      </c>
      <c r="D2783" s="10">
        <v>1441.1039999999998</v>
      </c>
      <c r="E2783" s="10">
        <v>790.63599999999997</v>
      </c>
      <c r="F2783" t="str">
        <f>VLOOKUP(A2783,StoreLookup,2,FALSE)</f>
        <v>Store#2</v>
      </c>
      <c r="G2783">
        <f>INDEX(CalLookUpTable,MATCH($B2783,CalLookUpRow,0),MATCH(G$1,CalLookUpColumn,0))</f>
        <v>2019</v>
      </c>
      <c r="H2783">
        <f>INDEX(CalLookUpTable,MATCH($B2783,CalLookUpRow,0),MATCH(H$1,CalLookUpColumn,0))</f>
        <v>8</v>
      </c>
      <c r="I2783">
        <f>INDEX(CalLookUpTable,MATCH($B2783,CalLookUpRow,0),MATCH(I$1,CalLookUpColumn,0))</f>
        <v>1</v>
      </c>
    </row>
    <row r="2784" spans="1:9" x14ac:dyDescent="0.25">
      <c r="A2784" s="7">
        <v>2</v>
      </c>
      <c r="B2784" s="8">
        <v>43679</v>
      </c>
      <c r="C2784" s="9" t="s">
        <v>3</v>
      </c>
      <c r="D2784" s="10">
        <v>193.03199999999998</v>
      </c>
      <c r="E2784" s="10">
        <v>24.611999999999995</v>
      </c>
      <c r="F2784" t="str">
        <f>VLOOKUP(A2784,StoreLookup,2,FALSE)</f>
        <v>Store#2</v>
      </c>
      <c r="G2784">
        <f>INDEX(CalLookUpTable,MATCH($B2784,CalLookUpRow,0),MATCH(G$1,CalLookUpColumn,0))</f>
        <v>2019</v>
      </c>
      <c r="H2784">
        <f>INDEX(CalLookUpTable,MATCH($B2784,CalLookUpRow,0),MATCH(H$1,CalLookUpColumn,0))</f>
        <v>8</v>
      </c>
      <c r="I2784">
        <f>INDEX(CalLookUpTable,MATCH($B2784,CalLookUpRow,0),MATCH(I$1,CalLookUpColumn,0))</f>
        <v>1</v>
      </c>
    </row>
    <row r="2785" spans="1:9" x14ac:dyDescent="0.25">
      <c r="A2785" s="7">
        <v>2</v>
      </c>
      <c r="B2785" s="8">
        <v>43679</v>
      </c>
      <c r="C2785" s="9" t="s">
        <v>6</v>
      </c>
      <c r="D2785" s="10">
        <v>437.22699999999998</v>
      </c>
      <c r="E2785" s="10">
        <v>517.26499999999999</v>
      </c>
      <c r="F2785" t="str">
        <f>VLOOKUP(A2785,StoreLookup,2,FALSE)</f>
        <v>Store#2</v>
      </c>
      <c r="G2785">
        <f>INDEX(CalLookUpTable,MATCH($B2785,CalLookUpRow,0),MATCH(G$1,CalLookUpColumn,0))</f>
        <v>2019</v>
      </c>
      <c r="H2785">
        <f>INDEX(CalLookUpTable,MATCH($B2785,CalLookUpRow,0),MATCH(H$1,CalLookUpColumn,0))</f>
        <v>8</v>
      </c>
      <c r="I2785">
        <f>INDEX(CalLookUpTable,MATCH($B2785,CalLookUpRow,0),MATCH(I$1,CalLookUpColumn,0))</f>
        <v>1</v>
      </c>
    </row>
    <row r="2786" spans="1:9" x14ac:dyDescent="0.25">
      <c r="A2786" s="7">
        <v>2</v>
      </c>
      <c r="B2786" s="8">
        <v>43680</v>
      </c>
      <c r="C2786" s="9" t="s">
        <v>6</v>
      </c>
      <c r="D2786" s="10">
        <v>279.39099999999996</v>
      </c>
      <c r="E2786" s="10">
        <v>548.82799999999997</v>
      </c>
      <c r="F2786" t="str">
        <f>VLOOKUP(A2786,StoreLookup,2,FALSE)</f>
        <v>Store#2</v>
      </c>
      <c r="G2786">
        <f>INDEX(CalLookUpTable,MATCH($B2786,CalLookUpRow,0),MATCH(G$1,CalLookUpColumn,0))</f>
        <v>2019</v>
      </c>
      <c r="H2786">
        <f>INDEX(CalLookUpTable,MATCH($B2786,CalLookUpRow,0),MATCH(H$1,CalLookUpColumn,0))</f>
        <v>8</v>
      </c>
      <c r="I2786">
        <f>INDEX(CalLookUpTable,MATCH($B2786,CalLookUpRow,0),MATCH(I$1,CalLookUpColumn,0))</f>
        <v>1</v>
      </c>
    </row>
    <row r="2787" spans="1:9" x14ac:dyDescent="0.25">
      <c r="A2787" s="7">
        <v>2</v>
      </c>
      <c r="B2787" s="8">
        <v>43680</v>
      </c>
      <c r="C2787" s="9" t="s">
        <v>3</v>
      </c>
      <c r="D2787" s="10">
        <v>20.628999999999998</v>
      </c>
      <c r="E2787" s="10">
        <v>20.986000000000001</v>
      </c>
      <c r="F2787" t="str">
        <f>VLOOKUP(A2787,StoreLookup,2,FALSE)</f>
        <v>Store#2</v>
      </c>
      <c r="G2787">
        <f>INDEX(CalLookUpTable,MATCH($B2787,CalLookUpRow,0),MATCH(G$1,CalLookUpColumn,0))</f>
        <v>2019</v>
      </c>
      <c r="H2787">
        <f>INDEX(CalLookUpTable,MATCH($B2787,CalLookUpRow,0),MATCH(H$1,CalLookUpColumn,0))</f>
        <v>8</v>
      </c>
      <c r="I2787">
        <f>INDEX(CalLookUpTable,MATCH($B2787,CalLookUpRow,0),MATCH(I$1,CalLookUpColumn,0))</f>
        <v>1</v>
      </c>
    </row>
    <row r="2788" spans="1:9" x14ac:dyDescent="0.25">
      <c r="A2788" s="7">
        <v>2</v>
      </c>
      <c r="B2788" s="8">
        <v>43680</v>
      </c>
      <c r="C2788" s="9" t="s">
        <v>4</v>
      </c>
      <c r="D2788" s="10">
        <v>2031.0219999999999</v>
      </c>
      <c r="E2788" s="10">
        <v>2608.3259999999996</v>
      </c>
      <c r="F2788" t="str">
        <f>VLOOKUP(A2788,StoreLookup,2,FALSE)</f>
        <v>Store#2</v>
      </c>
      <c r="G2788">
        <f>INDEX(CalLookUpTable,MATCH($B2788,CalLookUpRow,0),MATCH(G$1,CalLookUpColumn,0))</f>
        <v>2019</v>
      </c>
      <c r="H2788">
        <f>INDEX(CalLookUpTable,MATCH($B2788,CalLookUpRow,0),MATCH(H$1,CalLookUpColumn,0))</f>
        <v>8</v>
      </c>
      <c r="I2788">
        <f>INDEX(CalLookUpTable,MATCH($B2788,CalLookUpRow,0),MATCH(I$1,CalLookUpColumn,0))</f>
        <v>1</v>
      </c>
    </row>
    <row r="2789" spans="1:9" x14ac:dyDescent="0.25">
      <c r="A2789" s="7">
        <v>2</v>
      </c>
      <c r="B2789" s="8">
        <v>43680</v>
      </c>
      <c r="C2789" s="9" t="s">
        <v>5</v>
      </c>
      <c r="D2789" s="10">
        <v>1045.5830000000001</v>
      </c>
      <c r="E2789" s="10">
        <v>900.64800000000002</v>
      </c>
      <c r="F2789" t="str">
        <f>VLOOKUP(A2789,StoreLookup,2,FALSE)</f>
        <v>Store#2</v>
      </c>
      <c r="G2789">
        <f>INDEX(CalLookUpTable,MATCH($B2789,CalLookUpRow,0),MATCH(G$1,CalLookUpColumn,0))</f>
        <v>2019</v>
      </c>
      <c r="H2789">
        <f>INDEX(CalLookUpTable,MATCH($B2789,CalLookUpRow,0),MATCH(H$1,CalLookUpColumn,0))</f>
        <v>8</v>
      </c>
      <c r="I2789">
        <f>INDEX(CalLookUpTable,MATCH($B2789,CalLookUpRow,0),MATCH(I$1,CalLookUpColumn,0))</f>
        <v>1</v>
      </c>
    </row>
    <row r="2790" spans="1:9" x14ac:dyDescent="0.25">
      <c r="A2790" s="7">
        <v>2</v>
      </c>
      <c r="B2790" s="8">
        <v>43681</v>
      </c>
      <c r="C2790" s="9" t="s">
        <v>4</v>
      </c>
      <c r="D2790" s="10">
        <v>1463.7559999999999</v>
      </c>
      <c r="E2790" s="10">
        <v>1066.086</v>
      </c>
      <c r="F2790" t="str">
        <f>VLOOKUP(A2790,StoreLookup,2,FALSE)</f>
        <v>Store#2</v>
      </c>
      <c r="G2790">
        <f>INDEX(CalLookUpTable,MATCH($B2790,CalLookUpRow,0),MATCH(G$1,CalLookUpColumn,0))</f>
        <v>2019</v>
      </c>
      <c r="H2790">
        <f>INDEX(CalLookUpTable,MATCH($B2790,CalLookUpRow,0),MATCH(H$1,CalLookUpColumn,0))</f>
        <v>8</v>
      </c>
      <c r="I2790">
        <f>INDEX(CalLookUpTable,MATCH($B2790,CalLookUpRow,0),MATCH(I$1,CalLookUpColumn,0))</f>
        <v>1</v>
      </c>
    </row>
    <row r="2791" spans="1:9" x14ac:dyDescent="0.25">
      <c r="A2791" s="7">
        <v>2</v>
      </c>
      <c r="B2791" s="8">
        <v>43681</v>
      </c>
      <c r="C2791" s="9" t="s">
        <v>3</v>
      </c>
      <c r="D2791" s="10">
        <v>0</v>
      </c>
      <c r="E2791" s="10">
        <v>367.15</v>
      </c>
      <c r="F2791" t="str">
        <f>VLOOKUP(A2791,StoreLookup,2,FALSE)</f>
        <v>Store#2</v>
      </c>
      <c r="G2791">
        <f>INDEX(CalLookUpTable,MATCH($B2791,CalLookUpRow,0),MATCH(G$1,CalLookUpColumn,0))</f>
        <v>2019</v>
      </c>
      <c r="H2791">
        <f>INDEX(CalLookUpTable,MATCH($B2791,CalLookUpRow,0),MATCH(H$1,CalLookUpColumn,0))</f>
        <v>8</v>
      </c>
      <c r="I2791">
        <f>INDEX(CalLookUpTable,MATCH($B2791,CalLookUpRow,0),MATCH(I$1,CalLookUpColumn,0))</f>
        <v>1</v>
      </c>
    </row>
    <row r="2792" spans="1:9" x14ac:dyDescent="0.25">
      <c r="A2792" s="7">
        <v>2</v>
      </c>
      <c r="B2792" s="8">
        <v>43681</v>
      </c>
      <c r="C2792" s="9" t="s">
        <v>5</v>
      </c>
      <c r="D2792" s="10">
        <v>764.25299999999993</v>
      </c>
      <c r="E2792" s="10">
        <v>545.32799999999997</v>
      </c>
      <c r="F2792" t="str">
        <f>VLOOKUP(A2792,StoreLookup,2,FALSE)</f>
        <v>Store#2</v>
      </c>
      <c r="G2792">
        <f>INDEX(CalLookUpTable,MATCH($B2792,CalLookUpRow,0),MATCH(G$1,CalLookUpColumn,0))</f>
        <v>2019</v>
      </c>
      <c r="H2792">
        <f>INDEX(CalLookUpTable,MATCH($B2792,CalLookUpRow,0),MATCH(H$1,CalLookUpColumn,0))</f>
        <v>8</v>
      </c>
      <c r="I2792">
        <f>INDEX(CalLookUpTable,MATCH($B2792,CalLookUpRow,0),MATCH(I$1,CalLookUpColumn,0))</f>
        <v>1</v>
      </c>
    </row>
    <row r="2793" spans="1:9" x14ac:dyDescent="0.25">
      <c r="A2793" s="7">
        <v>2</v>
      </c>
      <c r="B2793" s="8">
        <v>43681</v>
      </c>
      <c r="C2793" s="9" t="s">
        <v>6</v>
      </c>
      <c r="D2793" s="10">
        <v>286.125</v>
      </c>
      <c r="E2793" s="10">
        <v>359.541</v>
      </c>
      <c r="F2793" t="str">
        <f>VLOOKUP(A2793,StoreLookup,2,FALSE)</f>
        <v>Store#2</v>
      </c>
      <c r="G2793">
        <f>INDEX(CalLookUpTable,MATCH($B2793,CalLookUpRow,0),MATCH(G$1,CalLookUpColumn,0))</f>
        <v>2019</v>
      </c>
      <c r="H2793">
        <f>INDEX(CalLookUpTable,MATCH($B2793,CalLookUpRow,0),MATCH(H$1,CalLookUpColumn,0))</f>
        <v>8</v>
      </c>
      <c r="I2793">
        <f>INDEX(CalLookUpTable,MATCH($B2793,CalLookUpRow,0),MATCH(I$1,CalLookUpColumn,0))</f>
        <v>1</v>
      </c>
    </row>
    <row r="2794" spans="1:9" x14ac:dyDescent="0.25">
      <c r="A2794" s="7">
        <v>2</v>
      </c>
      <c r="B2794" s="8">
        <v>43682</v>
      </c>
      <c r="C2794" s="9" t="s">
        <v>4</v>
      </c>
      <c r="D2794" s="10">
        <v>1823.9619999999998</v>
      </c>
      <c r="E2794" s="10">
        <v>1843.9119999999998</v>
      </c>
      <c r="F2794" t="str">
        <f>VLOOKUP(A2794,StoreLookup,2,FALSE)</f>
        <v>Store#2</v>
      </c>
      <c r="G2794">
        <f>INDEX(CalLookUpTable,MATCH($B2794,CalLookUpRow,0),MATCH(G$1,CalLookUpColumn,0))</f>
        <v>2019</v>
      </c>
      <c r="H2794">
        <f>INDEX(CalLookUpTable,MATCH($B2794,CalLookUpRow,0),MATCH(H$1,CalLookUpColumn,0))</f>
        <v>8</v>
      </c>
      <c r="I2794">
        <f>INDEX(CalLookUpTable,MATCH($B2794,CalLookUpRow,0),MATCH(I$1,CalLookUpColumn,0))</f>
        <v>2</v>
      </c>
    </row>
    <row r="2795" spans="1:9" x14ac:dyDescent="0.25">
      <c r="A2795" s="7">
        <v>2</v>
      </c>
      <c r="B2795" s="8">
        <v>43682</v>
      </c>
      <c r="C2795" s="9" t="s">
        <v>6</v>
      </c>
      <c r="D2795" s="10">
        <v>280.53199999999998</v>
      </c>
      <c r="E2795" s="10">
        <v>165.44499999999999</v>
      </c>
      <c r="F2795" t="str">
        <f>VLOOKUP(A2795,StoreLookup,2,FALSE)</f>
        <v>Store#2</v>
      </c>
      <c r="G2795">
        <f>INDEX(CalLookUpTable,MATCH($B2795,CalLookUpRow,0),MATCH(G$1,CalLookUpColumn,0))</f>
        <v>2019</v>
      </c>
      <c r="H2795">
        <f>INDEX(CalLookUpTable,MATCH($B2795,CalLookUpRow,0),MATCH(H$1,CalLookUpColumn,0))</f>
        <v>8</v>
      </c>
      <c r="I2795">
        <f>INDEX(CalLookUpTable,MATCH($B2795,CalLookUpRow,0),MATCH(I$1,CalLookUpColumn,0))</f>
        <v>2</v>
      </c>
    </row>
    <row r="2796" spans="1:9" x14ac:dyDescent="0.25">
      <c r="A2796" s="7">
        <v>2</v>
      </c>
      <c r="B2796" s="8">
        <v>43682</v>
      </c>
      <c r="C2796" s="9" t="s">
        <v>5</v>
      </c>
      <c r="D2796" s="10">
        <v>1040.508</v>
      </c>
      <c r="E2796" s="10">
        <v>850.90599999999995</v>
      </c>
      <c r="F2796" t="str">
        <f>VLOOKUP(A2796,StoreLookup,2,FALSE)</f>
        <v>Store#2</v>
      </c>
      <c r="G2796">
        <f>INDEX(CalLookUpTable,MATCH($B2796,CalLookUpRow,0),MATCH(G$1,CalLookUpColumn,0))</f>
        <v>2019</v>
      </c>
      <c r="H2796">
        <f>INDEX(CalLookUpTable,MATCH($B2796,CalLookUpRow,0),MATCH(H$1,CalLookUpColumn,0))</f>
        <v>8</v>
      </c>
      <c r="I2796">
        <f>INDEX(CalLookUpTable,MATCH($B2796,CalLookUpRow,0),MATCH(I$1,CalLookUpColumn,0))</f>
        <v>2</v>
      </c>
    </row>
    <row r="2797" spans="1:9" x14ac:dyDescent="0.25">
      <c r="A2797" s="7">
        <v>2</v>
      </c>
      <c r="B2797" s="8">
        <v>43682</v>
      </c>
      <c r="C2797" s="9" t="s">
        <v>3</v>
      </c>
      <c r="D2797" s="10">
        <v>0</v>
      </c>
      <c r="E2797" s="10">
        <v>292.69799999999998</v>
      </c>
      <c r="F2797" t="str">
        <f>VLOOKUP(A2797,StoreLookup,2,FALSE)</f>
        <v>Store#2</v>
      </c>
      <c r="G2797">
        <f>INDEX(CalLookUpTable,MATCH($B2797,CalLookUpRow,0),MATCH(G$1,CalLookUpColumn,0))</f>
        <v>2019</v>
      </c>
      <c r="H2797">
        <f>INDEX(CalLookUpTable,MATCH($B2797,CalLookUpRow,0),MATCH(H$1,CalLookUpColumn,0))</f>
        <v>8</v>
      </c>
      <c r="I2797">
        <f>INDEX(CalLookUpTable,MATCH($B2797,CalLookUpRow,0),MATCH(I$1,CalLookUpColumn,0))</f>
        <v>2</v>
      </c>
    </row>
    <row r="2798" spans="1:9" x14ac:dyDescent="0.25">
      <c r="A2798" s="7">
        <v>2</v>
      </c>
      <c r="B2798" s="8">
        <v>43683</v>
      </c>
      <c r="C2798" s="9" t="s">
        <v>4</v>
      </c>
      <c r="D2798" s="10">
        <v>1848.6019999999999</v>
      </c>
      <c r="E2798" s="10">
        <v>2257.3249999999998</v>
      </c>
      <c r="F2798" t="str">
        <f>VLOOKUP(A2798,StoreLookup,2,FALSE)</f>
        <v>Store#2</v>
      </c>
      <c r="G2798">
        <f>INDEX(CalLookUpTable,MATCH($B2798,CalLookUpRow,0),MATCH(G$1,CalLookUpColumn,0))</f>
        <v>2019</v>
      </c>
      <c r="H2798">
        <f>INDEX(CalLookUpTable,MATCH($B2798,CalLookUpRow,0),MATCH(H$1,CalLookUpColumn,0))</f>
        <v>8</v>
      </c>
      <c r="I2798">
        <f>INDEX(CalLookUpTable,MATCH($B2798,CalLookUpRow,0),MATCH(I$1,CalLookUpColumn,0))</f>
        <v>2</v>
      </c>
    </row>
    <row r="2799" spans="1:9" x14ac:dyDescent="0.25">
      <c r="A2799" s="7">
        <v>2</v>
      </c>
      <c r="B2799" s="8">
        <v>43683</v>
      </c>
      <c r="C2799" s="9" t="s">
        <v>5</v>
      </c>
      <c r="D2799" s="10">
        <v>1272.3129999999999</v>
      </c>
      <c r="E2799" s="10">
        <v>873.64199999999994</v>
      </c>
      <c r="F2799" t="str">
        <f>VLOOKUP(A2799,StoreLookup,2,FALSE)</f>
        <v>Store#2</v>
      </c>
      <c r="G2799">
        <f>INDEX(CalLookUpTable,MATCH($B2799,CalLookUpRow,0),MATCH(G$1,CalLookUpColumn,0))</f>
        <v>2019</v>
      </c>
      <c r="H2799">
        <f>INDEX(CalLookUpTable,MATCH($B2799,CalLookUpRow,0),MATCH(H$1,CalLookUpColumn,0))</f>
        <v>8</v>
      </c>
      <c r="I2799">
        <f>INDEX(CalLookUpTable,MATCH($B2799,CalLookUpRow,0),MATCH(I$1,CalLookUpColumn,0))</f>
        <v>2</v>
      </c>
    </row>
    <row r="2800" spans="1:9" x14ac:dyDescent="0.25">
      <c r="A2800" s="7">
        <v>2</v>
      </c>
      <c r="B2800" s="8">
        <v>43683</v>
      </c>
      <c r="C2800" s="9" t="s">
        <v>6</v>
      </c>
      <c r="D2800" s="10">
        <v>361.74599999999998</v>
      </c>
      <c r="E2800" s="10">
        <v>477.47699999999998</v>
      </c>
      <c r="F2800" t="str">
        <f>VLOOKUP(A2800,StoreLookup,2,FALSE)</f>
        <v>Store#2</v>
      </c>
      <c r="G2800">
        <f>INDEX(CalLookUpTable,MATCH($B2800,CalLookUpRow,0),MATCH(G$1,CalLookUpColumn,0))</f>
        <v>2019</v>
      </c>
      <c r="H2800">
        <f>INDEX(CalLookUpTable,MATCH($B2800,CalLookUpRow,0),MATCH(H$1,CalLookUpColumn,0))</f>
        <v>8</v>
      </c>
      <c r="I2800">
        <f>INDEX(CalLookUpTable,MATCH($B2800,CalLookUpRow,0),MATCH(I$1,CalLookUpColumn,0))</f>
        <v>2</v>
      </c>
    </row>
    <row r="2801" spans="1:9" x14ac:dyDescent="0.25">
      <c r="A2801" s="7">
        <v>2</v>
      </c>
      <c r="B2801" s="8">
        <v>43683</v>
      </c>
      <c r="C2801" s="9" t="s">
        <v>3</v>
      </c>
      <c r="D2801" s="10">
        <v>483.29399999999993</v>
      </c>
      <c r="E2801" s="10">
        <v>431.55699999999996</v>
      </c>
      <c r="F2801" t="str">
        <f>VLOOKUP(A2801,StoreLookup,2,FALSE)</f>
        <v>Store#2</v>
      </c>
      <c r="G2801">
        <f>INDEX(CalLookUpTable,MATCH($B2801,CalLookUpRow,0),MATCH(G$1,CalLookUpColumn,0))</f>
        <v>2019</v>
      </c>
      <c r="H2801">
        <f>INDEX(CalLookUpTable,MATCH($B2801,CalLookUpRow,0),MATCH(H$1,CalLookUpColumn,0))</f>
        <v>8</v>
      </c>
      <c r="I2801">
        <f>INDEX(CalLookUpTable,MATCH($B2801,CalLookUpRow,0),MATCH(I$1,CalLookUpColumn,0))</f>
        <v>2</v>
      </c>
    </row>
    <row r="2802" spans="1:9" x14ac:dyDescent="0.25">
      <c r="A2802" s="7">
        <v>2</v>
      </c>
      <c r="B2802" s="8">
        <v>43684</v>
      </c>
      <c r="C2802" s="9" t="s">
        <v>3</v>
      </c>
      <c r="D2802" s="10">
        <v>0</v>
      </c>
      <c r="E2802" s="10">
        <v>0</v>
      </c>
      <c r="F2802" t="str">
        <f>VLOOKUP(A2802,StoreLookup,2,FALSE)</f>
        <v>Store#2</v>
      </c>
      <c r="G2802">
        <f>INDEX(CalLookUpTable,MATCH($B2802,CalLookUpRow,0),MATCH(G$1,CalLookUpColumn,0))</f>
        <v>2019</v>
      </c>
      <c r="H2802">
        <f>INDEX(CalLookUpTable,MATCH($B2802,CalLookUpRow,0),MATCH(H$1,CalLookUpColumn,0))</f>
        <v>8</v>
      </c>
      <c r="I2802">
        <f>INDEX(CalLookUpTable,MATCH($B2802,CalLookUpRow,0),MATCH(I$1,CalLookUpColumn,0))</f>
        <v>2</v>
      </c>
    </row>
    <row r="2803" spans="1:9" x14ac:dyDescent="0.25">
      <c r="A2803" s="7">
        <v>2</v>
      </c>
      <c r="B2803" s="8">
        <v>43684</v>
      </c>
      <c r="C2803" s="9" t="s">
        <v>6</v>
      </c>
      <c r="D2803" s="10">
        <v>210.959</v>
      </c>
      <c r="E2803" s="10">
        <v>316.55399999999997</v>
      </c>
      <c r="F2803" t="str">
        <f>VLOOKUP(A2803,StoreLookup,2,FALSE)</f>
        <v>Store#2</v>
      </c>
      <c r="G2803">
        <f>INDEX(CalLookUpTable,MATCH($B2803,CalLookUpRow,0),MATCH(G$1,CalLookUpColumn,0))</f>
        <v>2019</v>
      </c>
      <c r="H2803">
        <f>INDEX(CalLookUpTable,MATCH($B2803,CalLookUpRow,0),MATCH(H$1,CalLookUpColumn,0))</f>
        <v>8</v>
      </c>
      <c r="I2803">
        <f>INDEX(CalLookUpTable,MATCH($B2803,CalLookUpRow,0),MATCH(I$1,CalLookUpColumn,0))</f>
        <v>2</v>
      </c>
    </row>
    <row r="2804" spans="1:9" x14ac:dyDescent="0.25">
      <c r="A2804" s="7">
        <v>2</v>
      </c>
      <c r="B2804" s="8">
        <v>43684</v>
      </c>
      <c r="C2804" s="9" t="s">
        <v>4</v>
      </c>
      <c r="D2804" s="10">
        <v>1990.8139999999999</v>
      </c>
      <c r="E2804" s="10">
        <v>1848.6019999999999</v>
      </c>
      <c r="F2804" t="str">
        <f>VLOOKUP(A2804,StoreLookup,2,FALSE)</f>
        <v>Store#2</v>
      </c>
      <c r="G2804">
        <f>INDEX(CalLookUpTable,MATCH($B2804,CalLookUpRow,0),MATCH(G$1,CalLookUpColumn,0))</f>
        <v>2019</v>
      </c>
      <c r="H2804">
        <f>INDEX(CalLookUpTable,MATCH($B2804,CalLookUpRow,0),MATCH(H$1,CalLookUpColumn,0))</f>
        <v>8</v>
      </c>
      <c r="I2804">
        <f>INDEX(CalLookUpTable,MATCH($B2804,CalLookUpRow,0),MATCH(I$1,CalLookUpColumn,0))</f>
        <v>2</v>
      </c>
    </row>
    <row r="2805" spans="1:9" x14ac:dyDescent="0.25">
      <c r="A2805" s="7">
        <v>2</v>
      </c>
      <c r="B2805" s="8">
        <v>43684</v>
      </c>
      <c r="C2805" s="9" t="s">
        <v>5</v>
      </c>
      <c r="D2805" s="10">
        <v>836.21999999999991</v>
      </c>
      <c r="E2805" s="10">
        <v>658.8119999999999</v>
      </c>
      <c r="F2805" t="str">
        <f>VLOOKUP(A2805,StoreLookup,2,FALSE)</f>
        <v>Store#2</v>
      </c>
      <c r="G2805">
        <f>INDEX(CalLookUpTable,MATCH($B2805,CalLookUpRow,0),MATCH(G$1,CalLookUpColumn,0))</f>
        <v>2019</v>
      </c>
      <c r="H2805">
        <f>INDEX(CalLookUpTable,MATCH($B2805,CalLookUpRow,0),MATCH(H$1,CalLookUpColumn,0))</f>
        <v>8</v>
      </c>
      <c r="I2805">
        <f>INDEX(CalLookUpTable,MATCH($B2805,CalLookUpRow,0),MATCH(I$1,CalLookUpColumn,0))</f>
        <v>2</v>
      </c>
    </row>
    <row r="2806" spans="1:9" x14ac:dyDescent="0.25">
      <c r="A2806" s="7">
        <v>2</v>
      </c>
      <c r="B2806" s="8">
        <v>43685</v>
      </c>
      <c r="C2806" s="9" t="s">
        <v>4</v>
      </c>
      <c r="D2806" s="10">
        <v>1837.0729999999999</v>
      </c>
      <c r="E2806" s="10">
        <v>2510.578</v>
      </c>
      <c r="F2806" t="str">
        <f>VLOOKUP(A2806,StoreLookup,2,FALSE)</f>
        <v>Store#2</v>
      </c>
      <c r="G2806">
        <f>INDEX(CalLookUpTable,MATCH($B2806,CalLookUpRow,0),MATCH(G$1,CalLookUpColumn,0))</f>
        <v>2019</v>
      </c>
      <c r="H2806">
        <f>INDEX(CalLookUpTable,MATCH($B2806,CalLookUpRow,0),MATCH(H$1,CalLookUpColumn,0))</f>
        <v>8</v>
      </c>
      <c r="I2806">
        <f>INDEX(CalLookUpTable,MATCH($B2806,CalLookUpRow,0),MATCH(I$1,CalLookUpColumn,0))</f>
        <v>2</v>
      </c>
    </row>
    <row r="2807" spans="1:9" x14ac:dyDescent="0.25">
      <c r="A2807" s="7">
        <v>2</v>
      </c>
      <c r="B2807" s="8">
        <v>43685</v>
      </c>
      <c r="C2807" s="9" t="s">
        <v>6</v>
      </c>
      <c r="D2807" s="10">
        <v>430.85699999999997</v>
      </c>
      <c r="E2807" s="10">
        <v>580.34199999999987</v>
      </c>
      <c r="F2807" t="str">
        <f>VLOOKUP(A2807,StoreLookup,2,FALSE)</f>
        <v>Store#2</v>
      </c>
      <c r="G2807">
        <f>INDEX(CalLookUpTable,MATCH($B2807,CalLookUpRow,0),MATCH(G$1,CalLookUpColumn,0))</f>
        <v>2019</v>
      </c>
      <c r="H2807">
        <f>INDEX(CalLookUpTable,MATCH($B2807,CalLookUpRow,0),MATCH(H$1,CalLookUpColumn,0))</f>
        <v>8</v>
      </c>
      <c r="I2807">
        <f>INDEX(CalLookUpTable,MATCH($B2807,CalLookUpRow,0),MATCH(I$1,CalLookUpColumn,0))</f>
        <v>2</v>
      </c>
    </row>
    <row r="2808" spans="1:9" x14ac:dyDescent="0.25">
      <c r="A2808" s="7">
        <v>2</v>
      </c>
      <c r="B2808" s="8">
        <v>43685</v>
      </c>
      <c r="C2808" s="9" t="s">
        <v>5</v>
      </c>
      <c r="D2808" s="10">
        <v>1334.4029999999998</v>
      </c>
      <c r="E2808" s="10">
        <v>710.75199999999995</v>
      </c>
      <c r="F2808" t="str">
        <f>VLOOKUP(A2808,StoreLookup,2,FALSE)</f>
        <v>Store#2</v>
      </c>
      <c r="G2808">
        <f>INDEX(CalLookUpTable,MATCH($B2808,CalLookUpRow,0),MATCH(G$1,CalLookUpColumn,0))</f>
        <v>2019</v>
      </c>
      <c r="H2808">
        <f>INDEX(CalLookUpTable,MATCH($B2808,CalLookUpRow,0),MATCH(H$1,CalLookUpColumn,0))</f>
        <v>8</v>
      </c>
      <c r="I2808">
        <f>INDEX(CalLookUpTable,MATCH($B2808,CalLookUpRow,0),MATCH(I$1,CalLookUpColumn,0))</f>
        <v>2</v>
      </c>
    </row>
    <row r="2809" spans="1:9" x14ac:dyDescent="0.25">
      <c r="A2809" s="7">
        <v>2</v>
      </c>
      <c r="B2809" s="8">
        <v>43685</v>
      </c>
      <c r="C2809" s="9" t="s">
        <v>3</v>
      </c>
      <c r="D2809" s="10">
        <v>315.93799999999999</v>
      </c>
      <c r="E2809" s="10">
        <v>155.386</v>
      </c>
      <c r="F2809" t="str">
        <f>VLOOKUP(A2809,StoreLookup,2,FALSE)</f>
        <v>Store#2</v>
      </c>
      <c r="G2809">
        <f>INDEX(CalLookUpTable,MATCH($B2809,CalLookUpRow,0),MATCH(G$1,CalLookUpColumn,0))</f>
        <v>2019</v>
      </c>
      <c r="H2809">
        <f>INDEX(CalLookUpTable,MATCH($B2809,CalLookUpRow,0),MATCH(H$1,CalLookUpColumn,0))</f>
        <v>8</v>
      </c>
      <c r="I2809">
        <f>INDEX(CalLookUpTable,MATCH($B2809,CalLookUpRow,0),MATCH(I$1,CalLookUpColumn,0))</f>
        <v>2</v>
      </c>
    </row>
    <row r="2810" spans="1:9" x14ac:dyDescent="0.25">
      <c r="A2810" s="7">
        <v>2</v>
      </c>
      <c r="B2810" s="8">
        <v>43686</v>
      </c>
      <c r="C2810" s="9" t="s">
        <v>4</v>
      </c>
      <c r="D2810" s="10">
        <v>2673.58</v>
      </c>
      <c r="E2810" s="10">
        <v>2454.9979999999996</v>
      </c>
      <c r="F2810" t="str">
        <f>VLOOKUP(A2810,StoreLookup,2,FALSE)</f>
        <v>Store#2</v>
      </c>
      <c r="G2810">
        <f>INDEX(CalLookUpTable,MATCH($B2810,CalLookUpRow,0),MATCH(G$1,CalLookUpColumn,0))</f>
        <v>2019</v>
      </c>
      <c r="H2810">
        <f>INDEX(CalLookUpTable,MATCH($B2810,CalLookUpRow,0),MATCH(H$1,CalLookUpColumn,0))</f>
        <v>8</v>
      </c>
      <c r="I2810">
        <f>INDEX(CalLookUpTable,MATCH($B2810,CalLookUpRow,0),MATCH(I$1,CalLookUpColumn,0))</f>
        <v>2</v>
      </c>
    </row>
    <row r="2811" spans="1:9" x14ac:dyDescent="0.25">
      <c r="A2811" s="7">
        <v>2</v>
      </c>
      <c r="B2811" s="8">
        <v>43686</v>
      </c>
      <c r="C2811" s="9" t="s">
        <v>3</v>
      </c>
      <c r="D2811" s="10">
        <v>236.10300000000001</v>
      </c>
      <c r="E2811" s="10">
        <v>298.08799999999997</v>
      </c>
      <c r="F2811" t="str">
        <f>VLOOKUP(A2811,StoreLookup,2,FALSE)</f>
        <v>Store#2</v>
      </c>
      <c r="G2811">
        <f>INDEX(CalLookUpTable,MATCH($B2811,CalLookUpRow,0),MATCH(G$1,CalLookUpColumn,0))</f>
        <v>2019</v>
      </c>
      <c r="H2811">
        <f>INDEX(CalLookUpTable,MATCH($B2811,CalLookUpRow,0),MATCH(H$1,CalLookUpColumn,0))</f>
        <v>8</v>
      </c>
      <c r="I2811">
        <f>INDEX(CalLookUpTable,MATCH($B2811,CalLookUpRow,0),MATCH(I$1,CalLookUpColumn,0))</f>
        <v>2</v>
      </c>
    </row>
    <row r="2812" spans="1:9" x14ac:dyDescent="0.25">
      <c r="A2812" s="7">
        <v>2</v>
      </c>
      <c r="B2812" s="8">
        <v>43686</v>
      </c>
      <c r="C2812" s="9" t="s">
        <v>5</v>
      </c>
      <c r="D2812" s="10">
        <v>1165.8219999999999</v>
      </c>
      <c r="E2812" s="10">
        <v>859.43899999999996</v>
      </c>
      <c r="F2812" t="str">
        <f>VLOOKUP(A2812,StoreLookup,2,FALSE)</f>
        <v>Store#2</v>
      </c>
      <c r="G2812">
        <f>INDEX(CalLookUpTable,MATCH($B2812,CalLookUpRow,0),MATCH(G$1,CalLookUpColumn,0))</f>
        <v>2019</v>
      </c>
      <c r="H2812">
        <f>INDEX(CalLookUpTable,MATCH($B2812,CalLookUpRow,0),MATCH(H$1,CalLookUpColumn,0))</f>
        <v>8</v>
      </c>
      <c r="I2812">
        <f>INDEX(CalLookUpTable,MATCH($B2812,CalLookUpRow,0),MATCH(I$1,CalLookUpColumn,0))</f>
        <v>2</v>
      </c>
    </row>
    <row r="2813" spans="1:9" x14ac:dyDescent="0.25">
      <c r="A2813" s="7">
        <v>2</v>
      </c>
      <c r="B2813" s="8">
        <v>43686</v>
      </c>
      <c r="C2813" s="9" t="s">
        <v>6</v>
      </c>
      <c r="D2813" s="10">
        <v>405.35599999999999</v>
      </c>
      <c r="E2813" s="10">
        <v>418.78199999999998</v>
      </c>
      <c r="F2813" t="str">
        <f>VLOOKUP(A2813,StoreLookup,2,FALSE)</f>
        <v>Store#2</v>
      </c>
      <c r="G2813">
        <f>INDEX(CalLookUpTable,MATCH($B2813,CalLookUpRow,0),MATCH(G$1,CalLookUpColumn,0))</f>
        <v>2019</v>
      </c>
      <c r="H2813">
        <f>INDEX(CalLookUpTable,MATCH($B2813,CalLookUpRow,0),MATCH(H$1,CalLookUpColumn,0))</f>
        <v>8</v>
      </c>
      <c r="I2813">
        <f>INDEX(CalLookUpTable,MATCH($B2813,CalLookUpRow,0),MATCH(I$1,CalLookUpColumn,0))</f>
        <v>2</v>
      </c>
    </row>
    <row r="2814" spans="1:9" x14ac:dyDescent="0.25">
      <c r="A2814" s="7">
        <v>2</v>
      </c>
      <c r="B2814" s="8">
        <v>43687</v>
      </c>
      <c r="C2814" s="9" t="s">
        <v>4</v>
      </c>
      <c r="D2814" s="10">
        <v>1547.3289999999997</v>
      </c>
      <c r="E2814" s="10">
        <v>1987.0899999999997</v>
      </c>
      <c r="F2814" t="str">
        <f>VLOOKUP(A2814,StoreLookup,2,FALSE)</f>
        <v>Store#2</v>
      </c>
      <c r="G2814">
        <f>INDEX(CalLookUpTable,MATCH($B2814,CalLookUpRow,0),MATCH(G$1,CalLookUpColumn,0))</f>
        <v>2019</v>
      </c>
      <c r="H2814">
        <f>INDEX(CalLookUpTable,MATCH($B2814,CalLookUpRow,0),MATCH(H$1,CalLookUpColumn,0))</f>
        <v>8</v>
      </c>
      <c r="I2814">
        <f>INDEX(CalLookUpTable,MATCH($B2814,CalLookUpRow,0),MATCH(I$1,CalLookUpColumn,0))</f>
        <v>2</v>
      </c>
    </row>
    <row r="2815" spans="1:9" x14ac:dyDescent="0.25">
      <c r="A2815" s="7">
        <v>2</v>
      </c>
      <c r="B2815" s="8">
        <v>43687</v>
      </c>
      <c r="C2815" s="9" t="s">
        <v>6</v>
      </c>
      <c r="D2815" s="10">
        <v>532.52499999999998</v>
      </c>
      <c r="E2815" s="10">
        <v>424.64099999999996</v>
      </c>
      <c r="F2815" t="str">
        <f>VLOOKUP(A2815,StoreLookup,2,FALSE)</f>
        <v>Store#2</v>
      </c>
      <c r="G2815">
        <f>INDEX(CalLookUpTable,MATCH($B2815,CalLookUpRow,0),MATCH(G$1,CalLookUpColumn,0))</f>
        <v>2019</v>
      </c>
      <c r="H2815">
        <f>INDEX(CalLookUpTable,MATCH($B2815,CalLookUpRow,0),MATCH(H$1,CalLookUpColumn,0))</f>
        <v>8</v>
      </c>
      <c r="I2815">
        <f>INDEX(CalLookUpTable,MATCH($B2815,CalLookUpRow,0),MATCH(I$1,CalLookUpColumn,0))</f>
        <v>2</v>
      </c>
    </row>
    <row r="2816" spans="1:9" x14ac:dyDescent="0.25">
      <c r="A2816" s="7">
        <v>2</v>
      </c>
      <c r="B2816" s="8">
        <v>43687</v>
      </c>
      <c r="C2816" s="9" t="s">
        <v>5</v>
      </c>
      <c r="D2816" s="10">
        <v>1028.1389999999999</v>
      </c>
      <c r="E2816" s="10">
        <v>894.10299999999995</v>
      </c>
      <c r="F2816" t="str">
        <f>VLOOKUP(A2816,StoreLookup,2,FALSE)</f>
        <v>Store#2</v>
      </c>
      <c r="G2816">
        <f>INDEX(CalLookUpTable,MATCH($B2816,CalLookUpRow,0),MATCH(G$1,CalLookUpColumn,0))</f>
        <v>2019</v>
      </c>
      <c r="H2816">
        <f>INDEX(CalLookUpTable,MATCH($B2816,CalLookUpRow,0),MATCH(H$1,CalLookUpColumn,0))</f>
        <v>8</v>
      </c>
      <c r="I2816">
        <f>INDEX(CalLookUpTable,MATCH($B2816,CalLookUpRow,0),MATCH(I$1,CalLookUpColumn,0))</f>
        <v>2</v>
      </c>
    </row>
    <row r="2817" spans="1:9" x14ac:dyDescent="0.25">
      <c r="A2817" s="7">
        <v>2</v>
      </c>
      <c r="B2817" s="8">
        <v>43687</v>
      </c>
      <c r="C2817" s="9" t="s">
        <v>3</v>
      </c>
      <c r="D2817" s="10">
        <v>0</v>
      </c>
      <c r="E2817" s="10">
        <v>0</v>
      </c>
      <c r="F2817" t="str">
        <f>VLOOKUP(A2817,StoreLookup,2,FALSE)</f>
        <v>Store#2</v>
      </c>
      <c r="G2817">
        <f>INDEX(CalLookUpTable,MATCH($B2817,CalLookUpRow,0),MATCH(G$1,CalLookUpColumn,0))</f>
        <v>2019</v>
      </c>
      <c r="H2817">
        <f>INDEX(CalLookUpTable,MATCH($B2817,CalLookUpRow,0),MATCH(H$1,CalLookUpColumn,0))</f>
        <v>8</v>
      </c>
      <c r="I2817">
        <f>INDEX(CalLookUpTable,MATCH($B2817,CalLookUpRow,0),MATCH(I$1,CalLookUpColumn,0))</f>
        <v>2</v>
      </c>
    </row>
    <row r="2818" spans="1:9" x14ac:dyDescent="0.25">
      <c r="A2818" s="7">
        <v>2</v>
      </c>
      <c r="B2818" s="8">
        <v>43688</v>
      </c>
      <c r="C2818" s="9" t="s">
        <v>4</v>
      </c>
      <c r="D2818" s="10">
        <v>1181.173</v>
      </c>
      <c r="E2818" s="10">
        <v>1085.672</v>
      </c>
      <c r="F2818" t="str">
        <f>VLOOKUP(A2818,StoreLookup,2,FALSE)</f>
        <v>Store#2</v>
      </c>
      <c r="G2818">
        <f>INDEX(CalLookUpTable,MATCH($B2818,CalLookUpRow,0),MATCH(G$1,CalLookUpColumn,0))</f>
        <v>2019</v>
      </c>
      <c r="H2818">
        <f>INDEX(CalLookUpTable,MATCH($B2818,CalLookUpRow,0),MATCH(H$1,CalLookUpColumn,0))</f>
        <v>8</v>
      </c>
      <c r="I2818">
        <f>INDEX(CalLookUpTable,MATCH($B2818,CalLookUpRow,0),MATCH(I$1,CalLookUpColumn,0))</f>
        <v>2</v>
      </c>
    </row>
    <row r="2819" spans="1:9" x14ac:dyDescent="0.25">
      <c r="A2819" s="7">
        <v>2</v>
      </c>
      <c r="B2819" s="8">
        <v>43688</v>
      </c>
      <c r="C2819" s="9" t="s">
        <v>3</v>
      </c>
      <c r="D2819" s="10">
        <v>0</v>
      </c>
      <c r="E2819" s="10">
        <v>0</v>
      </c>
      <c r="F2819" t="str">
        <f>VLOOKUP(A2819,StoreLookup,2,FALSE)</f>
        <v>Store#2</v>
      </c>
      <c r="G2819">
        <f>INDEX(CalLookUpTable,MATCH($B2819,CalLookUpRow,0),MATCH(G$1,CalLookUpColumn,0))</f>
        <v>2019</v>
      </c>
      <c r="H2819">
        <f>INDEX(CalLookUpTable,MATCH($B2819,CalLookUpRow,0),MATCH(H$1,CalLookUpColumn,0))</f>
        <v>8</v>
      </c>
      <c r="I2819">
        <f>INDEX(CalLookUpTable,MATCH($B2819,CalLookUpRow,0),MATCH(I$1,CalLookUpColumn,0))</f>
        <v>2</v>
      </c>
    </row>
    <row r="2820" spans="1:9" x14ac:dyDescent="0.25">
      <c r="A2820" s="7">
        <v>2</v>
      </c>
      <c r="B2820" s="8">
        <v>43688</v>
      </c>
      <c r="C2820" s="9" t="s">
        <v>5</v>
      </c>
      <c r="D2820" s="10">
        <v>676.59199999999987</v>
      </c>
      <c r="E2820" s="10">
        <v>439.52299999999997</v>
      </c>
      <c r="F2820" t="str">
        <f>VLOOKUP(A2820,StoreLookup,2,FALSE)</f>
        <v>Store#2</v>
      </c>
      <c r="G2820">
        <f>INDEX(CalLookUpTable,MATCH($B2820,CalLookUpRow,0),MATCH(G$1,CalLookUpColumn,0))</f>
        <v>2019</v>
      </c>
      <c r="H2820">
        <f>INDEX(CalLookUpTable,MATCH($B2820,CalLookUpRow,0),MATCH(H$1,CalLookUpColumn,0))</f>
        <v>8</v>
      </c>
      <c r="I2820">
        <f>INDEX(CalLookUpTable,MATCH($B2820,CalLookUpRow,0),MATCH(I$1,CalLookUpColumn,0))</f>
        <v>2</v>
      </c>
    </row>
    <row r="2821" spans="1:9" x14ac:dyDescent="0.25">
      <c r="A2821" s="7">
        <v>2</v>
      </c>
      <c r="B2821" s="8">
        <v>43688</v>
      </c>
      <c r="C2821" s="9" t="s">
        <v>6</v>
      </c>
      <c r="D2821" s="10">
        <v>224.595</v>
      </c>
      <c r="E2821" s="10">
        <v>436.32400000000001</v>
      </c>
      <c r="F2821" t="str">
        <f>VLOOKUP(A2821,StoreLookup,2,FALSE)</f>
        <v>Store#2</v>
      </c>
      <c r="G2821">
        <f>INDEX(CalLookUpTable,MATCH($B2821,CalLookUpRow,0),MATCH(G$1,CalLookUpColumn,0))</f>
        <v>2019</v>
      </c>
      <c r="H2821">
        <f>INDEX(CalLookUpTable,MATCH($B2821,CalLookUpRow,0),MATCH(H$1,CalLookUpColumn,0))</f>
        <v>8</v>
      </c>
      <c r="I2821">
        <f>INDEX(CalLookUpTable,MATCH($B2821,CalLookUpRow,0),MATCH(I$1,CalLookUpColumn,0))</f>
        <v>2</v>
      </c>
    </row>
    <row r="2822" spans="1:9" x14ac:dyDescent="0.25">
      <c r="A2822" s="7">
        <v>2</v>
      </c>
      <c r="B2822" s="8">
        <v>43689</v>
      </c>
      <c r="C2822" s="9" t="s">
        <v>3</v>
      </c>
      <c r="D2822" s="10">
        <v>132.71299999999999</v>
      </c>
      <c r="E2822" s="10">
        <v>0</v>
      </c>
      <c r="F2822" t="str">
        <f>VLOOKUP(A2822,StoreLookup,2,FALSE)</f>
        <v>Store#2</v>
      </c>
      <c r="G2822">
        <f>INDEX(CalLookUpTable,MATCH($B2822,CalLookUpRow,0),MATCH(G$1,CalLookUpColumn,0))</f>
        <v>2019</v>
      </c>
      <c r="H2822">
        <f>INDEX(CalLookUpTable,MATCH($B2822,CalLookUpRow,0),MATCH(H$1,CalLookUpColumn,0))</f>
        <v>8</v>
      </c>
      <c r="I2822">
        <f>INDEX(CalLookUpTable,MATCH($B2822,CalLookUpRow,0),MATCH(I$1,CalLookUpColumn,0))</f>
        <v>3</v>
      </c>
    </row>
    <row r="2823" spans="1:9" x14ac:dyDescent="0.25">
      <c r="A2823" s="7">
        <v>2</v>
      </c>
      <c r="B2823" s="8">
        <v>43689</v>
      </c>
      <c r="C2823" s="9" t="s">
        <v>6</v>
      </c>
      <c r="D2823" s="10">
        <v>296.68099999999998</v>
      </c>
      <c r="E2823" s="10">
        <v>196.58799999999997</v>
      </c>
      <c r="F2823" t="str">
        <f>VLOOKUP(A2823,StoreLookup,2,FALSE)</f>
        <v>Store#2</v>
      </c>
      <c r="G2823">
        <f>INDEX(CalLookUpTable,MATCH($B2823,CalLookUpRow,0),MATCH(G$1,CalLookUpColumn,0))</f>
        <v>2019</v>
      </c>
      <c r="H2823">
        <f>INDEX(CalLookUpTable,MATCH($B2823,CalLookUpRow,0),MATCH(H$1,CalLookUpColumn,0))</f>
        <v>8</v>
      </c>
      <c r="I2823">
        <f>INDEX(CalLookUpTable,MATCH($B2823,CalLookUpRow,0),MATCH(I$1,CalLookUpColumn,0))</f>
        <v>3</v>
      </c>
    </row>
    <row r="2824" spans="1:9" x14ac:dyDescent="0.25">
      <c r="A2824" s="7">
        <v>2</v>
      </c>
      <c r="B2824" s="8">
        <v>43689</v>
      </c>
      <c r="C2824" s="9" t="s">
        <v>5</v>
      </c>
      <c r="D2824" s="10">
        <v>973.22399999999993</v>
      </c>
      <c r="E2824" s="10">
        <v>719.31999999999994</v>
      </c>
      <c r="F2824" t="str">
        <f>VLOOKUP(A2824,StoreLookup,2,FALSE)</f>
        <v>Store#2</v>
      </c>
      <c r="G2824">
        <f>INDEX(CalLookUpTable,MATCH($B2824,CalLookUpRow,0),MATCH(G$1,CalLookUpColumn,0))</f>
        <v>2019</v>
      </c>
      <c r="H2824">
        <f>INDEX(CalLookUpTable,MATCH($B2824,CalLookUpRow,0),MATCH(H$1,CalLookUpColumn,0))</f>
        <v>8</v>
      </c>
      <c r="I2824">
        <f>INDEX(CalLookUpTable,MATCH($B2824,CalLookUpRow,0),MATCH(I$1,CalLookUpColumn,0))</f>
        <v>3</v>
      </c>
    </row>
    <row r="2825" spans="1:9" x14ac:dyDescent="0.25">
      <c r="A2825" s="7">
        <v>2</v>
      </c>
      <c r="B2825" s="8">
        <v>43689</v>
      </c>
      <c r="C2825" s="9" t="s">
        <v>4</v>
      </c>
      <c r="D2825" s="10">
        <v>1564.01</v>
      </c>
      <c r="E2825" s="10">
        <v>1833.5589999999997</v>
      </c>
      <c r="F2825" t="str">
        <f>VLOOKUP(A2825,StoreLookup,2,FALSE)</f>
        <v>Store#2</v>
      </c>
      <c r="G2825">
        <f>INDEX(CalLookUpTable,MATCH($B2825,CalLookUpRow,0),MATCH(G$1,CalLookUpColumn,0))</f>
        <v>2019</v>
      </c>
      <c r="H2825">
        <f>INDEX(CalLookUpTable,MATCH($B2825,CalLookUpRow,0),MATCH(H$1,CalLookUpColumn,0))</f>
        <v>8</v>
      </c>
      <c r="I2825">
        <f>INDEX(CalLookUpTable,MATCH($B2825,CalLookUpRow,0),MATCH(I$1,CalLookUpColumn,0))</f>
        <v>3</v>
      </c>
    </row>
    <row r="2826" spans="1:9" x14ac:dyDescent="0.25">
      <c r="A2826" s="7">
        <v>2</v>
      </c>
      <c r="B2826" s="8">
        <v>43690</v>
      </c>
      <c r="C2826" s="9" t="s">
        <v>6</v>
      </c>
      <c r="D2826" s="10">
        <v>198.15599999999998</v>
      </c>
      <c r="E2826" s="10">
        <v>350.74899999999997</v>
      </c>
      <c r="F2826" t="str">
        <f>VLOOKUP(A2826,StoreLookup,2,FALSE)</f>
        <v>Store#2</v>
      </c>
      <c r="G2826">
        <f>INDEX(CalLookUpTable,MATCH($B2826,CalLookUpRow,0),MATCH(G$1,CalLookUpColumn,0))</f>
        <v>2019</v>
      </c>
      <c r="H2826">
        <f>INDEX(CalLookUpTable,MATCH($B2826,CalLookUpRow,0),MATCH(H$1,CalLookUpColumn,0))</f>
        <v>8</v>
      </c>
      <c r="I2826">
        <f>INDEX(CalLookUpTable,MATCH($B2826,CalLookUpRow,0),MATCH(I$1,CalLookUpColumn,0))</f>
        <v>3</v>
      </c>
    </row>
    <row r="2827" spans="1:9" x14ac:dyDescent="0.25">
      <c r="A2827" s="7">
        <v>2</v>
      </c>
      <c r="B2827" s="8">
        <v>43690</v>
      </c>
      <c r="C2827" s="9" t="s">
        <v>4</v>
      </c>
      <c r="D2827" s="10">
        <v>2188.6549999999997</v>
      </c>
      <c r="E2827" s="10">
        <v>2323.174</v>
      </c>
      <c r="F2827" t="str">
        <f>VLOOKUP(A2827,StoreLookup,2,FALSE)</f>
        <v>Store#2</v>
      </c>
      <c r="G2827">
        <f>INDEX(CalLookUpTable,MATCH($B2827,CalLookUpRow,0),MATCH(G$1,CalLookUpColumn,0))</f>
        <v>2019</v>
      </c>
      <c r="H2827">
        <f>INDEX(CalLookUpTable,MATCH($B2827,CalLookUpRow,0),MATCH(H$1,CalLookUpColumn,0))</f>
        <v>8</v>
      </c>
      <c r="I2827">
        <f>INDEX(CalLookUpTable,MATCH($B2827,CalLookUpRow,0),MATCH(I$1,CalLookUpColumn,0))</f>
        <v>3</v>
      </c>
    </row>
    <row r="2828" spans="1:9" x14ac:dyDescent="0.25">
      <c r="A2828" s="7">
        <v>2</v>
      </c>
      <c r="B2828" s="8">
        <v>43690</v>
      </c>
      <c r="C2828" s="9" t="s">
        <v>3</v>
      </c>
      <c r="D2828" s="10">
        <v>0</v>
      </c>
      <c r="E2828" s="10">
        <v>248.64</v>
      </c>
      <c r="F2828" t="str">
        <f>VLOOKUP(A2828,StoreLookup,2,FALSE)</f>
        <v>Store#2</v>
      </c>
      <c r="G2828">
        <f>INDEX(CalLookUpTable,MATCH($B2828,CalLookUpRow,0),MATCH(G$1,CalLookUpColumn,0))</f>
        <v>2019</v>
      </c>
      <c r="H2828">
        <f>INDEX(CalLookUpTable,MATCH($B2828,CalLookUpRow,0),MATCH(H$1,CalLookUpColumn,0))</f>
        <v>8</v>
      </c>
      <c r="I2828">
        <f>INDEX(CalLookUpTable,MATCH($B2828,CalLookUpRow,0),MATCH(I$1,CalLookUpColumn,0))</f>
        <v>3</v>
      </c>
    </row>
    <row r="2829" spans="1:9" x14ac:dyDescent="0.25">
      <c r="A2829" s="7">
        <v>2</v>
      </c>
      <c r="B2829" s="8">
        <v>43690</v>
      </c>
      <c r="C2829" s="9" t="s">
        <v>5</v>
      </c>
      <c r="D2829" s="10">
        <v>1155.588</v>
      </c>
      <c r="E2829" s="10">
        <v>774.08799999999985</v>
      </c>
      <c r="F2829" t="str">
        <f>VLOOKUP(A2829,StoreLookup,2,FALSE)</f>
        <v>Store#2</v>
      </c>
      <c r="G2829">
        <f>INDEX(CalLookUpTable,MATCH($B2829,CalLookUpRow,0),MATCH(G$1,CalLookUpColumn,0))</f>
        <v>2019</v>
      </c>
      <c r="H2829">
        <f>INDEX(CalLookUpTable,MATCH($B2829,CalLookUpRow,0),MATCH(H$1,CalLookUpColumn,0))</f>
        <v>8</v>
      </c>
      <c r="I2829">
        <f>INDEX(CalLookUpTable,MATCH($B2829,CalLookUpRow,0),MATCH(I$1,CalLookUpColumn,0))</f>
        <v>3</v>
      </c>
    </row>
    <row r="2830" spans="1:9" x14ac:dyDescent="0.25">
      <c r="A2830" s="7">
        <v>2</v>
      </c>
      <c r="B2830" s="8">
        <v>43691</v>
      </c>
      <c r="C2830" s="9" t="s">
        <v>6</v>
      </c>
      <c r="D2830" s="10">
        <v>155.76400000000001</v>
      </c>
      <c r="E2830" s="10">
        <v>300.04799999999994</v>
      </c>
      <c r="F2830" t="str">
        <f>VLOOKUP(A2830,StoreLookup,2,FALSE)</f>
        <v>Store#2</v>
      </c>
      <c r="G2830">
        <f>INDEX(CalLookUpTable,MATCH($B2830,CalLookUpRow,0),MATCH(G$1,CalLookUpColumn,0))</f>
        <v>2019</v>
      </c>
      <c r="H2830">
        <f>INDEX(CalLookUpTable,MATCH($B2830,CalLookUpRow,0),MATCH(H$1,CalLookUpColumn,0))</f>
        <v>8</v>
      </c>
      <c r="I2830">
        <f>INDEX(CalLookUpTable,MATCH($B2830,CalLookUpRow,0),MATCH(I$1,CalLookUpColumn,0))</f>
        <v>3</v>
      </c>
    </row>
    <row r="2831" spans="1:9" x14ac:dyDescent="0.25">
      <c r="A2831" s="7">
        <v>2</v>
      </c>
      <c r="B2831" s="8">
        <v>43691</v>
      </c>
      <c r="C2831" s="9" t="s">
        <v>5</v>
      </c>
      <c r="D2831" s="10">
        <v>1214.2339999999999</v>
      </c>
      <c r="E2831" s="10">
        <v>655.94899999999996</v>
      </c>
      <c r="F2831" t="str">
        <f>VLOOKUP(A2831,StoreLookup,2,FALSE)</f>
        <v>Store#2</v>
      </c>
      <c r="G2831">
        <f>INDEX(CalLookUpTable,MATCH($B2831,CalLookUpRow,0),MATCH(G$1,CalLookUpColumn,0))</f>
        <v>2019</v>
      </c>
      <c r="H2831">
        <f>INDEX(CalLookUpTable,MATCH($B2831,CalLookUpRow,0),MATCH(H$1,CalLookUpColumn,0))</f>
        <v>8</v>
      </c>
      <c r="I2831">
        <f>INDEX(CalLookUpTable,MATCH($B2831,CalLookUpRow,0),MATCH(I$1,CalLookUpColumn,0))</f>
        <v>3</v>
      </c>
    </row>
    <row r="2832" spans="1:9" x14ac:dyDescent="0.25">
      <c r="A2832" s="7">
        <v>2</v>
      </c>
      <c r="B2832" s="8">
        <v>43691</v>
      </c>
      <c r="C2832" s="9" t="s">
        <v>4</v>
      </c>
      <c r="D2832" s="10">
        <v>1662.3249999999998</v>
      </c>
      <c r="E2832" s="10">
        <v>2000.2079999999999</v>
      </c>
      <c r="F2832" t="str">
        <f>VLOOKUP(A2832,StoreLookup,2,FALSE)</f>
        <v>Store#2</v>
      </c>
      <c r="G2832">
        <f>INDEX(CalLookUpTable,MATCH($B2832,CalLookUpRow,0),MATCH(G$1,CalLookUpColumn,0))</f>
        <v>2019</v>
      </c>
      <c r="H2832">
        <f>INDEX(CalLookUpTable,MATCH($B2832,CalLookUpRow,0),MATCH(H$1,CalLookUpColumn,0))</f>
        <v>8</v>
      </c>
      <c r="I2832">
        <f>INDEX(CalLookUpTable,MATCH($B2832,CalLookUpRow,0),MATCH(I$1,CalLookUpColumn,0))</f>
        <v>3</v>
      </c>
    </row>
    <row r="2833" spans="1:9" x14ac:dyDescent="0.25">
      <c r="A2833" s="7">
        <v>2</v>
      </c>
      <c r="B2833" s="8">
        <v>43691</v>
      </c>
      <c r="C2833" s="9" t="s">
        <v>3</v>
      </c>
      <c r="D2833" s="10">
        <v>0</v>
      </c>
      <c r="E2833" s="10">
        <v>166.54399999999998</v>
      </c>
      <c r="F2833" t="str">
        <f>VLOOKUP(A2833,StoreLookup,2,FALSE)</f>
        <v>Store#2</v>
      </c>
      <c r="G2833">
        <f>INDEX(CalLookUpTable,MATCH($B2833,CalLookUpRow,0),MATCH(G$1,CalLookUpColumn,0))</f>
        <v>2019</v>
      </c>
      <c r="H2833">
        <f>INDEX(CalLookUpTable,MATCH($B2833,CalLookUpRow,0),MATCH(H$1,CalLookUpColumn,0))</f>
        <v>8</v>
      </c>
      <c r="I2833">
        <f>INDEX(CalLookUpTable,MATCH($B2833,CalLookUpRow,0),MATCH(I$1,CalLookUpColumn,0))</f>
        <v>3</v>
      </c>
    </row>
    <row r="2834" spans="1:9" x14ac:dyDescent="0.25">
      <c r="A2834" s="7">
        <v>2</v>
      </c>
      <c r="B2834" s="8">
        <v>43692</v>
      </c>
      <c r="C2834" s="9" t="s">
        <v>6</v>
      </c>
      <c r="D2834" s="10">
        <v>402.23399999999998</v>
      </c>
      <c r="E2834" s="10">
        <v>269.91299999999995</v>
      </c>
      <c r="F2834" t="str">
        <f>VLOOKUP(A2834,StoreLookup,2,FALSE)</f>
        <v>Store#2</v>
      </c>
      <c r="G2834">
        <f>INDEX(CalLookUpTable,MATCH($B2834,CalLookUpRow,0),MATCH(G$1,CalLookUpColumn,0))</f>
        <v>2019</v>
      </c>
      <c r="H2834">
        <f>INDEX(CalLookUpTable,MATCH($B2834,CalLookUpRow,0),MATCH(H$1,CalLookUpColumn,0))</f>
        <v>8</v>
      </c>
      <c r="I2834">
        <f>INDEX(CalLookUpTable,MATCH($B2834,CalLookUpRow,0),MATCH(I$1,CalLookUpColumn,0))</f>
        <v>3</v>
      </c>
    </row>
    <row r="2835" spans="1:9" x14ac:dyDescent="0.25">
      <c r="A2835" s="7">
        <v>2</v>
      </c>
      <c r="B2835" s="8">
        <v>43692</v>
      </c>
      <c r="C2835" s="9" t="s">
        <v>4</v>
      </c>
      <c r="D2835" s="10">
        <v>2200.6039999999998</v>
      </c>
      <c r="E2835" s="10">
        <v>2373.6999999999998</v>
      </c>
      <c r="F2835" t="str">
        <f>VLOOKUP(A2835,StoreLookup,2,FALSE)</f>
        <v>Store#2</v>
      </c>
      <c r="G2835">
        <f>INDEX(CalLookUpTable,MATCH($B2835,CalLookUpRow,0),MATCH(G$1,CalLookUpColumn,0))</f>
        <v>2019</v>
      </c>
      <c r="H2835">
        <f>INDEX(CalLookUpTable,MATCH($B2835,CalLookUpRow,0),MATCH(H$1,CalLookUpColumn,0))</f>
        <v>8</v>
      </c>
      <c r="I2835">
        <f>INDEX(CalLookUpTable,MATCH($B2835,CalLookUpRow,0),MATCH(I$1,CalLookUpColumn,0))</f>
        <v>3</v>
      </c>
    </row>
    <row r="2836" spans="1:9" x14ac:dyDescent="0.25">
      <c r="A2836" s="7">
        <v>2</v>
      </c>
      <c r="B2836" s="8">
        <v>43692</v>
      </c>
      <c r="C2836" s="9" t="s">
        <v>3</v>
      </c>
      <c r="D2836" s="10">
        <v>0</v>
      </c>
      <c r="E2836" s="10">
        <v>0</v>
      </c>
      <c r="F2836" t="str">
        <f>VLOOKUP(A2836,StoreLookup,2,FALSE)</f>
        <v>Store#2</v>
      </c>
      <c r="G2836">
        <f>INDEX(CalLookUpTable,MATCH($B2836,CalLookUpRow,0),MATCH(G$1,CalLookUpColumn,0))</f>
        <v>2019</v>
      </c>
      <c r="H2836">
        <f>INDEX(CalLookUpTable,MATCH($B2836,CalLookUpRow,0),MATCH(H$1,CalLookUpColumn,0))</f>
        <v>8</v>
      </c>
      <c r="I2836">
        <f>INDEX(CalLookUpTable,MATCH($B2836,CalLookUpRow,0),MATCH(I$1,CalLookUpColumn,0))</f>
        <v>3</v>
      </c>
    </row>
    <row r="2837" spans="1:9" x14ac:dyDescent="0.25">
      <c r="A2837" s="7">
        <v>2</v>
      </c>
      <c r="B2837" s="8">
        <v>43692</v>
      </c>
      <c r="C2837" s="9" t="s">
        <v>5</v>
      </c>
      <c r="D2837" s="10">
        <v>1170.204</v>
      </c>
      <c r="E2837" s="10">
        <v>809.94199999999989</v>
      </c>
      <c r="F2837" t="str">
        <f>VLOOKUP(A2837,StoreLookup,2,FALSE)</f>
        <v>Store#2</v>
      </c>
      <c r="G2837">
        <f>INDEX(CalLookUpTable,MATCH($B2837,CalLookUpRow,0),MATCH(G$1,CalLookUpColumn,0))</f>
        <v>2019</v>
      </c>
      <c r="H2837">
        <f>INDEX(CalLookUpTable,MATCH($B2837,CalLookUpRow,0),MATCH(H$1,CalLookUpColumn,0))</f>
        <v>8</v>
      </c>
      <c r="I2837">
        <f>INDEX(CalLookUpTable,MATCH($B2837,CalLookUpRow,0),MATCH(I$1,CalLookUpColumn,0))</f>
        <v>3</v>
      </c>
    </row>
    <row r="2838" spans="1:9" x14ac:dyDescent="0.25">
      <c r="A2838" s="7">
        <v>2</v>
      </c>
      <c r="B2838" s="8">
        <v>43693</v>
      </c>
      <c r="C2838" s="9" t="s">
        <v>3</v>
      </c>
      <c r="D2838" s="10">
        <v>0</v>
      </c>
      <c r="E2838" s="10">
        <v>0</v>
      </c>
      <c r="F2838" t="str">
        <f>VLOOKUP(A2838,StoreLookup,2,FALSE)</f>
        <v>Store#2</v>
      </c>
      <c r="G2838">
        <f>INDEX(CalLookUpTable,MATCH($B2838,CalLookUpRow,0),MATCH(G$1,CalLookUpColumn,0))</f>
        <v>2019</v>
      </c>
      <c r="H2838">
        <f>INDEX(CalLookUpTable,MATCH($B2838,CalLookUpRow,0),MATCH(H$1,CalLookUpColumn,0))</f>
        <v>8</v>
      </c>
      <c r="I2838">
        <f>INDEX(CalLookUpTable,MATCH($B2838,CalLookUpRow,0),MATCH(I$1,CalLookUpColumn,0))</f>
        <v>3</v>
      </c>
    </row>
    <row r="2839" spans="1:9" x14ac:dyDescent="0.25">
      <c r="A2839" s="7">
        <v>2</v>
      </c>
      <c r="B2839" s="8">
        <v>43693</v>
      </c>
      <c r="C2839" s="9" t="s">
        <v>4</v>
      </c>
      <c r="D2839" s="10">
        <v>2327.136</v>
      </c>
      <c r="E2839" s="10">
        <v>2954.567</v>
      </c>
      <c r="F2839" t="str">
        <f>VLOOKUP(A2839,StoreLookup,2,FALSE)</f>
        <v>Store#2</v>
      </c>
      <c r="G2839">
        <f>INDEX(CalLookUpTable,MATCH($B2839,CalLookUpRow,0),MATCH(G$1,CalLookUpColumn,0))</f>
        <v>2019</v>
      </c>
      <c r="H2839">
        <f>INDEX(CalLookUpTable,MATCH($B2839,CalLookUpRow,0),MATCH(H$1,CalLookUpColumn,0))</f>
        <v>8</v>
      </c>
      <c r="I2839">
        <f>INDEX(CalLookUpTable,MATCH($B2839,CalLookUpRow,0),MATCH(I$1,CalLookUpColumn,0))</f>
        <v>3</v>
      </c>
    </row>
    <row r="2840" spans="1:9" x14ac:dyDescent="0.25">
      <c r="A2840" s="7">
        <v>2</v>
      </c>
      <c r="B2840" s="8">
        <v>43693</v>
      </c>
      <c r="C2840" s="9" t="s">
        <v>6</v>
      </c>
      <c r="D2840" s="10">
        <v>504.72099999999995</v>
      </c>
      <c r="E2840" s="10">
        <v>631.14799999999991</v>
      </c>
      <c r="F2840" t="str">
        <f>VLOOKUP(A2840,StoreLookup,2,FALSE)</f>
        <v>Store#2</v>
      </c>
      <c r="G2840">
        <f>INDEX(CalLookUpTable,MATCH($B2840,CalLookUpRow,0),MATCH(G$1,CalLookUpColumn,0))</f>
        <v>2019</v>
      </c>
      <c r="H2840">
        <f>INDEX(CalLookUpTable,MATCH($B2840,CalLookUpRow,0),MATCH(H$1,CalLookUpColumn,0))</f>
        <v>8</v>
      </c>
      <c r="I2840">
        <f>INDEX(CalLookUpTable,MATCH($B2840,CalLookUpRow,0),MATCH(I$1,CalLookUpColumn,0))</f>
        <v>3</v>
      </c>
    </row>
    <row r="2841" spans="1:9" x14ac:dyDescent="0.25">
      <c r="A2841" s="7">
        <v>2</v>
      </c>
      <c r="B2841" s="8">
        <v>43693</v>
      </c>
      <c r="C2841" s="9" t="s">
        <v>5</v>
      </c>
      <c r="D2841" s="10">
        <v>1274.5319999999999</v>
      </c>
      <c r="E2841" s="10">
        <v>1117.816</v>
      </c>
      <c r="F2841" t="str">
        <f>VLOOKUP(A2841,StoreLookup,2,FALSE)</f>
        <v>Store#2</v>
      </c>
      <c r="G2841">
        <f>INDEX(CalLookUpTable,MATCH($B2841,CalLookUpRow,0),MATCH(G$1,CalLookUpColumn,0))</f>
        <v>2019</v>
      </c>
      <c r="H2841">
        <f>INDEX(CalLookUpTable,MATCH($B2841,CalLookUpRow,0),MATCH(H$1,CalLookUpColumn,0))</f>
        <v>8</v>
      </c>
      <c r="I2841">
        <f>INDEX(CalLookUpTable,MATCH($B2841,CalLookUpRow,0),MATCH(I$1,CalLookUpColumn,0))</f>
        <v>3</v>
      </c>
    </row>
    <row r="2842" spans="1:9" x14ac:dyDescent="0.25">
      <c r="A2842" s="7">
        <v>2</v>
      </c>
      <c r="B2842" s="8">
        <v>43694</v>
      </c>
      <c r="C2842" s="9" t="s">
        <v>5</v>
      </c>
      <c r="D2842" s="10">
        <v>1291.6679999999999</v>
      </c>
      <c r="E2842" s="10">
        <v>682.4369999999999</v>
      </c>
      <c r="F2842" t="str">
        <f>VLOOKUP(A2842,StoreLookup,2,FALSE)</f>
        <v>Store#2</v>
      </c>
      <c r="G2842">
        <f>INDEX(CalLookUpTable,MATCH($B2842,CalLookUpRow,0),MATCH(G$1,CalLookUpColumn,0))</f>
        <v>2019</v>
      </c>
      <c r="H2842">
        <f>INDEX(CalLookUpTable,MATCH($B2842,CalLookUpRow,0),MATCH(H$1,CalLookUpColumn,0))</f>
        <v>8</v>
      </c>
      <c r="I2842">
        <f>INDEX(CalLookUpTable,MATCH($B2842,CalLookUpRow,0),MATCH(I$1,CalLookUpColumn,0))</f>
        <v>3</v>
      </c>
    </row>
    <row r="2843" spans="1:9" x14ac:dyDescent="0.25">
      <c r="A2843" s="7">
        <v>2</v>
      </c>
      <c r="B2843" s="8">
        <v>43694</v>
      </c>
      <c r="C2843" s="9" t="s">
        <v>3</v>
      </c>
      <c r="D2843" s="10">
        <v>186.893</v>
      </c>
      <c r="E2843" s="10">
        <v>0</v>
      </c>
      <c r="F2843" t="str">
        <f>VLOOKUP(A2843,StoreLookup,2,FALSE)</f>
        <v>Store#2</v>
      </c>
      <c r="G2843">
        <f>INDEX(CalLookUpTable,MATCH($B2843,CalLookUpRow,0),MATCH(G$1,CalLookUpColumn,0))</f>
        <v>2019</v>
      </c>
      <c r="H2843">
        <f>INDEX(CalLookUpTable,MATCH($B2843,CalLookUpRow,0),MATCH(H$1,CalLookUpColumn,0))</f>
        <v>8</v>
      </c>
      <c r="I2843">
        <f>INDEX(CalLookUpTable,MATCH($B2843,CalLookUpRow,0),MATCH(I$1,CalLookUpColumn,0))</f>
        <v>3</v>
      </c>
    </row>
    <row r="2844" spans="1:9" x14ac:dyDescent="0.25">
      <c r="A2844" s="7">
        <v>2</v>
      </c>
      <c r="B2844" s="8">
        <v>43694</v>
      </c>
      <c r="C2844" s="9" t="s">
        <v>4</v>
      </c>
      <c r="D2844" s="10">
        <v>2294.0889999999999</v>
      </c>
      <c r="E2844" s="10">
        <v>1917.566</v>
      </c>
      <c r="F2844" t="str">
        <f>VLOOKUP(A2844,StoreLookup,2,FALSE)</f>
        <v>Store#2</v>
      </c>
      <c r="G2844">
        <f>INDEX(CalLookUpTable,MATCH($B2844,CalLookUpRow,0),MATCH(G$1,CalLookUpColumn,0))</f>
        <v>2019</v>
      </c>
      <c r="H2844">
        <f>INDEX(CalLookUpTable,MATCH($B2844,CalLookUpRow,0),MATCH(H$1,CalLookUpColumn,0))</f>
        <v>8</v>
      </c>
      <c r="I2844">
        <f>INDEX(CalLookUpTable,MATCH($B2844,CalLookUpRow,0),MATCH(I$1,CalLookUpColumn,0))</f>
        <v>3</v>
      </c>
    </row>
    <row r="2845" spans="1:9" x14ac:dyDescent="0.25">
      <c r="A2845" s="7">
        <v>2</v>
      </c>
      <c r="B2845" s="8">
        <v>43694</v>
      </c>
      <c r="C2845" s="9" t="s">
        <v>6</v>
      </c>
      <c r="D2845" s="10">
        <v>349.83199999999999</v>
      </c>
      <c r="E2845" s="10">
        <v>303.45</v>
      </c>
      <c r="F2845" t="str">
        <f>VLOOKUP(A2845,StoreLookup,2,FALSE)</f>
        <v>Store#2</v>
      </c>
      <c r="G2845">
        <f>INDEX(CalLookUpTable,MATCH($B2845,CalLookUpRow,0),MATCH(G$1,CalLookUpColumn,0))</f>
        <v>2019</v>
      </c>
      <c r="H2845">
        <f>INDEX(CalLookUpTable,MATCH($B2845,CalLookUpRow,0),MATCH(H$1,CalLookUpColumn,0))</f>
        <v>8</v>
      </c>
      <c r="I2845">
        <f>INDEX(CalLookUpTable,MATCH($B2845,CalLookUpRow,0),MATCH(I$1,CalLookUpColumn,0))</f>
        <v>3</v>
      </c>
    </row>
    <row r="2846" spans="1:9" x14ac:dyDescent="0.25">
      <c r="A2846" s="7">
        <v>2</v>
      </c>
      <c r="B2846" s="8">
        <v>43695</v>
      </c>
      <c r="C2846" s="9" t="s">
        <v>4</v>
      </c>
      <c r="D2846" s="10">
        <v>1190.6859999999999</v>
      </c>
      <c r="E2846" s="10">
        <v>1124.2279999999998</v>
      </c>
      <c r="F2846" t="str">
        <f>VLOOKUP(A2846,StoreLookup,2,FALSE)</f>
        <v>Store#2</v>
      </c>
      <c r="G2846">
        <f>INDEX(CalLookUpTable,MATCH($B2846,CalLookUpRow,0),MATCH(G$1,CalLookUpColumn,0))</f>
        <v>2019</v>
      </c>
      <c r="H2846">
        <f>INDEX(CalLookUpTable,MATCH($B2846,CalLookUpRow,0),MATCH(H$1,CalLookUpColumn,0))</f>
        <v>8</v>
      </c>
      <c r="I2846">
        <f>INDEX(CalLookUpTable,MATCH($B2846,CalLookUpRow,0),MATCH(I$1,CalLookUpColumn,0))</f>
        <v>3</v>
      </c>
    </row>
    <row r="2847" spans="1:9" x14ac:dyDescent="0.25">
      <c r="A2847" s="7">
        <v>2</v>
      </c>
      <c r="B2847" s="8">
        <v>43695</v>
      </c>
      <c r="C2847" s="9" t="s">
        <v>6</v>
      </c>
      <c r="D2847" s="10">
        <v>194.27799999999999</v>
      </c>
      <c r="E2847" s="10">
        <v>338.84199999999998</v>
      </c>
      <c r="F2847" t="str">
        <f>VLOOKUP(A2847,StoreLookup,2,FALSE)</f>
        <v>Store#2</v>
      </c>
      <c r="G2847">
        <f>INDEX(CalLookUpTable,MATCH($B2847,CalLookUpRow,0),MATCH(G$1,CalLookUpColumn,0))</f>
        <v>2019</v>
      </c>
      <c r="H2847">
        <f>INDEX(CalLookUpTable,MATCH($B2847,CalLookUpRow,0),MATCH(H$1,CalLookUpColumn,0))</f>
        <v>8</v>
      </c>
      <c r="I2847">
        <f>INDEX(CalLookUpTable,MATCH($B2847,CalLookUpRow,0),MATCH(I$1,CalLookUpColumn,0))</f>
        <v>3</v>
      </c>
    </row>
    <row r="2848" spans="1:9" x14ac:dyDescent="0.25">
      <c r="A2848" s="7">
        <v>2</v>
      </c>
      <c r="B2848" s="8">
        <v>43695</v>
      </c>
      <c r="C2848" s="9" t="s">
        <v>5</v>
      </c>
      <c r="D2848" s="10">
        <v>938.30099999999993</v>
      </c>
      <c r="E2848" s="10">
        <v>539.25199999999995</v>
      </c>
      <c r="F2848" t="str">
        <f>VLOOKUP(A2848,StoreLookup,2,FALSE)</f>
        <v>Store#2</v>
      </c>
      <c r="G2848">
        <f>INDEX(CalLookUpTable,MATCH($B2848,CalLookUpRow,0),MATCH(G$1,CalLookUpColumn,0))</f>
        <v>2019</v>
      </c>
      <c r="H2848">
        <f>INDEX(CalLookUpTable,MATCH($B2848,CalLookUpRow,0),MATCH(H$1,CalLookUpColumn,0))</f>
        <v>8</v>
      </c>
      <c r="I2848">
        <f>INDEX(CalLookUpTable,MATCH($B2848,CalLookUpRow,0),MATCH(I$1,CalLookUpColumn,0))</f>
        <v>3</v>
      </c>
    </row>
    <row r="2849" spans="1:9" x14ac:dyDescent="0.25">
      <c r="A2849" s="7">
        <v>2</v>
      </c>
      <c r="B2849" s="8">
        <v>43695</v>
      </c>
      <c r="C2849" s="9" t="s">
        <v>3</v>
      </c>
      <c r="D2849" s="10">
        <v>0</v>
      </c>
      <c r="E2849" s="10">
        <v>0</v>
      </c>
      <c r="F2849" t="str">
        <f>VLOOKUP(A2849,StoreLookup,2,FALSE)</f>
        <v>Store#2</v>
      </c>
      <c r="G2849">
        <f>INDEX(CalLookUpTable,MATCH($B2849,CalLookUpRow,0),MATCH(G$1,CalLookUpColumn,0))</f>
        <v>2019</v>
      </c>
      <c r="H2849">
        <f>INDEX(CalLookUpTable,MATCH($B2849,CalLookUpRow,0),MATCH(H$1,CalLookUpColumn,0))</f>
        <v>8</v>
      </c>
      <c r="I2849">
        <f>INDEX(CalLookUpTable,MATCH($B2849,CalLookUpRow,0),MATCH(I$1,CalLookUpColumn,0))</f>
        <v>3</v>
      </c>
    </row>
    <row r="2850" spans="1:9" x14ac:dyDescent="0.25">
      <c r="A2850" s="7">
        <v>2</v>
      </c>
      <c r="B2850" s="8">
        <v>43696</v>
      </c>
      <c r="C2850" s="9" t="s">
        <v>4</v>
      </c>
      <c r="D2850" s="10">
        <v>1563.4009999999998</v>
      </c>
      <c r="E2850" s="10">
        <v>2114.8820000000001</v>
      </c>
      <c r="F2850" t="str">
        <f>VLOOKUP(A2850,StoreLookup,2,FALSE)</f>
        <v>Store#2</v>
      </c>
      <c r="G2850">
        <f>INDEX(CalLookUpTable,MATCH($B2850,CalLookUpRow,0),MATCH(G$1,CalLookUpColumn,0))</f>
        <v>2019</v>
      </c>
      <c r="H2850">
        <f>INDEX(CalLookUpTable,MATCH($B2850,CalLookUpRow,0),MATCH(H$1,CalLookUpColumn,0))</f>
        <v>8</v>
      </c>
      <c r="I2850">
        <f>INDEX(CalLookUpTable,MATCH($B2850,CalLookUpRow,0),MATCH(I$1,CalLookUpColumn,0))</f>
        <v>4</v>
      </c>
    </row>
    <row r="2851" spans="1:9" x14ac:dyDescent="0.25">
      <c r="A2851" s="7">
        <v>2</v>
      </c>
      <c r="B2851" s="8">
        <v>43696</v>
      </c>
      <c r="C2851" s="9" t="s">
        <v>6</v>
      </c>
      <c r="D2851" s="10">
        <v>307.58699999999999</v>
      </c>
      <c r="E2851" s="10">
        <v>375.03899999999999</v>
      </c>
      <c r="F2851" t="str">
        <f>VLOOKUP(A2851,StoreLookup,2,FALSE)</f>
        <v>Store#2</v>
      </c>
      <c r="G2851">
        <f>INDEX(CalLookUpTable,MATCH($B2851,CalLookUpRow,0),MATCH(G$1,CalLookUpColumn,0))</f>
        <v>2019</v>
      </c>
      <c r="H2851">
        <f>INDEX(CalLookUpTable,MATCH($B2851,CalLookUpRow,0),MATCH(H$1,CalLookUpColumn,0))</f>
        <v>8</v>
      </c>
      <c r="I2851">
        <f>INDEX(CalLookUpTable,MATCH($B2851,CalLookUpRow,0),MATCH(I$1,CalLookUpColumn,0))</f>
        <v>4</v>
      </c>
    </row>
    <row r="2852" spans="1:9" x14ac:dyDescent="0.25">
      <c r="A2852" s="7">
        <v>2</v>
      </c>
      <c r="B2852" s="8">
        <v>43696</v>
      </c>
      <c r="C2852" s="9" t="s">
        <v>5</v>
      </c>
      <c r="D2852" s="10">
        <v>1099.847</v>
      </c>
      <c r="E2852" s="10">
        <v>621.81699999999989</v>
      </c>
      <c r="F2852" t="str">
        <f>VLOOKUP(A2852,StoreLookup,2,FALSE)</f>
        <v>Store#2</v>
      </c>
      <c r="G2852">
        <f>INDEX(CalLookUpTable,MATCH($B2852,CalLookUpRow,0),MATCH(G$1,CalLookUpColumn,0))</f>
        <v>2019</v>
      </c>
      <c r="H2852">
        <f>INDEX(CalLookUpTable,MATCH($B2852,CalLookUpRow,0),MATCH(H$1,CalLookUpColumn,0))</f>
        <v>8</v>
      </c>
      <c r="I2852">
        <f>INDEX(CalLookUpTable,MATCH($B2852,CalLookUpRow,0),MATCH(I$1,CalLookUpColumn,0))</f>
        <v>4</v>
      </c>
    </row>
    <row r="2853" spans="1:9" x14ac:dyDescent="0.25">
      <c r="A2853" s="7">
        <v>2</v>
      </c>
      <c r="B2853" s="8">
        <v>43696</v>
      </c>
      <c r="C2853" s="9" t="s">
        <v>3</v>
      </c>
      <c r="D2853" s="10">
        <v>0</v>
      </c>
      <c r="E2853" s="10">
        <v>0</v>
      </c>
      <c r="F2853" t="str">
        <f>VLOOKUP(A2853,StoreLookup,2,FALSE)</f>
        <v>Store#2</v>
      </c>
      <c r="G2853">
        <f>INDEX(CalLookUpTable,MATCH($B2853,CalLookUpRow,0),MATCH(G$1,CalLookUpColumn,0))</f>
        <v>2019</v>
      </c>
      <c r="H2853">
        <f>INDEX(CalLookUpTable,MATCH($B2853,CalLookUpRow,0),MATCH(H$1,CalLookUpColumn,0))</f>
        <v>8</v>
      </c>
      <c r="I2853">
        <f>INDEX(CalLookUpTable,MATCH($B2853,CalLookUpRow,0),MATCH(I$1,CalLookUpColumn,0))</f>
        <v>4</v>
      </c>
    </row>
    <row r="2854" spans="1:9" x14ac:dyDescent="0.25">
      <c r="A2854" s="7">
        <v>2</v>
      </c>
      <c r="B2854" s="8">
        <v>43697</v>
      </c>
      <c r="C2854" s="9" t="s">
        <v>5</v>
      </c>
      <c r="D2854" s="10">
        <v>1087.954</v>
      </c>
      <c r="E2854" s="10">
        <v>627.29099999999994</v>
      </c>
      <c r="F2854" t="str">
        <f>VLOOKUP(A2854,StoreLookup,2,FALSE)</f>
        <v>Store#2</v>
      </c>
      <c r="G2854">
        <f>INDEX(CalLookUpTable,MATCH($B2854,CalLookUpRow,0),MATCH(G$1,CalLookUpColumn,0))</f>
        <v>2019</v>
      </c>
      <c r="H2854">
        <f>INDEX(CalLookUpTable,MATCH($B2854,CalLookUpRow,0),MATCH(H$1,CalLookUpColumn,0))</f>
        <v>8</v>
      </c>
      <c r="I2854">
        <f>INDEX(CalLookUpTable,MATCH($B2854,CalLookUpRow,0),MATCH(I$1,CalLookUpColumn,0))</f>
        <v>4</v>
      </c>
    </row>
    <row r="2855" spans="1:9" x14ac:dyDescent="0.25">
      <c r="A2855" s="7">
        <v>2</v>
      </c>
      <c r="B2855" s="8">
        <v>43697</v>
      </c>
      <c r="C2855" s="9" t="s">
        <v>6</v>
      </c>
      <c r="D2855" s="10">
        <v>315.70699999999999</v>
      </c>
      <c r="E2855" s="10">
        <v>191.95400000000001</v>
      </c>
      <c r="F2855" t="str">
        <f>VLOOKUP(A2855,StoreLookup,2,FALSE)</f>
        <v>Store#2</v>
      </c>
      <c r="G2855">
        <f>INDEX(CalLookUpTable,MATCH($B2855,CalLookUpRow,0),MATCH(G$1,CalLookUpColumn,0))</f>
        <v>2019</v>
      </c>
      <c r="H2855">
        <f>INDEX(CalLookUpTable,MATCH($B2855,CalLookUpRow,0),MATCH(H$1,CalLookUpColumn,0))</f>
        <v>8</v>
      </c>
      <c r="I2855">
        <f>INDEX(CalLookUpTable,MATCH($B2855,CalLookUpRow,0),MATCH(I$1,CalLookUpColumn,0))</f>
        <v>4</v>
      </c>
    </row>
    <row r="2856" spans="1:9" x14ac:dyDescent="0.25">
      <c r="A2856" s="7">
        <v>2</v>
      </c>
      <c r="B2856" s="8">
        <v>43697</v>
      </c>
      <c r="C2856" s="9" t="s">
        <v>4</v>
      </c>
      <c r="D2856" s="10">
        <v>1609.125</v>
      </c>
      <c r="E2856" s="10">
        <v>1773.2190000000001</v>
      </c>
      <c r="F2856" t="str">
        <f>VLOOKUP(A2856,StoreLookup,2,FALSE)</f>
        <v>Store#2</v>
      </c>
      <c r="G2856">
        <f>INDEX(CalLookUpTable,MATCH($B2856,CalLookUpRow,0),MATCH(G$1,CalLookUpColumn,0))</f>
        <v>2019</v>
      </c>
      <c r="H2856">
        <f>INDEX(CalLookUpTable,MATCH($B2856,CalLookUpRow,0),MATCH(H$1,CalLookUpColumn,0))</f>
        <v>8</v>
      </c>
      <c r="I2856">
        <f>INDEX(CalLookUpTable,MATCH($B2856,CalLookUpRow,0),MATCH(I$1,CalLookUpColumn,0))</f>
        <v>4</v>
      </c>
    </row>
    <row r="2857" spans="1:9" x14ac:dyDescent="0.25">
      <c r="A2857" s="7">
        <v>2</v>
      </c>
      <c r="B2857" s="8">
        <v>43697</v>
      </c>
      <c r="C2857" s="9" t="s">
        <v>3</v>
      </c>
      <c r="D2857" s="10">
        <v>0</v>
      </c>
      <c r="E2857" s="10">
        <v>38.800999999999995</v>
      </c>
      <c r="F2857" t="str">
        <f>VLOOKUP(A2857,StoreLookup,2,FALSE)</f>
        <v>Store#2</v>
      </c>
      <c r="G2857">
        <f>INDEX(CalLookUpTable,MATCH($B2857,CalLookUpRow,0),MATCH(G$1,CalLookUpColumn,0))</f>
        <v>2019</v>
      </c>
      <c r="H2857">
        <f>INDEX(CalLookUpTable,MATCH($B2857,CalLookUpRow,0),MATCH(H$1,CalLookUpColumn,0))</f>
        <v>8</v>
      </c>
      <c r="I2857">
        <f>INDEX(CalLookUpTable,MATCH($B2857,CalLookUpRow,0),MATCH(I$1,CalLookUpColumn,0))</f>
        <v>4</v>
      </c>
    </row>
    <row r="2858" spans="1:9" x14ac:dyDescent="0.25">
      <c r="A2858" s="7">
        <v>2</v>
      </c>
      <c r="B2858" s="8">
        <v>43698</v>
      </c>
      <c r="C2858" s="9" t="s">
        <v>5</v>
      </c>
      <c r="D2858" s="10">
        <v>973.53199999999993</v>
      </c>
      <c r="E2858" s="10">
        <v>623.53199999999993</v>
      </c>
      <c r="F2858" t="str">
        <f>VLOOKUP(A2858,StoreLookup,2,FALSE)</f>
        <v>Store#2</v>
      </c>
      <c r="G2858">
        <f>INDEX(CalLookUpTable,MATCH($B2858,CalLookUpRow,0),MATCH(G$1,CalLookUpColumn,0))</f>
        <v>2019</v>
      </c>
      <c r="H2858">
        <f>INDEX(CalLookUpTable,MATCH($B2858,CalLookUpRow,0),MATCH(H$1,CalLookUpColumn,0))</f>
        <v>8</v>
      </c>
      <c r="I2858">
        <f>INDEX(CalLookUpTable,MATCH($B2858,CalLookUpRow,0),MATCH(I$1,CalLookUpColumn,0))</f>
        <v>4</v>
      </c>
    </row>
    <row r="2859" spans="1:9" x14ac:dyDescent="0.25">
      <c r="A2859" s="7">
        <v>2</v>
      </c>
      <c r="B2859" s="8">
        <v>43698</v>
      </c>
      <c r="C2859" s="9" t="s">
        <v>4</v>
      </c>
      <c r="D2859" s="10">
        <v>1578.0940000000001</v>
      </c>
      <c r="E2859" s="10">
        <v>1343.4749999999999</v>
      </c>
      <c r="F2859" t="str">
        <f>VLOOKUP(A2859,StoreLookup,2,FALSE)</f>
        <v>Store#2</v>
      </c>
      <c r="G2859">
        <f>INDEX(CalLookUpTable,MATCH($B2859,CalLookUpRow,0),MATCH(G$1,CalLookUpColumn,0))</f>
        <v>2019</v>
      </c>
      <c r="H2859">
        <f>INDEX(CalLookUpTable,MATCH($B2859,CalLookUpRow,0),MATCH(H$1,CalLookUpColumn,0))</f>
        <v>8</v>
      </c>
      <c r="I2859">
        <f>INDEX(CalLookUpTable,MATCH($B2859,CalLookUpRow,0),MATCH(I$1,CalLookUpColumn,0))</f>
        <v>4</v>
      </c>
    </row>
    <row r="2860" spans="1:9" x14ac:dyDescent="0.25">
      <c r="A2860" s="7">
        <v>2</v>
      </c>
      <c r="B2860" s="8">
        <v>43698</v>
      </c>
      <c r="C2860" s="9" t="s">
        <v>3</v>
      </c>
      <c r="D2860" s="10">
        <v>184.21200000000002</v>
      </c>
      <c r="E2860" s="10">
        <v>166.54399999999998</v>
      </c>
      <c r="F2860" t="str">
        <f>VLOOKUP(A2860,StoreLookup,2,FALSE)</f>
        <v>Store#2</v>
      </c>
      <c r="G2860">
        <f>INDEX(CalLookUpTable,MATCH($B2860,CalLookUpRow,0),MATCH(G$1,CalLookUpColumn,0))</f>
        <v>2019</v>
      </c>
      <c r="H2860">
        <f>INDEX(CalLookUpTable,MATCH($B2860,CalLookUpRow,0),MATCH(H$1,CalLookUpColumn,0))</f>
        <v>8</v>
      </c>
      <c r="I2860">
        <f>INDEX(CalLookUpTable,MATCH($B2860,CalLookUpRow,0),MATCH(I$1,CalLookUpColumn,0))</f>
        <v>4</v>
      </c>
    </row>
    <row r="2861" spans="1:9" x14ac:dyDescent="0.25">
      <c r="A2861" s="7">
        <v>2</v>
      </c>
      <c r="B2861" s="8">
        <v>43698</v>
      </c>
      <c r="C2861" s="9" t="s">
        <v>6</v>
      </c>
      <c r="D2861" s="10">
        <v>220.535</v>
      </c>
      <c r="E2861" s="10">
        <v>204.16900000000001</v>
      </c>
      <c r="F2861" t="str">
        <f>VLOOKUP(A2861,StoreLookup,2,FALSE)</f>
        <v>Store#2</v>
      </c>
      <c r="G2861">
        <f>INDEX(CalLookUpTable,MATCH($B2861,CalLookUpRow,0),MATCH(G$1,CalLookUpColumn,0))</f>
        <v>2019</v>
      </c>
      <c r="H2861">
        <f>INDEX(CalLookUpTable,MATCH($B2861,CalLookUpRow,0),MATCH(H$1,CalLookUpColumn,0))</f>
        <v>8</v>
      </c>
      <c r="I2861">
        <f>INDEX(CalLookUpTable,MATCH($B2861,CalLookUpRow,0),MATCH(I$1,CalLookUpColumn,0))</f>
        <v>4</v>
      </c>
    </row>
    <row r="2862" spans="1:9" x14ac:dyDescent="0.25">
      <c r="A2862" s="7">
        <v>2</v>
      </c>
      <c r="B2862" s="8">
        <v>43699</v>
      </c>
      <c r="C2862" s="9" t="s">
        <v>6</v>
      </c>
      <c r="D2862" s="10">
        <v>204.512</v>
      </c>
      <c r="E2862" s="10">
        <v>279.19499999999999</v>
      </c>
      <c r="F2862" t="str">
        <f>VLOOKUP(A2862,StoreLookup,2,FALSE)</f>
        <v>Store#2</v>
      </c>
      <c r="G2862">
        <f>INDEX(CalLookUpTable,MATCH($B2862,CalLookUpRow,0),MATCH(G$1,CalLookUpColumn,0))</f>
        <v>2019</v>
      </c>
      <c r="H2862">
        <f>INDEX(CalLookUpTable,MATCH($B2862,CalLookUpRow,0),MATCH(H$1,CalLookUpColumn,0))</f>
        <v>8</v>
      </c>
      <c r="I2862">
        <f>INDEX(CalLookUpTable,MATCH($B2862,CalLookUpRow,0),MATCH(I$1,CalLookUpColumn,0))</f>
        <v>4</v>
      </c>
    </row>
    <row r="2863" spans="1:9" x14ac:dyDescent="0.25">
      <c r="A2863" s="7">
        <v>2</v>
      </c>
      <c r="B2863" s="8">
        <v>43699</v>
      </c>
      <c r="C2863" s="9" t="s">
        <v>4</v>
      </c>
      <c r="D2863" s="10">
        <v>1903.7339999999997</v>
      </c>
      <c r="E2863" s="10">
        <v>2043.0479999999998</v>
      </c>
      <c r="F2863" t="str">
        <f>VLOOKUP(A2863,StoreLookup,2,FALSE)</f>
        <v>Store#2</v>
      </c>
      <c r="G2863">
        <f>INDEX(CalLookUpTable,MATCH($B2863,CalLookUpRow,0),MATCH(G$1,CalLookUpColumn,0))</f>
        <v>2019</v>
      </c>
      <c r="H2863">
        <f>INDEX(CalLookUpTable,MATCH($B2863,CalLookUpRow,0),MATCH(H$1,CalLookUpColumn,0))</f>
        <v>8</v>
      </c>
      <c r="I2863">
        <f>INDEX(CalLookUpTable,MATCH($B2863,CalLookUpRow,0),MATCH(I$1,CalLookUpColumn,0))</f>
        <v>4</v>
      </c>
    </row>
    <row r="2864" spans="1:9" x14ac:dyDescent="0.25">
      <c r="A2864" s="7">
        <v>2</v>
      </c>
      <c r="B2864" s="8">
        <v>43699</v>
      </c>
      <c r="C2864" s="9" t="s">
        <v>3</v>
      </c>
      <c r="D2864" s="10">
        <v>251.81799999999998</v>
      </c>
      <c r="E2864" s="10">
        <v>353.892</v>
      </c>
      <c r="F2864" t="str">
        <f>VLOOKUP(A2864,StoreLookup,2,FALSE)</f>
        <v>Store#2</v>
      </c>
      <c r="G2864">
        <f>INDEX(CalLookUpTable,MATCH($B2864,CalLookUpRow,0),MATCH(G$1,CalLookUpColumn,0))</f>
        <v>2019</v>
      </c>
      <c r="H2864">
        <f>INDEX(CalLookUpTable,MATCH($B2864,CalLookUpRow,0),MATCH(H$1,CalLookUpColumn,0))</f>
        <v>8</v>
      </c>
      <c r="I2864">
        <f>INDEX(CalLookUpTable,MATCH($B2864,CalLookUpRow,0),MATCH(I$1,CalLookUpColumn,0))</f>
        <v>4</v>
      </c>
    </row>
    <row r="2865" spans="1:9" x14ac:dyDescent="0.25">
      <c r="A2865" s="7">
        <v>2</v>
      </c>
      <c r="B2865" s="8">
        <v>43699</v>
      </c>
      <c r="C2865" s="9" t="s">
        <v>5</v>
      </c>
      <c r="D2865" s="10">
        <v>1329.846</v>
      </c>
      <c r="E2865" s="10">
        <v>935.01799999999992</v>
      </c>
      <c r="F2865" t="str">
        <f>VLOOKUP(A2865,StoreLookup,2,FALSE)</f>
        <v>Store#2</v>
      </c>
      <c r="G2865">
        <f>INDEX(CalLookUpTable,MATCH($B2865,CalLookUpRow,0),MATCH(G$1,CalLookUpColumn,0))</f>
        <v>2019</v>
      </c>
      <c r="H2865">
        <f>INDEX(CalLookUpTable,MATCH($B2865,CalLookUpRow,0),MATCH(H$1,CalLookUpColumn,0))</f>
        <v>8</v>
      </c>
      <c r="I2865">
        <f>INDEX(CalLookUpTable,MATCH($B2865,CalLookUpRow,0),MATCH(I$1,CalLookUpColumn,0))</f>
        <v>4</v>
      </c>
    </row>
    <row r="2866" spans="1:9" x14ac:dyDescent="0.25">
      <c r="A2866" s="7">
        <v>2</v>
      </c>
      <c r="B2866" s="8">
        <v>43700</v>
      </c>
      <c r="C2866" s="9" t="s">
        <v>4</v>
      </c>
      <c r="D2866" s="10">
        <v>2101.6379999999999</v>
      </c>
      <c r="E2866" s="10">
        <v>2477.7829999999999</v>
      </c>
      <c r="F2866" t="str">
        <f>VLOOKUP(A2866,StoreLookup,2,FALSE)</f>
        <v>Store#2</v>
      </c>
      <c r="G2866">
        <f>INDEX(CalLookUpTable,MATCH($B2866,CalLookUpRow,0),MATCH(G$1,CalLookUpColumn,0))</f>
        <v>2019</v>
      </c>
      <c r="H2866">
        <f>INDEX(CalLookUpTable,MATCH($B2866,CalLookUpRow,0),MATCH(H$1,CalLookUpColumn,0))</f>
        <v>8</v>
      </c>
      <c r="I2866">
        <f>INDEX(CalLookUpTable,MATCH($B2866,CalLookUpRow,0),MATCH(I$1,CalLookUpColumn,0))</f>
        <v>4</v>
      </c>
    </row>
    <row r="2867" spans="1:9" x14ac:dyDescent="0.25">
      <c r="A2867" s="7">
        <v>2</v>
      </c>
      <c r="B2867" s="8">
        <v>43700</v>
      </c>
      <c r="C2867" s="9" t="s">
        <v>3</v>
      </c>
      <c r="D2867" s="10">
        <v>0</v>
      </c>
      <c r="E2867" s="10">
        <v>0</v>
      </c>
      <c r="F2867" t="str">
        <f>VLOOKUP(A2867,StoreLookup,2,FALSE)</f>
        <v>Store#2</v>
      </c>
      <c r="G2867">
        <f>INDEX(CalLookUpTable,MATCH($B2867,CalLookUpRow,0),MATCH(G$1,CalLookUpColumn,0))</f>
        <v>2019</v>
      </c>
      <c r="H2867">
        <f>INDEX(CalLookUpTable,MATCH($B2867,CalLookUpRow,0),MATCH(H$1,CalLookUpColumn,0))</f>
        <v>8</v>
      </c>
      <c r="I2867">
        <f>INDEX(CalLookUpTable,MATCH($B2867,CalLookUpRow,0),MATCH(I$1,CalLookUpColumn,0))</f>
        <v>4</v>
      </c>
    </row>
    <row r="2868" spans="1:9" x14ac:dyDescent="0.25">
      <c r="A2868" s="7">
        <v>2</v>
      </c>
      <c r="B2868" s="8">
        <v>43700</v>
      </c>
      <c r="C2868" s="9" t="s">
        <v>6</v>
      </c>
      <c r="D2868" s="10">
        <v>205.68799999999996</v>
      </c>
      <c r="E2868" s="10">
        <v>728.39899999999989</v>
      </c>
      <c r="F2868" t="str">
        <f>VLOOKUP(A2868,StoreLookup,2,FALSE)</f>
        <v>Store#2</v>
      </c>
      <c r="G2868">
        <f>INDEX(CalLookUpTable,MATCH($B2868,CalLookUpRow,0),MATCH(G$1,CalLookUpColumn,0))</f>
        <v>2019</v>
      </c>
      <c r="H2868">
        <f>INDEX(CalLookUpTable,MATCH($B2868,CalLookUpRow,0),MATCH(H$1,CalLookUpColumn,0))</f>
        <v>8</v>
      </c>
      <c r="I2868">
        <f>INDEX(CalLookUpTable,MATCH($B2868,CalLookUpRow,0),MATCH(I$1,CalLookUpColumn,0))</f>
        <v>4</v>
      </c>
    </row>
    <row r="2869" spans="1:9" x14ac:dyDescent="0.25">
      <c r="A2869" s="7">
        <v>2</v>
      </c>
      <c r="B2869" s="8">
        <v>43700</v>
      </c>
      <c r="C2869" s="9" t="s">
        <v>5</v>
      </c>
      <c r="D2869" s="10">
        <v>1251.8309999999999</v>
      </c>
      <c r="E2869" s="10">
        <v>952.154</v>
      </c>
      <c r="F2869" t="str">
        <f>VLOOKUP(A2869,StoreLookup,2,FALSE)</f>
        <v>Store#2</v>
      </c>
      <c r="G2869">
        <f>INDEX(CalLookUpTable,MATCH($B2869,CalLookUpRow,0),MATCH(G$1,CalLookUpColumn,0))</f>
        <v>2019</v>
      </c>
      <c r="H2869">
        <f>INDEX(CalLookUpTable,MATCH($B2869,CalLookUpRow,0),MATCH(H$1,CalLookUpColumn,0))</f>
        <v>8</v>
      </c>
      <c r="I2869">
        <f>INDEX(CalLookUpTable,MATCH($B2869,CalLookUpRow,0),MATCH(I$1,CalLookUpColumn,0))</f>
        <v>4</v>
      </c>
    </row>
    <row r="2870" spans="1:9" x14ac:dyDescent="0.25">
      <c r="A2870" s="7">
        <v>2</v>
      </c>
      <c r="B2870" s="8">
        <v>43701</v>
      </c>
      <c r="C2870" s="9" t="s">
        <v>6</v>
      </c>
      <c r="D2870" s="10">
        <v>428.57499999999999</v>
      </c>
      <c r="E2870" s="10">
        <v>423.64699999999999</v>
      </c>
      <c r="F2870" t="str">
        <f>VLOOKUP(A2870,StoreLookup,2,FALSE)</f>
        <v>Store#2</v>
      </c>
      <c r="G2870">
        <f>INDEX(CalLookUpTable,MATCH($B2870,CalLookUpRow,0),MATCH(G$1,CalLookUpColumn,0))</f>
        <v>2019</v>
      </c>
      <c r="H2870">
        <f>INDEX(CalLookUpTable,MATCH($B2870,CalLookUpRow,0),MATCH(H$1,CalLookUpColumn,0))</f>
        <v>8</v>
      </c>
      <c r="I2870">
        <f>INDEX(CalLookUpTable,MATCH($B2870,CalLookUpRow,0),MATCH(I$1,CalLookUpColumn,0))</f>
        <v>4</v>
      </c>
    </row>
    <row r="2871" spans="1:9" x14ac:dyDescent="0.25">
      <c r="A2871" s="7">
        <v>2</v>
      </c>
      <c r="B2871" s="8">
        <v>43701</v>
      </c>
      <c r="C2871" s="9" t="s">
        <v>3</v>
      </c>
      <c r="D2871" s="10">
        <v>112.602</v>
      </c>
      <c r="E2871" s="10">
        <v>179.935</v>
      </c>
      <c r="F2871" t="str">
        <f>VLOOKUP(A2871,StoreLookup,2,FALSE)</f>
        <v>Store#2</v>
      </c>
      <c r="G2871">
        <f>INDEX(CalLookUpTable,MATCH($B2871,CalLookUpRow,0),MATCH(G$1,CalLookUpColumn,0))</f>
        <v>2019</v>
      </c>
      <c r="H2871">
        <f>INDEX(CalLookUpTable,MATCH($B2871,CalLookUpRow,0),MATCH(H$1,CalLookUpColumn,0))</f>
        <v>8</v>
      </c>
      <c r="I2871">
        <f>INDEX(CalLookUpTable,MATCH($B2871,CalLookUpRow,0),MATCH(I$1,CalLookUpColumn,0))</f>
        <v>4</v>
      </c>
    </row>
    <row r="2872" spans="1:9" x14ac:dyDescent="0.25">
      <c r="A2872" s="7">
        <v>2</v>
      </c>
      <c r="B2872" s="8">
        <v>43701</v>
      </c>
      <c r="C2872" s="9" t="s">
        <v>4</v>
      </c>
      <c r="D2872" s="10">
        <v>1806.8399999999997</v>
      </c>
      <c r="E2872" s="10">
        <v>2150.1970000000001</v>
      </c>
      <c r="F2872" t="str">
        <f>VLOOKUP(A2872,StoreLookup,2,FALSE)</f>
        <v>Store#2</v>
      </c>
      <c r="G2872">
        <f>INDEX(CalLookUpTable,MATCH($B2872,CalLookUpRow,0),MATCH(G$1,CalLookUpColumn,0))</f>
        <v>2019</v>
      </c>
      <c r="H2872">
        <f>INDEX(CalLookUpTable,MATCH($B2872,CalLookUpRow,0),MATCH(H$1,CalLookUpColumn,0))</f>
        <v>8</v>
      </c>
      <c r="I2872">
        <f>INDEX(CalLookUpTable,MATCH($B2872,CalLookUpRow,0),MATCH(I$1,CalLookUpColumn,0))</f>
        <v>4</v>
      </c>
    </row>
    <row r="2873" spans="1:9" x14ac:dyDescent="0.25">
      <c r="A2873" s="7">
        <v>2</v>
      </c>
      <c r="B2873" s="8">
        <v>43701</v>
      </c>
      <c r="C2873" s="9" t="s">
        <v>5</v>
      </c>
      <c r="D2873" s="10">
        <v>1121.5819999999999</v>
      </c>
      <c r="E2873" s="10">
        <v>691.36899999999991</v>
      </c>
      <c r="F2873" t="str">
        <f>VLOOKUP(A2873,StoreLookup,2,FALSE)</f>
        <v>Store#2</v>
      </c>
      <c r="G2873">
        <f>INDEX(CalLookUpTable,MATCH($B2873,CalLookUpRow,0),MATCH(G$1,CalLookUpColumn,0))</f>
        <v>2019</v>
      </c>
      <c r="H2873">
        <f>INDEX(CalLookUpTable,MATCH($B2873,CalLookUpRow,0),MATCH(H$1,CalLookUpColumn,0))</f>
        <v>8</v>
      </c>
      <c r="I2873">
        <f>INDEX(CalLookUpTable,MATCH($B2873,CalLookUpRow,0),MATCH(I$1,CalLookUpColumn,0))</f>
        <v>4</v>
      </c>
    </row>
    <row r="2874" spans="1:9" x14ac:dyDescent="0.25">
      <c r="A2874" s="7">
        <v>2</v>
      </c>
      <c r="B2874" s="8">
        <v>43702</v>
      </c>
      <c r="C2874" s="9" t="s">
        <v>4</v>
      </c>
      <c r="D2874" s="10">
        <v>1057.7559999999999</v>
      </c>
      <c r="E2874" s="10">
        <v>1132.9849999999999</v>
      </c>
      <c r="F2874" t="str">
        <f>VLOOKUP(A2874,StoreLookup,2,FALSE)</f>
        <v>Store#2</v>
      </c>
      <c r="G2874">
        <f>INDEX(CalLookUpTable,MATCH($B2874,CalLookUpRow,0),MATCH(G$1,CalLookUpColumn,0))</f>
        <v>2019</v>
      </c>
      <c r="H2874">
        <f>INDEX(CalLookUpTable,MATCH($B2874,CalLookUpRow,0),MATCH(H$1,CalLookUpColumn,0))</f>
        <v>8</v>
      </c>
      <c r="I2874">
        <f>INDEX(CalLookUpTable,MATCH($B2874,CalLookUpRow,0),MATCH(I$1,CalLookUpColumn,0))</f>
        <v>4</v>
      </c>
    </row>
    <row r="2875" spans="1:9" x14ac:dyDescent="0.25">
      <c r="A2875" s="7">
        <v>2</v>
      </c>
      <c r="B2875" s="8">
        <v>43702</v>
      </c>
      <c r="C2875" s="9" t="s">
        <v>3</v>
      </c>
      <c r="D2875" s="10">
        <v>0</v>
      </c>
      <c r="E2875" s="10">
        <v>0</v>
      </c>
      <c r="F2875" t="str">
        <f>VLOOKUP(A2875,StoreLookup,2,FALSE)</f>
        <v>Store#2</v>
      </c>
      <c r="G2875">
        <f>INDEX(CalLookUpTable,MATCH($B2875,CalLookUpRow,0),MATCH(G$1,CalLookUpColumn,0))</f>
        <v>2019</v>
      </c>
      <c r="H2875">
        <f>INDEX(CalLookUpTable,MATCH($B2875,CalLookUpRow,0),MATCH(H$1,CalLookUpColumn,0))</f>
        <v>8</v>
      </c>
      <c r="I2875">
        <f>INDEX(CalLookUpTable,MATCH($B2875,CalLookUpRow,0),MATCH(I$1,CalLookUpColumn,0))</f>
        <v>4</v>
      </c>
    </row>
    <row r="2876" spans="1:9" x14ac:dyDescent="0.25">
      <c r="A2876" s="7">
        <v>2</v>
      </c>
      <c r="B2876" s="8">
        <v>43702</v>
      </c>
      <c r="C2876" s="9" t="s">
        <v>6</v>
      </c>
      <c r="D2876" s="10">
        <v>302.98799999999994</v>
      </c>
      <c r="E2876" s="10">
        <v>235.36099999999999</v>
      </c>
      <c r="F2876" t="str">
        <f>VLOOKUP(A2876,StoreLookup,2,FALSE)</f>
        <v>Store#2</v>
      </c>
      <c r="G2876">
        <f>INDEX(CalLookUpTable,MATCH($B2876,CalLookUpRow,0),MATCH(G$1,CalLookUpColumn,0))</f>
        <v>2019</v>
      </c>
      <c r="H2876">
        <f>INDEX(CalLookUpTable,MATCH($B2876,CalLookUpRow,0),MATCH(H$1,CalLookUpColumn,0))</f>
        <v>8</v>
      </c>
      <c r="I2876">
        <f>INDEX(CalLookUpTable,MATCH($B2876,CalLookUpRow,0),MATCH(I$1,CalLookUpColumn,0))</f>
        <v>4</v>
      </c>
    </row>
    <row r="2877" spans="1:9" x14ac:dyDescent="0.25">
      <c r="A2877" s="7">
        <v>2</v>
      </c>
      <c r="B2877" s="8">
        <v>43702</v>
      </c>
      <c r="C2877" s="9" t="s">
        <v>5</v>
      </c>
      <c r="D2877" s="10">
        <v>812.76999999999987</v>
      </c>
      <c r="E2877" s="10">
        <v>442.14099999999996</v>
      </c>
      <c r="F2877" t="str">
        <f>VLOOKUP(A2877,StoreLookup,2,FALSE)</f>
        <v>Store#2</v>
      </c>
      <c r="G2877">
        <f>INDEX(CalLookUpTable,MATCH($B2877,CalLookUpRow,0),MATCH(G$1,CalLookUpColumn,0))</f>
        <v>2019</v>
      </c>
      <c r="H2877">
        <f>INDEX(CalLookUpTable,MATCH($B2877,CalLookUpRow,0),MATCH(H$1,CalLookUpColumn,0))</f>
        <v>8</v>
      </c>
      <c r="I2877">
        <f>INDEX(CalLookUpTable,MATCH($B2877,CalLookUpRow,0),MATCH(I$1,CalLookUpColumn,0))</f>
        <v>4</v>
      </c>
    </row>
    <row r="2878" spans="1:9" x14ac:dyDescent="0.25">
      <c r="A2878" s="7">
        <v>2</v>
      </c>
      <c r="B2878" s="8">
        <v>43703</v>
      </c>
      <c r="C2878" s="9" t="s">
        <v>4</v>
      </c>
      <c r="D2878" s="10">
        <v>1567.8320000000001</v>
      </c>
      <c r="E2878" s="10">
        <v>1662.5630000000001</v>
      </c>
      <c r="F2878" t="str">
        <f>VLOOKUP(A2878,StoreLookup,2,FALSE)</f>
        <v>Store#2</v>
      </c>
      <c r="G2878">
        <f>INDEX(CalLookUpTable,MATCH($B2878,CalLookUpRow,0),MATCH(G$1,CalLookUpColumn,0))</f>
        <v>2019</v>
      </c>
      <c r="H2878">
        <f>INDEX(CalLookUpTable,MATCH($B2878,CalLookUpRow,0),MATCH(H$1,CalLookUpColumn,0))</f>
        <v>9</v>
      </c>
      <c r="I2878">
        <f>INDEX(CalLookUpTable,MATCH($B2878,CalLookUpRow,0),MATCH(I$1,CalLookUpColumn,0))</f>
        <v>1</v>
      </c>
    </row>
    <row r="2879" spans="1:9" x14ac:dyDescent="0.25">
      <c r="A2879" s="7">
        <v>2</v>
      </c>
      <c r="B2879" s="8">
        <v>43703</v>
      </c>
      <c r="C2879" s="9" t="s">
        <v>6</v>
      </c>
      <c r="D2879" s="10">
        <v>372.28800000000001</v>
      </c>
      <c r="E2879" s="10">
        <v>490.7419999999999</v>
      </c>
      <c r="F2879" t="str">
        <f>VLOOKUP(A2879,StoreLookup,2,FALSE)</f>
        <v>Store#2</v>
      </c>
      <c r="G2879">
        <f>INDEX(CalLookUpTable,MATCH($B2879,CalLookUpRow,0),MATCH(G$1,CalLookUpColumn,0))</f>
        <v>2019</v>
      </c>
      <c r="H2879">
        <f>INDEX(CalLookUpTable,MATCH($B2879,CalLookUpRow,0),MATCH(H$1,CalLookUpColumn,0))</f>
        <v>9</v>
      </c>
      <c r="I2879">
        <f>INDEX(CalLookUpTable,MATCH($B2879,CalLookUpRow,0),MATCH(I$1,CalLookUpColumn,0))</f>
        <v>1</v>
      </c>
    </row>
    <row r="2880" spans="1:9" x14ac:dyDescent="0.25">
      <c r="A2880" s="7">
        <v>2</v>
      </c>
      <c r="B2880" s="8">
        <v>43703</v>
      </c>
      <c r="C2880" s="9" t="s">
        <v>3</v>
      </c>
      <c r="D2880" s="10">
        <v>0</v>
      </c>
      <c r="E2880" s="10">
        <v>230.46099999999998</v>
      </c>
      <c r="F2880" t="str">
        <f>VLOOKUP(A2880,StoreLookup,2,FALSE)</f>
        <v>Store#2</v>
      </c>
      <c r="G2880">
        <f>INDEX(CalLookUpTable,MATCH($B2880,CalLookUpRow,0),MATCH(G$1,CalLookUpColumn,0))</f>
        <v>2019</v>
      </c>
      <c r="H2880">
        <f>INDEX(CalLookUpTable,MATCH($B2880,CalLookUpRow,0),MATCH(H$1,CalLookUpColumn,0))</f>
        <v>9</v>
      </c>
      <c r="I2880">
        <f>INDEX(CalLookUpTable,MATCH($B2880,CalLookUpRow,0),MATCH(I$1,CalLookUpColumn,0))</f>
        <v>1</v>
      </c>
    </row>
    <row r="2881" spans="1:9" x14ac:dyDescent="0.25">
      <c r="A2881" s="7">
        <v>2</v>
      </c>
      <c r="B2881" s="8">
        <v>43703</v>
      </c>
      <c r="C2881" s="9" t="s">
        <v>5</v>
      </c>
      <c r="D2881" s="10">
        <v>1028.3</v>
      </c>
      <c r="E2881" s="10">
        <v>759.28300000000002</v>
      </c>
      <c r="F2881" t="str">
        <f>VLOOKUP(A2881,StoreLookup,2,FALSE)</f>
        <v>Store#2</v>
      </c>
      <c r="G2881">
        <f>INDEX(CalLookUpTable,MATCH($B2881,CalLookUpRow,0),MATCH(G$1,CalLookUpColumn,0))</f>
        <v>2019</v>
      </c>
      <c r="H2881">
        <f>INDEX(CalLookUpTable,MATCH($B2881,CalLookUpRow,0),MATCH(H$1,CalLookUpColumn,0))</f>
        <v>9</v>
      </c>
      <c r="I2881">
        <f>INDEX(CalLookUpTable,MATCH($B2881,CalLookUpRow,0),MATCH(I$1,CalLookUpColumn,0))</f>
        <v>1</v>
      </c>
    </row>
    <row r="2882" spans="1:9" x14ac:dyDescent="0.25">
      <c r="A2882" s="7">
        <v>2</v>
      </c>
      <c r="B2882" s="8">
        <v>43704</v>
      </c>
      <c r="C2882" s="9" t="s">
        <v>6</v>
      </c>
      <c r="D2882" s="10">
        <v>129.381</v>
      </c>
      <c r="E2882" s="10">
        <v>265.93700000000001</v>
      </c>
      <c r="F2882" t="str">
        <f>VLOOKUP(A2882,StoreLookup,2,FALSE)</f>
        <v>Store#2</v>
      </c>
      <c r="G2882">
        <f>INDEX(CalLookUpTable,MATCH($B2882,CalLookUpRow,0),MATCH(G$1,CalLookUpColumn,0))</f>
        <v>2019</v>
      </c>
      <c r="H2882">
        <f>INDEX(CalLookUpTable,MATCH($B2882,CalLookUpRow,0),MATCH(H$1,CalLookUpColumn,0))</f>
        <v>9</v>
      </c>
      <c r="I2882">
        <f>INDEX(CalLookUpTable,MATCH($B2882,CalLookUpRow,0),MATCH(I$1,CalLookUpColumn,0))</f>
        <v>1</v>
      </c>
    </row>
    <row r="2883" spans="1:9" x14ac:dyDescent="0.25">
      <c r="A2883" s="7">
        <v>2</v>
      </c>
      <c r="B2883" s="8">
        <v>43704</v>
      </c>
      <c r="C2883" s="9" t="s">
        <v>4</v>
      </c>
      <c r="D2883" s="10">
        <v>1959.1320000000001</v>
      </c>
      <c r="E2883" s="10">
        <v>1581.3559999999998</v>
      </c>
      <c r="F2883" t="str">
        <f>VLOOKUP(A2883,StoreLookup,2,FALSE)</f>
        <v>Store#2</v>
      </c>
      <c r="G2883">
        <f>INDEX(CalLookUpTable,MATCH($B2883,CalLookUpRow,0),MATCH(G$1,CalLookUpColumn,0))</f>
        <v>2019</v>
      </c>
      <c r="H2883">
        <f>INDEX(CalLookUpTable,MATCH($B2883,CalLookUpRow,0),MATCH(H$1,CalLookUpColumn,0))</f>
        <v>9</v>
      </c>
      <c r="I2883">
        <f>INDEX(CalLookUpTable,MATCH($B2883,CalLookUpRow,0),MATCH(I$1,CalLookUpColumn,0))</f>
        <v>1</v>
      </c>
    </row>
    <row r="2884" spans="1:9" x14ac:dyDescent="0.25">
      <c r="A2884" s="7">
        <v>2</v>
      </c>
      <c r="B2884" s="8">
        <v>43704</v>
      </c>
      <c r="C2884" s="9" t="s">
        <v>3</v>
      </c>
      <c r="D2884" s="10">
        <v>732.9559999999999</v>
      </c>
      <c r="E2884" s="10">
        <v>0</v>
      </c>
      <c r="F2884" t="str">
        <f>VLOOKUP(A2884,StoreLookup,2,FALSE)</f>
        <v>Store#2</v>
      </c>
      <c r="G2884">
        <f>INDEX(CalLookUpTable,MATCH($B2884,CalLookUpRow,0),MATCH(G$1,CalLookUpColumn,0))</f>
        <v>2019</v>
      </c>
      <c r="H2884">
        <f>INDEX(CalLookUpTable,MATCH($B2884,CalLookUpRow,0),MATCH(H$1,CalLookUpColumn,0))</f>
        <v>9</v>
      </c>
      <c r="I2884">
        <f>INDEX(CalLookUpTable,MATCH($B2884,CalLookUpRow,0),MATCH(I$1,CalLookUpColumn,0))</f>
        <v>1</v>
      </c>
    </row>
    <row r="2885" spans="1:9" x14ac:dyDescent="0.25">
      <c r="A2885" s="7">
        <v>2</v>
      </c>
      <c r="B2885" s="8">
        <v>43704</v>
      </c>
      <c r="C2885" s="9" t="s">
        <v>5</v>
      </c>
      <c r="D2885" s="10">
        <v>1021.062</v>
      </c>
      <c r="E2885" s="10">
        <v>739.98399999999992</v>
      </c>
      <c r="F2885" t="str">
        <f>VLOOKUP(A2885,StoreLookup,2,FALSE)</f>
        <v>Store#2</v>
      </c>
      <c r="G2885">
        <f>INDEX(CalLookUpTable,MATCH($B2885,CalLookUpRow,0),MATCH(G$1,CalLookUpColumn,0))</f>
        <v>2019</v>
      </c>
      <c r="H2885">
        <f>INDEX(CalLookUpTable,MATCH($B2885,CalLookUpRow,0),MATCH(H$1,CalLookUpColumn,0))</f>
        <v>9</v>
      </c>
      <c r="I2885">
        <f>INDEX(CalLookUpTable,MATCH($B2885,CalLookUpRow,0),MATCH(I$1,CalLookUpColumn,0))</f>
        <v>1</v>
      </c>
    </row>
    <row r="2886" spans="1:9" x14ac:dyDescent="0.25">
      <c r="A2886" s="7">
        <v>2</v>
      </c>
      <c r="B2886" s="8">
        <v>43705</v>
      </c>
      <c r="C2886" s="9" t="s">
        <v>3</v>
      </c>
      <c r="D2886" s="10">
        <v>160.85999999999999</v>
      </c>
      <c r="E2886" s="10">
        <v>0</v>
      </c>
      <c r="F2886" t="str">
        <f>VLOOKUP(A2886,StoreLookup,2,FALSE)</f>
        <v>Store#2</v>
      </c>
      <c r="G2886">
        <f>INDEX(CalLookUpTable,MATCH($B2886,CalLookUpRow,0),MATCH(G$1,CalLookUpColumn,0))</f>
        <v>2019</v>
      </c>
      <c r="H2886">
        <f>INDEX(CalLookUpTable,MATCH($B2886,CalLookUpRow,0),MATCH(H$1,CalLookUpColumn,0))</f>
        <v>9</v>
      </c>
      <c r="I2886">
        <f>INDEX(CalLookUpTable,MATCH($B2886,CalLookUpRow,0),MATCH(I$1,CalLookUpColumn,0))</f>
        <v>1</v>
      </c>
    </row>
    <row r="2887" spans="1:9" x14ac:dyDescent="0.25">
      <c r="A2887" s="7">
        <v>2</v>
      </c>
      <c r="B2887" s="8">
        <v>43705</v>
      </c>
      <c r="C2887" s="9" t="s">
        <v>6</v>
      </c>
      <c r="D2887" s="10">
        <v>170.32399999999998</v>
      </c>
      <c r="E2887" s="10">
        <v>264.62799999999999</v>
      </c>
      <c r="F2887" t="str">
        <f>VLOOKUP(A2887,StoreLookup,2,FALSE)</f>
        <v>Store#2</v>
      </c>
      <c r="G2887">
        <f>INDEX(CalLookUpTable,MATCH($B2887,CalLookUpRow,0),MATCH(G$1,CalLookUpColumn,0))</f>
        <v>2019</v>
      </c>
      <c r="H2887">
        <f>INDEX(CalLookUpTable,MATCH($B2887,CalLookUpRow,0),MATCH(H$1,CalLookUpColumn,0))</f>
        <v>9</v>
      </c>
      <c r="I2887">
        <f>INDEX(CalLookUpTable,MATCH($B2887,CalLookUpRow,0),MATCH(I$1,CalLookUpColumn,0))</f>
        <v>1</v>
      </c>
    </row>
    <row r="2888" spans="1:9" x14ac:dyDescent="0.25">
      <c r="A2888" s="7">
        <v>2</v>
      </c>
      <c r="B2888" s="8">
        <v>43705</v>
      </c>
      <c r="C2888" s="9" t="s">
        <v>4</v>
      </c>
      <c r="D2888" s="10">
        <v>1533.4619999999998</v>
      </c>
      <c r="E2888" s="10">
        <v>1626.3589999999999</v>
      </c>
      <c r="F2888" t="str">
        <f>VLOOKUP(A2888,StoreLookup,2,FALSE)</f>
        <v>Store#2</v>
      </c>
      <c r="G2888">
        <f>INDEX(CalLookUpTable,MATCH($B2888,CalLookUpRow,0),MATCH(G$1,CalLookUpColumn,0))</f>
        <v>2019</v>
      </c>
      <c r="H2888">
        <f>INDEX(CalLookUpTable,MATCH($B2888,CalLookUpRow,0),MATCH(H$1,CalLookUpColumn,0))</f>
        <v>9</v>
      </c>
      <c r="I2888">
        <f>INDEX(CalLookUpTable,MATCH($B2888,CalLookUpRow,0),MATCH(I$1,CalLookUpColumn,0))</f>
        <v>1</v>
      </c>
    </row>
    <row r="2889" spans="1:9" x14ac:dyDescent="0.25">
      <c r="A2889" s="7">
        <v>2</v>
      </c>
      <c r="B2889" s="8">
        <v>43705</v>
      </c>
      <c r="C2889" s="9" t="s">
        <v>5</v>
      </c>
      <c r="D2889" s="10">
        <v>831.71199999999999</v>
      </c>
      <c r="E2889" s="10">
        <v>575.01499999999999</v>
      </c>
      <c r="F2889" t="str">
        <f>VLOOKUP(A2889,StoreLookup,2,FALSE)</f>
        <v>Store#2</v>
      </c>
      <c r="G2889">
        <f>INDEX(CalLookUpTable,MATCH($B2889,CalLookUpRow,0),MATCH(G$1,CalLookUpColumn,0))</f>
        <v>2019</v>
      </c>
      <c r="H2889">
        <f>INDEX(CalLookUpTable,MATCH($B2889,CalLookUpRow,0),MATCH(H$1,CalLookUpColumn,0))</f>
        <v>9</v>
      </c>
      <c r="I2889">
        <f>INDEX(CalLookUpTable,MATCH($B2889,CalLookUpRow,0),MATCH(I$1,CalLookUpColumn,0))</f>
        <v>1</v>
      </c>
    </row>
    <row r="2890" spans="1:9" x14ac:dyDescent="0.25">
      <c r="A2890" s="7">
        <v>2</v>
      </c>
      <c r="B2890" s="8">
        <v>43706</v>
      </c>
      <c r="C2890" s="9" t="s">
        <v>4</v>
      </c>
      <c r="D2890" s="10">
        <v>1952.9579999999999</v>
      </c>
      <c r="E2890" s="10">
        <v>2126.0259999999998</v>
      </c>
      <c r="F2890" t="str">
        <f>VLOOKUP(A2890,StoreLookup,2,FALSE)</f>
        <v>Store#2</v>
      </c>
      <c r="G2890">
        <f>INDEX(CalLookUpTable,MATCH($B2890,CalLookUpRow,0),MATCH(G$1,CalLookUpColumn,0))</f>
        <v>2019</v>
      </c>
      <c r="H2890">
        <f>INDEX(CalLookUpTable,MATCH($B2890,CalLookUpRow,0),MATCH(H$1,CalLookUpColumn,0))</f>
        <v>9</v>
      </c>
      <c r="I2890">
        <f>INDEX(CalLookUpTable,MATCH($B2890,CalLookUpRow,0),MATCH(I$1,CalLookUpColumn,0))</f>
        <v>1</v>
      </c>
    </row>
    <row r="2891" spans="1:9" x14ac:dyDescent="0.25">
      <c r="A2891" s="7">
        <v>2</v>
      </c>
      <c r="B2891" s="8">
        <v>43706</v>
      </c>
      <c r="C2891" s="9" t="s">
        <v>3</v>
      </c>
      <c r="D2891" s="10">
        <v>0</v>
      </c>
      <c r="E2891" s="10">
        <v>166.54399999999998</v>
      </c>
      <c r="F2891" t="str">
        <f>VLOOKUP(A2891,StoreLookup,2,FALSE)</f>
        <v>Store#2</v>
      </c>
      <c r="G2891">
        <f>INDEX(CalLookUpTable,MATCH($B2891,CalLookUpRow,0),MATCH(G$1,CalLookUpColumn,0))</f>
        <v>2019</v>
      </c>
      <c r="H2891">
        <f>INDEX(CalLookUpTable,MATCH($B2891,CalLookUpRow,0),MATCH(H$1,CalLookUpColumn,0))</f>
        <v>9</v>
      </c>
      <c r="I2891">
        <f>INDEX(CalLookUpTable,MATCH($B2891,CalLookUpRow,0),MATCH(I$1,CalLookUpColumn,0))</f>
        <v>1</v>
      </c>
    </row>
    <row r="2892" spans="1:9" x14ac:dyDescent="0.25">
      <c r="A2892" s="7">
        <v>2</v>
      </c>
      <c r="B2892" s="8">
        <v>43706</v>
      </c>
      <c r="C2892" s="9" t="s">
        <v>6</v>
      </c>
      <c r="D2892" s="10">
        <v>414.16899999999993</v>
      </c>
      <c r="E2892" s="10">
        <v>242.41</v>
      </c>
      <c r="F2892" t="str">
        <f>VLOOKUP(A2892,StoreLookup,2,FALSE)</f>
        <v>Store#2</v>
      </c>
      <c r="G2892">
        <f>INDEX(CalLookUpTable,MATCH($B2892,CalLookUpRow,0),MATCH(G$1,CalLookUpColumn,0))</f>
        <v>2019</v>
      </c>
      <c r="H2892">
        <f>INDEX(CalLookUpTable,MATCH($B2892,CalLookUpRow,0),MATCH(H$1,CalLookUpColumn,0))</f>
        <v>9</v>
      </c>
      <c r="I2892">
        <f>INDEX(CalLookUpTable,MATCH($B2892,CalLookUpRow,0),MATCH(I$1,CalLookUpColumn,0))</f>
        <v>1</v>
      </c>
    </row>
    <row r="2893" spans="1:9" x14ac:dyDescent="0.25">
      <c r="A2893" s="7">
        <v>2</v>
      </c>
      <c r="B2893" s="8">
        <v>43706</v>
      </c>
      <c r="C2893" s="9" t="s">
        <v>5</v>
      </c>
      <c r="D2893" s="10">
        <v>1384.7190000000001</v>
      </c>
      <c r="E2893" s="10">
        <v>788.96999999999991</v>
      </c>
      <c r="F2893" t="str">
        <f>VLOOKUP(A2893,StoreLookup,2,FALSE)</f>
        <v>Store#2</v>
      </c>
      <c r="G2893">
        <f>INDEX(CalLookUpTable,MATCH($B2893,CalLookUpRow,0),MATCH(G$1,CalLookUpColumn,0))</f>
        <v>2019</v>
      </c>
      <c r="H2893">
        <f>INDEX(CalLookUpTable,MATCH($B2893,CalLookUpRow,0),MATCH(H$1,CalLookUpColumn,0))</f>
        <v>9</v>
      </c>
      <c r="I2893">
        <f>INDEX(CalLookUpTable,MATCH($B2893,CalLookUpRow,0),MATCH(I$1,CalLookUpColumn,0))</f>
        <v>1</v>
      </c>
    </row>
    <row r="2894" spans="1:9" x14ac:dyDescent="0.25">
      <c r="A2894" s="7">
        <v>2</v>
      </c>
      <c r="B2894" s="8">
        <v>43707</v>
      </c>
      <c r="C2894" s="9" t="s">
        <v>4</v>
      </c>
      <c r="D2894" s="10">
        <v>2384.5009999999997</v>
      </c>
      <c r="E2894" s="10">
        <v>2376.4299999999998</v>
      </c>
      <c r="F2894" t="str">
        <f>VLOOKUP(A2894,StoreLookup,2,FALSE)</f>
        <v>Store#2</v>
      </c>
      <c r="G2894">
        <f>INDEX(CalLookUpTable,MATCH($B2894,CalLookUpRow,0),MATCH(G$1,CalLookUpColumn,0))</f>
        <v>2019</v>
      </c>
      <c r="H2894">
        <f>INDEX(CalLookUpTable,MATCH($B2894,CalLookUpRow,0),MATCH(H$1,CalLookUpColumn,0))</f>
        <v>9</v>
      </c>
      <c r="I2894">
        <f>INDEX(CalLookUpTable,MATCH($B2894,CalLookUpRow,0),MATCH(I$1,CalLookUpColumn,0))</f>
        <v>1</v>
      </c>
    </row>
    <row r="2895" spans="1:9" x14ac:dyDescent="0.25">
      <c r="A2895" s="7">
        <v>2</v>
      </c>
      <c r="B2895" s="8">
        <v>43707</v>
      </c>
      <c r="C2895" s="9" t="s">
        <v>5</v>
      </c>
      <c r="D2895" s="10">
        <v>1172.2619999999999</v>
      </c>
      <c r="E2895" s="10">
        <v>1139.1659999999999</v>
      </c>
      <c r="F2895" t="str">
        <f>VLOOKUP(A2895,StoreLookup,2,FALSE)</f>
        <v>Store#2</v>
      </c>
      <c r="G2895">
        <f>INDEX(CalLookUpTable,MATCH($B2895,CalLookUpRow,0),MATCH(G$1,CalLookUpColumn,0))</f>
        <v>2019</v>
      </c>
      <c r="H2895">
        <f>INDEX(CalLookUpTable,MATCH($B2895,CalLookUpRow,0),MATCH(H$1,CalLookUpColumn,0))</f>
        <v>9</v>
      </c>
      <c r="I2895">
        <f>INDEX(CalLookUpTable,MATCH($B2895,CalLookUpRow,0),MATCH(I$1,CalLookUpColumn,0))</f>
        <v>1</v>
      </c>
    </row>
    <row r="2896" spans="1:9" x14ac:dyDescent="0.25">
      <c r="A2896" s="7">
        <v>2</v>
      </c>
      <c r="B2896" s="8">
        <v>43707</v>
      </c>
      <c r="C2896" s="9" t="s">
        <v>3</v>
      </c>
      <c r="D2896" s="10">
        <v>0</v>
      </c>
      <c r="E2896" s="10">
        <v>0</v>
      </c>
      <c r="F2896" t="str">
        <f>VLOOKUP(A2896,StoreLookup,2,FALSE)</f>
        <v>Store#2</v>
      </c>
      <c r="G2896">
        <f>INDEX(CalLookUpTable,MATCH($B2896,CalLookUpRow,0),MATCH(G$1,CalLookUpColumn,0))</f>
        <v>2019</v>
      </c>
      <c r="H2896">
        <f>INDEX(CalLookUpTable,MATCH($B2896,CalLookUpRow,0),MATCH(H$1,CalLookUpColumn,0))</f>
        <v>9</v>
      </c>
      <c r="I2896">
        <f>INDEX(CalLookUpTable,MATCH($B2896,CalLookUpRow,0),MATCH(I$1,CalLookUpColumn,0))</f>
        <v>1</v>
      </c>
    </row>
    <row r="2897" spans="1:9" x14ac:dyDescent="0.25">
      <c r="A2897" s="7">
        <v>2</v>
      </c>
      <c r="B2897" s="8">
        <v>43707</v>
      </c>
      <c r="C2897" s="9" t="s">
        <v>6</v>
      </c>
      <c r="D2897" s="10">
        <v>501.96999999999997</v>
      </c>
      <c r="E2897" s="10">
        <v>524.54499999999996</v>
      </c>
      <c r="F2897" t="str">
        <f>VLOOKUP(A2897,StoreLookup,2,FALSE)</f>
        <v>Store#2</v>
      </c>
      <c r="G2897">
        <f>INDEX(CalLookUpTable,MATCH($B2897,CalLookUpRow,0),MATCH(G$1,CalLookUpColumn,0))</f>
        <v>2019</v>
      </c>
      <c r="H2897">
        <f>INDEX(CalLookUpTable,MATCH($B2897,CalLookUpRow,0),MATCH(H$1,CalLookUpColumn,0))</f>
        <v>9</v>
      </c>
      <c r="I2897">
        <f>INDEX(CalLookUpTable,MATCH($B2897,CalLookUpRow,0),MATCH(I$1,CalLookUpColumn,0))</f>
        <v>1</v>
      </c>
    </row>
    <row r="2898" spans="1:9" x14ac:dyDescent="0.25">
      <c r="A2898" s="7">
        <v>2</v>
      </c>
      <c r="B2898" s="8">
        <v>43708</v>
      </c>
      <c r="C2898" s="9" t="s">
        <v>4</v>
      </c>
      <c r="D2898" s="10">
        <v>1920.394</v>
      </c>
      <c r="E2898" s="10">
        <v>1897.0699999999997</v>
      </c>
      <c r="F2898" t="str">
        <f>VLOOKUP(A2898,StoreLookup,2,FALSE)</f>
        <v>Store#2</v>
      </c>
      <c r="G2898">
        <f>INDEX(CalLookUpTable,MATCH($B2898,CalLookUpRow,0),MATCH(G$1,CalLookUpColumn,0))</f>
        <v>2019</v>
      </c>
      <c r="H2898">
        <f>INDEX(CalLookUpTable,MATCH($B2898,CalLookUpRow,0),MATCH(H$1,CalLookUpColumn,0))</f>
        <v>9</v>
      </c>
      <c r="I2898">
        <f>INDEX(CalLookUpTable,MATCH($B2898,CalLookUpRow,0),MATCH(I$1,CalLookUpColumn,0))</f>
        <v>1</v>
      </c>
    </row>
    <row r="2899" spans="1:9" x14ac:dyDescent="0.25">
      <c r="A2899" s="7">
        <v>2</v>
      </c>
      <c r="B2899" s="8">
        <v>43708</v>
      </c>
      <c r="C2899" s="9" t="s">
        <v>3</v>
      </c>
      <c r="D2899" s="10">
        <v>0</v>
      </c>
      <c r="E2899" s="10">
        <v>752.02399999999989</v>
      </c>
      <c r="F2899" t="str">
        <f>VLOOKUP(A2899,StoreLookup,2,FALSE)</f>
        <v>Store#2</v>
      </c>
      <c r="G2899">
        <f>INDEX(CalLookUpTable,MATCH($B2899,CalLookUpRow,0),MATCH(G$1,CalLookUpColumn,0))</f>
        <v>2019</v>
      </c>
      <c r="H2899">
        <f>INDEX(CalLookUpTable,MATCH($B2899,CalLookUpRow,0),MATCH(H$1,CalLookUpColumn,0))</f>
        <v>9</v>
      </c>
      <c r="I2899">
        <f>INDEX(CalLookUpTable,MATCH($B2899,CalLookUpRow,0),MATCH(I$1,CalLookUpColumn,0))</f>
        <v>1</v>
      </c>
    </row>
    <row r="2900" spans="1:9" x14ac:dyDescent="0.25">
      <c r="A2900" s="7">
        <v>2</v>
      </c>
      <c r="B2900" s="8">
        <v>43708</v>
      </c>
      <c r="C2900" s="9" t="s">
        <v>5</v>
      </c>
      <c r="D2900" s="10">
        <v>990.976</v>
      </c>
      <c r="E2900" s="10">
        <v>636.67099999999994</v>
      </c>
      <c r="F2900" t="str">
        <f>VLOOKUP(A2900,StoreLookup,2,FALSE)</f>
        <v>Store#2</v>
      </c>
      <c r="G2900">
        <f>INDEX(CalLookUpTable,MATCH($B2900,CalLookUpRow,0),MATCH(G$1,CalLookUpColumn,0))</f>
        <v>2019</v>
      </c>
      <c r="H2900">
        <f>INDEX(CalLookUpTable,MATCH($B2900,CalLookUpRow,0),MATCH(H$1,CalLookUpColumn,0))</f>
        <v>9</v>
      </c>
      <c r="I2900">
        <f>INDEX(CalLookUpTable,MATCH($B2900,CalLookUpRow,0),MATCH(I$1,CalLookUpColumn,0))</f>
        <v>1</v>
      </c>
    </row>
    <row r="2901" spans="1:9" x14ac:dyDescent="0.25">
      <c r="A2901" s="7">
        <v>2</v>
      </c>
      <c r="B2901" s="8">
        <v>43708</v>
      </c>
      <c r="C2901" s="9" t="s">
        <v>6</v>
      </c>
      <c r="D2901" s="10">
        <v>324.82799999999997</v>
      </c>
      <c r="E2901" s="10">
        <v>239.078</v>
      </c>
      <c r="F2901" t="str">
        <f>VLOOKUP(A2901,StoreLookup,2,FALSE)</f>
        <v>Store#2</v>
      </c>
      <c r="G2901">
        <f>INDEX(CalLookUpTable,MATCH($B2901,CalLookUpRow,0),MATCH(G$1,CalLookUpColumn,0))</f>
        <v>2019</v>
      </c>
      <c r="H2901">
        <f>INDEX(CalLookUpTable,MATCH($B2901,CalLookUpRow,0),MATCH(H$1,CalLookUpColumn,0))</f>
        <v>9</v>
      </c>
      <c r="I2901">
        <f>INDEX(CalLookUpTable,MATCH($B2901,CalLookUpRow,0),MATCH(I$1,CalLookUpColumn,0))</f>
        <v>1</v>
      </c>
    </row>
    <row r="2902" spans="1:9" x14ac:dyDescent="0.25">
      <c r="A2902" s="7">
        <v>2</v>
      </c>
      <c r="B2902" s="8">
        <v>43709</v>
      </c>
      <c r="C2902" s="9" t="s">
        <v>3</v>
      </c>
      <c r="D2902" s="10">
        <v>0</v>
      </c>
      <c r="E2902" s="10">
        <v>0</v>
      </c>
      <c r="F2902" t="str">
        <f>VLOOKUP(A2902,StoreLookup,2,FALSE)</f>
        <v>Store#2</v>
      </c>
      <c r="G2902">
        <f>INDEX(CalLookUpTable,MATCH($B2902,CalLookUpRow,0),MATCH(G$1,CalLookUpColumn,0))</f>
        <v>2019</v>
      </c>
      <c r="H2902">
        <f>INDEX(CalLookUpTable,MATCH($B2902,CalLookUpRow,0),MATCH(H$1,CalLookUpColumn,0))</f>
        <v>9</v>
      </c>
      <c r="I2902">
        <f>INDEX(CalLookUpTable,MATCH($B2902,CalLookUpRow,0),MATCH(I$1,CalLookUpColumn,0))</f>
        <v>1</v>
      </c>
    </row>
    <row r="2903" spans="1:9" x14ac:dyDescent="0.25">
      <c r="A2903" s="7">
        <v>2</v>
      </c>
      <c r="B2903" s="8">
        <v>43709</v>
      </c>
      <c r="C2903" s="9" t="s">
        <v>5</v>
      </c>
      <c r="D2903" s="10">
        <v>685.82499999999993</v>
      </c>
      <c r="E2903" s="10">
        <v>392.959</v>
      </c>
      <c r="F2903" t="str">
        <f>VLOOKUP(A2903,StoreLookup,2,FALSE)</f>
        <v>Store#2</v>
      </c>
      <c r="G2903">
        <f>INDEX(CalLookUpTable,MATCH($B2903,CalLookUpRow,0),MATCH(G$1,CalLookUpColumn,0))</f>
        <v>2019</v>
      </c>
      <c r="H2903">
        <f>INDEX(CalLookUpTable,MATCH($B2903,CalLookUpRow,0),MATCH(H$1,CalLookUpColumn,0))</f>
        <v>9</v>
      </c>
      <c r="I2903">
        <f>INDEX(CalLookUpTable,MATCH($B2903,CalLookUpRow,0),MATCH(I$1,CalLookUpColumn,0))</f>
        <v>1</v>
      </c>
    </row>
    <row r="2904" spans="1:9" x14ac:dyDescent="0.25">
      <c r="A2904" s="7">
        <v>2</v>
      </c>
      <c r="B2904" s="8">
        <v>43709</v>
      </c>
      <c r="C2904" s="9" t="s">
        <v>4</v>
      </c>
      <c r="D2904" s="10">
        <v>868.00699999999995</v>
      </c>
      <c r="E2904" s="10">
        <v>1323.5669999999998</v>
      </c>
      <c r="F2904" t="str">
        <f>VLOOKUP(A2904,StoreLookup,2,FALSE)</f>
        <v>Store#2</v>
      </c>
      <c r="G2904">
        <f>INDEX(CalLookUpTable,MATCH($B2904,CalLookUpRow,0),MATCH(G$1,CalLookUpColumn,0))</f>
        <v>2019</v>
      </c>
      <c r="H2904">
        <f>INDEX(CalLookUpTable,MATCH($B2904,CalLookUpRow,0),MATCH(H$1,CalLookUpColumn,0))</f>
        <v>9</v>
      </c>
      <c r="I2904">
        <f>INDEX(CalLookUpTable,MATCH($B2904,CalLookUpRow,0),MATCH(I$1,CalLookUpColumn,0))</f>
        <v>1</v>
      </c>
    </row>
    <row r="2905" spans="1:9" x14ac:dyDescent="0.25">
      <c r="A2905" s="7">
        <v>2</v>
      </c>
      <c r="B2905" s="8">
        <v>43709</v>
      </c>
      <c r="C2905" s="9" t="s">
        <v>6</v>
      </c>
      <c r="D2905" s="10">
        <v>220.934</v>
      </c>
      <c r="E2905" s="10">
        <v>145.69099999999997</v>
      </c>
      <c r="F2905" t="str">
        <f>VLOOKUP(A2905,StoreLookup,2,FALSE)</f>
        <v>Store#2</v>
      </c>
      <c r="G2905">
        <f>INDEX(CalLookUpTable,MATCH($B2905,CalLookUpRow,0),MATCH(G$1,CalLookUpColumn,0))</f>
        <v>2019</v>
      </c>
      <c r="H2905">
        <f>INDEX(CalLookUpTable,MATCH($B2905,CalLookUpRow,0),MATCH(H$1,CalLookUpColumn,0))</f>
        <v>9</v>
      </c>
      <c r="I2905">
        <f>INDEX(CalLookUpTable,MATCH($B2905,CalLookUpRow,0),MATCH(I$1,CalLookUpColumn,0))</f>
        <v>1</v>
      </c>
    </row>
    <row r="2906" spans="1:9" x14ac:dyDescent="0.25">
      <c r="A2906" s="7">
        <v>2</v>
      </c>
      <c r="B2906" s="8">
        <v>43710</v>
      </c>
      <c r="C2906" s="9" t="s">
        <v>5</v>
      </c>
      <c r="D2906" s="10">
        <v>781.38199999999995</v>
      </c>
      <c r="E2906" s="10">
        <v>609.8119999999999</v>
      </c>
      <c r="F2906" t="str">
        <f>VLOOKUP(A2906,StoreLookup,2,FALSE)</f>
        <v>Store#2</v>
      </c>
      <c r="G2906">
        <f>INDEX(CalLookUpTable,MATCH($B2906,CalLookUpRow,0),MATCH(G$1,CalLookUpColumn,0))</f>
        <v>2019</v>
      </c>
      <c r="H2906">
        <f>INDEX(CalLookUpTable,MATCH($B2906,CalLookUpRow,0),MATCH(H$1,CalLookUpColumn,0))</f>
        <v>9</v>
      </c>
      <c r="I2906">
        <f>INDEX(CalLookUpTable,MATCH($B2906,CalLookUpRow,0),MATCH(I$1,CalLookUpColumn,0))</f>
        <v>2</v>
      </c>
    </row>
    <row r="2907" spans="1:9" x14ac:dyDescent="0.25">
      <c r="A2907" s="7">
        <v>2</v>
      </c>
      <c r="B2907" s="8">
        <v>43710</v>
      </c>
      <c r="C2907" s="9" t="s">
        <v>6</v>
      </c>
      <c r="D2907" s="10">
        <v>408.63199999999995</v>
      </c>
      <c r="E2907" s="10">
        <v>430.43699999999995</v>
      </c>
      <c r="F2907" t="str">
        <f>VLOOKUP(A2907,StoreLookup,2,FALSE)</f>
        <v>Store#2</v>
      </c>
      <c r="G2907">
        <f>INDEX(CalLookUpTable,MATCH($B2907,CalLookUpRow,0),MATCH(G$1,CalLookUpColumn,0))</f>
        <v>2019</v>
      </c>
      <c r="H2907">
        <f>INDEX(CalLookUpTable,MATCH($B2907,CalLookUpRow,0),MATCH(H$1,CalLookUpColumn,0))</f>
        <v>9</v>
      </c>
      <c r="I2907">
        <f>INDEX(CalLookUpTable,MATCH($B2907,CalLookUpRow,0),MATCH(I$1,CalLookUpColumn,0))</f>
        <v>2</v>
      </c>
    </row>
    <row r="2908" spans="1:9" x14ac:dyDescent="0.25">
      <c r="A2908" s="7">
        <v>2</v>
      </c>
      <c r="B2908" s="8">
        <v>43710</v>
      </c>
      <c r="C2908" s="9" t="s">
        <v>4</v>
      </c>
      <c r="D2908" s="10">
        <v>1768.7179999999998</v>
      </c>
      <c r="E2908" s="10">
        <v>1902.2289999999998</v>
      </c>
      <c r="F2908" t="str">
        <f>VLOOKUP(A2908,StoreLookup,2,FALSE)</f>
        <v>Store#2</v>
      </c>
      <c r="G2908">
        <f>INDEX(CalLookUpTable,MATCH($B2908,CalLookUpRow,0),MATCH(G$1,CalLookUpColumn,0))</f>
        <v>2019</v>
      </c>
      <c r="H2908">
        <f>INDEX(CalLookUpTable,MATCH($B2908,CalLookUpRow,0),MATCH(H$1,CalLookUpColumn,0))</f>
        <v>9</v>
      </c>
      <c r="I2908">
        <f>INDEX(CalLookUpTable,MATCH($B2908,CalLookUpRow,0),MATCH(I$1,CalLookUpColumn,0))</f>
        <v>2</v>
      </c>
    </row>
    <row r="2909" spans="1:9" x14ac:dyDescent="0.25">
      <c r="A2909" s="7">
        <v>2</v>
      </c>
      <c r="B2909" s="8">
        <v>43710</v>
      </c>
      <c r="C2909" s="9" t="s">
        <v>3</v>
      </c>
      <c r="D2909" s="10">
        <v>0</v>
      </c>
      <c r="E2909" s="10">
        <v>0</v>
      </c>
      <c r="F2909" t="str">
        <f>VLOOKUP(A2909,StoreLookup,2,FALSE)</f>
        <v>Store#2</v>
      </c>
      <c r="G2909">
        <f>INDEX(CalLookUpTable,MATCH($B2909,CalLookUpRow,0),MATCH(G$1,CalLookUpColumn,0))</f>
        <v>2019</v>
      </c>
      <c r="H2909">
        <f>INDEX(CalLookUpTable,MATCH($B2909,CalLookUpRow,0),MATCH(H$1,CalLookUpColumn,0))</f>
        <v>9</v>
      </c>
      <c r="I2909">
        <f>INDEX(CalLookUpTable,MATCH($B2909,CalLookUpRow,0),MATCH(I$1,CalLookUpColumn,0))</f>
        <v>2</v>
      </c>
    </row>
    <row r="2910" spans="1:9" x14ac:dyDescent="0.25">
      <c r="A2910" s="7">
        <v>2</v>
      </c>
      <c r="B2910" s="8">
        <v>43711</v>
      </c>
      <c r="C2910" s="9" t="s">
        <v>6</v>
      </c>
      <c r="D2910" s="10">
        <v>530.88</v>
      </c>
      <c r="E2910" s="10">
        <v>392.18199999999996</v>
      </c>
      <c r="F2910" t="str">
        <f>VLOOKUP(A2910,StoreLookup,2,FALSE)</f>
        <v>Store#2</v>
      </c>
      <c r="G2910">
        <f>INDEX(CalLookUpTable,MATCH($B2910,CalLookUpRow,0),MATCH(G$1,CalLookUpColumn,0))</f>
        <v>2019</v>
      </c>
      <c r="H2910">
        <f>INDEX(CalLookUpTable,MATCH($B2910,CalLookUpRow,0),MATCH(H$1,CalLookUpColumn,0))</f>
        <v>9</v>
      </c>
      <c r="I2910">
        <f>INDEX(CalLookUpTable,MATCH($B2910,CalLookUpRow,0),MATCH(I$1,CalLookUpColumn,0))</f>
        <v>2</v>
      </c>
    </row>
    <row r="2911" spans="1:9" x14ac:dyDescent="0.25">
      <c r="A2911" s="7">
        <v>2</v>
      </c>
      <c r="B2911" s="8">
        <v>43711</v>
      </c>
      <c r="C2911" s="9" t="s">
        <v>5</v>
      </c>
      <c r="D2911" s="10">
        <v>1008.7419999999998</v>
      </c>
      <c r="E2911" s="10">
        <v>659.35799999999995</v>
      </c>
      <c r="F2911" t="str">
        <f>VLOOKUP(A2911,StoreLookup,2,FALSE)</f>
        <v>Store#2</v>
      </c>
      <c r="G2911">
        <f>INDEX(CalLookUpTable,MATCH($B2911,CalLookUpRow,0),MATCH(G$1,CalLookUpColumn,0))</f>
        <v>2019</v>
      </c>
      <c r="H2911">
        <f>INDEX(CalLookUpTable,MATCH($B2911,CalLookUpRow,0),MATCH(H$1,CalLookUpColumn,0))</f>
        <v>9</v>
      </c>
      <c r="I2911">
        <f>INDEX(CalLookUpTable,MATCH($B2911,CalLookUpRow,0),MATCH(I$1,CalLookUpColumn,0))</f>
        <v>2</v>
      </c>
    </row>
    <row r="2912" spans="1:9" x14ac:dyDescent="0.25">
      <c r="A2912" s="7">
        <v>2</v>
      </c>
      <c r="B2912" s="8">
        <v>43711</v>
      </c>
      <c r="C2912" s="9" t="s">
        <v>4</v>
      </c>
      <c r="D2912" s="10">
        <v>1697.1079999999999</v>
      </c>
      <c r="E2912" s="10">
        <v>1649.3820000000001</v>
      </c>
      <c r="F2912" t="str">
        <f>VLOOKUP(A2912,StoreLookup,2,FALSE)</f>
        <v>Store#2</v>
      </c>
      <c r="G2912">
        <f>INDEX(CalLookUpTable,MATCH($B2912,CalLookUpRow,0),MATCH(G$1,CalLookUpColumn,0))</f>
        <v>2019</v>
      </c>
      <c r="H2912">
        <f>INDEX(CalLookUpTable,MATCH($B2912,CalLookUpRow,0),MATCH(H$1,CalLookUpColumn,0))</f>
        <v>9</v>
      </c>
      <c r="I2912">
        <f>INDEX(CalLookUpTable,MATCH($B2912,CalLookUpRow,0),MATCH(I$1,CalLookUpColumn,0))</f>
        <v>2</v>
      </c>
    </row>
    <row r="2913" spans="1:9" x14ac:dyDescent="0.25">
      <c r="A2913" s="7">
        <v>2</v>
      </c>
      <c r="B2913" s="8">
        <v>43711</v>
      </c>
      <c r="C2913" s="9" t="s">
        <v>3</v>
      </c>
      <c r="D2913" s="10">
        <v>0</v>
      </c>
      <c r="E2913" s="10">
        <v>0</v>
      </c>
      <c r="F2913" t="str">
        <f>VLOOKUP(A2913,StoreLookup,2,FALSE)</f>
        <v>Store#2</v>
      </c>
      <c r="G2913">
        <f>INDEX(CalLookUpTable,MATCH($B2913,CalLookUpRow,0),MATCH(G$1,CalLookUpColumn,0))</f>
        <v>2019</v>
      </c>
      <c r="H2913">
        <f>INDEX(CalLookUpTable,MATCH($B2913,CalLookUpRow,0),MATCH(H$1,CalLookUpColumn,0))</f>
        <v>9</v>
      </c>
      <c r="I2913">
        <f>INDEX(CalLookUpTable,MATCH($B2913,CalLookUpRow,0),MATCH(I$1,CalLookUpColumn,0))</f>
        <v>2</v>
      </c>
    </row>
    <row r="2914" spans="1:9" x14ac:dyDescent="0.25">
      <c r="A2914" s="7">
        <v>2</v>
      </c>
      <c r="B2914" s="8">
        <v>43712</v>
      </c>
      <c r="C2914" s="9" t="s">
        <v>6</v>
      </c>
      <c r="D2914" s="10">
        <v>472.47199999999998</v>
      </c>
      <c r="E2914" s="10">
        <v>256.459</v>
      </c>
      <c r="F2914" t="str">
        <f>VLOOKUP(A2914,StoreLookup,2,FALSE)</f>
        <v>Store#2</v>
      </c>
      <c r="G2914">
        <f>INDEX(CalLookUpTable,MATCH($B2914,CalLookUpRow,0),MATCH(G$1,CalLookUpColumn,0))</f>
        <v>2019</v>
      </c>
      <c r="H2914">
        <f>INDEX(CalLookUpTable,MATCH($B2914,CalLookUpRow,0),MATCH(H$1,CalLookUpColumn,0))</f>
        <v>9</v>
      </c>
      <c r="I2914">
        <f>INDEX(CalLookUpTable,MATCH($B2914,CalLookUpRow,0),MATCH(I$1,CalLookUpColumn,0))</f>
        <v>2</v>
      </c>
    </row>
    <row r="2915" spans="1:9" x14ac:dyDescent="0.25">
      <c r="A2915" s="7">
        <v>2</v>
      </c>
      <c r="B2915" s="8">
        <v>43712</v>
      </c>
      <c r="C2915" s="9" t="s">
        <v>4</v>
      </c>
      <c r="D2915" s="10">
        <v>1534.547</v>
      </c>
      <c r="E2915" s="10">
        <v>1498.2869999999998</v>
      </c>
      <c r="F2915" t="str">
        <f>VLOOKUP(A2915,StoreLookup,2,FALSE)</f>
        <v>Store#2</v>
      </c>
      <c r="G2915">
        <f>INDEX(CalLookUpTable,MATCH($B2915,CalLookUpRow,0),MATCH(G$1,CalLookUpColumn,0))</f>
        <v>2019</v>
      </c>
      <c r="H2915">
        <f>INDEX(CalLookUpTable,MATCH($B2915,CalLookUpRow,0),MATCH(H$1,CalLookUpColumn,0))</f>
        <v>9</v>
      </c>
      <c r="I2915">
        <f>INDEX(CalLookUpTable,MATCH($B2915,CalLookUpRow,0),MATCH(I$1,CalLookUpColumn,0))</f>
        <v>2</v>
      </c>
    </row>
    <row r="2916" spans="1:9" x14ac:dyDescent="0.25">
      <c r="A2916" s="7">
        <v>2</v>
      </c>
      <c r="B2916" s="8">
        <v>43712</v>
      </c>
      <c r="C2916" s="9" t="s">
        <v>3</v>
      </c>
      <c r="D2916" s="10">
        <v>0</v>
      </c>
      <c r="E2916" s="10">
        <v>0</v>
      </c>
      <c r="F2916" t="str">
        <f>VLOOKUP(A2916,StoreLookup,2,FALSE)</f>
        <v>Store#2</v>
      </c>
      <c r="G2916">
        <f>INDEX(CalLookUpTable,MATCH($B2916,CalLookUpRow,0),MATCH(G$1,CalLookUpColumn,0))</f>
        <v>2019</v>
      </c>
      <c r="H2916">
        <f>INDEX(CalLookUpTable,MATCH($B2916,CalLookUpRow,0),MATCH(H$1,CalLookUpColumn,0))</f>
        <v>9</v>
      </c>
      <c r="I2916">
        <f>INDEX(CalLookUpTable,MATCH($B2916,CalLookUpRow,0),MATCH(I$1,CalLookUpColumn,0))</f>
        <v>2</v>
      </c>
    </row>
    <row r="2917" spans="1:9" x14ac:dyDescent="0.25">
      <c r="A2917" s="7">
        <v>2</v>
      </c>
      <c r="B2917" s="8">
        <v>43712</v>
      </c>
      <c r="C2917" s="9" t="s">
        <v>5</v>
      </c>
      <c r="D2917" s="10">
        <v>1010.275</v>
      </c>
      <c r="E2917" s="10">
        <v>684.76099999999997</v>
      </c>
      <c r="F2917" t="str">
        <f>VLOOKUP(A2917,StoreLookup,2,FALSE)</f>
        <v>Store#2</v>
      </c>
      <c r="G2917">
        <f>INDEX(CalLookUpTable,MATCH($B2917,CalLookUpRow,0),MATCH(G$1,CalLookUpColumn,0))</f>
        <v>2019</v>
      </c>
      <c r="H2917">
        <f>INDEX(CalLookUpTable,MATCH($B2917,CalLookUpRow,0),MATCH(H$1,CalLookUpColumn,0))</f>
        <v>9</v>
      </c>
      <c r="I2917">
        <f>INDEX(CalLookUpTable,MATCH($B2917,CalLookUpRow,0),MATCH(I$1,CalLookUpColumn,0))</f>
        <v>2</v>
      </c>
    </row>
    <row r="2918" spans="1:9" x14ac:dyDescent="0.25">
      <c r="A2918" s="7">
        <v>2</v>
      </c>
      <c r="B2918" s="8">
        <v>43713</v>
      </c>
      <c r="C2918" s="9" t="s">
        <v>3</v>
      </c>
      <c r="D2918" s="10">
        <v>0</v>
      </c>
      <c r="E2918" s="10">
        <v>0</v>
      </c>
      <c r="F2918" t="str">
        <f>VLOOKUP(A2918,StoreLookup,2,FALSE)</f>
        <v>Store#2</v>
      </c>
      <c r="G2918">
        <f>INDEX(CalLookUpTable,MATCH($B2918,CalLookUpRow,0),MATCH(G$1,CalLookUpColumn,0))</f>
        <v>2019</v>
      </c>
      <c r="H2918">
        <f>INDEX(CalLookUpTable,MATCH($B2918,CalLookUpRow,0),MATCH(H$1,CalLookUpColumn,0))</f>
        <v>9</v>
      </c>
      <c r="I2918">
        <f>INDEX(CalLookUpTable,MATCH($B2918,CalLookUpRow,0),MATCH(I$1,CalLookUpColumn,0))</f>
        <v>2</v>
      </c>
    </row>
    <row r="2919" spans="1:9" x14ac:dyDescent="0.25">
      <c r="A2919" s="7">
        <v>2</v>
      </c>
      <c r="B2919" s="8">
        <v>43713</v>
      </c>
      <c r="C2919" s="9" t="s">
        <v>4</v>
      </c>
      <c r="D2919" s="10">
        <v>1867.9639999999999</v>
      </c>
      <c r="E2919" s="10">
        <v>1907.374</v>
      </c>
      <c r="F2919" t="str">
        <f>VLOOKUP(A2919,StoreLookup,2,FALSE)</f>
        <v>Store#2</v>
      </c>
      <c r="G2919">
        <f>INDEX(CalLookUpTable,MATCH($B2919,CalLookUpRow,0),MATCH(G$1,CalLookUpColumn,0))</f>
        <v>2019</v>
      </c>
      <c r="H2919">
        <f>INDEX(CalLookUpTable,MATCH($B2919,CalLookUpRow,0),MATCH(H$1,CalLookUpColumn,0))</f>
        <v>9</v>
      </c>
      <c r="I2919">
        <f>INDEX(CalLookUpTable,MATCH($B2919,CalLookUpRow,0),MATCH(I$1,CalLookUpColumn,0))</f>
        <v>2</v>
      </c>
    </row>
    <row r="2920" spans="1:9" x14ac:dyDescent="0.25">
      <c r="A2920" s="7">
        <v>2</v>
      </c>
      <c r="B2920" s="8">
        <v>43713</v>
      </c>
      <c r="C2920" s="9" t="s">
        <v>5</v>
      </c>
      <c r="D2920" s="10">
        <v>981.78499999999985</v>
      </c>
      <c r="E2920" s="10">
        <v>651.44099999999992</v>
      </c>
      <c r="F2920" t="str">
        <f>VLOOKUP(A2920,StoreLookup,2,FALSE)</f>
        <v>Store#2</v>
      </c>
      <c r="G2920">
        <f>INDEX(CalLookUpTable,MATCH($B2920,CalLookUpRow,0),MATCH(G$1,CalLookUpColumn,0))</f>
        <v>2019</v>
      </c>
      <c r="H2920">
        <f>INDEX(CalLookUpTable,MATCH($B2920,CalLookUpRow,0),MATCH(H$1,CalLookUpColumn,0))</f>
        <v>9</v>
      </c>
      <c r="I2920">
        <f>INDEX(CalLookUpTable,MATCH($B2920,CalLookUpRow,0),MATCH(I$1,CalLookUpColumn,0))</f>
        <v>2</v>
      </c>
    </row>
    <row r="2921" spans="1:9" x14ac:dyDescent="0.25">
      <c r="A2921" s="7">
        <v>2</v>
      </c>
      <c r="B2921" s="8">
        <v>43713</v>
      </c>
      <c r="C2921" s="9" t="s">
        <v>6</v>
      </c>
      <c r="D2921" s="10">
        <v>446.88699999999994</v>
      </c>
      <c r="E2921" s="10">
        <v>235.12999999999997</v>
      </c>
      <c r="F2921" t="str">
        <f>VLOOKUP(A2921,StoreLookup,2,FALSE)</f>
        <v>Store#2</v>
      </c>
      <c r="G2921">
        <f>INDEX(CalLookUpTable,MATCH($B2921,CalLookUpRow,0),MATCH(G$1,CalLookUpColumn,0))</f>
        <v>2019</v>
      </c>
      <c r="H2921">
        <f>INDEX(CalLookUpTable,MATCH($B2921,CalLookUpRow,0),MATCH(H$1,CalLookUpColumn,0))</f>
        <v>9</v>
      </c>
      <c r="I2921">
        <f>INDEX(CalLookUpTable,MATCH($B2921,CalLookUpRow,0),MATCH(I$1,CalLookUpColumn,0))</f>
        <v>2</v>
      </c>
    </row>
    <row r="2922" spans="1:9" x14ac:dyDescent="0.25">
      <c r="A2922" s="7">
        <v>2</v>
      </c>
      <c r="B2922" s="8">
        <v>43714</v>
      </c>
      <c r="C2922" s="9" t="s">
        <v>4</v>
      </c>
      <c r="D2922" s="10">
        <v>2433.5639999999999</v>
      </c>
      <c r="E2922" s="10">
        <v>2669.2749999999996</v>
      </c>
      <c r="F2922" t="str">
        <f>VLOOKUP(A2922,StoreLookup,2,FALSE)</f>
        <v>Store#2</v>
      </c>
      <c r="G2922">
        <f>INDEX(CalLookUpTable,MATCH($B2922,CalLookUpRow,0),MATCH(G$1,CalLookUpColumn,0))</f>
        <v>2019</v>
      </c>
      <c r="H2922">
        <f>INDEX(CalLookUpTable,MATCH($B2922,CalLookUpRow,0),MATCH(H$1,CalLookUpColumn,0))</f>
        <v>9</v>
      </c>
      <c r="I2922">
        <f>INDEX(CalLookUpTable,MATCH($B2922,CalLookUpRow,0),MATCH(I$1,CalLookUpColumn,0))</f>
        <v>2</v>
      </c>
    </row>
    <row r="2923" spans="1:9" x14ac:dyDescent="0.25">
      <c r="A2923" s="7">
        <v>2</v>
      </c>
      <c r="B2923" s="8">
        <v>43714</v>
      </c>
      <c r="C2923" s="9" t="s">
        <v>3</v>
      </c>
      <c r="D2923" s="10">
        <v>0</v>
      </c>
      <c r="E2923" s="10">
        <v>0</v>
      </c>
      <c r="F2923" t="str">
        <f>VLOOKUP(A2923,StoreLookup,2,FALSE)</f>
        <v>Store#2</v>
      </c>
      <c r="G2923">
        <f>INDEX(CalLookUpTable,MATCH($B2923,CalLookUpRow,0),MATCH(G$1,CalLookUpColumn,0))</f>
        <v>2019</v>
      </c>
      <c r="H2923">
        <f>INDEX(CalLookUpTable,MATCH($B2923,CalLookUpRow,0),MATCH(H$1,CalLookUpColumn,0))</f>
        <v>9</v>
      </c>
      <c r="I2923">
        <f>INDEX(CalLookUpTable,MATCH($B2923,CalLookUpRow,0),MATCH(I$1,CalLookUpColumn,0))</f>
        <v>2</v>
      </c>
    </row>
    <row r="2924" spans="1:9" x14ac:dyDescent="0.25">
      <c r="A2924" s="7">
        <v>2</v>
      </c>
      <c r="B2924" s="8">
        <v>43714</v>
      </c>
      <c r="C2924" s="9" t="s">
        <v>5</v>
      </c>
      <c r="D2924" s="10">
        <v>1441.3910000000001</v>
      </c>
      <c r="E2924" s="10">
        <v>831.70500000000004</v>
      </c>
      <c r="F2924" t="str">
        <f>VLOOKUP(A2924,StoreLookup,2,FALSE)</f>
        <v>Store#2</v>
      </c>
      <c r="G2924">
        <f>INDEX(CalLookUpTable,MATCH($B2924,CalLookUpRow,0),MATCH(G$1,CalLookUpColumn,0))</f>
        <v>2019</v>
      </c>
      <c r="H2924">
        <f>INDEX(CalLookUpTable,MATCH($B2924,CalLookUpRow,0),MATCH(H$1,CalLookUpColumn,0))</f>
        <v>9</v>
      </c>
      <c r="I2924">
        <f>INDEX(CalLookUpTable,MATCH($B2924,CalLookUpRow,0),MATCH(I$1,CalLookUpColumn,0))</f>
        <v>2</v>
      </c>
    </row>
    <row r="2925" spans="1:9" x14ac:dyDescent="0.25">
      <c r="A2925" s="7">
        <v>2</v>
      </c>
      <c r="B2925" s="8">
        <v>43714</v>
      </c>
      <c r="C2925" s="9" t="s">
        <v>6</v>
      </c>
      <c r="D2925" s="10">
        <v>359.27499999999998</v>
      </c>
      <c r="E2925" s="10">
        <v>728.90299999999991</v>
      </c>
      <c r="F2925" t="str">
        <f>VLOOKUP(A2925,StoreLookup,2,FALSE)</f>
        <v>Store#2</v>
      </c>
      <c r="G2925">
        <f>INDEX(CalLookUpTable,MATCH($B2925,CalLookUpRow,0),MATCH(G$1,CalLookUpColumn,0))</f>
        <v>2019</v>
      </c>
      <c r="H2925">
        <f>INDEX(CalLookUpTable,MATCH($B2925,CalLookUpRow,0),MATCH(H$1,CalLookUpColumn,0))</f>
        <v>9</v>
      </c>
      <c r="I2925">
        <f>INDEX(CalLookUpTable,MATCH($B2925,CalLookUpRow,0),MATCH(I$1,CalLookUpColumn,0))</f>
        <v>2</v>
      </c>
    </row>
    <row r="2926" spans="1:9" x14ac:dyDescent="0.25">
      <c r="A2926" s="7">
        <v>2</v>
      </c>
      <c r="B2926" s="8">
        <v>43715</v>
      </c>
      <c r="C2926" s="9" t="s">
        <v>6</v>
      </c>
      <c r="D2926" s="10">
        <v>563.03800000000001</v>
      </c>
      <c r="E2926" s="10">
        <v>432.25</v>
      </c>
      <c r="F2926" t="str">
        <f>VLOOKUP(A2926,StoreLookup,2,FALSE)</f>
        <v>Store#2</v>
      </c>
      <c r="G2926">
        <f>INDEX(CalLookUpTable,MATCH($B2926,CalLookUpRow,0),MATCH(G$1,CalLookUpColumn,0))</f>
        <v>2019</v>
      </c>
      <c r="H2926">
        <f>INDEX(CalLookUpTable,MATCH($B2926,CalLookUpRow,0),MATCH(H$1,CalLookUpColumn,0))</f>
        <v>9</v>
      </c>
      <c r="I2926">
        <f>INDEX(CalLookUpTable,MATCH($B2926,CalLookUpRow,0),MATCH(I$1,CalLookUpColumn,0))</f>
        <v>2</v>
      </c>
    </row>
    <row r="2927" spans="1:9" x14ac:dyDescent="0.25">
      <c r="A2927" s="7">
        <v>2</v>
      </c>
      <c r="B2927" s="8">
        <v>43715</v>
      </c>
      <c r="C2927" s="9" t="s">
        <v>4</v>
      </c>
      <c r="D2927" s="10">
        <v>2320.8919999999998</v>
      </c>
      <c r="E2927" s="10">
        <v>2249.4919999999997</v>
      </c>
      <c r="F2927" t="str">
        <f>VLOOKUP(A2927,StoreLookup,2,FALSE)</f>
        <v>Store#2</v>
      </c>
      <c r="G2927">
        <f>INDEX(CalLookUpTable,MATCH($B2927,CalLookUpRow,0),MATCH(G$1,CalLookUpColumn,0))</f>
        <v>2019</v>
      </c>
      <c r="H2927">
        <f>INDEX(CalLookUpTable,MATCH($B2927,CalLookUpRow,0),MATCH(H$1,CalLookUpColumn,0))</f>
        <v>9</v>
      </c>
      <c r="I2927">
        <f>INDEX(CalLookUpTable,MATCH($B2927,CalLookUpRow,0),MATCH(I$1,CalLookUpColumn,0))</f>
        <v>2</v>
      </c>
    </row>
    <row r="2928" spans="1:9" x14ac:dyDescent="0.25">
      <c r="A2928" s="7">
        <v>2</v>
      </c>
      <c r="B2928" s="8">
        <v>43715</v>
      </c>
      <c r="C2928" s="9" t="s">
        <v>3</v>
      </c>
      <c r="D2928" s="10">
        <v>265.41899999999998</v>
      </c>
      <c r="E2928" s="10">
        <v>26.901</v>
      </c>
      <c r="F2928" t="str">
        <f>VLOOKUP(A2928,StoreLookup,2,FALSE)</f>
        <v>Store#2</v>
      </c>
      <c r="G2928">
        <f>INDEX(CalLookUpTable,MATCH($B2928,CalLookUpRow,0),MATCH(G$1,CalLookUpColumn,0))</f>
        <v>2019</v>
      </c>
      <c r="H2928">
        <f>INDEX(CalLookUpTable,MATCH($B2928,CalLookUpRow,0),MATCH(H$1,CalLookUpColumn,0))</f>
        <v>9</v>
      </c>
      <c r="I2928">
        <f>INDEX(CalLookUpTable,MATCH($B2928,CalLookUpRow,0),MATCH(I$1,CalLookUpColumn,0))</f>
        <v>2</v>
      </c>
    </row>
    <row r="2929" spans="1:9" x14ac:dyDescent="0.25">
      <c r="A2929" s="7">
        <v>2</v>
      </c>
      <c r="B2929" s="8">
        <v>43715</v>
      </c>
      <c r="C2929" s="9" t="s">
        <v>5</v>
      </c>
      <c r="D2929" s="10">
        <v>1190.1609999999998</v>
      </c>
      <c r="E2929" s="10">
        <v>682.15</v>
      </c>
      <c r="F2929" t="str">
        <f>VLOOKUP(A2929,StoreLookup,2,FALSE)</f>
        <v>Store#2</v>
      </c>
      <c r="G2929">
        <f>INDEX(CalLookUpTable,MATCH($B2929,CalLookUpRow,0),MATCH(G$1,CalLookUpColumn,0))</f>
        <v>2019</v>
      </c>
      <c r="H2929">
        <f>INDEX(CalLookUpTable,MATCH($B2929,CalLookUpRow,0),MATCH(H$1,CalLookUpColumn,0))</f>
        <v>9</v>
      </c>
      <c r="I2929">
        <f>INDEX(CalLookUpTable,MATCH($B2929,CalLookUpRow,0),MATCH(I$1,CalLookUpColumn,0))</f>
        <v>2</v>
      </c>
    </row>
    <row r="2930" spans="1:9" x14ac:dyDescent="0.25">
      <c r="A2930" s="7">
        <v>2</v>
      </c>
      <c r="B2930" s="8">
        <v>43716</v>
      </c>
      <c r="C2930" s="9" t="s">
        <v>6</v>
      </c>
      <c r="D2930" s="10">
        <v>428.67299999999994</v>
      </c>
      <c r="E2930" s="10">
        <v>200.20699999999999</v>
      </c>
      <c r="F2930" t="str">
        <f>VLOOKUP(A2930,StoreLookup,2,FALSE)</f>
        <v>Store#2</v>
      </c>
      <c r="G2930">
        <f>INDEX(CalLookUpTable,MATCH($B2930,CalLookUpRow,0),MATCH(G$1,CalLookUpColumn,0))</f>
        <v>2019</v>
      </c>
      <c r="H2930">
        <f>INDEX(CalLookUpTable,MATCH($B2930,CalLookUpRow,0),MATCH(H$1,CalLookUpColumn,0))</f>
        <v>9</v>
      </c>
      <c r="I2930">
        <f>INDEX(CalLookUpTable,MATCH($B2930,CalLookUpRow,0),MATCH(I$1,CalLookUpColumn,0))</f>
        <v>2</v>
      </c>
    </row>
    <row r="2931" spans="1:9" x14ac:dyDescent="0.25">
      <c r="A2931" s="7">
        <v>2</v>
      </c>
      <c r="B2931" s="8">
        <v>43716</v>
      </c>
      <c r="C2931" s="9" t="s">
        <v>4</v>
      </c>
      <c r="D2931" s="10">
        <v>1211.154</v>
      </c>
      <c r="E2931" s="10">
        <v>1178.366</v>
      </c>
      <c r="F2931" t="str">
        <f>VLOOKUP(A2931,StoreLookup,2,FALSE)</f>
        <v>Store#2</v>
      </c>
      <c r="G2931">
        <f>INDEX(CalLookUpTable,MATCH($B2931,CalLookUpRow,0),MATCH(G$1,CalLookUpColumn,0))</f>
        <v>2019</v>
      </c>
      <c r="H2931">
        <f>INDEX(CalLookUpTable,MATCH($B2931,CalLookUpRow,0),MATCH(H$1,CalLookUpColumn,0))</f>
        <v>9</v>
      </c>
      <c r="I2931">
        <f>INDEX(CalLookUpTable,MATCH($B2931,CalLookUpRow,0),MATCH(I$1,CalLookUpColumn,0))</f>
        <v>2</v>
      </c>
    </row>
    <row r="2932" spans="1:9" x14ac:dyDescent="0.25">
      <c r="A2932" s="7">
        <v>2</v>
      </c>
      <c r="B2932" s="8">
        <v>43716</v>
      </c>
      <c r="C2932" s="9" t="s">
        <v>3</v>
      </c>
      <c r="D2932" s="10">
        <v>14.510999999999999</v>
      </c>
      <c r="E2932" s="10">
        <v>149.072</v>
      </c>
      <c r="F2932" t="str">
        <f>VLOOKUP(A2932,StoreLookup,2,FALSE)</f>
        <v>Store#2</v>
      </c>
      <c r="G2932">
        <f>INDEX(CalLookUpTable,MATCH($B2932,CalLookUpRow,0),MATCH(G$1,CalLookUpColumn,0))</f>
        <v>2019</v>
      </c>
      <c r="H2932">
        <f>INDEX(CalLookUpTable,MATCH($B2932,CalLookUpRow,0),MATCH(H$1,CalLookUpColumn,0))</f>
        <v>9</v>
      </c>
      <c r="I2932">
        <f>INDEX(CalLookUpTable,MATCH($B2932,CalLookUpRow,0),MATCH(I$1,CalLookUpColumn,0))</f>
        <v>2</v>
      </c>
    </row>
    <row r="2933" spans="1:9" x14ac:dyDescent="0.25">
      <c r="A2933" s="7">
        <v>2</v>
      </c>
      <c r="B2933" s="8">
        <v>43716</v>
      </c>
      <c r="C2933" s="9" t="s">
        <v>5</v>
      </c>
      <c r="D2933" s="10">
        <v>684.95699999999999</v>
      </c>
      <c r="E2933" s="10">
        <v>684.74699999999996</v>
      </c>
      <c r="F2933" t="str">
        <f>VLOOKUP(A2933,StoreLookup,2,FALSE)</f>
        <v>Store#2</v>
      </c>
      <c r="G2933">
        <f>INDEX(CalLookUpTable,MATCH($B2933,CalLookUpRow,0),MATCH(G$1,CalLookUpColumn,0))</f>
        <v>2019</v>
      </c>
      <c r="H2933">
        <f>INDEX(CalLookUpTable,MATCH($B2933,CalLookUpRow,0),MATCH(H$1,CalLookUpColumn,0))</f>
        <v>9</v>
      </c>
      <c r="I2933">
        <f>INDEX(CalLookUpTable,MATCH($B2933,CalLookUpRow,0),MATCH(I$1,CalLookUpColumn,0))</f>
        <v>2</v>
      </c>
    </row>
    <row r="2934" spans="1:9" x14ac:dyDescent="0.25">
      <c r="A2934" s="7">
        <v>2</v>
      </c>
      <c r="B2934" s="8">
        <v>43717</v>
      </c>
      <c r="C2934" s="9" t="s">
        <v>4</v>
      </c>
      <c r="D2934" s="10">
        <v>1333.1569999999999</v>
      </c>
      <c r="E2934" s="10">
        <v>1612.0089999999998</v>
      </c>
      <c r="F2934" t="str">
        <f>VLOOKUP(A2934,StoreLookup,2,FALSE)</f>
        <v>Store#2</v>
      </c>
      <c r="G2934">
        <f>INDEX(CalLookUpTable,MATCH($B2934,CalLookUpRow,0),MATCH(G$1,CalLookUpColumn,0))</f>
        <v>2019</v>
      </c>
      <c r="H2934">
        <f>INDEX(CalLookUpTable,MATCH($B2934,CalLookUpRow,0),MATCH(H$1,CalLookUpColumn,0))</f>
        <v>9</v>
      </c>
      <c r="I2934">
        <f>INDEX(CalLookUpTable,MATCH($B2934,CalLookUpRow,0),MATCH(I$1,CalLookUpColumn,0))</f>
        <v>3</v>
      </c>
    </row>
    <row r="2935" spans="1:9" x14ac:dyDescent="0.25">
      <c r="A2935" s="7">
        <v>2</v>
      </c>
      <c r="B2935" s="8">
        <v>43717</v>
      </c>
      <c r="C2935" s="9" t="s">
        <v>6</v>
      </c>
      <c r="D2935" s="10">
        <v>261.56200000000001</v>
      </c>
      <c r="E2935" s="10">
        <v>336.82599999999996</v>
      </c>
      <c r="F2935" t="str">
        <f>VLOOKUP(A2935,StoreLookup,2,FALSE)</f>
        <v>Store#2</v>
      </c>
      <c r="G2935">
        <f>INDEX(CalLookUpTable,MATCH($B2935,CalLookUpRow,0),MATCH(G$1,CalLookUpColumn,0))</f>
        <v>2019</v>
      </c>
      <c r="H2935">
        <f>INDEX(CalLookUpTable,MATCH($B2935,CalLookUpRow,0),MATCH(H$1,CalLookUpColumn,0))</f>
        <v>9</v>
      </c>
      <c r="I2935">
        <f>INDEX(CalLookUpTable,MATCH($B2935,CalLookUpRow,0),MATCH(I$1,CalLookUpColumn,0))</f>
        <v>3</v>
      </c>
    </row>
    <row r="2936" spans="1:9" x14ac:dyDescent="0.25">
      <c r="A2936" s="7">
        <v>2</v>
      </c>
      <c r="B2936" s="8">
        <v>43717</v>
      </c>
      <c r="C2936" s="9" t="s">
        <v>3</v>
      </c>
      <c r="D2936" s="10">
        <v>0</v>
      </c>
      <c r="E2936" s="10">
        <v>0</v>
      </c>
      <c r="F2936" t="str">
        <f>VLOOKUP(A2936,StoreLookup,2,FALSE)</f>
        <v>Store#2</v>
      </c>
      <c r="G2936">
        <f>INDEX(CalLookUpTable,MATCH($B2936,CalLookUpRow,0),MATCH(G$1,CalLookUpColumn,0))</f>
        <v>2019</v>
      </c>
      <c r="H2936">
        <f>INDEX(CalLookUpTable,MATCH($B2936,CalLookUpRow,0),MATCH(H$1,CalLookUpColumn,0))</f>
        <v>9</v>
      </c>
      <c r="I2936">
        <f>INDEX(CalLookUpTable,MATCH($B2936,CalLookUpRow,0),MATCH(I$1,CalLookUpColumn,0))</f>
        <v>3</v>
      </c>
    </row>
    <row r="2937" spans="1:9" x14ac:dyDescent="0.25">
      <c r="A2937" s="7">
        <v>2</v>
      </c>
      <c r="B2937" s="8">
        <v>43717</v>
      </c>
      <c r="C2937" s="9" t="s">
        <v>5</v>
      </c>
      <c r="D2937" s="10">
        <v>777.11900000000003</v>
      </c>
      <c r="E2937" s="10">
        <v>430.17099999999994</v>
      </c>
      <c r="F2937" t="str">
        <f>VLOOKUP(A2937,StoreLookup,2,FALSE)</f>
        <v>Store#2</v>
      </c>
      <c r="G2937">
        <f>INDEX(CalLookUpTable,MATCH($B2937,CalLookUpRow,0),MATCH(G$1,CalLookUpColumn,0))</f>
        <v>2019</v>
      </c>
      <c r="H2937">
        <f>INDEX(CalLookUpTable,MATCH($B2937,CalLookUpRow,0),MATCH(H$1,CalLookUpColumn,0))</f>
        <v>9</v>
      </c>
      <c r="I2937">
        <f>INDEX(CalLookUpTable,MATCH($B2937,CalLookUpRow,0),MATCH(I$1,CalLookUpColumn,0))</f>
        <v>3</v>
      </c>
    </row>
    <row r="2938" spans="1:9" x14ac:dyDescent="0.25">
      <c r="A2938" s="7">
        <v>2</v>
      </c>
      <c r="B2938" s="8">
        <v>43718</v>
      </c>
      <c r="C2938" s="9" t="s">
        <v>3</v>
      </c>
      <c r="D2938" s="10">
        <v>171.06599999999997</v>
      </c>
      <c r="E2938" s="10">
        <v>0</v>
      </c>
      <c r="F2938" t="str">
        <f>VLOOKUP(A2938,StoreLookup,2,FALSE)</f>
        <v>Store#2</v>
      </c>
      <c r="G2938">
        <f>INDEX(CalLookUpTable,MATCH($B2938,CalLookUpRow,0),MATCH(G$1,CalLookUpColumn,0))</f>
        <v>2019</v>
      </c>
      <c r="H2938">
        <f>INDEX(CalLookUpTable,MATCH($B2938,CalLookUpRow,0),MATCH(H$1,CalLookUpColumn,0))</f>
        <v>9</v>
      </c>
      <c r="I2938">
        <f>INDEX(CalLookUpTable,MATCH($B2938,CalLookUpRow,0),MATCH(I$1,CalLookUpColumn,0))</f>
        <v>3</v>
      </c>
    </row>
    <row r="2939" spans="1:9" x14ac:dyDescent="0.25">
      <c r="A2939" s="7">
        <v>2</v>
      </c>
      <c r="B2939" s="8">
        <v>43718</v>
      </c>
      <c r="C2939" s="9" t="s">
        <v>4</v>
      </c>
      <c r="D2939" s="10">
        <v>1445.8919999999998</v>
      </c>
      <c r="E2939" s="10">
        <v>1842.7429999999997</v>
      </c>
      <c r="F2939" t="str">
        <f>VLOOKUP(A2939,StoreLookup,2,FALSE)</f>
        <v>Store#2</v>
      </c>
      <c r="G2939">
        <f>INDEX(CalLookUpTable,MATCH($B2939,CalLookUpRow,0),MATCH(G$1,CalLookUpColumn,0))</f>
        <v>2019</v>
      </c>
      <c r="H2939">
        <f>INDEX(CalLookUpTable,MATCH($B2939,CalLookUpRow,0),MATCH(H$1,CalLookUpColumn,0))</f>
        <v>9</v>
      </c>
      <c r="I2939">
        <f>INDEX(CalLookUpTable,MATCH($B2939,CalLookUpRow,0),MATCH(I$1,CalLookUpColumn,0))</f>
        <v>3</v>
      </c>
    </row>
    <row r="2940" spans="1:9" x14ac:dyDescent="0.25">
      <c r="A2940" s="7">
        <v>2</v>
      </c>
      <c r="B2940" s="8">
        <v>43718</v>
      </c>
      <c r="C2940" s="9" t="s">
        <v>6</v>
      </c>
      <c r="D2940" s="10">
        <v>424.40999999999997</v>
      </c>
      <c r="E2940" s="10">
        <v>286.62199999999996</v>
      </c>
      <c r="F2940" t="str">
        <f>VLOOKUP(A2940,StoreLookup,2,FALSE)</f>
        <v>Store#2</v>
      </c>
      <c r="G2940">
        <f>INDEX(CalLookUpTable,MATCH($B2940,CalLookUpRow,0),MATCH(G$1,CalLookUpColumn,0))</f>
        <v>2019</v>
      </c>
      <c r="H2940">
        <f>INDEX(CalLookUpTable,MATCH($B2940,CalLookUpRow,0),MATCH(H$1,CalLookUpColumn,0))</f>
        <v>9</v>
      </c>
      <c r="I2940">
        <f>INDEX(CalLookUpTable,MATCH($B2940,CalLookUpRow,0),MATCH(I$1,CalLookUpColumn,0))</f>
        <v>3</v>
      </c>
    </row>
    <row r="2941" spans="1:9" x14ac:dyDescent="0.25">
      <c r="A2941" s="7">
        <v>2</v>
      </c>
      <c r="B2941" s="8">
        <v>43718</v>
      </c>
      <c r="C2941" s="9" t="s">
        <v>5</v>
      </c>
      <c r="D2941" s="10">
        <v>766.45100000000002</v>
      </c>
      <c r="E2941" s="10">
        <v>648.774</v>
      </c>
      <c r="F2941" t="str">
        <f>VLOOKUP(A2941,StoreLookup,2,FALSE)</f>
        <v>Store#2</v>
      </c>
      <c r="G2941">
        <f>INDEX(CalLookUpTable,MATCH($B2941,CalLookUpRow,0),MATCH(G$1,CalLookUpColumn,0))</f>
        <v>2019</v>
      </c>
      <c r="H2941">
        <f>INDEX(CalLookUpTable,MATCH($B2941,CalLookUpRow,0),MATCH(H$1,CalLookUpColumn,0))</f>
        <v>9</v>
      </c>
      <c r="I2941">
        <f>INDEX(CalLookUpTable,MATCH($B2941,CalLookUpRow,0),MATCH(I$1,CalLookUpColumn,0))</f>
        <v>3</v>
      </c>
    </row>
    <row r="2942" spans="1:9" x14ac:dyDescent="0.25">
      <c r="A2942" s="7">
        <v>2</v>
      </c>
      <c r="B2942" s="8">
        <v>43719</v>
      </c>
      <c r="C2942" s="9" t="s">
        <v>5</v>
      </c>
      <c r="D2942" s="10">
        <v>935.10199999999986</v>
      </c>
      <c r="E2942" s="10">
        <v>706.02</v>
      </c>
      <c r="F2942" t="str">
        <f>VLOOKUP(A2942,StoreLookup,2,FALSE)</f>
        <v>Store#2</v>
      </c>
      <c r="G2942">
        <f>INDEX(CalLookUpTable,MATCH($B2942,CalLookUpRow,0),MATCH(G$1,CalLookUpColumn,0))</f>
        <v>2019</v>
      </c>
      <c r="H2942">
        <f>INDEX(CalLookUpTable,MATCH($B2942,CalLookUpRow,0),MATCH(H$1,CalLookUpColumn,0))</f>
        <v>9</v>
      </c>
      <c r="I2942">
        <f>INDEX(CalLookUpTable,MATCH($B2942,CalLookUpRow,0),MATCH(I$1,CalLookUpColumn,0))</f>
        <v>3</v>
      </c>
    </row>
    <row r="2943" spans="1:9" x14ac:dyDescent="0.25">
      <c r="A2943" s="7">
        <v>2</v>
      </c>
      <c r="B2943" s="8">
        <v>43719</v>
      </c>
      <c r="C2943" s="9" t="s">
        <v>3</v>
      </c>
      <c r="D2943" s="10">
        <v>0</v>
      </c>
      <c r="E2943" s="10">
        <v>24.527999999999999</v>
      </c>
      <c r="F2943" t="str">
        <f>VLOOKUP(A2943,StoreLookup,2,FALSE)</f>
        <v>Store#2</v>
      </c>
      <c r="G2943">
        <f>INDEX(CalLookUpTable,MATCH($B2943,CalLookUpRow,0),MATCH(G$1,CalLookUpColumn,0))</f>
        <v>2019</v>
      </c>
      <c r="H2943">
        <f>INDEX(CalLookUpTable,MATCH($B2943,CalLookUpRow,0),MATCH(H$1,CalLookUpColumn,0))</f>
        <v>9</v>
      </c>
      <c r="I2943">
        <f>INDEX(CalLookUpTable,MATCH($B2943,CalLookUpRow,0),MATCH(I$1,CalLookUpColumn,0))</f>
        <v>3</v>
      </c>
    </row>
    <row r="2944" spans="1:9" x14ac:dyDescent="0.25">
      <c r="A2944" s="7">
        <v>2</v>
      </c>
      <c r="B2944" s="8">
        <v>43719</v>
      </c>
      <c r="C2944" s="9" t="s">
        <v>4</v>
      </c>
      <c r="D2944" s="10">
        <v>1285.088</v>
      </c>
      <c r="E2944" s="10">
        <v>1763.9929999999997</v>
      </c>
      <c r="F2944" t="str">
        <f>VLOOKUP(A2944,StoreLookup,2,FALSE)</f>
        <v>Store#2</v>
      </c>
      <c r="G2944">
        <f>INDEX(CalLookUpTable,MATCH($B2944,CalLookUpRow,0),MATCH(G$1,CalLookUpColumn,0))</f>
        <v>2019</v>
      </c>
      <c r="H2944">
        <f>INDEX(CalLookUpTable,MATCH($B2944,CalLookUpRow,0),MATCH(H$1,CalLookUpColumn,0))</f>
        <v>9</v>
      </c>
      <c r="I2944">
        <f>INDEX(CalLookUpTable,MATCH($B2944,CalLookUpRow,0),MATCH(I$1,CalLookUpColumn,0))</f>
        <v>3</v>
      </c>
    </row>
    <row r="2945" spans="1:9" x14ac:dyDescent="0.25">
      <c r="A2945" s="7">
        <v>2</v>
      </c>
      <c r="B2945" s="8">
        <v>43719</v>
      </c>
      <c r="C2945" s="9" t="s">
        <v>6</v>
      </c>
      <c r="D2945" s="10">
        <v>250.53700000000001</v>
      </c>
      <c r="E2945" s="10">
        <v>232.89</v>
      </c>
      <c r="F2945" t="str">
        <f>VLOOKUP(A2945,StoreLookup,2,FALSE)</f>
        <v>Store#2</v>
      </c>
      <c r="G2945">
        <f>INDEX(CalLookUpTable,MATCH($B2945,CalLookUpRow,0),MATCH(G$1,CalLookUpColumn,0))</f>
        <v>2019</v>
      </c>
      <c r="H2945">
        <f>INDEX(CalLookUpTable,MATCH($B2945,CalLookUpRow,0),MATCH(H$1,CalLookUpColumn,0))</f>
        <v>9</v>
      </c>
      <c r="I2945">
        <f>INDEX(CalLookUpTable,MATCH($B2945,CalLookUpRow,0),MATCH(I$1,CalLookUpColumn,0))</f>
        <v>3</v>
      </c>
    </row>
    <row r="2946" spans="1:9" x14ac:dyDescent="0.25">
      <c r="A2946" s="7">
        <v>2</v>
      </c>
      <c r="B2946" s="8">
        <v>43720</v>
      </c>
      <c r="C2946" s="9" t="s">
        <v>4</v>
      </c>
      <c r="D2946" s="10">
        <v>1501.0169999999998</v>
      </c>
      <c r="E2946" s="10">
        <v>2034.8649999999998</v>
      </c>
      <c r="F2946" t="str">
        <f>VLOOKUP(A2946,StoreLookup,2,FALSE)</f>
        <v>Store#2</v>
      </c>
      <c r="G2946">
        <f>INDEX(CalLookUpTable,MATCH($B2946,CalLookUpRow,0),MATCH(G$1,CalLookUpColumn,0))</f>
        <v>2019</v>
      </c>
      <c r="H2946">
        <f>INDEX(CalLookUpTable,MATCH($B2946,CalLookUpRow,0),MATCH(H$1,CalLookUpColumn,0))</f>
        <v>9</v>
      </c>
      <c r="I2946">
        <f>INDEX(CalLookUpTable,MATCH($B2946,CalLookUpRow,0),MATCH(I$1,CalLookUpColumn,0))</f>
        <v>3</v>
      </c>
    </row>
    <row r="2947" spans="1:9" x14ac:dyDescent="0.25">
      <c r="A2947" s="7">
        <v>2</v>
      </c>
      <c r="B2947" s="8">
        <v>43720</v>
      </c>
      <c r="C2947" s="9" t="s">
        <v>5</v>
      </c>
      <c r="D2947" s="10">
        <v>1326.2760000000001</v>
      </c>
      <c r="E2947" s="10">
        <v>806.70799999999997</v>
      </c>
      <c r="F2947" t="str">
        <f>VLOOKUP(A2947,StoreLookup,2,FALSE)</f>
        <v>Store#2</v>
      </c>
      <c r="G2947">
        <f>INDEX(CalLookUpTable,MATCH($B2947,CalLookUpRow,0),MATCH(G$1,CalLookUpColumn,0))</f>
        <v>2019</v>
      </c>
      <c r="H2947">
        <f>INDEX(CalLookUpTable,MATCH($B2947,CalLookUpRow,0),MATCH(H$1,CalLookUpColumn,0))</f>
        <v>9</v>
      </c>
      <c r="I2947">
        <f>INDEX(CalLookUpTable,MATCH($B2947,CalLookUpRow,0),MATCH(I$1,CalLookUpColumn,0))</f>
        <v>3</v>
      </c>
    </row>
    <row r="2948" spans="1:9" x14ac:dyDescent="0.25">
      <c r="A2948" s="7">
        <v>2</v>
      </c>
      <c r="B2948" s="8">
        <v>43720</v>
      </c>
      <c r="C2948" s="9" t="s">
        <v>3</v>
      </c>
      <c r="D2948" s="10">
        <v>459.22099999999995</v>
      </c>
      <c r="E2948" s="10">
        <v>0</v>
      </c>
      <c r="F2948" t="str">
        <f>VLOOKUP(A2948,StoreLookup,2,FALSE)</f>
        <v>Store#2</v>
      </c>
      <c r="G2948">
        <f>INDEX(CalLookUpTable,MATCH($B2948,CalLookUpRow,0),MATCH(G$1,CalLookUpColumn,0))</f>
        <v>2019</v>
      </c>
      <c r="H2948">
        <f>INDEX(CalLookUpTable,MATCH($B2948,CalLookUpRow,0),MATCH(H$1,CalLookUpColumn,0))</f>
        <v>9</v>
      </c>
      <c r="I2948">
        <f>INDEX(CalLookUpTable,MATCH($B2948,CalLookUpRow,0),MATCH(I$1,CalLookUpColumn,0))</f>
        <v>3</v>
      </c>
    </row>
    <row r="2949" spans="1:9" x14ac:dyDescent="0.25">
      <c r="A2949" s="7">
        <v>2</v>
      </c>
      <c r="B2949" s="8">
        <v>43720</v>
      </c>
      <c r="C2949" s="9" t="s">
        <v>6</v>
      </c>
      <c r="D2949" s="10">
        <v>426.38399999999996</v>
      </c>
      <c r="E2949" s="10">
        <v>643.58699999999999</v>
      </c>
      <c r="F2949" t="str">
        <f>VLOOKUP(A2949,StoreLookup,2,FALSE)</f>
        <v>Store#2</v>
      </c>
      <c r="G2949">
        <f>INDEX(CalLookUpTable,MATCH($B2949,CalLookUpRow,0),MATCH(G$1,CalLookUpColumn,0))</f>
        <v>2019</v>
      </c>
      <c r="H2949">
        <f>INDEX(CalLookUpTable,MATCH($B2949,CalLookUpRow,0),MATCH(H$1,CalLookUpColumn,0))</f>
        <v>9</v>
      </c>
      <c r="I2949">
        <f>INDEX(CalLookUpTable,MATCH($B2949,CalLookUpRow,0),MATCH(I$1,CalLookUpColumn,0))</f>
        <v>3</v>
      </c>
    </row>
    <row r="2950" spans="1:9" x14ac:dyDescent="0.25">
      <c r="A2950" s="7">
        <v>2</v>
      </c>
      <c r="B2950" s="8">
        <v>43721</v>
      </c>
      <c r="C2950" s="9" t="s">
        <v>6</v>
      </c>
      <c r="D2950" s="10">
        <v>436.12799999999993</v>
      </c>
      <c r="E2950" s="10">
        <v>676.43100000000004</v>
      </c>
      <c r="F2950" t="str">
        <f>VLOOKUP(A2950,StoreLookup,2,FALSE)</f>
        <v>Store#2</v>
      </c>
      <c r="G2950">
        <f>INDEX(CalLookUpTable,MATCH($B2950,CalLookUpRow,0),MATCH(G$1,CalLookUpColumn,0))</f>
        <v>2019</v>
      </c>
      <c r="H2950">
        <f>INDEX(CalLookUpTable,MATCH($B2950,CalLookUpRow,0),MATCH(H$1,CalLookUpColumn,0))</f>
        <v>9</v>
      </c>
      <c r="I2950">
        <f>INDEX(CalLookUpTable,MATCH($B2950,CalLookUpRow,0),MATCH(I$1,CalLookUpColumn,0))</f>
        <v>3</v>
      </c>
    </row>
    <row r="2951" spans="1:9" x14ac:dyDescent="0.25">
      <c r="A2951" s="7">
        <v>2</v>
      </c>
      <c r="B2951" s="8">
        <v>43721</v>
      </c>
      <c r="C2951" s="9" t="s">
        <v>5</v>
      </c>
      <c r="D2951" s="10">
        <v>1492.722</v>
      </c>
      <c r="E2951" s="10">
        <v>881.17399999999986</v>
      </c>
      <c r="F2951" t="str">
        <f>VLOOKUP(A2951,StoreLookup,2,FALSE)</f>
        <v>Store#2</v>
      </c>
      <c r="G2951">
        <f>INDEX(CalLookUpTable,MATCH($B2951,CalLookUpRow,0),MATCH(G$1,CalLookUpColumn,0))</f>
        <v>2019</v>
      </c>
      <c r="H2951">
        <f>INDEX(CalLookUpTable,MATCH($B2951,CalLookUpRow,0),MATCH(H$1,CalLookUpColumn,0))</f>
        <v>9</v>
      </c>
      <c r="I2951">
        <f>INDEX(CalLookUpTable,MATCH($B2951,CalLookUpRow,0),MATCH(I$1,CalLookUpColumn,0))</f>
        <v>3</v>
      </c>
    </row>
    <row r="2952" spans="1:9" x14ac:dyDescent="0.25">
      <c r="A2952" s="7">
        <v>2</v>
      </c>
      <c r="B2952" s="8">
        <v>43721</v>
      </c>
      <c r="C2952" s="9" t="s">
        <v>4</v>
      </c>
      <c r="D2952" s="10">
        <v>2378.971</v>
      </c>
      <c r="E2952" s="10">
        <v>2297.3159999999998</v>
      </c>
      <c r="F2952" t="str">
        <f>VLOOKUP(A2952,StoreLookup,2,FALSE)</f>
        <v>Store#2</v>
      </c>
      <c r="G2952">
        <f>INDEX(CalLookUpTable,MATCH($B2952,CalLookUpRow,0),MATCH(G$1,CalLookUpColumn,0))</f>
        <v>2019</v>
      </c>
      <c r="H2952">
        <f>INDEX(CalLookUpTable,MATCH($B2952,CalLookUpRow,0),MATCH(H$1,CalLookUpColumn,0))</f>
        <v>9</v>
      </c>
      <c r="I2952">
        <f>INDEX(CalLookUpTable,MATCH($B2952,CalLookUpRow,0),MATCH(I$1,CalLookUpColumn,0))</f>
        <v>3</v>
      </c>
    </row>
    <row r="2953" spans="1:9" x14ac:dyDescent="0.25">
      <c r="A2953" s="7">
        <v>2</v>
      </c>
      <c r="B2953" s="8">
        <v>43721</v>
      </c>
      <c r="C2953" s="9" t="s">
        <v>3</v>
      </c>
      <c r="D2953" s="10">
        <v>20.908999999999999</v>
      </c>
      <c r="E2953" s="10">
        <v>0</v>
      </c>
      <c r="F2953" t="str">
        <f>VLOOKUP(A2953,StoreLookup,2,FALSE)</f>
        <v>Store#2</v>
      </c>
      <c r="G2953">
        <f>INDEX(CalLookUpTable,MATCH($B2953,CalLookUpRow,0),MATCH(G$1,CalLookUpColumn,0))</f>
        <v>2019</v>
      </c>
      <c r="H2953">
        <f>INDEX(CalLookUpTable,MATCH($B2953,CalLookUpRow,0),MATCH(H$1,CalLookUpColumn,0))</f>
        <v>9</v>
      </c>
      <c r="I2953">
        <f>INDEX(CalLookUpTable,MATCH($B2953,CalLookUpRow,0),MATCH(I$1,CalLookUpColumn,0))</f>
        <v>3</v>
      </c>
    </row>
    <row r="2954" spans="1:9" x14ac:dyDescent="0.25">
      <c r="A2954" s="7">
        <v>2</v>
      </c>
      <c r="B2954" s="8">
        <v>43722</v>
      </c>
      <c r="C2954" s="9" t="s">
        <v>6</v>
      </c>
      <c r="D2954" s="10">
        <v>417.83699999999993</v>
      </c>
      <c r="E2954" s="10">
        <v>443.55499999999995</v>
      </c>
      <c r="F2954" t="str">
        <f>VLOOKUP(A2954,StoreLookup,2,FALSE)</f>
        <v>Store#2</v>
      </c>
      <c r="G2954">
        <f>INDEX(CalLookUpTable,MATCH($B2954,CalLookUpRow,0),MATCH(G$1,CalLookUpColumn,0))</f>
        <v>2019</v>
      </c>
      <c r="H2954">
        <f>INDEX(CalLookUpTable,MATCH($B2954,CalLookUpRow,0),MATCH(H$1,CalLookUpColumn,0))</f>
        <v>9</v>
      </c>
      <c r="I2954">
        <f>INDEX(CalLookUpTable,MATCH($B2954,CalLookUpRow,0),MATCH(I$1,CalLookUpColumn,0))</f>
        <v>3</v>
      </c>
    </row>
    <row r="2955" spans="1:9" x14ac:dyDescent="0.25">
      <c r="A2955" s="7">
        <v>2</v>
      </c>
      <c r="B2955" s="8">
        <v>43722</v>
      </c>
      <c r="C2955" s="9" t="s">
        <v>4</v>
      </c>
      <c r="D2955" s="10">
        <v>1899.5059999999999</v>
      </c>
      <c r="E2955" s="10">
        <v>2297.596</v>
      </c>
      <c r="F2955" t="str">
        <f>VLOOKUP(A2955,StoreLookup,2,FALSE)</f>
        <v>Store#2</v>
      </c>
      <c r="G2955">
        <f>INDEX(CalLookUpTable,MATCH($B2955,CalLookUpRow,0),MATCH(G$1,CalLookUpColumn,0))</f>
        <v>2019</v>
      </c>
      <c r="H2955">
        <f>INDEX(CalLookUpTable,MATCH($B2955,CalLookUpRow,0),MATCH(H$1,CalLookUpColumn,0))</f>
        <v>9</v>
      </c>
      <c r="I2955">
        <f>INDEX(CalLookUpTable,MATCH($B2955,CalLookUpRow,0),MATCH(I$1,CalLookUpColumn,0))</f>
        <v>3</v>
      </c>
    </row>
    <row r="2956" spans="1:9" x14ac:dyDescent="0.25">
      <c r="A2956" s="7">
        <v>2</v>
      </c>
      <c r="B2956" s="8">
        <v>43722</v>
      </c>
      <c r="C2956" s="9" t="s">
        <v>3</v>
      </c>
      <c r="D2956" s="10">
        <v>0</v>
      </c>
      <c r="E2956" s="10">
        <v>0</v>
      </c>
      <c r="F2956" t="str">
        <f>VLOOKUP(A2956,StoreLookup,2,FALSE)</f>
        <v>Store#2</v>
      </c>
      <c r="G2956">
        <f>INDEX(CalLookUpTable,MATCH($B2956,CalLookUpRow,0),MATCH(G$1,CalLookUpColumn,0))</f>
        <v>2019</v>
      </c>
      <c r="H2956">
        <f>INDEX(CalLookUpTable,MATCH($B2956,CalLookUpRow,0),MATCH(H$1,CalLookUpColumn,0))</f>
        <v>9</v>
      </c>
      <c r="I2956">
        <f>INDEX(CalLookUpTable,MATCH($B2956,CalLookUpRow,0),MATCH(I$1,CalLookUpColumn,0))</f>
        <v>3</v>
      </c>
    </row>
    <row r="2957" spans="1:9" x14ac:dyDescent="0.25">
      <c r="A2957" s="7">
        <v>2</v>
      </c>
      <c r="B2957" s="8">
        <v>43722</v>
      </c>
      <c r="C2957" s="9" t="s">
        <v>5</v>
      </c>
      <c r="D2957" s="10">
        <v>1091.1949999999999</v>
      </c>
      <c r="E2957" s="10">
        <v>933.20500000000004</v>
      </c>
      <c r="F2957" t="str">
        <f>VLOOKUP(A2957,StoreLookup,2,FALSE)</f>
        <v>Store#2</v>
      </c>
      <c r="G2957">
        <f>INDEX(CalLookUpTable,MATCH($B2957,CalLookUpRow,0),MATCH(G$1,CalLookUpColumn,0))</f>
        <v>2019</v>
      </c>
      <c r="H2957">
        <f>INDEX(CalLookUpTable,MATCH($B2957,CalLookUpRow,0),MATCH(H$1,CalLookUpColumn,0))</f>
        <v>9</v>
      </c>
      <c r="I2957">
        <f>INDEX(CalLookUpTable,MATCH($B2957,CalLookUpRow,0),MATCH(I$1,CalLookUpColumn,0))</f>
        <v>3</v>
      </c>
    </row>
    <row r="2958" spans="1:9" x14ac:dyDescent="0.25">
      <c r="A2958" s="7">
        <v>2</v>
      </c>
      <c r="B2958" s="8">
        <v>43723</v>
      </c>
      <c r="C2958" s="9" t="s">
        <v>6</v>
      </c>
      <c r="D2958" s="10">
        <v>370.02</v>
      </c>
      <c r="E2958" s="10">
        <v>315.27999999999997</v>
      </c>
      <c r="F2958" t="str">
        <f>VLOOKUP(A2958,StoreLookup,2,FALSE)</f>
        <v>Store#2</v>
      </c>
      <c r="G2958">
        <f>INDEX(CalLookUpTable,MATCH($B2958,CalLookUpRow,0),MATCH(G$1,CalLookUpColumn,0))</f>
        <v>2019</v>
      </c>
      <c r="H2958">
        <f>INDEX(CalLookUpTable,MATCH($B2958,CalLookUpRow,0),MATCH(H$1,CalLookUpColumn,0))</f>
        <v>9</v>
      </c>
      <c r="I2958">
        <f>INDEX(CalLookUpTable,MATCH($B2958,CalLookUpRow,0),MATCH(I$1,CalLookUpColumn,0))</f>
        <v>3</v>
      </c>
    </row>
    <row r="2959" spans="1:9" x14ac:dyDescent="0.25">
      <c r="A2959" s="7">
        <v>2</v>
      </c>
      <c r="B2959" s="8">
        <v>43723</v>
      </c>
      <c r="C2959" s="9" t="s">
        <v>4</v>
      </c>
      <c r="D2959" s="10">
        <v>1234.0929999999998</v>
      </c>
      <c r="E2959" s="10">
        <v>1118.4669999999999</v>
      </c>
      <c r="F2959" t="str">
        <f>VLOOKUP(A2959,StoreLookup,2,FALSE)</f>
        <v>Store#2</v>
      </c>
      <c r="G2959">
        <f>INDEX(CalLookUpTable,MATCH($B2959,CalLookUpRow,0),MATCH(G$1,CalLookUpColumn,0))</f>
        <v>2019</v>
      </c>
      <c r="H2959">
        <f>INDEX(CalLookUpTable,MATCH($B2959,CalLookUpRow,0),MATCH(H$1,CalLookUpColumn,0))</f>
        <v>9</v>
      </c>
      <c r="I2959">
        <f>INDEX(CalLookUpTable,MATCH($B2959,CalLookUpRow,0),MATCH(I$1,CalLookUpColumn,0))</f>
        <v>3</v>
      </c>
    </row>
    <row r="2960" spans="1:9" x14ac:dyDescent="0.25">
      <c r="A2960" s="7">
        <v>2</v>
      </c>
      <c r="B2960" s="8">
        <v>43723</v>
      </c>
      <c r="C2960" s="9" t="s">
        <v>3</v>
      </c>
      <c r="D2960" s="10">
        <v>0</v>
      </c>
      <c r="E2960" s="10">
        <v>0</v>
      </c>
      <c r="F2960" t="str">
        <f>VLOOKUP(A2960,StoreLookup,2,FALSE)</f>
        <v>Store#2</v>
      </c>
      <c r="G2960">
        <f>INDEX(CalLookUpTable,MATCH($B2960,CalLookUpRow,0),MATCH(G$1,CalLookUpColumn,0))</f>
        <v>2019</v>
      </c>
      <c r="H2960">
        <f>INDEX(CalLookUpTable,MATCH($B2960,CalLookUpRow,0),MATCH(H$1,CalLookUpColumn,0))</f>
        <v>9</v>
      </c>
      <c r="I2960">
        <f>INDEX(CalLookUpTable,MATCH($B2960,CalLookUpRow,0),MATCH(I$1,CalLookUpColumn,0))</f>
        <v>3</v>
      </c>
    </row>
    <row r="2961" spans="1:9" x14ac:dyDescent="0.25">
      <c r="A2961" s="7">
        <v>2</v>
      </c>
      <c r="B2961" s="8">
        <v>43723</v>
      </c>
      <c r="C2961" s="9" t="s">
        <v>5</v>
      </c>
      <c r="D2961" s="10">
        <v>701.47</v>
      </c>
      <c r="E2961" s="10">
        <v>578.92799999999988</v>
      </c>
      <c r="F2961" t="str">
        <f>VLOOKUP(A2961,StoreLookup,2,FALSE)</f>
        <v>Store#2</v>
      </c>
      <c r="G2961">
        <f>INDEX(CalLookUpTable,MATCH($B2961,CalLookUpRow,0),MATCH(G$1,CalLookUpColumn,0))</f>
        <v>2019</v>
      </c>
      <c r="H2961">
        <f>INDEX(CalLookUpTable,MATCH($B2961,CalLookUpRow,0),MATCH(H$1,CalLookUpColumn,0))</f>
        <v>9</v>
      </c>
      <c r="I2961">
        <f>INDEX(CalLookUpTable,MATCH($B2961,CalLookUpRow,0),MATCH(I$1,CalLookUpColumn,0))</f>
        <v>3</v>
      </c>
    </row>
    <row r="2962" spans="1:9" x14ac:dyDescent="0.25">
      <c r="A2962" s="7">
        <v>2</v>
      </c>
      <c r="B2962" s="8">
        <v>43724</v>
      </c>
      <c r="C2962" s="9" t="s">
        <v>3</v>
      </c>
      <c r="D2962" s="10">
        <v>0</v>
      </c>
      <c r="E2962" s="10">
        <v>0</v>
      </c>
      <c r="F2962" t="str">
        <f>VLOOKUP(A2962,StoreLookup,2,FALSE)</f>
        <v>Store#2</v>
      </c>
      <c r="G2962">
        <f>INDEX(CalLookUpTable,MATCH($B2962,CalLookUpRow,0),MATCH(G$1,CalLookUpColumn,0))</f>
        <v>2019</v>
      </c>
      <c r="H2962">
        <f>INDEX(CalLookUpTable,MATCH($B2962,CalLookUpRow,0),MATCH(H$1,CalLookUpColumn,0))</f>
        <v>9</v>
      </c>
      <c r="I2962">
        <f>INDEX(CalLookUpTable,MATCH($B2962,CalLookUpRow,0),MATCH(I$1,CalLookUpColumn,0))</f>
        <v>4</v>
      </c>
    </row>
    <row r="2963" spans="1:9" x14ac:dyDescent="0.25">
      <c r="A2963" s="7">
        <v>2</v>
      </c>
      <c r="B2963" s="8">
        <v>43724</v>
      </c>
      <c r="C2963" s="9" t="s">
        <v>6</v>
      </c>
      <c r="D2963" s="10">
        <v>542.59799999999996</v>
      </c>
      <c r="E2963" s="10">
        <v>246.25299999999999</v>
      </c>
      <c r="F2963" t="str">
        <f>VLOOKUP(A2963,StoreLookup,2,FALSE)</f>
        <v>Store#2</v>
      </c>
      <c r="G2963">
        <f>INDEX(CalLookUpTable,MATCH($B2963,CalLookUpRow,0),MATCH(G$1,CalLookUpColumn,0))</f>
        <v>2019</v>
      </c>
      <c r="H2963">
        <f>INDEX(CalLookUpTable,MATCH($B2963,CalLookUpRow,0),MATCH(H$1,CalLookUpColumn,0))</f>
        <v>9</v>
      </c>
      <c r="I2963">
        <f>INDEX(CalLookUpTable,MATCH($B2963,CalLookUpRow,0),MATCH(I$1,CalLookUpColumn,0))</f>
        <v>4</v>
      </c>
    </row>
    <row r="2964" spans="1:9" x14ac:dyDescent="0.25">
      <c r="A2964" s="7">
        <v>2</v>
      </c>
      <c r="B2964" s="8">
        <v>43724</v>
      </c>
      <c r="C2964" s="9" t="s">
        <v>4</v>
      </c>
      <c r="D2964" s="10">
        <v>1712.9770000000001</v>
      </c>
      <c r="E2964" s="10">
        <v>1338.316</v>
      </c>
      <c r="F2964" t="str">
        <f>VLOOKUP(A2964,StoreLookup,2,FALSE)</f>
        <v>Store#2</v>
      </c>
      <c r="G2964">
        <f>INDEX(CalLookUpTable,MATCH($B2964,CalLookUpRow,0),MATCH(G$1,CalLookUpColumn,0))</f>
        <v>2019</v>
      </c>
      <c r="H2964">
        <f>INDEX(CalLookUpTable,MATCH($B2964,CalLookUpRow,0),MATCH(H$1,CalLookUpColumn,0))</f>
        <v>9</v>
      </c>
      <c r="I2964">
        <f>INDEX(CalLookUpTable,MATCH($B2964,CalLookUpRow,0),MATCH(I$1,CalLookUpColumn,0))</f>
        <v>4</v>
      </c>
    </row>
    <row r="2965" spans="1:9" x14ac:dyDescent="0.25">
      <c r="A2965" s="7">
        <v>2</v>
      </c>
      <c r="B2965" s="8">
        <v>43724</v>
      </c>
      <c r="C2965" s="9" t="s">
        <v>5</v>
      </c>
      <c r="D2965" s="10">
        <v>948.48599999999999</v>
      </c>
      <c r="E2965" s="10">
        <v>642.70499999999993</v>
      </c>
      <c r="F2965" t="str">
        <f>VLOOKUP(A2965,StoreLookup,2,FALSE)</f>
        <v>Store#2</v>
      </c>
      <c r="G2965">
        <f>INDEX(CalLookUpTable,MATCH($B2965,CalLookUpRow,0),MATCH(G$1,CalLookUpColumn,0))</f>
        <v>2019</v>
      </c>
      <c r="H2965">
        <f>INDEX(CalLookUpTable,MATCH($B2965,CalLookUpRow,0),MATCH(H$1,CalLookUpColumn,0))</f>
        <v>9</v>
      </c>
      <c r="I2965">
        <f>INDEX(CalLookUpTable,MATCH($B2965,CalLookUpRow,0),MATCH(I$1,CalLookUpColumn,0))</f>
        <v>4</v>
      </c>
    </row>
    <row r="2966" spans="1:9" x14ac:dyDescent="0.25">
      <c r="A2966" s="7">
        <v>2</v>
      </c>
      <c r="B2966" s="8">
        <v>43725</v>
      </c>
      <c r="C2966" s="9" t="s">
        <v>6</v>
      </c>
      <c r="D2966" s="10">
        <v>411.02599999999995</v>
      </c>
      <c r="E2966" s="10">
        <v>242.28399999999999</v>
      </c>
      <c r="F2966" t="str">
        <f>VLOOKUP(A2966,StoreLookup,2,FALSE)</f>
        <v>Store#2</v>
      </c>
      <c r="G2966">
        <f>INDEX(CalLookUpTable,MATCH($B2966,CalLookUpRow,0),MATCH(G$1,CalLookUpColumn,0))</f>
        <v>2019</v>
      </c>
      <c r="H2966">
        <f>INDEX(CalLookUpTable,MATCH($B2966,CalLookUpRow,0),MATCH(H$1,CalLookUpColumn,0))</f>
        <v>9</v>
      </c>
      <c r="I2966">
        <f>INDEX(CalLookUpTable,MATCH($B2966,CalLookUpRow,0),MATCH(I$1,CalLookUpColumn,0))</f>
        <v>4</v>
      </c>
    </row>
    <row r="2967" spans="1:9" x14ac:dyDescent="0.25">
      <c r="A2967" s="7">
        <v>2</v>
      </c>
      <c r="B2967" s="8">
        <v>43725</v>
      </c>
      <c r="C2967" s="9" t="s">
        <v>3</v>
      </c>
      <c r="D2967" s="10">
        <v>0</v>
      </c>
      <c r="E2967" s="10">
        <v>0</v>
      </c>
      <c r="F2967" t="str">
        <f>VLOOKUP(A2967,StoreLookup,2,FALSE)</f>
        <v>Store#2</v>
      </c>
      <c r="G2967">
        <f>INDEX(CalLookUpTable,MATCH($B2967,CalLookUpRow,0),MATCH(G$1,CalLookUpColumn,0))</f>
        <v>2019</v>
      </c>
      <c r="H2967">
        <f>INDEX(CalLookUpTable,MATCH($B2967,CalLookUpRow,0),MATCH(H$1,CalLookUpColumn,0))</f>
        <v>9</v>
      </c>
      <c r="I2967">
        <f>INDEX(CalLookUpTable,MATCH($B2967,CalLookUpRow,0),MATCH(I$1,CalLookUpColumn,0))</f>
        <v>4</v>
      </c>
    </row>
    <row r="2968" spans="1:9" x14ac:dyDescent="0.25">
      <c r="A2968" s="7">
        <v>2</v>
      </c>
      <c r="B2968" s="8">
        <v>43725</v>
      </c>
      <c r="C2968" s="9" t="s">
        <v>4</v>
      </c>
      <c r="D2968" s="10">
        <v>1773.73</v>
      </c>
      <c r="E2968" s="10">
        <v>1700.9369999999999</v>
      </c>
      <c r="F2968" t="str">
        <f>VLOOKUP(A2968,StoreLookup,2,FALSE)</f>
        <v>Store#2</v>
      </c>
      <c r="G2968">
        <f>INDEX(CalLookUpTable,MATCH($B2968,CalLookUpRow,0),MATCH(G$1,CalLookUpColumn,0))</f>
        <v>2019</v>
      </c>
      <c r="H2968">
        <f>INDEX(CalLookUpTable,MATCH($B2968,CalLookUpRow,0),MATCH(H$1,CalLookUpColumn,0))</f>
        <v>9</v>
      </c>
      <c r="I2968">
        <f>INDEX(CalLookUpTable,MATCH($B2968,CalLookUpRow,0),MATCH(I$1,CalLookUpColumn,0))</f>
        <v>4</v>
      </c>
    </row>
    <row r="2969" spans="1:9" x14ac:dyDescent="0.25">
      <c r="A2969" s="7">
        <v>2</v>
      </c>
      <c r="B2969" s="8">
        <v>43725</v>
      </c>
      <c r="C2969" s="9" t="s">
        <v>5</v>
      </c>
      <c r="D2969" s="10">
        <v>945.34999999999991</v>
      </c>
      <c r="E2969" s="10">
        <v>736.72899999999993</v>
      </c>
      <c r="F2969" t="str">
        <f>VLOOKUP(A2969,StoreLookup,2,FALSE)</f>
        <v>Store#2</v>
      </c>
      <c r="G2969">
        <f>INDEX(CalLookUpTable,MATCH($B2969,CalLookUpRow,0),MATCH(G$1,CalLookUpColumn,0))</f>
        <v>2019</v>
      </c>
      <c r="H2969">
        <f>INDEX(CalLookUpTable,MATCH($B2969,CalLookUpRow,0),MATCH(H$1,CalLookUpColumn,0))</f>
        <v>9</v>
      </c>
      <c r="I2969">
        <f>INDEX(CalLookUpTable,MATCH($B2969,CalLookUpRow,0),MATCH(I$1,CalLookUpColumn,0))</f>
        <v>4</v>
      </c>
    </row>
    <row r="2970" spans="1:9" x14ac:dyDescent="0.25">
      <c r="A2970" s="7">
        <v>2</v>
      </c>
      <c r="B2970" s="8">
        <v>43726</v>
      </c>
      <c r="C2970" s="9" t="s">
        <v>5</v>
      </c>
      <c r="D2970" s="10">
        <v>763.07699999999988</v>
      </c>
      <c r="E2970" s="10">
        <v>609.86099999999999</v>
      </c>
      <c r="F2970" t="str">
        <f>VLOOKUP(A2970,StoreLookup,2,FALSE)</f>
        <v>Store#2</v>
      </c>
      <c r="G2970">
        <f>INDEX(CalLookUpTable,MATCH($B2970,CalLookUpRow,0),MATCH(G$1,CalLookUpColumn,0))</f>
        <v>2019</v>
      </c>
      <c r="H2970">
        <f>INDEX(CalLookUpTable,MATCH($B2970,CalLookUpRow,0),MATCH(H$1,CalLookUpColumn,0))</f>
        <v>9</v>
      </c>
      <c r="I2970">
        <f>INDEX(CalLookUpTable,MATCH($B2970,CalLookUpRow,0),MATCH(I$1,CalLookUpColumn,0))</f>
        <v>4</v>
      </c>
    </row>
    <row r="2971" spans="1:9" x14ac:dyDescent="0.25">
      <c r="A2971" s="7">
        <v>2</v>
      </c>
      <c r="B2971" s="8">
        <v>43726</v>
      </c>
      <c r="C2971" s="9" t="s">
        <v>4</v>
      </c>
      <c r="D2971" s="10">
        <v>1419.5229999999999</v>
      </c>
      <c r="E2971" s="10">
        <v>1658.9369999999999</v>
      </c>
      <c r="F2971" t="str">
        <f>VLOOKUP(A2971,StoreLookup,2,FALSE)</f>
        <v>Store#2</v>
      </c>
      <c r="G2971">
        <f>INDEX(CalLookUpTable,MATCH($B2971,CalLookUpRow,0),MATCH(G$1,CalLookUpColumn,0))</f>
        <v>2019</v>
      </c>
      <c r="H2971">
        <f>INDEX(CalLookUpTable,MATCH($B2971,CalLookUpRow,0),MATCH(H$1,CalLookUpColumn,0))</f>
        <v>9</v>
      </c>
      <c r="I2971">
        <f>INDEX(CalLookUpTable,MATCH($B2971,CalLookUpRow,0),MATCH(I$1,CalLookUpColumn,0))</f>
        <v>4</v>
      </c>
    </row>
    <row r="2972" spans="1:9" x14ac:dyDescent="0.25">
      <c r="A2972" s="7">
        <v>2</v>
      </c>
      <c r="B2972" s="8">
        <v>43726</v>
      </c>
      <c r="C2972" s="9" t="s">
        <v>6</v>
      </c>
      <c r="D2972" s="10">
        <v>208.453</v>
      </c>
      <c r="E2972" s="10">
        <v>264.495</v>
      </c>
      <c r="F2972" t="str">
        <f>VLOOKUP(A2972,StoreLookup,2,FALSE)</f>
        <v>Store#2</v>
      </c>
      <c r="G2972">
        <f>INDEX(CalLookUpTable,MATCH($B2972,CalLookUpRow,0),MATCH(G$1,CalLookUpColumn,0))</f>
        <v>2019</v>
      </c>
      <c r="H2972">
        <f>INDEX(CalLookUpTable,MATCH($B2972,CalLookUpRow,0),MATCH(H$1,CalLookUpColumn,0))</f>
        <v>9</v>
      </c>
      <c r="I2972">
        <f>INDEX(CalLookUpTable,MATCH($B2972,CalLookUpRow,0),MATCH(I$1,CalLookUpColumn,0))</f>
        <v>4</v>
      </c>
    </row>
    <row r="2973" spans="1:9" x14ac:dyDescent="0.25">
      <c r="A2973" s="7">
        <v>2</v>
      </c>
      <c r="B2973" s="8">
        <v>43726</v>
      </c>
      <c r="C2973" s="9" t="s">
        <v>3</v>
      </c>
      <c r="D2973" s="10">
        <v>0</v>
      </c>
      <c r="E2973" s="10">
        <v>437.96199999999993</v>
      </c>
      <c r="F2973" t="str">
        <f>VLOOKUP(A2973,StoreLookup,2,FALSE)</f>
        <v>Store#2</v>
      </c>
      <c r="G2973">
        <f>INDEX(CalLookUpTable,MATCH($B2973,CalLookUpRow,0),MATCH(G$1,CalLookUpColumn,0))</f>
        <v>2019</v>
      </c>
      <c r="H2973">
        <f>INDEX(CalLookUpTable,MATCH($B2973,CalLookUpRow,0),MATCH(H$1,CalLookUpColumn,0))</f>
        <v>9</v>
      </c>
      <c r="I2973">
        <f>INDEX(CalLookUpTable,MATCH($B2973,CalLookUpRow,0),MATCH(I$1,CalLookUpColumn,0))</f>
        <v>4</v>
      </c>
    </row>
    <row r="2974" spans="1:9" x14ac:dyDescent="0.25">
      <c r="A2974" s="7">
        <v>2</v>
      </c>
      <c r="B2974" s="8">
        <v>43727</v>
      </c>
      <c r="C2974" s="9" t="s">
        <v>6</v>
      </c>
      <c r="D2974" s="10">
        <v>344.10599999999999</v>
      </c>
      <c r="E2974" s="10">
        <v>445.96999999999997</v>
      </c>
      <c r="F2974" t="str">
        <f>VLOOKUP(A2974,StoreLookup,2,FALSE)</f>
        <v>Store#2</v>
      </c>
      <c r="G2974">
        <f>INDEX(CalLookUpTable,MATCH($B2974,CalLookUpRow,0),MATCH(G$1,CalLookUpColumn,0))</f>
        <v>2019</v>
      </c>
      <c r="H2974">
        <f>INDEX(CalLookUpTable,MATCH($B2974,CalLookUpRow,0),MATCH(H$1,CalLookUpColumn,0))</f>
        <v>9</v>
      </c>
      <c r="I2974">
        <f>INDEX(CalLookUpTable,MATCH($B2974,CalLookUpRow,0),MATCH(I$1,CalLookUpColumn,0))</f>
        <v>4</v>
      </c>
    </row>
    <row r="2975" spans="1:9" x14ac:dyDescent="0.25">
      <c r="A2975" s="7">
        <v>2</v>
      </c>
      <c r="B2975" s="8">
        <v>43727</v>
      </c>
      <c r="C2975" s="9" t="s">
        <v>3</v>
      </c>
      <c r="D2975" s="10">
        <v>26.844999999999999</v>
      </c>
      <c r="E2975" s="10">
        <v>176.946</v>
      </c>
      <c r="F2975" t="str">
        <f>VLOOKUP(A2975,StoreLookup,2,FALSE)</f>
        <v>Store#2</v>
      </c>
      <c r="G2975">
        <f>INDEX(CalLookUpTable,MATCH($B2975,CalLookUpRow,0),MATCH(G$1,CalLookUpColumn,0))</f>
        <v>2019</v>
      </c>
      <c r="H2975">
        <f>INDEX(CalLookUpTable,MATCH($B2975,CalLookUpRow,0),MATCH(H$1,CalLookUpColumn,0))</f>
        <v>9</v>
      </c>
      <c r="I2975">
        <f>INDEX(CalLookUpTable,MATCH($B2975,CalLookUpRow,0),MATCH(I$1,CalLookUpColumn,0))</f>
        <v>4</v>
      </c>
    </row>
    <row r="2976" spans="1:9" x14ac:dyDescent="0.25">
      <c r="A2976" s="7">
        <v>2</v>
      </c>
      <c r="B2976" s="8">
        <v>43727</v>
      </c>
      <c r="C2976" s="9" t="s">
        <v>4</v>
      </c>
      <c r="D2976" s="10">
        <v>1508.4929999999997</v>
      </c>
      <c r="E2976" s="10">
        <v>1534.953</v>
      </c>
      <c r="F2976" t="str">
        <f>VLOOKUP(A2976,StoreLookup,2,FALSE)</f>
        <v>Store#2</v>
      </c>
      <c r="G2976">
        <f>INDEX(CalLookUpTable,MATCH($B2976,CalLookUpRow,0),MATCH(G$1,CalLookUpColumn,0))</f>
        <v>2019</v>
      </c>
      <c r="H2976">
        <f>INDEX(CalLookUpTable,MATCH($B2976,CalLookUpRow,0),MATCH(H$1,CalLookUpColumn,0))</f>
        <v>9</v>
      </c>
      <c r="I2976">
        <f>INDEX(CalLookUpTable,MATCH($B2976,CalLookUpRow,0),MATCH(I$1,CalLookUpColumn,0))</f>
        <v>4</v>
      </c>
    </row>
    <row r="2977" spans="1:9" x14ac:dyDescent="0.25">
      <c r="A2977" s="7">
        <v>2</v>
      </c>
      <c r="B2977" s="8">
        <v>43727</v>
      </c>
      <c r="C2977" s="9" t="s">
        <v>5</v>
      </c>
      <c r="D2977" s="10">
        <v>1312.549</v>
      </c>
      <c r="E2977" s="10">
        <v>743.28099999999995</v>
      </c>
      <c r="F2977" t="str">
        <f>VLOOKUP(A2977,StoreLookup,2,FALSE)</f>
        <v>Store#2</v>
      </c>
      <c r="G2977">
        <f>INDEX(CalLookUpTable,MATCH($B2977,CalLookUpRow,0),MATCH(G$1,CalLookUpColumn,0))</f>
        <v>2019</v>
      </c>
      <c r="H2977">
        <f>INDEX(CalLookUpTable,MATCH($B2977,CalLookUpRow,0),MATCH(H$1,CalLookUpColumn,0))</f>
        <v>9</v>
      </c>
      <c r="I2977">
        <f>INDEX(CalLookUpTable,MATCH($B2977,CalLookUpRow,0),MATCH(I$1,CalLookUpColumn,0))</f>
        <v>4</v>
      </c>
    </row>
    <row r="2978" spans="1:9" x14ac:dyDescent="0.25">
      <c r="A2978" s="7">
        <v>2</v>
      </c>
      <c r="B2978" s="8">
        <v>43728</v>
      </c>
      <c r="C2978" s="9" t="s">
        <v>4</v>
      </c>
      <c r="D2978" s="10">
        <v>2501.8419999999996</v>
      </c>
      <c r="E2978" s="10">
        <v>2466.0299999999997</v>
      </c>
      <c r="F2978" t="str">
        <f>VLOOKUP(A2978,StoreLookup,2,FALSE)</f>
        <v>Store#2</v>
      </c>
      <c r="G2978">
        <f>INDEX(CalLookUpTable,MATCH($B2978,CalLookUpRow,0),MATCH(G$1,CalLookUpColumn,0))</f>
        <v>2019</v>
      </c>
      <c r="H2978">
        <f>INDEX(CalLookUpTable,MATCH($B2978,CalLookUpRow,0),MATCH(H$1,CalLookUpColumn,0))</f>
        <v>9</v>
      </c>
      <c r="I2978">
        <f>INDEX(CalLookUpTable,MATCH($B2978,CalLookUpRow,0),MATCH(I$1,CalLookUpColumn,0))</f>
        <v>4</v>
      </c>
    </row>
    <row r="2979" spans="1:9" x14ac:dyDescent="0.25">
      <c r="A2979" s="7">
        <v>2</v>
      </c>
      <c r="B2979" s="8">
        <v>43728</v>
      </c>
      <c r="C2979" s="9" t="s">
        <v>3</v>
      </c>
      <c r="D2979" s="10">
        <v>0</v>
      </c>
      <c r="E2979" s="10">
        <v>0</v>
      </c>
      <c r="F2979" t="str">
        <f>VLOOKUP(A2979,StoreLookup,2,FALSE)</f>
        <v>Store#2</v>
      </c>
      <c r="G2979">
        <f>INDEX(CalLookUpTable,MATCH($B2979,CalLookUpRow,0),MATCH(G$1,CalLookUpColumn,0))</f>
        <v>2019</v>
      </c>
      <c r="H2979">
        <f>INDEX(CalLookUpTable,MATCH($B2979,CalLookUpRow,0),MATCH(H$1,CalLookUpColumn,0))</f>
        <v>9</v>
      </c>
      <c r="I2979">
        <f>INDEX(CalLookUpTable,MATCH($B2979,CalLookUpRow,0),MATCH(I$1,CalLookUpColumn,0))</f>
        <v>4</v>
      </c>
    </row>
    <row r="2980" spans="1:9" x14ac:dyDescent="0.25">
      <c r="A2980" s="7">
        <v>2</v>
      </c>
      <c r="B2980" s="8">
        <v>43728</v>
      </c>
      <c r="C2980" s="9" t="s">
        <v>5</v>
      </c>
      <c r="D2980" s="10">
        <v>1351.7349999999999</v>
      </c>
      <c r="E2980" s="10">
        <v>991.80199999999991</v>
      </c>
      <c r="F2980" t="str">
        <f>VLOOKUP(A2980,StoreLookup,2,FALSE)</f>
        <v>Store#2</v>
      </c>
      <c r="G2980">
        <f>INDEX(CalLookUpTable,MATCH($B2980,CalLookUpRow,0),MATCH(G$1,CalLookUpColumn,0))</f>
        <v>2019</v>
      </c>
      <c r="H2980">
        <f>INDEX(CalLookUpTable,MATCH($B2980,CalLookUpRow,0),MATCH(H$1,CalLookUpColumn,0))</f>
        <v>9</v>
      </c>
      <c r="I2980">
        <f>INDEX(CalLookUpTable,MATCH($B2980,CalLookUpRow,0),MATCH(I$1,CalLookUpColumn,0))</f>
        <v>4</v>
      </c>
    </row>
    <row r="2981" spans="1:9" x14ac:dyDescent="0.25">
      <c r="A2981" s="7">
        <v>2</v>
      </c>
      <c r="B2981" s="8">
        <v>43728</v>
      </c>
      <c r="C2981" s="9" t="s">
        <v>6</v>
      </c>
      <c r="D2981" s="10">
        <v>782.39699999999993</v>
      </c>
      <c r="E2981" s="10">
        <v>270.28399999999999</v>
      </c>
      <c r="F2981" t="str">
        <f>VLOOKUP(A2981,StoreLookup,2,FALSE)</f>
        <v>Store#2</v>
      </c>
      <c r="G2981">
        <f>INDEX(CalLookUpTable,MATCH($B2981,CalLookUpRow,0),MATCH(G$1,CalLookUpColumn,0))</f>
        <v>2019</v>
      </c>
      <c r="H2981">
        <f>INDEX(CalLookUpTable,MATCH($B2981,CalLookUpRow,0),MATCH(H$1,CalLookUpColumn,0))</f>
        <v>9</v>
      </c>
      <c r="I2981">
        <f>INDEX(CalLookUpTable,MATCH($B2981,CalLookUpRow,0),MATCH(I$1,CalLookUpColumn,0))</f>
        <v>4</v>
      </c>
    </row>
    <row r="2982" spans="1:9" x14ac:dyDescent="0.25">
      <c r="A2982" s="7">
        <v>2</v>
      </c>
      <c r="B2982" s="8">
        <v>43729</v>
      </c>
      <c r="C2982" s="9" t="s">
        <v>3</v>
      </c>
      <c r="D2982" s="10">
        <v>311.66800000000001</v>
      </c>
      <c r="E2982" s="10">
        <v>0</v>
      </c>
      <c r="F2982" t="str">
        <f>VLOOKUP(A2982,StoreLookup,2,FALSE)</f>
        <v>Store#2</v>
      </c>
      <c r="G2982">
        <f>INDEX(CalLookUpTable,MATCH($B2982,CalLookUpRow,0),MATCH(G$1,CalLookUpColumn,0))</f>
        <v>2019</v>
      </c>
      <c r="H2982">
        <f>INDEX(CalLookUpTable,MATCH($B2982,CalLookUpRow,0),MATCH(H$1,CalLookUpColumn,0))</f>
        <v>9</v>
      </c>
      <c r="I2982">
        <f>INDEX(CalLookUpTable,MATCH($B2982,CalLookUpRow,0),MATCH(I$1,CalLookUpColumn,0))</f>
        <v>4</v>
      </c>
    </row>
    <row r="2983" spans="1:9" x14ac:dyDescent="0.25">
      <c r="A2983" s="7">
        <v>2</v>
      </c>
      <c r="B2983" s="8">
        <v>43729</v>
      </c>
      <c r="C2983" s="9" t="s">
        <v>6</v>
      </c>
      <c r="D2983" s="10">
        <v>350.72099999999995</v>
      </c>
      <c r="E2983" s="10">
        <v>435.988</v>
      </c>
      <c r="F2983" t="str">
        <f>VLOOKUP(A2983,StoreLookup,2,FALSE)</f>
        <v>Store#2</v>
      </c>
      <c r="G2983">
        <f>INDEX(CalLookUpTable,MATCH($B2983,CalLookUpRow,0),MATCH(G$1,CalLookUpColumn,0))</f>
        <v>2019</v>
      </c>
      <c r="H2983">
        <f>INDEX(CalLookUpTable,MATCH($B2983,CalLookUpRow,0),MATCH(H$1,CalLookUpColumn,0))</f>
        <v>9</v>
      </c>
      <c r="I2983">
        <f>INDEX(CalLookUpTable,MATCH($B2983,CalLookUpRow,0),MATCH(I$1,CalLookUpColumn,0))</f>
        <v>4</v>
      </c>
    </row>
    <row r="2984" spans="1:9" x14ac:dyDescent="0.25">
      <c r="A2984" s="7">
        <v>2</v>
      </c>
      <c r="B2984" s="8">
        <v>43729</v>
      </c>
      <c r="C2984" s="9" t="s">
        <v>4</v>
      </c>
      <c r="D2984" s="10">
        <v>2233.1749999999997</v>
      </c>
      <c r="E2984" s="10">
        <v>2143.54</v>
      </c>
      <c r="F2984" t="str">
        <f>VLOOKUP(A2984,StoreLookup,2,FALSE)</f>
        <v>Store#2</v>
      </c>
      <c r="G2984">
        <f>INDEX(CalLookUpTable,MATCH($B2984,CalLookUpRow,0),MATCH(G$1,CalLookUpColumn,0))</f>
        <v>2019</v>
      </c>
      <c r="H2984">
        <f>INDEX(CalLookUpTable,MATCH($B2984,CalLookUpRow,0),MATCH(H$1,CalLookUpColumn,0))</f>
        <v>9</v>
      </c>
      <c r="I2984">
        <f>INDEX(CalLookUpTable,MATCH($B2984,CalLookUpRow,0),MATCH(I$1,CalLookUpColumn,0))</f>
        <v>4</v>
      </c>
    </row>
    <row r="2985" spans="1:9" x14ac:dyDescent="0.25">
      <c r="A2985" s="7">
        <v>2</v>
      </c>
      <c r="B2985" s="8">
        <v>43729</v>
      </c>
      <c r="C2985" s="9" t="s">
        <v>5</v>
      </c>
      <c r="D2985" s="10">
        <v>1203.377</v>
      </c>
      <c r="E2985" s="10">
        <v>966.51799999999992</v>
      </c>
      <c r="F2985" t="str">
        <f>VLOOKUP(A2985,StoreLookup,2,FALSE)</f>
        <v>Store#2</v>
      </c>
      <c r="G2985">
        <f>INDEX(CalLookUpTable,MATCH($B2985,CalLookUpRow,0),MATCH(G$1,CalLookUpColumn,0))</f>
        <v>2019</v>
      </c>
      <c r="H2985">
        <f>INDEX(CalLookUpTable,MATCH($B2985,CalLookUpRow,0),MATCH(H$1,CalLookUpColumn,0))</f>
        <v>9</v>
      </c>
      <c r="I2985">
        <f>INDEX(CalLookUpTable,MATCH($B2985,CalLookUpRow,0),MATCH(I$1,CalLookUpColumn,0))</f>
        <v>4</v>
      </c>
    </row>
    <row r="2986" spans="1:9" x14ac:dyDescent="0.25">
      <c r="A2986" s="7">
        <v>2</v>
      </c>
      <c r="B2986" s="8">
        <v>43730</v>
      </c>
      <c r="C2986" s="9" t="s">
        <v>4</v>
      </c>
      <c r="D2986" s="10">
        <v>1296.19</v>
      </c>
      <c r="E2986" s="10">
        <v>1227.954</v>
      </c>
      <c r="F2986" t="str">
        <f>VLOOKUP(A2986,StoreLookup,2,FALSE)</f>
        <v>Store#2</v>
      </c>
      <c r="G2986">
        <f>INDEX(CalLookUpTable,MATCH($B2986,CalLookUpRow,0),MATCH(G$1,CalLookUpColumn,0))</f>
        <v>2019</v>
      </c>
      <c r="H2986">
        <f>INDEX(CalLookUpTable,MATCH($B2986,CalLookUpRow,0),MATCH(H$1,CalLookUpColumn,0))</f>
        <v>9</v>
      </c>
      <c r="I2986">
        <f>INDEX(CalLookUpTable,MATCH($B2986,CalLookUpRow,0),MATCH(I$1,CalLookUpColumn,0))</f>
        <v>4</v>
      </c>
    </row>
    <row r="2987" spans="1:9" x14ac:dyDescent="0.25">
      <c r="A2987" s="7">
        <v>2</v>
      </c>
      <c r="B2987" s="8">
        <v>43730</v>
      </c>
      <c r="C2987" s="9" t="s">
        <v>3</v>
      </c>
      <c r="D2987" s="10">
        <v>265.41899999999998</v>
      </c>
      <c r="E2987" s="10">
        <v>0</v>
      </c>
      <c r="F2987" t="str">
        <f>VLOOKUP(A2987,StoreLookup,2,FALSE)</f>
        <v>Store#2</v>
      </c>
      <c r="G2987">
        <f>INDEX(CalLookUpTable,MATCH($B2987,CalLookUpRow,0),MATCH(G$1,CalLookUpColumn,0))</f>
        <v>2019</v>
      </c>
      <c r="H2987">
        <f>INDEX(CalLookUpTable,MATCH($B2987,CalLookUpRow,0),MATCH(H$1,CalLookUpColumn,0))</f>
        <v>9</v>
      </c>
      <c r="I2987">
        <f>INDEX(CalLookUpTable,MATCH($B2987,CalLookUpRow,0),MATCH(I$1,CalLookUpColumn,0))</f>
        <v>4</v>
      </c>
    </row>
    <row r="2988" spans="1:9" x14ac:dyDescent="0.25">
      <c r="A2988" s="7">
        <v>2</v>
      </c>
      <c r="B2988" s="8">
        <v>43730</v>
      </c>
      <c r="C2988" s="9" t="s">
        <v>6</v>
      </c>
      <c r="D2988" s="10">
        <v>247.87699999999998</v>
      </c>
      <c r="E2988" s="10">
        <v>324.50599999999997</v>
      </c>
      <c r="F2988" t="str">
        <f>VLOOKUP(A2988,StoreLookup,2,FALSE)</f>
        <v>Store#2</v>
      </c>
      <c r="G2988">
        <f>INDEX(CalLookUpTable,MATCH($B2988,CalLookUpRow,0),MATCH(G$1,CalLookUpColumn,0))</f>
        <v>2019</v>
      </c>
      <c r="H2988">
        <f>INDEX(CalLookUpTable,MATCH($B2988,CalLookUpRow,0),MATCH(H$1,CalLookUpColumn,0))</f>
        <v>9</v>
      </c>
      <c r="I2988">
        <f>INDEX(CalLookUpTable,MATCH($B2988,CalLookUpRow,0),MATCH(I$1,CalLookUpColumn,0))</f>
        <v>4</v>
      </c>
    </row>
    <row r="2989" spans="1:9" x14ac:dyDescent="0.25">
      <c r="A2989" s="7">
        <v>2</v>
      </c>
      <c r="B2989" s="8">
        <v>43730</v>
      </c>
      <c r="C2989" s="9" t="s">
        <v>5</v>
      </c>
      <c r="D2989" s="10">
        <v>825.18099999999993</v>
      </c>
      <c r="E2989" s="10">
        <v>483.16799999999995</v>
      </c>
      <c r="F2989" t="str">
        <f>VLOOKUP(A2989,StoreLookup,2,FALSE)</f>
        <v>Store#2</v>
      </c>
      <c r="G2989">
        <f>INDEX(CalLookUpTable,MATCH($B2989,CalLookUpRow,0),MATCH(G$1,CalLookUpColumn,0))</f>
        <v>2019</v>
      </c>
      <c r="H2989">
        <f>INDEX(CalLookUpTable,MATCH($B2989,CalLookUpRow,0),MATCH(H$1,CalLookUpColumn,0))</f>
        <v>9</v>
      </c>
      <c r="I2989">
        <f>INDEX(CalLookUpTable,MATCH($B2989,CalLookUpRow,0),MATCH(I$1,CalLookUpColumn,0))</f>
        <v>4</v>
      </c>
    </row>
    <row r="2990" spans="1:9" x14ac:dyDescent="0.25">
      <c r="A2990" s="7">
        <v>2</v>
      </c>
      <c r="B2990" s="8">
        <v>43731</v>
      </c>
      <c r="C2990" s="9" t="s">
        <v>6</v>
      </c>
      <c r="D2990" s="10">
        <v>416.36699999999996</v>
      </c>
      <c r="E2990" s="10">
        <v>280.52499999999998</v>
      </c>
      <c r="F2990" t="str">
        <f>VLOOKUP(A2990,StoreLookup,2,FALSE)</f>
        <v>Store#2</v>
      </c>
      <c r="G2990">
        <f>INDEX(CalLookUpTable,MATCH($B2990,CalLookUpRow,0),MATCH(G$1,CalLookUpColumn,0))</f>
        <v>2019</v>
      </c>
      <c r="H2990">
        <f>INDEX(CalLookUpTable,MATCH($B2990,CalLookUpRow,0),MATCH(H$1,CalLookUpColumn,0))</f>
        <v>9</v>
      </c>
      <c r="I2990">
        <f>INDEX(CalLookUpTable,MATCH($B2990,CalLookUpRow,0),MATCH(I$1,CalLookUpColumn,0))</f>
        <v>5</v>
      </c>
    </row>
    <row r="2991" spans="1:9" x14ac:dyDescent="0.25">
      <c r="A2991" s="7">
        <v>2</v>
      </c>
      <c r="B2991" s="8">
        <v>43731</v>
      </c>
      <c r="C2991" s="9" t="s">
        <v>4</v>
      </c>
      <c r="D2991" s="10">
        <v>1565.6130000000001</v>
      </c>
      <c r="E2991" s="10">
        <v>1420.0199999999998</v>
      </c>
      <c r="F2991" t="str">
        <f>VLOOKUP(A2991,StoreLookup,2,FALSE)</f>
        <v>Store#2</v>
      </c>
      <c r="G2991">
        <f>INDEX(CalLookUpTable,MATCH($B2991,CalLookUpRow,0),MATCH(G$1,CalLookUpColumn,0))</f>
        <v>2019</v>
      </c>
      <c r="H2991">
        <f>INDEX(CalLookUpTable,MATCH($B2991,CalLookUpRow,0),MATCH(H$1,CalLookUpColumn,0))</f>
        <v>9</v>
      </c>
      <c r="I2991">
        <f>INDEX(CalLookUpTable,MATCH($B2991,CalLookUpRow,0),MATCH(I$1,CalLookUpColumn,0))</f>
        <v>5</v>
      </c>
    </row>
    <row r="2992" spans="1:9" x14ac:dyDescent="0.25">
      <c r="A2992" s="7">
        <v>2</v>
      </c>
      <c r="B2992" s="8">
        <v>43731</v>
      </c>
      <c r="C2992" s="9" t="s">
        <v>5</v>
      </c>
      <c r="D2992" s="10">
        <v>892.23399999999992</v>
      </c>
      <c r="E2992" s="10">
        <v>631.72199999999998</v>
      </c>
      <c r="F2992" t="str">
        <f>VLOOKUP(A2992,StoreLookup,2,FALSE)</f>
        <v>Store#2</v>
      </c>
      <c r="G2992">
        <f>INDEX(CalLookUpTable,MATCH($B2992,CalLookUpRow,0),MATCH(G$1,CalLookUpColumn,0))</f>
        <v>2019</v>
      </c>
      <c r="H2992">
        <f>INDEX(CalLookUpTable,MATCH($B2992,CalLookUpRow,0),MATCH(H$1,CalLookUpColumn,0))</f>
        <v>9</v>
      </c>
      <c r="I2992">
        <f>INDEX(CalLookUpTable,MATCH($B2992,CalLookUpRow,0),MATCH(I$1,CalLookUpColumn,0))</f>
        <v>5</v>
      </c>
    </row>
    <row r="2993" spans="1:9" x14ac:dyDescent="0.25">
      <c r="A2993" s="7">
        <v>2</v>
      </c>
      <c r="B2993" s="8">
        <v>43731</v>
      </c>
      <c r="C2993" s="9" t="s">
        <v>3</v>
      </c>
      <c r="D2993" s="10">
        <v>189.161</v>
      </c>
      <c r="E2993" s="10">
        <v>1671.2009999999998</v>
      </c>
      <c r="F2993" t="str">
        <f>VLOOKUP(A2993,StoreLookup,2,FALSE)</f>
        <v>Store#2</v>
      </c>
      <c r="G2993">
        <f>INDEX(CalLookUpTable,MATCH($B2993,CalLookUpRow,0),MATCH(G$1,CalLookUpColumn,0))</f>
        <v>2019</v>
      </c>
      <c r="H2993">
        <f>INDEX(CalLookUpTable,MATCH($B2993,CalLookUpRow,0),MATCH(H$1,CalLookUpColumn,0))</f>
        <v>9</v>
      </c>
      <c r="I2993">
        <f>INDEX(CalLookUpTable,MATCH($B2993,CalLookUpRow,0),MATCH(I$1,CalLookUpColumn,0))</f>
        <v>5</v>
      </c>
    </row>
    <row r="2994" spans="1:9" x14ac:dyDescent="0.25">
      <c r="A2994" s="7">
        <v>2</v>
      </c>
      <c r="B2994" s="8">
        <v>43732</v>
      </c>
      <c r="C2994" s="9" t="s">
        <v>4</v>
      </c>
      <c r="D2994" s="10">
        <v>1906.9189999999999</v>
      </c>
      <c r="E2994" s="10">
        <v>1691.788</v>
      </c>
      <c r="F2994" t="str">
        <f>VLOOKUP(A2994,StoreLookup,2,FALSE)</f>
        <v>Store#2</v>
      </c>
      <c r="G2994">
        <f>INDEX(CalLookUpTable,MATCH($B2994,CalLookUpRow,0),MATCH(G$1,CalLookUpColumn,0))</f>
        <v>2019</v>
      </c>
      <c r="H2994">
        <f>INDEX(CalLookUpTable,MATCH($B2994,CalLookUpRow,0),MATCH(H$1,CalLookUpColumn,0))</f>
        <v>9</v>
      </c>
      <c r="I2994">
        <f>INDEX(CalLookUpTable,MATCH($B2994,CalLookUpRow,0),MATCH(I$1,CalLookUpColumn,0))</f>
        <v>5</v>
      </c>
    </row>
    <row r="2995" spans="1:9" x14ac:dyDescent="0.25">
      <c r="A2995" s="7">
        <v>2</v>
      </c>
      <c r="B2995" s="8">
        <v>43732</v>
      </c>
      <c r="C2995" s="9" t="s">
        <v>3</v>
      </c>
      <c r="D2995" s="10">
        <v>118.09699999999999</v>
      </c>
      <c r="E2995" s="10">
        <v>162.60999999999999</v>
      </c>
      <c r="F2995" t="str">
        <f>VLOOKUP(A2995,StoreLookup,2,FALSE)</f>
        <v>Store#2</v>
      </c>
      <c r="G2995">
        <f>INDEX(CalLookUpTable,MATCH($B2995,CalLookUpRow,0),MATCH(G$1,CalLookUpColumn,0))</f>
        <v>2019</v>
      </c>
      <c r="H2995">
        <f>INDEX(CalLookUpTable,MATCH($B2995,CalLookUpRow,0),MATCH(H$1,CalLookUpColumn,0))</f>
        <v>9</v>
      </c>
      <c r="I2995">
        <f>INDEX(CalLookUpTable,MATCH($B2995,CalLookUpRow,0),MATCH(I$1,CalLookUpColumn,0))</f>
        <v>5</v>
      </c>
    </row>
    <row r="2996" spans="1:9" x14ac:dyDescent="0.25">
      <c r="A2996" s="7">
        <v>2</v>
      </c>
      <c r="B2996" s="8">
        <v>43732</v>
      </c>
      <c r="C2996" s="9" t="s">
        <v>5</v>
      </c>
      <c r="D2996" s="10">
        <v>1118.586</v>
      </c>
      <c r="E2996" s="10">
        <v>883.7639999999999</v>
      </c>
      <c r="F2996" t="str">
        <f>VLOOKUP(A2996,StoreLookup,2,FALSE)</f>
        <v>Store#2</v>
      </c>
      <c r="G2996">
        <f>INDEX(CalLookUpTable,MATCH($B2996,CalLookUpRow,0),MATCH(G$1,CalLookUpColumn,0))</f>
        <v>2019</v>
      </c>
      <c r="H2996">
        <f>INDEX(CalLookUpTable,MATCH($B2996,CalLookUpRow,0),MATCH(H$1,CalLookUpColumn,0))</f>
        <v>9</v>
      </c>
      <c r="I2996">
        <f>INDEX(CalLookUpTable,MATCH($B2996,CalLookUpRow,0),MATCH(I$1,CalLookUpColumn,0))</f>
        <v>5</v>
      </c>
    </row>
    <row r="2997" spans="1:9" x14ac:dyDescent="0.25">
      <c r="A2997" s="7">
        <v>2</v>
      </c>
      <c r="B2997" s="8">
        <v>43732</v>
      </c>
      <c r="C2997" s="9" t="s">
        <v>6</v>
      </c>
      <c r="D2997" s="10">
        <v>440.84599999999995</v>
      </c>
      <c r="E2997" s="10">
        <v>337.08499999999998</v>
      </c>
      <c r="F2997" t="str">
        <f>VLOOKUP(A2997,StoreLookup,2,FALSE)</f>
        <v>Store#2</v>
      </c>
      <c r="G2997">
        <f>INDEX(CalLookUpTable,MATCH($B2997,CalLookUpRow,0),MATCH(G$1,CalLookUpColumn,0))</f>
        <v>2019</v>
      </c>
      <c r="H2997">
        <f>INDEX(CalLookUpTable,MATCH($B2997,CalLookUpRow,0),MATCH(H$1,CalLookUpColumn,0))</f>
        <v>9</v>
      </c>
      <c r="I2997">
        <f>INDEX(CalLookUpTable,MATCH($B2997,CalLookUpRow,0),MATCH(I$1,CalLookUpColumn,0))</f>
        <v>5</v>
      </c>
    </row>
    <row r="2998" spans="1:9" x14ac:dyDescent="0.25">
      <c r="A2998" s="7">
        <v>2</v>
      </c>
      <c r="B2998" s="8">
        <v>43733</v>
      </c>
      <c r="C2998" s="9" t="s">
        <v>4</v>
      </c>
      <c r="D2998" s="10">
        <v>1279.6419999999998</v>
      </c>
      <c r="E2998" s="10">
        <v>1613.8710000000001</v>
      </c>
      <c r="F2998" t="str">
        <f>VLOOKUP(A2998,StoreLookup,2,FALSE)</f>
        <v>Store#2</v>
      </c>
      <c r="G2998">
        <f>INDEX(CalLookUpTable,MATCH($B2998,CalLookUpRow,0),MATCH(G$1,CalLookUpColumn,0))</f>
        <v>2019</v>
      </c>
      <c r="H2998">
        <f>INDEX(CalLookUpTable,MATCH($B2998,CalLookUpRow,0),MATCH(H$1,CalLookUpColumn,0))</f>
        <v>9</v>
      </c>
      <c r="I2998">
        <f>INDEX(CalLookUpTable,MATCH($B2998,CalLookUpRow,0),MATCH(I$1,CalLookUpColumn,0))</f>
        <v>5</v>
      </c>
    </row>
    <row r="2999" spans="1:9" x14ac:dyDescent="0.25">
      <c r="A2999" s="7">
        <v>2</v>
      </c>
      <c r="B2999" s="8">
        <v>43733</v>
      </c>
      <c r="C2999" s="9" t="s">
        <v>5</v>
      </c>
      <c r="D2999" s="10">
        <v>1205.162</v>
      </c>
      <c r="E2999" s="10">
        <v>745.15699999999993</v>
      </c>
      <c r="F2999" t="str">
        <f>VLOOKUP(A2999,StoreLookup,2,FALSE)</f>
        <v>Store#2</v>
      </c>
      <c r="G2999">
        <f>INDEX(CalLookUpTable,MATCH($B2999,CalLookUpRow,0),MATCH(G$1,CalLookUpColumn,0))</f>
        <v>2019</v>
      </c>
      <c r="H2999">
        <f>INDEX(CalLookUpTable,MATCH($B2999,CalLookUpRow,0),MATCH(H$1,CalLookUpColumn,0))</f>
        <v>9</v>
      </c>
      <c r="I2999">
        <f>INDEX(CalLookUpTable,MATCH($B2999,CalLookUpRow,0),MATCH(I$1,CalLookUpColumn,0))</f>
        <v>5</v>
      </c>
    </row>
    <row r="3000" spans="1:9" x14ac:dyDescent="0.25">
      <c r="A3000" s="7">
        <v>2</v>
      </c>
      <c r="B3000" s="8">
        <v>43733</v>
      </c>
      <c r="C3000" s="9" t="s">
        <v>6</v>
      </c>
      <c r="D3000" s="10">
        <v>403.40299999999996</v>
      </c>
      <c r="E3000" s="10">
        <v>310.04399999999998</v>
      </c>
      <c r="F3000" t="str">
        <f>VLOOKUP(A3000,StoreLookup,2,FALSE)</f>
        <v>Store#2</v>
      </c>
      <c r="G3000">
        <f>INDEX(CalLookUpTable,MATCH($B3000,CalLookUpRow,0),MATCH(G$1,CalLookUpColumn,0))</f>
        <v>2019</v>
      </c>
      <c r="H3000">
        <f>INDEX(CalLookUpTable,MATCH($B3000,CalLookUpRow,0),MATCH(H$1,CalLookUpColumn,0))</f>
        <v>9</v>
      </c>
      <c r="I3000">
        <f>INDEX(CalLookUpTable,MATCH($B3000,CalLookUpRow,0),MATCH(I$1,CalLookUpColumn,0))</f>
        <v>5</v>
      </c>
    </row>
    <row r="3001" spans="1:9" x14ac:dyDescent="0.25">
      <c r="A3001" s="7">
        <v>2</v>
      </c>
      <c r="B3001" s="8">
        <v>43733</v>
      </c>
      <c r="C3001" s="9" t="s">
        <v>3</v>
      </c>
      <c r="D3001" s="10">
        <v>160.85999999999999</v>
      </c>
      <c r="E3001" s="10">
        <v>0</v>
      </c>
      <c r="F3001" t="str">
        <f>VLOOKUP(A3001,StoreLookup,2,FALSE)</f>
        <v>Store#2</v>
      </c>
      <c r="G3001">
        <f>INDEX(CalLookUpTable,MATCH($B3001,CalLookUpRow,0),MATCH(G$1,CalLookUpColumn,0))</f>
        <v>2019</v>
      </c>
      <c r="H3001">
        <f>INDEX(CalLookUpTable,MATCH($B3001,CalLookUpRow,0),MATCH(H$1,CalLookUpColumn,0))</f>
        <v>9</v>
      </c>
      <c r="I3001">
        <f>INDEX(CalLookUpTable,MATCH($B3001,CalLookUpRow,0),MATCH(I$1,CalLookUpColumn,0))</f>
        <v>5</v>
      </c>
    </row>
    <row r="3002" spans="1:9" x14ac:dyDescent="0.25">
      <c r="A3002" s="7">
        <v>2</v>
      </c>
      <c r="B3002" s="8">
        <v>43734</v>
      </c>
      <c r="C3002" s="9" t="s">
        <v>3</v>
      </c>
      <c r="D3002" s="10">
        <v>0</v>
      </c>
      <c r="E3002" s="10">
        <v>0</v>
      </c>
      <c r="F3002" t="str">
        <f>VLOOKUP(A3002,StoreLookup,2,FALSE)</f>
        <v>Store#2</v>
      </c>
      <c r="G3002">
        <f>INDEX(CalLookUpTable,MATCH($B3002,CalLookUpRow,0),MATCH(G$1,CalLookUpColumn,0))</f>
        <v>2019</v>
      </c>
      <c r="H3002">
        <f>INDEX(CalLookUpTable,MATCH($B3002,CalLookUpRow,0),MATCH(H$1,CalLookUpColumn,0))</f>
        <v>9</v>
      </c>
      <c r="I3002">
        <f>INDEX(CalLookUpTable,MATCH($B3002,CalLookUpRow,0),MATCH(I$1,CalLookUpColumn,0))</f>
        <v>5</v>
      </c>
    </row>
    <row r="3003" spans="1:9" x14ac:dyDescent="0.25">
      <c r="A3003" s="7">
        <v>2</v>
      </c>
      <c r="B3003" s="8">
        <v>43734</v>
      </c>
      <c r="C3003" s="9" t="s">
        <v>6</v>
      </c>
      <c r="D3003" s="10">
        <v>428.54</v>
      </c>
      <c r="E3003" s="10">
        <v>326.18599999999998</v>
      </c>
      <c r="F3003" t="str">
        <f>VLOOKUP(A3003,StoreLookup,2,FALSE)</f>
        <v>Store#2</v>
      </c>
      <c r="G3003">
        <f>INDEX(CalLookUpTable,MATCH($B3003,CalLookUpRow,0),MATCH(G$1,CalLookUpColumn,0))</f>
        <v>2019</v>
      </c>
      <c r="H3003">
        <f>INDEX(CalLookUpTable,MATCH($B3003,CalLookUpRow,0),MATCH(H$1,CalLookUpColumn,0))</f>
        <v>9</v>
      </c>
      <c r="I3003">
        <f>INDEX(CalLookUpTable,MATCH($B3003,CalLookUpRow,0),MATCH(I$1,CalLookUpColumn,0))</f>
        <v>5</v>
      </c>
    </row>
    <row r="3004" spans="1:9" x14ac:dyDescent="0.25">
      <c r="A3004" s="7">
        <v>2</v>
      </c>
      <c r="B3004" s="8">
        <v>43734</v>
      </c>
      <c r="C3004" s="9" t="s">
        <v>4</v>
      </c>
      <c r="D3004" s="10">
        <v>2060.3939999999998</v>
      </c>
      <c r="E3004" s="10">
        <v>1667.6379999999999</v>
      </c>
      <c r="F3004" t="str">
        <f>VLOOKUP(A3004,StoreLookup,2,FALSE)</f>
        <v>Store#2</v>
      </c>
      <c r="G3004">
        <f>INDEX(CalLookUpTable,MATCH($B3004,CalLookUpRow,0),MATCH(G$1,CalLookUpColumn,0))</f>
        <v>2019</v>
      </c>
      <c r="H3004">
        <f>INDEX(CalLookUpTable,MATCH($B3004,CalLookUpRow,0),MATCH(H$1,CalLookUpColumn,0))</f>
        <v>9</v>
      </c>
      <c r="I3004">
        <f>INDEX(CalLookUpTable,MATCH($B3004,CalLookUpRow,0),MATCH(I$1,CalLookUpColumn,0))</f>
        <v>5</v>
      </c>
    </row>
    <row r="3005" spans="1:9" x14ac:dyDescent="0.25">
      <c r="A3005" s="7">
        <v>2</v>
      </c>
      <c r="B3005" s="8">
        <v>43734</v>
      </c>
      <c r="C3005" s="9" t="s">
        <v>5</v>
      </c>
      <c r="D3005" s="10">
        <v>905.70199999999988</v>
      </c>
      <c r="E3005" s="10">
        <v>734.65699999999993</v>
      </c>
      <c r="F3005" t="str">
        <f>VLOOKUP(A3005,StoreLookup,2,FALSE)</f>
        <v>Store#2</v>
      </c>
      <c r="G3005">
        <f>INDEX(CalLookUpTable,MATCH($B3005,CalLookUpRow,0),MATCH(G$1,CalLookUpColumn,0))</f>
        <v>2019</v>
      </c>
      <c r="H3005">
        <f>INDEX(CalLookUpTable,MATCH($B3005,CalLookUpRow,0),MATCH(H$1,CalLookUpColumn,0))</f>
        <v>9</v>
      </c>
      <c r="I3005">
        <f>INDEX(CalLookUpTable,MATCH($B3005,CalLookUpRow,0),MATCH(I$1,CalLookUpColumn,0))</f>
        <v>5</v>
      </c>
    </row>
    <row r="3006" spans="1:9" x14ac:dyDescent="0.25">
      <c r="A3006" s="7">
        <v>2</v>
      </c>
      <c r="B3006" s="8">
        <v>43735</v>
      </c>
      <c r="C3006" s="9" t="s">
        <v>4</v>
      </c>
      <c r="D3006" s="10">
        <v>2612.7149999999997</v>
      </c>
      <c r="E3006" s="10">
        <v>2555.4969999999998</v>
      </c>
      <c r="F3006" t="str">
        <f>VLOOKUP(A3006,StoreLookup,2,FALSE)</f>
        <v>Store#2</v>
      </c>
      <c r="G3006">
        <f>INDEX(CalLookUpTable,MATCH($B3006,CalLookUpRow,0),MATCH(G$1,CalLookUpColumn,0))</f>
        <v>2019</v>
      </c>
      <c r="H3006">
        <f>INDEX(CalLookUpTable,MATCH($B3006,CalLookUpRow,0),MATCH(H$1,CalLookUpColumn,0))</f>
        <v>9</v>
      </c>
      <c r="I3006">
        <f>INDEX(CalLookUpTable,MATCH($B3006,CalLookUpRow,0),MATCH(I$1,CalLookUpColumn,0))</f>
        <v>5</v>
      </c>
    </row>
    <row r="3007" spans="1:9" x14ac:dyDescent="0.25">
      <c r="A3007" s="7">
        <v>2</v>
      </c>
      <c r="B3007" s="8">
        <v>43735</v>
      </c>
      <c r="C3007" s="9" t="s">
        <v>5</v>
      </c>
      <c r="D3007" s="10">
        <v>1479.1490000000001</v>
      </c>
      <c r="E3007" s="10">
        <v>957.13799999999992</v>
      </c>
      <c r="F3007" t="str">
        <f>VLOOKUP(A3007,StoreLookup,2,FALSE)</f>
        <v>Store#2</v>
      </c>
      <c r="G3007">
        <f>INDEX(CalLookUpTable,MATCH($B3007,CalLookUpRow,0),MATCH(G$1,CalLookUpColumn,0))</f>
        <v>2019</v>
      </c>
      <c r="H3007">
        <f>INDEX(CalLookUpTable,MATCH($B3007,CalLookUpRow,0),MATCH(H$1,CalLookUpColumn,0))</f>
        <v>9</v>
      </c>
      <c r="I3007">
        <f>INDEX(CalLookUpTable,MATCH($B3007,CalLookUpRow,0),MATCH(I$1,CalLookUpColumn,0))</f>
        <v>5</v>
      </c>
    </row>
    <row r="3008" spans="1:9" x14ac:dyDescent="0.25">
      <c r="A3008" s="7">
        <v>2</v>
      </c>
      <c r="B3008" s="8">
        <v>43735</v>
      </c>
      <c r="C3008" s="9" t="s">
        <v>3</v>
      </c>
      <c r="D3008" s="10">
        <v>0</v>
      </c>
      <c r="E3008" s="10">
        <v>276.53499999999997</v>
      </c>
      <c r="F3008" t="str">
        <f>VLOOKUP(A3008,StoreLookup,2,FALSE)</f>
        <v>Store#2</v>
      </c>
      <c r="G3008">
        <f>INDEX(CalLookUpTable,MATCH($B3008,CalLookUpRow,0),MATCH(G$1,CalLookUpColumn,0))</f>
        <v>2019</v>
      </c>
      <c r="H3008">
        <f>INDEX(CalLookUpTable,MATCH($B3008,CalLookUpRow,0),MATCH(H$1,CalLookUpColumn,0))</f>
        <v>9</v>
      </c>
      <c r="I3008">
        <f>INDEX(CalLookUpTable,MATCH($B3008,CalLookUpRow,0),MATCH(I$1,CalLookUpColumn,0))</f>
        <v>5</v>
      </c>
    </row>
    <row r="3009" spans="1:9" x14ac:dyDescent="0.25">
      <c r="A3009" s="7">
        <v>2</v>
      </c>
      <c r="B3009" s="8">
        <v>43735</v>
      </c>
      <c r="C3009" s="9" t="s">
        <v>6</v>
      </c>
      <c r="D3009" s="10">
        <v>416.35999999999996</v>
      </c>
      <c r="E3009" s="10">
        <v>451.47199999999998</v>
      </c>
      <c r="F3009" t="str">
        <f>VLOOKUP(A3009,StoreLookup,2,FALSE)</f>
        <v>Store#2</v>
      </c>
      <c r="G3009">
        <f>INDEX(CalLookUpTable,MATCH($B3009,CalLookUpRow,0),MATCH(G$1,CalLookUpColumn,0))</f>
        <v>2019</v>
      </c>
      <c r="H3009">
        <f>INDEX(CalLookUpTable,MATCH($B3009,CalLookUpRow,0),MATCH(H$1,CalLookUpColumn,0))</f>
        <v>9</v>
      </c>
      <c r="I3009">
        <f>INDEX(CalLookUpTable,MATCH($B3009,CalLookUpRow,0),MATCH(I$1,CalLookUpColumn,0))</f>
        <v>5</v>
      </c>
    </row>
    <row r="3010" spans="1:9" x14ac:dyDescent="0.25">
      <c r="A3010" s="7">
        <v>2</v>
      </c>
      <c r="B3010" s="8">
        <v>43736</v>
      </c>
      <c r="C3010" s="9" t="s">
        <v>6</v>
      </c>
      <c r="D3010" s="10">
        <v>466.87899999999996</v>
      </c>
      <c r="E3010" s="10">
        <v>510.22999999999996</v>
      </c>
      <c r="F3010" t="str">
        <f>VLOOKUP(A3010,StoreLookup,2,FALSE)</f>
        <v>Store#2</v>
      </c>
      <c r="G3010">
        <f>INDEX(CalLookUpTable,MATCH($B3010,CalLookUpRow,0),MATCH(G$1,CalLookUpColumn,0))</f>
        <v>2019</v>
      </c>
      <c r="H3010">
        <f>INDEX(CalLookUpTable,MATCH($B3010,CalLookUpRow,0),MATCH(H$1,CalLookUpColumn,0))</f>
        <v>9</v>
      </c>
      <c r="I3010">
        <f>INDEX(CalLookUpTable,MATCH($B3010,CalLookUpRow,0),MATCH(I$1,CalLookUpColumn,0))</f>
        <v>5</v>
      </c>
    </row>
    <row r="3011" spans="1:9" x14ac:dyDescent="0.25">
      <c r="A3011" s="7">
        <v>2</v>
      </c>
      <c r="B3011" s="8">
        <v>43736</v>
      </c>
      <c r="C3011" s="9" t="s">
        <v>4</v>
      </c>
      <c r="D3011" s="10">
        <v>2091.2639999999997</v>
      </c>
      <c r="E3011" s="10">
        <v>2094.547</v>
      </c>
      <c r="F3011" t="str">
        <f>VLOOKUP(A3011,StoreLookup,2,FALSE)</f>
        <v>Store#2</v>
      </c>
      <c r="G3011">
        <f>INDEX(CalLookUpTable,MATCH($B3011,CalLookUpRow,0),MATCH(G$1,CalLookUpColumn,0))</f>
        <v>2019</v>
      </c>
      <c r="H3011">
        <f>INDEX(CalLookUpTable,MATCH($B3011,CalLookUpRow,0),MATCH(H$1,CalLookUpColumn,0))</f>
        <v>9</v>
      </c>
      <c r="I3011">
        <f>INDEX(CalLookUpTable,MATCH($B3011,CalLookUpRow,0),MATCH(I$1,CalLookUpColumn,0))</f>
        <v>5</v>
      </c>
    </row>
    <row r="3012" spans="1:9" x14ac:dyDescent="0.25">
      <c r="A3012" s="7">
        <v>2</v>
      </c>
      <c r="B3012" s="8">
        <v>43736</v>
      </c>
      <c r="C3012" s="9" t="s">
        <v>3</v>
      </c>
      <c r="D3012" s="10">
        <v>174.85999999999999</v>
      </c>
      <c r="E3012" s="10">
        <v>221.053</v>
      </c>
      <c r="F3012" t="str">
        <f>VLOOKUP(A3012,StoreLookup,2,FALSE)</f>
        <v>Store#2</v>
      </c>
      <c r="G3012">
        <f>INDEX(CalLookUpTable,MATCH($B3012,CalLookUpRow,0),MATCH(G$1,CalLookUpColumn,0))</f>
        <v>2019</v>
      </c>
      <c r="H3012">
        <f>INDEX(CalLookUpTable,MATCH($B3012,CalLookUpRow,0),MATCH(H$1,CalLookUpColumn,0))</f>
        <v>9</v>
      </c>
      <c r="I3012">
        <f>INDEX(CalLookUpTable,MATCH($B3012,CalLookUpRow,0),MATCH(I$1,CalLookUpColumn,0))</f>
        <v>5</v>
      </c>
    </row>
    <row r="3013" spans="1:9" x14ac:dyDescent="0.25">
      <c r="A3013" s="7">
        <v>2</v>
      </c>
      <c r="B3013" s="8">
        <v>43736</v>
      </c>
      <c r="C3013" s="9" t="s">
        <v>5</v>
      </c>
      <c r="D3013" s="10">
        <v>1055.5650000000001</v>
      </c>
      <c r="E3013" s="10">
        <v>668.26199999999994</v>
      </c>
      <c r="F3013" t="str">
        <f>VLOOKUP(A3013,StoreLookup,2,FALSE)</f>
        <v>Store#2</v>
      </c>
      <c r="G3013">
        <f>INDEX(CalLookUpTable,MATCH($B3013,CalLookUpRow,0),MATCH(G$1,CalLookUpColumn,0))</f>
        <v>2019</v>
      </c>
      <c r="H3013">
        <f>INDEX(CalLookUpTable,MATCH($B3013,CalLookUpRow,0),MATCH(H$1,CalLookUpColumn,0))</f>
        <v>9</v>
      </c>
      <c r="I3013">
        <f>INDEX(CalLookUpTable,MATCH($B3013,CalLookUpRow,0),MATCH(I$1,CalLookUpColumn,0))</f>
        <v>5</v>
      </c>
    </row>
    <row r="3014" spans="1:9" x14ac:dyDescent="0.25">
      <c r="A3014" s="7">
        <v>2</v>
      </c>
      <c r="B3014" s="8">
        <v>43737</v>
      </c>
      <c r="C3014" s="9" t="s">
        <v>3</v>
      </c>
      <c r="D3014" s="10">
        <v>0</v>
      </c>
      <c r="E3014" s="10">
        <v>570.81499999999994</v>
      </c>
      <c r="F3014" t="str">
        <f>VLOOKUP(A3014,StoreLookup,2,FALSE)</f>
        <v>Store#2</v>
      </c>
      <c r="G3014">
        <f>INDEX(CalLookUpTable,MATCH($B3014,CalLookUpRow,0),MATCH(G$1,CalLookUpColumn,0))</f>
        <v>2019</v>
      </c>
      <c r="H3014">
        <f>INDEX(CalLookUpTable,MATCH($B3014,CalLookUpRow,0),MATCH(H$1,CalLookUpColumn,0))</f>
        <v>9</v>
      </c>
      <c r="I3014">
        <f>INDEX(CalLookUpTable,MATCH($B3014,CalLookUpRow,0),MATCH(I$1,CalLookUpColumn,0))</f>
        <v>5</v>
      </c>
    </row>
    <row r="3015" spans="1:9" x14ac:dyDescent="0.25">
      <c r="A3015" s="7">
        <v>2</v>
      </c>
      <c r="B3015" s="8">
        <v>43737</v>
      </c>
      <c r="C3015" s="9" t="s">
        <v>4</v>
      </c>
      <c r="D3015" s="10">
        <v>1210.9159999999999</v>
      </c>
      <c r="E3015" s="10">
        <v>1088.7379999999998</v>
      </c>
      <c r="F3015" t="str">
        <f>VLOOKUP(A3015,StoreLookup,2,FALSE)</f>
        <v>Store#2</v>
      </c>
      <c r="G3015">
        <f>INDEX(CalLookUpTable,MATCH($B3015,CalLookUpRow,0),MATCH(G$1,CalLookUpColumn,0))</f>
        <v>2019</v>
      </c>
      <c r="H3015">
        <f>INDEX(CalLookUpTable,MATCH($B3015,CalLookUpRow,0),MATCH(H$1,CalLookUpColumn,0))</f>
        <v>9</v>
      </c>
      <c r="I3015">
        <f>INDEX(CalLookUpTable,MATCH($B3015,CalLookUpRow,0),MATCH(I$1,CalLookUpColumn,0))</f>
        <v>5</v>
      </c>
    </row>
    <row r="3016" spans="1:9" x14ac:dyDescent="0.25">
      <c r="A3016" s="7">
        <v>2</v>
      </c>
      <c r="B3016" s="8">
        <v>43737</v>
      </c>
      <c r="C3016" s="9" t="s">
        <v>6</v>
      </c>
      <c r="D3016" s="10">
        <v>244.37</v>
      </c>
      <c r="E3016" s="10">
        <v>230.26499999999999</v>
      </c>
      <c r="F3016" t="str">
        <f>VLOOKUP(A3016,StoreLookup,2,FALSE)</f>
        <v>Store#2</v>
      </c>
      <c r="G3016">
        <f>INDEX(CalLookUpTable,MATCH($B3016,CalLookUpRow,0),MATCH(G$1,CalLookUpColumn,0))</f>
        <v>2019</v>
      </c>
      <c r="H3016">
        <f>INDEX(CalLookUpTable,MATCH($B3016,CalLookUpRow,0),MATCH(H$1,CalLookUpColumn,0))</f>
        <v>9</v>
      </c>
      <c r="I3016">
        <f>INDEX(CalLookUpTable,MATCH($B3016,CalLookUpRow,0),MATCH(I$1,CalLookUpColumn,0))</f>
        <v>5</v>
      </c>
    </row>
    <row r="3017" spans="1:9" x14ac:dyDescent="0.25">
      <c r="A3017" s="7">
        <v>2</v>
      </c>
      <c r="B3017" s="8">
        <v>43737</v>
      </c>
      <c r="C3017" s="9" t="s">
        <v>5</v>
      </c>
      <c r="D3017" s="10">
        <v>688.57599999999991</v>
      </c>
      <c r="E3017" s="10">
        <v>698.2639999999999</v>
      </c>
      <c r="F3017" t="str">
        <f>VLOOKUP(A3017,StoreLookup,2,FALSE)</f>
        <v>Store#2</v>
      </c>
      <c r="G3017">
        <f>INDEX(CalLookUpTable,MATCH($B3017,CalLookUpRow,0),MATCH(G$1,CalLookUpColumn,0))</f>
        <v>2019</v>
      </c>
      <c r="H3017">
        <f>INDEX(CalLookUpTable,MATCH($B3017,CalLookUpRow,0),MATCH(H$1,CalLookUpColumn,0))</f>
        <v>9</v>
      </c>
      <c r="I3017">
        <f>INDEX(CalLookUpTable,MATCH($B3017,CalLookUpRow,0),MATCH(I$1,CalLookUpColumn,0))</f>
        <v>5</v>
      </c>
    </row>
    <row r="3018" spans="1:9" x14ac:dyDescent="0.25">
      <c r="A3018" s="7">
        <v>2</v>
      </c>
      <c r="B3018" s="8">
        <v>43738</v>
      </c>
      <c r="C3018" s="9" t="s">
        <v>5</v>
      </c>
      <c r="D3018" s="10">
        <v>1143.6109999999999</v>
      </c>
      <c r="E3018" s="10">
        <v>645.63099999999997</v>
      </c>
      <c r="F3018" t="str">
        <f>VLOOKUP(A3018,StoreLookup,2,FALSE)</f>
        <v>Store#2</v>
      </c>
      <c r="G3018">
        <f>INDEX(CalLookUpTable,MATCH($B3018,CalLookUpRow,0),MATCH(G$1,CalLookUpColumn,0))</f>
        <v>2019</v>
      </c>
      <c r="H3018">
        <f>INDEX(CalLookUpTable,MATCH($B3018,CalLookUpRow,0),MATCH(H$1,CalLookUpColumn,0))</f>
        <v>10</v>
      </c>
      <c r="I3018">
        <f>INDEX(CalLookUpTable,MATCH($B3018,CalLookUpRow,0),MATCH(I$1,CalLookUpColumn,0))</f>
        <v>1</v>
      </c>
    </row>
    <row r="3019" spans="1:9" x14ac:dyDescent="0.25">
      <c r="A3019" s="7">
        <v>2</v>
      </c>
      <c r="B3019" s="8">
        <v>43738</v>
      </c>
      <c r="C3019" s="9" t="s">
        <v>3</v>
      </c>
      <c r="D3019" s="10">
        <v>0</v>
      </c>
      <c r="E3019" s="10">
        <v>200.71100000000001</v>
      </c>
      <c r="F3019" t="str">
        <f>VLOOKUP(A3019,StoreLookup,2,FALSE)</f>
        <v>Store#2</v>
      </c>
      <c r="G3019">
        <f>INDEX(CalLookUpTable,MATCH($B3019,CalLookUpRow,0),MATCH(G$1,CalLookUpColumn,0))</f>
        <v>2019</v>
      </c>
      <c r="H3019">
        <f>INDEX(CalLookUpTable,MATCH($B3019,CalLookUpRow,0),MATCH(H$1,CalLookUpColumn,0))</f>
        <v>10</v>
      </c>
      <c r="I3019">
        <f>INDEX(CalLookUpTable,MATCH($B3019,CalLookUpRow,0),MATCH(I$1,CalLookUpColumn,0))</f>
        <v>1</v>
      </c>
    </row>
    <row r="3020" spans="1:9" x14ac:dyDescent="0.25">
      <c r="A3020" s="7">
        <v>2</v>
      </c>
      <c r="B3020" s="8">
        <v>43738</v>
      </c>
      <c r="C3020" s="9" t="s">
        <v>4</v>
      </c>
      <c r="D3020" s="10">
        <v>1299.0319999999999</v>
      </c>
      <c r="E3020" s="10">
        <v>1848.3289999999997</v>
      </c>
      <c r="F3020" t="str">
        <f>VLOOKUP(A3020,StoreLookup,2,FALSE)</f>
        <v>Store#2</v>
      </c>
      <c r="G3020">
        <f>INDEX(CalLookUpTable,MATCH($B3020,CalLookUpRow,0),MATCH(G$1,CalLookUpColumn,0))</f>
        <v>2019</v>
      </c>
      <c r="H3020">
        <f>INDEX(CalLookUpTable,MATCH($B3020,CalLookUpRow,0),MATCH(H$1,CalLookUpColumn,0))</f>
        <v>10</v>
      </c>
      <c r="I3020">
        <f>INDEX(CalLookUpTable,MATCH($B3020,CalLookUpRow,0),MATCH(I$1,CalLookUpColumn,0))</f>
        <v>1</v>
      </c>
    </row>
    <row r="3021" spans="1:9" x14ac:dyDescent="0.25">
      <c r="A3021" s="7">
        <v>2</v>
      </c>
      <c r="B3021" s="8">
        <v>43738</v>
      </c>
      <c r="C3021" s="9" t="s">
        <v>6</v>
      </c>
      <c r="D3021" s="10">
        <v>239.39999999999998</v>
      </c>
      <c r="E3021" s="10">
        <v>175.952</v>
      </c>
      <c r="F3021" t="str">
        <f>VLOOKUP(A3021,StoreLookup,2,FALSE)</f>
        <v>Store#2</v>
      </c>
      <c r="G3021">
        <f>INDEX(CalLookUpTable,MATCH($B3021,CalLookUpRow,0),MATCH(G$1,CalLookUpColumn,0))</f>
        <v>2019</v>
      </c>
      <c r="H3021">
        <f>INDEX(CalLookUpTable,MATCH($B3021,CalLookUpRow,0),MATCH(H$1,CalLookUpColumn,0))</f>
        <v>10</v>
      </c>
      <c r="I3021">
        <f>INDEX(CalLookUpTable,MATCH($B3021,CalLookUpRow,0),MATCH(I$1,CalLookUpColumn,0))</f>
        <v>1</v>
      </c>
    </row>
    <row r="3022" spans="1:9" x14ac:dyDescent="0.25">
      <c r="A3022" s="7">
        <v>2</v>
      </c>
      <c r="B3022" s="8">
        <v>43739</v>
      </c>
      <c r="C3022" s="9" t="s">
        <v>6</v>
      </c>
      <c r="D3022" s="10">
        <v>416.39499999999998</v>
      </c>
      <c r="E3022" s="10">
        <v>364.399</v>
      </c>
      <c r="F3022" t="str">
        <f>VLOOKUP(A3022,StoreLookup,2,FALSE)</f>
        <v>Store#2</v>
      </c>
      <c r="G3022">
        <f>INDEX(CalLookUpTable,MATCH($B3022,CalLookUpRow,0),MATCH(G$1,CalLookUpColumn,0))</f>
        <v>2019</v>
      </c>
      <c r="H3022">
        <f>INDEX(CalLookUpTable,MATCH($B3022,CalLookUpRow,0),MATCH(H$1,CalLookUpColumn,0))</f>
        <v>10</v>
      </c>
      <c r="I3022">
        <f>INDEX(CalLookUpTable,MATCH($B3022,CalLookUpRow,0),MATCH(I$1,CalLookUpColumn,0))</f>
        <v>1</v>
      </c>
    </row>
    <row r="3023" spans="1:9" x14ac:dyDescent="0.25">
      <c r="A3023" s="7">
        <v>2</v>
      </c>
      <c r="B3023" s="8">
        <v>43739</v>
      </c>
      <c r="C3023" s="9" t="s">
        <v>5</v>
      </c>
      <c r="D3023" s="10">
        <v>952.11900000000003</v>
      </c>
      <c r="E3023" s="10">
        <v>754.15899999999988</v>
      </c>
      <c r="F3023" t="str">
        <f>VLOOKUP(A3023,StoreLookup,2,FALSE)</f>
        <v>Store#2</v>
      </c>
      <c r="G3023">
        <f>INDEX(CalLookUpTable,MATCH($B3023,CalLookUpRow,0),MATCH(G$1,CalLookUpColumn,0))</f>
        <v>2019</v>
      </c>
      <c r="H3023">
        <f>INDEX(CalLookUpTable,MATCH($B3023,CalLookUpRow,0),MATCH(H$1,CalLookUpColumn,0))</f>
        <v>10</v>
      </c>
      <c r="I3023">
        <f>INDEX(CalLookUpTable,MATCH($B3023,CalLookUpRow,0),MATCH(I$1,CalLookUpColumn,0))</f>
        <v>1</v>
      </c>
    </row>
    <row r="3024" spans="1:9" x14ac:dyDescent="0.25">
      <c r="A3024" s="7">
        <v>2</v>
      </c>
      <c r="B3024" s="8">
        <v>43739</v>
      </c>
      <c r="C3024" s="9" t="s">
        <v>4</v>
      </c>
      <c r="D3024" s="10">
        <v>1551.6059999999998</v>
      </c>
      <c r="E3024" s="10">
        <v>1701.644</v>
      </c>
      <c r="F3024" t="str">
        <f>VLOOKUP(A3024,StoreLookup,2,FALSE)</f>
        <v>Store#2</v>
      </c>
      <c r="G3024">
        <f>INDEX(CalLookUpTable,MATCH($B3024,CalLookUpRow,0),MATCH(G$1,CalLookUpColumn,0))</f>
        <v>2019</v>
      </c>
      <c r="H3024">
        <f>INDEX(CalLookUpTable,MATCH($B3024,CalLookUpRow,0),MATCH(H$1,CalLookUpColumn,0))</f>
        <v>10</v>
      </c>
      <c r="I3024">
        <f>INDEX(CalLookUpTable,MATCH($B3024,CalLookUpRow,0),MATCH(I$1,CalLookUpColumn,0))</f>
        <v>1</v>
      </c>
    </row>
    <row r="3025" spans="1:9" x14ac:dyDescent="0.25">
      <c r="A3025" s="7">
        <v>2</v>
      </c>
      <c r="B3025" s="8">
        <v>43739</v>
      </c>
      <c r="C3025" s="9" t="s">
        <v>3</v>
      </c>
      <c r="D3025" s="10">
        <v>0</v>
      </c>
      <c r="E3025" s="10">
        <v>0</v>
      </c>
      <c r="F3025" t="str">
        <f>VLOOKUP(A3025,StoreLookup,2,FALSE)</f>
        <v>Store#2</v>
      </c>
      <c r="G3025">
        <f>INDEX(CalLookUpTable,MATCH($B3025,CalLookUpRow,0),MATCH(G$1,CalLookUpColumn,0))</f>
        <v>2019</v>
      </c>
      <c r="H3025">
        <f>INDEX(CalLookUpTable,MATCH($B3025,CalLookUpRow,0),MATCH(H$1,CalLookUpColumn,0))</f>
        <v>10</v>
      </c>
      <c r="I3025">
        <f>INDEX(CalLookUpTable,MATCH($B3025,CalLookUpRow,0),MATCH(I$1,CalLookUpColumn,0))</f>
        <v>1</v>
      </c>
    </row>
    <row r="3026" spans="1:9" x14ac:dyDescent="0.25">
      <c r="A3026" s="7">
        <v>2</v>
      </c>
      <c r="B3026" s="8">
        <v>43740</v>
      </c>
      <c r="C3026" s="9" t="s">
        <v>5</v>
      </c>
      <c r="D3026" s="10">
        <v>1146.5160000000001</v>
      </c>
      <c r="E3026" s="10">
        <v>677.42499999999995</v>
      </c>
      <c r="F3026" t="str">
        <f>VLOOKUP(A3026,StoreLookup,2,FALSE)</f>
        <v>Store#2</v>
      </c>
      <c r="G3026">
        <f>INDEX(CalLookUpTable,MATCH($B3026,CalLookUpRow,0),MATCH(G$1,CalLookUpColumn,0))</f>
        <v>2019</v>
      </c>
      <c r="H3026">
        <f>INDEX(CalLookUpTable,MATCH($B3026,CalLookUpRow,0),MATCH(H$1,CalLookUpColumn,0))</f>
        <v>10</v>
      </c>
      <c r="I3026">
        <f>INDEX(CalLookUpTable,MATCH($B3026,CalLookUpRow,0),MATCH(I$1,CalLookUpColumn,0))</f>
        <v>1</v>
      </c>
    </row>
    <row r="3027" spans="1:9" x14ac:dyDescent="0.25">
      <c r="A3027" s="7">
        <v>2</v>
      </c>
      <c r="B3027" s="8">
        <v>43740</v>
      </c>
      <c r="C3027" s="9" t="s">
        <v>3</v>
      </c>
      <c r="D3027" s="10">
        <v>1087.6389999999999</v>
      </c>
      <c r="E3027" s="10">
        <v>0</v>
      </c>
      <c r="F3027" t="str">
        <f>VLOOKUP(A3027,StoreLookup,2,FALSE)</f>
        <v>Store#2</v>
      </c>
      <c r="G3027">
        <f>INDEX(CalLookUpTable,MATCH($B3027,CalLookUpRow,0),MATCH(G$1,CalLookUpColumn,0))</f>
        <v>2019</v>
      </c>
      <c r="H3027">
        <f>INDEX(CalLookUpTable,MATCH($B3027,CalLookUpRow,0),MATCH(H$1,CalLookUpColumn,0))</f>
        <v>10</v>
      </c>
      <c r="I3027">
        <f>INDEX(CalLookUpTable,MATCH($B3027,CalLookUpRow,0),MATCH(I$1,CalLookUpColumn,0))</f>
        <v>1</v>
      </c>
    </row>
    <row r="3028" spans="1:9" x14ac:dyDescent="0.25">
      <c r="A3028" s="7">
        <v>2</v>
      </c>
      <c r="B3028" s="8">
        <v>43740</v>
      </c>
      <c r="C3028" s="9" t="s">
        <v>4</v>
      </c>
      <c r="D3028" s="10">
        <v>1416.3239999999998</v>
      </c>
      <c r="E3028" s="10">
        <v>1535.9960000000001</v>
      </c>
      <c r="F3028" t="str">
        <f>VLOOKUP(A3028,StoreLookup,2,FALSE)</f>
        <v>Store#2</v>
      </c>
      <c r="G3028">
        <f>INDEX(CalLookUpTable,MATCH($B3028,CalLookUpRow,0),MATCH(G$1,CalLookUpColumn,0))</f>
        <v>2019</v>
      </c>
      <c r="H3028">
        <f>INDEX(CalLookUpTable,MATCH($B3028,CalLookUpRow,0),MATCH(H$1,CalLookUpColumn,0))</f>
        <v>10</v>
      </c>
      <c r="I3028">
        <f>INDEX(CalLookUpTable,MATCH($B3028,CalLookUpRow,0),MATCH(I$1,CalLookUpColumn,0))</f>
        <v>1</v>
      </c>
    </row>
    <row r="3029" spans="1:9" x14ac:dyDescent="0.25">
      <c r="A3029" s="7">
        <v>2</v>
      </c>
      <c r="B3029" s="8">
        <v>43740</v>
      </c>
      <c r="C3029" s="9" t="s">
        <v>6</v>
      </c>
      <c r="D3029" s="10">
        <v>410.452</v>
      </c>
      <c r="E3029" s="10">
        <v>381.55599999999998</v>
      </c>
      <c r="F3029" t="str">
        <f>VLOOKUP(A3029,StoreLookup,2,FALSE)</f>
        <v>Store#2</v>
      </c>
      <c r="G3029">
        <f>INDEX(CalLookUpTable,MATCH($B3029,CalLookUpRow,0),MATCH(G$1,CalLookUpColumn,0))</f>
        <v>2019</v>
      </c>
      <c r="H3029">
        <f>INDEX(CalLookUpTable,MATCH($B3029,CalLookUpRow,0),MATCH(H$1,CalLookUpColumn,0))</f>
        <v>10</v>
      </c>
      <c r="I3029">
        <f>INDEX(CalLookUpTable,MATCH($B3029,CalLookUpRow,0),MATCH(I$1,CalLookUpColumn,0))</f>
        <v>1</v>
      </c>
    </row>
    <row r="3030" spans="1:9" x14ac:dyDescent="0.25">
      <c r="A3030" s="7">
        <v>2</v>
      </c>
      <c r="B3030" s="8">
        <v>43741</v>
      </c>
      <c r="C3030" s="9" t="s">
        <v>5</v>
      </c>
      <c r="D3030" s="10">
        <v>1369.4870000000001</v>
      </c>
      <c r="E3030" s="10">
        <v>924.92399999999986</v>
      </c>
      <c r="F3030" t="str">
        <f>VLOOKUP(A3030,StoreLookup,2,FALSE)</f>
        <v>Store#2</v>
      </c>
      <c r="G3030">
        <f>INDEX(CalLookUpTable,MATCH($B3030,CalLookUpRow,0),MATCH(G$1,CalLookUpColumn,0))</f>
        <v>2019</v>
      </c>
      <c r="H3030">
        <f>INDEX(CalLookUpTable,MATCH($B3030,CalLookUpRow,0),MATCH(H$1,CalLookUpColumn,0))</f>
        <v>10</v>
      </c>
      <c r="I3030">
        <f>INDEX(CalLookUpTable,MATCH($B3030,CalLookUpRow,0),MATCH(I$1,CalLookUpColumn,0))</f>
        <v>1</v>
      </c>
    </row>
    <row r="3031" spans="1:9" x14ac:dyDescent="0.25">
      <c r="A3031" s="7">
        <v>2</v>
      </c>
      <c r="B3031" s="8">
        <v>43741</v>
      </c>
      <c r="C3031" s="9" t="s">
        <v>4</v>
      </c>
      <c r="D3031" s="10">
        <v>1714.2089999999998</v>
      </c>
      <c r="E3031" s="10">
        <v>1748.46</v>
      </c>
      <c r="F3031" t="str">
        <f>VLOOKUP(A3031,StoreLookup,2,FALSE)</f>
        <v>Store#2</v>
      </c>
      <c r="G3031">
        <f>INDEX(CalLookUpTable,MATCH($B3031,CalLookUpRow,0),MATCH(G$1,CalLookUpColumn,0))</f>
        <v>2019</v>
      </c>
      <c r="H3031">
        <f>INDEX(CalLookUpTable,MATCH($B3031,CalLookUpRow,0),MATCH(H$1,CalLookUpColumn,0))</f>
        <v>10</v>
      </c>
      <c r="I3031">
        <f>INDEX(CalLookUpTable,MATCH($B3031,CalLookUpRow,0),MATCH(I$1,CalLookUpColumn,0))</f>
        <v>1</v>
      </c>
    </row>
    <row r="3032" spans="1:9" x14ac:dyDescent="0.25">
      <c r="A3032" s="7">
        <v>2</v>
      </c>
      <c r="B3032" s="8">
        <v>43741</v>
      </c>
      <c r="C3032" s="9" t="s">
        <v>3</v>
      </c>
      <c r="D3032" s="10">
        <v>0</v>
      </c>
      <c r="E3032" s="10">
        <v>151.40299999999999</v>
      </c>
      <c r="F3032" t="str">
        <f>VLOOKUP(A3032,StoreLookup,2,FALSE)</f>
        <v>Store#2</v>
      </c>
      <c r="G3032">
        <f>INDEX(CalLookUpTable,MATCH($B3032,CalLookUpRow,0),MATCH(G$1,CalLookUpColumn,0))</f>
        <v>2019</v>
      </c>
      <c r="H3032">
        <f>INDEX(CalLookUpTable,MATCH($B3032,CalLookUpRow,0),MATCH(H$1,CalLookUpColumn,0))</f>
        <v>10</v>
      </c>
      <c r="I3032">
        <f>INDEX(CalLookUpTable,MATCH($B3032,CalLookUpRow,0),MATCH(I$1,CalLookUpColumn,0))</f>
        <v>1</v>
      </c>
    </row>
    <row r="3033" spans="1:9" x14ac:dyDescent="0.25">
      <c r="A3033" s="7">
        <v>2</v>
      </c>
      <c r="B3033" s="8">
        <v>43741</v>
      </c>
      <c r="C3033" s="9" t="s">
        <v>6</v>
      </c>
      <c r="D3033" s="10">
        <v>270.54300000000001</v>
      </c>
      <c r="E3033" s="10">
        <v>327.37599999999998</v>
      </c>
      <c r="F3033" t="str">
        <f>VLOOKUP(A3033,StoreLookup,2,FALSE)</f>
        <v>Store#2</v>
      </c>
      <c r="G3033">
        <f>INDEX(CalLookUpTable,MATCH($B3033,CalLookUpRow,0),MATCH(G$1,CalLookUpColumn,0))</f>
        <v>2019</v>
      </c>
      <c r="H3033">
        <f>INDEX(CalLookUpTable,MATCH($B3033,CalLookUpRow,0),MATCH(H$1,CalLookUpColumn,0))</f>
        <v>10</v>
      </c>
      <c r="I3033">
        <f>INDEX(CalLookUpTable,MATCH($B3033,CalLookUpRow,0),MATCH(I$1,CalLookUpColumn,0))</f>
        <v>1</v>
      </c>
    </row>
    <row r="3034" spans="1:9" x14ac:dyDescent="0.25">
      <c r="A3034" s="7">
        <v>2</v>
      </c>
      <c r="B3034" s="8">
        <v>43742</v>
      </c>
      <c r="C3034" s="9" t="s">
        <v>3</v>
      </c>
      <c r="D3034" s="10">
        <v>304.21299999999997</v>
      </c>
      <c r="E3034" s="10">
        <v>0</v>
      </c>
      <c r="F3034" t="str">
        <f>VLOOKUP(A3034,StoreLookup,2,FALSE)</f>
        <v>Store#2</v>
      </c>
      <c r="G3034">
        <f>INDEX(CalLookUpTable,MATCH($B3034,CalLookUpRow,0),MATCH(G$1,CalLookUpColumn,0))</f>
        <v>2019</v>
      </c>
      <c r="H3034">
        <f>INDEX(CalLookUpTable,MATCH($B3034,CalLookUpRow,0),MATCH(H$1,CalLookUpColumn,0))</f>
        <v>10</v>
      </c>
      <c r="I3034">
        <f>INDEX(CalLookUpTable,MATCH($B3034,CalLookUpRow,0),MATCH(I$1,CalLookUpColumn,0))</f>
        <v>1</v>
      </c>
    </row>
    <row r="3035" spans="1:9" x14ac:dyDescent="0.25">
      <c r="A3035" s="7">
        <v>2</v>
      </c>
      <c r="B3035" s="8">
        <v>43742</v>
      </c>
      <c r="C3035" s="9" t="s">
        <v>4</v>
      </c>
      <c r="D3035" s="10">
        <v>2381.12</v>
      </c>
      <c r="E3035" s="10">
        <v>2236.5</v>
      </c>
      <c r="F3035" t="str">
        <f>VLOOKUP(A3035,StoreLookup,2,FALSE)</f>
        <v>Store#2</v>
      </c>
      <c r="G3035">
        <f>INDEX(CalLookUpTable,MATCH($B3035,CalLookUpRow,0),MATCH(G$1,CalLookUpColumn,0))</f>
        <v>2019</v>
      </c>
      <c r="H3035">
        <f>INDEX(CalLookUpTable,MATCH($B3035,CalLookUpRow,0),MATCH(H$1,CalLookUpColumn,0))</f>
        <v>10</v>
      </c>
      <c r="I3035">
        <f>INDEX(CalLookUpTable,MATCH($B3035,CalLookUpRow,0),MATCH(I$1,CalLookUpColumn,0))</f>
        <v>1</v>
      </c>
    </row>
    <row r="3036" spans="1:9" x14ac:dyDescent="0.25">
      <c r="A3036" s="7">
        <v>2</v>
      </c>
      <c r="B3036" s="8">
        <v>43742</v>
      </c>
      <c r="C3036" s="9" t="s">
        <v>5</v>
      </c>
      <c r="D3036" s="10">
        <v>1354.297</v>
      </c>
      <c r="E3036" s="10">
        <v>613.53599999999994</v>
      </c>
      <c r="F3036" t="str">
        <f>VLOOKUP(A3036,StoreLookup,2,FALSE)</f>
        <v>Store#2</v>
      </c>
      <c r="G3036">
        <f>INDEX(CalLookUpTable,MATCH($B3036,CalLookUpRow,0),MATCH(G$1,CalLookUpColumn,0))</f>
        <v>2019</v>
      </c>
      <c r="H3036">
        <f>INDEX(CalLookUpTable,MATCH($B3036,CalLookUpRow,0),MATCH(H$1,CalLookUpColumn,0))</f>
        <v>10</v>
      </c>
      <c r="I3036">
        <f>INDEX(CalLookUpTable,MATCH($B3036,CalLookUpRow,0),MATCH(I$1,CalLookUpColumn,0))</f>
        <v>1</v>
      </c>
    </row>
    <row r="3037" spans="1:9" x14ac:dyDescent="0.25">
      <c r="A3037" s="7">
        <v>2</v>
      </c>
      <c r="B3037" s="8">
        <v>43742</v>
      </c>
      <c r="C3037" s="9" t="s">
        <v>6</v>
      </c>
      <c r="D3037" s="10">
        <v>764.07099999999991</v>
      </c>
      <c r="E3037" s="10">
        <v>438.58499999999992</v>
      </c>
      <c r="F3037" t="str">
        <f>VLOOKUP(A3037,StoreLookup,2,FALSE)</f>
        <v>Store#2</v>
      </c>
      <c r="G3037">
        <f>INDEX(CalLookUpTable,MATCH($B3037,CalLookUpRow,0),MATCH(G$1,CalLookUpColumn,0))</f>
        <v>2019</v>
      </c>
      <c r="H3037">
        <f>INDEX(CalLookUpTable,MATCH($B3037,CalLookUpRow,0),MATCH(H$1,CalLookUpColumn,0))</f>
        <v>10</v>
      </c>
      <c r="I3037">
        <f>INDEX(CalLookUpTable,MATCH($B3037,CalLookUpRow,0),MATCH(I$1,CalLookUpColumn,0))</f>
        <v>1</v>
      </c>
    </row>
    <row r="3038" spans="1:9" x14ac:dyDescent="0.25">
      <c r="A3038" s="7">
        <v>2</v>
      </c>
      <c r="B3038" s="8">
        <v>43743</v>
      </c>
      <c r="C3038" s="9" t="s">
        <v>6</v>
      </c>
      <c r="D3038" s="10">
        <v>469.97299999999996</v>
      </c>
      <c r="E3038" s="10">
        <v>317.64599999999996</v>
      </c>
      <c r="F3038" t="str">
        <f>VLOOKUP(A3038,StoreLookup,2,FALSE)</f>
        <v>Store#2</v>
      </c>
      <c r="G3038">
        <f>INDEX(CalLookUpTable,MATCH($B3038,CalLookUpRow,0),MATCH(G$1,CalLookUpColumn,0))</f>
        <v>2019</v>
      </c>
      <c r="H3038">
        <f>INDEX(CalLookUpTable,MATCH($B3038,CalLookUpRow,0),MATCH(H$1,CalLookUpColumn,0))</f>
        <v>10</v>
      </c>
      <c r="I3038">
        <f>INDEX(CalLookUpTable,MATCH($B3038,CalLookUpRow,0),MATCH(I$1,CalLookUpColumn,0))</f>
        <v>1</v>
      </c>
    </row>
    <row r="3039" spans="1:9" x14ac:dyDescent="0.25">
      <c r="A3039" s="7">
        <v>2</v>
      </c>
      <c r="B3039" s="8">
        <v>43743</v>
      </c>
      <c r="C3039" s="9" t="s">
        <v>3</v>
      </c>
      <c r="D3039" s="10">
        <v>0</v>
      </c>
      <c r="E3039" s="10">
        <v>0</v>
      </c>
      <c r="F3039" t="str">
        <f>VLOOKUP(A3039,StoreLookup,2,FALSE)</f>
        <v>Store#2</v>
      </c>
      <c r="G3039">
        <f>INDEX(CalLookUpTable,MATCH($B3039,CalLookUpRow,0),MATCH(G$1,CalLookUpColumn,0))</f>
        <v>2019</v>
      </c>
      <c r="H3039">
        <f>INDEX(CalLookUpTable,MATCH($B3039,CalLookUpRow,0),MATCH(H$1,CalLookUpColumn,0))</f>
        <v>10</v>
      </c>
      <c r="I3039">
        <f>INDEX(CalLookUpTable,MATCH($B3039,CalLookUpRow,0),MATCH(I$1,CalLookUpColumn,0))</f>
        <v>1</v>
      </c>
    </row>
    <row r="3040" spans="1:9" x14ac:dyDescent="0.25">
      <c r="A3040" s="7">
        <v>2</v>
      </c>
      <c r="B3040" s="8">
        <v>43743</v>
      </c>
      <c r="C3040" s="9" t="s">
        <v>4</v>
      </c>
      <c r="D3040" s="10">
        <v>2161.4319999999998</v>
      </c>
      <c r="E3040" s="10">
        <v>2274.5729999999999</v>
      </c>
      <c r="F3040" t="str">
        <f>VLOOKUP(A3040,StoreLookup,2,FALSE)</f>
        <v>Store#2</v>
      </c>
      <c r="G3040">
        <f>INDEX(CalLookUpTable,MATCH($B3040,CalLookUpRow,0),MATCH(G$1,CalLookUpColumn,0))</f>
        <v>2019</v>
      </c>
      <c r="H3040">
        <f>INDEX(CalLookUpTable,MATCH($B3040,CalLookUpRow,0),MATCH(H$1,CalLookUpColumn,0))</f>
        <v>10</v>
      </c>
      <c r="I3040">
        <f>INDEX(CalLookUpTable,MATCH($B3040,CalLookUpRow,0),MATCH(I$1,CalLookUpColumn,0))</f>
        <v>1</v>
      </c>
    </row>
    <row r="3041" spans="1:9" x14ac:dyDescent="0.25">
      <c r="A3041" s="7">
        <v>2</v>
      </c>
      <c r="B3041" s="8">
        <v>43743</v>
      </c>
      <c r="C3041" s="9" t="s">
        <v>5</v>
      </c>
      <c r="D3041" s="10">
        <v>1070.9089999999999</v>
      </c>
      <c r="E3041" s="10">
        <v>759.39499999999987</v>
      </c>
      <c r="F3041" t="str">
        <f>VLOOKUP(A3041,StoreLookup,2,FALSE)</f>
        <v>Store#2</v>
      </c>
      <c r="G3041">
        <f>INDEX(CalLookUpTable,MATCH($B3041,CalLookUpRow,0),MATCH(G$1,CalLookUpColumn,0))</f>
        <v>2019</v>
      </c>
      <c r="H3041">
        <f>INDEX(CalLookUpTable,MATCH($B3041,CalLookUpRow,0),MATCH(H$1,CalLookUpColumn,0))</f>
        <v>10</v>
      </c>
      <c r="I3041">
        <f>INDEX(CalLookUpTable,MATCH($B3041,CalLookUpRow,0),MATCH(I$1,CalLookUpColumn,0))</f>
        <v>1</v>
      </c>
    </row>
    <row r="3042" spans="1:9" x14ac:dyDescent="0.25">
      <c r="A3042" s="7">
        <v>2</v>
      </c>
      <c r="B3042" s="8">
        <v>43744</v>
      </c>
      <c r="C3042" s="9" t="s">
        <v>3</v>
      </c>
      <c r="D3042" s="10">
        <v>0</v>
      </c>
      <c r="E3042" s="10">
        <v>0</v>
      </c>
      <c r="F3042" t="str">
        <f>VLOOKUP(A3042,StoreLookup,2,FALSE)</f>
        <v>Store#2</v>
      </c>
      <c r="G3042">
        <f>INDEX(CalLookUpTable,MATCH($B3042,CalLookUpRow,0),MATCH(G$1,CalLookUpColumn,0))</f>
        <v>2019</v>
      </c>
      <c r="H3042">
        <f>INDEX(CalLookUpTable,MATCH($B3042,CalLookUpRow,0),MATCH(H$1,CalLookUpColumn,0))</f>
        <v>10</v>
      </c>
      <c r="I3042">
        <f>INDEX(CalLookUpTable,MATCH($B3042,CalLookUpRow,0),MATCH(I$1,CalLookUpColumn,0))</f>
        <v>1</v>
      </c>
    </row>
    <row r="3043" spans="1:9" x14ac:dyDescent="0.25">
      <c r="A3043" s="7">
        <v>2</v>
      </c>
      <c r="B3043" s="8">
        <v>43744</v>
      </c>
      <c r="C3043" s="9" t="s">
        <v>4</v>
      </c>
      <c r="D3043" s="10">
        <v>1204.98</v>
      </c>
      <c r="E3043" s="10">
        <v>1076.1659999999999</v>
      </c>
      <c r="F3043" t="str">
        <f>VLOOKUP(A3043,StoreLookup,2,FALSE)</f>
        <v>Store#2</v>
      </c>
      <c r="G3043">
        <f>INDEX(CalLookUpTable,MATCH($B3043,CalLookUpRow,0),MATCH(G$1,CalLookUpColumn,0))</f>
        <v>2019</v>
      </c>
      <c r="H3043">
        <f>INDEX(CalLookUpTable,MATCH($B3043,CalLookUpRow,0),MATCH(H$1,CalLookUpColumn,0))</f>
        <v>10</v>
      </c>
      <c r="I3043">
        <f>INDEX(CalLookUpTable,MATCH($B3043,CalLookUpRow,0),MATCH(I$1,CalLookUpColumn,0))</f>
        <v>1</v>
      </c>
    </row>
    <row r="3044" spans="1:9" x14ac:dyDescent="0.25">
      <c r="A3044" s="7">
        <v>2</v>
      </c>
      <c r="B3044" s="8">
        <v>43744</v>
      </c>
      <c r="C3044" s="9" t="s">
        <v>5</v>
      </c>
      <c r="D3044" s="10">
        <v>804.07600000000002</v>
      </c>
      <c r="E3044" s="10">
        <v>513.82799999999997</v>
      </c>
      <c r="F3044" t="str">
        <f>VLOOKUP(A3044,StoreLookup,2,FALSE)</f>
        <v>Store#2</v>
      </c>
      <c r="G3044">
        <f>INDEX(CalLookUpTable,MATCH($B3044,CalLookUpRow,0),MATCH(G$1,CalLookUpColumn,0))</f>
        <v>2019</v>
      </c>
      <c r="H3044">
        <f>INDEX(CalLookUpTable,MATCH($B3044,CalLookUpRow,0),MATCH(H$1,CalLookUpColumn,0))</f>
        <v>10</v>
      </c>
      <c r="I3044">
        <f>INDEX(CalLookUpTable,MATCH($B3044,CalLookUpRow,0),MATCH(I$1,CalLookUpColumn,0))</f>
        <v>1</v>
      </c>
    </row>
    <row r="3045" spans="1:9" x14ac:dyDescent="0.25">
      <c r="A3045" s="7">
        <v>2</v>
      </c>
      <c r="B3045" s="8">
        <v>43744</v>
      </c>
      <c r="C3045" s="9" t="s">
        <v>6</v>
      </c>
      <c r="D3045" s="10">
        <v>463.70800000000003</v>
      </c>
      <c r="E3045" s="10">
        <v>291.529</v>
      </c>
      <c r="F3045" t="str">
        <f>VLOOKUP(A3045,StoreLookup,2,FALSE)</f>
        <v>Store#2</v>
      </c>
      <c r="G3045">
        <f>INDEX(CalLookUpTable,MATCH($B3045,CalLookUpRow,0),MATCH(G$1,CalLookUpColumn,0))</f>
        <v>2019</v>
      </c>
      <c r="H3045">
        <f>INDEX(CalLookUpTable,MATCH($B3045,CalLookUpRow,0),MATCH(H$1,CalLookUpColumn,0))</f>
        <v>10</v>
      </c>
      <c r="I3045">
        <f>INDEX(CalLookUpTable,MATCH($B3045,CalLookUpRow,0),MATCH(I$1,CalLookUpColumn,0))</f>
        <v>1</v>
      </c>
    </row>
    <row r="3046" spans="1:9" x14ac:dyDescent="0.25">
      <c r="A3046" s="7">
        <v>2</v>
      </c>
      <c r="B3046" s="8">
        <v>43745</v>
      </c>
      <c r="C3046" s="9" t="s">
        <v>4</v>
      </c>
      <c r="D3046" s="10">
        <v>1272.2359999999999</v>
      </c>
      <c r="E3046" s="10">
        <v>1526.7839999999999</v>
      </c>
      <c r="F3046" t="str">
        <f>VLOOKUP(A3046,StoreLookup,2,FALSE)</f>
        <v>Store#2</v>
      </c>
      <c r="G3046">
        <f>INDEX(CalLookUpTable,MATCH($B3046,CalLookUpRow,0),MATCH(G$1,CalLookUpColumn,0))</f>
        <v>2019</v>
      </c>
      <c r="H3046">
        <f>INDEX(CalLookUpTable,MATCH($B3046,CalLookUpRow,0),MATCH(H$1,CalLookUpColumn,0))</f>
        <v>10</v>
      </c>
      <c r="I3046">
        <f>INDEX(CalLookUpTable,MATCH($B3046,CalLookUpRow,0),MATCH(I$1,CalLookUpColumn,0))</f>
        <v>2</v>
      </c>
    </row>
    <row r="3047" spans="1:9" x14ac:dyDescent="0.25">
      <c r="A3047" s="7">
        <v>2</v>
      </c>
      <c r="B3047" s="8">
        <v>43745</v>
      </c>
      <c r="C3047" s="9" t="s">
        <v>6</v>
      </c>
      <c r="D3047" s="10">
        <v>333.99099999999999</v>
      </c>
      <c r="E3047" s="10">
        <v>315.62999999999994</v>
      </c>
      <c r="F3047" t="str">
        <f>VLOOKUP(A3047,StoreLookup,2,FALSE)</f>
        <v>Store#2</v>
      </c>
      <c r="G3047">
        <f>INDEX(CalLookUpTable,MATCH($B3047,CalLookUpRow,0),MATCH(G$1,CalLookUpColumn,0))</f>
        <v>2019</v>
      </c>
      <c r="H3047">
        <f>INDEX(CalLookUpTable,MATCH($B3047,CalLookUpRow,0),MATCH(H$1,CalLookUpColumn,0))</f>
        <v>10</v>
      </c>
      <c r="I3047">
        <f>INDEX(CalLookUpTable,MATCH($B3047,CalLookUpRow,0),MATCH(I$1,CalLookUpColumn,0))</f>
        <v>2</v>
      </c>
    </row>
    <row r="3048" spans="1:9" x14ac:dyDescent="0.25">
      <c r="A3048" s="7">
        <v>2</v>
      </c>
      <c r="B3048" s="8">
        <v>43745</v>
      </c>
      <c r="C3048" s="9" t="s">
        <v>5</v>
      </c>
      <c r="D3048" s="10">
        <v>1024.7370000000001</v>
      </c>
      <c r="E3048" s="10">
        <v>711.71799999999996</v>
      </c>
      <c r="F3048" t="str">
        <f>VLOOKUP(A3048,StoreLookup,2,FALSE)</f>
        <v>Store#2</v>
      </c>
      <c r="G3048">
        <f>INDEX(CalLookUpTable,MATCH($B3048,CalLookUpRow,0),MATCH(G$1,CalLookUpColumn,0))</f>
        <v>2019</v>
      </c>
      <c r="H3048">
        <f>INDEX(CalLookUpTable,MATCH($B3048,CalLookUpRow,0),MATCH(H$1,CalLookUpColumn,0))</f>
        <v>10</v>
      </c>
      <c r="I3048">
        <f>INDEX(CalLookUpTable,MATCH($B3048,CalLookUpRow,0),MATCH(I$1,CalLookUpColumn,0))</f>
        <v>2</v>
      </c>
    </row>
    <row r="3049" spans="1:9" x14ac:dyDescent="0.25">
      <c r="A3049" s="7">
        <v>2</v>
      </c>
      <c r="B3049" s="8">
        <v>43745</v>
      </c>
      <c r="C3049" s="9" t="s">
        <v>3</v>
      </c>
      <c r="D3049" s="10">
        <v>0</v>
      </c>
      <c r="E3049" s="10">
        <v>0</v>
      </c>
      <c r="F3049" t="str">
        <f>VLOOKUP(A3049,StoreLookup,2,FALSE)</f>
        <v>Store#2</v>
      </c>
      <c r="G3049">
        <f>INDEX(CalLookUpTable,MATCH($B3049,CalLookUpRow,0),MATCH(G$1,CalLookUpColumn,0))</f>
        <v>2019</v>
      </c>
      <c r="H3049">
        <f>INDEX(CalLookUpTable,MATCH($B3049,CalLookUpRow,0),MATCH(H$1,CalLookUpColumn,0))</f>
        <v>10</v>
      </c>
      <c r="I3049">
        <f>INDEX(CalLookUpTable,MATCH($B3049,CalLookUpRow,0),MATCH(I$1,CalLookUpColumn,0))</f>
        <v>2</v>
      </c>
    </row>
    <row r="3050" spans="1:9" x14ac:dyDescent="0.25">
      <c r="A3050" s="7">
        <v>2</v>
      </c>
      <c r="B3050" s="8">
        <v>43746</v>
      </c>
      <c r="C3050" s="9" t="s">
        <v>3</v>
      </c>
      <c r="D3050" s="10">
        <v>254.352</v>
      </c>
      <c r="E3050" s="10">
        <v>0</v>
      </c>
      <c r="F3050" t="str">
        <f>VLOOKUP(A3050,StoreLookup,2,FALSE)</f>
        <v>Store#2</v>
      </c>
      <c r="G3050">
        <f>INDEX(CalLookUpTable,MATCH($B3050,CalLookUpRow,0),MATCH(G$1,CalLookUpColumn,0))</f>
        <v>2019</v>
      </c>
      <c r="H3050">
        <f>INDEX(CalLookUpTable,MATCH($B3050,CalLookUpRow,0),MATCH(H$1,CalLookUpColumn,0))</f>
        <v>10</v>
      </c>
      <c r="I3050">
        <f>INDEX(CalLookUpTable,MATCH($B3050,CalLookUpRow,0),MATCH(I$1,CalLookUpColumn,0))</f>
        <v>2</v>
      </c>
    </row>
    <row r="3051" spans="1:9" x14ac:dyDescent="0.25">
      <c r="A3051" s="7">
        <v>2</v>
      </c>
      <c r="B3051" s="8">
        <v>43746</v>
      </c>
      <c r="C3051" s="9" t="s">
        <v>5</v>
      </c>
      <c r="D3051" s="10">
        <v>1009.5609999999999</v>
      </c>
      <c r="E3051" s="10">
        <v>818.09699999999998</v>
      </c>
      <c r="F3051" t="str">
        <f>VLOOKUP(A3051,StoreLookup,2,FALSE)</f>
        <v>Store#2</v>
      </c>
      <c r="G3051">
        <f>INDEX(CalLookUpTable,MATCH($B3051,CalLookUpRow,0),MATCH(G$1,CalLookUpColumn,0))</f>
        <v>2019</v>
      </c>
      <c r="H3051">
        <f>INDEX(CalLookUpTable,MATCH($B3051,CalLookUpRow,0),MATCH(H$1,CalLookUpColumn,0))</f>
        <v>10</v>
      </c>
      <c r="I3051">
        <f>INDEX(CalLookUpTable,MATCH($B3051,CalLookUpRow,0),MATCH(I$1,CalLookUpColumn,0))</f>
        <v>2</v>
      </c>
    </row>
    <row r="3052" spans="1:9" x14ac:dyDescent="0.25">
      <c r="A3052" s="7">
        <v>2</v>
      </c>
      <c r="B3052" s="8">
        <v>43746</v>
      </c>
      <c r="C3052" s="9" t="s">
        <v>6</v>
      </c>
      <c r="D3052" s="10">
        <v>366.54799999999994</v>
      </c>
      <c r="E3052" s="10">
        <v>345.702</v>
      </c>
      <c r="F3052" t="str">
        <f>VLOOKUP(A3052,StoreLookup,2,FALSE)</f>
        <v>Store#2</v>
      </c>
      <c r="G3052">
        <f>INDEX(CalLookUpTable,MATCH($B3052,CalLookUpRow,0),MATCH(G$1,CalLookUpColumn,0))</f>
        <v>2019</v>
      </c>
      <c r="H3052">
        <f>INDEX(CalLookUpTable,MATCH($B3052,CalLookUpRow,0),MATCH(H$1,CalLookUpColumn,0))</f>
        <v>10</v>
      </c>
      <c r="I3052">
        <f>INDEX(CalLookUpTable,MATCH($B3052,CalLookUpRow,0),MATCH(I$1,CalLookUpColumn,0))</f>
        <v>2</v>
      </c>
    </row>
    <row r="3053" spans="1:9" x14ac:dyDescent="0.25">
      <c r="A3053" s="7">
        <v>2</v>
      </c>
      <c r="B3053" s="8">
        <v>43746</v>
      </c>
      <c r="C3053" s="9" t="s">
        <v>4</v>
      </c>
      <c r="D3053" s="10">
        <v>1829.0089999999998</v>
      </c>
      <c r="E3053" s="10">
        <v>1474.039</v>
      </c>
      <c r="F3053" t="str">
        <f>VLOOKUP(A3053,StoreLookup,2,FALSE)</f>
        <v>Store#2</v>
      </c>
      <c r="G3053">
        <f>INDEX(CalLookUpTable,MATCH($B3053,CalLookUpRow,0),MATCH(G$1,CalLookUpColumn,0))</f>
        <v>2019</v>
      </c>
      <c r="H3053">
        <f>INDEX(CalLookUpTable,MATCH($B3053,CalLookUpRow,0),MATCH(H$1,CalLookUpColumn,0))</f>
        <v>10</v>
      </c>
      <c r="I3053">
        <f>INDEX(CalLookUpTable,MATCH($B3053,CalLookUpRow,0),MATCH(I$1,CalLookUpColumn,0))</f>
        <v>2</v>
      </c>
    </row>
    <row r="3054" spans="1:9" x14ac:dyDescent="0.25">
      <c r="A3054" s="7">
        <v>2</v>
      </c>
      <c r="B3054" s="8">
        <v>43747</v>
      </c>
      <c r="C3054" s="9" t="s">
        <v>6</v>
      </c>
      <c r="D3054" s="10">
        <v>407.42099999999994</v>
      </c>
      <c r="E3054" s="10">
        <v>359.863</v>
      </c>
      <c r="F3054" t="str">
        <f>VLOOKUP(A3054,StoreLookup,2,FALSE)</f>
        <v>Store#2</v>
      </c>
      <c r="G3054">
        <f>INDEX(CalLookUpTable,MATCH($B3054,CalLookUpRow,0),MATCH(G$1,CalLookUpColumn,0))</f>
        <v>2019</v>
      </c>
      <c r="H3054">
        <f>INDEX(CalLookUpTable,MATCH($B3054,CalLookUpRow,0),MATCH(H$1,CalLookUpColumn,0))</f>
        <v>10</v>
      </c>
      <c r="I3054">
        <f>INDEX(CalLookUpTable,MATCH($B3054,CalLookUpRow,0),MATCH(I$1,CalLookUpColumn,0))</f>
        <v>2</v>
      </c>
    </row>
    <row r="3055" spans="1:9" x14ac:dyDescent="0.25">
      <c r="A3055" s="7">
        <v>2</v>
      </c>
      <c r="B3055" s="8">
        <v>43747</v>
      </c>
      <c r="C3055" s="9" t="s">
        <v>4</v>
      </c>
      <c r="D3055" s="10">
        <v>1467.5009999999997</v>
      </c>
      <c r="E3055" s="10">
        <v>1421.7279999999998</v>
      </c>
      <c r="F3055" t="str">
        <f>VLOOKUP(A3055,StoreLookup,2,FALSE)</f>
        <v>Store#2</v>
      </c>
      <c r="G3055">
        <f>INDEX(CalLookUpTable,MATCH($B3055,CalLookUpRow,0),MATCH(G$1,CalLookUpColumn,0))</f>
        <v>2019</v>
      </c>
      <c r="H3055">
        <f>INDEX(CalLookUpTable,MATCH($B3055,CalLookUpRow,0),MATCH(H$1,CalLookUpColumn,0))</f>
        <v>10</v>
      </c>
      <c r="I3055">
        <f>INDEX(CalLookUpTable,MATCH($B3055,CalLookUpRow,0),MATCH(I$1,CalLookUpColumn,0))</f>
        <v>2</v>
      </c>
    </row>
    <row r="3056" spans="1:9" x14ac:dyDescent="0.25">
      <c r="A3056" s="7">
        <v>2</v>
      </c>
      <c r="B3056" s="8">
        <v>43747</v>
      </c>
      <c r="C3056" s="9" t="s">
        <v>3</v>
      </c>
      <c r="D3056" s="10">
        <v>589.75</v>
      </c>
      <c r="E3056" s="10">
        <v>230.01299999999998</v>
      </c>
      <c r="F3056" t="str">
        <f>VLOOKUP(A3056,StoreLookup,2,FALSE)</f>
        <v>Store#2</v>
      </c>
      <c r="G3056">
        <f>INDEX(CalLookUpTable,MATCH($B3056,CalLookUpRow,0),MATCH(G$1,CalLookUpColumn,0))</f>
        <v>2019</v>
      </c>
      <c r="H3056">
        <f>INDEX(CalLookUpTable,MATCH($B3056,CalLookUpRow,0),MATCH(H$1,CalLookUpColumn,0))</f>
        <v>10</v>
      </c>
      <c r="I3056">
        <f>INDEX(CalLookUpTable,MATCH($B3056,CalLookUpRow,0),MATCH(I$1,CalLookUpColumn,0))</f>
        <v>2</v>
      </c>
    </row>
    <row r="3057" spans="1:9" x14ac:dyDescent="0.25">
      <c r="A3057" s="7">
        <v>2</v>
      </c>
      <c r="B3057" s="8">
        <v>43747</v>
      </c>
      <c r="C3057" s="9" t="s">
        <v>5</v>
      </c>
      <c r="D3057" s="10">
        <v>998.57099999999991</v>
      </c>
      <c r="E3057" s="10">
        <v>729.21799999999996</v>
      </c>
      <c r="F3057" t="str">
        <f>VLOOKUP(A3057,StoreLookup,2,FALSE)</f>
        <v>Store#2</v>
      </c>
      <c r="G3057">
        <f>INDEX(CalLookUpTable,MATCH($B3057,CalLookUpRow,0),MATCH(G$1,CalLookUpColumn,0))</f>
        <v>2019</v>
      </c>
      <c r="H3057">
        <f>INDEX(CalLookUpTable,MATCH($B3057,CalLookUpRow,0),MATCH(H$1,CalLookUpColumn,0))</f>
        <v>10</v>
      </c>
      <c r="I3057">
        <f>INDEX(CalLookUpTable,MATCH($B3057,CalLookUpRow,0),MATCH(I$1,CalLookUpColumn,0))</f>
        <v>2</v>
      </c>
    </row>
    <row r="3058" spans="1:9" x14ac:dyDescent="0.25">
      <c r="A3058" s="7">
        <v>2</v>
      </c>
      <c r="B3058" s="8">
        <v>43748</v>
      </c>
      <c r="C3058" s="9" t="s">
        <v>4</v>
      </c>
      <c r="D3058" s="10">
        <v>1787.835</v>
      </c>
      <c r="E3058" s="10">
        <v>1950.3329999999999</v>
      </c>
      <c r="F3058" t="str">
        <f>VLOOKUP(A3058,StoreLookup,2,FALSE)</f>
        <v>Store#2</v>
      </c>
      <c r="G3058">
        <f>INDEX(CalLookUpTable,MATCH($B3058,CalLookUpRow,0),MATCH(G$1,CalLookUpColumn,0))</f>
        <v>2019</v>
      </c>
      <c r="H3058">
        <f>INDEX(CalLookUpTable,MATCH($B3058,CalLookUpRow,0),MATCH(H$1,CalLookUpColumn,0))</f>
        <v>10</v>
      </c>
      <c r="I3058">
        <f>INDEX(CalLookUpTable,MATCH($B3058,CalLookUpRow,0),MATCH(I$1,CalLookUpColumn,0))</f>
        <v>2</v>
      </c>
    </row>
    <row r="3059" spans="1:9" x14ac:dyDescent="0.25">
      <c r="A3059" s="7">
        <v>2</v>
      </c>
      <c r="B3059" s="8">
        <v>43748</v>
      </c>
      <c r="C3059" s="9" t="s">
        <v>5</v>
      </c>
      <c r="D3059" s="10">
        <v>956.52199999999993</v>
      </c>
      <c r="E3059" s="10">
        <v>750.60299999999995</v>
      </c>
      <c r="F3059" t="str">
        <f>VLOOKUP(A3059,StoreLookup,2,FALSE)</f>
        <v>Store#2</v>
      </c>
      <c r="G3059">
        <f>INDEX(CalLookUpTable,MATCH($B3059,CalLookUpRow,0),MATCH(G$1,CalLookUpColumn,0))</f>
        <v>2019</v>
      </c>
      <c r="H3059">
        <f>INDEX(CalLookUpTable,MATCH($B3059,CalLookUpRow,0),MATCH(H$1,CalLookUpColumn,0))</f>
        <v>10</v>
      </c>
      <c r="I3059">
        <f>INDEX(CalLookUpTable,MATCH($B3059,CalLookUpRow,0),MATCH(I$1,CalLookUpColumn,0))</f>
        <v>2</v>
      </c>
    </row>
    <row r="3060" spans="1:9" x14ac:dyDescent="0.25">
      <c r="A3060" s="7">
        <v>2</v>
      </c>
      <c r="B3060" s="8">
        <v>43748</v>
      </c>
      <c r="C3060" s="9" t="s">
        <v>6</v>
      </c>
      <c r="D3060" s="10">
        <v>323.11299999999994</v>
      </c>
      <c r="E3060" s="10">
        <v>234.31100000000001</v>
      </c>
      <c r="F3060" t="str">
        <f>VLOOKUP(A3060,StoreLookup,2,FALSE)</f>
        <v>Store#2</v>
      </c>
      <c r="G3060">
        <f>INDEX(CalLookUpTable,MATCH($B3060,CalLookUpRow,0),MATCH(G$1,CalLookUpColumn,0))</f>
        <v>2019</v>
      </c>
      <c r="H3060">
        <f>INDEX(CalLookUpTable,MATCH($B3060,CalLookUpRow,0),MATCH(H$1,CalLookUpColumn,0))</f>
        <v>10</v>
      </c>
      <c r="I3060">
        <f>INDEX(CalLookUpTable,MATCH($B3060,CalLookUpRow,0),MATCH(I$1,CalLookUpColumn,0))</f>
        <v>2</v>
      </c>
    </row>
    <row r="3061" spans="1:9" x14ac:dyDescent="0.25">
      <c r="A3061" s="7">
        <v>2</v>
      </c>
      <c r="B3061" s="8">
        <v>43748</v>
      </c>
      <c r="C3061" s="9" t="s">
        <v>3</v>
      </c>
      <c r="D3061" s="10">
        <v>6.0829999999999993</v>
      </c>
      <c r="E3061" s="10">
        <v>0</v>
      </c>
      <c r="F3061" t="str">
        <f>VLOOKUP(A3061,StoreLookup,2,FALSE)</f>
        <v>Store#2</v>
      </c>
      <c r="G3061">
        <f>INDEX(CalLookUpTable,MATCH($B3061,CalLookUpRow,0),MATCH(G$1,CalLookUpColumn,0))</f>
        <v>2019</v>
      </c>
      <c r="H3061">
        <f>INDEX(CalLookUpTable,MATCH($B3061,CalLookUpRow,0),MATCH(H$1,CalLookUpColumn,0))</f>
        <v>10</v>
      </c>
      <c r="I3061">
        <f>INDEX(CalLookUpTable,MATCH($B3061,CalLookUpRow,0),MATCH(I$1,CalLookUpColumn,0))</f>
        <v>2</v>
      </c>
    </row>
    <row r="3062" spans="1:9" x14ac:dyDescent="0.25">
      <c r="A3062" s="7">
        <v>2</v>
      </c>
      <c r="B3062" s="8">
        <v>43749</v>
      </c>
      <c r="C3062" s="9" t="s">
        <v>6</v>
      </c>
      <c r="D3062" s="10">
        <v>596.47</v>
      </c>
      <c r="E3062" s="10">
        <v>619.08699999999999</v>
      </c>
      <c r="F3062" t="str">
        <f>VLOOKUP(A3062,StoreLookup,2,FALSE)</f>
        <v>Store#2</v>
      </c>
      <c r="G3062">
        <f>INDEX(CalLookUpTable,MATCH($B3062,CalLookUpRow,0),MATCH(G$1,CalLookUpColumn,0))</f>
        <v>2019</v>
      </c>
      <c r="H3062">
        <f>INDEX(CalLookUpTable,MATCH($B3062,CalLookUpRow,0),MATCH(H$1,CalLookUpColumn,0))</f>
        <v>10</v>
      </c>
      <c r="I3062">
        <f>INDEX(CalLookUpTable,MATCH($B3062,CalLookUpRow,0),MATCH(I$1,CalLookUpColumn,0))</f>
        <v>2</v>
      </c>
    </row>
    <row r="3063" spans="1:9" x14ac:dyDescent="0.25">
      <c r="A3063" s="7">
        <v>2</v>
      </c>
      <c r="B3063" s="8">
        <v>43749</v>
      </c>
      <c r="C3063" s="9" t="s">
        <v>5</v>
      </c>
      <c r="D3063" s="10">
        <v>1096.8089999999997</v>
      </c>
      <c r="E3063" s="10">
        <v>1037.0149999999999</v>
      </c>
      <c r="F3063" t="str">
        <f>VLOOKUP(A3063,StoreLookup,2,FALSE)</f>
        <v>Store#2</v>
      </c>
      <c r="G3063">
        <f>INDEX(CalLookUpTable,MATCH($B3063,CalLookUpRow,0),MATCH(G$1,CalLookUpColumn,0))</f>
        <v>2019</v>
      </c>
      <c r="H3063">
        <f>INDEX(CalLookUpTable,MATCH($B3063,CalLookUpRow,0),MATCH(H$1,CalLookUpColumn,0))</f>
        <v>10</v>
      </c>
      <c r="I3063">
        <f>INDEX(CalLookUpTable,MATCH($B3063,CalLookUpRow,0),MATCH(I$1,CalLookUpColumn,0))</f>
        <v>2</v>
      </c>
    </row>
    <row r="3064" spans="1:9" x14ac:dyDescent="0.25">
      <c r="A3064" s="7">
        <v>2</v>
      </c>
      <c r="B3064" s="8">
        <v>43749</v>
      </c>
      <c r="C3064" s="9" t="s">
        <v>3</v>
      </c>
      <c r="D3064" s="10">
        <v>0</v>
      </c>
      <c r="E3064" s="10">
        <v>11.528999999999998</v>
      </c>
      <c r="F3064" t="str">
        <f>VLOOKUP(A3064,StoreLookup,2,FALSE)</f>
        <v>Store#2</v>
      </c>
      <c r="G3064">
        <f>INDEX(CalLookUpTable,MATCH($B3064,CalLookUpRow,0),MATCH(G$1,CalLookUpColumn,0))</f>
        <v>2019</v>
      </c>
      <c r="H3064">
        <f>INDEX(CalLookUpTable,MATCH($B3064,CalLookUpRow,0),MATCH(H$1,CalLookUpColumn,0))</f>
        <v>10</v>
      </c>
      <c r="I3064">
        <f>INDEX(CalLookUpTable,MATCH($B3064,CalLookUpRow,0),MATCH(I$1,CalLookUpColumn,0))</f>
        <v>2</v>
      </c>
    </row>
    <row r="3065" spans="1:9" x14ac:dyDescent="0.25">
      <c r="A3065" s="7">
        <v>2</v>
      </c>
      <c r="B3065" s="8">
        <v>43749</v>
      </c>
      <c r="C3065" s="9" t="s">
        <v>4</v>
      </c>
      <c r="D3065" s="10">
        <v>2388.855</v>
      </c>
      <c r="E3065" s="10">
        <v>2633.0429999999997</v>
      </c>
      <c r="F3065" t="str">
        <f>VLOOKUP(A3065,StoreLookup,2,FALSE)</f>
        <v>Store#2</v>
      </c>
      <c r="G3065">
        <f>INDEX(CalLookUpTable,MATCH($B3065,CalLookUpRow,0),MATCH(G$1,CalLookUpColumn,0))</f>
        <v>2019</v>
      </c>
      <c r="H3065">
        <f>INDEX(CalLookUpTable,MATCH($B3065,CalLookUpRow,0),MATCH(H$1,CalLookUpColumn,0))</f>
        <v>10</v>
      </c>
      <c r="I3065">
        <f>INDEX(CalLookUpTable,MATCH($B3065,CalLookUpRow,0),MATCH(I$1,CalLookUpColumn,0))</f>
        <v>2</v>
      </c>
    </row>
    <row r="3066" spans="1:9" x14ac:dyDescent="0.25">
      <c r="A3066" s="7">
        <v>2</v>
      </c>
      <c r="B3066" s="8">
        <v>43750</v>
      </c>
      <c r="C3066" s="9" t="s">
        <v>6</v>
      </c>
      <c r="D3066" s="10">
        <v>625.08600000000001</v>
      </c>
      <c r="E3066" s="10">
        <v>330.39299999999997</v>
      </c>
      <c r="F3066" t="str">
        <f>VLOOKUP(A3066,StoreLookup,2,FALSE)</f>
        <v>Store#2</v>
      </c>
      <c r="G3066">
        <f>INDEX(CalLookUpTable,MATCH($B3066,CalLookUpRow,0),MATCH(G$1,CalLookUpColumn,0))</f>
        <v>2019</v>
      </c>
      <c r="H3066">
        <f>INDEX(CalLookUpTable,MATCH($B3066,CalLookUpRow,0),MATCH(H$1,CalLookUpColumn,0))</f>
        <v>10</v>
      </c>
      <c r="I3066">
        <f>INDEX(CalLookUpTable,MATCH($B3066,CalLookUpRow,0),MATCH(I$1,CalLookUpColumn,0))</f>
        <v>2</v>
      </c>
    </row>
    <row r="3067" spans="1:9" x14ac:dyDescent="0.25">
      <c r="A3067" s="7">
        <v>2</v>
      </c>
      <c r="B3067" s="8">
        <v>43750</v>
      </c>
      <c r="C3067" s="9" t="s">
        <v>4</v>
      </c>
      <c r="D3067" s="10">
        <v>2509.1079999999997</v>
      </c>
      <c r="E3067" s="10">
        <v>2719.0309999999999</v>
      </c>
      <c r="F3067" t="str">
        <f>VLOOKUP(A3067,StoreLookup,2,FALSE)</f>
        <v>Store#2</v>
      </c>
      <c r="G3067">
        <f>INDEX(CalLookUpTable,MATCH($B3067,CalLookUpRow,0),MATCH(G$1,CalLookUpColumn,0))</f>
        <v>2019</v>
      </c>
      <c r="H3067">
        <f>INDEX(CalLookUpTable,MATCH($B3067,CalLookUpRow,0),MATCH(H$1,CalLookUpColumn,0))</f>
        <v>10</v>
      </c>
      <c r="I3067">
        <f>INDEX(CalLookUpTable,MATCH($B3067,CalLookUpRow,0),MATCH(I$1,CalLookUpColumn,0))</f>
        <v>2</v>
      </c>
    </row>
    <row r="3068" spans="1:9" x14ac:dyDescent="0.25">
      <c r="A3068" s="7">
        <v>2</v>
      </c>
      <c r="B3068" s="8">
        <v>43750</v>
      </c>
      <c r="C3068" s="9" t="s">
        <v>3</v>
      </c>
      <c r="D3068" s="10">
        <v>0</v>
      </c>
      <c r="E3068" s="10">
        <v>0</v>
      </c>
      <c r="F3068" t="str">
        <f>VLOOKUP(A3068,StoreLookup,2,FALSE)</f>
        <v>Store#2</v>
      </c>
      <c r="G3068">
        <f>INDEX(CalLookUpTable,MATCH($B3068,CalLookUpRow,0),MATCH(G$1,CalLookUpColumn,0))</f>
        <v>2019</v>
      </c>
      <c r="H3068">
        <f>INDEX(CalLookUpTable,MATCH($B3068,CalLookUpRow,0),MATCH(H$1,CalLookUpColumn,0))</f>
        <v>10</v>
      </c>
      <c r="I3068">
        <f>INDEX(CalLookUpTable,MATCH($B3068,CalLookUpRow,0),MATCH(I$1,CalLookUpColumn,0))</f>
        <v>2</v>
      </c>
    </row>
    <row r="3069" spans="1:9" x14ac:dyDescent="0.25">
      <c r="A3069" s="7">
        <v>2</v>
      </c>
      <c r="B3069" s="8">
        <v>43750</v>
      </c>
      <c r="C3069" s="9" t="s">
        <v>5</v>
      </c>
      <c r="D3069" s="10">
        <v>1199.7859999999998</v>
      </c>
      <c r="E3069" s="10">
        <v>1041.684</v>
      </c>
      <c r="F3069" t="str">
        <f>VLOOKUP(A3069,StoreLookup,2,FALSE)</f>
        <v>Store#2</v>
      </c>
      <c r="G3069">
        <f>INDEX(CalLookUpTable,MATCH($B3069,CalLookUpRow,0),MATCH(G$1,CalLookUpColumn,0))</f>
        <v>2019</v>
      </c>
      <c r="H3069">
        <f>INDEX(CalLookUpTable,MATCH($B3069,CalLookUpRow,0),MATCH(H$1,CalLookUpColumn,0))</f>
        <v>10</v>
      </c>
      <c r="I3069">
        <f>INDEX(CalLookUpTable,MATCH($B3069,CalLookUpRow,0),MATCH(I$1,CalLookUpColumn,0))</f>
        <v>2</v>
      </c>
    </row>
    <row r="3070" spans="1:9" x14ac:dyDescent="0.25">
      <c r="A3070" s="7">
        <v>2</v>
      </c>
      <c r="B3070" s="8">
        <v>43751</v>
      </c>
      <c r="C3070" s="9" t="s">
        <v>3</v>
      </c>
      <c r="D3070" s="10">
        <v>0</v>
      </c>
      <c r="E3070" s="10">
        <v>0</v>
      </c>
      <c r="F3070" t="str">
        <f>VLOOKUP(A3070,StoreLookup,2,FALSE)</f>
        <v>Store#2</v>
      </c>
      <c r="G3070">
        <f>INDEX(CalLookUpTable,MATCH($B3070,CalLookUpRow,0),MATCH(G$1,CalLookUpColumn,0))</f>
        <v>2019</v>
      </c>
      <c r="H3070">
        <f>INDEX(CalLookUpTable,MATCH($B3070,CalLookUpRow,0),MATCH(H$1,CalLookUpColumn,0))</f>
        <v>10</v>
      </c>
      <c r="I3070">
        <f>INDEX(CalLookUpTable,MATCH($B3070,CalLookUpRow,0),MATCH(I$1,CalLookUpColumn,0))</f>
        <v>2</v>
      </c>
    </row>
    <row r="3071" spans="1:9" x14ac:dyDescent="0.25">
      <c r="A3071" s="7">
        <v>2</v>
      </c>
      <c r="B3071" s="8">
        <v>43751</v>
      </c>
      <c r="C3071" s="9" t="s">
        <v>4</v>
      </c>
      <c r="D3071" s="10">
        <v>1205.8059999999998</v>
      </c>
      <c r="E3071" s="10">
        <v>1016.9599999999999</v>
      </c>
      <c r="F3071" t="str">
        <f>VLOOKUP(A3071,StoreLookup,2,FALSE)</f>
        <v>Store#2</v>
      </c>
      <c r="G3071">
        <f>INDEX(CalLookUpTable,MATCH($B3071,CalLookUpRow,0),MATCH(G$1,CalLookUpColumn,0))</f>
        <v>2019</v>
      </c>
      <c r="H3071">
        <f>INDEX(CalLookUpTable,MATCH($B3071,CalLookUpRow,0),MATCH(H$1,CalLookUpColumn,0))</f>
        <v>10</v>
      </c>
      <c r="I3071">
        <f>INDEX(CalLookUpTable,MATCH($B3071,CalLookUpRow,0),MATCH(I$1,CalLookUpColumn,0))</f>
        <v>2</v>
      </c>
    </row>
    <row r="3072" spans="1:9" x14ac:dyDescent="0.25">
      <c r="A3072" s="7">
        <v>2</v>
      </c>
      <c r="B3072" s="8">
        <v>43751</v>
      </c>
      <c r="C3072" s="9" t="s">
        <v>6</v>
      </c>
      <c r="D3072" s="10">
        <v>412.279</v>
      </c>
      <c r="E3072" s="10">
        <v>282.68099999999998</v>
      </c>
      <c r="F3072" t="str">
        <f>VLOOKUP(A3072,StoreLookup,2,FALSE)</f>
        <v>Store#2</v>
      </c>
      <c r="G3072">
        <f>INDEX(CalLookUpTable,MATCH($B3072,CalLookUpRow,0),MATCH(G$1,CalLookUpColumn,0))</f>
        <v>2019</v>
      </c>
      <c r="H3072">
        <f>INDEX(CalLookUpTable,MATCH($B3072,CalLookUpRow,0),MATCH(H$1,CalLookUpColumn,0))</f>
        <v>10</v>
      </c>
      <c r="I3072">
        <f>INDEX(CalLookUpTable,MATCH($B3072,CalLookUpRow,0),MATCH(I$1,CalLookUpColumn,0))</f>
        <v>2</v>
      </c>
    </row>
    <row r="3073" spans="1:9" x14ac:dyDescent="0.25">
      <c r="A3073" s="7">
        <v>2</v>
      </c>
      <c r="B3073" s="8">
        <v>43751</v>
      </c>
      <c r="C3073" s="9" t="s">
        <v>5</v>
      </c>
      <c r="D3073" s="10">
        <v>794.05899999999986</v>
      </c>
      <c r="E3073" s="10">
        <v>537.005</v>
      </c>
      <c r="F3073" t="str">
        <f>VLOOKUP(A3073,StoreLookup,2,FALSE)</f>
        <v>Store#2</v>
      </c>
      <c r="G3073">
        <f>INDEX(CalLookUpTable,MATCH($B3073,CalLookUpRow,0),MATCH(G$1,CalLookUpColumn,0))</f>
        <v>2019</v>
      </c>
      <c r="H3073">
        <f>INDEX(CalLookUpTable,MATCH($B3073,CalLookUpRow,0),MATCH(H$1,CalLookUpColumn,0))</f>
        <v>10</v>
      </c>
      <c r="I3073">
        <f>INDEX(CalLookUpTable,MATCH($B3073,CalLookUpRow,0),MATCH(I$1,CalLookUpColumn,0))</f>
        <v>2</v>
      </c>
    </row>
    <row r="3074" spans="1:9" x14ac:dyDescent="0.25">
      <c r="A3074" s="7">
        <v>2</v>
      </c>
      <c r="B3074" s="8">
        <v>43752</v>
      </c>
      <c r="C3074" s="9" t="s">
        <v>6</v>
      </c>
      <c r="D3074" s="10">
        <v>456.52599999999995</v>
      </c>
      <c r="E3074" s="10">
        <v>182.31499999999997</v>
      </c>
      <c r="F3074" t="str">
        <f>VLOOKUP(A3074,StoreLookup,2,FALSE)</f>
        <v>Store#2</v>
      </c>
      <c r="G3074">
        <f>INDEX(CalLookUpTable,MATCH($B3074,CalLookUpRow,0),MATCH(G$1,CalLookUpColumn,0))</f>
        <v>2019</v>
      </c>
      <c r="H3074">
        <f>INDEX(CalLookUpTable,MATCH($B3074,CalLookUpRow,0),MATCH(H$1,CalLookUpColumn,0))</f>
        <v>10</v>
      </c>
      <c r="I3074">
        <f>INDEX(CalLookUpTable,MATCH($B3074,CalLookUpRow,0),MATCH(I$1,CalLookUpColumn,0))</f>
        <v>3</v>
      </c>
    </row>
    <row r="3075" spans="1:9" x14ac:dyDescent="0.25">
      <c r="A3075" s="7">
        <v>2</v>
      </c>
      <c r="B3075" s="8">
        <v>43752</v>
      </c>
      <c r="C3075" s="9" t="s">
        <v>3</v>
      </c>
      <c r="D3075" s="10">
        <v>0</v>
      </c>
      <c r="E3075" s="10">
        <v>0</v>
      </c>
      <c r="F3075" t="str">
        <f>VLOOKUP(A3075,StoreLookup,2,FALSE)</f>
        <v>Store#2</v>
      </c>
      <c r="G3075">
        <f>INDEX(CalLookUpTable,MATCH($B3075,CalLookUpRow,0),MATCH(G$1,CalLookUpColumn,0))</f>
        <v>2019</v>
      </c>
      <c r="H3075">
        <f>INDEX(CalLookUpTable,MATCH($B3075,CalLookUpRow,0),MATCH(H$1,CalLookUpColumn,0))</f>
        <v>10</v>
      </c>
      <c r="I3075">
        <f>INDEX(CalLookUpTable,MATCH($B3075,CalLookUpRow,0),MATCH(I$1,CalLookUpColumn,0))</f>
        <v>3</v>
      </c>
    </row>
    <row r="3076" spans="1:9" x14ac:dyDescent="0.25">
      <c r="A3076" s="7">
        <v>2</v>
      </c>
      <c r="B3076" s="8">
        <v>43752</v>
      </c>
      <c r="C3076" s="9" t="s">
        <v>4</v>
      </c>
      <c r="D3076" s="10">
        <v>1438.8990000000001</v>
      </c>
      <c r="E3076" s="10">
        <v>1706.222</v>
      </c>
      <c r="F3076" t="str">
        <f>VLOOKUP(A3076,StoreLookup,2,FALSE)</f>
        <v>Store#2</v>
      </c>
      <c r="G3076">
        <f>INDEX(CalLookUpTable,MATCH($B3076,CalLookUpRow,0),MATCH(G$1,CalLookUpColumn,0))</f>
        <v>2019</v>
      </c>
      <c r="H3076">
        <f>INDEX(CalLookUpTable,MATCH($B3076,CalLookUpRow,0),MATCH(H$1,CalLookUpColumn,0))</f>
        <v>10</v>
      </c>
      <c r="I3076">
        <f>INDEX(CalLookUpTable,MATCH($B3076,CalLookUpRow,0),MATCH(I$1,CalLookUpColumn,0))</f>
        <v>3</v>
      </c>
    </row>
    <row r="3077" spans="1:9" x14ac:dyDescent="0.25">
      <c r="A3077" s="7">
        <v>2</v>
      </c>
      <c r="B3077" s="8">
        <v>43752</v>
      </c>
      <c r="C3077" s="9" t="s">
        <v>5</v>
      </c>
      <c r="D3077" s="10">
        <v>792.73599999999999</v>
      </c>
      <c r="E3077" s="10">
        <v>609.58100000000002</v>
      </c>
      <c r="F3077" t="str">
        <f>VLOOKUP(A3077,StoreLookup,2,FALSE)</f>
        <v>Store#2</v>
      </c>
      <c r="G3077">
        <f>INDEX(CalLookUpTable,MATCH($B3077,CalLookUpRow,0),MATCH(G$1,CalLookUpColumn,0))</f>
        <v>2019</v>
      </c>
      <c r="H3077">
        <f>INDEX(CalLookUpTable,MATCH($B3077,CalLookUpRow,0),MATCH(H$1,CalLookUpColumn,0))</f>
        <v>10</v>
      </c>
      <c r="I3077">
        <f>INDEX(CalLookUpTable,MATCH($B3077,CalLookUpRow,0),MATCH(I$1,CalLookUpColumn,0))</f>
        <v>3</v>
      </c>
    </row>
    <row r="3078" spans="1:9" x14ac:dyDescent="0.25">
      <c r="A3078" s="7">
        <v>2</v>
      </c>
      <c r="B3078" s="8">
        <v>43753</v>
      </c>
      <c r="C3078" s="9" t="s">
        <v>4</v>
      </c>
      <c r="D3078" s="10">
        <v>1623.9089999999999</v>
      </c>
      <c r="E3078" s="10">
        <v>1612.2049999999999</v>
      </c>
      <c r="F3078" t="str">
        <f>VLOOKUP(A3078,StoreLookup,2,FALSE)</f>
        <v>Store#2</v>
      </c>
      <c r="G3078">
        <f>INDEX(CalLookUpTable,MATCH($B3078,CalLookUpRow,0),MATCH(G$1,CalLookUpColumn,0))</f>
        <v>2019</v>
      </c>
      <c r="H3078">
        <f>INDEX(CalLookUpTable,MATCH($B3078,CalLookUpRow,0),MATCH(H$1,CalLookUpColumn,0))</f>
        <v>10</v>
      </c>
      <c r="I3078">
        <f>INDEX(CalLookUpTable,MATCH($B3078,CalLookUpRow,0),MATCH(I$1,CalLookUpColumn,0))</f>
        <v>3</v>
      </c>
    </row>
    <row r="3079" spans="1:9" x14ac:dyDescent="0.25">
      <c r="A3079" s="7">
        <v>2</v>
      </c>
      <c r="B3079" s="8">
        <v>43753</v>
      </c>
      <c r="C3079" s="9" t="s">
        <v>5</v>
      </c>
      <c r="D3079" s="10">
        <v>1063.02</v>
      </c>
      <c r="E3079" s="10">
        <v>719.85899999999992</v>
      </c>
      <c r="F3079" t="str">
        <f>VLOOKUP(A3079,StoreLookup,2,FALSE)</f>
        <v>Store#2</v>
      </c>
      <c r="G3079">
        <f>INDEX(CalLookUpTable,MATCH($B3079,CalLookUpRow,0),MATCH(G$1,CalLookUpColumn,0))</f>
        <v>2019</v>
      </c>
      <c r="H3079">
        <f>INDEX(CalLookUpTable,MATCH($B3079,CalLookUpRow,0),MATCH(H$1,CalLookUpColumn,0))</f>
        <v>10</v>
      </c>
      <c r="I3079">
        <f>INDEX(CalLookUpTable,MATCH($B3079,CalLookUpRow,0),MATCH(I$1,CalLookUpColumn,0))</f>
        <v>3</v>
      </c>
    </row>
    <row r="3080" spans="1:9" x14ac:dyDescent="0.25">
      <c r="A3080" s="7">
        <v>2</v>
      </c>
      <c r="B3080" s="8">
        <v>43753</v>
      </c>
      <c r="C3080" s="9" t="s">
        <v>6</v>
      </c>
      <c r="D3080" s="10">
        <v>221.2</v>
      </c>
      <c r="E3080" s="10">
        <v>300.08299999999997</v>
      </c>
      <c r="F3080" t="str">
        <f>VLOOKUP(A3080,StoreLookup,2,FALSE)</f>
        <v>Store#2</v>
      </c>
      <c r="G3080">
        <f>INDEX(CalLookUpTable,MATCH($B3080,CalLookUpRow,0),MATCH(G$1,CalLookUpColumn,0))</f>
        <v>2019</v>
      </c>
      <c r="H3080">
        <f>INDEX(CalLookUpTable,MATCH($B3080,CalLookUpRow,0),MATCH(H$1,CalLookUpColumn,0))</f>
        <v>10</v>
      </c>
      <c r="I3080">
        <f>INDEX(CalLookUpTable,MATCH($B3080,CalLookUpRow,0),MATCH(I$1,CalLookUpColumn,0))</f>
        <v>3</v>
      </c>
    </row>
    <row r="3081" spans="1:9" x14ac:dyDescent="0.25">
      <c r="A3081" s="7">
        <v>2</v>
      </c>
      <c r="B3081" s="8">
        <v>43753</v>
      </c>
      <c r="C3081" s="9" t="s">
        <v>3</v>
      </c>
      <c r="D3081" s="10">
        <v>263.67599999999999</v>
      </c>
      <c r="E3081" s="10">
        <v>0</v>
      </c>
      <c r="F3081" t="str">
        <f>VLOOKUP(A3081,StoreLookup,2,FALSE)</f>
        <v>Store#2</v>
      </c>
      <c r="G3081">
        <f>INDEX(CalLookUpTable,MATCH($B3081,CalLookUpRow,0),MATCH(G$1,CalLookUpColumn,0))</f>
        <v>2019</v>
      </c>
      <c r="H3081">
        <f>INDEX(CalLookUpTable,MATCH($B3081,CalLookUpRow,0),MATCH(H$1,CalLookUpColumn,0))</f>
        <v>10</v>
      </c>
      <c r="I3081">
        <f>INDEX(CalLookUpTable,MATCH($B3081,CalLookUpRow,0),MATCH(I$1,CalLookUpColumn,0))</f>
        <v>3</v>
      </c>
    </row>
    <row r="3082" spans="1:9" x14ac:dyDescent="0.25">
      <c r="A3082" s="7">
        <v>2</v>
      </c>
      <c r="B3082" s="8">
        <v>43754</v>
      </c>
      <c r="C3082" s="9" t="s">
        <v>4</v>
      </c>
      <c r="D3082" s="10">
        <v>1663.9770000000001</v>
      </c>
      <c r="E3082" s="10">
        <v>1757.8259999999998</v>
      </c>
      <c r="F3082" t="str">
        <f>VLOOKUP(A3082,StoreLookup,2,FALSE)</f>
        <v>Store#2</v>
      </c>
      <c r="G3082">
        <f>INDEX(CalLookUpTable,MATCH($B3082,CalLookUpRow,0),MATCH(G$1,CalLookUpColumn,0))</f>
        <v>2019</v>
      </c>
      <c r="H3082">
        <f>INDEX(CalLookUpTable,MATCH($B3082,CalLookUpRow,0),MATCH(H$1,CalLookUpColumn,0))</f>
        <v>10</v>
      </c>
      <c r="I3082">
        <f>INDEX(CalLookUpTable,MATCH($B3082,CalLookUpRow,0),MATCH(I$1,CalLookUpColumn,0))</f>
        <v>3</v>
      </c>
    </row>
    <row r="3083" spans="1:9" x14ac:dyDescent="0.25">
      <c r="A3083" s="7">
        <v>2</v>
      </c>
      <c r="B3083" s="8">
        <v>43754</v>
      </c>
      <c r="C3083" s="9" t="s">
        <v>3</v>
      </c>
      <c r="D3083" s="10">
        <v>82.424999999999997</v>
      </c>
      <c r="E3083" s="10">
        <v>0</v>
      </c>
      <c r="F3083" t="str">
        <f>VLOOKUP(A3083,StoreLookup,2,FALSE)</f>
        <v>Store#2</v>
      </c>
      <c r="G3083">
        <f>INDEX(CalLookUpTable,MATCH($B3083,CalLookUpRow,0),MATCH(G$1,CalLookUpColumn,0))</f>
        <v>2019</v>
      </c>
      <c r="H3083">
        <f>INDEX(CalLookUpTable,MATCH($B3083,CalLookUpRow,0),MATCH(H$1,CalLookUpColumn,0))</f>
        <v>10</v>
      </c>
      <c r="I3083">
        <f>INDEX(CalLookUpTable,MATCH($B3083,CalLookUpRow,0),MATCH(I$1,CalLookUpColumn,0))</f>
        <v>3</v>
      </c>
    </row>
    <row r="3084" spans="1:9" x14ac:dyDescent="0.25">
      <c r="A3084" s="7">
        <v>2</v>
      </c>
      <c r="B3084" s="8">
        <v>43754</v>
      </c>
      <c r="C3084" s="9" t="s">
        <v>6</v>
      </c>
      <c r="D3084" s="10">
        <v>347.62</v>
      </c>
      <c r="E3084" s="10">
        <v>220.40899999999999</v>
      </c>
      <c r="F3084" t="str">
        <f>VLOOKUP(A3084,StoreLookup,2,FALSE)</f>
        <v>Store#2</v>
      </c>
      <c r="G3084">
        <f>INDEX(CalLookUpTable,MATCH($B3084,CalLookUpRow,0),MATCH(G$1,CalLookUpColumn,0))</f>
        <v>2019</v>
      </c>
      <c r="H3084">
        <f>INDEX(CalLookUpTable,MATCH($B3084,CalLookUpRow,0),MATCH(H$1,CalLookUpColumn,0))</f>
        <v>10</v>
      </c>
      <c r="I3084">
        <f>INDEX(CalLookUpTable,MATCH($B3084,CalLookUpRow,0),MATCH(I$1,CalLookUpColumn,0))</f>
        <v>3</v>
      </c>
    </row>
    <row r="3085" spans="1:9" x14ac:dyDescent="0.25">
      <c r="A3085" s="7">
        <v>2</v>
      </c>
      <c r="B3085" s="8">
        <v>43754</v>
      </c>
      <c r="C3085" s="9" t="s">
        <v>5</v>
      </c>
      <c r="D3085" s="10">
        <v>1004.955</v>
      </c>
      <c r="E3085" s="10">
        <v>668.75199999999995</v>
      </c>
      <c r="F3085" t="str">
        <f>VLOOKUP(A3085,StoreLookup,2,FALSE)</f>
        <v>Store#2</v>
      </c>
      <c r="G3085">
        <f>INDEX(CalLookUpTable,MATCH($B3085,CalLookUpRow,0),MATCH(G$1,CalLookUpColumn,0))</f>
        <v>2019</v>
      </c>
      <c r="H3085">
        <f>INDEX(CalLookUpTable,MATCH($B3085,CalLookUpRow,0),MATCH(H$1,CalLookUpColumn,0))</f>
        <v>10</v>
      </c>
      <c r="I3085">
        <f>INDEX(CalLookUpTable,MATCH($B3085,CalLookUpRow,0),MATCH(I$1,CalLookUpColumn,0))</f>
        <v>3</v>
      </c>
    </row>
    <row r="3086" spans="1:9" x14ac:dyDescent="0.25">
      <c r="A3086" s="7">
        <v>2</v>
      </c>
      <c r="B3086" s="8">
        <v>43755</v>
      </c>
      <c r="C3086" s="9" t="s">
        <v>4</v>
      </c>
      <c r="D3086" s="10">
        <v>1866.3749999999998</v>
      </c>
      <c r="E3086" s="10">
        <v>2048.9139999999998</v>
      </c>
      <c r="F3086" t="str">
        <f>VLOOKUP(A3086,StoreLookup,2,FALSE)</f>
        <v>Store#2</v>
      </c>
      <c r="G3086">
        <f>INDEX(CalLookUpTable,MATCH($B3086,CalLookUpRow,0),MATCH(G$1,CalLookUpColumn,0))</f>
        <v>2019</v>
      </c>
      <c r="H3086">
        <f>INDEX(CalLookUpTable,MATCH($B3086,CalLookUpRow,0),MATCH(H$1,CalLookUpColumn,0))</f>
        <v>10</v>
      </c>
      <c r="I3086">
        <f>INDEX(CalLookUpTable,MATCH($B3086,CalLookUpRow,0),MATCH(I$1,CalLookUpColumn,0))</f>
        <v>3</v>
      </c>
    </row>
    <row r="3087" spans="1:9" x14ac:dyDescent="0.25">
      <c r="A3087" s="7">
        <v>2</v>
      </c>
      <c r="B3087" s="8">
        <v>43755</v>
      </c>
      <c r="C3087" s="9" t="s">
        <v>6</v>
      </c>
      <c r="D3087" s="10">
        <v>433.48899999999998</v>
      </c>
      <c r="E3087" s="10">
        <v>459.54299999999995</v>
      </c>
      <c r="F3087" t="str">
        <f>VLOOKUP(A3087,StoreLookup,2,FALSE)</f>
        <v>Store#2</v>
      </c>
      <c r="G3087">
        <f>INDEX(CalLookUpTable,MATCH($B3087,CalLookUpRow,0),MATCH(G$1,CalLookUpColumn,0))</f>
        <v>2019</v>
      </c>
      <c r="H3087">
        <f>INDEX(CalLookUpTable,MATCH($B3087,CalLookUpRow,0),MATCH(H$1,CalLookUpColumn,0))</f>
        <v>10</v>
      </c>
      <c r="I3087">
        <f>INDEX(CalLookUpTable,MATCH($B3087,CalLookUpRow,0),MATCH(I$1,CalLookUpColumn,0))</f>
        <v>3</v>
      </c>
    </row>
    <row r="3088" spans="1:9" x14ac:dyDescent="0.25">
      <c r="A3088" s="7">
        <v>2</v>
      </c>
      <c r="B3088" s="8">
        <v>43755</v>
      </c>
      <c r="C3088" s="9" t="s">
        <v>5</v>
      </c>
      <c r="D3088" s="10">
        <v>1333.066</v>
      </c>
      <c r="E3088" s="10">
        <v>898.72299999999996</v>
      </c>
      <c r="F3088" t="str">
        <f>VLOOKUP(A3088,StoreLookup,2,FALSE)</f>
        <v>Store#2</v>
      </c>
      <c r="G3088">
        <f>INDEX(CalLookUpTable,MATCH($B3088,CalLookUpRow,0),MATCH(G$1,CalLookUpColumn,0))</f>
        <v>2019</v>
      </c>
      <c r="H3088">
        <f>INDEX(CalLookUpTable,MATCH($B3088,CalLookUpRow,0),MATCH(H$1,CalLookUpColumn,0))</f>
        <v>10</v>
      </c>
      <c r="I3088">
        <f>INDEX(CalLookUpTable,MATCH($B3088,CalLookUpRow,0),MATCH(I$1,CalLookUpColumn,0))</f>
        <v>3</v>
      </c>
    </row>
    <row r="3089" spans="1:9" x14ac:dyDescent="0.25">
      <c r="A3089" s="7">
        <v>2</v>
      </c>
      <c r="B3089" s="8">
        <v>43755</v>
      </c>
      <c r="C3089" s="9" t="s">
        <v>3</v>
      </c>
      <c r="D3089" s="10">
        <v>79.841999999999999</v>
      </c>
      <c r="E3089" s="10">
        <v>0</v>
      </c>
      <c r="F3089" t="str">
        <f>VLOOKUP(A3089,StoreLookup,2,FALSE)</f>
        <v>Store#2</v>
      </c>
      <c r="G3089">
        <f>INDEX(CalLookUpTable,MATCH($B3089,CalLookUpRow,0),MATCH(G$1,CalLookUpColumn,0))</f>
        <v>2019</v>
      </c>
      <c r="H3089">
        <f>INDEX(CalLookUpTable,MATCH($B3089,CalLookUpRow,0),MATCH(H$1,CalLookUpColumn,0))</f>
        <v>10</v>
      </c>
      <c r="I3089">
        <f>INDEX(CalLookUpTable,MATCH($B3089,CalLookUpRow,0),MATCH(I$1,CalLookUpColumn,0))</f>
        <v>3</v>
      </c>
    </row>
    <row r="3090" spans="1:9" x14ac:dyDescent="0.25">
      <c r="A3090" s="7">
        <v>2</v>
      </c>
      <c r="B3090" s="8">
        <v>43756</v>
      </c>
      <c r="C3090" s="9" t="s">
        <v>5</v>
      </c>
      <c r="D3090" s="10">
        <v>1270.7309999999998</v>
      </c>
      <c r="E3090" s="10">
        <v>995.11299999999983</v>
      </c>
      <c r="F3090" t="str">
        <f>VLOOKUP(A3090,StoreLookup,2,FALSE)</f>
        <v>Store#2</v>
      </c>
      <c r="G3090">
        <f>INDEX(CalLookUpTable,MATCH($B3090,CalLookUpRow,0),MATCH(G$1,CalLookUpColumn,0))</f>
        <v>2019</v>
      </c>
      <c r="H3090">
        <f>INDEX(CalLookUpTable,MATCH($B3090,CalLookUpRow,0),MATCH(H$1,CalLookUpColumn,0))</f>
        <v>10</v>
      </c>
      <c r="I3090">
        <f>INDEX(CalLookUpTable,MATCH($B3090,CalLookUpRow,0),MATCH(I$1,CalLookUpColumn,0))</f>
        <v>3</v>
      </c>
    </row>
    <row r="3091" spans="1:9" x14ac:dyDescent="0.25">
      <c r="A3091" s="7">
        <v>2</v>
      </c>
      <c r="B3091" s="8">
        <v>43756</v>
      </c>
      <c r="C3091" s="9" t="s">
        <v>4</v>
      </c>
      <c r="D3091" s="10">
        <v>2394.9519999999998</v>
      </c>
      <c r="E3091" s="10">
        <v>2381.652</v>
      </c>
      <c r="F3091" t="str">
        <f>VLOOKUP(A3091,StoreLookup,2,FALSE)</f>
        <v>Store#2</v>
      </c>
      <c r="G3091">
        <f>INDEX(CalLookUpTable,MATCH($B3091,CalLookUpRow,0),MATCH(G$1,CalLookUpColumn,0))</f>
        <v>2019</v>
      </c>
      <c r="H3091">
        <f>INDEX(CalLookUpTable,MATCH($B3091,CalLookUpRow,0),MATCH(H$1,CalLookUpColumn,0))</f>
        <v>10</v>
      </c>
      <c r="I3091">
        <f>INDEX(CalLookUpTable,MATCH($B3091,CalLookUpRow,0),MATCH(I$1,CalLookUpColumn,0))</f>
        <v>3</v>
      </c>
    </row>
    <row r="3092" spans="1:9" x14ac:dyDescent="0.25">
      <c r="A3092" s="7">
        <v>2</v>
      </c>
      <c r="B3092" s="8">
        <v>43756</v>
      </c>
      <c r="C3092" s="9" t="s">
        <v>6</v>
      </c>
      <c r="D3092" s="10">
        <v>587.03399999999999</v>
      </c>
      <c r="E3092" s="10">
        <v>373.87700000000001</v>
      </c>
      <c r="F3092" t="str">
        <f>VLOOKUP(A3092,StoreLookup,2,FALSE)</f>
        <v>Store#2</v>
      </c>
      <c r="G3092">
        <f>INDEX(CalLookUpTable,MATCH($B3092,CalLookUpRow,0),MATCH(G$1,CalLookUpColumn,0))</f>
        <v>2019</v>
      </c>
      <c r="H3092">
        <f>INDEX(CalLookUpTable,MATCH($B3092,CalLookUpRow,0),MATCH(H$1,CalLookUpColumn,0))</f>
        <v>10</v>
      </c>
      <c r="I3092">
        <f>INDEX(CalLookUpTable,MATCH($B3092,CalLookUpRow,0),MATCH(I$1,CalLookUpColumn,0))</f>
        <v>3</v>
      </c>
    </row>
    <row r="3093" spans="1:9" x14ac:dyDescent="0.25">
      <c r="A3093" s="7">
        <v>2</v>
      </c>
      <c r="B3093" s="8">
        <v>43756</v>
      </c>
      <c r="C3093" s="9" t="s">
        <v>3</v>
      </c>
      <c r="D3093" s="10">
        <v>0</v>
      </c>
      <c r="E3093" s="10">
        <v>24.416</v>
      </c>
      <c r="F3093" t="str">
        <f>VLOOKUP(A3093,StoreLookup,2,FALSE)</f>
        <v>Store#2</v>
      </c>
      <c r="G3093">
        <f>INDEX(CalLookUpTable,MATCH($B3093,CalLookUpRow,0),MATCH(G$1,CalLookUpColumn,0))</f>
        <v>2019</v>
      </c>
      <c r="H3093">
        <f>INDEX(CalLookUpTable,MATCH($B3093,CalLookUpRow,0),MATCH(H$1,CalLookUpColumn,0))</f>
        <v>10</v>
      </c>
      <c r="I3093">
        <f>INDEX(CalLookUpTable,MATCH($B3093,CalLookUpRow,0),MATCH(I$1,CalLookUpColumn,0))</f>
        <v>3</v>
      </c>
    </row>
    <row r="3094" spans="1:9" x14ac:dyDescent="0.25">
      <c r="A3094" s="7">
        <v>2</v>
      </c>
      <c r="B3094" s="8">
        <v>43757</v>
      </c>
      <c r="C3094" s="9" t="s">
        <v>3</v>
      </c>
      <c r="D3094" s="10">
        <v>1226.694</v>
      </c>
      <c r="E3094" s="10">
        <v>0</v>
      </c>
      <c r="F3094" t="str">
        <f>VLOOKUP(A3094,StoreLookup,2,FALSE)</f>
        <v>Store#2</v>
      </c>
      <c r="G3094">
        <f>INDEX(CalLookUpTable,MATCH($B3094,CalLookUpRow,0),MATCH(G$1,CalLookUpColumn,0))</f>
        <v>2019</v>
      </c>
      <c r="H3094">
        <f>INDEX(CalLookUpTable,MATCH($B3094,CalLookUpRow,0),MATCH(H$1,CalLookUpColumn,0))</f>
        <v>10</v>
      </c>
      <c r="I3094">
        <f>INDEX(CalLookUpTable,MATCH($B3094,CalLookUpRow,0),MATCH(I$1,CalLookUpColumn,0))</f>
        <v>3</v>
      </c>
    </row>
    <row r="3095" spans="1:9" x14ac:dyDescent="0.25">
      <c r="A3095" s="7">
        <v>2</v>
      </c>
      <c r="B3095" s="8">
        <v>43757</v>
      </c>
      <c r="C3095" s="9" t="s">
        <v>4</v>
      </c>
      <c r="D3095" s="10">
        <v>1730.6659999999999</v>
      </c>
      <c r="E3095" s="10">
        <v>2294.2779999999998</v>
      </c>
      <c r="F3095" t="str">
        <f>VLOOKUP(A3095,StoreLookup,2,FALSE)</f>
        <v>Store#2</v>
      </c>
      <c r="G3095">
        <f>INDEX(CalLookUpTable,MATCH($B3095,CalLookUpRow,0),MATCH(G$1,CalLookUpColumn,0))</f>
        <v>2019</v>
      </c>
      <c r="H3095">
        <f>INDEX(CalLookUpTable,MATCH($B3095,CalLookUpRow,0),MATCH(H$1,CalLookUpColumn,0))</f>
        <v>10</v>
      </c>
      <c r="I3095">
        <f>INDEX(CalLookUpTable,MATCH($B3095,CalLookUpRow,0),MATCH(I$1,CalLookUpColumn,0))</f>
        <v>3</v>
      </c>
    </row>
    <row r="3096" spans="1:9" x14ac:dyDescent="0.25">
      <c r="A3096" s="7">
        <v>2</v>
      </c>
      <c r="B3096" s="8">
        <v>43757</v>
      </c>
      <c r="C3096" s="9" t="s">
        <v>6</v>
      </c>
      <c r="D3096" s="10">
        <v>393.53300000000002</v>
      </c>
      <c r="E3096" s="10">
        <v>417.35399999999998</v>
      </c>
      <c r="F3096" t="str">
        <f>VLOOKUP(A3096,StoreLookup,2,FALSE)</f>
        <v>Store#2</v>
      </c>
      <c r="G3096">
        <f>INDEX(CalLookUpTable,MATCH($B3096,CalLookUpRow,0),MATCH(G$1,CalLookUpColumn,0))</f>
        <v>2019</v>
      </c>
      <c r="H3096">
        <f>INDEX(CalLookUpTable,MATCH($B3096,CalLookUpRow,0),MATCH(H$1,CalLookUpColumn,0))</f>
        <v>10</v>
      </c>
      <c r="I3096">
        <f>INDEX(CalLookUpTable,MATCH($B3096,CalLookUpRow,0),MATCH(I$1,CalLookUpColumn,0))</f>
        <v>3</v>
      </c>
    </row>
    <row r="3097" spans="1:9" x14ac:dyDescent="0.25">
      <c r="A3097" s="7">
        <v>2</v>
      </c>
      <c r="B3097" s="8">
        <v>43757</v>
      </c>
      <c r="C3097" s="9" t="s">
        <v>5</v>
      </c>
      <c r="D3097" s="10">
        <v>1297.905</v>
      </c>
      <c r="E3097" s="10">
        <v>790.18799999999987</v>
      </c>
      <c r="F3097" t="str">
        <f>VLOOKUP(A3097,StoreLookup,2,FALSE)</f>
        <v>Store#2</v>
      </c>
      <c r="G3097">
        <f>INDEX(CalLookUpTable,MATCH($B3097,CalLookUpRow,0),MATCH(G$1,CalLookUpColumn,0))</f>
        <v>2019</v>
      </c>
      <c r="H3097">
        <f>INDEX(CalLookUpTable,MATCH($B3097,CalLookUpRow,0),MATCH(H$1,CalLookUpColumn,0))</f>
        <v>10</v>
      </c>
      <c r="I3097">
        <f>INDEX(CalLookUpTable,MATCH($B3097,CalLookUpRow,0),MATCH(I$1,CalLookUpColumn,0))</f>
        <v>3</v>
      </c>
    </row>
    <row r="3098" spans="1:9" x14ac:dyDescent="0.25">
      <c r="A3098" s="7">
        <v>2</v>
      </c>
      <c r="B3098" s="8">
        <v>43758</v>
      </c>
      <c r="C3098" s="9" t="s">
        <v>4</v>
      </c>
      <c r="D3098" s="10">
        <v>1161.4749999999999</v>
      </c>
      <c r="E3098" s="10">
        <v>972.55199999999991</v>
      </c>
      <c r="F3098" t="str">
        <f>VLOOKUP(A3098,StoreLookup,2,FALSE)</f>
        <v>Store#2</v>
      </c>
      <c r="G3098">
        <f>INDEX(CalLookUpTable,MATCH($B3098,CalLookUpRow,0),MATCH(G$1,CalLookUpColumn,0))</f>
        <v>2019</v>
      </c>
      <c r="H3098">
        <f>INDEX(CalLookUpTable,MATCH($B3098,CalLookUpRow,0),MATCH(H$1,CalLookUpColumn,0))</f>
        <v>10</v>
      </c>
      <c r="I3098">
        <f>INDEX(CalLookUpTable,MATCH($B3098,CalLookUpRow,0),MATCH(I$1,CalLookUpColumn,0))</f>
        <v>3</v>
      </c>
    </row>
    <row r="3099" spans="1:9" x14ac:dyDescent="0.25">
      <c r="A3099" s="7">
        <v>2</v>
      </c>
      <c r="B3099" s="8">
        <v>43758</v>
      </c>
      <c r="C3099" s="9" t="s">
        <v>6</v>
      </c>
      <c r="D3099" s="10">
        <v>422.98199999999997</v>
      </c>
      <c r="E3099" s="10">
        <v>178.68199999999999</v>
      </c>
      <c r="F3099" t="str">
        <f>VLOOKUP(A3099,StoreLookup,2,FALSE)</f>
        <v>Store#2</v>
      </c>
      <c r="G3099">
        <f>INDEX(CalLookUpTable,MATCH($B3099,CalLookUpRow,0),MATCH(G$1,CalLookUpColumn,0))</f>
        <v>2019</v>
      </c>
      <c r="H3099">
        <f>INDEX(CalLookUpTable,MATCH($B3099,CalLookUpRow,0),MATCH(H$1,CalLookUpColumn,0))</f>
        <v>10</v>
      </c>
      <c r="I3099">
        <f>INDEX(CalLookUpTable,MATCH($B3099,CalLookUpRow,0),MATCH(I$1,CalLookUpColumn,0))</f>
        <v>3</v>
      </c>
    </row>
    <row r="3100" spans="1:9" x14ac:dyDescent="0.25">
      <c r="A3100" s="7">
        <v>2</v>
      </c>
      <c r="B3100" s="8">
        <v>43758</v>
      </c>
      <c r="C3100" s="9" t="s">
        <v>3</v>
      </c>
      <c r="D3100" s="10">
        <v>0</v>
      </c>
      <c r="E3100" s="10">
        <v>0</v>
      </c>
      <c r="F3100" t="str">
        <f>VLOOKUP(A3100,StoreLookup,2,FALSE)</f>
        <v>Store#2</v>
      </c>
      <c r="G3100">
        <f>INDEX(CalLookUpTable,MATCH($B3100,CalLookUpRow,0),MATCH(G$1,CalLookUpColumn,0))</f>
        <v>2019</v>
      </c>
      <c r="H3100">
        <f>INDEX(CalLookUpTable,MATCH($B3100,CalLookUpRow,0),MATCH(H$1,CalLookUpColumn,0))</f>
        <v>10</v>
      </c>
      <c r="I3100">
        <f>INDEX(CalLookUpTable,MATCH($B3100,CalLookUpRow,0),MATCH(I$1,CalLookUpColumn,0))</f>
        <v>3</v>
      </c>
    </row>
    <row r="3101" spans="1:9" x14ac:dyDescent="0.25">
      <c r="A3101" s="7">
        <v>2</v>
      </c>
      <c r="B3101" s="8">
        <v>43758</v>
      </c>
      <c r="C3101" s="9" t="s">
        <v>5</v>
      </c>
      <c r="D3101" s="10">
        <v>860.46100000000001</v>
      </c>
      <c r="E3101" s="10">
        <v>663.87299999999993</v>
      </c>
      <c r="F3101" t="str">
        <f>VLOOKUP(A3101,StoreLookup,2,FALSE)</f>
        <v>Store#2</v>
      </c>
      <c r="G3101">
        <f>INDEX(CalLookUpTable,MATCH($B3101,CalLookUpRow,0),MATCH(G$1,CalLookUpColumn,0))</f>
        <v>2019</v>
      </c>
      <c r="H3101">
        <f>INDEX(CalLookUpTable,MATCH($B3101,CalLookUpRow,0),MATCH(H$1,CalLookUpColumn,0))</f>
        <v>10</v>
      </c>
      <c r="I3101">
        <f>INDEX(CalLookUpTable,MATCH($B3101,CalLookUpRow,0),MATCH(I$1,CalLookUpColumn,0))</f>
        <v>3</v>
      </c>
    </row>
    <row r="3102" spans="1:9" x14ac:dyDescent="0.25">
      <c r="A3102" s="7">
        <v>2</v>
      </c>
      <c r="B3102" s="8">
        <v>43759</v>
      </c>
      <c r="C3102" s="9" t="s">
        <v>5</v>
      </c>
      <c r="D3102" s="10">
        <v>998.86500000000001</v>
      </c>
      <c r="E3102" s="10">
        <v>824.71199999999999</v>
      </c>
      <c r="F3102" t="str">
        <f>VLOOKUP(A3102,StoreLookup,2,FALSE)</f>
        <v>Store#2</v>
      </c>
      <c r="G3102">
        <f>INDEX(CalLookUpTable,MATCH($B3102,CalLookUpRow,0),MATCH(G$1,CalLookUpColumn,0))</f>
        <v>2019</v>
      </c>
      <c r="H3102">
        <f>INDEX(CalLookUpTable,MATCH($B3102,CalLookUpRow,0),MATCH(H$1,CalLookUpColumn,0))</f>
        <v>10</v>
      </c>
      <c r="I3102">
        <f>INDEX(CalLookUpTable,MATCH($B3102,CalLookUpRow,0),MATCH(I$1,CalLookUpColumn,0))</f>
        <v>4</v>
      </c>
    </row>
    <row r="3103" spans="1:9" x14ac:dyDescent="0.25">
      <c r="A3103" s="7">
        <v>2</v>
      </c>
      <c r="B3103" s="8">
        <v>43759</v>
      </c>
      <c r="C3103" s="9" t="s">
        <v>3</v>
      </c>
      <c r="D3103" s="10">
        <v>0</v>
      </c>
      <c r="E3103" s="10">
        <v>0</v>
      </c>
      <c r="F3103" t="str">
        <f>VLOOKUP(A3103,StoreLookup,2,FALSE)</f>
        <v>Store#2</v>
      </c>
      <c r="G3103">
        <f>INDEX(CalLookUpTable,MATCH($B3103,CalLookUpRow,0),MATCH(G$1,CalLookUpColumn,0))</f>
        <v>2019</v>
      </c>
      <c r="H3103">
        <f>INDEX(CalLookUpTable,MATCH($B3103,CalLookUpRow,0),MATCH(H$1,CalLookUpColumn,0))</f>
        <v>10</v>
      </c>
      <c r="I3103">
        <f>INDEX(CalLookUpTable,MATCH($B3103,CalLookUpRow,0),MATCH(I$1,CalLookUpColumn,0))</f>
        <v>4</v>
      </c>
    </row>
    <row r="3104" spans="1:9" x14ac:dyDescent="0.25">
      <c r="A3104" s="7">
        <v>2</v>
      </c>
      <c r="B3104" s="8">
        <v>43759</v>
      </c>
      <c r="C3104" s="9" t="s">
        <v>4</v>
      </c>
      <c r="D3104" s="10">
        <v>1694.1679999999997</v>
      </c>
      <c r="E3104" s="10">
        <v>1385.1669999999999</v>
      </c>
      <c r="F3104" t="str">
        <f>VLOOKUP(A3104,StoreLookup,2,FALSE)</f>
        <v>Store#2</v>
      </c>
      <c r="G3104">
        <f>INDEX(CalLookUpTable,MATCH($B3104,CalLookUpRow,0),MATCH(G$1,CalLookUpColumn,0))</f>
        <v>2019</v>
      </c>
      <c r="H3104">
        <f>INDEX(CalLookUpTable,MATCH($B3104,CalLookUpRow,0),MATCH(H$1,CalLookUpColumn,0))</f>
        <v>10</v>
      </c>
      <c r="I3104">
        <f>INDEX(CalLookUpTable,MATCH($B3104,CalLookUpRow,0),MATCH(I$1,CalLookUpColumn,0))</f>
        <v>4</v>
      </c>
    </row>
    <row r="3105" spans="1:9" x14ac:dyDescent="0.25">
      <c r="A3105" s="7">
        <v>2</v>
      </c>
      <c r="B3105" s="8">
        <v>43759</v>
      </c>
      <c r="C3105" s="9" t="s">
        <v>6</v>
      </c>
      <c r="D3105" s="10">
        <v>362.01199999999994</v>
      </c>
      <c r="E3105" s="10">
        <v>273.46899999999999</v>
      </c>
      <c r="F3105" t="str">
        <f>VLOOKUP(A3105,StoreLookup,2,FALSE)</f>
        <v>Store#2</v>
      </c>
      <c r="G3105">
        <f>INDEX(CalLookUpTable,MATCH($B3105,CalLookUpRow,0),MATCH(G$1,CalLookUpColumn,0))</f>
        <v>2019</v>
      </c>
      <c r="H3105">
        <f>INDEX(CalLookUpTable,MATCH($B3105,CalLookUpRow,0),MATCH(H$1,CalLookUpColumn,0))</f>
        <v>10</v>
      </c>
      <c r="I3105">
        <f>INDEX(CalLookUpTable,MATCH($B3105,CalLookUpRow,0),MATCH(I$1,CalLookUpColumn,0))</f>
        <v>4</v>
      </c>
    </row>
    <row r="3106" spans="1:9" x14ac:dyDescent="0.25">
      <c r="A3106" s="7">
        <v>2</v>
      </c>
      <c r="B3106" s="8">
        <v>43760</v>
      </c>
      <c r="C3106" s="9" t="s">
        <v>4</v>
      </c>
      <c r="D3106" s="10">
        <v>1689.6809999999998</v>
      </c>
      <c r="E3106" s="10">
        <v>1702.8339999999998</v>
      </c>
      <c r="F3106" t="str">
        <f>VLOOKUP(A3106,StoreLookup,2,FALSE)</f>
        <v>Store#2</v>
      </c>
      <c r="G3106">
        <f>INDEX(CalLookUpTable,MATCH($B3106,CalLookUpRow,0),MATCH(G$1,CalLookUpColumn,0))</f>
        <v>2019</v>
      </c>
      <c r="H3106">
        <f>INDEX(CalLookUpTable,MATCH($B3106,CalLookUpRow,0),MATCH(H$1,CalLookUpColumn,0))</f>
        <v>10</v>
      </c>
      <c r="I3106">
        <f>INDEX(CalLookUpTable,MATCH($B3106,CalLookUpRow,0),MATCH(I$1,CalLookUpColumn,0))</f>
        <v>4</v>
      </c>
    </row>
    <row r="3107" spans="1:9" x14ac:dyDescent="0.25">
      <c r="A3107" s="7">
        <v>2</v>
      </c>
      <c r="B3107" s="8">
        <v>43760</v>
      </c>
      <c r="C3107" s="9" t="s">
        <v>3</v>
      </c>
      <c r="D3107" s="10">
        <v>0</v>
      </c>
      <c r="E3107" s="10">
        <v>0</v>
      </c>
      <c r="F3107" t="str">
        <f>VLOOKUP(A3107,StoreLookup,2,FALSE)</f>
        <v>Store#2</v>
      </c>
      <c r="G3107">
        <f>INDEX(CalLookUpTable,MATCH($B3107,CalLookUpRow,0),MATCH(G$1,CalLookUpColumn,0))</f>
        <v>2019</v>
      </c>
      <c r="H3107">
        <f>INDEX(CalLookUpTable,MATCH($B3107,CalLookUpRow,0),MATCH(H$1,CalLookUpColumn,0))</f>
        <v>10</v>
      </c>
      <c r="I3107">
        <f>INDEX(CalLookUpTable,MATCH($B3107,CalLookUpRow,0),MATCH(I$1,CalLookUpColumn,0))</f>
        <v>4</v>
      </c>
    </row>
    <row r="3108" spans="1:9" x14ac:dyDescent="0.25">
      <c r="A3108" s="7">
        <v>2</v>
      </c>
      <c r="B3108" s="8">
        <v>43760</v>
      </c>
      <c r="C3108" s="9" t="s">
        <v>6</v>
      </c>
      <c r="D3108" s="10">
        <v>310.10699999999997</v>
      </c>
      <c r="E3108" s="10">
        <v>241.94799999999998</v>
      </c>
      <c r="F3108" t="str">
        <f>VLOOKUP(A3108,StoreLookup,2,FALSE)</f>
        <v>Store#2</v>
      </c>
      <c r="G3108">
        <f>INDEX(CalLookUpTable,MATCH($B3108,CalLookUpRow,0),MATCH(G$1,CalLookUpColumn,0))</f>
        <v>2019</v>
      </c>
      <c r="H3108">
        <f>INDEX(CalLookUpTable,MATCH($B3108,CalLookUpRow,0),MATCH(H$1,CalLookUpColumn,0))</f>
        <v>10</v>
      </c>
      <c r="I3108">
        <f>INDEX(CalLookUpTable,MATCH($B3108,CalLookUpRow,0),MATCH(I$1,CalLookUpColumn,0))</f>
        <v>4</v>
      </c>
    </row>
    <row r="3109" spans="1:9" x14ac:dyDescent="0.25">
      <c r="A3109" s="7">
        <v>2</v>
      </c>
      <c r="B3109" s="8">
        <v>43760</v>
      </c>
      <c r="C3109" s="9" t="s">
        <v>5</v>
      </c>
      <c r="D3109" s="10">
        <v>1227.3519999999999</v>
      </c>
      <c r="E3109" s="10">
        <v>856.66699999999992</v>
      </c>
      <c r="F3109" t="str">
        <f>VLOOKUP(A3109,StoreLookup,2,FALSE)</f>
        <v>Store#2</v>
      </c>
      <c r="G3109">
        <f>INDEX(CalLookUpTable,MATCH($B3109,CalLookUpRow,0),MATCH(G$1,CalLookUpColumn,0))</f>
        <v>2019</v>
      </c>
      <c r="H3109">
        <f>INDEX(CalLookUpTable,MATCH($B3109,CalLookUpRow,0),MATCH(H$1,CalLookUpColumn,0))</f>
        <v>10</v>
      </c>
      <c r="I3109">
        <f>INDEX(CalLookUpTable,MATCH($B3109,CalLookUpRow,0),MATCH(I$1,CalLookUpColumn,0))</f>
        <v>4</v>
      </c>
    </row>
    <row r="3110" spans="1:9" x14ac:dyDescent="0.25">
      <c r="A3110" s="7">
        <v>2</v>
      </c>
      <c r="B3110" s="8">
        <v>43761</v>
      </c>
      <c r="C3110" s="9" t="s">
        <v>5</v>
      </c>
      <c r="D3110" s="10">
        <v>982.29599999999994</v>
      </c>
      <c r="E3110" s="10">
        <v>721.28</v>
      </c>
      <c r="F3110" t="str">
        <f>VLOOKUP(A3110,StoreLookup,2,FALSE)</f>
        <v>Store#2</v>
      </c>
      <c r="G3110">
        <f>INDEX(CalLookUpTable,MATCH($B3110,CalLookUpRow,0),MATCH(G$1,CalLookUpColumn,0))</f>
        <v>2019</v>
      </c>
      <c r="H3110">
        <f>INDEX(CalLookUpTable,MATCH($B3110,CalLookUpRow,0),MATCH(H$1,CalLookUpColumn,0))</f>
        <v>10</v>
      </c>
      <c r="I3110">
        <f>INDEX(CalLookUpTable,MATCH($B3110,CalLookUpRow,0),MATCH(I$1,CalLookUpColumn,0))</f>
        <v>4</v>
      </c>
    </row>
    <row r="3111" spans="1:9" x14ac:dyDescent="0.25">
      <c r="A3111" s="7">
        <v>2</v>
      </c>
      <c r="B3111" s="8">
        <v>43761</v>
      </c>
      <c r="C3111" s="9" t="s">
        <v>6</v>
      </c>
      <c r="D3111" s="10">
        <v>404.327</v>
      </c>
      <c r="E3111" s="10">
        <v>150.80799999999999</v>
      </c>
      <c r="F3111" t="str">
        <f>VLOOKUP(A3111,StoreLookup,2,FALSE)</f>
        <v>Store#2</v>
      </c>
      <c r="G3111">
        <f>INDEX(CalLookUpTable,MATCH($B3111,CalLookUpRow,0),MATCH(G$1,CalLookUpColumn,0))</f>
        <v>2019</v>
      </c>
      <c r="H3111">
        <f>INDEX(CalLookUpTable,MATCH($B3111,CalLookUpRow,0),MATCH(H$1,CalLookUpColumn,0))</f>
        <v>10</v>
      </c>
      <c r="I3111">
        <f>INDEX(CalLookUpTable,MATCH($B3111,CalLookUpRow,0),MATCH(I$1,CalLookUpColumn,0))</f>
        <v>4</v>
      </c>
    </row>
    <row r="3112" spans="1:9" x14ac:dyDescent="0.25">
      <c r="A3112" s="7">
        <v>2</v>
      </c>
      <c r="B3112" s="8">
        <v>43761</v>
      </c>
      <c r="C3112" s="9" t="s">
        <v>4</v>
      </c>
      <c r="D3112" s="10">
        <v>1297.4079999999999</v>
      </c>
      <c r="E3112" s="10">
        <v>1520.2529999999999</v>
      </c>
      <c r="F3112" t="str">
        <f>VLOOKUP(A3112,StoreLookup,2,FALSE)</f>
        <v>Store#2</v>
      </c>
      <c r="G3112">
        <f>INDEX(CalLookUpTable,MATCH($B3112,CalLookUpRow,0),MATCH(G$1,CalLookUpColumn,0))</f>
        <v>2019</v>
      </c>
      <c r="H3112">
        <f>INDEX(CalLookUpTable,MATCH($B3112,CalLookUpRow,0),MATCH(H$1,CalLookUpColumn,0))</f>
        <v>10</v>
      </c>
      <c r="I3112">
        <f>INDEX(CalLookUpTable,MATCH($B3112,CalLookUpRow,0),MATCH(I$1,CalLookUpColumn,0))</f>
        <v>4</v>
      </c>
    </row>
    <row r="3113" spans="1:9" x14ac:dyDescent="0.25">
      <c r="A3113" s="7">
        <v>2</v>
      </c>
      <c r="B3113" s="8">
        <v>43761</v>
      </c>
      <c r="C3113" s="9" t="s">
        <v>3</v>
      </c>
      <c r="D3113" s="10">
        <v>129.23400000000001</v>
      </c>
      <c r="E3113" s="10">
        <v>0</v>
      </c>
      <c r="F3113" t="str">
        <f>VLOOKUP(A3113,StoreLookup,2,FALSE)</f>
        <v>Store#2</v>
      </c>
      <c r="G3113">
        <f>INDEX(CalLookUpTable,MATCH($B3113,CalLookUpRow,0),MATCH(G$1,CalLookUpColumn,0))</f>
        <v>2019</v>
      </c>
      <c r="H3113">
        <f>INDEX(CalLookUpTable,MATCH($B3113,CalLookUpRow,0),MATCH(H$1,CalLookUpColumn,0))</f>
        <v>10</v>
      </c>
      <c r="I3113">
        <f>INDEX(CalLookUpTable,MATCH($B3113,CalLookUpRow,0),MATCH(I$1,CalLookUpColumn,0))</f>
        <v>4</v>
      </c>
    </row>
    <row r="3114" spans="1:9" x14ac:dyDescent="0.25">
      <c r="A3114" s="7">
        <v>2</v>
      </c>
      <c r="B3114" s="8">
        <v>43762</v>
      </c>
      <c r="C3114" s="9" t="s">
        <v>4</v>
      </c>
      <c r="D3114" s="10">
        <v>1747.8019999999999</v>
      </c>
      <c r="E3114" s="10">
        <v>1684.1299999999999</v>
      </c>
      <c r="F3114" t="str">
        <f>VLOOKUP(A3114,StoreLookup,2,FALSE)</f>
        <v>Store#2</v>
      </c>
      <c r="G3114">
        <f>INDEX(CalLookUpTable,MATCH($B3114,CalLookUpRow,0),MATCH(G$1,CalLookUpColumn,0))</f>
        <v>2019</v>
      </c>
      <c r="H3114">
        <f>INDEX(CalLookUpTable,MATCH($B3114,CalLookUpRow,0),MATCH(H$1,CalLookUpColumn,0))</f>
        <v>10</v>
      </c>
      <c r="I3114">
        <f>INDEX(CalLookUpTable,MATCH($B3114,CalLookUpRow,0),MATCH(I$1,CalLookUpColumn,0))</f>
        <v>4</v>
      </c>
    </row>
    <row r="3115" spans="1:9" x14ac:dyDescent="0.25">
      <c r="A3115" s="7">
        <v>2</v>
      </c>
      <c r="B3115" s="8">
        <v>43762</v>
      </c>
      <c r="C3115" s="9" t="s">
        <v>5</v>
      </c>
      <c r="D3115" s="10">
        <v>1285.2139999999999</v>
      </c>
      <c r="E3115" s="10">
        <v>775.39699999999993</v>
      </c>
      <c r="F3115" t="str">
        <f>VLOOKUP(A3115,StoreLookup,2,FALSE)</f>
        <v>Store#2</v>
      </c>
      <c r="G3115">
        <f>INDEX(CalLookUpTable,MATCH($B3115,CalLookUpRow,0),MATCH(G$1,CalLookUpColumn,0))</f>
        <v>2019</v>
      </c>
      <c r="H3115">
        <f>INDEX(CalLookUpTable,MATCH($B3115,CalLookUpRow,0),MATCH(H$1,CalLookUpColumn,0))</f>
        <v>10</v>
      </c>
      <c r="I3115">
        <f>INDEX(CalLookUpTable,MATCH($B3115,CalLookUpRow,0),MATCH(I$1,CalLookUpColumn,0))</f>
        <v>4</v>
      </c>
    </row>
    <row r="3116" spans="1:9" x14ac:dyDescent="0.25">
      <c r="A3116" s="7">
        <v>2</v>
      </c>
      <c r="B3116" s="8">
        <v>43762</v>
      </c>
      <c r="C3116" s="9" t="s">
        <v>3</v>
      </c>
      <c r="D3116" s="10">
        <v>0</v>
      </c>
      <c r="E3116" s="10">
        <v>154.20299999999997</v>
      </c>
      <c r="F3116" t="str">
        <f>VLOOKUP(A3116,StoreLookup,2,FALSE)</f>
        <v>Store#2</v>
      </c>
      <c r="G3116">
        <f>INDEX(CalLookUpTable,MATCH($B3116,CalLookUpRow,0),MATCH(G$1,CalLookUpColumn,0))</f>
        <v>2019</v>
      </c>
      <c r="H3116">
        <f>INDEX(CalLookUpTable,MATCH($B3116,CalLookUpRow,0),MATCH(H$1,CalLookUpColumn,0))</f>
        <v>10</v>
      </c>
      <c r="I3116">
        <f>INDEX(CalLookUpTable,MATCH($B3116,CalLookUpRow,0),MATCH(I$1,CalLookUpColumn,0))</f>
        <v>4</v>
      </c>
    </row>
    <row r="3117" spans="1:9" x14ac:dyDescent="0.25">
      <c r="A3117" s="7">
        <v>2</v>
      </c>
      <c r="B3117" s="8">
        <v>43762</v>
      </c>
      <c r="C3117" s="9" t="s">
        <v>6</v>
      </c>
      <c r="D3117" s="10">
        <v>483.28699999999992</v>
      </c>
      <c r="E3117" s="10">
        <v>153.59399999999999</v>
      </c>
      <c r="F3117" t="str">
        <f>VLOOKUP(A3117,StoreLookup,2,FALSE)</f>
        <v>Store#2</v>
      </c>
      <c r="G3117">
        <f>INDEX(CalLookUpTable,MATCH($B3117,CalLookUpRow,0),MATCH(G$1,CalLookUpColumn,0))</f>
        <v>2019</v>
      </c>
      <c r="H3117">
        <f>INDEX(CalLookUpTable,MATCH($B3117,CalLookUpRow,0),MATCH(H$1,CalLookUpColumn,0))</f>
        <v>10</v>
      </c>
      <c r="I3117">
        <f>INDEX(CalLookUpTable,MATCH($B3117,CalLookUpRow,0),MATCH(I$1,CalLookUpColumn,0))</f>
        <v>4</v>
      </c>
    </row>
    <row r="3118" spans="1:9" x14ac:dyDescent="0.25">
      <c r="A3118" s="7">
        <v>2</v>
      </c>
      <c r="B3118" s="8">
        <v>43763</v>
      </c>
      <c r="C3118" s="9" t="s">
        <v>5</v>
      </c>
      <c r="D3118" s="10">
        <v>1312.962</v>
      </c>
      <c r="E3118" s="10">
        <v>915.04</v>
      </c>
      <c r="F3118" t="str">
        <f>VLOOKUP(A3118,StoreLookup,2,FALSE)</f>
        <v>Store#2</v>
      </c>
      <c r="G3118">
        <f>INDEX(CalLookUpTable,MATCH($B3118,CalLookUpRow,0),MATCH(G$1,CalLookUpColumn,0))</f>
        <v>2019</v>
      </c>
      <c r="H3118">
        <f>INDEX(CalLookUpTable,MATCH($B3118,CalLookUpRow,0),MATCH(H$1,CalLookUpColumn,0))</f>
        <v>10</v>
      </c>
      <c r="I3118">
        <f>INDEX(CalLookUpTable,MATCH($B3118,CalLookUpRow,0),MATCH(I$1,CalLookUpColumn,0))</f>
        <v>4</v>
      </c>
    </row>
    <row r="3119" spans="1:9" x14ac:dyDescent="0.25">
      <c r="A3119" s="7">
        <v>2</v>
      </c>
      <c r="B3119" s="8">
        <v>43763</v>
      </c>
      <c r="C3119" s="9" t="s">
        <v>3</v>
      </c>
      <c r="D3119" s="10">
        <v>387.46399999999994</v>
      </c>
      <c r="E3119" s="10">
        <v>516.71899999999994</v>
      </c>
      <c r="F3119" t="str">
        <f>VLOOKUP(A3119,StoreLookup,2,FALSE)</f>
        <v>Store#2</v>
      </c>
      <c r="G3119">
        <f>INDEX(CalLookUpTable,MATCH($B3119,CalLookUpRow,0),MATCH(G$1,CalLookUpColumn,0))</f>
        <v>2019</v>
      </c>
      <c r="H3119">
        <f>INDEX(CalLookUpTable,MATCH($B3119,CalLookUpRow,0),MATCH(H$1,CalLookUpColumn,0))</f>
        <v>10</v>
      </c>
      <c r="I3119">
        <f>INDEX(CalLookUpTable,MATCH($B3119,CalLookUpRow,0),MATCH(I$1,CalLookUpColumn,0))</f>
        <v>4</v>
      </c>
    </row>
    <row r="3120" spans="1:9" x14ac:dyDescent="0.25">
      <c r="A3120" s="7">
        <v>2</v>
      </c>
      <c r="B3120" s="8">
        <v>43763</v>
      </c>
      <c r="C3120" s="9" t="s">
        <v>4</v>
      </c>
      <c r="D3120" s="10">
        <v>2147.2779999999998</v>
      </c>
      <c r="E3120" s="10">
        <v>2746.835</v>
      </c>
      <c r="F3120" t="str">
        <f>VLOOKUP(A3120,StoreLookup,2,FALSE)</f>
        <v>Store#2</v>
      </c>
      <c r="G3120">
        <f>INDEX(CalLookUpTable,MATCH($B3120,CalLookUpRow,0),MATCH(G$1,CalLookUpColumn,0))</f>
        <v>2019</v>
      </c>
      <c r="H3120">
        <f>INDEX(CalLookUpTable,MATCH($B3120,CalLookUpRow,0),MATCH(H$1,CalLookUpColumn,0))</f>
        <v>10</v>
      </c>
      <c r="I3120">
        <f>INDEX(CalLookUpTable,MATCH($B3120,CalLookUpRow,0),MATCH(I$1,CalLookUpColumn,0))</f>
        <v>4</v>
      </c>
    </row>
    <row r="3121" spans="1:9" x14ac:dyDescent="0.25">
      <c r="A3121" s="7">
        <v>2</v>
      </c>
      <c r="B3121" s="8">
        <v>43763</v>
      </c>
      <c r="C3121" s="9" t="s">
        <v>6</v>
      </c>
      <c r="D3121" s="10">
        <v>513.779</v>
      </c>
      <c r="E3121" s="10">
        <v>431.19299999999998</v>
      </c>
      <c r="F3121" t="str">
        <f>VLOOKUP(A3121,StoreLookup,2,FALSE)</f>
        <v>Store#2</v>
      </c>
      <c r="G3121">
        <f>INDEX(CalLookUpTable,MATCH($B3121,CalLookUpRow,0),MATCH(G$1,CalLookUpColumn,0))</f>
        <v>2019</v>
      </c>
      <c r="H3121">
        <f>INDEX(CalLookUpTable,MATCH($B3121,CalLookUpRow,0),MATCH(H$1,CalLookUpColumn,0))</f>
        <v>10</v>
      </c>
      <c r="I3121">
        <f>INDEX(CalLookUpTable,MATCH($B3121,CalLookUpRow,0),MATCH(I$1,CalLookUpColumn,0))</f>
        <v>4</v>
      </c>
    </row>
    <row r="3122" spans="1:9" x14ac:dyDescent="0.25">
      <c r="A3122" s="7">
        <v>2</v>
      </c>
      <c r="B3122" s="8">
        <v>43764</v>
      </c>
      <c r="C3122" s="9" t="s">
        <v>6</v>
      </c>
      <c r="D3122" s="10">
        <v>349.524</v>
      </c>
      <c r="E3122" s="10">
        <v>329.791</v>
      </c>
      <c r="F3122" t="str">
        <f>VLOOKUP(A3122,StoreLookup,2,FALSE)</f>
        <v>Store#2</v>
      </c>
      <c r="G3122">
        <f>INDEX(CalLookUpTable,MATCH($B3122,CalLookUpRow,0),MATCH(G$1,CalLookUpColumn,0))</f>
        <v>2019</v>
      </c>
      <c r="H3122">
        <f>INDEX(CalLookUpTable,MATCH($B3122,CalLookUpRow,0),MATCH(H$1,CalLookUpColumn,0))</f>
        <v>10</v>
      </c>
      <c r="I3122">
        <f>INDEX(CalLookUpTable,MATCH($B3122,CalLookUpRow,0),MATCH(I$1,CalLookUpColumn,0))</f>
        <v>4</v>
      </c>
    </row>
    <row r="3123" spans="1:9" x14ac:dyDescent="0.25">
      <c r="A3123" s="7">
        <v>2</v>
      </c>
      <c r="B3123" s="8">
        <v>43764</v>
      </c>
      <c r="C3123" s="9" t="s">
        <v>4</v>
      </c>
      <c r="D3123" s="10">
        <v>2069.9070000000002</v>
      </c>
      <c r="E3123" s="10">
        <v>1997.9399999999998</v>
      </c>
      <c r="F3123" t="str">
        <f>VLOOKUP(A3123,StoreLookup,2,FALSE)</f>
        <v>Store#2</v>
      </c>
      <c r="G3123">
        <f>INDEX(CalLookUpTable,MATCH($B3123,CalLookUpRow,0),MATCH(G$1,CalLookUpColumn,0))</f>
        <v>2019</v>
      </c>
      <c r="H3123">
        <f>INDEX(CalLookUpTable,MATCH($B3123,CalLookUpRow,0),MATCH(H$1,CalLookUpColumn,0))</f>
        <v>10</v>
      </c>
      <c r="I3123">
        <f>INDEX(CalLookUpTable,MATCH($B3123,CalLookUpRow,0),MATCH(I$1,CalLookUpColumn,0))</f>
        <v>4</v>
      </c>
    </row>
    <row r="3124" spans="1:9" x14ac:dyDescent="0.25">
      <c r="A3124" s="7">
        <v>2</v>
      </c>
      <c r="B3124" s="8">
        <v>43764</v>
      </c>
      <c r="C3124" s="9" t="s">
        <v>3</v>
      </c>
      <c r="D3124" s="10">
        <v>0</v>
      </c>
      <c r="E3124" s="10">
        <v>0</v>
      </c>
      <c r="F3124" t="str">
        <f>VLOOKUP(A3124,StoreLookup,2,FALSE)</f>
        <v>Store#2</v>
      </c>
      <c r="G3124">
        <f>INDEX(CalLookUpTable,MATCH($B3124,CalLookUpRow,0),MATCH(G$1,CalLookUpColumn,0))</f>
        <v>2019</v>
      </c>
      <c r="H3124">
        <f>INDEX(CalLookUpTable,MATCH($B3124,CalLookUpRow,0),MATCH(H$1,CalLookUpColumn,0))</f>
        <v>10</v>
      </c>
      <c r="I3124">
        <f>INDEX(CalLookUpTable,MATCH($B3124,CalLookUpRow,0),MATCH(I$1,CalLookUpColumn,0))</f>
        <v>4</v>
      </c>
    </row>
    <row r="3125" spans="1:9" x14ac:dyDescent="0.25">
      <c r="A3125" s="7">
        <v>2</v>
      </c>
      <c r="B3125" s="8">
        <v>43764</v>
      </c>
      <c r="C3125" s="9" t="s">
        <v>5</v>
      </c>
      <c r="D3125" s="10">
        <v>1105.3839999999998</v>
      </c>
      <c r="E3125" s="10">
        <v>969.15699999999993</v>
      </c>
      <c r="F3125" t="str">
        <f>VLOOKUP(A3125,StoreLookup,2,FALSE)</f>
        <v>Store#2</v>
      </c>
      <c r="G3125">
        <f>INDEX(CalLookUpTable,MATCH($B3125,CalLookUpRow,0),MATCH(G$1,CalLookUpColumn,0))</f>
        <v>2019</v>
      </c>
      <c r="H3125">
        <f>INDEX(CalLookUpTable,MATCH($B3125,CalLookUpRow,0),MATCH(H$1,CalLookUpColumn,0))</f>
        <v>10</v>
      </c>
      <c r="I3125">
        <f>INDEX(CalLookUpTable,MATCH($B3125,CalLookUpRow,0),MATCH(I$1,CalLookUpColumn,0))</f>
        <v>4</v>
      </c>
    </row>
    <row r="3126" spans="1:9" x14ac:dyDescent="0.25">
      <c r="A3126" s="7">
        <v>2</v>
      </c>
      <c r="B3126" s="8">
        <v>43765</v>
      </c>
      <c r="C3126" s="9" t="s">
        <v>4</v>
      </c>
      <c r="D3126" s="10">
        <v>1128.365</v>
      </c>
      <c r="E3126" s="10">
        <v>1018.857</v>
      </c>
      <c r="F3126" t="str">
        <f>VLOOKUP(A3126,StoreLookup,2,FALSE)</f>
        <v>Store#2</v>
      </c>
      <c r="G3126">
        <f>INDEX(CalLookUpTable,MATCH($B3126,CalLookUpRow,0),MATCH(G$1,CalLookUpColumn,0))</f>
        <v>2019</v>
      </c>
      <c r="H3126">
        <f>INDEX(CalLookUpTable,MATCH($B3126,CalLookUpRow,0),MATCH(H$1,CalLookUpColumn,0))</f>
        <v>10</v>
      </c>
      <c r="I3126">
        <f>INDEX(CalLookUpTable,MATCH($B3126,CalLookUpRow,0),MATCH(I$1,CalLookUpColumn,0))</f>
        <v>4</v>
      </c>
    </row>
    <row r="3127" spans="1:9" x14ac:dyDescent="0.25">
      <c r="A3127" s="7">
        <v>2</v>
      </c>
      <c r="B3127" s="8">
        <v>43765</v>
      </c>
      <c r="C3127" s="9" t="s">
        <v>5</v>
      </c>
      <c r="D3127" s="10">
        <v>657.31399999999996</v>
      </c>
      <c r="E3127" s="10">
        <v>544.19399999999996</v>
      </c>
      <c r="F3127" t="str">
        <f>VLOOKUP(A3127,StoreLookup,2,FALSE)</f>
        <v>Store#2</v>
      </c>
      <c r="G3127">
        <f>INDEX(CalLookUpTable,MATCH($B3127,CalLookUpRow,0),MATCH(G$1,CalLookUpColumn,0))</f>
        <v>2019</v>
      </c>
      <c r="H3127">
        <f>INDEX(CalLookUpTable,MATCH($B3127,CalLookUpRow,0),MATCH(H$1,CalLookUpColumn,0))</f>
        <v>10</v>
      </c>
      <c r="I3127">
        <f>INDEX(CalLookUpTable,MATCH($B3127,CalLookUpRow,0),MATCH(I$1,CalLookUpColumn,0))</f>
        <v>4</v>
      </c>
    </row>
    <row r="3128" spans="1:9" x14ac:dyDescent="0.25">
      <c r="A3128" s="7">
        <v>2</v>
      </c>
      <c r="B3128" s="8">
        <v>43765</v>
      </c>
      <c r="C3128" s="9" t="s">
        <v>3</v>
      </c>
      <c r="D3128" s="10">
        <v>0</v>
      </c>
      <c r="E3128" s="10">
        <v>323.09199999999998</v>
      </c>
      <c r="F3128" t="str">
        <f>VLOOKUP(A3128,StoreLookup,2,FALSE)</f>
        <v>Store#2</v>
      </c>
      <c r="G3128">
        <f>INDEX(CalLookUpTable,MATCH($B3128,CalLookUpRow,0),MATCH(G$1,CalLookUpColumn,0))</f>
        <v>2019</v>
      </c>
      <c r="H3128">
        <f>INDEX(CalLookUpTable,MATCH($B3128,CalLookUpRow,0),MATCH(H$1,CalLookUpColumn,0))</f>
        <v>10</v>
      </c>
      <c r="I3128">
        <f>INDEX(CalLookUpTable,MATCH($B3128,CalLookUpRow,0),MATCH(I$1,CalLookUpColumn,0))</f>
        <v>4</v>
      </c>
    </row>
    <row r="3129" spans="1:9" x14ac:dyDescent="0.25">
      <c r="A3129" s="7">
        <v>2</v>
      </c>
      <c r="B3129" s="8">
        <v>43765</v>
      </c>
      <c r="C3129" s="9" t="s">
        <v>6</v>
      </c>
      <c r="D3129" s="10">
        <v>298.21399999999994</v>
      </c>
      <c r="E3129" s="10">
        <v>307.18799999999999</v>
      </c>
      <c r="F3129" t="str">
        <f>VLOOKUP(A3129,StoreLookup,2,FALSE)</f>
        <v>Store#2</v>
      </c>
      <c r="G3129">
        <f>INDEX(CalLookUpTable,MATCH($B3129,CalLookUpRow,0),MATCH(G$1,CalLookUpColumn,0))</f>
        <v>2019</v>
      </c>
      <c r="H3129">
        <f>INDEX(CalLookUpTable,MATCH($B3129,CalLookUpRow,0),MATCH(H$1,CalLookUpColumn,0))</f>
        <v>10</v>
      </c>
      <c r="I3129">
        <f>INDEX(CalLookUpTable,MATCH($B3129,CalLookUpRow,0),MATCH(I$1,CalLookUpColumn,0))</f>
        <v>4</v>
      </c>
    </row>
    <row r="3130" spans="1:9" x14ac:dyDescent="0.25">
      <c r="A3130" s="7">
        <v>2</v>
      </c>
      <c r="B3130" s="8">
        <v>43766</v>
      </c>
      <c r="C3130" s="9" t="s">
        <v>6</v>
      </c>
      <c r="D3130" s="10">
        <v>412.01299999999998</v>
      </c>
      <c r="E3130" s="10">
        <v>381.10099999999994</v>
      </c>
      <c r="F3130" t="str">
        <f>VLOOKUP(A3130,StoreLookup,2,FALSE)</f>
        <v>Store#2</v>
      </c>
      <c r="G3130">
        <f>INDEX(CalLookUpTable,MATCH($B3130,CalLookUpRow,0),MATCH(G$1,CalLookUpColumn,0))</f>
        <v>2019</v>
      </c>
      <c r="H3130">
        <f>INDEX(CalLookUpTable,MATCH($B3130,CalLookUpRow,0),MATCH(H$1,CalLookUpColumn,0))</f>
        <v>11</v>
      </c>
      <c r="I3130">
        <f>INDEX(CalLookUpTable,MATCH($B3130,CalLookUpRow,0),MATCH(I$1,CalLookUpColumn,0))</f>
        <v>1</v>
      </c>
    </row>
    <row r="3131" spans="1:9" x14ac:dyDescent="0.25">
      <c r="A3131" s="7">
        <v>2</v>
      </c>
      <c r="B3131" s="8">
        <v>43766</v>
      </c>
      <c r="C3131" s="9" t="s">
        <v>3</v>
      </c>
      <c r="D3131" s="10">
        <v>249.24899999999997</v>
      </c>
      <c r="E3131" s="10">
        <v>0</v>
      </c>
      <c r="F3131" t="str">
        <f>VLOOKUP(A3131,StoreLookup,2,FALSE)</f>
        <v>Store#2</v>
      </c>
      <c r="G3131">
        <f>INDEX(CalLookUpTable,MATCH($B3131,CalLookUpRow,0),MATCH(G$1,CalLookUpColumn,0))</f>
        <v>2019</v>
      </c>
      <c r="H3131">
        <f>INDEX(CalLookUpTable,MATCH($B3131,CalLookUpRow,0),MATCH(H$1,CalLookUpColumn,0))</f>
        <v>11</v>
      </c>
      <c r="I3131">
        <f>INDEX(CalLookUpTable,MATCH($B3131,CalLookUpRow,0),MATCH(I$1,CalLookUpColumn,0))</f>
        <v>1</v>
      </c>
    </row>
    <row r="3132" spans="1:9" x14ac:dyDescent="0.25">
      <c r="A3132" s="7">
        <v>2</v>
      </c>
      <c r="B3132" s="8">
        <v>43766</v>
      </c>
      <c r="C3132" s="9" t="s">
        <v>4</v>
      </c>
      <c r="D3132" s="10">
        <v>1155.9099999999999</v>
      </c>
      <c r="E3132" s="10">
        <v>1602.6849999999999</v>
      </c>
      <c r="F3132" t="str">
        <f>VLOOKUP(A3132,StoreLookup,2,FALSE)</f>
        <v>Store#2</v>
      </c>
      <c r="G3132">
        <f>INDEX(CalLookUpTable,MATCH($B3132,CalLookUpRow,0),MATCH(G$1,CalLookUpColumn,0))</f>
        <v>2019</v>
      </c>
      <c r="H3132">
        <f>INDEX(CalLookUpTable,MATCH($B3132,CalLookUpRow,0),MATCH(H$1,CalLookUpColumn,0))</f>
        <v>11</v>
      </c>
      <c r="I3132">
        <f>INDEX(CalLookUpTable,MATCH($B3132,CalLookUpRow,0),MATCH(I$1,CalLookUpColumn,0))</f>
        <v>1</v>
      </c>
    </row>
    <row r="3133" spans="1:9" x14ac:dyDescent="0.25">
      <c r="A3133" s="7">
        <v>2</v>
      </c>
      <c r="B3133" s="8">
        <v>43766</v>
      </c>
      <c r="C3133" s="9" t="s">
        <v>5</v>
      </c>
      <c r="D3133" s="10">
        <v>853.755</v>
      </c>
      <c r="E3133" s="10">
        <v>832.279</v>
      </c>
      <c r="F3133" t="str">
        <f>VLOOKUP(A3133,StoreLookup,2,FALSE)</f>
        <v>Store#2</v>
      </c>
      <c r="G3133">
        <f>INDEX(CalLookUpTable,MATCH($B3133,CalLookUpRow,0),MATCH(G$1,CalLookUpColumn,0))</f>
        <v>2019</v>
      </c>
      <c r="H3133">
        <f>INDEX(CalLookUpTable,MATCH($B3133,CalLookUpRow,0),MATCH(H$1,CalLookUpColumn,0))</f>
        <v>11</v>
      </c>
      <c r="I3133">
        <f>INDEX(CalLookUpTable,MATCH($B3133,CalLookUpRow,0),MATCH(I$1,CalLookUpColumn,0))</f>
        <v>1</v>
      </c>
    </row>
    <row r="3134" spans="1:9" x14ac:dyDescent="0.25">
      <c r="A3134" s="7">
        <v>2</v>
      </c>
      <c r="B3134" s="8">
        <v>43767</v>
      </c>
      <c r="C3134" s="9" t="s">
        <v>4</v>
      </c>
      <c r="D3134" s="10">
        <v>1461.7190000000001</v>
      </c>
      <c r="E3134" s="10">
        <v>1618.6869999999999</v>
      </c>
      <c r="F3134" t="str">
        <f>VLOOKUP(A3134,StoreLookup,2,FALSE)</f>
        <v>Store#2</v>
      </c>
      <c r="G3134">
        <f>INDEX(CalLookUpTable,MATCH($B3134,CalLookUpRow,0),MATCH(G$1,CalLookUpColumn,0))</f>
        <v>2019</v>
      </c>
      <c r="H3134">
        <f>INDEX(CalLookUpTable,MATCH($B3134,CalLookUpRow,0),MATCH(H$1,CalLookUpColumn,0))</f>
        <v>11</v>
      </c>
      <c r="I3134">
        <f>INDEX(CalLookUpTable,MATCH($B3134,CalLookUpRow,0),MATCH(I$1,CalLookUpColumn,0))</f>
        <v>1</v>
      </c>
    </row>
    <row r="3135" spans="1:9" x14ac:dyDescent="0.25">
      <c r="A3135" s="7">
        <v>2</v>
      </c>
      <c r="B3135" s="8">
        <v>43767</v>
      </c>
      <c r="C3135" s="9" t="s">
        <v>3</v>
      </c>
      <c r="D3135" s="10">
        <v>314.34199999999998</v>
      </c>
      <c r="E3135" s="10">
        <v>0</v>
      </c>
      <c r="F3135" t="str">
        <f>VLOOKUP(A3135,StoreLookup,2,FALSE)</f>
        <v>Store#2</v>
      </c>
      <c r="G3135">
        <f>INDEX(CalLookUpTable,MATCH($B3135,CalLookUpRow,0),MATCH(G$1,CalLookUpColumn,0))</f>
        <v>2019</v>
      </c>
      <c r="H3135">
        <f>INDEX(CalLookUpTable,MATCH($B3135,CalLookUpRow,0),MATCH(H$1,CalLookUpColumn,0))</f>
        <v>11</v>
      </c>
      <c r="I3135">
        <f>INDEX(CalLookUpTable,MATCH($B3135,CalLookUpRow,0),MATCH(I$1,CalLookUpColumn,0))</f>
        <v>1</v>
      </c>
    </row>
    <row r="3136" spans="1:9" x14ac:dyDescent="0.25">
      <c r="A3136" s="7">
        <v>2</v>
      </c>
      <c r="B3136" s="8">
        <v>43767</v>
      </c>
      <c r="C3136" s="9" t="s">
        <v>5</v>
      </c>
      <c r="D3136" s="10">
        <v>1127.5249999999999</v>
      </c>
      <c r="E3136" s="10">
        <v>854.30100000000004</v>
      </c>
      <c r="F3136" t="str">
        <f>VLOOKUP(A3136,StoreLookup,2,FALSE)</f>
        <v>Store#2</v>
      </c>
      <c r="G3136">
        <f>INDEX(CalLookUpTable,MATCH($B3136,CalLookUpRow,0),MATCH(G$1,CalLookUpColumn,0))</f>
        <v>2019</v>
      </c>
      <c r="H3136">
        <f>INDEX(CalLookUpTable,MATCH($B3136,CalLookUpRow,0),MATCH(H$1,CalLookUpColumn,0))</f>
        <v>11</v>
      </c>
      <c r="I3136">
        <f>INDEX(CalLookUpTable,MATCH($B3136,CalLookUpRow,0),MATCH(I$1,CalLookUpColumn,0))</f>
        <v>1</v>
      </c>
    </row>
    <row r="3137" spans="1:9" x14ac:dyDescent="0.25">
      <c r="A3137" s="7">
        <v>2</v>
      </c>
      <c r="B3137" s="8">
        <v>43767</v>
      </c>
      <c r="C3137" s="9" t="s">
        <v>6</v>
      </c>
      <c r="D3137" s="10">
        <v>380.55499999999995</v>
      </c>
      <c r="E3137" s="10">
        <v>279.97899999999998</v>
      </c>
      <c r="F3137" t="str">
        <f>VLOOKUP(A3137,StoreLookup,2,FALSE)</f>
        <v>Store#2</v>
      </c>
      <c r="G3137">
        <f>INDEX(CalLookUpTable,MATCH($B3137,CalLookUpRow,0),MATCH(G$1,CalLookUpColumn,0))</f>
        <v>2019</v>
      </c>
      <c r="H3137">
        <f>INDEX(CalLookUpTable,MATCH($B3137,CalLookUpRow,0),MATCH(H$1,CalLookUpColumn,0))</f>
        <v>11</v>
      </c>
      <c r="I3137">
        <f>INDEX(CalLookUpTable,MATCH($B3137,CalLookUpRow,0),MATCH(I$1,CalLookUpColumn,0))</f>
        <v>1</v>
      </c>
    </row>
    <row r="3138" spans="1:9" x14ac:dyDescent="0.25">
      <c r="A3138" s="7">
        <v>2</v>
      </c>
      <c r="B3138" s="8">
        <v>43768</v>
      </c>
      <c r="C3138" s="9" t="s">
        <v>4</v>
      </c>
      <c r="D3138" s="10">
        <v>1292.893</v>
      </c>
      <c r="E3138" s="10">
        <v>1571.297</v>
      </c>
      <c r="F3138" t="str">
        <f>VLOOKUP(A3138,StoreLookup,2,FALSE)</f>
        <v>Store#2</v>
      </c>
      <c r="G3138">
        <f>INDEX(CalLookUpTable,MATCH($B3138,CalLookUpRow,0),MATCH(G$1,CalLookUpColumn,0))</f>
        <v>2019</v>
      </c>
      <c r="H3138">
        <f>INDEX(CalLookUpTable,MATCH($B3138,CalLookUpRow,0),MATCH(H$1,CalLookUpColumn,0))</f>
        <v>11</v>
      </c>
      <c r="I3138">
        <f>INDEX(CalLookUpTable,MATCH($B3138,CalLookUpRow,0),MATCH(I$1,CalLookUpColumn,0))</f>
        <v>1</v>
      </c>
    </row>
    <row r="3139" spans="1:9" x14ac:dyDescent="0.25">
      <c r="A3139" s="7">
        <v>2</v>
      </c>
      <c r="B3139" s="8">
        <v>43768</v>
      </c>
      <c r="C3139" s="9" t="s">
        <v>6</v>
      </c>
      <c r="D3139" s="10">
        <v>366.29599999999994</v>
      </c>
      <c r="E3139" s="10">
        <v>196.98699999999999</v>
      </c>
      <c r="F3139" t="str">
        <f>VLOOKUP(A3139,StoreLookup,2,FALSE)</f>
        <v>Store#2</v>
      </c>
      <c r="G3139">
        <f>INDEX(CalLookUpTable,MATCH($B3139,CalLookUpRow,0),MATCH(G$1,CalLookUpColumn,0))</f>
        <v>2019</v>
      </c>
      <c r="H3139">
        <f>INDEX(CalLookUpTable,MATCH($B3139,CalLookUpRow,0),MATCH(H$1,CalLookUpColumn,0))</f>
        <v>11</v>
      </c>
      <c r="I3139">
        <f>INDEX(CalLookUpTable,MATCH($B3139,CalLookUpRow,0),MATCH(I$1,CalLookUpColumn,0))</f>
        <v>1</v>
      </c>
    </row>
    <row r="3140" spans="1:9" x14ac:dyDescent="0.25">
      <c r="A3140" s="7">
        <v>2</v>
      </c>
      <c r="B3140" s="8">
        <v>43768</v>
      </c>
      <c r="C3140" s="9" t="s">
        <v>3</v>
      </c>
      <c r="D3140" s="10">
        <v>0</v>
      </c>
      <c r="E3140" s="10">
        <v>0</v>
      </c>
      <c r="F3140" t="str">
        <f>VLOOKUP(A3140,StoreLookup,2,FALSE)</f>
        <v>Store#2</v>
      </c>
      <c r="G3140">
        <f>INDEX(CalLookUpTable,MATCH($B3140,CalLookUpRow,0),MATCH(G$1,CalLookUpColumn,0))</f>
        <v>2019</v>
      </c>
      <c r="H3140">
        <f>INDEX(CalLookUpTable,MATCH($B3140,CalLookUpRow,0),MATCH(H$1,CalLookUpColumn,0))</f>
        <v>11</v>
      </c>
      <c r="I3140">
        <f>INDEX(CalLookUpTable,MATCH($B3140,CalLookUpRow,0),MATCH(I$1,CalLookUpColumn,0))</f>
        <v>1</v>
      </c>
    </row>
    <row r="3141" spans="1:9" x14ac:dyDescent="0.25">
      <c r="A3141" s="7">
        <v>2</v>
      </c>
      <c r="B3141" s="8">
        <v>43768</v>
      </c>
      <c r="C3141" s="9" t="s">
        <v>5</v>
      </c>
      <c r="D3141" s="10">
        <v>1069.3269999999998</v>
      </c>
      <c r="E3141" s="10">
        <v>800.39400000000001</v>
      </c>
      <c r="F3141" t="str">
        <f>VLOOKUP(A3141,StoreLookup,2,FALSE)</f>
        <v>Store#2</v>
      </c>
      <c r="G3141">
        <f>INDEX(CalLookUpTable,MATCH($B3141,CalLookUpRow,0),MATCH(G$1,CalLookUpColumn,0))</f>
        <v>2019</v>
      </c>
      <c r="H3141">
        <f>INDEX(CalLookUpTable,MATCH($B3141,CalLookUpRow,0),MATCH(H$1,CalLookUpColumn,0))</f>
        <v>11</v>
      </c>
      <c r="I3141">
        <f>INDEX(CalLookUpTable,MATCH($B3141,CalLookUpRow,0),MATCH(I$1,CalLookUpColumn,0))</f>
        <v>1</v>
      </c>
    </row>
    <row r="3142" spans="1:9" x14ac:dyDescent="0.25">
      <c r="A3142" s="7">
        <v>2</v>
      </c>
      <c r="B3142" s="8">
        <v>43769</v>
      </c>
      <c r="C3142" s="9" t="s">
        <v>6</v>
      </c>
      <c r="D3142" s="10">
        <v>429.49199999999996</v>
      </c>
      <c r="E3142" s="10">
        <v>345.20499999999998</v>
      </c>
      <c r="F3142" t="str">
        <f>VLOOKUP(A3142,StoreLookup,2,FALSE)</f>
        <v>Store#2</v>
      </c>
      <c r="G3142">
        <f>INDEX(CalLookUpTable,MATCH($B3142,CalLookUpRow,0),MATCH(G$1,CalLookUpColumn,0))</f>
        <v>2019</v>
      </c>
      <c r="H3142">
        <f>INDEX(CalLookUpTable,MATCH($B3142,CalLookUpRow,0),MATCH(H$1,CalLookUpColumn,0))</f>
        <v>11</v>
      </c>
      <c r="I3142">
        <f>INDEX(CalLookUpTable,MATCH($B3142,CalLookUpRow,0),MATCH(I$1,CalLookUpColumn,0))</f>
        <v>1</v>
      </c>
    </row>
    <row r="3143" spans="1:9" x14ac:dyDescent="0.25">
      <c r="A3143" s="7">
        <v>2</v>
      </c>
      <c r="B3143" s="8">
        <v>43769</v>
      </c>
      <c r="C3143" s="9" t="s">
        <v>5</v>
      </c>
      <c r="D3143" s="10">
        <v>1011.591</v>
      </c>
      <c r="E3143" s="10">
        <v>998.55</v>
      </c>
      <c r="F3143" t="str">
        <f>VLOOKUP(A3143,StoreLookup,2,FALSE)</f>
        <v>Store#2</v>
      </c>
      <c r="G3143">
        <f>INDEX(CalLookUpTable,MATCH($B3143,CalLookUpRow,0),MATCH(G$1,CalLookUpColumn,0))</f>
        <v>2019</v>
      </c>
      <c r="H3143">
        <f>INDEX(CalLookUpTable,MATCH($B3143,CalLookUpRow,0),MATCH(H$1,CalLookUpColumn,0))</f>
        <v>11</v>
      </c>
      <c r="I3143">
        <f>INDEX(CalLookUpTable,MATCH($B3143,CalLookUpRow,0),MATCH(I$1,CalLookUpColumn,0))</f>
        <v>1</v>
      </c>
    </row>
    <row r="3144" spans="1:9" x14ac:dyDescent="0.25">
      <c r="A3144" s="7">
        <v>2</v>
      </c>
      <c r="B3144" s="8">
        <v>43769</v>
      </c>
      <c r="C3144" s="9" t="s">
        <v>3</v>
      </c>
      <c r="D3144" s="10">
        <v>0</v>
      </c>
      <c r="E3144" s="10">
        <v>176.54</v>
      </c>
      <c r="F3144" t="str">
        <f>VLOOKUP(A3144,StoreLookup,2,FALSE)</f>
        <v>Store#2</v>
      </c>
      <c r="G3144">
        <f>INDEX(CalLookUpTable,MATCH($B3144,CalLookUpRow,0),MATCH(G$1,CalLookUpColumn,0))</f>
        <v>2019</v>
      </c>
      <c r="H3144">
        <f>INDEX(CalLookUpTable,MATCH($B3144,CalLookUpRow,0),MATCH(H$1,CalLookUpColumn,0))</f>
        <v>11</v>
      </c>
      <c r="I3144">
        <f>INDEX(CalLookUpTable,MATCH($B3144,CalLookUpRow,0),MATCH(I$1,CalLookUpColumn,0))</f>
        <v>1</v>
      </c>
    </row>
    <row r="3145" spans="1:9" x14ac:dyDescent="0.25">
      <c r="A3145" s="7">
        <v>2</v>
      </c>
      <c r="B3145" s="8">
        <v>43769</v>
      </c>
      <c r="C3145" s="9" t="s">
        <v>4</v>
      </c>
      <c r="D3145" s="10">
        <v>1419.5160000000001</v>
      </c>
      <c r="E3145" s="10">
        <v>1673.9449999999999</v>
      </c>
      <c r="F3145" t="str">
        <f>VLOOKUP(A3145,StoreLookup,2,FALSE)</f>
        <v>Store#2</v>
      </c>
      <c r="G3145">
        <f>INDEX(CalLookUpTable,MATCH($B3145,CalLookUpRow,0),MATCH(G$1,CalLookUpColumn,0))</f>
        <v>2019</v>
      </c>
      <c r="H3145">
        <f>INDEX(CalLookUpTable,MATCH($B3145,CalLookUpRow,0),MATCH(H$1,CalLookUpColumn,0))</f>
        <v>11</v>
      </c>
      <c r="I3145">
        <f>INDEX(CalLookUpTable,MATCH($B3145,CalLookUpRow,0),MATCH(I$1,CalLookUpColumn,0))</f>
        <v>1</v>
      </c>
    </row>
    <row r="3146" spans="1:9" x14ac:dyDescent="0.25">
      <c r="A3146" s="7">
        <v>2</v>
      </c>
      <c r="B3146" s="8">
        <v>43770</v>
      </c>
      <c r="C3146" s="9" t="s">
        <v>6</v>
      </c>
      <c r="D3146" s="10">
        <v>575.21799999999996</v>
      </c>
      <c r="E3146" s="10">
        <v>324.149</v>
      </c>
      <c r="F3146" t="str">
        <f>VLOOKUP(A3146,StoreLookup,2,FALSE)</f>
        <v>Store#2</v>
      </c>
      <c r="G3146">
        <f>INDEX(CalLookUpTable,MATCH($B3146,CalLookUpRow,0),MATCH(G$1,CalLookUpColumn,0))</f>
        <v>2019</v>
      </c>
      <c r="H3146">
        <f>INDEX(CalLookUpTable,MATCH($B3146,CalLookUpRow,0),MATCH(H$1,CalLookUpColumn,0))</f>
        <v>11</v>
      </c>
      <c r="I3146">
        <f>INDEX(CalLookUpTable,MATCH($B3146,CalLookUpRow,0),MATCH(I$1,CalLookUpColumn,0))</f>
        <v>1</v>
      </c>
    </row>
    <row r="3147" spans="1:9" x14ac:dyDescent="0.25">
      <c r="A3147" s="7">
        <v>2</v>
      </c>
      <c r="B3147" s="8">
        <v>43770</v>
      </c>
      <c r="C3147" s="9" t="s">
        <v>4</v>
      </c>
      <c r="D3147" s="10">
        <v>2304.6029999999996</v>
      </c>
      <c r="E3147" s="10">
        <v>2578.107</v>
      </c>
      <c r="F3147" t="str">
        <f>VLOOKUP(A3147,StoreLookup,2,FALSE)</f>
        <v>Store#2</v>
      </c>
      <c r="G3147">
        <f>INDEX(CalLookUpTable,MATCH($B3147,CalLookUpRow,0),MATCH(G$1,CalLookUpColumn,0))</f>
        <v>2019</v>
      </c>
      <c r="H3147">
        <f>INDEX(CalLookUpTable,MATCH($B3147,CalLookUpRow,0),MATCH(H$1,CalLookUpColumn,0))</f>
        <v>11</v>
      </c>
      <c r="I3147">
        <f>INDEX(CalLookUpTable,MATCH($B3147,CalLookUpRow,0),MATCH(I$1,CalLookUpColumn,0))</f>
        <v>1</v>
      </c>
    </row>
    <row r="3148" spans="1:9" x14ac:dyDescent="0.25">
      <c r="A3148" s="7">
        <v>2</v>
      </c>
      <c r="B3148" s="8">
        <v>43770</v>
      </c>
      <c r="C3148" s="9" t="s">
        <v>3</v>
      </c>
      <c r="D3148" s="10">
        <v>0</v>
      </c>
      <c r="E3148" s="10">
        <v>4.5430000000000001</v>
      </c>
      <c r="F3148" t="str">
        <f>VLOOKUP(A3148,StoreLookup,2,FALSE)</f>
        <v>Store#2</v>
      </c>
      <c r="G3148">
        <f>INDEX(CalLookUpTable,MATCH($B3148,CalLookUpRow,0),MATCH(G$1,CalLookUpColumn,0))</f>
        <v>2019</v>
      </c>
      <c r="H3148">
        <f>INDEX(CalLookUpTable,MATCH($B3148,CalLookUpRow,0),MATCH(H$1,CalLookUpColumn,0))</f>
        <v>11</v>
      </c>
      <c r="I3148">
        <f>INDEX(CalLookUpTable,MATCH($B3148,CalLookUpRow,0),MATCH(I$1,CalLookUpColumn,0))</f>
        <v>1</v>
      </c>
    </row>
    <row r="3149" spans="1:9" x14ac:dyDescent="0.25">
      <c r="A3149" s="7">
        <v>2</v>
      </c>
      <c r="B3149" s="8">
        <v>43770</v>
      </c>
      <c r="C3149" s="9" t="s">
        <v>5</v>
      </c>
      <c r="D3149" s="10">
        <v>1328.5509999999999</v>
      </c>
      <c r="E3149" s="10">
        <v>1010.8069999999999</v>
      </c>
      <c r="F3149" t="str">
        <f>VLOOKUP(A3149,StoreLookup,2,FALSE)</f>
        <v>Store#2</v>
      </c>
      <c r="G3149">
        <f>INDEX(CalLookUpTable,MATCH($B3149,CalLookUpRow,0),MATCH(G$1,CalLookUpColumn,0))</f>
        <v>2019</v>
      </c>
      <c r="H3149">
        <f>INDEX(CalLookUpTable,MATCH($B3149,CalLookUpRow,0),MATCH(H$1,CalLookUpColumn,0))</f>
        <v>11</v>
      </c>
      <c r="I3149">
        <f>INDEX(CalLookUpTable,MATCH($B3149,CalLookUpRow,0),MATCH(I$1,CalLookUpColumn,0))</f>
        <v>1</v>
      </c>
    </row>
    <row r="3150" spans="1:9" x14ac:dyDescent="0.25">
      <c r="A3150" s="7">
        <v>2</v>
      </c>
      <c r="B3150" s="8">
        <v>43771</v>
      </c>
      <c r="C3150" s="9" t="s">
        <v>3</v>
      </c>
      <c r="D3150" s="10">
        <v>0</v>
      </c>
      <c r="E3150" s="10">
        <v>0</v>
      </c>
      <c r="F3150" t="str">
        <f>VLOOKUP(A3150,StoreLookup,2,FALSE)</f>
        <v>Store#2</v>
      </c>
      <c r="G3150">
        <f>INDEX(CalLookUpTable,MATCH($B3150,CalLookUpRow,0),MATCH(G$1,CalLookUpColumn,0))</f>
        <v>2019</v>
      </c>
      <c r="H3150">
        <f>INDEX(CalLookUpTable,MATCH($B3150,CalLookUpRow,0),MATCH(H$1,CalLookUpColumn,0))</f>
        <v>11</v>
      </c>
      <c r="I3150">
        <f>INDEX(CalLookUpTable,MATCH($B3150,CalLookUpRow,0),MATCH(I$1,CalLookUpColumn,0))</f>
        <v>1</v>
      </c>
    </row>
    <row r="3151" spans="1:9" x14ac:dyDescent="0.25">
      <c r="A3151" s="7">
        <v>2</v>
      </c>
      <c r="B3151" s="8">
        <v>43771</v>
      </c>
      <c r="C3151" s="9" t="s">
        <v>4</v>
      </c>
      <c r="D3151" s="10">
        <v>1973.5729999999999</v>
      </c>
      <c r="E3151" s="10">
        <v>2038.288</v>
      </c>
      <c r="F3151" t="str">
        <f>VLOOKUP(A3151,StoreLookup,2,FALSE)</f>
        <v>Store#2</v>
      </c>
      <c r="G3151">
        <f>INDEX(CalLookUpTable,MATCH($B3151,CalLookUpRow,0),MATCH(G$1,CalLookUpColumn,0))</f>
        <v>2019</v>
      </c>
      <c r="H3151">
        <f>INDEX(CalLookUpTable,MATCH($B3151,CalLookUpRow,0),MATCH(H$1,CalLookUpColumn,0))</f>
        <v>11</v>
      </c>
      <c r="I3151">
        <f>INDEX(CalLookUpTable,MATCH($B3151,CalLookUpRow,0),MATCH(I$1,CalLookUpColumn,0))</f>
        <v>1</v>
      </c>
    </row>
    <row r="3152" spans="1:9" x14ac:dyDescent="0.25">
      <c r="A3152" s="7">
        <v>2</v>
      </c>
      <c r="B3152" s="8">
        <v>43771</v>
      </c>
      <c r="C3152" s="9" t="s">
        <v>5</v>
      </c>
      <c r="D3152" s="10">
        <v>1096.0319999999999</v>
      </c>
      <c r="E3152" s="10">
        <v>1083.6279999999999</v>
      </c>
      <c r="F3152" t="str">
        <f>VLOOKUP(A3152,StoreLookup,2,FALSE)</f>
        <v>Store#2</v>
      </c>
      <c r="G3152">
        <f>INDEX(CalLookUpTable,MATCH($B3152,CalLookUpRow,0),MATCH(G$1,CalLookUpColumn,0))</f>
        <v>2019</v>
      </c>
      <c r="H3152">
        <f>INDEX(CalLookUpTable,MATCH($B3152,CalLookUpRow,0),MATCH(H$1,CalLookUpColumn,0))</f>
        <v>11</v>
      </c>
      <c r="I3152">
        <f>INDEX(CalLookUpTable,MATCH($B3152,CalLookUpRow,0),MATCH(I$1,CalLookUpColumn,0))</f>
        <v>1</v>
      </c>
    </row>
    <row r="3153" spans="1:9" x14ac:dyDescent="0.25">
      <c r="A3153" s="7">
        <v>2</v>
      </c>
      <c r="B3153" s="8">
        <v>43771</v>
      </c>
      <c r="C3153" s="9" t="s">
        <v>6</v>
      </c>
      <c r="D3153" s="10">
        <v>555.072</v>
      </c>
      <c r="E3153" s="10">
        <v>377.25800000000004</v>
      </c>
      <c r="F3153" t="str">
        <f>VLOOKUP(A3153,StoreLookup,2,FALSE)</f>
        <v>Store#2</v>
      </c>
      <c r="G3153">
        <f>INDEX(CalLookUpTable,MATCH($B3153,CalLookUpRow,0),MATCH(G$1,CalLookUpColumn,0))</f>
        <v>2019</v>
      </c>
      <c r="H3153">
        <f>INDEX(CalLookUpTable,MATCH($B3153,CalLookUpRow,0),MATCH(H$1,CalLookUpColumn,0))</f>
        <v>11</v>
      </c>
      <c r="I3153">
        <f>INDEX(CalLookUpTable,MATCH($B3153,CalLookUpRow,0),MATCH(I$1,CalLookUpColumn,0))</f>
        <v>1</v>
      </c>
    </row>
    <row r="3154" spans="1:9" x14ac:dyDescent="0.25">
      <c r="A3154" s="7">
        <v>2</v>
      </c>
      <c r="B3154" s="8">
        <v>43772</v>
      </c>
      <c r="C3154" s="9" t="s">
        <v>3</v>
      </c>
      <c r="D3154" s="10">
        <v>0</v>
      </c>
      <c r="E3154" s="10">
        <v>0</v>
      </c>
      <c r="F3154" t="str">
        <f>VLOOKUP(A3154,StoreLookup,2,FALSE)</f>
        <v>Store#2</v>
      </c>
      <c r="G3154">
        <f>INDEX(CalLookUpTable,MATCH($B3154,CalLookUpRow,0),MATCH(G$1,CalLookUpColumn,0))</f>
        <v>2019</v>
      </c>
      <c r="H3154">
        <f>INDEX(CalLookUpTable,MATCH($B3154,CalLookUpRow,0),MATCH(H$1,CalLookUpColumn,0))</f>
        <v>11</v>
      </c>
      <c r="I3154">
        <f>INDEX(CalLookUpTable,MATCH($B3154,CalLookUpRow,0),MATCH(I$1,CalLookUpColumn,0))</f>
        <v>1</v>
      </c>
    </row>
    <row r="3155" spans="1:9" x14ac:dyDescent="0.25">
      <c r="A3155" s="7">
        <v>2</v>
      </c>
      <c r="B3155" s="8">
        <v>43772</v>
      </c>
      <c r="C3155" s="9" t="s">
        <v>4</v>
      </c>
      <c r="D3155" s="10">
        <v>884.779</v>
      </c>
      <c r="E3155" s="10">
        <v>1195.1239999999998</v>
      </c>
      <c r="F3155" t="str">
        <f>VLOOKUP(A3155,StoreLookup,2,FALSE)</f>
        <v>Store#2</v>
      </c>
      <c r="G3155">
        <f>INDEX(CalLookUpTable,MATCH($B3155,CalLookUpRow,0),MATCH(G$1,CalLookUpColumn,0))</f>
        <v>2019</v>
      </c>
      <c r="H3155">
        <f>INDEX(CalLookUpTable,MATCH($B3155,CalLookUpRow,0),MATCH(H$1,CalLookUpColumn,0))</f>
        <v>11</v>
      </c>
      <c r="I3155">
        <f>INDEX(CalLookUpTable,MATCH($B3155,CalLookUpRow,0),MATCH(I$1,CalLookUpColumn,0))</f>
        <v>1</v>
      </c>
    </row>
    <row r="3156" spans="1:9" x14ac:dyDescent="0.25">
      <c r="A3156" s="7">
        <v>2</v>
      </c>
      <c r="B3156" s="8">
        <v>43772</v>
      </c>
      <c r="C3156" s="9" t="s">
        <v>6</v>
      </c>
      <c r="D3156" s="10">
        <v>359.63899999999995</v>
      </c>
      <c r="E3156" s="10">
        <v>153.14599999999999</v>
      </c>
      <c r="F3156" t="str">
        <f>VLOOKUP(A3156,StoreLookup,2,FALSE)</f>
        <v>Store#2</v>
      </c>
      <c r="G3156">
        <f>INDEX(CalLookUpTable,MATCH($B3156,CalLookUpRow,0),MATCH(G$1,CalLookUpColumn,0))</f>
        <v>2019</v>
      </c>
      <c r="H3156">
        <f>INDEX(CalLookUpTable,MATCH($B3156,CalLookUpRow,0),MATCH(H$1,CalLookUpColumn,0))</f>
        <v>11</v>
      </c>
      <c r="I3156">
        <f>INDEX(CalLookUpTable,MATCH($B3156,CalLookUpRow,0),MATCH(I$1,CalLookUpColumn,0))</f>
        <v>1</v>
      </c>
    </row>
    <row r="3157" spans="1:9" x14ac:dyDescent="0.25">
      <c r="A3157" s="7">
        <v>2</v>
      </c>
      <c r="B3157" s="8">
        <v>43772</v>
      </c>
      <c r="C3157" s="9" t="s">
        <v>5</v>
      </c>
      <c r="D3157" s="10">
        <v>617.77099999999996</v>
      </c>
      <c r="E3157" s="10">
        <v>587.21600000000001</v>
      </c>
      <c r="F3157" t="str">
        <f>VLOOKUP(A3157,StoreLookup,2,FALSE)</f>
        <v>Store#2</v>
      </c>
      <c r="G3157">
        <f>INDEX(CalLookUpTable,MATCH($B3157,CalLookUpRow,0),MATCH(G$1,CalLookUpColumn,0))</f>
        <v>2019</v>
      </c>
      <c r="H3157">
        <f>INDEX(CalLookUpTable,MATCH($B3157,CalLookUpRow,0),MATCH(H$1,CalLookUpColumn,0))</f>
        <v>11</v>
      </c>
      <c r="I3157">
        <f>INDEX(CalLookUpTable,MATCH($B3157,CalLookUpRow,0),MATCH(I$1,CalLookUpColumn,0))</f>
        <v>1</v>
      </c>
    </row>
    <row r="3158" spans="1:9" x14ac:dyDescent="0.25">
      <c r="A3158" s="7">
        <v>2</v>
      </c>
      <c r="B3158" s="8">
        <v>43773</v>
      </c>
      <c r="C3158" s="9" t="s">
        <v>4</v>
      </c>
      <c r="D3158" s="10">
        <v>1360.8349999999998</v>
      </c>
      <c r="E3158" s="10">
        <v>1610.5809999999999</v>
      </c>
      <c r="F3158" t="str">
        <f>VLOOKUP(A3158,StoreLookup,2,FALSE)</f>
        <v>Store#2</v>
      </c>
      <c r="G3158">
        <f>INDEX(CalLookUpTable,MATCH($B3158,CalLookUpRow,0),MATCH(G$1,CalLookUpColumn,0))</f>
        <v>2019</v>
      </c>
      <c r="H3158">
        <f>INDEX(CalLookUpTable,MATCH($B3158,CalLookUpRow,0),MATCH(H$1,CalLookUpColumn,0))</f>
        <v>11</v>
      </c>
      <c r="I3158">
        <f>INDEX(CalLookUpTable,MATCH($B3158,CalLookUpRow,0),MATCH(I$1,CalLookUpColumn,0))</f>
        <v>2</v>
      </c>
    </row>
    <row r="3159" spans="1:9" x14ac:dyDescent="0.25">
      <c r="A3159" s="7">
        <v>2</v>
      </c>
      <c r="B3159" s="8">
        <v>43773</v>
      </c>
      <c r="C3159" s="9" t="s">
        <v>3</v>
      </c>
      <c r="D3159" s="10">
        <v>0</v>
      </c>
      <c r="E3159" s="10">
        <v>0</v>
      </c>
      <c r="F3159" t="str">
        <f>VLOOKUP(A3159,StoreLookup,2,FALSE)</f>
        <v>Store#2</v>
      </c>
      <c r="G3159">
        <f>INDEX(CalLookUpTable,MATCH($B3159,CalLookUpRow,0),MATCH(G$1,CalLookUpColumn,0))</f>
        <v>2019</v>
      </c>
      <c r="H3159">
        <f>INDEX(CalLookUpTable,MATCH($B3159,CalLookUpRow,0),MATCH(H$1,CalLookUpColumn,0))</f>
        <v>11</v>
      </c>
      <c r="I3159">
        <f>INDEX(CalLookUpTable,MATCH($B3159,CalLookUpRow,0),MATCH(I$1,CalLookUpColumn,0))</f>
        <v>2</v>
      </c>
    </row>
    <row r="3160" spans="1:9" x14ac:dyDescent="0.25">
      <c r="A3160" s="7">
        <v>2</v>
      </c>
      <c r="B3160" s="8">
        <v>43773</v>
      </c>
      <c r="C3160" s="9" t="s">
        <v>5</v>
      </c>
      <c r="D3160" s="10">
        <v>1053.787</v>
      </c>
      <c r="E3160" s="10">
        <v>895.46100000000001</v>
      </c>
      <c r="F3160" t="str">
        <f>VLOOKUP(A3160,StoreLookup,2,FALSE)</f>
        <v>Store#2</v>
      </c>
      <c r="G3160">
        <f>INDEX(CalLookUpTable,MATCH($B3160,CalLookUpRow,0),MATCH(G$1,CalLookUpColumn,0))</f>
        <v>2019</v>
      </c>
      <c r="H3160">
        <f>INDEX(CalLookUpTable,MATCH($B3160,CalLookUpRow,0),MATCH(H$1,CalLookUpColumn,0))</f>
        <v>11</v>
      </c>
      <c r="I3160">
        <f>INDEX(CalLookUpTable,MATCH($B3160,CalLookUpRow,0),MATCH(I$1,CalLookUpColumn,0))</f>
        <v>2</v>
      </c>
    </row>
    <row r="3161" spans="1:9" x14ac:dyDescent="0.25">
      <c r="A3161" s="7">
        <v>2</v>
      </c>
      <c r="B3161" s="8">
        <v>43773</v>
      </c>
      <c r="C3161" s="9" t="s">
        <v>6</v>
      </c>
      <c r="D3161" s="10">
        <v>262.21299999999997</v>
      </c>
      <c r="E3161" s="10">
        <v>235.94199999999998</v>
      </c>
      <c r="F3161" t="str">
        <f>VLOOKUP(A3161,StoreLookup,2,FALSE)</f>
        <v>Store#2</v>
      </c>
      <c r="G3161">
        <f>INDEX(CalLookUpTable,MATCH($B3161,CalLookUpRow,0),MATCH(G$1,CalLookUpColumn,0))</f>
        <v>2019</v>
      </c>
      <c r="H3161">
        <f>INDEX(CalLookUpTable,MATCH($B3161,CalLookUpRow,0),MATCH(H$1,CalLookUpColumn,0))</f>
        <v>11</v>
      </c>
      <c r="I3161">
        <f>INDEX(CalLookUpTable,MATCH($B3161,CalLookUpRow,0),MATCH(I$1,CalLookUpColumn,0))</f>
        <v>2</v>
      </c>
    </row>
    <row r="3162" spans="1:9" x14ac:dyDescent="0.25">
      <c r="A3162" s="7">
        <v>2</v>
      </c>
      <c r="B3162" s="8">
        <v>43774</v>
      </c>
      <c r="C3162" s="9" t="s">
        <v>4</v>
      </c>
      <c r="D3162" s="10">
        <v>1761.557</v>
      </c>
      <c r="E3162" s="10">
        <v>1620.0940000000001</v>
      </c>
      <c r="F3162" t="str">
        <f>VLOOKUP(A3162,StoreLookup,2,FALSE)</f>
        <v>Store#2</v>
      </c>
      <c r="G3162">
        <f>INDEX(CalLookUpTable,MATCH($B3162,CalLookUpRow,0),MATCH(G$1,CalLookUpColumn,0))</f>
        <v>2019</v>
      </c>
      <c r="H3162">
        <f>INDEX(CalLookUpTable,MATCH($B3162,CalLookUpRow,0),MATCH(H$1,CalLookUpColumn,0))</f>
        <v>11</v>
      </c>
      <c r="I3162">
        <f>INDEX(CalLookUpTable,MATCH($B3162,CalLookUpRow,0),MATCH(I$1,CalLookUpColumn,0))</f>
        <v>2</v>
      </c>
    </row>
    <row r="3163" spans="1:9" x14ac:dyDescent="0.25">
      <c r="A3163" s="7">
        <v>2</v>
      </c>
      <c r="B3163" s="8">
        <v>43774</v>
      </c>
      <c r="C3163" s="9" t="s">
        <v>6</v>
      </c>
      <c r="D3163" s="10">
        <v>369.06799999999998</v>
      </c>
      <c r="E3163" s="10">
        <v>437.28300000000002</v>
      </c>
      <c r="F3163" t="str">
        <f>VLOOKUP(A3163,StoreLookup,2,FALSE)</f>
        <v>Store#2</v>
      </c>
      <c r="G3163">
        <f>INDEX(CalLookUpTable,MATCH($B3163,CalLookUpRow,0),MATCH(G$1,CalLookUpColumn,0))</f>
        <v>2019</v>
      </c>
      <c r="H3163">
        <f>INDEX(CalLookUpTable,MATCH($B3163,CalLookUpRow,0),MATCH(H$1,CalLookUpColumn,0))</f>
        <v>11</v>
      </c>
      <c r="I3163">
        <f>INDEX(CalLookUpTable,MATCH($B3163,CalLookUpRow,0),MATCH(I$1,CalLookUpColumn,0))</f>
        <v>2</v>
      </c>
    </row>
    <row r="3164" spans="1:9" x14ac:dyDescent="0.25">
      <c r="A3164" s="7">
        <v>2</v>
      </c>
      <c r="B3164" s="8">
        <v>43774</v>
      </c>
      <c r="C3164" s="9" t="s">
        <v>3</v>
      </c>
      <c r="D3164" s="10">
        <v>0</v>
      </c>
      <c r="E3164" s="10">
        <v>159.95699999999999</v>
      </c>
      <c r="F3164" t="str">
        <f>VLOOKUP(A3164,StoreLookup,2,FALSE)</f>
        <v>Store#2</v>
      </c>
      <c r="G3164">
        <f>INDEX(CalLookUpTable,MATCH($B3164,CalLookUpRow,0),MATCH(G$1,CalLookUpColumn,0))</f>
        <v>2019</v>
      </c>
      <c r="H3164">
        <f>INDEX(CalLookUpTable,MATCH($B3164,CalLookUpRow,0),MATCH(H$1,CalLookUpColumn,0))</f>
        <v>11</v>
      </c>
      <c r="I3164">
        <f>INDEX(CalLookUpTable,MATCH($B3164,CalLookUpRow,0),MATCH(I$1,CalLookUpColumn,0))</f>
        <v>2</v>
      </c>
    </row>
    <row r="3165" spans="1:9" x14ac:dyDescent="0.25">
      <c r="A3165" s="7">
        <v>2</v>
      </c>
      <c r="B3165" s="8">
        <v>43774</v>
      </c>
      <c r="C3165" s="9" t="s">
        <v>5</v>
      </c>
      <c r="D3165" s="10">
        <v>1112.5589999999997</v>
      </c>
      <c r="E3165" s="10">
        <v>1002.7569999999999</v>
      </c>
      <c r="F3165" t="str">
        <f>VLOOKUP(A3165,StoreLookup,2,FALSE)</f>
        <v>Store#2</v>
      </c>
      <c r="G3165">
        <f>INDEX(CalLookUpTable,MATCH($B3165,CalLookUpRow,0),MATCH(G$1,CalLookUpColumn,0))</f>
        <v>2019</v>
      </c>
      <c r="H3165">
        <f>INDEX(CalLookUpTable,MATCH($B3165,CalLookUpRow,0),MATCH(H$1,CalLookUpColumn,0))</f>
        <v>11</v>
      </c>
      <c r="I3165">
        <f>INDEX(CalLookUpTable,MATCH($B3165,CalLookUpRow,0),MATCH(I$1,CalLookUpColumn,0))</f>
        <v>2</v>
      </c>
    </row>
    <row r="3166" spans="1:9" x14ac:dyDescent="0.25">
      <c r="A3166" s="7">
        <v>2</v>
      </c>
      <c r="B3166" s="8">
        <v>43775</v>
      </c>
      <c r="C3166" s="9" t="s">
        <v>4</v>
      </c>
      <c r="D3166" s="10">
        <v>1986.9849999999999</v>
      </c>
      <c r="E3166" s="10">
        <v>1692.383</v>
      </c>
      <c r="F3166" t="str">
        <f>VLOOKUP(A3166,StoreLookup,2,FALSE)</f>
        <v>Store#2</v>
      </c>
      <c r="G3166">
        <f>INDEX(CalLookUpTable,MATCH($B3166,CalLookUpRow,0),MATCH(G$1,CalLookUpColumn,0))</f>
        <v>2019</v>
      </c>
      <c r="H3166">
        <f>INDEX(CalLookUpTable,MATCH($B3166,CalLookUpRow,0),MATCH(H$1,CalLookUpColumn,0))</f>
        <v>11</v>
      </c>
      <c r="I3166">
        <f>INDEX(CalLookUpTable,MATCH($B3166,CalLookUpRow,0),MATCH(I$1,CalLookUpColumn,0))</f>
        <v>2</v>
      </c>
    </row>
    <row r="3167" spans="1:9" x14ac:dyDescent="0.25">
      <c r="A3167" s="7">
        <v>2</v>
      </c>
      <c r="B3167" s="8">
        <v>43775</v>
      </c>
      <c r="C3167" s="9" t="s">
        <v>3</v>
      </c>
      <c r="D3167" s="10">
        <v>0</v>
      </c>
      <c r="E3167" s="10">
        <v>0</v>
      </c>
      <c r="F3167" t="str">
        <f>VLOOKUP(A3167,StoreLookup,2,FALSE)</f>
        <v>Store#2</v>
      </c>
      <c r="G3167">
        <f>INDEX(CalLookUpTable,MATCH($B3167,CalLookUpRow,0),MATCH(G$1,CalLookUpColumn,0))</f>
        <v>2019</v>
      </c>
      <c r="H3167">
        <f>INDEX(CalLookUpTable,MATCH($B3167,CalLookUpRow,0),MATCH(H$1,CalLookUpColumn,0))</f>
        <v>11</v>
      </c>
      <c r="I3167">
        <f>INDEX(CalLookUpTable,MATCH($B3167,CalLookUpRow,0),MATCH(I$1,CalLookUpColumn,0))</f>
        <v>2</v>
      </c>
    </row>
    <row r="3168" spans="1:9" x14ac:dyDescent="0.25">
      <c r="A3168" s="7">
        <v>2</v>
      </c>
      <c r="B3168" s="8">
        <v>43775</v>
      </c>
      <c r="C3168" s="9" t="s">
        <v>6</v>
      </c>
      <c r="D3168" s="10">
        <v>356.202</v>
      </c>
      <c r="E3168" s="10">
        <v>258.34899999999999</v>
      </c>
      <c r="F3168" t="str">
        <f>VLOOKUP(A3168,StoreLookup,2,FALSE)</f>
        <v>Store#2</v>
      </c>
      <c r="G3168">
        <f>INDEX(CalLookUpTable,MATCH($B3168,CalLookUpRow,0),MATCH(G$1,CalLookUpColumn,0))</f>
        <v>2019</v>
      </c>
      <c r="H3168">
        <f>INDEX(CalLookUpTable,MATCH($B3168,CalLookUpRow,0),MATCH(H$1,CalLookUpColumn,0))</f>
        <v>11</v>
      </c>
      <c r="I3168">
        <f>INDEX(CalLookUpTable,MATCH($B3168,CalLookUpRow,0),MATCH(I$1,CalLookUpColumn,0))</f>
        <v>2</v>
      </c>
    </row>
    <row r="3169" spans="1:9" x14ac:dyDescent="0.25">
      <c r="A3169" s="7">
        <v>2</v>
      </c>
      <c r="B3169" s="8">
        <v>43775</v>
      </c>
      <c r="C3169" s="9" t="s">
        <v>5</v>
      </c>
      <c r="D3169" s="10">
        <v>1253.6510000000001</v>
      </c>
      <c r="E3169" s="10">
        <v>842.77199999999993</v>
      </c>
      <c r="F3169" t="str">
        <f>VLOOKUP(A3169,StoreLookup,2,FALSE)</f>
        <v>Store#2</v>
      </c>
      <c r="G3169">
        <f>INDEX(CalLookUpTable,MATCH($B3169,CalLookUpRow,0),MATCH(G$1,CalLookUpColumn,0))</f>
        <v>2019</v>
      </c>
      <c r="H3169">
        <f>INDEX(CalLookUpTable,MATCH($B3169,CalLookUpRow,0),MATCH(H$1,CalLookUpColumn,0))</f>
        <v>11</v>
      </c>
      <c r="I3169">
        <f>INDEX(CalLookUpTable,MATCH($B3169,CalLookUpRow,0),MATCH(I$1,CalLookUpColumn,0))</f>
        <v>2</v>
      </c>
    </row>
    <row r="3170" spans="1:9" x14ac:dyDescent="0.25">
      <c r="A3170" s="7">
        <v>2</v>
      </c>
      <c r="B3170" s="8">
        <v>43776</v>
      </c>
      <c r="C3170" s="9" t="s">
        <v>4</v>
      </c>
      <c r="D3170" s="10">
        <v>1617.4269999999999</v>
      </c>
      <c r="E3170" s="10">
        <v>1980.335</v>
      </c>
      <c r="F3170" t="str">
        <f>VLOOKUP(A3170,StoreLookup,2,FALSE)</f>
        <v>Store#2</v>
      </c>
      <c r="G3170">
        <f>INDEX(CalLookUpTable,MATCH($B3170,CalLookUpRow,0),MATCH(G$1,CalLookUpColumn,0))</f>
        <v>2019</v>
      </c>
      <c r="H3170">
        <f>INDEX(CalLookUpTable,MATCH($B3170,CalLookUpRow,0),MATCH(H$1,CalLookUpColumn,0))</f>
        <v>11</v>
      </c>
      <c r="I3170">
        <f>INDEX(CalLookUpTable,MATCH($B3170,CalLookUpRow,0),MATCH(I$1,CalLookUpColumn,0))</f>
        <v>2</v>
      </c>
    </row>
    <row r="3171" spans="1:9" x14ac:dyDescent="0.25">
      <c r="A3171" s="7">
        <v>2</v>
      </c>
      <c r="B3171" s="8">
        <v>43776</v>
      </c>
      <c r="C3171" s="9" t="s">
        <v>5</v>
      </c>
      <c r="D3171" s="10">
        <v>1214.2059999999999</v>
      </c>
      <c r="E3171" s="10">
        <v>1143.6949999999999</v>
      </c>
      <c r="F3171" t="str">
        <f>VLOOKUP(A3171,StoreLookup,2,FALSE)</f>
        <v>Store#2</v>
      </c>
      <c r="G3171">
        <f>INDEX(CalLookUpTable,MATCH($B3171,CalLookUpRow,0),MATCH(G$1,CalLookUpColumn,0))</f>
        <v>2019</v>
      </c>
      <c r="H3171">
        <f>INDEX(CalLookUpTable,MATCH($B3171,CalLookUpRow,0),MATCH(H$1,CalLookUpColumn,0))</f>
        <v>11</v>
      </c>
      <c r="I3171">
        <f>INDEX(CalLookUpTable,MATCH($B3171,CalLookUpRow,0),MATCH(I$1,CalLookUpColumn,0))</f>
        <v>2</v>
      </c>
    </row>
    <row r="3172" spans="1:9" x14ac:dyDescent="0.25">
      <c r="A3172" s="7">
        <v>2</v>
      </c>
      <c r="B3172" s="8">
        <v>43776</v>
      </c>
      <c r="C3172" s="9" t="s">
        <v>6</v>
      </c>
      <c r="D3172" s="10">
        <v>370.29999999999995</v>
      </c>
      <c r="E3172" s="10">
        <v>248.09399999999999</v>
      </c>
      <c r="F3172" t="str">
        <f>VLOOKUP(A3172,StoreLookup,2,FALSE)</f>
        <v>Store#2</v>
      </c>
      <c r="G3172">
        <f>INDEX(CalLookUpTable,MATCH($B3172,CalLookUpRow,0),MATCH(G$1,CalLookUpColumn,0))</f>
        <v>2019</v>
      </c>
      <c r="H3172">
        <f>INDEX(CalLookUpTable,MATCH($B3172,CalLookUpRow,0),MATCH(H$1,CalLookUpColumn,0))</f>
        <v>11</v>
      </c>
      <c r="I3172">
        <f>INDEX(CalLookUpTable,MATCH($B3172,CalLookUpRow,0),MATCH(I$1,CalLookUpColumn,0))</f>
        <v>2</v>
      </c>
    </row>
    <row r="3173" spans="1:9" x14ac:dyDescent="0.25">
      <c r="A3173" s="7">
        <v>2</v>
      </c>
      <c r="B3173" s="8">
        <v>43776</v>
      </c>
      <c r="C3173" s="9" t="s">
        <v>3</v>
      </c>
      <c r="D3173" s="10">
        <v>0</v>
      </c>
      <c r="E3173" s="10">
        <v>0</v>
      </c>
      <c r="F3173" t="str">
        <f>VLOOKUP(A3173,StoreLookup,2,FALSE)</f>
        <v>Store#2</v>
      </c>
      <c r="G3173">
        <f>INDEX(CalLookUpTable,MATCH($B3173,CalLookUpRow,0),MATCH(G$1,CalLookUpColumn,0))</f>
        <v>2019</v>
      </c>
      <c r="H3173">
        <f>INDEX(CalLookUpTable,MATCH($B3173,CalLookUpRow,0),MATCH(H$1,CalLookUpColumn,0))</f>
        <v>11</v>
      </c>
      <c r="I3173">
        <f>INDEX(CalLookUpTable,MATCH($B3173,CalLookUpRow,0),MATCH(I$1,CalLookUpColumn,0))</f>
        <v>2</v>
      </c>
    </row>
    <row r="3174" spans="1:9" x14ac:dyDescent="0.25">
      <c r="A3174" s="7">
        <v>2</v>
      </c>
      <c r="B3174" s="8">
        <v>43777</v>
      </c>
      <c r="C3174" s="9" t="s">
        <v>6</v>
      </c>
      <c r="D3174" s="10">
        <v>596.23899999999992</v>
      </c>
      <c r="E3174" s="10">
        <v>373.25400000000002</v>
      </c>
      <c r="F3174" t="str">
        <f>VLOOKUP(A3174,StoreLookup,2,FALSE)</f>
        <v>Store#2</v>
      </c>
      <c r="G3174">
        <f>INDEX(CalLookUpTable,MATCH($B3174,CalLookUpRow,0),MATCH(G$1,CalLookUpColumn,0))</f>
        <v>2019</v>
      </c>
      <c r="H3174">
        <f>INDEX(CalLookUpTable,MATCH($B3174,CalLookUpRow,0),MATCH(H$1,CalLookUpColumn,0))</f>
        <v>11</v>
      </c>
      <c r="I3174">
        <f>INDEX(CalLookUpTable,MATCH($B3174,CalLookUpRow,0),MATCH(I$1,CalLookUpColumn,0))</f>
        <v>2</v>
      </c>
    </row>
    <row r="3175" spans="1:9" x14ac:dyDescent="0.25">
      <c r="A3175" s="7">
        <v>2</v>
      </c>
      <c r="B3175" s="8">
        <v>43777</v>
      </c>
      <c r="C3175" s="9" t="s">
        <v>4</v>
      </c>
      <c r="D3175" s="10">
        <v>2506.4270000000001</v>
      </c>
      <c r="E3175" s="10">
        <v>2512.1460000000002</v>
      </c>
      <c r="F3175" t="str">
        <f>VLOOKUP(A3175,StoreLookup,2,FALSE)</f>
        <v>Store#2</v>
      </c>
      <c r="G3175">
        <f>INDEX(CalLookUpTable,MATCH($B3175,CalLookUpRow,0),MATCH(G$1,CalLookUpColumn,0))</f>
        <v>2019</v>
      </c>
      <c r="H3175">
        <f>INDEX(CalLookUpTable,MATCH($B3175,CalLookUpRow,0),MATCH(H$1,CalLookUpColumn,0))</f>
        <v>11</v>
      </c>
      <c r="I3175">
        <f>INDEX(CalLookUpTable,MATCH($B3175,CalLookUpRow,0),MATCH(I$1,CalLookUpColumn,0))</f>
        <v>2</v>
      </c>
    </row>
    <row r="3176" spans="1:9" x14ac:dyDescent="0.25">
      <c r="A3176" s="7">
        <v>2</v>
      </c>
      <c r="B3176" s="8">
        <v>43777</v>
      </c>
      <c r="C3176" s="9" t="s">
        <v>3</v>
      </c>
      <c r="D3176" s="10">
        <v>0</v>
      </c>
      <c r="E3176" s="10">
        <v>0</v>
      </c>
      <c r="F3176" t="str">
        <f>VLOOKUP(A3176,StoreLookup,2,FALSE)</f>
        <v>Store#2</v>
      </c>
      <c r="G3176">
        <f>INDEX(CalLookUpTable,MATCH($B3176,CalLookUpRow,0),MATCH(G$1,CalLookUpColumn,0))</f>
        <v>2019</v>
      </c>
      <c r="H3176">
        <f>INDEX(CalLookUpTable,MATCH($B3176,CalLookUpRow,0),MATCH(H$1,CalLookUpColumn,0))</f>
        <v>11</v>
      </c>
      <c r="I3176">
        <f>INDEX(CalLookUpTable,MATCH($B3176,CalLookUpRow,0),MATCH(I$1,CalLookUpColumn,0))</f>
        <v>2</v>
      </c>
    </row>
    <row r="3177" spans="1:9" x14ac:dyDescent="0.25">
      <c r="A3177" s="7">
        <v>2</v>
      </c>
      <c r="B3177" s="8">
        <v>43777</v>
      </c>
      <c r="C3177" s="9" t="s">
        <v>5</v>
      </c>
      <c r="D3177" s="10">
        <v>929.404</v>
      </c>
      <c r="E3177" s="10">
        <v>1293.579</v>
      </c>
      <c r="F3177" t="str">
        <f>VLOOKUP(A3177,StoreLookup,2,FALSE)</f>
        <v>Store#2</v>
      </c>
      <c r="G3177">
        <f>INDEX(CalLookUpTable,MATCH($B3177,CalLookUpRow,0),MATCH(G$1,CalLookUpColumn,0))</f>
        <v>2019</v>
      </c>
      <c r="H3177">
        <f>INDEX(CalLookUpTable,MATCH($B3177,CalLookUpRow,0),MATCH(H$1,CalLookUpColumn,0))</f>
        <v>11</v>
      </c>
      <c r="I3177">
        <f>INDEX(CalLookUpTable,MATCH($B3177,CalLookUpRow,0),MATCH(I$1,CalLookUpColumn,0))</f>
        <v>2</v>
      </c>
    </row>
    <row r="3178" spans="1:9" x14ac:dyDescent="0.25">
      <c r="A3178" s="7">
        <v>2</v>
      </c>
      <c r="B3178" s="8">
        <v>43778</v>
      </c>
      <c r="C3178" s="9" t="s">
        <v>6</v>
      </c>
      <c r="D3178" s="10">
        <v>530.87299999999993</v>
      </c>
      <c r="E3178" s="10">
        <v>288.512</v>
      </c>
      <c r="F3178" t="str">
        <f>VLOOKUP(A3178,StoreLookup,2,FALSE)</f>
        <v>Store#2</v>
      </c>
      <c r="G3178">
        <f>INDEX(CalLookUpTable,MATCH($B3178,CalLookUpRow,0),MATCH(G$1,CalLookUpColumn,0))</f>
        <v>2019</v>
      </c>
      <c r="H3178">
        <f>INDEX(CalLookUpTable,MATCH($B3178,CalLookUpRow,0),MATCH(H$1,CalLookUpColumn,0))</f>
        <v>11</v>
      </c>
      <c r="I3178">
        <f>INDEX(CalLookUpTable,MATCH($B3178,CalLookUpRow,0),MATCH(I$1,CalLookUpColumn,0))</f>
        <v>2</v>
      </c>
    </row>
    <row r="3179" spans="1:9" x14ac:dyDescent="0.25">
      <c r="A3179" s="7">
        <v>2</v>
      </c>
      <c r="B3179" s="8">
        <v>43778</v>
      </c>
      <c r="C3179" s="9" t="s">
        <v>4</v>
      </c>
      <c r="D3179" s="10">
        <v>2205.1329999999998</v>
      </c>
      <c r="E3179" s="10">
        <v>2078.7059999999997</v>
      </c>
      <c r="F3179" t="str">
        <f>VLOOKUP(A3179,StoreLookup,2,FALSE)</f>
        <v>Store#2</v>
      </c>
      <c r="G3179">
        <f>INDEX(CalLookUpTable,MATCH($B3179,CalLookUpRow,0),MATCH(G$1,CalLookUpColumn,0))</f>
        <v>2019</v>
      </c>
      <c r="H3179">
        <f>INDEX(CalLookUpTable,MATCH($B3179,CalLookUpRow,0),MATCH(H$1,CalLookUpColumn,0))</f>
        <v>11</v>
      </c>
      <c r="I3179">
        <f>INDEX(CalLookUpTable,MATCH($B3179,CalLookUpRow,0),MATCH(I$1,CalLookUpColumn,0))</f>
        <v>2</v>
      </c>
    </row>
    <row r="3180" spans="1:9" x14ac:dyDescent="0.25">
      <c r="A3180" s="7">
        <v>2</v>
      </c>
      <c r="B3180" s="8">
        <v>43778</v>
      </c>
      <c r="C3180" s="9" t="s">
        <v>5</v>
      </c>
      <c r="D3180" s="10">
        <v>988.87599999999998</v>
      </c>
      <c r="E3180" s="10">
        <v>987.67899999999997</v>
      </c>
      <c r="F3180" t="str">
        <f>VLOOKUP(A3180,StoreLookup,2,FALSE)</f>
        <v>Store#2</v>
      </c>
      <c r="G3180">
        <f>INDEX(CalLookUpTable,MATCH($B3180,CalLookUpRow,0),MATCH(G$1,CalLookUpColumn,0))</f>
        <v>2019</v>
      </c>
      <c r="H3180">
        <f>INDEX(CalLookUpTable,MATCH($B3180,CalLookUpRow,0),MATCH(H$1,CalLookUpColumn,0))</f>
        <v>11</v>
      </c>
      <c r="I3180">
        <f>INDEX(CalLookUpTable,MATCH($B3180,CalLookUpRow,0),MATCH(I$1,CalLookUpColumn,0))</f>
        <v>2</v>
      </c>
    </row>
    <row r="3181" spans="1:9" x14ac:dyDescent="0.25">
      <c r="A3181" s="7">
        <v>2</v>
      </c>
      <c r="B3181" s="8">
        <v>43778</v>
      </c>
      <c r="C3181" s="9" t="s">
        <v>3</v>
      </c>
      <c r="D3181" s="10">
        <v>0</v>
      </c>
      <c r="E3181" s="10">
        <v>0</v>
      </c>
      <c r="F3181" t="str">
        <f>VLOOKUP(A3181,StoreLookup,2,FALSE)</f>
        <v>Store#2</v>
      </c>
      <c r="G3181">
        <f>INDEX(CalLookUpTable,MATCH($B3181,CalLookUpRow,0),MATCH(G$1,CalLookUpColumn,0))</f>
        <v>2019</v>
      </c>
      <c r="H3181">
        <f>INDEX(CalLookUpTable,MATCH($B3181,CalLookUpRow,0),MATCH(H$1,CalLookUpColumn,0))</f>
        <v>11</v>
      </c>
      <c r="I3181">
        <f>INDEX(CalLookUpTable,MATCH($B3181,CalLookUpRow,0),MATCH(I$1,CalLookUpColumn,0))</f>
        <v>2</v>
      </c>
    </row>
    <row r="3182" spans="1:9" x14ac:dyDescent="0.25">
      <c r="A3182" s="7">
        <v>2</v>
      </c>
      <c r="B3182" s="8">
        <v>43779</v>
      </c>
      <c r="C3182" s="9" t="s">
        <v>5</v>
      </c>
      <c r="D3182" s="10">
        <v>684.59999999999991</v>
      </c>
      <c r="E3182" s="10">
        <v>592.15099999999995</v>
      </c>
      <c r="F3182" t="str">
        <f>VLOOKUP(A3182,StoreLookup,2,FALSE)</f>
        <v>Store#2</v>
      </c>
      <c r="G3182">
        <f>INDEX(CalLookUpTable,MATCH($B3182,CalLookUpRow,0),MATCH(G$1,CalLookUpColumn,0))</f>
        <v>2019</v>
      </c>
      <c r="H3182">
        <f>INDEX(CalLookUpTable,MATCH($B3182,CalLookUpRow,0),MATCH(H$1,CalLookUpColumn,0))</f>
        <v>11</v>
      </c>
      <c r="I3182">
        <f>INDEX(CalLookUpTable,MATCH($B3182,CalLookUpRow,0),MATCH(I$1,CalLookUpColumn,0))</f>
        <v>2</v>
      </c>
    </row>
    <row r="3183" spans="1:9" x14ac:dyDescent="0.25">
      <c r="A3183" s="7">
        <v>2</v>
      </c>
      <c r="B3183" s="8">
        <v>43779</v>
      </c>
      <c r="C3183" s="9" t="s">
        <v>6</v>
      </c>
      <c r="D3183" s="10">
        <v>453.45299999999992</v>
      </c>
      <c r="E3183" s="10">
        <v>189.56</v>
      </c>
      <c r="F3183" t="str">
        <f>VLOOKUP(A3183,StoreLookup,2,FALSE)</f>
        <v>Store#2</v>
      </c>
      <c r="G3183">
        <f>INDEX(CalLookUpTable,MATCH($B3183,CalLookUpRow,0),MATCH(G$1,CalLookUpColumn,0))</f>
        <v>2019</v>
      </c>
      <c r="H3183">
        <f>INDEX(CalLookUpTable,MATCH($B3183,CalLookUpRow,0),MATCH(H$1,CalLookUpColumn,0))</f>
        <v>11</v>
      </c>
      <c r="I3183">
        <f>INDEX(CalLookUpTable,MATCH($B3183,CalLookUpRow,0),MATCH(I$1,CalLookUpColumn,0))</f>
        <v>2</v>
      </c>
    </row>
    <row r="3184" spans="1:9" x14ac:dyDescent="0.25">
      <c r="A3184" s="7">
        <v>2</v>
      </c>
      <c r="B3184" s="8">
        <v>43779</v>
      </c>
      <c r="C3184" s="9" t="s">
        <v>3</v>
      </c>
      <c r="D3184" s="10">
        <v>96.515999999999991</v>
      </c>
      <c r="E3184" s="10">
        <v>0</v>
      </c>
      <c r="F3184" t="str">
        <f>VLOOKUP(A3184,StoreLookup,2,FALSE)</f>
        <v>Store#2</v>
      </c>
      <c r="G3184">
        <f>INDEX(CalLookUpTable,MATCH($B3184,CalLookUpRow,0),MATCH(G$1,CalLookUpColumn,0))</f>
        <v>2019</v>
      </c>
      <c r="H3184">
        <f>INDEX(CalLookUpTable,MATCH($B3184,CalLookUpRow,0),MATCH(H$1,CalLookUpColumn,0))</f>
        <v>11</v>
      </c>
      <c r="I3184">
        <f>INDEX(CalLookUpTable,MATCH($B3184,CalLookUpRow,0),MATCH(I$1,CalLookUpColumn,0))</f>
        <v>2</v>
      </c>
    </row>
    <row r="3185" spans="1:9" x14ac:dyDescent="0.25">
      <c r="A3185" s="7">
        <v>2</v>
      </c>
      <c r="B3185" s="8">
        <v>43779</v>
      </c>
      <c r="C3185" s="9" t="s">
        <v>4</v>
      </c>
      <c r="D3185" s="10">
        <v>1457.3999999999999</v>
      </c>
      <c r="E3185" s="10">
        <v>1081.297</v>
      </c>
      <c r="F3185" t="str">
        <f>VLOOKUP(A3185,StoreLookup,2,FALSE)</f>
        <v>Store#2</v>
      </c>
      <c r="G3185">
        <f>INDEX(CalLookUpTable,MATCH($B3185,CalLookUpRow,0),MATCH(G$1,CalLookUpColumn,0))</f>
        <v>2019</v>
      </c>
      <c r="H3185">
        <f>INDEX(CalLookUpTable,MATCH($B3185,CalLookUpRow,0),MATCH(H$1,CalLookUpColumn,0))</f>
        <v>11</v>
      </c>
      <c r="I3185">
        <f>INDEX(CalLookUpTable,MATCH($B3185,CalLookUpRow,0),MATCH(I$1,CalLookUpColumn,0))</f>
        <v>2</v>
      </c>
    </row>
    <row r="3186" spans="1:9" x14ac:dyDescent="0.25">
      <c r="A3186" s="7">
        <v>2</v>
      </c>
      <c r="B3186" s="8">
        <v>43780</v>
      </c>
      <c r="C3186" s="9" t="s">
        <v>6</v>
      </c>
      <c r="D3186" s="10">
        <v>470.23199999999997</v>
      </c>
      <c r="E3186" s="10">
        <v>221.25599999999997</v>
      </c>
      <c r="F3186" t="str">
        <f>VLOOKUP(A3186,StoreLookup,2,FALSE)</f>
        <v>Store#2</v>
      </c>
      <c r="G3186">
        <f>INDEX(CalLookUpTable,MATCH($B3186,CalLookUpRow,0),MATCH(G$1,CalLookUpColumn,0))</f>
        <v>2019</v>
      </c>
      <c r="H3186">
        <f>INDEX(CalLookUpTable,MATCH($B3186,CalLookUpRow,0),MATCH(H$1,CalLookUpColumn,0))</f>
        <v>11</v>
      </c>
      <c r="I3186">
        <f>INDEX(CalLookUpTable,MATCH($B3186,CalLookUpRow,0),MATCH(I$1,CalLookUpColumn,0))</f>
        <v>3</v>
      </c>
    </row>
    <row r="3187" spans="1:9" x14ac:dyDescent="0.25">
      <c r="A3187" s="7">
        <v>2</v>
      </c>
      <c r="B3187" s="8">
        <v>43780</v>
      </c>
      <c r="C3187" s="9" t="s">
        <v>4</v>
      </c>
      <c r="D3187" s="10">
        <v>1446.5149999999999</v>
      </c>
      <c r="E3187" s="10">
        <v>1303.4839999999999</v>
      </c>
      <c r="F3187" t="str">
        <f>VLOOKUP(A3187,StoreLookup,2,FALSE)</f>
        <v>Store#2</v>
      </c>
      <c r="G3187">
        <f>INDEX(CalLookUpTable,MATCH($B3187,CalLookUpRow,0),MATCH(G$1,CalLookUpColumn,0))</f>
        <v>2019</v>
      </c>
      <c r="H3187">
        <f>INDEX(CalLookUpTable,MATCH($B3187,CalLookUpRow,0),MATCH(H$1,CalLookUpColumn,0))</f>
        <v>11</v>
      </c>
      <c r="I3187">
        <f>INDEX(CalLookUpTable,MATCH($B3187,CalLookUpRow,0),MATCH(I$1,CalLookUpColumn,0))</f>
        <v>3</v>
      </c>
    </row>
    <row r="3188" spans="1:9" x14ac:dyDescent="0.25">
      <c r="A3188" s="7">
        <v>2</v>
      </c>
      <c r="B3188" s="8">
        <v>43780</v>
      </c>
      <c r="C3188" s="9" t="s">
        <v>5</v>
      </c>
      <c r="D3188" s="10">
        <v>936.41099999999994</v>
      </c>
      <c r="E3188" s="10">
        <v>665.05600000000004</v>
      </c>
      <c r="F3188" t="str">
        <f>VLOOKUP(A3188,StoreLookup,2,FALSE)</f>
        <v>Store#2</v>
      </c>
      <c r="G3188">
        <f>INDEX(CalLookUpTable,MATCH($B3188,CalLookUpRow,0),MATCH(G$1,CalLookUpColumn,0))</f>
        <v>2019</v>
      </c>
      <c r="H3188">
        <f>INDEX(CalLookUpTable,MATCH($B3188,CalLookUpRow,0),MATCH(H$1,CalLookUpColumn,0))</f>
        <v>11</v>
      </c>
      <c r="I3188">
        <f>INDEX(CalLookUpTable,MATCH($B3188,CalLookUpRow,0),MATCH(I$1,CalLookUpColumn,0))</f>
        <v>3</v>
      </c>
    </row>
    <row r="3189" spans="1:9" x14ac:dyDescent="0.25">
      <c r="A3189" s="7">
        <v>2</v>
      </c>
      <c r="B3189" s="8">
        <v>43780</v>
      </c>
      <c r="C3189" s="9" t="s">
        <v>3</v>
      </c>
      <c r="D3189" s="10">
        <v>31.870999999999999</v>
      </c>
      <c r="E3189" s="10">
        <v>0</v>
      </c>
      <c r="F3189" t="str">
        <f>VLOOKUP(A3189,StoreLookup,2,FALSE)</f>
        <v>Store#2</v>
      </c>
      <c r="G3189">
        <f>INDEX(CalLookUpTable,MATCH($B3189,CalLookUpRow,0),MATCH(G$1,CalLookUpColumn,0))</f>
        <v>2019</v>
      </c>
      <c r="H3189">
        <f>INDEX(CalLookUpTable,MATCH($B3189,CalLookUpRow,0),MATCH(H$1,CalLookUpColumn,0))</f>
        <v>11</v>
      </c>
      <c r="I3189">
        <f>INDEX(CalLookUpTable,MATCH($B3189,CalLookUpRow,0),MATCH(I$1,CalLookUpColumn,0))</f>
        <v>3</v>
      </c>
    </row>
    <row r="3190" spans="1:9" x14ac:dyDescent="0.25">
      <c r="A3190" s="7">
        <v>2</v>
      </c>
      <c r="B3190" s="8">
        <v>43781</v>
      </c>
      <c r="C3190" s="9" t="s">
        <v>6</v>
      </c>
      <c r="D3190" s="10">
        <v>257.84500000000003</v>
      </c>
      <c r="E3190" s="10">
        <v>453.06799999999998</v>
      </c>
      <c r="F3190" t="str">
        <f>VLOOKUP(A3190,StoreLookup,2,FALSE)</f>
        <v>Store#2</v>
      </c>
      <c r="G3190">
        <f>INDEX(CalLookUpTable,MATCH($B3190,CalLookUpRow,0),MATCH(G$1,CalLookUpColumn,0))</f>
        <v>2019</v>
      </c>
      <c r="H3190">
        <f>INDEX(CalLookUpTable,MATCH($B3190,CalLookUpRow,0),MATCH(H$1,CalLookUpColumn,0))</f>
        <v>11</v>
      </c>
      <c r="I3190">
        <f>INDEX(CalLookUpTable,MATCH($B3190,CalLookUpRow,0),MATCH(I$1,CalLookUpColumn,0))</f>
        <v>3</v>
      </c>
    </row>
    <row r="3191" spans="1:9" x14ac:dyDescent="0.25">
      <c r="A3191" s="7">
        <v>2</v>
      </c>
      <c r="B3191" s="8">
        <v>43781</v>
      </c>
      <c r="C3191" s="9" t="s">
        <v>4</v>
      </c>
      <c r="D3191" s="10">
        <v>1717.499</v>
      </c>
      <c r="E3191" s="10">
        <v>1553.4469999999999</v>
      </c>
      <c r="F3191" t="str">
        <f>VLOOKUP(A3191,StoreLookup,2,FALSE)</f>
        <v>Store#2</v>
      </c>
      <c r="G3191">
        <f>INDEX(CalLookUpTable,MATCH($B3191,CalLookUpRow,0),MATCH(G$1,CalLookUpColumn,0))</f>
        <v>2019</v>
      </c>
      <c r="H3191">
        <f>INDEX(CalLookUpTable,MATCH($B3191,CalLookUpRow,0),MATCH(H$1,CalLookUpColumn,0))</f>
        <v>11</v>
      </c>
      <c r="I3191">
        <f>INDEX(CalLookUpTable,MATCH($B3191,CalLookUpRow,0),MATCH(I$1,CalLookUpColumn,0))</f>
        <v>3</v>
      </c>
    </row>
    <row r="3192" spans="1:9" x14ac:dyDescent="0.25">
      <c r="A3192" s="7">
        <v>2</v>
      </c>
      <c r="B3192" s="8">
        <v>43781</v>
      </c>
      <c r="C3192" s="9" t="s">
        <v>3</v>
      </c>
      <c r="D3192" s="10">
        <v>0</v>
      </c>
      <c r="E3192" s="10">
        <v>0</v>
      </c>
      <c r="F3192" t="str">
        <f>VLOOKUP(A3192,StoreLookup,2,FALSE)</f>
        <v>Store#2</v>
      </c>
      <c r="G3192">
        <f>INDEX(CalLookUpTable,MATCH($B3192,CalLookUpRow,0),MATCH(G$1,CalLookUpColumn,0))</f>
        <v>2019</v>
      </c>
      <c r="H3192">
        <f>INDEX(CalLookUpTable,MATCH($B3192,CalLookUpRow,0),MATCH(H$1,CalLookUpColumn,0))</f>
        <v>11</v>
      </c>
      <c r="I3192">
        <f>INDEX(CalLookUpTable,MATCH($B3192,CalLookUpRow,0),MATCH(I$1,CalLookUpColumn,0))</f>
        <v>3</v>
      </c>
    </row>
    <row r="3193" spans="1:9" x14ac:dyDescent="0.25">
      <c r="A3193" s="7">
        <v>2</v>
      </c>
      <c r="B3193" s="8">
        <v>43781</v>
      </c>
      <c r="C3193" s="9" t="s">
        <v>5</v>
      </c>
      <c r="D3193" s="10">
        <v>887.83799999999985</v>
      </c>
      <c r="E3193" s="10">
        <v>851.3889999999999</v>
      </c>
      <c r="F3193" t="str">
        <f>VLOOKUP(A3193,StoreLookup,2,FALSE)</f>
        <v>Store#2</v>
      </c>
      <c r="G3193">
        <f>INDEX(CalLookUpTable,MATCH($B3193,CalLookUpRow,0),MATCH(G$1,CalLookUpColumn,0))</f>
        <v>2019</v>
      </c>
      <c r="H3193">
        <f>INDEX(CalLookUpTable,MATCH($B3193,CalLookUpRow,0),MATCH(H$1,CalLookUpColumn,0))</f>
        <v>11</v>
      </c>
      <c r="I3193">
        <f>INDEX(CalLookUpTable,MATCH($B3193,CalLookUpRow,0),MATCH(I$1,CalLookUpColumn,0))</f>
        <v>3</v>
      </c>
    </row>
    <row r="3194" spans="1:9" x14ac:dyDescent="0.25">
      <c r="A3194" s="7">
        <v>2</v>
      </c>
      <c r="B3194" s="8">
        <v>43782</v>
      </c>
      <c r="C3194" s="9" t="s">
        <v>6</v>
      </c>
      <c r="D3194" s="10">
        <v>290.73099999999999</v>
      </c>
      <c r="E3194" s="10">
        <v>276.78699999999998</v>
      </c>
      <c r="F3194" t="str">
        <f>VLOOKUP(A3194,StoreLookup,2,FALSE)</f>
        <v>Store#2</v>
      </c>
      <c r="G3194">
        <f>INDEX(CalLookUpTable,MATCH($B3194,CalLookUpRow,0),MATCH(G$1,CalLookUpColumn,0))</f>
        <v>2019</v>
      </c>
      <c r="H3194">
        <f>INDEX(CalLookUpTable,MATCH($B3194,CalLookUpRow,0),MATCH(H$1,CalLookUpColumn,0))</f>
        <v>11</v>
      </c>
      <c r="I3194">
        <f>INDEX(CalLookUpTable,MATCH($B3194,CalLookUpRow,0),MATCH(I$1,CalLookUpColumn,0))</f>
        <v>3</v>
      </c>
    </row>
    <row r="3195" spans="1:9" x14ac:dyDescent="0.25">
      <c r="A3195" s="7">
        <v>2</v>
      </c>
      <c r="B3195" s="8">
        <v>43782</v>
      </c>
      <c r="C3195" s="9" t="s">
        <v>3</v>
      </c>
      <c r="D3195" s="10">
        <v>0</v>
      </c>
      <c r="E3195" s="10">
        <v>0</v>
      </c>
      <c r="F3195" t="str">
        <f>VLOOKUP(A3195,StoreLookup,2,FALSE)</f>
        <v>Store#2</v>
      </c>
      <c r="G3195">
        <f>INDEX(CalLookUpTable,MATCH($B3195,CalLookUpRow,0),MATCH(G$1,CalLookUpColumn,0))</f>
        <v>2019</v>
      </c>
      <c r="H3195">
        <f>INDEX(CalLookUpTable,MATCH($B3195,CalLookUpRow,0),MATCH(H$1,CalLookUpColumn,0))</f>
        <v>11</v>
      </c>
      <c r="I3195">
        <f>INDEX(CalLookUpTable,MATCH($B3195,CalLookUpRow,0),MATCH(I$1,CalLookUpColumn,0))</f>
        <v>3</v>
      </c>
    </row>
    <row r="3196" spans="1:9" x14ac:dyDescent="0.25">
      <c r="A3196" s="7">
        <v>2</v>
      </c>
      <c r="B3196" s="8">
        <v>43782</v>
      </c>
      <c r="C3196" s="9" t="s">
        <v>4</v>
      </c>
      <c r="D3196" s="10">
        <v>1543.5909999999999</v>
      </c>
      <c r="E3196" s="10">
        <v>1433.922</v>
      </c>
      <c r="F3196" t="str">
        <f>VLOOKUP(A3196,StoreLookup,2,FALSE)</f>
        <v>Store#2</v>
      </c>
      <c r="G3196">
        <f>INDEX(CalLookUpTable,MATCH($B3196,CalLookUpRow,0),MATCH(G$1,CalLookUpColumn,0))</f>
        <v>2019</v>
      </c>
      <c r="H3196">
        <f>INDEX(CalLookUpTable,MATCH($B3196,CalLookUpRow,0),MATCH(H$1,CalLookUpColumn,0))</f>
        <v>11</v>
      </c>
      <c r="I3196">
        <f>INDEX(CalLookUpTable,MATCH($B3196,CalLookUpRow,0),MATCH(I$1,CalLookUpColumn,0))</f>
        <v>3</v>
      </c>
    </row>
    <row r="3197" spans="1:9" x14ac:dyDescent="0.25">
      <c r="A3197" s="7">
        <v>2</v>
      </c>
      <c r="B3197" s="8">
        <v>43782</v>
      </c>
      <c r="C3197" s="9" t="s">
        <v>5</v>
      </c>
      <c r="D3197" s="10">
        <v>1229.3889999999999</v>
      </c>
      <c r="E3197" s="10">
        <v>848.28099999999995</v>
      </c>
      <c r="F3197" t="str">
        <f>VLOOKUP(A3197,StoreLookup,2,FALSE)</f>
        <v>Store#2</v>
      </c>
      <c r="G3197">
        <f>INDEX(CalLookUpTable,MATCH($B3197,CalLookUpRow,0),MATCH(G$1,CalLookUpColumn,0))</f>
        <v>2019</v>
      </c>
      <c r="H3197">
        <f>INDEX(CalLookUpTable,MATCH($B3197,CalLookUpRow,0),MATCH(H$1,CalLookUpColumn,0))</f>
        <v>11</v>
      </c>
      <c r="I3197">
        <f>INDEX(CalLookUpTable,MATCH($B3197,CalLookUpRow,0),MATCH(I$1,CalLookUpColumn,0))</f>
        <v>3</v>
      </c>
    </row>
    <row r="3198" spans="1:9" x14ac:dyDescent="0.25">
      <c r="A3198" s="7">
        <v>2</v>
      </c>
      <c r="B3198" s="8">
        <v>43783</v>
      </c>
      <c r="C3198" s="9" t="s">
        <v>4</v>
      </c>
      <c r="D3198" s="10">
        <v>1456.0979999999997</v>
      </c>
      <c r="E3198" s="10">
        <v>2017.0779999999997</v>
      </c>
      <c r="F3198" t="str">
        <f>VLOOKUP(A3198,StoreLookup,2,FALSE)</f>
        <v>Store#2</v>
      </c>
      <c r="G3198">
        <f>INDEX(CalLookUpTable,MATCH($B3198,CalLookUpRow,0),MATCH(G$1,CalLookUpColumn,0))</f>
        <v>2019</v>
      </c>
      <c r="H3198">
        <f>INDEX(CalLookUpTable,MATCH($B3198,CalLookUpRow,0),MATCH(H$1,CalLookUpColumn,0))</f>
        <v>11</v>
      </c>
      <c r="I3198">
        <f>INDEX(CalLookUpTable,MATCH($B3198,CalLookUpRow,0),MATCH(I$1,CalLookUpColumn,0))</f>
        <v>3</v>
      </c>
    </row>
    <row r="3199" spans="1:9" x14ac:dyDescent="0.25">
      <c r="A3199" s="7">
        <v>2</v>
      </c>
      <c r="B3199" s="8">
        <v>43783</v>
      </c>
      <c r="C3199" s="9" t="s">
        <v>3</v>
      </c>
      <c r="D3199" s="10">
        <v>0</v>
      </c>
      <c r="E3199" s="10">
        <v>0</v>
      </c>
      <c r="F3199" t="str">
        <f>VLOOKUP(A3199,StoreLookup,2,FALSE)</f>
        <v>Store#2</v>
      </c>
      <c r="G3199">
        <f>INDEX(CalLookUpTable,MATCH($B3199,CalLookUpRow,0),MATCH(G$1,CalLookUpColumn,0))</f>
        <v>2019</v>
      </c>
      <c r="H3199">
        <f>INDEX(CalLookUpTable,MATCH($B3199,CalLookUpRow,0),MATCH(H$1,CalLookUpColumn,0))</f>
        <v>11</v>
      </c>
      <c r="I3199">
        <f>INDEX(CalLookUpTable,MATCH($B3199,CalLookUpRow,0),MATCH(I$1,CalLookUpColumn,0))</f>
        <v>3</v>
      </c>
    </row>
    <row r="3200" spans="1:9" x14ac:dyDescent="0.25">
      <c r="A3200" s="7">
        <v>2</v>
      </c>
      <c r="B3200" s="8">
        <v>43783</v>
      </c>
      <c r="C3200" s="9" t="s">
        <v>6</v>
      </c>
      <c r="D3200" s="10">
        <v>286.06900000000002</v>
      </c>
      <c r="E3200" s="10">
        <v>215.71899999999999</v>
      </c>
      <c r="F3200" t="str">
        <f>VLOOKUP(A3200,StoreLookup,2,FALSE)</f>
        <v>Store#2</v>
      </c>
      <c r="G3200">
        <f>INDEX(CalLookUpTable,MATCH($B3200,CalLookUpRow,0),MATCH(G$1,CalLookUpColumn,0))</f>
        <v>2019</v>
      </c>
      <c r="H3200">
        <f>INDEX(CalLookUpTable,MATCH($B3200,CalLookUpRow,0),MATCH(H$1,CalLookUpColumn,0))</f>
        <v>11</v>
      </c>
      <c r="I3200">
        <f>INDEX(CalLookUpTable,MATCH($B3200,CalLookUpRow,0),MATCH(I$1,CalLookUpColumn,0))</f>
        <v>3</v>
      </c>
    </row>
    <row r="3201" spans="1:9" x14ac:dyDescent="0.25">
      <c r="A3201" s="7">
        <v>2</v>
      </c>
      <c r="B3201" s="8">
        <v>43783</v>
      </c>
      <c r="C3201" s="9" t="s">
        <v>5</v>
      </c>
      <c r="D3201" s="10">
        <v>1152.3399999999999</v>
      </c>
      <c r="E3201" s="10">
        <v>947.3309999999999</v>
      </c>
      <c r="F3201" t="str">
        <f>VLOOKUP(A3201,StoreLookup,2,FALSE)</f>
        <v>Store#2</v>
      </c>
      <c r="G3201">
        <f>INDEX(CalLookUpTable,MATCH($B3201,CalLookUpRow,0),MATCH(G$1,CalLookUpColumn,0))</f>
        <v>2019</v>
      </c>
      <c r="H3201">
        <f>INDEX(CalLookUpTable,MATCH($B3201,CalLookUpRow,0),MATCH(H$1,CalLookUpColumn,0))</f>
        <v>11</v>
      </c>
      <c r="I3201">
        <f>INDEX(CalLookUpTable,MATCH($B3201,CalLookUpRow,0),MATCH(I$1,CalLookUpColumn,0))</f>
        <v>3</v>
      </c>
    </row>
    <row r="3202" spans="1:9" x14ac:dyDescent="0.25">
      <c r="A3202" s="7">
        <v>2</v>
      </c>
      <c r="B3202" s="8">
        <v>43784</v>
      </c>
      <c r="C3202" s="9" t="s">
        <v>4</v>
      </c>
      <c r="D3202" s="10">
        <v>2006.1019999999999</v>
      </c>
      <c r="E3202" s="10">
        <v>1986.096</v>
      </c>
      <c r="F3202" t="str">
        <f>VLOOKUP(A3202,StoreLookup,2,FALSE)</f>
        <v>Store#2</v>
      </c>
      <c r="G3202">
        <f>INDEX(CalLookUpTable,MATCH($B3202,CalLookUpRow,0),MATCH(G$1,CalLookUpColumn,0))</f>
        <v>2019</v>
      </c>
      <c r="H3202">
        <f>INDEX(CalLookUpTable,MATCH($B3202,CalLookUpRow,0),MATCH(H$1,CalLookUpColumn,0))</f>
        <v>11</v>
      </c>
      <c r="I3202">
        <f>INDEX(CalLookUpTable,MATCH($B3202,CalLookUpRow,0),MATCH(I$1,CalLookUpColumn,0))</f>
        <v>3</v>
      </c>
    </row>
    <row r="3203" spans="1:9" x14ac:dyDescent="0.25">
      <c r="A3203" s="7">
        <v>2</v>
      </c>
      <c r="B3203" s="8">
        <v>43784</v>
      </c>
      <c r="C3203" s="9" t="s">
        <v>6</v>
      </c>
      <c r="D3203" s="10">
        <v>320.04699999999997</v>
      </c>
      <c r="E3203" s="10">
        <v>317.82799999999997</v>
      </c>
      <c r="F3203" t="str">
        <f>VLOOKUP(A3203,StoreLookup,2,FALSE)</f>
        <v>Store#2</v>
      </c>
      <c r="G3203">
        <f>INDEX(CalLookUpTable,MATCH($B3203,CalLookUpRow,0),MATCH(G$1,CalLookUpColumn,0))</f>
        <v>2019</v>
      </c>
      <c r="H3203">
        <f>INDEX(CalLookUpTable,MATCH($B3203,CalLookUpRow,0),MATCH(H$1,CalLookUpColumn,0))</f>
        <v>11</v>
      </c>
      <c r="I3203">
        <f>INDEX(CalLookUpTable,MATCH($B3203,CalLookUpRow,0),MATCH(I$1,CalLookUpColumn,0))</f>
        <v>3</v>
      </c>
    </row>
    <row r="3204" spans="1:9" x14ac:dyDescent="0.25">
      <c r="A3204" s="7">
        <v>2</v>
      </c>
      <c r="B3204" s="8">
        <v>43784</v>
      </c>
      <c r="C3204" s="9" t="s">
        <v>3</v>
      </c>
      <c r="D3204" s="10">
        <v>176.946</v>
      </c>
      <c r="E3204" s="10">
        <v>246.93899999999996</v>
      </c>
      <c r="F3204" t="str">
        <f>VLOOKUP(A3204,StoreLookup,2,FALSE)</f>
        <v>Store#2</v>
      </c>
      <c r="G3204">
        <f>INDEX(CalLookUpTable,MATCH($B3204,CalLookUpRow,0),MATCH(G$1,CalLookUpColumn,0))</f>
        <v>2019</v>
      </c>
      <c r="H3204">
        <f>INDEX(CalLookUpTable,MATCH($B3204,CalLookUpRow,0),MATCH(H$1,CalLookUpColumn,0))</f>
        <v>11</v>
      </c>
      <c r="I3204">
        <f>INDEX(CalLookUpTable,MATCH($B3204,CalLookUpRow,0),MATCH(I$1,CalLookUpColumn,0))</f>
        <v>3</v>
      </c>
    </row>
    <row r="3205" spans="1:9" x14ac:dyDescent="0.25">
      <c r="A3205" s="7">
        <v>2</v>
      </c>
      <c r="B3205" s="8">
        <v>43784</v>
      </c>
      <c r="C3205" s="9" t="s">
        <v>5</v>
      </c>
      <c r="D3205" s="10">
        <v>1626.261</v>
      </c>
      <c r="E3205" s="10">
        <v>1342.068</v>
      </c>
      <c r="F3205" t="str">
        <f>VLOOKUP(A3205,StoreLookup,2,FALSE)</f>
        <v>Store#2</v>
      </c>
      <c r="G3205">
        <f>INDEX(CalLookUpTable,MATCH($B3205,CalLookUpRow,0),MATCH(G$1,CalLookUpColumn,0))</f>
        <v>2019</v>
      </c>
      <c r="H3205">
        <f>INDEX(CalLookUpTable,MATCH($B3205,CalLookUpRow,0),MATCH(H$1,CalLookUpColumn,0))</f>
        <v>11</v>
      </c>
      <c r="I3205">
        <f>INDEX(CalLookUpTable,MATCH($B3205,CalLookUpRow,0),MATCH(I$1,CalLookUpColumn,0))</f>
        <v>3</v>
      </c>
    </row>
    <row r="3206" spans="1:9" x14ac:dyDescent="0.25">
      <c r="A3206" s="7">
        <v>2</v>
      </c>
      <c r="B3206" s="8">
        <v>43785</v>
      </c>
      <c r="C3206" s="9" t="s">
        <v>4</v>
      </c>
      <c r="D3206" s="10">
        <v>1776.9570000000001</v>
      </c>
      <c r="E3206" s="10">
        <v>1854.1949999999997</v>
      </c>
      <c r="F3206" t="str">
        <f>VLOOKUP(A3206,StoreLookup,2,FALSE)</f>
        <v>Store#2</v>
      </c>
      <c r="G3206">
        <f>INDEX(CalLookUpTable,MATCH($B3206,CalLookUpRow,0),MATCH(G$1,CalLookUpColumn,0))</f>
        <v>2019</v>
      </c>
      <c r="H3206">
        <f>INDEX(CalLookUpTable,MATCH($B3206,CalLookUpRow,0),MATCH(H$1,CalLookUpColumn,0))</f>
        <v>11</v>
      </c>
      <c r="I3206">
        <f>INDEX(CalLookUpTable,MATCH($B3206,CalLookUpRow,0),MATCH(I$1,CalLookUpColumn,0))</f>
        <v>3</v>
      </c>
    </row>
    <row r="3207" spans="1:9" x14ac:dyDescent="0.25">
      <c r="A3207" s="7">
        <v>2</v>
      </c>
      <c r="B3207" s="8">
        <v>43785</v>
      </c>
      <c r="C3207" s="9" t="s">
        <v>6</v>
      </c>
      <c r="D3207" s="10">
        <v>557.03899999999999</v>
      </c>
      <c r="E3207" s="10">
        <v>379.16199999999998</v>
      </c>
      <c r="F3207" t="str">
        <f>VLOOKUP(A3207,StoreLookup,2,FALSE)</f>
        <v>Store#2</v>
      </c>
      <c r="G3207">
        <f>INDEX(CalLookUpTable,MATCH($B3207,CalLookUpRow,0),MATCH(G$1,CalLookUpColumn,0))</f>
        <v>2019</v>
      </c>
      <c r="H3207">
        <f>INDEX(CalLookUpTable,MATCH($B3207,CalLookUpRow,0),MATCH(H$1,CalLookUpColumn,0))</f>
        <v>11</v>
      </c>
      <c r="I3207">
        <f>INDEX(CalLookUpTable,MATCH($B3207,CalLookUpRow,0),MATCH(I$1,CalLookUpColumn,0))</f>
        <v>3</v>
      </c>
    </row>
    <row r="3208" spans="1:9" x14ac:dyDescent="0.25">
      <c r="A3208" s="7">
        <v>2</v>
      </c>
      <c r="B3208" s="8">
        <v>43785</v>
      </c>
      <c r="C3208" s="9" t="s">
        <v>5</v>
      </c>
      <c r="D3208" s="10">
        <v>910.05599999999993</v>
      </c>
      <c r="E3208" s="10">
        <v>1191.701</v>
      </c>
      <c r="F3208" t="str">
        <f>VLOOKUP(A3208,StoreLookup,2,FALSE)</f>
        <v>Store#2</v>
      </c>
      <c r="G3208">
        <f>INDEX(CalLookUpTable,MATCH($B3208,CalLookUpRow,0),MATCH(G$1,CalLookUpColumn,0))</f>
        <v>2019</v>
      </c>
      <c r="H3208">
        <f>INDEX(CalLookUpTable,MATCH($B3208,CalLookUpRow,0),MATCH(H$1,CalLookUpColumn,0))</f>
        <v>11</v>
      </c>
      <c r="I3208">
        <f>INDEX(CalLookUpTable,MATCH($B3208,CalLookUpRow,0),MATCH(I$1,CalLookUpColumn,0))</f>
        <v>3</v>
      </c>
    </row>
    <row r="3209" spans="1:9" x14ac:dyDescent="0.25">
      <c r="A3209" s="7">
        <v>2</v>
      </c>
      <c r="B3209" s="8">
        <v>43785</v>
      </c>
      <c r="C3209" s="9" t="s">
        <v>3</v>
      </c>
      <c r="D3209" s="10">
        <v>176.946</v>
      </c>
      <c r="E3209" s="10">
        <v>0</v>
      </c>
      <c r="F3209" t="str">
        <f>VLOOKUP(A3209,StoreLookup,2,FALSE)</f>
        <v>Store#2</v>
      </c>
      <c r="G3209">
        <f>INDEX(CalLookUpTable,MATCH($B3209,CalLookUpRow,0),MATCH(G$1,CalLookUpColumn,0))</f>
        <v>2019</v>
      </c>
      <c r="H3209">
        <f>INDEX(CalLookUpTable,MATCH($B3209,CalLookUpRow,0),MATCH(H$1,CalLookUpColumn,0))</f>
        <v>11</v>
      </c>
      <c r="I3209">
        <f>INDEX(CalLookUpTable,MATCH($B3209,CalLookUpRow,0),MATCH(I$1,CalLookUpColumn,0))</f>
        <v>3</v>
      </c>
    </row>
    <row r="3210" spans="1:9" x14ac:dyDescent="0.25">
      <c r="A3210" s="7">
        <v>2</v>
      </c>
      <c r="B3210" s="8">
        <v>43786</v>
      </c>
      <c r="C3210" s="9" t="s">
        <v>3</v>
      </c>
      <c r="D3210" s="10">
        <v>0</v>
      </c>
      <c r="E3210" s="10">
        <v>0</v>
      </c>
      <c r="F3210" t="str">
        <f>VLOOKUP(A3210,StoreLookup,2,FALSE)</f>
        <v>Store#2</v>
      </c>
      <c r="G3210">
        <f>INDEX(CalLookUpTable,MATCH($B3210,CalLookUpRow,0),MATCH(G$1,CalLookUpColumn,0))</f>
        <v>2019</v>
      </c>
      <c r="H3210">
        <f>INDEX(CalLookUpTable,MATCH($B3210,CalLookUpRow,0),MATCH(H$1,CalLookUpColumn,0))</f>
        <v>11</v>
      </c>
      <c r="I3210">
        <f>INDEX(CalLookUpTable,MATCH($B3210,CalLookUpRow,0),MATCH(I$1,CalLookUpColumn,0))</f>
        <v>3</v>
      </c>
    </row>
    <row r="3211" spans="1:9" x14ac:dyDescent="0.25">
      <c r="A3211" s="7">
        <v>2</v>
      </c>
      <c r="B3211" s="8">
        <v>43786</v>
      </c>
      <c r="C3211" s="9" t="s">
        <v>4</v>
      </c>
      <c r="D3211" s="10">
        <v>1428.3219999999999</v>
      </c>
      <c r="E3211" s="10">
        <v>859.08899999999994</v>
      </c>
      <c r="F3211" t="str">
        <f>VLOOKUP(A3211,StoreLookup,2,FALSE)</f>
        <v>Store#2</v>
      </c>
      <c r="G3211">
        <f>INDEX(CalLookUpTable,MATCH($B3211,CalLookUpRow,0),MATCH(G$1,CalLookUpColumn,0))</f>
        <v>2019</v>
      </c>
      <c r="H3211">
        <f>INDEX(CalLookUpTable,MATCH($B3211,CalLookUpRow,0),MATCH(H$1,CalLookUpColumn,0))</f>
        <v>11</v>
      </c>
      <c r="I3211">
        <f>INDEX(CalLookUpTable,MATCH($B3211,CalLookUpRow,0),MATCH(I$1,CalLookUpColumn,0))</f>
        <v>3</v>
      </c>
    </row>
    <row r="3212" spans="1:9" x14ac:dyDescent="0.25">
      <c r="A3212" s="7">
        <v>2</v>
      </c>
      <c r="B3212" s="8">
        <v>43786</v>
      </c>
      <c r="C3212" s="9" t="s">
        <v>6</v>
      </c>
      <c r="D3212" s="10">
        <v>468.279</v>
      </c>
      <c r="E3212" s="10">
        <v>331.19099999999997</v>
      </c>
      <c r="F3212" t="str">
        <f>VLOOKUP(A3212,StoreLookup,2,FALSE)</f>
        <v>Store#2</v>
      </c>
      <c r="G3212">
        <f>INDEX(CalLookUpTable,MATCH($B3212,CalLookUpRow,0),MATCH(G$1,CalLookUpColumn,0))</f>
        <v>2019</v>
      </c>
      <c r="H3212">
        <f>INDEX(CalLookUpTable,MATCH($B3212,CalLookUpRow,0),MATCH(H$1,CalLookUpColumn,0))</f>
        <v>11</v>
      </c>
      <c r="I3212">
        <f>INDEX(CalLookUpTable,MATCH($B3212,CalLookUpRow,0),MATCH(I$1,CalLookUpColumn,0))</f>
        <v>3</v>
      </c>
    </row>
    <row r="3213" spans="1:9" x14ac:dyDescent="0.25">
      <c r="A3213" s="7">
        <v>2</v>
      </c>
      <c r="B3213" s="8">
        <v>43786</v>
      </c>
      <c r="C3213" s="9" t="s">
        <v>5</v>
      </c>
      <c r="D3213" s="10">
        <v>795.06</v>
      </c>
      <c r="E3213" s="10">
        <v>789.08199999999999</v>
      </c>
      <c r="F3213" t="str">
        <f>VLOOKUP(A3213,StoreLookup,2,FALSE)</f>
        <v>Store#2</v>
      </c>
      <c r="G3213">
        <f>INDEX(CalLookUpTable,MATCH($B3213,CalLookUpRow,0),MATCH(G$1,CalLookUpColumn,0))</f>
        <v>2019</v>
      </c>
      <c r="H3213">
        <f>INDEX(CalLookUpTable,MATCH($B3213,CalLookUpRow,0),MATCH(H$1,CalLookUpColumn,0))</f>
        <v>11</v>
      </c>
      <c r="I3213">
        <f>INDEX(CalLookUpTable,MATCH($B3213,CalLookUpRow,0),MATCH(I$1,CalLookUpColumn,0))</f>
        <v>3</v>
      </c>
    </row>
    <row r="3214" spans="1:9" x14ac:dyDescent="0.25">
      <c r="A3214" s="7">
        <v>2</v>
      </c>
      <c r="B3214" s="8">
        <v>43787</v>
      </c>
      <c r="C3214" s="9" t="s">
        <v>4</v>
      </c>
      <c r="D3214" s="10">
        <v>1259.1389999999999</v>
      </c>
      <c r="E3214" s="10">
        <v>1551.816</v>
      </c>
      <c r="F3214" t="str">
        <f>VLOOKUP(A3214,StoreLookup,2,FALSE)</f>
        <v>Store#2</v>
      </c>
      <c r="G3214">
        <f>INDEX(CalLookUpTable,MATCH($B3214,CalLookUpRow,0),MATCH(G$1,CalLookUpColumn,0))</f>
        <v>2019</v>
      </c>
      <c r="H3214">
        <f>INDEX(CalLookUpTable,MATCH($B3214,CalLookUpRow,0),MATCH(H$1,CalLookUpColumn,0))</f>
        <v>11</v>
      </c>
      <c r="I3214">
        <f>INDEX(CalLookUpTable,MATCH($B3214,CalLookUpRow,0),MATCH(I$1,CalLookUpColumn,0))</f>
        <v>4</v>
      </c>
    </row>
    <row r="3215" spans="1:9" x14ac:dyDescent="0.25">
      <c r="A3215" s="7">
        <v>2</v>
      </c>
      <c r="B3215" s="8">
        <v>43787</v>
      </c>
      <c r="C3215" s="9" t="s">
        <v>3</v>
      </c>
      <c r="D3215" s="10">
        <v>707.78399999999999</v>
      </c>
      <c r="E3215" s="10">
        <v>0</v>
      </c>
      <c r="F3215" t="str">
        <f>VLOOKUP(A3215,StoreLookup,2,FALSE)</f>
        <v>Store#2</v>
      </c>
      <c r="G3215">
        <f>INDEX(CalLookUpTable,MATCH($B3215,CalLookUpRow,0),MATCH(G$1,CalLookUpColumn,0))</f>
        <v>2019</v>
      </c>
      <c r="H3215">
        <f>INDEX(CalLookUpTable,MATCH($B3215,CalLookUpRow,0),MATCH(H$1,CalLookUpColumn,0))</f>
        <v>11</v>
      </c>
      <c r="I3215">
        <f>INDEX(CalLookUpTable,MATCH($B3215,CalLookUpRow,0),MATCH(I$1,CalLookUpColumn,0))</f>
        <v>4</v>
      </c>
    </row>
    <row r="3216" spans="1:9" x14ac:dyDescent="0.25">
      <c r="A3216" s="7">
        <v>2</v>
      </c>
      <c r="B3216" s="8">
        <v>43787</v>
      </c>
      <c r="C3216" s="9" t="s">
        <v>6</v>
      </c>
      <c r="D3216" s="10">
        <v>423.97599999999994</v>
      </c>
      <c r="E3216" s="10">
        <v>246.84799999999998</v>
      </c>
      <c r="F3216" t="str">
        <f>VLOOKUP(A3216,StoreLookup,2,FALSE)</f>
        <v>Store#2</v>
      </c>
      <c r="G3216">
        <f>INDEX(CalLookUpTable,MATCH($B3216,CalLookUpRow,0),MATCH(G$1,CalLookUpColumn,0))</f>
        <v>2019</v>
      </c>
      <c r="H3216">
        <f>INDEX(CalLookUpTable,MATCH($B3216,CalLookUpRow,0),MATCH(H$1,CalLookUpColumn,0))</f>
        <v>11</v>
      </c>
      <c r="I3216">
        <f>INDEX(CalLookUpTable,MATCH($B3216,CalLookUpRow,0),MATCH(I$1,CalLookUpColumn,0))</f>
        <v>4</v>
      </c>
    </row>
    <row r="3217" spans="1:9" x14ac:dyDescent="0.25">
      <c r="A3217" s="7">
        <v>2</v>
      </c>
      <c r="B3217" s="8">
        <v>43787</v>
      </c>
      <c r="C3217" s="9" t="s">
        <v>5</v>
      </c>
      <c r="D3217" s="10">
        <v>823.76699999999994</v>
      </c>
      <c r="E3217" s="10">
        <v>881.95100000000002</v>
      </c>
      <c r="F3217" t="str">
        <f>VLOOKUP(A3217,StoreLookup,2,FALSE)</f>
        <v>Store#2</v>
      </c>
      <c r="G3217">
        <f>INDEX(CalLookUpTable,MATCH($B3217,CalLookUpRow,0),MATCH(G$1,CalLookUpColumn,0))</f>
        <v>2019</v>
      </c>
      <c r="H3217">
        <f>INDEX(CalLookUpTable,MATCH($B3217,CalLookUpRow,0),MATCH(H$1,CalLookUpColumn,0))</f>
        <v>11</v>
      </c>
      <c r="I3217">
        <f>INDEX(CalLookUpTable,MATCH($B3217,CalLookUpRow,0),MATCH(I$1,CalLookUpColumn,0))</f>
        <v>4</v>
      </c>
    </row>
    <row r="3218" spans="1:9" x14ac:dyDescent="0.25">
      <c r="A3218" s="7">
        <v>2</v>
      </c>
      <c r="B3218" s="8">
        <v>43788</v>
      </c>
      <c r="C3218" s="9" t="s">
        <v>6</v>
      </c>
      <c r="D3218" s="10">
        <v>209.53099999999998</v>
      </c>
      <c r="E3218" s="10">
        <v>262.92</v>
      </c>
      <c r="F3218" t="str">
        <f>VLOOKUP(A3218,StoreLookup,2,FALSE)</f>
        <v>Store#2</v>
      </c>
      <c r="G3218">
        <f>INDEX(CalLookUpTable,MATCH($B3218,CalLookUpRow,0),MATCH(G$1,CalLookUpColumn,0))</f>
        <v>2019</v>
      </c>
      <c r="H3218">
        <f>INDEX(CalLookUpTable,MATCH($B3218,CalLookUpRow,0),MATCH(H$1,CalLookUpColumn,0))</f>
        <v>11</v>
      </c>
      <c r="I3218">
        <f>INDEX(CalLookUpTable,MATCH($B3218,CalLookUpRow,0),MATCH(I$1,CalLookUpColumn,0))</f>
        <v>4</v>
      </c>
    </row>
    <row r="3219" spans="1:9" x14ac:dyDescent="0.25">
      <c r="A3219" s="7">
        <v>2</v>
      </c>
      <c r="B3219" s="8">
        <v>43788</v>
      </c>
      <c r="C3219" s="9" t="s">
        <v>3</v>
      </c>
      <c r="D3219" s="10">
        <v>0</v>
      </c>
      <c r="E3219" s="10">
        <v>0</v>
      </c>
      <c r="F3219" t="str">
        <f>VLOOKUP(A3219,StoreLookup,2,FALSE)</f>
        <v>Store#2</v>
      </c>
      <c r="G3219">
        <f>INDEX(CalLookUpTable,MATCH($B3219,CalLookUpRow,0),MATCH(G$1,CalLookUpColumn,0))</f>
        <v>2019</v>
      </c>
      <c r="H3219">
        <f>INDEX(CalLookUpTable,MATCH($B3219,CalLookUpRow,0),MATCH(H$1,CalLookUpColumn,0))</f>
        <v>11</v>
      </c>
      <c r="I3219">
        <f>INDEX(CalLookUpTable,MATCH($B3219,CalLookUpRow,0),MATCH(I$1,CalLookUpColumn,0))</f>
        <v>4</v>
      </c>
    </row>
    <row r="3220" spans="1:9" x14ac:dyDescent="0.25">
      <c r="A3220" s="7">
        <v>2</v>
      </c>
      <c r="B3220" s="8">
        <v>43788</v>
      </c>
      <c r="C3220" s="9" t="s">
        <v>5</v>
      </c>
      <c r="D3220" s="10">
        <v>1252.944</v>
      </c>
      <c r="E3220" s="10">
        <v>793.35899999999992</v>
      </c>
      <c r="F3220" t="str">
        <f>VLOOKUP(A3220,StoreLookup,2,FALSE)</f>
        <v>Store#2</v>
      </c>
      <c r="G3220">
        <f>INDEX(CalLookUpTable,MATCH($B3220,CalLookUpRow,0),MATCH(G$1,CalLookUpColumn,0))</f>
        <v>2019</v>
      </c>
      <c r="H3220">
        <f>INDEX(CalLookUpTable,MATCH($B3220,CalLookUpRow,0),MATCH(H$1,CalLookUpColumn,0))</f>
        <v>11</v>
      </c>
      <c r="I3220">
        <f>INDEX(CalLookUpTable,MATCH($B3220,CalLookUpRow,0),MATCH(I$1,CalLookUpColumn,0))</f>
        <v>4</v>
      </c>
    </row>
    <row r="3221" spans="1:9" x14ac:dyDescent="0.25">
      <c r="A3221" s="7">
        <v>2</v>
      </c>
      <c r="B3221" s="8">
        <v>43788</v>
      </c>
      <c r="C3221" s="9" t="s">
        <v>4</v>
      </c>
      <c r="D3221" s="10">
        <v>1652.1259999999997</v>
      </c>
      <c r="E3221" s="10">
        <v>1933.1759999999997</v>
      </c>
      <c r="F3221" t="str">
        <f>VLOOKUP(A3221,StoreLookup,2,FALSE)</f>
        <v>Store#2</v>
      </c>
      <c r="G3221">
        <f>INDEX(CalLookUpTable,MATCH($B3221,CalLookUpRow,0),MATCH(G$1,CalLookUpColumn,0))</f>
        <v>2019</v>
      </c>
      <c r="H3221">
        <f>INDEX(CalLookUpTable,MATCH($B3221,CalLookUpRow,0),MATCH(H$1,CalLookUpColumn,0))</f>
        <v>11</v>
      </c>
      <c r="I3221">
        <f>INDEX(CalLookUpTable,MATCH($B3221,CalLookUpRow,0),MATCH(I$1,CalLookUpColumn,0))</f>
        <v>4</v>
      </c>
    </row>
    <row r="3222" spans="1:9" x14ac:dyDescent="0.25">
      <c r="A3222" s="7">
        <v>2</v>
      </c>
      <c r="B3222" s="8">
        <v>43789</v>
      </c>
      <c r="C3222" s="9" t="s">
        <v>4</v>
      </c>
      <c r="D3222" s="10">
        <v>1555.0639999999999</v>
      </c>
      <c r="E3222" s="10">
        <v>2311.33</v>
      </c>
      <c r="F3222" t="str">
        <f>VLOOKUP(A3222,StoreLookup,2,FALSE)</f>
        <v>Store#2</v>
      </c>
      <c r="G3222">
        <f>INDEX(CalLookUpTable,MATCH($B3222,CalLookUpRow,0),MATCH(G$1,CalLookUpColumn,0))</f>
        <v>2019</v>
      </c>
      <c r="H3222">
        <f>INDEX(CalLookUpTable,MATCH($B3222,CalLookUpRow,0),MATCH(H$1,CalLookUpColumn,0))</f>
        <v>11</v>
      </c>
      <c r="I3222">
        <f>INDEX(CalLookUpTable,MATCH($B3222,CalLookUpRow,0),MATCH(I$1,CalLookUpColumn,0))</f>
        <v>4</v>
      </c>
    </row>
    <row r="3223" spans="1:9" x14ac:dyDescent="0.25">
      <c r="A3223" s="7">
        <v>2</v>
      </c>
      <c r="B3223" s="8">
        <v>43789</v>
      </c>
      <c r="C3223" s="9" t="s">
        <v>3</v>
      </c>
      <c r="D3223" s="10">
        <v>361.65499999999997</v>
      </c>
      <c r="E3223" s="10">
        <v>0</v>
      </c>
      <c r="F3223" t="str">
        <f>VLOOKUP(A3223,StoreLookup,2,FALSE)</f>
        <v>Store#2</v>
      </c>
      <c r="G3223">
        <f>INDEX(CalLookUpTable,MATCH($B3223,CalLookUpRow,0),MATCH(G$1,CalLookUpColumn,0))</f>
        <v>2019</v>
      </c>
      <c r="H3223">
        <f>INDEX(CalLookUpTable,MATCH($B3223,CalLookUpRow,0),MATCH(H$1,CalLookUpColumn,0))</f>
        <v>11</v>
      </c>
      <c r="I3223">
        <f>INDEX(CalLookUpTable,MATCH($B3223,CalLookUpRow,0),MATCH(I$1,CalLookUpColumn,0))</f>
        <v>4</v>
      </c>
    </row>
    <row r="3224" spans="1:9" x14ac:dyDescent="0.25">
      <c r="A3224" s="7">
        <v>2</v>
      </c>
      <c r="B3224" s="8">
        <v>43789</v>
      </c>
      <c r="C3224" s="9" t="s">
        <v>6</v>
      </c>
      <c r="D3224" s="10">
        <v>222.95699999999999</v>
      </c>
      <c r="E3224" s="10">
        <v>284.25599999999997</v>
      </c>
      <c r="F3224" t="str">
        <f>VLOOKUP(A3224,StoreLookup,2,FALSE)</f>
        <v>Store#2</v>
      </c>
      <c r="G3224">
        <f>INDEX(CalLookUpTable,MATCH($B3224,CalLookUpRow,0),MATCH(G$1,CalLookUpColumn,0))</f>
        <v>2019</v>
      </c>
      <c r="H3224">
        <f>INDEX(CalLookUpTable,MATCH($B3224,CalLookUpRow,0),MATCH(H$1,CalLookUpColumn,0))</f>
        <v>11</v>
      </c>
      <c r="I3224">
        <f>INDEX(CalLookUpTable,MATCH($B3224,CalLookUpRow,0),MATCH(I$1,CalLookUpColumn,0))</f>
        <v>4</v>
      </c>
    </row>
    <row r="3225" spans="1:9" x14ac:dyDescent="0.25">
      <c r="A3225" s="7">
        <v>2</v>
      </c>
      <c r="B3225" s="8">
        <v>43789</v>
      </c>
      <c r="C3225" s="9" t="s">
        <v>5</v>
      </c>
      <c r="D3225" s="10">
        <v>909.79</v>
      </c>
      <c r="E3225" s="10">
        <v>977.10899999999981</v>
      </c>
      <c r="F3225" t="str">
        <f>VLOOKUP(A3225,StoreLookup,2,FALSE)</f>
        <v>Store#2</v>
      </c>
      <c r="G3225">
        <f>INDEX(CalLookUpTable,MATCH($B3225,CalLookUpRow,0),MATCH(G$1,CalLookUpColumn,0))</f>
        <v>2019</v>
      </c>
      <c r="H3225">
        <f>INDEX(CalLookUpTable,MATCH($B3225,CalLookUpRow,0),MATCH(H$1,CalLookUpColumn,0))</f>
        <v>11</v>
      </c>
      <c r="I3225">
        <f>INDEX(CalLookUpTable,MATCH($B3225,CalLookUpRow,0),MATCH(I$1,CalLookUpColumn,0))</f>
        <v>4</v>
      </c>
    </row>
    <row r="3226" spans="1:9" x14ac:dyDescent="0.25">
      <c r="A3226" s="7">
        <v>2</v>
      </c>
      <c r="B3226" s="8">
        <v>43790</v>
      </c>
      <c r="C3226" s="9" t="s">
        <v>4</v>
      </c>
      <c r="D3226" s="10">
        <v>1894.4169999999999</v>
      </c>
      <c r="E3226" s="10">
        <v>0</v>
      </c>
      <c r="F3226" t="str">
        <f>VLOOKUP(A3226,StoreLookup,2,FALSE)</f>
        <v>Store#2</v>
      </c>
      <c r="G3226">
        <f>INDEX(CalLookUpTable,MATCH($B3226,CalLookUpRow,0),MATCH(G$1,CalLookUpColumn,0))</f>
        <v>2019</v>
      </c>
      <c r="H3226">
        <f>INDEX(CalLookUpTable,MATCH($B3226,CalLookUpRow,0),MATCH(H$1,CalLookUpColumn,0))</f>
        <v>11</v>
      </c>
      <c r="I3226">
        <f>INDEX(CalLookUpTable,MATCH($B3226,CalLookUpRow,0),MATCH(I$1,CalLookUpColumn,0))</f>
        <v>4</v>
      </c>
    </row>
    <row r="3227" spans="1:9" x14ac:dyDescent="0.25">
      <c r="A3227" s="7">
        <v>2</v>
      </c>
      <c r="B3227" s="8">
        <v>43790</v>
      </c>
      <c r="C3227" s="9" t="s">
        <v>6</v>
      </c>
      <c r="D3227" s="10">
        <v>355.23599999999999</v>
      </c>
      <c r="E3227" s="10">
        <v>0</v>
      </c>
      <c r="F3227" t="str">
        <f>VLOOKUP(A3227,StoreLookup,2,FALSE)</f>
        <v>Store#2</v>
      </c>
      <c r="G3227">
        <f>INDEX(CalLookUpTable,MATCH($B3227,CalLookUpRow,0),MATCH(G$1,CalLookUpColumn,0))</f>
        <v>2019</v>
      </c>
      <c r="H3227">
        <f>INDEX(CalLookUpTable,MATCH($B3227,CalLookUpRow,0),MATCH(H$1,CalLookUpColumn,0))</f>
        <v>11</v>
      </c>
      <c r="I3227">
        <f>INDEX(CalLookUpTable,MATCH($B3227,CalLookUpRow,0),MATCH(I$1,CalLookUpColumn,0))</f>
        <v>4</v>
      </c>
    </row>
    <row r="3228" spans="1:9" x14ac:dyDescent="0.25">
      <c r="A3228" s="7">
        <v>2</v>
      </c>
      <c r="B3228" s="8">
        <v>43790</v>
      </c>
      <c r="C3228" s="9" t="s">
        <v>3</v>
      </c>
      <c r="D3228" s="10">
        <v>0</v>
      </c>
      <c r="E3228" s="10">
        <v>0</v>
      </c>
      <c r="F3228" t="str">
        <f>VLOOKUP(A3228,StoreLookup,2,FALSE)</f>
        <v>Store#2</v>
      </c>
      <c r="G3228">
        <f>INDEX(CalLookUpTable,MATCH($B3228,CalLookUpRow,0),MATCH(G$1,CalLookUpColumn,0))</f>
        <v>2019</v>
      </c>
      <c r="H3228">
        <f>INDEX(CalLookUpTable,MATCH($B3228,CalLookUpRow,0),MATCH(H$1,CalLookUpColumn,0))</f>
        <v>11</v>
      </c>
      <c r="I3228">
        <f>INDEX(CalLookUpTable,MATCH($B3228,CalLookUpRow,0),MATCH(I$1,CalLookUpColumn,0))</f>
        <v>4</v>
      </c>
    </row>
    <row r="3229" spans="1:9" x14ac:dyDescent="0.25">
      <c r="A3229" s="7">
        <v>2</v>
      </c>
      <c r="B3229" s="8">
        <v>43790</v>
      </c>
      <c r="C3229" s="9" t="s">
        <v>5</v>
      </c>
      <c r="D3229" s="10">
        <v>1180.578</v>
      </c>
      <c r="E3229" s="10">
        <v>0</v>
      </c>
      <c r="F3229" t="str">
        <f>VLOOKUP(A3229,StoreLookup,2,FALSE)</f>
        <v>Store#2</v>
      </c>
      <c r="G3229">
        <f>INDEX(CalLookUpTable,MATCH($B3229,CalLookUpRow,0),MATCH(G$1,CalLookUpColumn,0))</f>
        <v>2019</v>
      </c>
      <c r="H3229">
        <f>INDEX(CalLookUpTable,MATCH($B3229,CalLookUpRow,0),MATCH(H$1,CalLookUpColumn,0))</f>
        <v>11</v>
      </c>
      <c r="I3229">
        <f>INDEX(CalLookUpTable,MATCH($B3229,CalLookUpRow,0),MATCH(I$1,CalLookUpColumn,0))</f>
        <v>4</v>
      </c>
    </row>
    <row r="3230" spans="1:9" x14ac:dyDescent="0.25">
      <c r="A3230" s="7">
        <v>2</v>
      </c>
      <c r="B3230" s="8">
        <v>43791</v>
      </c>
      <c r="C3230" s="9" t="s">
        <v>6</v>
      </c>
      <c r="D3230" s="10">
        <v>482.15999999999991</v>
      </c>
      <c r="E3230" s="10">
        <v>184.29599999999996</v>
      </c>
      <c r="F3230" t="str">
        <f>VLOOKUP(A3230,StoreLookup,2,FALSE)</f>
        <v>Store#2</v>
      </c>
      <c r="G3230">
        <f>INDEX(CalLookUpTable,MATCH($B3230,CalLookUpRow,0),MATCH(G$1,CalLookUpColumn,0))</f>
        <v>2019</v>
      </c>
      <c r="H3230">
        <f>INDEX(CalLookUpTable,MATCH($B3230,CalLookUpRow,0),MATCH(H$1,CalLookUpColumn,0))</f>
        <v>11</v>
      </c>
      <c r="I3230">
        <f>INDEX(CalLookUpTable,MATCH($B3230,CalLookUpRow,0),MATCH(I$1,CalLookUpColumn,0))</f>
        <v>4</v>
      </c>
    </row>
    <row r="3231" spans="1:9" x14ac:dyDescent="0.25">
      <c r="A3231" s="7">
        <v>2</v>
      </c>
      <c r="B3231" s="8">
        <v>43791</v>
      </c>
      <c r="C3231" s="9" t="s">
        <v>4</v>
      </c>
      <c r="D3231" s="10">
        <v>1834.9659999999999</v>
      </c>
      <c r="E3231" s="10">
        <v>2167.9279999999999</v>
      </c>
      <c r="F3231" t="str">
        <f>VLOOKUP(A3231,StoreLookup,2,FALSE)</f>
        <v>Store#2</v>
      </c>
      <c r="G3231">
        <f>INDEX(CalLookUpTable,MATCH($B3231,CalLookUpRow,0),MATCH(G$1,CalLookUpColumn,0))</f>
        <v>2019</v>
      </c>
      <c r="H3231">
        <f>INDEX(CalLookUpTable,MATCH($B3231,CalLookUpRow,0),MATCH(H$1,CalLookUpColumn,0))</f>
        <v>11</v>
      </c>
      <c r="I3231">
        <f>INDEX(CalLookUpTable,MATCH($B3231,CalLookUpRow,0),MATCH(I$1,CalLookUpColumn,0))</f>
        <v>4</v>
      </c>
    </row>
    <row r="3232" spans="1:9" x14ac:dyDescent="0.25">
      <c r="A3232" s="7">
        <v>2</v>
      </c>
      <c r="B3232" s="8">
        <v>43791</v>
      </c>
      <c r="C3232" s="9" t="s">
        <v>3</v>
      </c>
      <c r="D3232" s="10">
        <v>0</v>
      </c>
      <c r="E3232" s="10">
        <v>0</v>
      </c>
      <c r="F3232" t="str">
        <f>VLOOKUP(A3232,StoreLookup,2,FALSE)</f>
        <v>Store#2</v>
      </c>
      <c r="G3232">
        <f>INDEX(CalLookUpTable,MATCH($B3232,CalLookUpRow,0),MATCH(G$1,CalLookUpColumn,0))</f>
        <v>2019</v>
      </c>
      <c r="H3232">
        <f>INDEX(CalLookUpTable,MATCH($B3232,CalLookUpRow,0),MATCH(H$1,CalLookUpColumn,0))</f>
        <v>11</v>
      </c>
      <c r="I3232">
        <f>INDEX(CalLookUpTable,MATCH($B3232,CalLookUpRow,0),MATCH(I$1,CalLookUpColumn,0))</f>
        <v>4</v>
      </c>
    </row>
    <row r="3233" spans="1:9" x14ac:dyDescent="0.25">
      <c r="A3233" s="7">
        <v>2</v>
      </c>
      <c r="B3233" s="8">
        <v>43791</v>
      </c>
      <c r="C3233" s="9" t="s">
        <v>5</v>
      </c>
      <c r="D3233" s="10">
        <v>1400.1120000000001</v>
      </c>
      <c r="E3233" s="10">
        <v>1099.2239999999999</v>
      </c>
      <c r="F3233" t="str">
        <f>VLOOKUP(A3233,StoreLookup,2,FALSE)</f>
        <v>Store#2</v>
      </c>
      <c r="G3233">
        <f>INDEX(CalLookUpTable,MATCH($B3233,CalLookUpRow,0),MATCH(G$1,CalLookUpColumn,0))</f>
        <v>2019</v>
      </c>
      <c r="H3233">
        <f>INDEX(CalLookUpTable,MATCH($B3233,CalLookUpRow,0),MATCH(H$1,CalLookUpColumn,0))</f>
        <v>11</v>
      </c>
      <c r="I3233">
        <f>INDEX(CalLookUpTable,MATCH($B3233,CalLookUpRow,0),MATCH(I$1,CalLookUpColumn,0))</f>
        <v>4</v>
      </c>
    </row>
    <row r="3234" spans="1:9" x14ac:dyDescent="0.25">
      <c r="A3234" s="7">
        <v>2</v>
      </c>
      <c r="B3234" s="8">
        <v>43792</v>
      </c>
      <c r="C3234" s="9" t="s">
        <v>4</v>
      </c>
      <c r="D3234" s="10">
        <v>2268.4829999999997</v>
      </c>
      <c r="E3234" s="10">
        <v>2101.2949999999996</v>
      </c>
      <c r="F3234" t="str">
        <f>VLOOKUP(A3234,StoreLookup,2,FALSE)</f>
        <v>Store#2</v>
      </c>
      <c r="G3234">
        <f>INDEX(CalLookUpTable,MATCH($B3234,CalLookUpRow,0),MATCH(G$1,CalLookUpColumn,0))</f>
        <v>2019</v>
      </c>
      <c r="H3234">
        <f>INDEX(CalLookUpTable,MATCH($B3234,CalLookUpRow,0),MATCH(H$1,CalLookUpColumn,0))</f>
        <v>11</v>
      </c>
      <c r="I3234">
        <f>INDEX(CalLookUpTable,MATCH($B3234,CalLookUpRow,0),MATCH(I$1,CalLookUpColumn,0))</f>
        <v>4</v>
      </c>
    </row>
    <row r="3235" spans="1:9" x14ac:dyDescent="0.25">
      <c r="A3235" s="7">
        <v>2</v>
      </c>
      <c r="B3235" s="8">
        <v>43792</v>
      </c>
      <c r="C3235" s="9" t="s">
        <v>6</v>
      </c>
      <c r="D3235" s="10">
        <v>492.065</v>
      </c>
      <c r="E3235" s="10">
        <v>165.851</v>
      </c>
      <c r="F3235" t="str">
        <f>VLOOKUP(A3235,StoreLookup,2,FALSE)</f>
        <v>Store#2</v>
      </c>
      <c r="G3235">
        <f>INDEX(CalLookUpTable,MATCH($B3235,CalLookUpRow,0),MATCH(G$1,CalLookUpColumn,0))</f>
        <v>2019</v>
      </c>
      <c r="H3235">
        <f>INDEX(CalLookUpTable,MATCH($B3235,CalLookUpRow,0),MATCH(H$1,CalLookUpColumn,0))</f>
        <v>11</v>
      </c>
      <c r="I3235">
        <f>INDEX(CalLookUpTable,MATCH($B3235,CalLookUpRow,0),MATCH(I$1,CalLookUpColumn,0))</f>
        <v>4</v>
      </c>
    </row>
    <row r="3236" spans="1:9" x14ac:dyDescent="0.25">
      <c r="A3236" s="7">
        <v>2</v>
      </c>
      <c r="B3236" s="8">
        <v>43792</v>
      </c>
      <c r="C3236" s="9" t="s">
        <v>5</v>
      </c>
      <c r="D3236" s="10">
        <v>1572.655</v>
      </c>
      <c r="E3236" s="10">
        <v>771.37900000000002</v>
      </c>
      <c r="F3236" t="str">
        <f>VLOOKUP(A3236,StoreLookup,2,FALSE)</f>
        <v>Store#2</v>
      </c>
      <c r="G3236">
        <f>INDEX(CalLookUpTable,MATCH($B3236,CalLookUpRow,0),MATCH(G$1,CalLookUpColumn,0))</f>
        <v>2019</v>
      </c>
      <c r="H3236">
        <f>INDEX(CalLookUpTable,MATCH($B3236,CalLookUpRow,0),MATCH(H$1,CalLookUpColumn,0))</f>
        <v>11</v>
      </c>
      <c r="I3236">
        <f>INDEX(CalLookUpTable,MATCH($B3236,CalLookUpRow,0),MATCH(I$1,CalLookUpColumn,0))</f>
        <v>4</v>
      </c>
    </row>
    <row r="3237" spans="1:9" x14ac:dyDescent="0.25">
      <c r="A3237" s="7">
        <v>2</v>
      </c>
      <c r="B3237" s="8">
        <v>43792</v>
      </c>
      <c r="C3237" s="9" t="s">
        <v>3</v>
      </c>
      <c r="D3237" s="10">
        <v>0</v>
      </c>
      <c r="E3237" s="10">
        <v>0</v>
      </c>
      <c r="F3237" t="str">
        <f>VLOOKUP(A3237,StoreLookup,2,FALSE)</f>
        <v>Store#2</v>
      </c>
      <c r="G3237">
        <f>INDEX(CalLookUpTable,MATCH($B3237,CalLookUpRow,0),MATCH(G$1,CalLookUpColumn,0))</f>
        <v>2019</v>
      </c>
      <c r="H3237">
        <f>INDEX(CalLookUpTable,MATCH($B3237,CalLookUpRow,0),MATCH(H$1,CalLookUpColumn,0))</f>
        <v>11</v>
      </c>
      <c r="I3237">
        <f>INDEX(CalLookUpTable,MATCH($B3237,CalLookUpRow,0),MATCH(I$1,CalLookUpColumn,0))</f>
        <v>4</v>
      </c>
    </row>
    <row r="3238" spans="1:9" x14ac:dyDescent="0.25">
      <c r="A3238" s="7">
        <v>2</v>
      </c>
      <c r="B3238" s="8">
        <v>43793</v>
      </c>
      <c r="C3238" s="9" t="s">
        <v>6</v>
      </c>
      <c r="D3238" s="10">
        <v>343.476</v>
      </c>
      <c r="E3238" s="10">
        <v>238.42699999999999</v>
      </c>
      <c r="F3238" t="str">
        <f>VLOOKUP(A3238,StoreLookup,2,FALSE)</f>
        <v>Store#2</v>
      </c>
      <c r="G3238">
        <f>INDEX(CalLookUpTable,MATCH($B3238,CalLookUpRow,0),MATCH(G$1,CalLookUpColumn,0))</f>
        <v>2019</v>
      </c>
      <c r="H3238">
        <f>INDEX(CalLookUpTable,MATCH($B3238,CalLookUpRow,0),MATCH(H$1,CalLookUpColumn,0))</f>
        <v>11</v>
      </c>
      <c r="I3238">
        <f>INDEX(CalLookUpTable,MATCH($B3238,CalLookUpRow,0),MATCH(I$1,CalLookUpColumn,0))</f>
        <v>4</v>
      </c>
    </row>
    <row r="3239" spans="1:9" x14ac:dyDescent="0.25">
      <c r="A3239" s="7">
        <v>2</v>
      </c>
      <c r="B3239" s="8">
        <v>43793</v>
      </c>
      <c r="C3239" s="9" t="s">
        <v>3</v>
      </c>
      <c r="D3239" s="10">
        <v>0</v>
      </c>
      <c r="E3239" s="10">
        <v>23.085999999999995</v>
      </c>
      <c r="F3239" t="str">
        <f>VLOOKUP(A3239,StoreLookup,2,FALSE)</f>
        <v>Store#2</v>
      </c>
      <c r="G3239">
        <f>INDEX(CalLookUpTable,MATCH($B3239,CalLookUpRow,0),MATCH(G$1,CalLookUpColumn,0))</f>
        <v>2019</v>
      </c>
      <c r="H3239">
        <f>INDEX(CalLookUpTable,MATCH($B3239,CalLookUpRow,0),MATCH(H$1,CalLookUpColumn,0))</f>
        <v>11</v>
      </c>
      <c r="I3239">
        <f>INDEX(CalLookUpTable,MATCH($B3239,CalLookUpRow,0),MATCH(I$1,CalLookUpColumn,0))</f>
        <v>4</v>
      </c>
    </row>
    <row r="3240" spans="1:9" x14ac:dyDescent="0.25">
      <c r="A3240" s="7">
        <v>2</v>
      </c>
      <c r="B3240" s="8">
        <v>43793</v>
      </c>
      <c r="C3240" s="9" t="s">
        <v>4</v>
      </c>
      <c r="D3240" s="10">
        <v>1227.5829999999999</v>
      </c>
      <c r="E3240" s="10">
        <v>1179.5629999999999</v>
      </c>
      <c r="F3240" t="str">
        <f>VLOOKUP(A3240,StoreLookup,2,FALSE)</f>
        <v>Store#2</v>
      </c>
      <c r="G3240">
        <f>INDEX(CalLookUpTable,MATCH($B3240,CalLookUpRow,0),MATCH(G$1,CalLookUpColumn,0))</f>
        <v>2019</v>
      </c>
      <c r="H3240">
        <f>INDEX(CalLookUpTable,MATCH($B3240,CalLookUpRow,0),MATCH(H$1,CalLookUpColumn,0))</f>
        <v>11</v>
      </c>
      <c r="I3240">
        <f>INDEX(CalLookUpTable,MATCH($B3240,CalLookUpRow,0),MATCH(I$1,CalLookUpColumn,0))</f>
        <v>4</v>
      </c>
    </row>
    <row r="3241" spans="1:9" x14ac:dyDescent="0.25">
      <c r="A3241" s="7">
        <v>2</v>
      </c>
      <c r="B3241" s="8">
        <v>43793</v>
      </c>
      <c r="C3241" s="9" t="s">
        <v>5</v>
      </c>
      <c r="D3241" s="10">
        <v>575.81299999999999</v>
      </c>
      <c r="E3241" s="10">
        <v>579.16599999999994</v>
      </c>
      <c r="F3241" t="str">
        <f>VLOOKUP(A3241,StoreLookup,2,FALSE)</f>
        <v>Store#2</v>
      </c>
      <c r="G3241">
        <f>INDEX(CalLookUpTable,MATCH($B3241,CalLookUpRow,0),MATCH(G$1,CalLookUpColumn,0))</f>
        <v>2019</v>
      </c>
      <c r="H3241">
        <f>INDEX(CalLookUpTable,MATCH($B3241,CalLookUpRow,0),MATCH(H$1,CalLookUpColumn,0))</f>
        <v>11</v>
      </c>
      <c r="I3241">
        <f>INDEX(CalLookUpTable,MATCH($B3241,CalLookUpRow,0),MATCH(I$1,CalLookUpColumn,0))</f>
        <v>4</v>
      </c>
    </row>
    <row r="3242" spans="1:9" x14ac:dyDescent="0.25">
      <c r="A3242" s="7">
        <v>2</v>
      </c>
      <c r="B3242" s="8">
        <v>43794</v>
      </c>
      <c r="C3242" s="9" t="s">
        <v>3</v>
      </c>
      <c r="D3242" s="10">
        <v>1725.2270000000001</v>
      </c>
      <c r="E3242" s="10">
        <v>122.28999999999998</v>
      </c>
      <c r="F3242" t="str">
        <f>VLOOKUP(A3242,StoreLookup,2,FALSE)</f>
        <v>Store#2</v>
      </c>
      <c r="G3242">
        <f>INDEX(CalLookUpTable,MATCH($B3242,CalLookUpRow,0),MATCH(G$1,CalLookUpColumn,0))</f>
        <v>2019</v>
      </c>
      <c r="H3242">
        <f>INDEX(CalLookUpTable,MATCH($B3242,CalLookUpRow,0),MATCH(H$1,CalLookUpColumn,0))</f>
        <v>12</v>
      </c>
      <c r="I3242">
        <f>INDEX(CalLookUpTable,MATCH($B3242,CalLookUpRow,0),MATCH(I$1,CalLookUpColumn,0))</f>
        <v>1</v>
      </c>
    </row>
    <row r="3243" spans="1:9" x14ac:dyDescent="0.25">
      <c r="A3243" s="7">
        <v>2</v>
      </c>
      <c r="B3243" s="8">
        <v>43794</v>
      </c>
      <c r="C3243" s="9" t="s">
        <v>4</v>
      </c>
      <c r="D3243" s="10">
        <v>1361.2269999999999</v>
      </c>
      <c r="E3243" s="10">
        <v>1333.4649999999999</v>
      </c>
      <c r="F3243" t="str">
        <f>VLOOKUP(A3243,StoreLookup,2,FALSE)</f>
        <v>Store#2</v>
      </c>
      <c r="G3243">
        <f>INDEX(CalLookUpTable,MATCH($B3243,CalLookUpRow,0),MATCH(G$1,CalLookUpColumn,0))</f>
        <v>2019</v>
      </c>
      <c r="H3243">
        <f>INDEX(CalLookUpTable,MATCH($B3243,CalLookUpRow,0),MATCH(H$1,CalLookUpColumn,0))</f>
        <v>12</v>
      </c>
      <c r="I3243">
        <f>INDEX(CalLookUpTable,MATCH($B3243,CalLookUpRow,0),MATCH(I$1,CalLookUpColumn,0))</f>
        <v>1</v>
      </c>
    </row>
    <row r="3244" spans="1:9" x14ac:dyDescent="0.25">
      <c r="A3244" s="7">
        <v>2</v>
      </c>
      <c r="B3244" s="8">
        <v>43794</v>
      </c>
      <c r="C3244" s="9" t="s">
        <v>6</v>
      </c>
      <c r="D3244" s="10">
        <v>514.17099999999994</v>
      </c>
      <c r="E3244" s="10">
        <v>173.88</v>
      </c>
      <c r="F3244" t="str">
        <f>VLOOKUP(A3244,StoreLookup,2,FALSE)</f>
        <v>Store#2</v>
      </c>
      <c r="G3244">
        <f>INDEX(CalLookUpTable,MATCH($B3244,CalLookUpRow,0),MATCH(G$1,CalLookUpColumn,0))</f>
        <v>2019</v>
      </c>
      <c r="H3244">
        <f>INDEX(CalLookUpTable,MATCH($B3244,CalLookUpRow,0),MATCH(H$1,CalLookUpColumn,0))</f>
        <v>12</v>
      </c>
      <c r="I3244">
        <f>INDEX(CalLookUpTable,MATCH($B3244,CalLookUpRow,0),MATCH(I$1,CalLookUpColumn,0))</f>
        <v>1</v>
      </c>
    </row>
    <row r="3245" spans="1:9" x14ac:dyDescent="0.25">
      <c r="A3245" s="7">
        <v>2</v>
      </c>
      <c r="B3245" s="8">
        <v>43794</v>
      </c>
      <c r="C3245" s="9" t="s">
        <v>5</v>
      </c>
      <c r="D3245" s="10">
        <v>720.34199999999987</v>
      </c>
      <c r="E3245" s="10">
        <v>764.89</v>
      </c>
      <c r="F3245" t="str">
        <f>VLOOKUP(A3245,StoreLookup,2,FALSE)</f>
        <v>Store#2</v>
      </c>
      <c r="G3245">
        <f>INDEX(CalLookUpTable,MATCH($B3245,CalLookUpRow,0),MATCH(G$1,CalLookUpColumn,0))</f>
        <v>2019</v>
      </c>
      <c r="H3245">
        <f>INDEX(CalLookUpTable,MATCH($B3245,CalLookUpRow,0),MATCH(H$1,CalLookUpColumn,0))</f>
        <v>12</v>
      </c>
      <c r="I3245">
        <f>INDEX(CalLookUpTable,MATCH($B3245,CalLookUpRow,0),MATCH(I$1,CalLookUpColumn,0))</f>
        <v>1</v>
      </c>
    </row>
    <row r="3246" spans="1:9" x14ac:dyDescent="0.25">
      <c r="A3246" s="7">
        <v>2</v>
      </c>
      <c r="B3246" s="8">
        <v>43795</v>
      </c>
      <c r="C3246" s="9" t="s">
        <v>5</v>
      </c>
      <c r="D3246" s="10">
        <v>956.46600000000001</v>
      </c>
      <c r="E3246" s="10">
        <v>962.12899999999991</v>
      </c>
      <c r="F3246" t="str">
        <f>VLOOKUP(A3246,StoreLookup,2,FALSE)</f>
        <v>Store#2</v>
      </c>
      <c r="G3246">
        <f>INDEX(CalLookUpTable,MATCH($B3246,CalLookUpRow,0),MATCH(G$1,CalLookUpColumn,0))</f>
        <v>2019</v>
      </c>
      <c r="H3246">
        <f>INDEX(CalLookUpTable,MATCH($B3246,CalLookUpRow,0),MATCH(H$1,CalLookUpColumn,0))</f>
        <v>12</v>
      </c>
      <c r="I3246">
        <f>INDEX(CalLookUpTable,MATCH($B3246,CalLookUpRow,0),MATCH(I$1,CalLookUpColumn,0))</f>
        <v>1</v>
      </c>
    </row>
    <row r="3247" spans="1:9" x14ac:dyDescent="0.25">
      <c r="A3247" s="7">
        <v>2</v>
      </c>
      <c r="B3247" s="8">
        <v>43795</v>
      </c>
      <c r="C3247" s="9" t="s">
        <v>6</v>
      </c>
      <c r="D3247" s="10">
        <v>524.25099999999998</v>
      </c>
      <c r="E3247" s="10">
        <v>311.09399999999999</v>
      </c>
      <c r="F3247" t="str">
        <f>VLOOKUP(A3247,StoreLookup,2,FALSE)</f>
        <v>Store#2</v>
      </c>
      <c r="G3247">
        <f>INDEX(CalLookUpTable,MATCH($B3247,CalLookUpRow,0),MATCH(G$1,CalLookUpColumn,0))</f>
        <v>2019</v>
      </c>
      <c r="H3247">
        <f>INDEX(CalLookUpTable,MATCH($B3247,CalLookUpRow,0),MATCH(H$1,CalLookUpColumn,0))</f>
        <v>12</v>
      </c>
      <c r="I3247">
        <f>INDEX(CalLookUpTable,MATCH($B3247,CalLookUpRow,0),MATCH(I$1,CalLookUpColumn,0))</f>
        <v>1</v>
      </c>
    </row>
    <row r="3248" spans="1:9" x14ac:dyDescent="0.25">
      <c r="A3248" s="7">
        <v>2</v>
      </c>
      <c r="B3248" s="8">
        <v>43795</v>
      </c>
      <c r="C3248" s="9" t="s">
        <v>4</v>
      </c>
      <c r="D3248" s="10">
        <v>1499.3089999999997</v>
      </c>
      <c r="E3248" s="10">
        <v>1618.1339999999998</v>
      </c>
      <c r="F3248" t="str">
        <f>VLOOKUP(A3248,StoreLookup,2,FALSE)</f>
        <v>Store#2</v>
      </c>
      <c r="G3248">
        <f>INDEX(CalLookUpTable,MATCH($B3248,CalLookUpRow,0),MATCH(G$1,CalLookUpColumn,0))</f>
        <v>2019</v>
      </c>
      <c r="H3248">
        <f>INDEX(CalLookUpTable,MATCH($B3248,CalLookUpRow,0),MATCH(H$1,CalLookUpColumn,0))</f>
        <v>12</v>
      </c>
      <c r="I3248">
        <f>INDEX(CalLookUpTable,MATCH($B3248,CalLookUpRow,0),MATCH(I$1,CalLookUpColumn,0))</f>
        <v>1</v>
      </c>
    </row>
    <row r="3249" spans="1:9" x14ac:dyDescent="0.25">
      <c r="A3249" s="7">
        <v>2</v>
      </c>
      <c r="B3249" s="8">
        <v>43795</v>
      </c>
      <c r="C3249" s="9" t="s">
        <v>3</v>
      </c>
      <c r="D3249" s="10">
        <v>0</v>
      </c>
      <c r="E3249" s="10">
        <v>605.99</v>
      </c>
      <c r="F3249" t="str">
        <f>VLOOKUP(A3249,StoreLookup,2,FALSE)</f>
        <v>Store#2</v>
      </c>
      <c r="G3249">
        <f>INDEX(CalLookUpTable,MATCH($B3249,CalLookUpRow,0),MATCH(G$1,CalLookUpColumn,0))</f>
        <v>2019</v>
      </c>
      <c r="H3249">
        <f>INDEX(CalLookUpTable,MATCH($B3249,CalLookUpRow,0),MATCH(H$1,CalLookUpColumn,0))</f>
        <v>12</v>
      </c>
      <c r="I3249">
        <f>INDEX(CalLookUpTable,MATCH($B3249,CalLookUpRow,0),MATCH(I$1,CalLookUpColumn,0))</f>
        <v>1</v>
      </c>
    </row>
    <row r="3250" spans="1:9" x14ac:dyDescent="0.25">
      <c r="A3250" s="7">
        <v>2</v>
      </c>
      <c r="B3250" s="8">
        <v>43796</v>
      </c>
      <c r="C3250" s="9" t="s">
        <v>5</v>
      </c>
      <c r="D3250" s="10">
        <v>850.99</v>
      </c>
      <c r="E3250" s="10">
        <v>773.91999999999985</v>
      </c>
      <c r="F3250" t="str">
        <f>VLOOKUP(A3250,StoreLookup,2,FALSE)</f>
        <v>Store#2</v>
      </c>
      <c r="G3250">
        <f>INDEX(CalLookUpTable,MATCH($B3250,CalLookUpRow,0),MATCH(G$1,CalLookUpColumn,0))</f>
        <v>2019</v>
      </c>
      <c r="H3250">
        <f>INDEX(CalLookUpTable,MATCH($B3250,CalLookUpRow,0),MATCH(H$1,CalLookUpColumn,0))</f>
        <v>12</v>
      </c>
      <c r="I3250">
        <f>INDEX(CalLookUpTable,MATCH($B3250,CalLookUpRow,0),MATCH(I$1,CalLookUpColumn,0))</f>
        <v>1</v>
      </c>
    </row>
    <row r="3251" spans="1:9" x14ac:dyDescent="0.25">
      <c r="A3251" s="7">
        <v>2</v>
      </c>
      <c r="B3251" s="8">
        <v>43796</v>
      </c>
      <c r="C3251" s="9" t="s">
        <v>6</v>
      </c>
      <c r="D3251" s="10">
        <v>434.93799999999999</v>
      </c>
      <c r="E3251" s="10">
        <v>284.137</v>
      </c>
      <c r="F3251" t="str">
        <f>VLOOKUP(A3251,StoreLookup,2,FALSE)</f>
        <v>Store#2</v>
      </c>
      <c r="G3251">
        <f>INDEX(CalLookUpTable,MATCH($B3251,CalLookUpRow,0),MATCH(G$1,CalLookUpColumn,0))</f>
        <v>2019</v>
      </c>
      <c r="H3251">
        <f>INDEX(CalLookUpTable,MATCH($B3251,CalLookUpRow,0),MATCH(H$1,CalLookUpColumn,0))</f>
        <v>12</v>
      </c>
      <c r="I3251">
        <f>INDEX(CalLookUpTable,MATCH($B3251,CalLookUpRow,0),MATCH(I$1,CalLookUpColumn,0))</f>
        <v>1</v>
      </c>
    </row>
    <row r="3252" spans="1:9" x14ac:dyDescent="0.25">
      <c r="A3252" s="7">
        <v>2</v>
      </c>
      <c r="B3252" s="8">
        <v>43796</v>
      </c>
      <c r="C3252" s="9" t="s">
        <v>3</v>
      </c>
      <c r="D3252" s="10">
        <v>160.85999999999999</v>
      </c>
      <c r="E3252" s="10">
        <v>0</v>
      </c>
      <c r="F3252" t="str">
        <f>VLOOKUP(A3252,StoreLookup,2,FALSE)</f>
        <v>Store#2</v>
      </c>
      <c r="G3252">
        <f>INDEX(CalLookUpTable,MATCH($B3252,CalLookUpRow,0),MATCH(G$1,CalLookUpColumn,0))</f>
        <v>2019</v>
      </c>
      <c r="H3252">
        <f>INDEX(CalLookUpTable,MATCH($B3252,CalLookUpRow,0),MATCH(H$1,CalLookUpColumn,0))</f>
        <v>12</v>
      </c>
      <c r="I3252">
        <f>INDEX(CalLookUpTable,MATCH($B3252,CalLookUpRow,0),MATCH(I$1,CalLookUpColumn,0))</f>
        <v>1</v>
      </c>
    </row>
    <row r="3253" spans="1:9" x14ac:dyDescent="0.25">
      <c r="A3253" s="7">
        <v>2</v>
      </c>
      <c r="B3253" s="8">
        <v>43796</v>
      </c>
      <c r="C3253" s="9" t="s">
        <v>4</v>
      </c>
      <c r="D3253" s="10">
        <v>1753.269</v>
      </c>
      <c r="E3253" s="10">
        <v>1284.9690000000001</v>
      </c>
      <c r="F3253" t="str">
        <f>VLOOKUP(A3253,StoreLookup,2,FALSE)</f>
        <v>Store#2</v>
      </c>
      <c r="G3253">
        <f>INDEX(CalLookUpTable,MATCH($B3253,CalLookUpRow,0),MATCH(G$1,CalLookUpColumn,0))</f>
        <v>2019</v>
      </c>
      <c r="H3253">
        <f>INDEX(CalLookUpTable,MATCH($B3253,CalLookUpRow,0),MATCH(H$1,CalLookUpColumn,0))</f>
        <v>12</v>
      </c>
      <c r="I3253">
        <f>INDEX(CalLookUpTable,MATCH($B3253,CalLookUpRow,0),MATCH(I$1,CalLookUpColumn,0))</f>
        <v>1</v>
      </c>
    </row>
    <row r="3254" spans="1:9" x14ac:dyDescent="0.25">
      <c r="A3254" s="7">
        <v>2</v>
      </c>
      <c r="B3254" s="8">
        <v>43797</v>
      </c>
      <c r="C3254" s="9" t="s">
        <v>6</v>
      </c>
      <c r="D3254" s="10">
        <v>0</v>
      </c>
      <c r="E3254" s="10">
        <v>205.345</v>
      </c>
      <c r="F3254" t="str">
        <f>VLOOKUP(A3254,StoreLookup,2,FALSE)</f>
        <v>Store#2</v>
      </c>
      <c r="G3254">
        <f>INDEX(CalLookUpTable,MATCH($B3254,CalLookUpRow,0),MATCH(G$1,CalLookUpColumn,0))</f>
        <v>2019</v>
      </c>
      <c r="H3254">
        <f>INDEX(CalLookUpTable,MATCH($B3254,CalLookUpRow,0),MATCH(H$1,CalLookUpColumn,0))</f>
        <v>12</v>
      </c>
      <c r="I3254">
        <f>INDEX(CalLookUpTable,MATCH($B3254,CalLookUpRow,0),MATCH(I$1,CalLookUpColumn,0))</f>
        <v>1</v>
      </c>
    </row>
    <row r="3255" spans="1:9" x14ac:dyDescent="0.25">
      <c r="A3255" s="7">
        <v>2</v>
      </c>
      <c r="B3255" s="8">
        <v>43797</v>
      </c>
      <c r="C3255" s="9" t="s">
        <v>4</v>
      </c>
      <c r="D3255" s="10">
        <v>0</v>
      </c>
      <c r="E3255" s="10">
        <v>1459.4159999999999</v>
      </c>
      <c r="F3255" t="str">
        <f>VLOOKUP(A3255,StoreLookup,2,FALSE)</f>
        <v>Store#2</v>
      </c>
      <c r="G3255">
        <f>INDEX(CalLookUpTable,MATCH($B3255,CalLookUpRow,0),MATCH(G$1,CalLookUpColumn,0))</f>
        <v>2019</v>
      </c>
      <c r="H3255">
        <f>INDEX(CalLookUpTable,MATCH($B3255,CalLookUpRow,0),MATCH(H$1,CalLookUpColumn,0))</f>
        <v>12</v>
      </c>
      <c r="I3255">
        <f>INDEX(CalLookUpTable,MATCH($B3255,CalLookUpRow,0),MATCH(I$1,CalLookUpColumn,0))</f>
        <v>1</v>
      </c>
    </row>
    <row r="3256" spans="1:9" x14ac:dyDescent="0.25">
      <c r="A3256" s="7">
        <v>2</v>
      </c>
      <c r="B3256" s="8">
        <v>43797</v>
      </c>
      <c r="C3256" s="9" t="s">
        <v>3</v>
      </c>
      <c r="D3256" s="10">
        <v>0</v>
      </c>
      <c r="E3256" s="10">
        <v>52.884999999999998</v>
      </c>
      <c r="F3256" t="str">
        <f>VLOOKUP(A3256,StoreLookup,2,FALSE)</f>
        <v>Store#2</v>
      </c>
      <c r="G3256">
        <f>INDEX(CalLookUpTable,MATCH($B3256,CalLookUpRow,0),MATCH(G$1,CalLookUpColumn,0))</f>
        <v>2019</v>
      </c>
      <c r="H3256">
        <f>INDEX(CalLookUpTable,MATCH($B3256,CalLookUpRow,0),MATCH(H$1,CalLookUpColumn,0))</f>
        <v>12</v>
      </c>
      <c r="I3256">
        <f>INDEX(CalLookUpTable,MATCH($B3256,CalLookUpRow,0),MATCH(I$1,CalLookUpColumn,0))</f>
        <v>1</v>
      </c>
    </row>
    <row r="3257" spans="1:9" x14ac:dyDescent="0.25">
      <c r="A3257" s="7">
        <v>2</v>
      </c>
      <c r="B3257" s="8">
        <v>43797</v>
      </c>
      <c r="C3257" s="9" t="s">
        <v>5</v>
      </c>
      <c r="D3257" s="10">
        <v>0</v>
      </c>
      <c r="E3257" s="10">
        <v>920.12899999999991</v>
      </c>
      <c r="F3257" t="str">
        <f>VLOOKUP(A3257,StoreLookup,2,FALSE)</f>
        <v>Store#2</v>
      </c>
      <c r="G3257">
        <f>INDEX(CalLookUpTable,MATCH($B3257,CalLookUpRow,0),MATCH(G$1,CalLookUpColumn,0))</f>
        <v>2019</v>
      </c>
      <c r="H3257">
        <f>INDEX(CalLookUpTable,MATCH($B3257,CalLookUpRow,0),MATCH(H$1,CalLookUpColumn,0))</f>
        <v>12</v>
      </c>
      <c r="I3257">
        <f>INDEX(CalLookUpTable,MATCH($B3257,CalLookUpRow,0),MATCH(I$1,CalLookUpColumn,0))</f>
        <v>1</v>
      </c>
    </row>
    <row r="3258" spans="1:9" x14ac:dyDescent="0.25">
      <c r="A3258" s="7">
        <v>2</v>
      </c>
      <c r="B3258" s="8">
        <v>43798</v>
      </c>
      <c r="C3258" s="9" t="s">
        <v>3</v>
      </c>
      <c r="D3258" s="10">
        <v>63.923999999999992</v>
      </c>
      <c r="E3258" s="10">
        <v>20.096999999999998</v>
      </c>
      <c r="F3258" t="str">
        <f>VLOOKUP(A3258,StoreLookup,2,FALSE)</f>
        <v>Store#2</v>
      </c>
      <c r="G3258">
        <f>INDEX(CalLookUpTable,MATCH($B3258,CalLookUpRow,0),MATCH(G$1,CalLookUpColumn,0))</f>
        <v>2019</v>
      </c>
      <c r="H3258">
        <f>INDEX(CalLookUpTable,MATCH($B3258,CalLookUpRow,0),MATCH(H$1,CalLookUpColumn,0))</f>
        <v>12</v>
      </c>
      <c r="I3258">
        <f>INDEX(CalLookUpTable,MATCH($B3258,CalLookUpRow,0),MATCH(I$1,CalLookUpColumn,0))</f>
        <v>1</v>
      </c>
    </row>
    <row r="3259" spans="1:9" x14ac:dyDescent="0.25">
      <c r="A3259" s="7">
        <v>2</v>
      </c>
      <c r="B3259" s="8">
        <v>43798</v>
      </c>
      <c r="C3259" s="9" t="s">
        <v>5</v>
      </c>
      <c r="D3259" s="10">
        <v>839.01299999999992</v>
      </c>
      <c r="E3259" s="10">
        <v>1369.5849999999998</v>
      </c>
      <c r="F3259" t="str">
        <f>VLOOKUP(A3259,StoreLookup,2,FALSE)</f>
        <v>Store#2</v>
      </c>
      <c r="G3259">
        <f>INDEX(CalLookUpTable,MATCH($B3259,CalLookUpRow,0),MATCH(G$1,CalLookUpColumn,0))</f>
        <v>2019</v>
      </c>
      <c r="H3259">
        <f>INDEX(CalLookUpTable,MATCH($B3259,CalLookUpRow,0),MATCH(H$1,CalLookUpColumn,0))</f>
        <v>12</v>
      </c>
      <c r="I3259">
        <f>INDEX(CalLookUpTable,MATCH($B3259,CalLookUpRow,0),MATCH(I$1,CalLookUpColumn,0))</f>
        <v>1</v>
      </c>
    </row>
    <row r="3260" spans="1:9" x14ac:dyDescent="0.25">
      <c r="A3260" s="7">
        <v>2</v>
      </c>
      <c r="B3260" s="8">
        <v>43798</v>
      </c>
      <c r="C3260" s="9" t="s">
        <v>4</v>
      </c>
      <c r="D3260" s="10">
        <v>1674.6869999999999</v>
      </c>
      <c r="E3260" s="10">
        <v>2704.7019999999998</v>
      </c>
      <c r="F3260" t="str">
        <f>VLOOKUP(A3260,StoreLookup,2,FALSE)</f>
        <v>Store#2</v>
      </c>
      <c r="G3260">
        <f>INDEX(CalLookUpTable,MATCH($B3260,CalLookUpRow,0),MATCH(G$1,CalLookUpColumn,0))</f>
        <v>2019</v>
      </c>
      <c r="H3260">
        <f>INDEX(CalLookUpTable,MATCH($B3260,CalLookUpRow,0),MATCH(H$1,CalLookUpColumn,0))</f>
        <v>12</v>
      </c>
      <c r="I3260">
        <f>INDEX(CalLookUpTable,MATCH($B3260,CalLookUpRow,0),MATCH(I$1,CalLookUpColumn,0))</f>
        <v>1</v>
      </c>
    </row>
    <row r="3261" spans="1:9" x14ac:dyDescent="0.25">
      <c r="A3261" s="7">
        <v>2</v>
      </c>
      <c r="B3261" s="8">
        <v>43798</v>
      </c>
      <c r="C3261" s="9" t="s">
        <v>6</v>
      </c>
      <c r="D3261" s="10">
        <v>525.46899999999994</v>
      </c>
      <c r="E3261" s="10">
        <v>332.76599999999996</v>
      </c>
      <c r="F3261" t="str">
        <f>VLOOKUP(A3261,StoreLookup,2,FALSE)</f>
        <v>Store#2</v>
      </c>
      <c r="G3261">
        <f>INDEX(CalLookUpTable,MATCH($B3261,CalLookUpRow,0),MATCH(G$1,CalLookUpColumn,0))</f>
        <v>2019</v>
      </c>
      <c r="H3261">
        <f>INDEX(CalLookUpTable,MATCH($B3261,CalLookUpRow,0),MATCH(H$1,CalLookUpColumn,0))</f>
        <v>12</v>
      </c>
      <c r="I3261">
        <f>INDEX(CalLookUpTable,MATCH($B3261,CalLookUpRow,0),MATCH(I$1,CalLookUpColumn,0))</f>
        <v>1</v>
      </c>
    </row>
    <row r="3262" spans="1:9" x14ac:dyDescent="0.25">
      <c r="A3262" s="7">
        <v>2</v>
      </c>
      <c r="B3262" s="8">
        <v>43799</v>
      </c>
      <c r="C3262" s="9" t="s">
        <v>4</v>
      </c>
      <c r="D3262" s="10">
        <v>1650.3689999999999</v>
      </c>
      <c r="E3262" s="10">
        <v>1997.2329999999999</v>
      </c>
      <c r="F3262" t="str">
        <f>VLOOKUP(A3262,StoreLookup,2,FALSE)</f>
        <v>Store#2</v>
      </c>
      <c r="G3262">
        <f>INDEX(CalLookUpTable,MATCH($B3262,CalLookUpRow,0),MATCH(G$1,CalLookUpColumn,0))</f>
        <v>2019</v>
      </c>
      <c r="H3262">
        <f>INDEX(CalLookUpTable,MATCH($B3262,CalLookUpRow,0),MATCH(H$1,CalLookUpColumn,0))</f>
        <v>12</v>
      </c>
      <c r="I3262">
        <f>INDEX(CalLookUpTable,MATCH($B3262,CalLookUpRow,0),MATCH(I$1,CalLookUpColumn,0))</f>
        <v>1</v>
      </c>
    </row>
    <row r="3263" spans="1:9" x14ac:dyDescent="0.25">
      <c r="A3263" s="7">
        <v>2</v>
      </c>
      <c r="B3263" s="8">
        <v>43799</v>
      </c>
      <c r="C3263" s="9" t="s">
        <v>6</v>
      </c>
      <c r="D3263" s="10">
        <v>529.03899999999999</v>
      </c>
      <c r="E3263" s="10">
        <v>382.04599999999994</v>
      </c>
      <c r="F3263" t="str">
        <f>VLOOKUP(A3263,StoreLookup,2,FALSE)</f>
        <v>Store#2</v>
      </c>
      <c r="G3263">
        <f>INDEX(CalLookUpTable,MATCH($B3263,CalLookUpRow,0),MATCH(G$1,CalLookUpColumn,0))</f>
        <v>2019</v>
      </c>
      <c r="H3263">
        <f>INDEX(CalLookUpTable,MATCH($B3263,CalLookUpRow,0),MATCH(H$1,CalLookUpColumn,0))</f>
        <v>12</v>
      </c>
      <c r="I3263">
        <f>INDEX(CalLookUpTable,MATCH($B3263,CalLookUpRow,0),MATCH(I$1,CalLookUpColumn,0))</f>
        <v>1</v>
      </c>
    </row>
    <row r="3264" spans="1:9" x14ac:dyDescent="0.25">
      <c r="A3264" s="7">
        <v>2</v>
      </c>
      <c r="B3264" s="8">
        <v>43799</v>
      </c>
      <c r="C3264" s="9" t="s">
        <v>5</v>
      </c>
      <c r="D3264" s="10">
        <v>805.322</v>
      </c>
      <c r="E3264" s="10">
        <v>992.04</v>
      </c>
      <c r="F3264" t="str">
        <f>VLOOKUP(A3264,StoreLookup,2,FALSE)</f>
        <v>Store#2</v>
      </c>
      <c r="G3264">
        <f>INDEX(CalLookUpTable,MATCH($B3264,CalLookUpRow,0),MATCH(G$1,CalLookUpColumn,0))</f>
        <v>2019</v>
      </c>
      <c r="H3264">
        <f>INDEX(CalLookUpTable,MATCH($B3264,CalLookUpRow,0),MATCH(H$1,CalLookUpColumn,0))</f>
        <v>12</v>
      </c>
      <c r="I3264">
        <f>INDEX(CalLookUpTable,MATCH($B3264,CalLookUpRow,0),MATCH(I$1,CalLookUpColumn,0))</f>
        <v>1</v>
      </c>
    </row>
    <row r="3265" spans="1:9" x14ac:dyDescent="0.25">
      <c r="A3265" s="7">
        <v>2</v>
      </c>
      <c r="B3265" s="8">
        <v>43799</v>
      </c>
      <c r="C3265" s="9" t="s">
        <v>3</v>
      </c>
      <c r="D3265" s="10">
        <v>0</v>
      </c>
      <c r="E3265" s="10">
        <v>0</v>
      </c>
      <c r="F3265" t="str">
        <f>VLOOKUP(A3265,StoreLookup,2,FALSE)</f>
        <v>Store#2</v>
      </c>
      <c r="G3265">
        <f>INDEX(CalLookUpTable,MATCH($B3265,CalLookUpRow,0),MATCH(G$1,CalLookUpColumn,0))</f>
        <v>2019</v>
      </c>
      <c r="H3265">
        <f>INDEX(CalLookUpTable,MATCH($B3265,CalLookUpRow,0),MATCH(H$1,CalLookUpColumn,0))</f>
        <v>12</v>
      </c>
      <c r="I3265">
        <f>INDEX(CalLookUpTable,MATCH($B3265,CalLookUpRow,0),MATCH(I$1,CalLookUpColumn,0))</f>
        <v>1</v>
      </c>
    </row>
    <row r="3266" spans="1:9" x14ac:dyDescent="0.25">
      <c r="A3266" s="7">
        <v>2</v>
      </c>
      <c r="B3266" s="8">
        <v>43800</v>
      </c>
      <c r="C3266" s="9" t="s">
        <v>6</v>
      </c>
      <c r="D3266" s="10">
        <v>407.76399999999995</v>
      </c>
      <c r="E3266" s="10">
        <v>111.39799999999998</v>
      </c>
      <c r="F3266" t="str">
        <f>VLOOKUP(A3266,StoreLookup,2,FALSE)</f>
        <v>Store#2</v>
      </c>
      <c r="G3266">
        <f>INDEX(CalLookUpTable,MATCH($B3266,CalLookUpRow,0),MATCH(G$1,CalLookUpColumn,0))</f>
        <v>2019</v>
      </c>
      <c r="H3266">
        <f>INDEX(CalLookUpTable,MATCH($B3266,CalLookUpRow,0),MATCH(H$1,CalLookUpColumn,0))</f>
        <v>12</v>
      </c>
      <c r="I3266">
        <f>INDEX(CalLookUpTable,MATCH($B3266,CalLookUpRow,0),MATCH(I$1,CalLookUpColumn,0))</f>
        <v>1</v>
      </c>
    </row>
    <row r="3267" spans="1:9" x14ac:dyDescent="0.25">
      <c r="A3267" s="7">
        <v>2</v>
      </c>
      <c r="B3267" s="8">
        <v>43800</v>
      </c>
      <c r="C3267" s="9" t="s">
        <v>4</v>
      </c>
      <c r="D3267" s="10">
        <v>1008.819</v>
      </c>
      <c r="E3267" s="10">
        <v>725.32600000000002</v>
      </c>
      <c r="F3267" t="str">
        <f>VLOOKUP(A3267,StoreLookup,2,FALSE)</f>
        <v>Store#2</v>
      </c>
      <c r="G3267">
        <f>INDEX(CalLookUpTable,MATCH($B3267,CalLookUpRow,0),MATCH(G$1,CalLookUpColumn,0))</f>
        <v>2019</v>
      </c>
      <c r="H3267">
        <f>INDEX(CalLookUpTable,MATCH($B3267,CalLookUpRow,0),MATCH(H$1,CalLookUpColumn,0))</f>
        <v>12</v>
      </c>
      <c r="I3267">
        <f>INDEX(CalLookUpTable,MATCH($B3267,CalLookUpRow,0),MATCH(I$1,CalLookUpColumn,0))</f>
        <v>1</v>
      </c>
    </row>
    <row r="3268" spans="1:9" x14ac:dyDescent="0.25">
      <c r="A3268" s="7">
        <v>2</v>
      </c>
      <c r="B3268" s="8">
        <v>43800</v>
      </c>
      <c r="C3268" s="9" t="s">
        <v>5</v>
      </c>
      <c r="D3268" s="10">
        <v>718.59199999999987</v>
      </c>
      <c r="E3268" s="10">
        <v>468.14599999999996</v>
      </c>
      <c r="F3268" t="str">
        <f>VLOOKUP(A3268,StoreLookup,2,FALSE)</f>
        <v>Store#2</v>
      </c>
      <c r="G3268">
        <f>INDEX(CalLookUpTable,MATCH($B3268,CalLookUpRow,0),MATCH(G$1,CalLookUpColumn,0))</f>
        <v>2019</v>
      </c>
      <c r="H3268">
        <f>INDEX(CalLookUpTable,MATCH($B3268,CalLookUpRow,0),MATCH(H$1,CalLookUpColumn,0))</f>
        <v>12</v>
      </c>
      <c r="I3268">
        <f>INDEX(CalLookUpTable,MATCH($B3268,CalLookUpRow,0),MATCH(I$1,CalLookUpColumn,0))</f>
        <v>1</v>
      </c>
    </row>
    <row r="3269" spans="1:9" x14ac:dyDescent="0.25">
      <c r="A3269" s="7">
        <v>2</v>
      </c>
      <c r="B3269" s="8">
        <v>43800</v>
      </c>
      <c r="C3269" s="9" t="s">
        <v>3</v>
      </c>
      <c r="D3269" s="10">
        <v>0</v>
      </c>
      <c r="E3269" s="10">
        <v>0</v>
      </c>
      <c r="F3269" t="str">
        <f>VLOOKUP(A3269,StoreLookup,2,FALSE)</f>
        <v>Store#2</v>
      </c>
      <c r="G3269">
        <f>INDEX(CalLookUpTable,MATCH($B3269,CalLookUpRow,0),MATCH(G$1,CalLookUpColumn,0))</f>
        <v>2019</v>
      </c>
      <c r="H3269">
        <f>INDEX(CalLookUpTable,MATCH($B3269,CalLookUpRow,0),MATCH(H$1,CalLookUpColumn,0))</f>
        <v>12</v>
      </c>
      <c r="I3269">
        <f>INDEX(CalLookUpTable,MATCH($B3269,CalLookUpRow,0),MATCH(I$1,CalLookUpColumn,0))</f>
        <v>1</v>
      </c>
    </row>
    <row r="3270" spans="1:9" x14ac:dyDescent="0.25">
      <c r="A3270" s="7">
        <v>2</v>
      </c>
      <c r="B3270" s="8">
        <v>43801</v>
      </c>
      <c r="C3270" s="9" t="s">
        <v>4</v>
      </c>
      <c r="D3270" s="10">
        <v>1709.9809999999998</v>
      </c>
      <c r="E3270" s="10">
        <v>1227.422</v>
      </c>
      <c r="F3270" t="str">
        <f>VLOOKUP(A3270,StoreLookup,2,FALSE)</f>
        <v>Store#2</v>
      </c>
      <c r="G3270">
        <f>INDEX(CalLookUpTable,MATCH($B3270,CalLookUpRow,0),MATCH(G$1,CalLookUpColumn,0))</f>
        <v>2019</v>
      </c>
      <c r="H3270">
        <f>INDEX(CalLookUpTable,MATCH($B3270,CalLookUpRow,0),MATCH(H$1,CalLookUpColumn,0))</f>
        <v>12</v>
      </c>
      <c r="I3270">
        <f>INDEX(CalLookUpTable,MATCH($B3270,CalLookUpRow,0),MATCH(I$1,CalLookUpColumn,0))</f>
        <v>2</v>
      </c>
    </row>
    <row r="3271" spans="1:9" x14ac:dyDescent="0.25">
      <c r="A3271" s="7">
        <v>2</v>
      </c>
      <c r="B3271" s="8">
        <v>43801</v>
      </c>
      <c r="C3271" s="9" t="s">
        <v>6</v>
      </c>
      <c r="D3271" s="10">
        <v>442.86199999999997</v>
      </c>
      <c r="E3271" s="10">
        <v>286.48899999999998</v>
      </c>
      <c r="F3271" t="str">
        <f>VLOOKUP(A3271,StoreLookup,2,FALSE)</f>
        <v>Store#2</v>
      </c>
      <c r="G3271">
        <f>INDEX(CalLookUpTable,MATCH($B3271,CalLookUpRow,0),MATCH(G$1,CalLookUpColumn,0))</f>
        <v>2019</v>
      </c>
      <c r="H3271">
        <f>INDEX(CalLookUpTable,MATCH($B3271,CalLookUpRow,0),MATCH(H$1,CalLookUpColumn,0))</f>
        <v>12</v>
      </c>
      <c r="I3271">
        <f>INDEX(CalLookUpTable,MATCH($B3271,CalLookUpRow,0),MATCH(I$1,CalLookUpColumn,0))</f>
        <v>2</v>
      </c>
    </row>
    <row r="3272" spans="1:9" x14ac:dyDescent="0.25">
      <c r="A3272" s="7">
        <v>2</v>
      </c>
      <c r="B3272" s="8">
        <v>43801</v>
      </c>
      <c r="C3272" s="9" t="s">
        <v>5</v>
      </c>
      <c r="D3272" s="10">
        <v>1017.8699999999999</v>
      </c>
      <c r="E3272" s="10">
        <v>812.31499999999994</v>
      </c>
      <c r="F3272" t="str">
        <f>VLOOKUP(A3272,StoreLookup,2,FALSE)</f>
        <v>Store#2</v>
      </c>
      <c r="G3272">
        <f>INDEX(CalLookUpTable,MATCH($B3272,CalLookUpRow,0),MATCH(G$1,CalLookUpColumn,0))</f>
        <v>2019</v>
      </c>
      <c r="H3272">
        <f>INDEX(CalLookUpTable,MATCH($B3272,CalLookUpRow,0),MATCH(H$1,CalLookUpColumn,0))</f>
        <v>12</v>
      </c>
      <c r="I3272">
        <f>INDEX(CalLookUpTable,MATCH($B3272,CalLookUpRow,0),MATCH(I$1,CalLookUpColumn,0))</f>
        <v>2</v>
      </c>
    </row>
    <row r="3273" spans="1:9" x14ac:dyDescent="0.25">
      <c r="A3273" s="7">
        <v>2</v>
      </c>
      <c r="B3273" s="8">
        <v>43801</v>
      </c>
      <c r="C3273" s="9" t="s">
        <v>3</v>
      </c>
      <c r="D3273" s="10">
        <v>0</v>
      </c>
      <c r="E3273" s="10">
        <v>0</v>
      </c>
      <c r="F3273" t="str">
        <f>VLOOKUP(A3273,StoreLookup,2,FALSE)</f>
        <v>Store#2</v>
      </c>
      <c r="G3273">
        <f>INDEX(CalLookUpTable,MATCH($B3273,CalLookUpRow,0),MATCH(G$1,CalLookUpColumn,0))</f>
        <v>2019</v>
      </c>
      <c r="H3273">
        <f>INDEX(CalLookUpTable,MATCH($B3273,CalLookUpRow,0),MATCH(H$1,CalLookUpColumn,0))</f>
        <v>12</v>
      </c>
      <c r="I3273">
        <f>INDEX(CalLookUpTable,MATCH($B3273,CalLookUpRow,0),MATCH(I$1,CalLookUpColumn,0))</f>
        <v>2</v>
      </c>
    </row>
    <row r="3274" spans="1:9" x14ac:dyDescent="0.25">
      <c r="A3274" s="7">
        <v>2</v>
      </c>
      <c r="B3274" s="8">
        <v>43802</v>
      </c>
      <c r="C3274" s="9" t="s">
        <v>3</v>
      </c>
      <c r="D3274" s="10">
        <v>331.56200000000001</v>
      </c>
      <c r="E3274" s="10">
        <v>0</v>
      </c>
      <c r="F3274" t="str">
        <f>VLOOKUP(A3274,StoreLookup,2,FALSE)</f>
        <v>Store#2</v>
      </c>
      <c r="G3274">
        <f>INDEX(CalLookUpTable,MATCH($B3274,CalLookUpRow,0),MATCH(G$1,CalLookUpColumn,0))</f>
        <v>2019</v>
      </c>
      <c r="H3274">
        <f>INDEX(CalLookUpTable,MATCH($B3274,CalLookUpRow,0),MATCH(H$1,CalLookUpColumn,0))</f>
        <v>12</v>
      </c>
      <c r="I3274">
        <f>INDEX(CalLookUpTable,MATCH($B3274,CalLookUpRow,0),MATCH(I$1,CalLookUpColumn,0))</f>
        <v>2</v>
      </c>
    </row>
    <row r="3275" spans="1:9" x14ac:dyDescent="0.25">
      <c r="A3275" s="7">
        <v>2</v>
      </c>
      <c r="B3275" s="8">
        <v>43802</v>
      </c>
      <c r="C3275" s="9" t="s">
        <v>6</v>
      </c>
      <c r="D3275" s="10">
        <v>265.67099999999999</v>
      </c>
      <c r="E3275" s="10">
        <v>213.934</v>
      </c>
      <c r="F3275" t="str">
        <f>VLOOKUP(A3275,StoreLookup,2,FALSE)</f>
        <v>Store#2</v>
      </c>
      <c r="G3275">
        <f>INDEX(CalLookUpTable,MATCH($B3275,CalLookUpRow,0),MATCH(G$1,CalLookUpColumn,0))</f>
        <v>2019</v>
      </c>
      <c r="H3275">
        <f>INDEX(CalLookUpTable,MATCH($B3275,CalLookUpRow,0),MATCH(H$1,CalLookUpColumn,0))</f>
        <v>12</v>
      </c>
      <c r="I3275">
        <f>INDEX(CalLookUpTable,MATCH($B3275,CalLookUpRow,0),MATCH(I$1,CalLookUpColumn,0))</f>
        <v>2</v>
      </c>
    </row>
    <row r="3276" spans="1:9" x14ac:dyDescent="0.25">
      <c r="A3276" s="7">
        <v>2</v>
      </c>
      <c r="B3276" s="8">
        <v>43802</v>
      </c>
      <c r="C3276" s="9" t="s">
        <v>4</v>
      </c>
      <c r="D3276" s="10">
        <v>1613.521</v>
      </c>
      <c r="E3276" s="10">
        <v>1553.8249999999998</v>
      </c>
      <c r="F3276" t="str">
        <f>VLOOKUP(A3276,StoreLookup,2,FALSE)</f>
        <v>Store#2</v>
      </c>
      <c r="G3276">
        <f>INDEX(CalLookUpTable,MATCH($B3276,CalLookUpRow,0),MATCH(G$1,CalLookUpColumn,0))</f>
        <v>2019</v>
      </c>
      <c r="H3276">
        <f>INDEX(CalLookUpTable,MATCH($B3276,CalLookUpRow,0),MATCH(H$1,CalLookUpColumn,0))</f>
        <v>12</v>
      </c>
      <c r="I3276">
        <f>INDEX(CalLookUpTable,MATCH($B3276,CalLookUpRow,0),MATCH(I$1,CalLookUpColumn,0))</f>
        <v>2</v>
      </c>
    </row>
    <row r="3277" spans="1:9" x14ac:dyDescent="0.25">
      <c r="A3277" s="7">
        <v>2</v>
      </c>
      <c r="B3277" s="8">
        <v>43802</v>
      </c>
      <c r="C3277" s="9" t="s">
        <v>5</v>
      </c>
      <c r="D3277" s="10">
        <v>918.95299999999986</v>
      </c>
      <c r="E3277" s="10">
        <v>891.947</v>
      </c>
      <c r="F3277" t="str">
        <f>VLOOKUP(A3277,StoreLookup,2,FALSE)</f>
        <v>Store#2</v>
      </c>
      <c r="G3277">
        <f>INDEX(CalLookUpTable,MATCH($B3277,CalLookUpRow,0),MATCH(G$1,CalLookUpColumn,0))</f>
        <v>2019</v>
      </c>
      <c r="H3277">
        <f>INDEX(CalLookUpTable,MATCH($B3277,CalLookUpRow,0),MATCH(H$1,CalLookUpColumn,0))</f>
        <v>12</v>
      </c>
      <c r="I3277">
        <f>INDEX(CalLookUpTable,MATCH($B3277,CalLookUpRow,0),MATCH(I$1,CalLookUpColumn,0))</f>
        <v>2</v>
      </c>
    </row>
    <row r="3278" spans="1:9" x14ac:dyDescent="0.25">
      <c r="A3278" s="7">
        <v>2</v>
      </c>
      <c r="B3278" s="8">
        <v>43803</v>
      </c>
      <c r="C3278" s="9" t="s">
        <v>5</v>
      </c>
      <c r="D3278" s="10">
        <v>1138.4029999999998</v>
      </c>
      <c r="E3278" s="10">
        <v>923.77599999999995</v>
      </c>
      <c r="F3278" t="str">
        <f>VLOOKUP(A3278,StoreLookup,2,FALSE)</f>
        <v>Store#2</v>
      </c>
      <c r="G3278">
        <f>INDEX(CalLookUpTable,MATCH($B3278,CalLookUpRow,0),MATCH(G$1,CalLookUpColumn,0))</f>
        <v>2019</v>
      </c>
      <c r="H3278">
        <f>INDEX(CalLookUpTable,MATCH($B3278,CalLookUpRow,0),MATCH(H$1,CalLookUpColumn,0))</f>
        <v>12</v>
      </c>
      <c r="I3278">
        <f>INDEX(CalLookUpTable,MATCH($B3278,CalLookUpRow,0),MATCH(I$1,CalLookUpColumn,0))</f>
        <v>2</v>
      </c>
    </row>
    <row r="3279" spans="1:9" x14ac:dyDescent="0.25">
      <c r="A3279" s="7">
        <v>2</v>
      </c>
      <c r="B3279" s="8">
        <v>43803</v>
      </c>
      <c r="C3279" s="9" t="s">
        <v>4</v>
      </c>
      <c r="D3279" s="10">
        <v>1469.671</v>
      </c>
      <c r="E3279" s="10">
        <v>1359.5819999999999</v>
      </c>
      <c r="F3279" t="str">
        <f>VLOOKUP(A3279,StoreLookup,2,FALSE)</f>
        <v>Store#2</v>
      </c>
      <c r="G3279">
        <f>INDEX(CalLookUpTable,MATCH($B3279,CalLookUpRow,0),MATCH(G$1,CalLookUpColumn,0))</f>
        <v>2019</v>
      </c>
      <c r="H3279">
        <f>INDEX(CalLookUpTable,MATCH($B3279,CalLookUpRow,0),MATCH(H$1,CalLookUpColumn,0))</f>
        <v>12</v>
      </c>
      <c r="I3279">
        <f>INDEX(CalLookUpTable,MATCH($B3279,CalLookUpRow,0),MATCH(I$1,CalLookUpColumn,0))</f>
        <v>2</v>
      </c>
    </row>
    <row r="3280" spans="1:9" x14ac:dyDescent="0.25">
      <c r="A3280" s="7">
        <v>2</v>
      </c>
      <c r="B3280" s="8">
        <v>43803</v>
      </c>
      <c r="C3280" s="9" t="s">
        <v>3</v>
      </c>
      <c r="D3280" s="10">
        <v>0</v>
      </c>
      <c r="E3280" s="10">
        <v>0</v>
      </c>
      <c r="F3280" t="str">
        <f>VLOOKUP(A3280,StoreLookup,2,FALSE)</f>
        <v>Store#2</v>
      </c>
      <c r="G3280">
        <f>INDEX(CalLookUpTable,MATCH($B3280,CalLookUpRow,0),MATCH(G$1,CalLookUpColumn,0))</f>
        <v>2019</v>
      </c>
      <c r="H3280">
        <f>INDEX(CalLookUpTable,MATCH($B3280,CalLookUpRow,0),MATCH(H$1,CalLookUpColumn,0))</f>
        <v>12</v>
      </c>
      <c r="I3280">
        <f>INDEX(CalLookUpTable,MATCH($B3280,CalLookUpRow,0),MATCH(I$1,CalLookUpColumn,0))</f>
        <v>2</v>
      </c>
    </row>
    <row r="3281" spans="1:9" x14ac:dyDescent="0.25">
      <c r="A3281" s="7">
        <v>2</v>
      </c>
      <c r="B3281" s="8">
        <v>43803</v>
      </c>
      <c r="C3281" s="9" t="s">
        <v>6</v>
      </c>
      <c r="D3281" s="10">
        <v>308.32199999999995</v>
      </c>
      <c r="E3281" s="10">
        <v>176.09899999999999</v>
      </c>
      <c r="F3281" t="str">
        <f>VLOOKUP(A3281,StoreLookup,2,FALSE)</f>
        <v>Store#2</v>
      </c>
      <c r="G3281">
        <f>INDEX(CalLookUpTable,MATCH($B3281,CalLookUpRow,0),MATCH(G$1,CalLookUpColumn,0))</f>
        <v>2019</v>
      </c>
      <c r="H3281">
        <f>INDEX(CalLookUpTable,MATCH($B3281,CalLookUpRow,0),MATCH(H$1,CalLookUpColumn,0))</f>
        <v>12</v>
      </c>
      <c r="I3281">
        <f>INDEX(CalLookUpTable,MATCH($B3281,CalLookUpRow,0),MATCH(I$1,CalLookUpColumn,0))</f>
        <v>2</v>
      </c>
    </row>
    <row r="3282" spans="1:9" x14ac:dyDescent="0.25">
      <c r="A3282" s="7">
        <v>2</v>
      </c>
      <c r="B3282" s="8">
        <v>43804</v>
      </c>
      <c r="C3282" s="9" t="s">
        <v>4</v>
      </c>
      <c r="D3282" s="10">
        <v>1917.6429999999998</v>
      </c>
      <c r="E3282" s="10">
        <v>1949.0869999999998</v>
      </c>
      <c r="F3282" t="str">
        <f>VLOOKUP(A3282,StoreLookup,2,FALSE)</f>
        <v>Store#2</v>
      </c>
      <c r="G3282">
        <f>INDEX(CalLookUpTable,MATCH($B3282,CalLookUpRow,0),MATCH(G$1,CalLookUpColumn,0))</f>
        <v>2019</v>
      </c>
      <c r="H3282">
        <f>INDEX(CalLookUpTable,MATCH($B3282,CalLookUpRow,0),MATCH(H$1,CalLookUpColumn,0))</f>
        <v>12</v>
      </c>
      <c r="I3282">
        <f>INDEX(CalLookUpTable,MATCH($B3282,CalLookUpRow,0),MATCH(I$1,CalLookUpColumn,0))</f>
        <v>2</v>
      </c>
    </row>
    <row r="3283" spans="1:9" x14ac:dyDescent="0.25">
      <c r="A3283" s="7">
        <v>2</v>
      </c>
      <c r="B3283" s="8">
        <v>43804</v>
      </c>
      <c r="C3283" s="9" t="s">
        <v>3</v>
      </c>
      <c r="D3283" s="10">
        <v>230.81799999999998</v>
      </c>
      <c r="E3283" s="10">
        <v>213.85699999999997</v>
      </c>
      <c r="F3283" t="str">
        <f>VLOOKUP(A3283,StoreLookup,2,FALSE)</f>
        <v>Store#2</v>
      </c>
      <c r="G3283">
        <f>INDEX(CalLookUpTable,MATCH($B3283,CalLookUpRow,0),MATCH(G$1,CalLookUpColumn,0))</f>
        <v>2019</v>
      </c>
      <c r="H3283">
        <f>INDEX(CalLookUpTable,MATCH($B3283,CalLookUpRow,0),MATCH(H$1,CalLookUpColumn,0))</f>
        <v>12</v>
      </c>
      <c r="I3283">
        <f>INDEX(CalLookUpTable,MATCH($B3283,CalLookUpRow,0),MATCH(I$1,CalLookUpColumn,0))</f>
        <v>2</v>
      </c>
    </row>
    <row r="3284" spans="1:9" x14ac:dyDescent="0.25">
      <c r="A3284" s="7">
        <v>2</v>
      </c>
      <c r="B3284" s="8">
        <v>43804</v>
      </c>
      <c r="C3284" s="9" t="s">
        <v>6</v>
      </c>
      <c r="D3284" s="10">
        <v>477.38599999999997</v>
      </c>
      <c r="E3284" s="10">
        <v>283.57</v>
      </c>
      <c r="F3284" t="str">
        <f>VLOOKUP(A3284,StoreLookup,2,FALSE)</f>
        <v>Store#2</v>
      </c>
      <c r="G3284">
        <f>INDEX(CalLookUpTable,MATCH($B3284,CalLookUpRow,0),MATCH(G$1,CalLookUpColumn,0))</f>
        <v>2019</v>
      </c>
      <c r="H3284">
        <f>INDEX(CalLookUpTable,MATCH($B3284,CalLookUpRow,0),MATCH(H$1,CalLookUpColumn,0))</f>
        <v>12</v>
      </c>
      <c r="I3284">
        <f>INDEX(CalLookUpTable,MATCH($B3284,CalLookUpRow,0),MATCH(I$1,CalLookUpColumn,0))</f>
        <v>2</v>
      </c>
    </row>
    <row r="3285" spans="1:9" x14ac:dyDescent="0.25">
      <c r="A3285" s="7">
        <v>2</v>
      </c>
      <c r="B3285" s="8">
        <v>43804</v>
      </c>
      <c r="C3285" s="9" t="s">
        <v>5</v>
      </c>
      <c r="D3285" s="10">
        <v>1232.3150000000001</v>
      </c>
      <c r="E3285" s="10">
        <v>1005.669</v>
      </c>
      <c r="F3285" t="str">
        <f>VLOOKUP(A3285,StoreLookup,2,FALSE)</f>
        <v>Store#2</v>
      </c>
      <c r="G3285">
        <f>INDEX(CalLookUpTable,MATCH($B3285,CalLookUpRow,0),MATCH(G$1,CalLookUpColumn,0))</f>
        <v>2019</v>
      </c>
      <c r="H3285">
        <f>INDEX(CalLookUpTable,MATCH($B3285,CalLookUpRow,0),MATCH(H$1,CalLookUpColumn,0))</f>
        <v>12</v>
      </c>
      <c r="I3285">
        <f>INDEX(CalLookUpTable,MATCH($B3285,CalLookUpRow,0),MATCH(I$1,CalLookUpColumn,0))</f>
        <v>2</v>
      </c>
    </row>
    <row r="3286" spans="1:9" x14ac:dyDescent="0.25">
      <c r="A3286" s="7">
        <v>2</v>
      </c>
      <c r="B3286" s="8">
        <v>43805</v>
      </c>
      <c r="C3286" s="9" t="s">
        <v>6</v>
      </c>
      <c r="D3286" s="10">
        <v>653.779</v>
      </c>
      <c r="E3286" s="10">
        <v>358.84099999999995</v>
      </c>
      <c r="F3286" t="str">
        <f>VLOOKUP(A3286,StoreLookup,2,FALSE)</f>
        <v>Store#2</v>
      </c>
      <c r="G3286">
        <f>INDEX(CalLookUpTable,MATCH($B3286,CalLookUpRow,0),MATCH(G$1,CalLookUpColumn,0))</f>
        <v>2019</v>
      </c>
      <c r="H3286">
        <f>INDEX(CalLookUpTable,MATCH($B3286,CalLookUpRow,0),MATCH(H$1,CalLookUpColumn,0))</f>
        <v>12</v>
      </c>
      <c r="I3286">
        <f>INDEX(CalLookUpTable,MATCH($B3286,CalLookUpRow,0),MATCH(I$1,CalLookUpColumn,0))</f>
        <v>2</v>
      </c>
    </row>
    <row r="3287" spans="1:9" x14ac:dyDescent="0.25">
      <c r="A3287" s="7">
        <v>2</v>
      </c>
      <c r="B3287" s="8">
        <v>43805</v>
      </c>
      <c r="C3287" s="9" t="s">
        <v>4</v>
      </c>
      <c r="D3287" s="10">
        <v>2008.0199999999998</v>
      </c>
      <c r="E3287" s="10">
        <v>2206.4629999999997</v>
      </c>
      <c r="F3287" t="str">
        <f>VLOOKUP(A3287,StoreLookup,2,FALSE)</f>
        <v>Store#2</v>
      </c>
      <c r="G3287">
        <f>INDEX(CalLookUpTable,MATCH($B3287,CalLookUpRow,0),MATCH(G$1,CalLookUpColumn,0))</f>
        <v>2019</v>
      </c>
      <c r="H3287">
        <f>INDEX(CalLookUpTable,MATCH($B3287,CalLookUpRow,0),MATCH(H$1,CalLookUpColumn,0))</f>
        <v>12</v>
      </c>
      <c r="I3287">
        <f>INDEX(CalLookUpTable,MATCH($B3287,CalLookUpRow,0),MATCH(I$1,CalLookUpColumn,0))</f>
        <v>2</v>
      </c>
    </row>
    <row r="3288" spans="1:9" x14ac:dyDescent="0.25">
      <c r="A3288" s="7">
        <v>2</v>
      </c>
      <c r="B3288" s="8">
        <v>43805</v>
      </c>
      <c r="C3288" s="9" t="s">
        <v>5</v>
      </c>
      <c r="D3288" s="10">
        <v>1363.1589999999999</v>
      </c>
      <c r="E3288" s="10">
        <v>1048.299</v>
      </c>
      <c r="F3288" t="str">
        <f>VLOOKUP(A3288,StoreLookup,2,FALSE)</f>
        <v>Store#2</v>
      </c>
      <c r="G3288">
        <f>INDEX(CalLookUpTable,MATCH($B3288,CalLookUpRow,0),MATCH(G$1,CalLookUpColumn,0))</f>
        <v>2019</v>
      </c>
      <c r="H3288">
        <f>INDEX(CalLookUpTable,MATCH($B3288,CalLookUpRow,0),MATCH(H$1,CalLookUpColumn,0))</f>
        <v>12</v>
      </c>
      <c r="I3288">
        <f>INDEX(CalLookUpTable,MATCH($B3288,CalLookUpRow,0),MATCH(I$1,CalLookUpColumn,0))</f>
        <v>2</v>
      </c>
    </row>
    <row r="3289" spans="1:9" x14ac:dyDescent="0.25">
      <c r="A3289" s="7">
        <v>2</v>
      </c>
      <c r="B3289" s="8">
        <v>43805</v>
      </c>
      <c r="C3289" s="9" t="s">
        <v>3</v>
      </c>
      <c r="D3289" s="10">
        <v>0</v>
      </c>
      <c r="E3289" s="10">
        <v>163.64599999999999</v>
      </c>
      <c r="F3289" t="str">
        <f>VLOOKUP(A3289,StoreLookup,2,FALSE)</f>
        <v>Store#2</v>
      </c>
      <c r="G3289">
        <f>INDEX(CalLookUpTable,MATCH($B3289,CalLookUpRow,0),MATCH(G$1,CalLookUpColumn,0))</f>
        <v>2019</v>
      </c>
      <c r="H3289">
        <f>INDEX(CalLookUpTable,MATCH($B3289,CalLookUpRow,0),MATCH(H$1,CalLookUpColumn,0))</f>
        <v>12</v>
      </c>
      <c r="I3289">
        <f>INDEX(CalLookUpTable,MATCH($B3289,CalLookUpRow,0),MATCH(I$1,CalLookUpColumn,0))</f>
        <v>2</v>
      </c>
    </row>
    <row r="3290" spans="1:9" x14ac:dyDescent="0.25">
      <c r="A3290" s="7">
        <v>2</v>
      </c>
      <c r="B3290" s="8">
        <v>43806</v>
      </c>
      <c r="C3290" s="9" t="s">
        <v>5</v>
      </c>
      <c r="D3290" s="10">
        <v>1090.1239999999998</v>
      </c>
      <c r="E3290" s="10">
        <v>678.19499999999994</v>
      </c>
      <c r="F3290" t="str">
        <f>VLOOKUP(A3290,StoreLookup,2,FALSE)</f>
        <v>Store#2</v>
      </c>
      <c r="G3290">
        <f>INDEX(CalLookUpTable,MATCH($B3290,CalLookUpRow,0),MATCH(G$1,CalLookUpColumn,0))</f>
        <v>2019</v>
      </c>
      <c r="H3290">
        <f>INDEX(CalLookUpTable,MATCH($B3290,CalLookUpRow,0),MATCH(H$1,CalLookUpColumn,0))</f>
        <v>12</v>
      </c>
      <c r="I3290">
        <f>INDEX(CalLookUpTable,MATCH($B3290,CalLookUpRow,0),MATCH(I$1,CalLookUpColumn,0))</f>
        <v>2</v>
      </c>
    </row>
    <row r="3291" spans="1:9" x14ac:dyDescent="0.25">
      <c r="A3291" s="7">
        <v>2</v>
      </c>
      <c r="B3291" s="8">
        <v>43806</v>
      </c>
      <c r="C3291" s="9" t="s">
        <v>3</v>
      </c>
      <c r="D3291" s="10">
        <v>0</v>
      </c>
      <c r="E3291" s="10">
        <v>0</v>
      </c>
      <c r="F3291" t="str">
        <f>VLOOKUP(A3291,StoreLookup,2,FALSE)</f>
        <v>Store#2</v>
      </c>
      <c r="G3291">
        <f>INDEX(CalLookUpTable,MATCH($B3291,CalLookUpRow,0),MATCH(G$1,CalLookUpColumn,0))</f>
        <v>2019</v>
      </c>
      <c r="H3291">
        <f>INDEX(CalLookUpTable,MATCH($B3291,CalLookUpRow,0),MATCH(H$1,CalLookUpColumn,0))</f>
        <v>12</v>
      </c>
      <c r="I3291">
        <f>INDEX(CalLookUpTable,MATCH($B3291,CalLookUpRow,0),MATCH(I$1,CalLookUpColumn,0))</f>
        <v>2</v>
      </c>
    </row>
    <row r="3292" spans="1:9" x14ac:dyDescent="0.25">
      <c r="A3292" s="7">
        <v>2</v>
      </c>
      <c r="B3292" s="8">
        <v>43806</v>
      </c>
      <c r="C3292" s="9" t="s">
        <v>4</v>
      </c>
      <c r="D3292" s="10">
        <v>1789.5219999999999</v>
      </c>
      <c r="E3292" s="10">
        <v>1630.9859999999999</v>
      </c>
      <c r="F3292" t="str">
        <f>VLOOKUP(A3292,StoreLookup,2,FALSE)</f>
        <v>Store#2</v>
      </c>
      <c r="G3292">
        <f>INDEX(CalLookUpTable,MATCH($B3292,CalLookUpRow,0),MATCH(G$1,CalLookUpColumn,0))</f>
        <v>2019</v>
      </c>
      <c r="H3292">
        <f>INDEX(CalLookUpTable,MATCH($B3292,CalLookUpRow,0),MATCH(H$1,CalLookUpColumn,0))</f>
        <v>12</v>
      </c>
      <c r="I3292">
        <f>INDEX(CalLookUpTable,MATCH($B3292,CalLookUpRow,0),MATCH(I$1,CalLookUpColumn,0))</f>
        <v>2</v>
      </c>
    </row>
    <row r="3293" spans="1:9" x14ac:dyDescent="0.25">
      <c r="A3293" s="7">
        <v>2</v>
      </c>
      <c r="B3293" s="8">
        <v>43806</v>
      </c>
      <c r="C3293" s="9" t="s">
        <v>6</v>
      </c>
      <c r="D3293" s="10">
        <v>425.90099999999995</v>
      </c>
      <c r="E3293" s="10">
        <v>412.447</v>
      </c>
      <c r="F3293" t="str">
        <f>VLOOKUP(A3293,StoreLookup,2,FALSE)</f>
        <v>Store#2</v>
      </c>
      <c r="G3293">
        <f>INDEX(CalLookUpTable,MATCH($B3293,CalLookUpRow,0),MATCH(G$1,CalLookUpColumn,0))</f>
        <v>2019</v>
      </c>
      <c r="H3293">
        <f>INDEX(CalLookUpTable,MATCH($B3293,CalLookUpRow,0),MATCH(H$1,CalLookUpColumn,0))</f>
        <v>12</v>
      </c>
      <c r="I3293">
        <f>INDEX(CalLookUpTable,MATCH($B3293,CalLookUpRow,0),MATCH(I$1,CalLookUpColumn,0))</f>
        <v>2</v>
      </c>
    </row>
    <row r="3294" spans="1:9" x14ac:dyDescent="0.25">
      <c r="A3294" s="7">
        <v>2</v>
      </c>
      <c r="B3294" s="8">
        <v>43807</v>
      </c>
      <c r="C3294" s="9" t="s">
        <v>6</v>
      </c>
      <c r="D3294" s="10">
        <v>218.94599999999997</v>
      </c>
      <c r="E3294" s="10">
        <v>46.213999999999992</v>
      </c>
      <c r="F3294" t="str">
        <f>VLOOKUP(A3294,StoreLookup,2,FALSE)</f>
        <v>Store#2</v>
      </c>
      <c r="G3294">
        <f>INDEX(CalLookUpTable,MATCH($B3294,CalLookUpRow,0),MATCH(G$1,CalLookUpColumn,0))</f>
        <v>2019</v>
      </c>
      <c r="H3294">
        <f>INDEX(CalLookUpTable,MATCH($B3294,CalLookUpRow,0),MATCH(H$1,CalLookUpColumn,0))</f>
        <v>12</v>
      </c>
      <c r="I3294">
        <f>INDEX(CalLookUpTable,MATCH($B3294,CalLookUpRow,0),MATCH(I$1,CalLookUpColumn,0))</f>
        <v>2</v>
      </c>
    </row>
    <row r="3295" spans="1:9" x14ac:dyDescent="0.25">
      <c r="A3295" s="7">
        <v>2</v>
      </c>
      <c r="B3295" s="8">
        <v>43807</v>
      </c>
      <c r="C3295" s="9" t="s">
        <v>4</v>
      </c>
      <c r="D3295" s="10">
        <v>737.40099999999995</v>
      </c>
      <c r="E3295" s="10">
        <v>641.00400000000002</v>
      </c>
      <c r="F3295" t="str">
        <f>VLOOKUP(A3295,StoreLookup,2,FALSE)</f>
        <v>Store#2</v>
      </c>
      <c r="G3295">
        <f>INDEX(CalLookUpTable,MATCH($B3295,CalLookUpRow,0),MATCH(G$1,CalLookUpColumn,0))</f>
        <v>2019</v>
      </c>
      <c r="H3295">
        <f>INDEX(CalLookUpTable,MATCH($B3295,CalLookUpRow,0),MATCH(H$1,CalLookUpColumn,0))</f>
        <v>12</v>
      </c>
      <c r="I3295">
        <f>INDEX(CalLookUpTable,MATCH($B3295,CalLookUpRow,0),MATCH(I$1,CalLookUpColumn,0))</f>
        <v>2</v>
      </c>
    </row>
    <row r="3296" spans="1:9" x14ac:dyDescent="0.25">
      <c r="A3296" s="7">
        <v>2</v>
      </c>
      <c r="B3296" s="8">
        <v>43807</v>
      </c>
      <c r="C3296" s="9" t="s">
        <v>5</v>
      </c>
      <c r="D3296" s="10">
        <v>368.01099999999997</v>
      </c>
      <c r="E3296" s="10">
        <v>277.32599999999996</v>
      </c>
      <c r="F3296" t="str">
        <f>VLOOKUP(A3296,StoreLookup,2,FALSE)</f>
        <v>Store#2</v>
      </c>
      <c r="G3296">
        <f>INDEX(CalLookUpTable,MATCH($B3296,CalLookUpRow,0),MATCH(G$1,CalLookUpColumn,0))</f>
        <v>2019</v>
      </c>
      <c r="H3296">
        <f>INDEX(CalLookUpTable,MATCH($B3296,CalLookUpRow,0),MATCH(H$1,CalLookUpColumn,0))</f>
        <v>12</v>
      </c>
      <c r="I3296">
        <f>INDEX(CalLookUpTable,MATCH($B3296,CalLookUpRow,0),MATCH(I$1,CalLookUpColumn,0))</f>
        <v>2</v>
      </c>
    </row>
    <row r="3297" spans="1:9" x14ac:dyDescent="0.25">
      <c r="A3297" s="7">
        <v>2</v>
      </c>
      <c r="B3297" s="8">
        <v>43807</v>
      </c>
      <c r="C3297" s="9" t="s">
        <v>3</v>
      </c>
      <c r="D3297" s="10">
        <v>0</v>
      </c>
      <c r="E3297" s="10">
        <v>26.102999999999998</v>
      </c>
      <c r="F3297" t="str">
        <f>VLOOKUP(A3297,StoreLookup,2,FALSE)</f>
        <v>Store#2</v>
      </c>
      <c r="G3297">
        <f>INDEX(CalLookUpTable,MATCH($B3297,CalLookUpRow,0),MATCH(G$1,CalLookUpColumn,0))</f>
        <v>2019</v>
      </c>
      <c r="H3297">
        <f>INDEX(CalLookUpTable,MATCH($B3297,CalLookUpRow,0),MATCH(H$1,CalLookUpColumn,0))</f>
        <v>12</v>
      </c>
      <c r="I3297">
        <f>INDEX(CalLookUpTable,MATCH($B3297,CalLookUpRow,0),MATCH(I$1,CalLookUpColumn,0))</f>
        <v>2</v>
      </c>
    </row>
    <row r="3298" spans="1:9" x14ac:dyDescent="0.25">
      <c r="A3298" s="7">
        <v>2</v>
      </c>
      <c r="B3298" s="8">
        <v>43808</v>
      </c>
      <c r="C3298" s="9" t="s">
        <v>5</v>
      </c>
      <c r="D3298" s="10">
        <v>1034.6209999999999</v>
      </c>
      <c r="E3298" s="10">
        <v>943.37599999999998</v>
      </c>
      <c r="F3298" t="str">
        <f>VLOOKUP(A3298,StoreLookup,2,FALSE)</f>
        <v>Store#2</v>
      </c>
      <c r="G3298">
        <f>INDEX(CalLookUpTable,MATCH($B3298,CalLookUpRow,0),MATCH(G$1,CalLookUpColumn,0))</f>
        <v>2019</v>
      </c>
      <c r="H3298">
        <f>INDEX(CalLookUpTable,MATCH($B3298,CalLookUpRow,0),MATCH(H$1,CalLookUpColumn,0))</f>
        <v>12</v>
      </c>
      <c r="I3298">
        <f>INDEX(CalLookUpTable,MATCH($B3298,CalLookUpRow,0),MATCH(I$1,CalLookUpColumn,0))</f>
        <v>3</v>
      </c>
    </row>
    <row r="3299" spans="1:9" x14ac:dyDescent="0.25">
      <c r="A3299" s="7">
        <v>2</v>
      </c>
      <c r="B3299" s="8">
        <v>43808</v>
      </c>
      <c r="C3299" s="9" t="s">
        <v>6</v>
      </c>
      <c r="D3299" s="10">
        <v>289.142</v>
      </c>
      <c r="E3299" s="10">
        <v>204.09899999999999</v>
      </c>
      <c r="F3299" t="str">
        <f>VLOOKUP(A3299,StoreLookup,2,FALSE)</f>
        <v>Store#2</v>
      </c>
      <c r="G3299">
        <f>INDEX(CalLookUpTable,MATCH($B3299,CalLookUpRow,0),MATCH(G$1,CalLookUpColumn,0))</f>
        <v>2019</v>
      </c>
      <c r="H3299">
        <f>INDEX(CalLookUpTable,MATCH($B3299,CalLookUpRow,0),MATCH(H$1,CalLookUpColumn,0))</f>
        <v>12</v>
      </c>
      <c r="I3299">
        <f>INDEX(CalLookUpTable,MATCH($B3299,CalLookUpRow,0),MATCH(I$1,CalLookUpColumn,0))</f>
        <v>3</v>
      </c>
    </row>
    <row r="3300" spans="1:9" x14ac:dyDescent="0.25">
      <c r="A3300" s="7">
        <v>2</v>
      </c>
      <c r="B3300" s="8">
        <v>43808</v>
      </c>
      <c r="C3300" s="9" t="s">
        <v>3</v>
      </c>
      <c r="D3300" s="10">
        <v>0</v>
      </c>
      <c r="E3300" s="10">
        <v>0</v>
      </c>
      <c r="F3300" t="str">
        <f>VLOOKUP(A3300,StoreLookup,2,FALSE)</f>
        <v>Store#2</v>
      </c>
      <c r="G3300">
        <f>INDEX(CalLookUpTable,MATCH($B3300,CalLookUpRow,0),MATCH(G$1,CalLookUpColumn,0))</f>
        <v>2019</v>
      </c>
      <c r="H3300">
        <f>INDEX(CalLookUpTable,MATCH($B3300,CalLookUpRow,0),MATCH(H$1,CalLookUpColumn,0))</f>
        <v>12</v>
      </c>
      <c r="I3300">
        <f>INDEX(CalLookUpTable,MATCH($B3300,CalLookUpRow,0),MATCH(I$1,CalLookUpColumn,0))</f>
        <v>3</v>
      </c>
    </row>
    <row r="3301" spans="1:9" x14ac:dyDescent="0.25">
      <c r="A3301" s="7">
        <v>2</v>
      </c>
      <c r="B3301" s="8">
        <v>43808</v>
      </c>
      <c r="C3301" s="9" t="s">
        <v>4</v>
      </c>
      <c r="D3301" s="10">
        <v>1338.386</v>
      </c>
      <c r="E3301" s="10">
        <v>1400.672</v>
      </c>
      <c r="F3301" t="str">
        <f>VLOOKUP(A3301,StoreLookup,2,FALSE)</f>
        <v>Store#2</v>
      </c>
      <c r="G3301">
        <f>INDEX(CalLookUpTable,MATCH($B3301,CalLookUpRow,0),MATCH(G$1,CalLookUpColumn,0))</f>
        <v>2019</v>
      </c>
      <c r="H3301">
        <f>INDEX(CalLookUpTable,MATCH($B3301,CalLookUpRow,0),MATCH(H$1,CalLookUpColumn,0))</f>
        <v>12</v>
      </c>
      <c r="I3301">
        <f>INDEX(CalLookUpTable,MATCH($B3301,CalLookUpRow,0),MATCH(I$1,CalLookUpColumn,0))</f>
        <v>3</v>
      </c>
    </row>
    <row r="3302" spans="1:9" x14ac:dyDescent="0.25">
      <c r="A3302" s="7">
        <v>2</v>
      </c>
      <c r="B3302" s="8">
        <v>43809</v>
      </c>
      <c r="C3302" s="9" t="s">
        <v>3</v>
      </c>
      <c r="D3302" s="10">
        <v>0</v>
      </c>
      <c r="E3302" s="10">
        <v>0</v>
      </c>
      <c r="F3302" t="str">
        <f>VLOOKUP(A3302,StoreLookup,2,FALSE)</f>
        <v>Store#2</v>
      </c>
      <c r="G3302">
        <f>INDEX(CalLookUpTable,MATCH($B3302,CalLookUpRow,0),MATCH(G$1,CalLookUpColumn,0))</f>
        <v>2019</v>
      </c>
      <c r="H3302">
        <f>INDEX(CalLookUpTable,MATCH($B3302,CalLookUpRow,0),MATCH(H$1,CalLookUpColumn,0))</f>
        <v>12</v>
      </c>
      <c r="I3302">
        <f>INDEX(CalLookUpTable,MATCH($B3302,CalLookUpRow,0),MATCH(I$1,CalLookUpColumn,0))</f>
        <v>3</v>
      </c>
    </row>
    <row r="3303" spans="1:9" x14ac:dyDescent="0.25">
      <c r="A3303" s="7">
        <v>2</v>
      </c>
      <c r="B3303" s="8">
        <v>43809</v>
      </c>
      <c r="C3303" s="9" t="s">
        <v>6</v>
      </c>
      <c r="D3303" s="10">
        <v>507.06599999999997</v>
      </c>
      <c r="E3303" s="10">
        <v>481.30599999999998</v>
      </c>
      <c r="F3303" t="str">
        <f>VLOOKUP(A3303,StoreLookup,2,FALSE)</f>
        <v>Store#2</v>
      </c>
      <c r="G3303">
        <f>INDEX(CalLookUpTable,MATCH($B3303,CalLookUpRow,0),MATCH(G$1,CalLookUpColumn,0))</f>
        <v>2019</v>
      </c>
      <c r="H3303">
        <f>INDEX(CalLookUpTable,MATCH($B3303,CalLookUpRow,0),MATCH(H$1,CalLookUpColumn,0))</f>
        <v>12</v>
      </c>
      <c r="I3303">
        <f>INDEX(CalLookUpTable,MATCH($B3303,CalLookUpRow,0),MATCH(I$1,CalLookUpColumn,0))</f>
        <v>3</v>
      </c>
    </row>
    <row r="3304" spans="1:9" x14ac:dyDescent="0.25">
      <c r="A3304" s="7">
        <v>2</v>
      </c>
      <c r="B3304" s="8">
        <v>43809</v>
      </c>
      <c r="C3304" s="9" t="s">
        <v>5</v>
      </c>
      <c r="D3304" s="10">
        <v>1143.4359999999999</v>
      </c>
      <c r="E3304" s="10">
        <v>922.71199999999999</v>
      </c>
      <c r="F3304" t="str">
        <f>VLOOKUP(A3304,StoreLookup,2,FALSE)</f>
        <v>Store#2</v>
      </c>
      <c r="G3304">
        <f>INDEX(CalLookUpTable,MATCH($B3304,CalLookUpRow,0),MATCH(G$1,CalLookUpColumn,0))</f>
        <v>2019</v>
      </c>
      <c r="H3304">
        <f>INDEX(CalLookUpTable,MATCH($B3304,CalLookUpRow,0),MATCH(H$1,CalLookUpColumn,0))</f>
        <v>12</v>
      </c>
      <c r="I3304">
        <f>INDEX(CalLookUpTable,MATCH($B3304,CalLookUpRow,0),MATCH(I$1,CalLookUpColumn,0))</f>
        <v>3</v>
      </c>
    </row>
    <row r="3305" spans="1:9" x14ac:dyDescent="0.25">
      <c r="A3305" s="7">
        <v>2</v>
      </c>
      <c r="B3305" s="8">
        <v>43809</v>
      </c>
      <c r="C3305" s="9" t="s">
        <v>4</v>
      </c>
      <c r="D3305" s="10">
        <v>1805.3559999999998</v>
      </c>
      <c r="E3305" s="10">
        <v>1643.6979999999999</v>
      </c>
      <c r="F3305" t="str">
        <f>VLOOKUP(A3305,StoreLookup,2,FALSE)</f>
        <v>Store#2</v>
      </c>
      <c r="G3305">
        <f>INDEX(CalLookUpTable,MATCH($B3305,CalLookUpRow,0),MATCH(G$1,CalLookUpColumn,0))</f>
        <v>2019</v>
      </c>
      <c r="H3305">
        <f>INDEX(CalLookUpTable,MATCH($B3305,CalLookUpRow,0),MATCH(H$1,CalLookUpColumn,0))</f>
        <v>12</v>
      </c>
      <c r="I3305">
        <f>INDEX(CalLookUpTable,MATCH($B3305,CalLookUpRow,0),MATCH(I$1,CalLookUpColumn,0))</f>
        <v>3</v>
      </c>
    </row>
    <row r="3306" spans="1:9" x14ac:dyDescent="0.25">
      <c r="A3306" s="7">
        <v>2</v>
      </c>
      <c r="B3306" s="8">
        <v>43810</v>
      </c>
      <c r="C3306" s="9" t="s">
        <v>5</v>
      </c>
      <c r="D3306" s="10">
        <v>1209.838</v>
      </c>
      <c r="E3306" s="10">
        <v>985.77499999999998</v>
      </c>
      <c r="F3306" t="str">
        <f>VLOOKUP(A3306,StoreLookup,2,FALSE)</f>
        <v>Store#2</v>
      </c>
      <c r="G3306">
        <f>INDEX(CalLookUpTable,MATCH($B3306,CalLookUpRow,0),MATCH(G$1,CalLookUpColumn,0))</f>
        <v>2019</v>
      </c>
      <c r="H3306">
        <f>INDEX(CalLookUpTable,MATCH($B3306,CalLookUpRow,0),MATCH(H$1,CalLookUpColumn,0))</f>
        <v>12</v>
      </c>
      <c r="I3306">
        <f>INDEX(CalLookUpTable,MATCH($B3306,CalLookUpRow,0),MATCH(I$1,CalLookUpColumn,0))</f>
        <v>3</v>
      </c>
    </row>
    <row r="3307" spans="1:9" x14ac:dyDescent="0.25">
      <c r="A3307" s="7">
        <v>2</v>
      </c>
      <c r="B3307" s="8">
        <v>43810</v>
      </c>
      <c r="C3307" s="9" t="s">
        <v>6</v>
      </c>
      <c r="D3307" s="10">
        <v>707.53899999999999</v>
      </c>
      <c r="E3307" s="10">
        <v>365.79900000000004</v>
      </c>
      <c r="F3307" t="str">
        <f>VLOOKUP(A3307,StoreLookup,2,FALSE)</f>
        <v>Store#2</v>
      </c>
      <c r="G3307">
        <f>INDEX(CalLookUpTable,MATCH($B3307,CalLookUpRow,0),MATCH(G$1,CalLookUpColumn,0))</f>
        <v>2019</v>
      </c>
      <c r="H3307">
        <f>INDEX(CalLookUpTable,MATCH($B3307,CalLookUpRow,0),MATCH(H$1,CalLookUpColumn,0))</f>
        <v>12</v>
      </c>
      <c r="I3307">
        <f>INDEX(CalLookUpTable,MATCH($B3307,CalLookUpRow,0),MATCH(I$1,CalLookUpColumn,0))</f>
        <v>3</v>
      </c>
    </row>
    <row r="3308" spans="1:9" x14ac:dyDescent="0.25">
      <c r="A3308" s="7">
        <v>2</v>
      </c>
      <c r="B3308" s="8">
        <v>43810</v>
      </c>
      <c r="C3308" s="9" t="s">
        <v>3</v>
      </c>
      <c r="D3308" s="10">
        <v>202.41200000000001</v>
      </c>
      <c r="E3308" s="10">
        <v>365.75699999999995</v>
      </c>
      <c r="F3308" t="str">
        <f>VLOOKUP(A3308,StoreLookup,2,FALSE)</f>
        <v>Store#2</v>
      </c>
      <c r="G3308">
        <f>INDEX(CalLookUpTable,MATCH($B3308,CalLookUpRow,0),MATCH(G$1,CalLookUpColumn,0))</f>
        <v>2019</v>
      </c>
      <c r="H3308">
        <f>INDEX(CalLookUpTable,MATCH($B3308,CalLookUpRow,0),MATCH(H$1,CalLookUpColumn,0))</f>
        <v>12</v>
      </c>
      <c r="I3308">
        <f>INDEX(CalLookUpTable,MATCH($B3308,CalLookUpRow,0),MATCH(I$1,CalLookUpColumn,0))</f>
        <v>3</v>
      </c>
    </row>
    <row r="3309" spans="1:9" x14ac:dyDescent="0.25">
      <c r="A3309" s="7">
        <v>2</v>
      </c>
      <c r="B3309" s="8">
        <v>43810</v>
      </c>
      <c r="C3309" s="9" t="s">
        <v>4</v>
      </c>
      <c r="D3309" s="10">
        <v>1502.8229999999999</v>
      </c>
      <c r="E3309" s="10">
        <v>1539.1109999999999</v>
      </c>
      <c r="F3309" t="str">
        <f>VLOOKUP(A3309,StoreLookup,2,FALSE)</f>
        <v>Store#2</v>
      </c>
      <c r="G3309">
        <f>INDEX(CalLookUpTable,MATCH($B3309,CalLookUpRow,0),MATCH(G$1,CalLookUpColumn,0))</f>
        <v>2019</v>
      </c>
      <c r="H3309">
        <f>INDEX(CalLookUpTable,MATCH($B3309,CalLookUpRow,0),MATCH(H$1,CalLookUpColumn,0))</f>
        <v>12</v>
      </c>
      <c r="I3309">
        <f>INDEX(CalLookUpTable,MATCH($B3309,CalLookUpRow,0),MATCH(I$1,CalLookUpColumn,0))</f>
        <v>3</v>
      </c>
    </row>
    <row r="3310" spans="1:9" x14ac:dyDescent="0.25">
      <c r="A3310" s="7">
        <v>2</v>
      </c>
      <c r="B3310" s="8">
        <v>43811</v>
      </c>
      <c r="C3310" s="9" t="s">
        <v>5</v>
      </c>
      <c r="D3310" s="10">
        <v>1311.415</v>
      </c>
      <c r="E3310" s="10">
        <v>976.05199999999991</v>
      </c>
      <c r="F3310" t="str">
        <f>VLOOKUP(A3310,StoreLookup,2,FALSE)</f>
        <v>Store#2</v>
      </c>
      <c r="G3310">
        <f>INDEX(CalLookUpTable,MATCH($B3310,CalLookUpRow,0),MATCH(G$1,CalLookUpColumn,0))</f>
        <v>2019</v>
      </c>
      <c r="H3310">
        <f>INDEX(CalLookUpTable,MATCH($B3310,CalLookUpRow,0),MATCH(H$1,CalLookUpColumn,0))</f>
        <v>12</v>
      </c>
      <c r="I3310">
        <f>INDEX(CalLookUpTable,MATCH($B3310,CalLookUpRow,0),MATCH(I$1,CalLookUpColumn,0))</f>
        <v>3</v>
      </c>
    </row>
    <row r="3311" spans="1:9" x14ac:dyDescent="0.25">
      <c r="A3311" s="7">
        <v>2</v>
      </c>
      <c r="B3311" s="8">
        <v>43811</v>
      </c>
      <c r="C3311" s="9" t="s">
        <v>4</v>
      </c>
      <c r="D3311" s="10">
        <v>1615.7190000000001</v>
      </c>
      <c r="E3311" s="10">
        <v>1832.2009999999998</v>
      </c>
      <c r="F3311" t="str">
        <f>VLOOKUP(A3311,StoreLookup,2,FALSE)</f>
        <v>Store#2</v>
      </c>
      <c r="G3311">
        <f>INDEX(CalLookUpTable,MATCH($B3311,CalLookUpRow,0),MATCH(G$1,CalLookUpColumn,0))</f>
        <v>2019</v>
      </c>
      <c r="H3311">
        <f>INDEX(CalLookUpTable,MATCH($B3311,CalLookUpRow,0),MATCH(H$1,CalLookUpColumn,0))</f>
        <v>12</v>
      </c>
      <c r="I3311">
        <f>INDEX(CalLookUpTable,MATCH($B3311,CalLookUpRow,0),MATCH(I$1,CalLookUpColumn,0))</f>
        <v>3</v>
      </c>
    </row>
    <row r="3312" spans="1:9" x14ac:dyDescent="0.25">
      <c r="A3312" s="7">
        <v>2</v>
      </c>
      <c r="B3312" s="8">
        <v>43811</v>
      </c>
      <c r="C3312" s="9" t="s">
        <v>3</v>
      </c>
      <c r="D3312" s="10">
        <v>192.34599999999998</v>
      </c>
      <c r="E3312" s="10">
        <v>888.5379999999999</v>
      </c>
      <c r="F3312" t="str">
        <f>VLOOKUP(A3312,StoreLookup,2,FALSE)</f>
        <v>Store#2</v>
      </c>
      <c r="G3312">
        <f>INDEX(CalLookUpTable,MATCH($B3312,CalLookUpRow,0),MATCH(G$1,CalLookUpColumn,0))</f>
        <v>2019</v>
      </c>
      <c r="H3312">
        <f>INDEX(CalLookUpTable,MATCH($B3312,CalLookUpRow,0),MATCH(H$1,CalLookUpColumn,0))</f>
        <v>12</v>
      </c>
      <c r="I3312">
        <f>INDEX(CalLookUpTable,MATCH($B3312,CalLookUpRow,0),MATCH(I$1,CalLookUpColumn,0))</f>
        <v>3</v>
      </c>
    </row>
    <row r="3313" spans="1:9" x14ac:dyDescent="0.25">
      <c r="A3313" s="7">
        <v>2</v>
      </c>
      <c r="B3313" s="8">
        <v>43811</v>
      </c>
      <c r="C3313" s="9" t="s">
        <v>6</v>
      </c>
      <c r="D3313" s="10">
        <v>322.27999999999997</v>
      </c>
      <c r="E3313" s="10">
        <v>228.94899999999998</v>
      </c>
      <c r="F3313" t="str">
        <f>VLOOKUP(A3313,StoreLookup,2,FALSE)</f>
        <v>Store#2</v>
      </c>
      <c r="G3313">
        <f>INDEX(CalLookUpTable,MATCH($B3313,CalLookUpRow,0),MATCH(G$1,CalLookUpColumn,0))</f>
        <v>2019</v>
      </c>
      <c r="H3313">
        <f>INDEX(CalLookUpTable,MATCH($B3313,CalLookUpRow,0),MATCH(H$1,CalLookUpColumn,0))</f>
        <v>12</v>
      </c>
      <c r="I3313">
        <f>INDEX(CalLookUpTable,MATCH($B3313,CalLookUpRow,0),MATCH(I$1,CalLookUpColumn,0))</f>
        <v>3</v>
      </c>
    </row>
    <row r="3314" spans="1:9" x14ac:dyDescent="0.25">
      <c r="A3314" s="7">
        <v>2</v>
      </c>
      <c r="B3314" s="8">
        <v>43812</v>
      </c>
      <c r="C3314" s="9" t="s">
        <v>6</v>
      </c>
      <c r="D3314" s="10">
        <v>772.99599999999998</v>
      </c>
      <c r="E3314" s="10">
        <v>306.71899999999999</v>
      </c>
      <c r="F3314" t="str">
        <f>VLOOKUP(A3314,StoreLookup,2,FALSE)</f>
        <v>Store#2</v>
      </c>
      <c r="G3314">
        <f>INDEX(CalLookUpTable,MATCH($B3314,CalLookUpRow,0),MATCH(G$1,CalLookUpColumn,0))</f>
        <v>2019</v>
      </c>
      <c r="H3314">
        <f>INDEX(CalLookUpTable,MATCH($B3314,CalLookUpRow,0),MATCH(H$1,CalLookUpColumn,0))</f>
        <v>12</v>
      </c>
      <c r="I3314">
        <f>INDEX(CalLookUpTable,MATCH($B3314,CalLookUpRow,0),MATCH(I$1,CalLookUpColumn,0))</f>
        <v>3</v>
      </c>
    </row>
    <row r="3315" spans="1:9" x14ac:dyDescent="0.25">
      <c r="A3315" s="7">
        <v>2</v>
      </c>
      <c r="B3315" s="8">
        <v>43812</v>
      </c>
      <c r="C3315" s="9" t="s">
        <v>3</v>
      </c>
      <c r="D3315" s="10">
        <v>804.01299999999992</v>
      </c>
      <c r="E3315" s="10">
        <v>246.96699999999998</v>
      </c>
      <c r="F3315" t="str">
        <f>VLOOKUP(A3315,StoreLookup,2,FALSE)</f>
        <v>Store#2</v>
      </c>
      <c r="G3315">
        <f>INDEX(CalLookUpTable,MATCH($B3315,CalLookUpRow,0),MATCH(G$1,CalLookUpColumn,0))</f>
        <v>2019</v>
      </c>
      <c r="H3315">
        <f>INDEX(CalLookUpTable,MATCH($B3315,CalLookUpRow,0),MATCH(H$1,CalLookUpColumn,0))</f>
        <v>12</v>
      </c>
      <c r="I3315">
        <f>INDEX(CalLookUpTable,MATCH($B3315,CalLookUpRow,0),MATCH(I$1,CalLookUpColumn,0))</f>
        <v>3</v>
      </c>
    </row>
    <row r="3316" spans="1:9" x14ac:dyDescent="0.25">
      <c r="A3316" s="7">
        <v>2</v>
      </c>
      <c r="B3316" s="8">
        <v>43812</v>
      </c>
      <c r="C3316" s="9" t="s">
        <v>4</v>
      </c>
      <c r="D3316" s="10">
        <v>1897.1959999999999</v>
      </c>
      <c r="E3316" s="10">
        <v>2379.538</v>
      </c>
      <c r="F3316" t="str">
        <f>VLOOKUP(A3316,StoreLookup,2,FALSE)</f>
        <v>Store#2</v>
      </c>
      <c r="G3316">
        <f>INDEX(CalLookUpTable,MATCH($B3316,CalLookUpRow,0),MATCH(G$1,CalLookUpColumn,0))</f>
        <v>2019</v>
      </c>
      <c r="H3316">
        <f>INDEX(CalLookUpTable,MATCH($B3316,CalLookUpRow,0),MATCH(H$1,CalLookUpColumn,0))</f>
        <v>12</v>
      </c>
      <c r="I3316">
        <f>INDEX(CalLookUpTable,MATCH($B3316,CalLookUpRow,0),MATCH(I$1,CalLookUpColumn,0))</f>
        <v>3</v>
      </c>
    </row>
    <row r="3317" spans="1:9" x14ac:dyDescent="0.25">
      <c r="A3317" s="7">
        <v>2</v>
      </c>
      <c r="B3317" s="8">
        <v>43812</v>
      </c>
      <c r="C3317" s="9" t="s">
        <v>5</v>
      </c>
      <c r="D3317" s="10">
        <v>1466.038</v>
      </c>
      <c r="E3317" s="10">
        <v>1397.424</v>
      </c>
      <c r="F3317" t="str">
        <f>VLOOKUP(A3317,StoreLookup,2,FALSE)</f>
        <v>Store#2</v>
      </c>
      <c r="G3317">
        <f>INDEX(CalLookUpTable,MATCH($B3317,CalLookUpRow,0),MATCH(G$1,CalLookUpColumn,0))</f>
        <v>2019</v>
      </c>
      <c r="H3317">
        <f>INDEX(CalLookUpTable,MATCH($B3317,CalLookUpRow,0),MATCH(H$1,CalLookUpColumn,0))</f>
        <v>12</v>
      </c>
      <c r="I3317">
        <f>INDEX(CalLookUpTable,MATCH($B3317,CalLookUpRow,0),MATCH(I$1,CalLookUpColumn,0))</f>
        <v>3</v>
      </c>
    </row>
    <row r="3318" spans="1:9" x14ac:dyDescent="0.25">
      <c r="A3318" s="7">
        <v>2</v>
      </c>
      <c r="B3318" s="8">
        <v>43813</v>
      </c>
      <c r="C3318" s="9" t="s">
        <v>6</v>
      </c>
      <c r="D3318" s="10">
        <v>663.83799999999997</v>
      </c>
      <c r="E3318" s="10">
        <v>331.54799999999994</v>
      </c>
      <c r="F3318" t="str">
        <f>VLOOKUP(A3318,StoreLookup,2,FALSE)</f>
        <v>Store#2</v>
      </c>
      <c r="G3318">
        <f>INDEX(CalLookUpTable,MATCH($B3318,CalLookUpRow,0),MATCH(G$1,CalLookUpColumn,0))</f>
        <v>2019</v>
      </c>
      <c r="H3318">
        <f>INDEX(CalLookUpTable,MATCH($B3318,CalLookUpRow,0),MATCH(H$1,CalLookUpColumn,0))</f>
        <v>12</v>
      </c>
      <c r="I3318">
        <f>INDEX(CalLookUpTable,MATCH($B3318,CalLookUpRow,0),MATCH(I$1,CalLookUpColumn,0))</f>
        <v>3</v>
      </c>
    </row>
    <row r="3319" spans="1:9" x14ac:dyDescent="0.25">
      <c r="A3319" s="7">
        <v>2</v>
      </c>
      <c r="B3319" s="8">
        <v>43813</v>
      </c>
      <c r="C3319" s="9" t="s">
        <v>5</v>
      </c>
      <c r="D3319" s="10">
        <v>1127.742</v>
      </c>
      <c r="E3319" s="10">
        <v>654.67499999999995</v>
      </c>
      <c r="F3319" t="str">
        <f>VLOOKUP(A3319,StoreLookup,2,FALSE)</f>
        <v>Store#2</v>
      </c>
      <c r="G3319">
        <f>INDEX(CalLookUpTable,MATCH($B3319,CalLookUpRow,0),MATCH(G$1,CalLookUpColumn,0))</f>
        <v>2019</v>
      </c>
      <c r="H3319">
        <f>INDEX(CalLookUpTable,MATCH($B3319,CalLookUpRow,0),MATCH(H$1,CalLookUpColumn,0))</f>
        <v>12</v>
      </c>
      <c r="I3319">
        <f>INDEX(CalLookUpTable,MATCH($B3319,CalLookUpRow,0),MATCH(I$1,CalLookUpColumn,0))</f>
        <v>3</v>
      </c>
    </row>
    <row r="3320" spans="1:9" x14ac:dyDescent="0.25">
      <c r="A3320" s="7">
        <v>2</v>
      </c>
      <c r="B3320" s="8">
        <v>43813</v>
      </c>
      <c r="C3320" s="9" t="s">
        <v>4</v>
      </c>
      <c r="D3320" s="10">
        <v>1631.182</v>
      </c>
      <c r="E3320" s="10">
        <v>2011.933</v>
      </c>
      <c r="F3320" t="str">
        <f>VLOOKUP(A3320,StoreLookup,2,FALSE)</f>
        <v>Store#2</v>
      </c>
      <c r="G3320">
        <f>INDEX(CalLookUpTable,MATCH($B3320,CalLookUpRow,0),MATCH(G$1,CalLookUpColumn,0))</f>
        <v>2019</v>
      </c>
      <c r="H3320">
        <f>INDEX(CalLookUpTable,MATCH($B3320,CalLookUpRow,0),MATCH(H$1,CalLookUpColumn,0))</f>
        <v>12</v>
      </c>
      <c r="I3320">
        <f>INDEX(CalLookUpTable,MATCH($B3320,CalLookUpRow,0),MATCH(I$1,CalLookUpColumn,0))</f>
        <v>3</v>
      </c>
    </row>
    <row r="3321" spans="1:9" x14ac:dyDescent="0.25">
      <c r="A3321" s="7">
        <v>2</v>
      </c>
      <c r="B3321" s="8">
        <v>43813</v>
      </c>
      <c r="C3321" s="9" t="s">
        <v>3</v>
      </c>
      <c r="D3321" s="10">
        <v>569.10699999999997</v>
      </c>
      <c r="E3321" s="10">
        <v>0</v>
      </c>
      <c r="F3321" t="str">
        <f>VLOOKUP(A3321,StoreLookup,2,FALSE)</f>
        <v>Store#2</v>
      </c>
      <c r="G3321">
        <f>INDEX(CalLookUpTable,MATCH($B3321,CalLookUpRow,0),MATCH(G$1,CalLookUpColumn,0))</f>
        <v>2019</v>
      </c>
      <c r="H3321">
        <f>INDEX(CalLookUpTable,MATCH($B3321,CalLookUpRow,0),MATCH(H$1,CalLookUpColumn,0))</f>
        <v>12</v>
      </c>
      <c r="I3321">
        <f>INDEX(CalLookUpTable,MATCH($B3321,CalLookUpRow,0),MATCH(I$1,CalLookUpColumn,0))</f>
        <v>3</v>
      </c>
    </row>
    <row r="3322" spans="1:9" x14ac:dyDescent="0.25">
      <c r="A3322" s="7">
        <v>2</v>
      </c>
      <c r="B3322" s="8">
        <v>43814</v>
      </c>
      <c r="C3322" s="9" t="s">
        <v>5</v>
      </c>
      <c r="D3322" s="10">
        <v>728.45500000000004</v>
      </c>
      <c r="E3322" s="10">
        <v>806.11299999999994</v>
      </c>
      <c r="F3322" t="str">
        <f>VLOOKUP(A3322,StoreLookup,2,FALSE)</f>
        <v>Store#2</v>
      </c>
      <c r="G3322">
        <f>INDEX(CalLookUpTable,MATCH($B3322,CalLookUpRow,0),MATCH(G$1,CalLookUpColumn,0))</f>
        <v>2019</v>
      </c>
      <c r="H3322">
        <f>INDEX(CalLookUpTable,MATCH($B3322,CalLookUpRow,0),MATCH(H$1,CalLookUpColumn,0))</f>
        <v>12</v>
      </c>
      <c r="I3322">
        <f>INDEX(CalLookUpTable,MATCH($B3322,CalLookUpRow,0),MATCH(I$1,CalLookUpColumn,0))</f>
        <v>3</v>
      </c>
    </row>
    <row r="3323" spans="1:9" x14ac:dyDescent="0.25">
      <c r="A3323" s="7">
        <v>2</v>
      </c>
      <c r="B3323" s="8">
        <v>43814</v>
      </c>
      <c r="C3323" s="9" t="s">
        <v>4</v>
      </c>
      <c r="D3323" s="10">
        <v>973.4129999999999</v>
      </c>
      <c r="E3323" s="10">
        <v>1236.9559999999999</v>
      </c>
      <c r="F3323" t="str">
        <f>VLOOKUP(A3323,StoreLookup,2,FALSE)</f>
        <v>Store#2</v>
      </c>
      <c r="G3323">
        <f>INDEX(CalLookUpTable,MATCH($B3323,CalLookUpRow,0),MATCH(G$1,CalLookUpColumn,0))</f>
        <v>2019</v>
      </c>
      <c r="H3323">
        <f>INDEX(CalLookUpTable,MATCH($B3323,CalLookUpRow,0),MATCH(H$1,CalLookUpColumn,0))</f>
        <v>12</v>
      </c>
      <c r="I3323">
        <f>INDEX(CalLookUpTable,MATCH($B3323,CalLookUpRow,0),MATCH(I$1,CalLookUpColumn,0))</f>
        <v>3</v>
      </c>
    </row>
    <row r="3324" spans="1:9" x14ac:dyDescent="0.25">
      <c r="A3324" s="7">
        <v>2</v>
      </c>
      <c r="B3324" s="8">
        <v>43814</v>
      </c>
      <c r="C3324" s="9" t="s">
        <v>6</v>
      </c>
      <c r="D3324" s="10">
        <v>374.12900000000002</v>
      </c>
      <c r="E3324" s="10">
        <v>226.96099999999998</v>
      </c>
      <c r="F3324" t="str">
        <f>VLOOKUP(A3324,StoreLookup,2,FALSE)</f>
        <v>Store#2</v>
      </c>
      <c r="G3324">
        <f>INDEX(CalLookUpTable,MATCH($B3324,CalLookUpRow,0),MATCH(G$1,CalLookUpColumn,0))</f>
        <v>2019</v>
      </c>
      <c r="H3324">
        <f>INDEX(CalLookUpTable,MATCH($B3324,CalLookUpRow,0),MATCH(H$1,CalLookUpColumn,0))</f>
        <v>12</v>
      </c>
      <c r="I3324">
        <f>INDEX(CalLookUpTable,MATCH($B3324,CalLookUpRow,0),MATCH(I$1,CalLookUpColumn,0))</f>
        <v>3</v>
      </c>
    </row>
    <row r="3325" spans="1:9" x14ac:dyDescent="0.25">
      <c r="A3325" s="7">
        <v>2</v>
      </c>
      <c r="B3325" s="8">
        <v>43814</v>
      </c>
      <c r="C3325" s="9" t="s">
        <v>3</v>
      </c>
      <c r="D3325" s="10">
        <v>66.590999999999994</v>
      </c>
      <c r="E3325" s="10">
        <v>0</v>
      </c>
      <c r="F3325" t="str">
        <f>VLOOKUP(A3325,StoreLookup,2,FALSE)</f>
        <v>Store#2</v>
      </c>
      <c r="G3325">
        <f>INDEX(CalLookUpTable,MATCH($B3325,CalLookUpRow,0),MATCH(G$1,CalLookUpColumn,0))</f>
        <v>2019</v>
      </c>
      <c r="H3325">
        <f>INDEX(CalLookUpTable,MATCH($B3325,CalLookUpRow,0),MATCH(H$1,CalLookUpColumn,0))</f>
        <v>12</v>
      </c>
      <c r="I3325">
        <f>INDEX(CalLookUpTable,MATCH($B3325,CalLookUpRow,0),MATCH(I$1,CalLookUpColumn,0))</f>
        <v>3</v>
      </c>
    </row>
    <row r="3326" spans="1:9" x14ac:dyDescent="0.25">
      <c r="A3326" s="7">
        <v>2</v>
      </c>
      <c r="B3326" s="8">
        <v>43815</v>
      </c>
      <c r="C3326" s="9" t="s">
        <v>6</v>
      </c>
      <c r="D3326" s="10">
        <v>422.32400000000001</v>
      </c>
      <c r="E3326" s="10">
        <v>266.18899999999996</v>
      </c>
      <c r="F3326" t="str">
        <f>VLOOKUP(A3326,StoreLookup,2,FALSE)</f>
        <v>Store#2</v>
      </c>
      <c r="G3326">
        <f>INDEX(CalLookUpTable,MATCH($B3326,CalLookUpRow,0),MATCH(G$1,CalLookUpColumn,0))</f>
        <v>2019</v>
      </c>
      <c r="H3326">
        <f>INDEX(CalLookUpTable,MATCH($B3326,CalLookUpRow,0),MATCH(H$1,CalLookUpColumn,0))</f>
        <v>12</v>
      </c>
      <c r="I3326">
        <f>INDEX(CalLookUpTable,MATCH($B3326,CalLookUpRow,0),MATCH(I$1,CalLookUpColumn,0))</f>
        <v>4</v>
      </c>
    </row>
    <row r="3327" spans="1:9" x14ac:dyDescent="0.25">
      <c r="A3327" s="7">
        <v>2</v>
      </c>
      <c r="B3327" s="8">
        <v>43815</v>
      </c>
      <c r="C3327" s="9" t="s">
        <v>3</v>
      </c>
      <c r="D3327" s="10">
        <v>0</v>
      </c>
      <c r="E3327" s="10">
        <v>0</v>
      </c>
      <c r="F3327" t="str">
        <f>VLOOKUP(A3327,StoreLookup,2,FALSE)</f>
        <v>Store#2</v>
      </c>
      <c r="G3327">
        <f>INDEX(CalLookUpTable,MATCH($B3327,CalLookUpRow,0),MATCH(G$1,CalLookUpColumn,0))</f>
        <v>2019</v>
      </c>
      <c r="H3327">
        <f>INDEX(CalLookUpTable,MATCH($B3327,CalLookUpRow,0),MATCH(H$1,CalLookUpColumn,0))</f>
        <v>12</v>
      </c>
      <c r="I3327">
        <f>INDEX(CalLookUpTable,MATCH($B3327,CalLookUpRow,0),MATCH(I$1,CalLookUpColumn,0))</f>
        <v>4</v>
      </c>
    </row>
    <row r="3328" spans="1:9" x14ac:dyDescent="0.25">
      <c r="A3328" s="7">
        <v>2</v>
      </c>
      <c r="B3328" s="8">
        <v>43815</v>
      </c>
      <c r="C3328" s="9" t="s">
        <v>4</v>
      </c>
      <c r="D3328" s="10">
        <v>1669.346</v>
      </c>
      <c r="E3328" s="10">
        <v>1630.3</v>
      </c>
      <c r="F3328" t="str">
        <f>VLOOKUP(A3328,StoreLookup,2,FALSE)</f>
        <v>Store#2</v>
      </c>
      <c r="G3328">
        <f>INDEX(CalLookUpTable,MATCH($B3328,CalLookUpRow,0),MATCH(G$1,CalLookUpColumn,0))</f>
        <v>2019</v>
      </c>
      <c r="H3328">
        <f>INDEX(CalLookUpTable,MATCH($B3328,CalLookUpRow,0),MATCH(H$1,CalLookUpColumn,0))</f>
        <v>12</v>
      </c>
      <c r="I3328">
        <f>INDEX(CalLookUpTable,MATCH($B3328,CalLookUpRow,0),MATCH(I$1,CalLookUpColumn,0))</f>
        <v>4</v>
      </c>
    </row>
    <row r="3329" spans="1:9" x14ac:dyDescent="0.25">
      <c r="A3329" s="7">
        <v>2</v>
      </c>
      <c r="B3329" s="8">
        <v>43815</v>
      </c>
      <c r="C3329" s="9" t="s">
        <v>5</v>
      </c>
      <c r="D3329" s="10">
        <v>920.90599999999984</v>
      </c>
      <c r="E3329" s="10">
        <v>609.49699999999996</v>
      </c>
      <c r="F3329" t="str">
        <f>VLOOKUP(A3329,StoreLookup,2,FALSE)</f>
        <v>Store#2</v>
      </c>
      <c r="G3329">
        <f>INDEX(CalLookUpTable,MATCH($B3329,CalLookUpRow,0),MATCH(G$1,CalLookUpColumn,0))</f>
        <v>2019</v>
      </c>
      <c r="H3329">
        <f>INDEX(CalLookUpTable,MATCH($B3329,CalLookUpRow,0),MATCH(H$1,CalLookUpColumn,0))</f>
        <v>12</v>
      </c>
      <c r="I3329">
        <f>INDEX(CalLookUpTable,MATCH($B3329,CalLookUpRow,0),MATCH(I$1,CalLookUpColumn,0))</f>
        <v>4</v>
      </c>
    </row>
    <row r="3330" spans="1:9" x14ac:dyDescent="0.25">
      <c r="A3330" s="7">
        <v>2</v>
      </c>
      <c r="B3330" s="8">
        <v>43816</v>
      </c>
      <c r="C3330" s="9" t="s">
        <v>4</v>
      </c>
      <c r="D3330" s="10">
        <v>1618.1059999999998</v>
      </c>
      <c r="E3330" s="10">
        <v>2113.4399999999996</v>
      </c>
      <c r="F3330" t="str">
        <f>VLOOKUP(A3330,StoreLookup,2,FALSE)</f>
        <v>Store#2</v>
      </c>
      <c r="G3330">
        <f>INDEX(CalLookUpTable,MATCH($B3330,CalLookUpRow,0),MATCH(G$1,CalLookUpColumn,0))</f>
        <v>2019</v>
      </c>
      <c r="H3330">
        <f>INDEX(CalLookUpTable,MATCH($B3330,CalLookUpRow,0),MATCH(H$1,CalLookUpColumn,0))</f>
        <v>12</v>
      </c>
      <c r="I3330">
        <f>INDEX(CalLookUpTable,MATCH($B3330,CalLookUpRow,0),MATCH(I$1,CalLookUpColumn,0))</f>
        <v>4</v>
      </c>
    </row>
    <row r="3331" spans="1:9" x14ac:dyDescent="0.25">
      <c r="A3331" s="7">
        <v>2</v>
      </c>
      <c r="B3331" s="8">
        <v>43816</v>
      </c>
      <c r="C3331" s="9" t="s">
        <v>6</v>
      </c>
      <c r="D3331" s="10">
        <v>264.58600000000001</v>
      </c>
      <c r="E3331" s="10">
        <v>191.84199999999998</v>
      </c>
      <c r="F3331" t="str">
        <f>VLOOKUP(A3331,StoreLookup,2,FALSE)</f>
        <v>Store#2</v>
      </c>
      <c r="G3331">
        <f>INDEX(CalLookUpTable,MATCH($B3331,CalLookUpRow,0),MATCH(G$1,CalLookUpColumn,0))</f>
        <v>2019</v>
      </c>
      <c r="H3331">
        <f>INDEX(CalLookUpTable,MATCH($B3331,CalLookUpRow,0),MATCH(H$1,CalLookUpColumn,0))</f>
        <v>12</v>
      </c>
      <c r="I3331">
        <f>INDEX(CalLookUpTable,MATCH($B3331,CalLookUpRow,0),MATCH(I$1,CalLookUpColumn,0))</f>
        <v>4</v>
      </c>
    </row>
    <row r="3332" spans="1:9" x14ac:dyDescent="0.25">
      <c r="A3332" s="7">
        <v>2</v>
      </c>
      <c r="B3332" s="8">
        <v>43816</v>
      </c>
      <c r="C3332" s="9" t="s">
        <v>5</v>
      </c>
      <c r="D3332" s="10">
        <v>1099.462</v>
      </c>
      <c r="E3332" s="10">
        <v>896.322</v>
      </c>
      <c r="F3332" t="str">
        <f>VLOOKUP(A3332,StoreLookup,2,FALSE)</f>
        <v>Store#2</v>
      </c>
      <c r="G3332">
        <f>INDEX(CalLookUpTable,MATCH($B3332,CalLookUpRow,0),MATCH(G$1,CalLookUpColumn,0))</f>
        <v>2019</v>
      </c>
      <c r="H3332">
        <f>INDEX(CalLookUpTable,MATCH($B3332,CalLookUpRow,0),MATCH(H$1,CalLookUpColumn,0))</f>
        <v>12</v>
      </c>
      <c r="I3332">
        <f>INDEX(CalLookUpTable,MATCH($B3332,CalLookUpRow,0),MATCH(I$1,CalLookUpColumn,0))</f>
        <v>4</v>
      </c>
    </row>
    <row r="3333" spans="1:9" x14ac:dyDescent="0.25">
      <c r="A3333" s="7">
        <v>2</v>
      </c>
      <c r="B3333" s="8">
        <v>43816</v>
      </c>
      <c r="C3333" s="9" t="s">
        <v>3</v>
      </c>
      <c r="D3333" s="10">
        <v>0</v>
      </c>
      <c r="E3333" s="10">
        <v>0</v>
      </c>
      <c r="F3333" t="str">
        <f>VLOOKUP(A3333,StoreLookup,2,FALSE)</f>
        <v>Store#2</v>
      </c>
      <c r="G3333">
        <f>INDEX(CalLookUpTable,MATCH($B3333,CalLookUpRow,0),MATCH(G$1,CalLookUpColumn,0))</f>
        <v>2019</v>
      </c>
      <c r="H3333">
        <f>INDEX(CalLookUpTable,MATCH($B3333,CalLookUpRow,0),MATCH(H$1,CalLookUpColumn,0))</f>
        <v>12</v>
      </c>
      <c r="I3333">
        <f>INDEX(CalLookUpTable,MATCH($B3333,CalLookUpRow,0),MATCH(I$1,CalLookUpColumn,0))</f>
        <v>4</v>
      </c>
    </row>
    <row r="3334" spans="1:9" x14ac:dyDescent="0.25">
      <c r="A3334" s="7">
        <v>2</v>
      </c>
      <c r="B3334" s="8">
        <v>43817</v>
      </c>
      <c r="C3334" s="9" t="s">
        <v>6</v>
      </c>
      <c r="D3334" s="10">
        <v>457.75099999999992</v>
      </c>
      <c r="E3334" s="10">
        <v>213.29</v>
      </c>
      <c r="F3334" t="str">
        <f>VLOOKUP(A3334,StoreLookup,2,FALSE)</f>
        <v>Store#2</v>
      </c>
      <c r="G3334">
        <f>INDEX(CalLookUpTable,MATCH($B3334,CalLookUpRow,0),MATCH(G$1,CalLookUpColumn,0))</f>
        <v>2019</v>
      </c>
      <c r="H3334">
        <f>INDEX(CalLookUpTable,MATCH($B3334,CalLookUpRow,0),MATCH(H$1,CalLookUpColumn,0))</f>
        <v>12</v>
      </c>
      <c r="I3334">
        <f>INDEX(CalLookUpTable,MATCH($B3334,CalLookUpRow,0),MATCH(I$1,CalLookUpColumn,0))</f>
        <v>4</v>
      </c>
    </row>
    <row r="3335" spans="1:9" x14ac:dyDescent="0.25">
      <c r="A3335" s="7">
        <v>2</v>
      </c>
      <c r="B3335" s="8">
        <v>43817</v>
      </c>
      <c r="C3335" s="9" t="s">
        <v>4</v>
      </c>
      <c r="D3335" s="10">
        <v>1556.8139999999999</v>
      </c>
      <c r="E3335" s="10">
        <v>1843.261</v>
      </c>
      <c r="F3335" t="str">
        <f>VLOOKUP(A3335,StoreLookup,2,FALSE)</f>
        <v>Store#2</v>
      </c>
      <c r="G3335">
        <f>INDEX(CalLookUpTable,MATCH($B3335,CalLookUpRow,0),MATCH(G$1,CalLookUpColumn,0))</f>
        <v>2019</v>
      </c>
      <c r="H3335">
        <f>INDEX(CalLookUpTable,MATCH($B3335,CalLookUpRow,0),MATCH(H$1,CalLookUpColumn,0))</f>
        <v>12</v>
      </c>
      <c r="I3335">
        <f>INDEX(CalLookUpTable,MATCH($B3335,CalLookUpRow,0),MATCH(I$1,CalLookUpColumn,0))</f>
        <v>4</v>
      </c>
    </row>
    <row r="3336" spans="1:9" x14ac:dyDescent="0.25">
      <c r="A3336" s="7">
        <v>2</v>
      </c>
      <c r="B3336" s="8">
        <v>43817</v>
      </c>
      <c r="C3336" s="9" t="s">
        <v>5</v>
      </c>
      <c r="D3336" s="10">
        <v>1175.104</v>
      </c>
      <c r="E3336" s="10">
        <v>930.048</v>
      </c>
      <c r="F3336" t="str">
        <f>VLOOKUP(A3336,StoreLookup,2,FALSE)</f>
        <v>Store#2</v>
      </c>
      <c r="G3336">
        <f>INDEX(CalLookUpTable,MATCH($B3336,CalLookUpRow,0),MATCH(G$1,CalLookUpColumn,0))</f>
        <v>2019</v>
      </c>
      <c r="H3336">
        <f>INDEX(CalLookUpTable,MATCH($B3336,CalLookUpRow,0),MATCH(H$1,CalLookUpColumn,0))</f>
        <v>12</v>
      </c>
      <c r="I3336">
        <f>INDEX(CalLookUpTable,MATCH($B3336,CalLookUpRow,0),MATCH(I$1,CalLookUpColumn,0))</f>
        <v>4</v>
      </c>
    </row>
    <row r="3337" spans="1:9" x14ac:dyDescent="0.25">
      <c r="A3337" s="7">
        <v>2</v>
      </c>
      <c r="B3337" s="8">
        <v>43817</v>
      </c>
      <c r="C3337" s="9" t="s">
        <v>3</v>
      </c>
      <c r="D3337" s="10">
        <v>80.772999999999996</v>
      </c>
      <c r="E3337" s="10">
        <v>646.26099999999997</v>
      </c>
      <c r="F3337" t="str">
        <f>VLOOKUP(A3337,StoreLookup,2,FALSE)</f>
        <v>Store#2</v>
      </c>
      <c r="G3337">
        <f>INDEX(CalLookUpTable,MATCH($B3337,CalLookUpRow,0),MATCH(G$1,CalLookUpColumn,0))</f>
        <v>2019</v>
      </c>
      <c r="H3337">
        <f>INDEX(CalLookUpTable,MATCH($B3337,CalLookUpRow,0),MATCH(H$1,CalLookUpColumn,0))</f>
        <v>12</v>
      </c>
      <c r="I3337">
        <f>INDEX(CalLookUpTable,MATCH($B3337,CalLookUpRow,0),MATCH(I$1,CalLookUpColumn,0))</f>
        <v>4</v>
      </c>
    </row>
    <row r="3338" spans="1:9" x14ac:dyDescent="0.25">
      <c r="A3338" s="7">
        <v>2</v>
      </c>
      <c r="B3338" s="8">
        <v>43818</v>
      </c>
      <c r="C3338" s="9" t="s">
        <v>6</v>
      </c>
      <c r="D3338" s="10">
        <v>351.17599999999999</v>
      </c>
      <c r="E3338" s="10">
        <v>251.328</v>
      </c>
      <c r="F3338" t="str">
        <f>VLOOKUP(A3338,StoreLookup,2,FALSE)</f>
        <v>Store#2</v>
      </c>
      <c r="G3338">
        <f>INDEX(CalLookUpTable,MATCH($B3338,CalLookUpRow,0),MATCH(G$1,CalLookUpColumn,0))</f>
        <v>2019</v>
      </c>
      <c r="H3338">
        <f>INDEX(CalLookUpTable,MATCH($B3338,CalLookUpRow,0),MATCH(H$1,CalLookUpColumn,0))</f>
        <v>12</v>
      </c>
      <c r="I3338">
        <f>INDEX(CalLookUpTable,MATCH($B3338,CalLookUpRow,0),MATCH(I$1,CalLookUpColumn,0))</f>
        <v>4</v>
      </c>
    </row>
    <row r="3339" spans="1:9" x14ac:dyDescent="0.25">
      <c r="A3339" s="7">
        <v>2</v>
      </c>
      <c r="B3339" s="8">
        <v>43818</v>
      </c>
      <c r="C3339" s="9" t="s">
        <v>5</v>
      </c>
      <c r="D3339" s="10">
        <v>1186.2339999999999</v>
      </c>
      <c r="E3339" s="10">
        <v>1004.8499999999999</v>
      </c>
      <c r="F3339" t="str">
        <f>VLOOKUP(A3339,StoreLookup,2,FALSE)</f>
        <v>Store#2</v>
      </c>
      <c r="G3339">
        <f>INDEX(CalLookUpTable,MATCH($B3339,CalLookUpRow,0),MATCH(G$1,CalLookUpColumn,0))</f>
        <v>2019</v>
      </c>
      <c r="H3339">
        <f>INDEX(CalLookUpTable,MATCH($B3339,CalLookUpRow,0),MATCH(H$1,CalLookUpColumn,0))</f>
        <v>12</v>
      </c>
      <c r="I3339">
        <f>INDEX(CalLookUpTable,MATCH($B3339,CalLookUpRow,0),MATCH(I$1,CalLookUpColumn,0))</f>
        <v>4</v>
      </c>
    </row>
    <row r="3340" spans="1:9" x14ac:dyDescent="0.25">
      <c r="A3340" s="7">
        <v>2</v>
      </c>
      <c r="B3340" s="8">
        <v>43818</v>
      </c>
      <c r="C3340" s="9" t="s">
        <v>4</v>
      </c>
      <c r="D3340" s="10">
        <v>1545.8169999999998</v>
      </c>
      <c r="E3340" s="10">
        <v>1863.7429999999997</v>
      </c>
      <c r="F3340" t="str">
        <f>VLOOKUP(A3340,StoreLookup,2,FALSE)</f>
        <v>Store#2</v>
      </c>
      <c r="G3340">
        <f>INDEX(CalLookUpTable,MATCH($B3340,CalLookUpRow,0),MATCH(G$1,CalLookUpColumn,0))</f>
        <v>2019</v>
      </c>
      <c r="H3340">
        <f>INDEX(CalLookUpTable,MATCH($B3340,CalLookUpRow,0),MATCH(H$1,CalLookUpColumn,0))</f>
        <v>12</v>
      </c>
      <c r="I3340">
        <f>INDEX(CalLookUpTable,MATCH($B3340,CalLookUpRow,0),MATCH(I$1,CalLookUpColumn,0))</f>
        <v>4</v>
      </c>
    </row>
    <row r="3341" spans="1:9" x14ac:dyDescent="0.25">
      <c r="A3341" s="7">
        <v>2</v>
      </c>
      <c r="B3341" s="8">
        <v>43818</v>
      </c>
      <c r="C3341" s="9" t="s">
        <v>3</v>
      </c>
      <c r="D3341" s="10">
        <v>80.429999999999993</v>
      </c>
      <c r="E3341" s="10">
        <v>0</v>
      </c>
      <c r="F3341" t="str">
        <f>VLOOKUP(A3341,StoreLookup,2,FALSE)</f>
        <v>Store#2</v>
      </c>
      <c r="G3341">
        <f>INDEX(CalLookUpTable,MATCH($B3341,CalLookUpRow,0),MATCH(G$1,CalLookUpColumn,0))</f>
        <v>2019</v>
      </c>
      <c r="H3341">
        <f>INDEX(CalLookUpTable,MATCH($B3341,CalLookUpRow,0),MATCH(H$1,CalLookUpColumn,0))</f>
        <v>12</v>
      </c>
      <c r="I3341">
        <f>INDEX(CalLookUpTable,MATCH($B3341,CalLookUpRow,0),MATCH(I$1,CalLookUpColumn,0))</f>
        <v>4</v>
      </c>
    </row>
    <row r="3342" spans="1:9" x14ac:dyDescent="0.25">
      <c r="A3342" s="7">
        <v>2</v>
      </c>
      <c r="B3342" s="8">
        <v>43819</v>
      </c>
      <c r="C3342" s="9" t="s">
        <v>4</v>
      </c>
      <c r="D3342" s="10">
        <v>2693.2710000000002</v>
      </c>
      <c r="E3342" s="10">
        <v>2451.4559999999997</v>
      </c>
      <c r="F3342" t="str">
        <f>VLOOKUP(A3342,StoreLookup,2,FALSE)</f>
        <v>Store#2</v>
      </c>
      <c r="G3342">
        <f>INDEX(CalLookUpTable,MATCH($B3342,CalLookUpRow,0),MATCH(G$1,CalLookUpColumn,0))</f>
        <v>2019</v>
      </c>
      <c r="H3342">
        <f>INDEX(CalLookUpTable,MATCH($B3342,CalLookUpRow,0),MATCH(H$1,CalLookUpColumn,0))</f>
        <v>12</v>
      </c>
      <c r="I3342">
        <f>INDEX(CalLookUpTable,MATCH($B3342,CalLookUpRow,0),MATCH(I$1,CalLookUpColumn,0))</f>
        <v>4</v>
      </c>
    </row>
    <row r="3343" spans="1:9" x14ac:dyDescent="0.25">
      <c r="A3343" s="7">
        <v>2</v>
      </c>
      <c r="B3343" s="8">
        <v>43819</v>
      </c>
      <c r="C3343" s="9" t="s">
        <v>6</v>
      </c>
      <c r="D3343" s="10">
        <v>816.19999999999993</v>
      </c>
      <c r="E3343" s="10">
        <v>413.959</v>
      </c>
      <c r="F3343" t="str">
        <f>VLOOKUP(A3343,StoreLookup,2,FALSE)</f>
        <v>Store#2</v>
      </c>
      <c r="G3343">
        <f>INDEX(CalLookUpTable,MATCH($B3343,CalLookUpRow,0),MATCH(G$1,CalLookUpColumn,0))</f>
        <v>2019</v>
      </c>
      <c r="H3343">
        <f>INDEX(CalLookUpTable,MATCH($B3343,CalLookUpRow,0),MATCH(H$1,CalLookUpColumn,0))</f>
        <v>12</v>
      </c>
      <c r="I3343">
        <f>INDEX(CalLookUpTable,MATCH($B3343,CalLookUpRow,0),MATCH(I$1,CalLookUpColumn,0))</f>
        <v>4</v>
      </c>
    </row>
    <row r="3344" spans="1:9" x14ac:dyDescent="0.25">
      <c r="A3344" s="7">
        <v>2</v>
      </c>
      <c r="B3344" s="8">
        <v>43819</v>
      </c>
      <c r="C3344" s="9" t="s">
        <v>3</v>
      </c>
      <c r="D3344" s="10">
        <v>212.65299999999999</v>
      </c>
      <c r="E3344" s="10">
        <v>0</v>
      </c>
      <c r="F3344" t="str">
        <f>VLOOKUP(A3344,StoreLookup,2,FALSE)</f>
        <v>Store#2</v>
      </c>
      <c r="G3344">
        <f>INDEX(CalLookUpTable,MATCH($B3344,CalLookUpRow,0),MATCH(G$1,CalLookUpColumn,0))</f>
        <v>2019</v>
      </c>
      <c r="H3344">
        <f>INDEX(CalLookUpTable,MATCH($B3344,CalLookUpRow,0),MATCH(H$1,CalLookUpColumn,0))</f>
        <v>12</v>
      </c>
      <c r="I3344">
        <f>INDEX(CalLookUpTable,MATCH($B3344,CalLookUpRow,0),MATCH(I$1,CalLookUpColumn,0))</f>
        <v>4</v>
      </c>
    </row>
    <row r="3345" spans="1:9" x14ac:dyDescent="0.25">
      <c r="A3345" s="7">
        <v>2</v>
      </c>
      <c r="B3345" s="8">
        <v>43819</v>
      </c>
      <c r="C3345" s="9" t="s">
        <v>5</v>
      </c>
      <c r="D3345" s="10">
        <v>1548.2039999999997</v>
      </c>
      <c r="E3345" s="10">
        <v>1160.5089999999998</v>
      </c>
      <c r="F3345" t="str">
        <f>VLOOKUP(A3345,StoreLookup,2,FALSE)</f>
        <v>Store#2</v>
      </c>
      <c r="G3345">
        <f>INDEX(CalLookUpTable,MATCH($B3345,CalLookUpRow,0),MATCH(G$1,CalLookUpColumn,0))</f>
        <v>2019</v>
      </c>
      <c r="H3345">
        <f>INDEX(CalLookUpTable,MATCH($B3345,CalLookUpRow,0),MATCH(H$1,CalLookUpColumn,0))</f>
        <v>12</v>
      </c>
      <c r="I3345">
        <f>INDEX(CalLookUpTable,MATCH($B3345,CalLookUpRow,0),MATCH(I$1,CalLookUpColumn,0))</f>
        <v>4</v>
      </c>
    </row>
    <row r="3346" spans="1:9" x14ac:dyDescent="0.25">
      <c r="A3346" s="7">
        <v>2</v>
      </c>
      <c r="B3346" s="8">
        <v>43820</v>
      </c>
      <c r="C3346" s="9" t="s">
        <v>6</v>
      </c>
      <c r="D3346" s="10">
        <v>528.654</v>
      </c>
      <c r="E3346" s="10">
        <v>593.39</v>
      </c>
      <c r="F3346" t="str">
        <f>VLOOKUP(A3346,StoreLookup,2,FALSE)</f>
        <v>Store#2</v>
      </c>
      <c r="G3346">
        <f>INDEX(CalLookUpTable,MATCH($B3346,CalLookUpRow,0),MATCH(G$1,CalLookUpColumn,0))</f>
        <v>2019</v>
      </c>
      <c r="H3346">
        <f>INDEX(CalLookUpTable,MATCH($B3346,CalLookUpRow,0),MATCH(H$1,CalLookUpColumn,0))</f>
        <v>12</v>
      </c>
      <c r="I3346">
        <f>INDEX(CalLookUpTable,MATCH($B3346,CalLookUpRow,0),MATCH(I$1,CalLookUpColumn,0))</f>
        <v>4</v>
      </c>
    </row>
    <row r="3347" spans="1:9" x14ac:dyDescent="0.25">
      <c r="A3347" s="7">
        <v>2</v>
      </c>
      <c r="B3347" s="8">
        <v>43820</v>
      </c>
      <c r="C3347" s="9" t="s">
        <v>5</v>
      </c>
      <c r="D3347" s="10">
        <v>1259.8039999999999</v>
      </c>
      <c r="E3347" s="10">
        <v>891.17699999999991</v>
      </c>
      <c r="F3347" t="str">
        <f>VLOOKUP(A3347,StoreLookup,2,FALSE)</f>
        <v>Store#2</v>
      </c>
      <c r="G3347">
        <f>INDEX(CalLookUpTable,MATCH($B3347,CalLookUpRow,0),MATCH(G$1,CalLookUpColumn,0))</f>
        <v>2019</v>
      </c>
      <c r="H3347">
        <f>INDEX(CalLookUpTable,MATCH($B3347,CalLookUpRow,0),MATCH(H$1,CalLookUpColumn,0))</f>
        <v>12</v>
      </c>
      <c r="I3347">
        <f>INDEX(CalLookUpTable,MATCH($B3347,CalLookUpRow,0),MATCH(I$1,CalLookUpColumn,0))</f>
        <v>4</v>
      </c>
    </row>
    <row r="3348" spans="1:9" x14ac:dyDescent="0.25">
      <c r="A3348" s="7">
        <v>2</v>
      </c>
      <c r="B3348" s="8">
        <v>43820</v>
      </c>
      <c r="C3348" s="9" t="s">
        <v>4</v>
      </c>
      <c r="D3348" s="10">
        <v>1851.0589999999997</v>
      </c>
      <c r="E3348" s="10">
        <v>2102.0229999999997</v>
      </c>
      <c r="F3348" t="str">
        <f>VLOOKUP(A3348,StoreLookup,2,FALSE)</f>
        <v>Store#2</v>
      </c>
      <c r="G3348">
        <f>INDEX(CalLookUpTable,MATCH($B3348,CalLookUpRow,0),MATCH(G$1,CalLookUpColumn,0))</f>
        <v>2019</v>
      </c>
      <c r="H3348">
        <f>INDEX(CalLookUpTable,MATCH($B3348,CalLookUpRow,0),MATCH(H$1,CalLookUpColumn,0))</f>
        <v>12</v>
      </c>
      <c r="I3348">
        <f>INDEX(CalLookUpTable,MATCH($B3348,CalLookUpRow,0),MATCH(I$1,CalLookUpColumn,0))</f>
        <v>4</v>
      </c>
    </row>
    <row r="3349" spans="1:9" x14ac:dyDescent="0.25">
      <c r="A3349" s="7">
        <v>2</v>
      </c>
      <c r="B3349" s="8">
        <v>43820</v>
      </c>
      <c r="C3349" s="9" t="s">
        <v>3</v>
      </c>
      <c r="D3349" s="10">
        <v>290.178</v>
      </c>
      <c r="E3349" s="10">
        <v>6.9019999999999992</v>
      </c>
      <c r="F3349" t="str">
        <f>VLOOKUP(A3349,StoreLookup,2,FALSE)</f>
        <v>Store#2</v>
      </c>
      <c r="G3349">
        <f>INDEX(CalLookUpTable,MATCH($B3349,CalLookUpRow,0),MATCH(G$1,CalLookUpColumn,0))</f>
        <v>2019</v>
      </c>
      <c r="H3349">
        <f>INDEX(CalLookUpTable,MATCH($B3349,CalLookUpRow,0),MATCH(H$1,CalLookUpColumn,0))</f>
        <v>12</v>
      </c>
      <c r="I3349">
        <f>INDEX(CalLookUpTable,MATCH($B3349,CalLookUpRow,0),MATCH(I$1,CalLookUpColumn,0))</f>
        <v>4</v>
      </c>
    </row>
    <row r="3350" spans="1:9" x14ac:dyDescent="0.25">
      <c r="A3350" s="7">
        <v>2</v>
      </c>
      <c r="B3350" s="8">
        <v>43821</v>
      </c>
      <c r="C3350" s="9" t="s">
        <v>4</v>
      </c>
      <c r="D3350" s="10">
        <v>1514.9679999999998</v>
      </c>
      <c r="E3350" s="10">
        <v>1050.9379999999999</v>
      </c>
      <c r="F3350" t="str">
        <f>VLOOKUP(A3350,StoreLookup,2,FALSE)</f>
        <v>Store#2</v>
      </c>
      <c r="G3350">
        <f>INDEX(CalLookUpTable,MATCH($B3350,CalLookUpRow,0),MATCH(G$1,CalLookUpColumn,0))</f>
        <v>2019</v>
      </c>
      <c r="H3350">
        <f>INDEX(CalLookUpTable,MATCH($B3350,CalLookUpRow,0),MATCH(H$1,CalLookUpColumn,0))</f>
        <v>12</v>
      </c>
      <c r="I3350">
        <f>INDEX(CalLookUpTable,MATCH($B3350,CalLookUpRow,0),MATCH(I$1,CalLookUpColumn,0))</f>
        <v>4</v>
      </c>
    </row>
    <row r="3351" spans="1:9" x14ac:dyDescent="0.25">
      <c r="A3351" s="7">
        <v>2</v>
      </c>
      <c r="B3351" s="8">
        <v>43821</v>
      </c>
      <c r="C3351" s="9" t="s">
        <v>6</v>
      </c>
      <c r="D3351" s="10">
        <v>312.06700000000001</v>
      </c>
      <c r="E3351" s="10">
        <v>102.431</v>
      </c>
      <c r="F3351" t="str">
        <f>VLOOKUP(A3351,StoreLookup,2,FALSE)</f>
        <v>Store#2</v>
      </c>
      <c r="G3351">
        <f>INDEX(CalLookUpTable,MATCH($B3351,CalLookUpRow,0),MATCH(G$1,CalLookUpColumn,0))</f>
        <v>2019</v>
      </c>
      <c r="H3351">
        <f>INDEX(CalLookUpTable,MATCH($B3351,CalLookUpRow,0),MATCH(H$1,CalLookUpColumn,0))</f>
        <v>12</v>
      </c>
      <c r="I3351">
        <f>INDEX(CalLookUpTable,MATCH($B3351,CalLookUpRow,0),MATCH(I$1,CalLookUpColumn,0))</f>
        <v>4</v>
      </c>
    </row>
    <row r="3352" spans="1:9" x14ac:dyDescent="0.25">
      <c r="A3352" s="7">
        <v>2</v>
      </c>
      <c r="B3352" s="8">
        <v>43821</v>
      </c>
      <c r="C3352" s="9" t="s">
        <v>5</v>
      </c>
      <c r="D3352" s="10">
        <v>803.6629999999999</v>
      </c>
      <c r="E3352" s="10">
        <v>451.32499999999999</v>
      </c>
      <c r="F3352" t="str">
        <f>VLOOKUP(A3352,StoreLookup,2,FALSE)</f>
        <v>Store#2</v>
      </c>
      <c r="G3352">
        <f>INDEX(CalLookUpTable,MATCH($B3352,CalLookUpRow,0),MATCH(G$1,CalLookUpColumn,0))</f>
        <v>2019</v>
      </c>
      <c r="H3352">
        <f>INDEX(CalLookUpTable,MATCH($B3352,CalLookUpRow,0),MATCH(H$1,CalLookUpColumn,0))</f>
        <v>12</v>
      </c>
      <c r="I3352">
        <f>INDEX(CalLookUpTable,MATCH($B3352,CalLookUpRow,0),MATCH(I$1,CalLookUpColumn,0))</f>
        <v>4</v>
      </c>
    </row>
    <row r="3353" spans="1:9" x14ac:dyDescent="0.25">
      <c r="A3353" s="7">
        <v>2</v>
      </c>
      <c r="B3353" s="8">
        <v>43821</v>
      </c>
      <c r="C3353" s="9" t="s">
        <v>3</v>
      </c>
      <c r="D3353" s="10">
        <v>0</v>
      </c>
      <c r="E3353" s="10">
        <v>10.542</v>
      </c>
      <c r="F3353" t="str">
        <f>VLOOKUP(A3353,StoreLookup,2,FALSE)</f>
        <v>Store#2</v>
      </c>
      <c r="G3353">
        <f>INDEX(CalLookUpTable,MATCH($B3353,CalLookUpRow,0),MATCH(G$1,CalLookUpColumn,0))</f>
        <v>2019</v>
      </c>
      <c r="H3353">
        <f>INDEX(CalLookUpTable,MATCH($B3353,CalLookUpRow,0),MATCH(H$1,CalLookUpColumn,0))</f>
        <v>12</v>
      </c>
      <c r="I3353">
        <f>INDEX(CalLookUpTable,MATCH($B3353,CalLookUpRow,0),MATCH(I$1,CalLookUpColumn,0))</f>
        <v>4</v>
      </c>
    </row>
    <row r="3354" spans="1:9" x14ac:dyDescent="0.25">
      <c r="A3354" s="7">
        <v>2</v>
      </c>
      <c r="B3354" s="8">
        <v>43822</v>
      </c>
      <c r="C3354" s="9" t="s">
        <v>6</v>
      </c>
      <c r="D3354" s="10">
        <v>379.21799999999996</v>
      </c>
      <c r="E3354" s="10">
        <v>267.97399999999999</v>
      </c>
      <c r="F3354" t="str">
        <f>VLOOKUP(A3354,StoreLookup,2,FALSE)</f>
        <v>Store#2</v>
      </c>
      <c r="G3354">
        <f>INDEX(CalLookUpTable,MATCH($B3354,CalLookUpRow,0),MATCH(G$1,CalLookUpColumn,0))</f>
        <v>2019</v>
      </c>
      <c r="H3354">
        <f>INDEX(CalLookUpTable,MATCH($B3354,CalLookUpRow,0),MATCH(H$1,CalLookUpColumn,0))</f>
        <v>12</v>
      </c>
      <c r="I3354">
        <f>INDEX(CalLookUpTable,MATCH($B3354,CalLookUpRow,0),MATCH(I$1,CalLookUpColumn,0))</f>
        <v>5</v>
      </c>
    </row>
    <row r="3355" spans="1:9" x14ac:dyDescent="0.25">
      <c r="A3355" s="7">
        <v>2</v>
      </c>
      <c r="B3355" s="8">
        <v>43822</v>
      </c>
      <c r="C3355" s="9" t="s">
        <v>4</v>
      </c>
      <c r="D3355" s="10">
        <v>2312.3939999999998</v>
      </c>
      <c r="E3355" s="10">
        <v>1928.213</v>
      </c>
      <c r="F3355" t="str">
        <f>VLOOKUP(A3355,StoreLookup,2,FALSE)</f>
        <v>Store#2</v>
      </c>
      <c r="G3355">
        <f>INDEX(CalLookUpTable,MATCH($B3355,CalLookUpRow,0),MATCH(G$1,CalLookUpColumn,0))</f>
        <v>2019</v>
      </c>
      <c r="H3355">
        <f>INDEX(CalLookUpTable,MATCH($B3355,CalLookUpRow,0),MATCH(H$1,CalLookUpColumn,0))</f>
        <v>12</v>
      </c>
      <c r="I3355">
        <f>INDEX(CalLookUpTable,MATCH($B3355,CalLookUpRow,0),MATCH(I$1,CalLookUpColumn,0))</f>
        <v>5</v>
      </c>
    </row>
    <row r="3356" spans="1:9" x14ac:dyDescent="0.25">
      <c r="A3356" s="7">
        <v>2</v>
      </c>
      <c r="B3356" s="8">
        <v>43822</v>
      </c>
      <c r="C3356" s="9" t="s">
        <v>3</v>
      </c>
      <c r="D3356" s="10">
        <v>24.065999999999999</v>
      </c>
      <c r="E3356" s="10">
        <v>34.278999999999996</v>
      </c>
      <c r="F3356" t="str">
        <f>VLOOKUP(A3356,StoreLookup,2,FALSE)</f>
        <v>Store#2</v>
      </c>
      <c r="G3356">
        <f>INDEX(CalLookUpTable,MATCH($B3356,CalLookUpRow,0),MATCH(G$1,CalLookUpColumn,0))</f>
        <v>2019</v>
      </c>
      <c r="H3356">
        <f>INDEX(CalLookUpTable,MATCH($B3356,CalLookUpRow,0),MATCH(H$1,CalLookUpColumn,0))</f>
        <v>12</v>
      </c>
      <c r="I3356">
        <f>INDEX(CalLookUpTable,MATCH($B3356,CalLookUpRow,0),MATCH(I$1,CalLookUpColumn,0))</f>
        <v>5</v>
      </c>
    </row>
    <row r="3357" spans="1:9" x14ac:dyDescent="0.25">
      <c r="A3357" s="7">
        <v>2</v>
      </c>
      <c r="B3357" s="8">
        <v>43822</v>
      </c>
      <c r="C3357" s="9" t="s">
        <v>5</v>
      </c>
      <c r="D3357" s="10">
        <v>1331.5819999999999</v>
      </c>
      <c r="E3357" s="10">
        <v>548.68799999999999</v>
      </c>
      <c r="F3357" t="str">
        <f>VLOOKUP(A3357,StoreLookup,2,FALSE)</f>
        <v>Store#2</v>
      </c>
      <c r="G3357">
        <f>INDEX(CalLookUpTable,MATCH($B3357,CalLookUpRow,0),MATCH(G$1,CalLookUpColumn,0))</f>
        <v>2019</v>
      </c>
      <c r="H3357">
        <f>INDEX(CalLookUpTable,MATCH($B3357,CalLookUpRow,0),MATCH(H$1,CalLookUpColumn,0))</f>
        <v>12</v>
      </c>
      <c r="I3357">
        <f>INDEX(CalLookUpTable,MATCH($B3357,CalLookUpRow,0),MATCH(I$1,CalLookUpColumn,0))</f>
        <v>5</v>
      </c>
    </row>
    <row r="3358" spans="1:9" x14ac:dyDescent="0.25">
      <c r="A3358" s="7">
        <v>2</v>
      </c>
      <c r="B3358" s="8">
        <v>43823</v>
      </c>
      <c r="C3358" s="9" t="s">
        <v>5</v>
      </c>
      <c r="D3358" s="10">
        <v>719.44599999999991</v>
      </c>
      <c r="E3358" s="10">
        <v>0</v>
      </c>
      <c r="F3358" t="str">
        <f>VLOOKUP(A3358,StoreLookup,2,FALSE)</f>
        <v>Store#2</v>
      </c>
      <c r="G3358">
        <f>INDEX(CalLookUpTable,MATCH($B3358,CalLookUpRow,0),MATCH(G$1,CalLookUpColumn,0))</f>
        <v>2019</v>
      </c>
      <c r="H3358">
        <f>INDEX(CalLookUpTable,MATCH($B3358,CalLookUpRow,0),MATCH(H$1,CalLookUpColumn,0))</f>
        <v>12</v>
      </c>
      <c r="I3358">
        <f>INDEX(CalLookUpTable,MATCH($B3358,CalLookUpRow,0),MATCH(I$1,CalLookUpColumn,0))</f>
        <v>5</v>
      </c>
    </row>
    <row r="3359" spans="1:9" x14ac:dyDescent="0.25">
      <c r="A3359" s="7">
        <v>2</v>
      </c>
      <c r="B3359" s="8">
        <v>43823</v>
      </c>
      <c r="C3359" s="9" t="s">
        <v>6</v>
      </c>
      <c r="D3359" s="10">
        <v>227.059</v>
      </c>
      <c r="E3359" s="10">
        <v>0</v>
      </c>
      <c r="F3359" t="str">
        <f>VLOOKUP(A3359,StoreLookup,2,FALSE)</f>
        <v>Store#2</v>
      </c>
      <c r="G3359">
        <f>INDEX(CalLookUpTable,MATCH($B3359,CalLookUpRow,0),MATCH(G$1,CalLookUpColumn,0))</f>
        <v>2019</v>
      </c>
      <c r="H3359">
        <f>INDEX(CalLookUpTable,MATCH($B3359,CalLookUpRow,0),MATCH(H$1,CalLookUpColumn,0))</f>
        <v>12</v>
      </c>
      <c r="I3359">
        <f>INDEX(CalLookUpTable,MATCH($B3359,CalLookUpRow,0),MATCH(I$1,CalLookUpColumn,0))</f>
        <v>5</v>
      </c>
    </row>
    <row r="3360" spans="1:9" x14ac:dyDescent="0.25">
      <c r="A3360" s="7">
        <v>2</v>
      </c>
      <c r="B3360" s="8">
        <v>43823</v>
      </c>
      <c r="C3360" s="9" t="s">
        <v>4</v>
      </c>
      <c r="D3360" s="10">
        <v>1627.4089999999999</v>
      </c>
      <c r="E3360" s="10">
        <v>0</v>
      </c>
      <c r="F3360" t="str">
        <f>VLOOKUP(A3360,StoreLookup,2,FALSE)</f>
        <v>Store#2</v>
      </c>
      <c r="G3360">
        <f>INDEX(CalLookUpTable,MATCH($B3360,CalLookUpRow,0),MATCH(G$1,CalLookUpColumn,0))</f>
        <v>2019</v>
      </c>
      <c r="H3360">
        <f>INDEX(CalLookUpTable,MATCH($B3360,CalLookUpRow,0),MATCH(H$1,CalLookUpColumn,0))</f>
        <v>12</v>
      </c>
      <c r="I3360">
        <f>INDEX(CalLookUpTable,MATCH($B3360,CalLookUpRow,0),MATCH(I$1,CalLookUpColumn,0))</f>
        <v>5</v>
      </c>
    </row>
    <row r="3361" spans="1:9" x14ac:dyDescent="0.25">
      <c r="A3361" s="7">
        <v>2</v>
      </c>
      <c r="B3361" s="8">
        <v>43823</v>
      </c>
      <c r="C3361" s="9" t="s">
        <v>3</v>
      </c>
      <c r="D3361" s="10">
        <v>139.39099999999999</v>
      </c>
      <c r="E3361" s="10">
        <v>0</v>
      </c>
      <c r="F3361" t="str">
        <f>VLOOKUP(A3361,StoreLookup,2,FALSE)</f>
        <v>Store#2</v>
      </c>
      <c r="G3361">
        <f>INDEX(CalLookUpTable,MATCH($B3361,CalLookUpRow,0),MATCH(G$1,CalLookUpColumn,0))</f>
        <v>2019</v>
      </c>
      <c r="H3361">
        <f>INDEX(CalLookUpTable,MATCH($B3361,CalLookUpRow,0),MATCH(H$1,CalLookUpColumn,0))</f>
        <v>12</v>
      </c>
      <c r="I3361">
        <f>INDEX(CalLookUpTable,MATCH($B3361,CalLookUpRow,0),MATCH(I$1,CalLookUpColumn,0))</f>
        <v>5</v>
      </c>
    </row>
    <row r="3362" spans="1:9" x14ac:dyDescent="0.25">
      <c r="A3362" s="7">
        <v>2</v>
      </c>
      <c r="B3362" s="8">
        <v>43824</v>
      </c>
      <c r="C3362" s="9" t="s">
        <v>4</v>
      </c>
      <c r="D3362" s="10">
        <v>0</v>
      </c>
      <c r="E3362" s="10">
        <v>2376.8149999999996</v>
      </c>
      <c r="F3362" t="str">
        <f>VLOOKUP(A3362,StoreLookup,2,FALSE)</f>
        <v>Store#2</v>
      </c>
      <c r="G3362">
        <f>INDEX(CalLookUpTable,MATCH($B3362,CalLookUpRow,0),MATCH(G$1,CalLookUpColumn,0))</f>
        <v>2019</v>
      </c>
      <c r="H3362">
        <f>INDEX(CalLookUpTable,MATCH($B3362,CalLookUpRow,0),MATCH(H$1,CalLookUpColumn,0))</f>
        <v>12</v>
      </c>
      <c r="I3362">
        <f>INDEX(CalLookUpTable,MATCH($B3362,CalLookUpRow,0),MATCH(I$1,CalLookUpColumn,0))</f>
        <v>5</v>
      </c>
    </row>
    <row r="3363" spans="1:9" x14ac:dyDescent="0.25">
      <c r="A3363" s="7">
        <v>2</v>
      </c>
      <c r="B3363" s="8">
        <v>43824</v>
      </c>
      <c r="C3363" s="9" t="s">
        <v>6</v>
      </c>
      <c r="D3363" s="10">
        <v>0</v>
      </c>
      <c r="E3363" s="10">
        <v>255.82199999999997</v>
      </c>
      <c r="F3363" t="str">
        <f>VLOOKUP(A3363,StoreLookup,2,FALSE)</f>
        <v>Store#2</v>
      </c>
      <c r="G3363">
        <f>INDEX(CalLookUpTable,MATCH($B3363,CalLookUpRow,0),MATCH(G$1,CalLookUpColumn,0))</f>
        <v>2019</v>
      </c>
      <c r="H3363">
        <f>INDEX(CalLookUpTable,MATCH($B3363,CalLookUpRow,0),MATCH(H$1,CalLookUpColumn,0))</f>
        <v>12</v>
      </c>
      <c r="I3363">
        <f>INDEX(CalLookUpTable,MATCH($B3363,CalLookUpRow,0),MATCH(I$1,CalLookUpColumn,0))</f>
        <v>5</v>
      </c>
    </row>
    <row r="3364" spans="1:9" x14ac:dyDescent="0.25">
      <c r="A3364" s="7">
        <v>2</v>
      </c>
      <c r="B3364" s="8">
        <v>43824</v>
      </c>
      <c r="C3364" s="9" t="s">
        <v>3</v>
      </c>
      <c r="D3364" s="10">
        <v>0</v>
      </c>
      <c r="E3364" s="10">
        <v>0</v>
      </c>
      <c r="F3364" t="str">
        <f>VLOOKUP(A3364,StoreLookup,2,FALSE)</f>
        <v>Store#2</v>
      </c>
      <c r="G3364">
        <f>INDEX(CalLookUpTable,MATCH($B3364,CalLookUpRow,0),MATCH(G$1,CalLookUpColumn,0))</f>
        <v>2019</v>
      </c>
      <c r="H3364">
        <f>INDEX(CalLookUpTable,MATCH($B3364,CalLookUpRow,0),MATCH(H$1,CalLookUpColumn,0))</f>
        <v>12</v>
      </c>
      <c r="I3364">
        <f>INDEX(CalLookUpTable,MATCH($B3364,CalLookUpRow,0),MATCH(I$1,CalLookUpColumn,0))</f>
        <v>5</v>
      </c>
    </row>
    <row r="3365" spans="1:9" x14ac:dyDescent="0.25">
      <c r="A3365" s="7">
        <v>2</v>
      </c>
      <c r="B3365" s="8">
        <v>43824</v>
      </c>
      <c r="C3365" s="9" t="s">
        <v>5</v>
      </c>
      <c r="D3365" s="10">
        <v>0</v>
      </c>
      <c r="E3365" s="10">
        <v>1031.5409999999999</v>
      </c>
      <c r="F3365" t="str">
        <f>VLOOKUP(A3365,StoreLookup,2,FALSE)</f>
        <v>Store#2</v>
      </c>
      <c r="G3365">
        <f>INDEX(CalLookUpTable,MATCH($B3365,CalLookUpRow,0),MATCH(G$1,CalLookUpColumn,0))</f>
        <v>2019</v>
      </c>
      <c r="H3365">
        <f>INDEX(CalLookUpTable,MATCH($B3365,CalLookUpRow,0),MATCH(H$1,CalLookUpColumn,0))</f>
        <v>12</v>
      </c>
      <c r="I3365">
        <f>INDEX(CalLookUpTable,MATCH($B3365,CalLookUpRow,0),MATCH(I$1,CalLookUpColumn,0))</f>
        <v>5</v>
      </c>
    </row>
    <row r="3366" spans="1:9" x14ac:dyDescent="0.25">
      <c r="A3366" s="7">
        <v>2</v>
      </c>
      <c r="B3366" s="8">
        <v>43825</v>
      </c>
      <c r="C3366" s="9" t="s">
        <v>4</v>
      </c>
      <c r="D3366" s="10">
        <v>2390.8359999999998</v>
      </c>
      <c r="E3366" s="10">
        <v>2213.0009999999997</v>
      </c>
      <c r="F3366" t="str">
        <f>VLOOKUP(A3366,StoreLookup,2,FALSE)</f>
        <v>Store#2</v>
      </c>
      <c r="G3366">
        <f>INDEX(CalLookUpTable,MATCH($B3366,CalLookUpRow,0),MATCH(G$1,CalLookUpColumn,0))</f>
        <v>2019</v>
      </c>
      <c r="H3366">
        <f>INDEX(CalLookUpTable,MATCH($B3366,CalLookUpRow,0),MATCH(H$1,CalLookUpColumn,0))</f>
        <v>12</v>
      </c>
      <c r="I3366">
        <f>INDEX(CalLookUpTable,MATCH($B3366,CalLookUpRow,0),MATCH(I$1,CalLookUpColumn,0))</f>
        <v>5</v>
      </c>
    </row>
    <row r="3367" spans="1:9" x14ac:dyDescent="0.25">
      <c r="A3367" s="7">
        <v>2</v>
      </c>
      <c r="B3367" s="8">
        <v>43825</v>
      </c>
      <c r="C3367" s="9" t="s">
        <v>6</v>
      </c>
      <c r="D3367" s="10">
        <v>598.27599999999995</v>
      </c>
      <c r="E3367" s="10">
        <v>248.40199999999999</v>
      </c>
      <c r="F3367" t="str">
        <f>VLOOKUP(A3367,StoreLookup,2,FALSE)</f>
        <v>Store#2</v>
      </c>
      <c r="G3367">
        <f>INDEX(CalLookUpTable,MATCH($B3367,CalLookUpRow,0),MATCH(G$1,CalLookUpColumn,0))</f>
        <v>2019</v>
      </c>
      <c r="H3367">
        <f>INDEX(CalLookUpTable,MATCH($B3367,CalLookUpRow,0),MATCH(H$1,CalLookUpColumn,0))</f>
        <v>12</v>
      </c>
      <c r="I3367">
        <f>INDEX(CalLookUpTable,MATCH($B3367,CalLookUpRow,0),MATCH(I$1,CalLookUpColumn,0))</f>
        <v>5</v>
      </c>
    </row>
    <row r="3368" spans="1:9" x14ac:dyDescent="0.25">
      <c r="A3368" s="7">
        <v>2</v>
      </c>
      <c r="B3368" s="8">
        <v>43825</v>
      </c>
      <c r="C3368" s="9" t="s">
        <v>5</v>
      </c>
      <c r="D3368" s="10">
        <v>1159.4099999999999</v>
      </c>
      <c r="E3368" s="10">
        <v>848.77099999999996</v>
      </c>
      <c r="F3368" t="str">
        <f>VLOOKUP(A3368,StoreLookup,2,FALSE)</f>
        <v>Store#2</v>
      </c>
      <c r="G3368">
        <f>INDEX(CalLookUpTable,MATCH($B3368,CalLookUpRow,0),MATCH(G$1,CalLookUpColumn,0))</f>
        <v>2019</v>
      </c>
      <c r="H3368">
        <f>INDEX(CalLookUpTable,MATCH($B3368,CalLookUpRow,0),MATCH(H$1,CalLookUpColumn,0))</f>
        <v>12</v>
      </c>
      <c r="I3368">
        <f>INDEX(CalLookUpTable,MATCH($B3368,CalLookUpRow,0),MATCH(I$1,CalLookUpColumn,0))</f>
        <v>5</v>
      </c>
    </row>
    <row r="3369" spans="1:9" x14ac:dyDescent="0.25">
      <c r="A3369" s="7">
        <v>2</v>
      </c>
      <c r="B3369" s="8">
        <v>43825</v>
      </c>
      <c r="C3369" s="9" t="s">
        <v>3</v>
      </c>
      <c r="D3369" s="10">
        <v>210.44799999999998</v>
      </c>
      <c r="E3369" s="10">
        <v>0</v>
      </c>
      <c r="F3369" t="str">
        <f>VLOOKUP(A3369,StoreLookup,2,FALSE)</f>
        <v>Store#2</v>
      </c>
      <c r="G3369">
        <f>INDEX(CalLookUpTable,MATCH($B3369,CalLookUpRow,0),MATCH(G$1,CalLookUpColumn,0))</f>
        <v>2019</v>
      </c>
      <c r="H3369">
        <f>INDEX(CalLookUpTable,MATCH($B3369,CalLookUpRow,0),MATCH(H$1,CalLookUpColumn,0))</f>
        <v>12</v>
      </c>
      <c r="I3369">
        <f>INDEX(CalLookUpTable,MATCH($B3369,CalLookUpRow,0),MATCH(I$1,CalLookUpColumn,0))</f>
        <v>5</v>
      </c>
    </row>
    <row r="3370" spans="1:9" x14ac:dyDescent="0.25">
      <c r="A3370" s="7">
        <v>2</v>
      </c>
      <c r="B3370" s="8">
        <v>43826</v>
      </c>
      <c r="C3370" s="9" t="s">
        <v>4</v>
      </c>
      <c r="D3370" s="10">
        <v>2393.944</v>
      </c>
      <c r="E3370" s="10">
        <v>2526.9089999999997</v>
      </c>
      <c r="F3370" t="str">
        <f>VLOOKUP(A3370,StoreLookup,2,FALSE)</f>
        <v>Store#2</v>
      </c>
      <c r="G3370">
        <f>INDEX(CalLookUpTable,MATCH($B3370,CalLookUpRow,0),MATCH(G$1,CalLookUpColumn,0))</f>
        <v>2019</v>
      </c>
      <c r="H3370">
        <f>INDEX(CalLookUpTable,MATCH($B3370,CalLookUpRow,0),MATCH(H$1,CalLookUpColumn,0))</f>
        <v>12</v>
      </c>
      <c r="I3370">
        <f>INDEX(CalLookUpTable,MATCH($B3370,CalLookUpRow,0),MATCH(I$1,CalLookUpColumn,0))</f>
        <v>5</v>
      </c>
    </row>
    <row r="3371" spans="1:9" x14ac:dyDescent="0.25">
      <c r="A3371" s="7">
        <v>2</v>
      </c>
      <c r="B3371" s="8">
        <v>43826</v>
      </c>
      <c r="C3371" s="9" t="s">
        <v>6</v>
      </c>
      <c r="D3371" s="10">
        <v>676.99099999999999</v>
      </c>
      <c r="E3371" s="10">
        <v>407.666</v>
      </c>
      <c r="F3371" t="str">
        <f>VLOOKUP(A3371,StoreLookup,2,FALSE)</f>
        <v>Store#2</v>
      </c>
      <c r="G3371">
        <f>INDEX(CalLookUpTable,MATCH($B3371,CalLookUpRow,0),MATCH(G$1,CalLookUpColumn,0))</f>
        <v>2019</v>
      </c>
      <c r="H3371">
        <f>INDEX(CalLookUpTable,MATCH($B3371,CalLookUpRow,0),MATCH(H$1,CalLookUpColumn,0))</f>
        <v>12</v>
      </c>
      <c r="I3371">
        <f>INDEX(CalLookUpTable,MATCH($B3371,CalLookUpRow,0),MATCH(I$1,CalLookUpColumn,0))</f>
        <v>5</v>
      </c>
    </row>
    <row r="3372" spans="1:9" x14ac:dyDescent="0.25">
      <c r="A3372" s="7">
        <v>2</v>
      </c>
      <c r="B3372" s="8">
        <v>43826</v>
      </c>
      <c r="C3372" s="9" t="s">
        <v>5</v>
      </c>
      <c r="D3372" s="10">
        <v>1383.6129999999998</v>
      </c>
      <c r="E3372" s="10">
        <v>1072.4349999999999</v>
      </c>
      <c r="F3372" t="str">
        <f>VLOOKUP(A3372,StoreLookup,2,FALSE)</f>
        <v>Store#2</v>
      </c>
      <c r="G3372">
        <f>INDEX(CalLookUpTable,MATCH($B3372,CalLookUpRow,0),MATCH(G$1,CalLookUpColumn,0))</f>
        <v>2019</v>
      </c>
      <c r="H3372">
        <f>INDEX(CalLookUpTable,MATCH($B3372,CalLookUpRow,0),MATCH(H$1,CalLookUpColumn,0))</f>
        <v>12</v>
      </c>
      <c r="I3372">
        <f>INDEX(CalLookUpTable,MATCH($B3372,CalLookUpRow,0),MATCH(I$1,CalLookUpColumn,0))</f>
        <v>5</v>
      </c>
    </row>
    <row r="3373" spans="1:9" x14ac:dyDescent="0.25">
      <c r="A3373" s="7">
        <v>2</v>
      </c>
      <c r="B3373" s="8">
        <v>43826</v>
      </c>
      <c r="C3373" s="9" t="s">
        <v>3</v>
      </c>
      <c r="D3373" s="10">
        <v>0</v>
      </c>
      <c r="E3373" s="10">
        <v>0</v>
      </c>
      <c r="F3373" t="str">
        <f>VLOOKUP(A3373,StoreLookup,2,FALSE)</f>
        <v>Store#2</v>
      </c>
      <c r="G3373">
        <f>INDEX(CalLookUpTable,MATCH($B3373,CalLookUpRow,0),MATCH(G$1,CalLookUpColumn,0))</f>
        <v>2019</v>
      </c>
      <c r="H3373">
        <f>INDEX(CalLookUpTable,MATCH($B3373,CalLookUpRow,0),MATCH(H$1,CalLookUpColumn,0))</f>
        <v>12</v>
      </c>
      <c r="I3373">
        <f>INDEX(CalLookUpTable,MATCH($B3373,CalLookUpRow,0),MATCH(I$1,CalLookUpColumn,0))</f>
        <v>5</v>
      </c>
    </row>
    <row r="3374" spans="1:9" x14ac:dyDescent="0.25">
      <c r="A3374" s="7">
        <v>2</v>
      </c>
      <c r="B3374" s="8">
        <v>43827</v>
      </c>
      <c r="C3374" s="9" t="s">
        <v>6</v>
      </c>
      <c r="D3374" s="10">
        <v>706.32099999999991</v>
      </c>
      <c r="E3374" s="10">
        <v>491.24599999999992</v>
      </c>
      <c r="F3374" t="str">
        <f>VLOOKUP(A3374,StoreLookup,2,FALSE)</f>
        <v>Store#2</v>
      </c>
      <c r="G3374">
        <f>INDEX(CalLookUpTable,MATCH($B3374,CalLookUpRow,0),MATCH(G$1,CalLookUpColumn,0))</f>
        <v>2019</v>
      </c>
      <c r="H3374">
        <f>INDEX(CalLookUpTable,MATCH($B3374,CalLookUpRow,0),MATCH(H$1,CalLookUpColumn,0))</f>
        <v>12</v>
      </c>
      <c r="I3374">
        <f>INDEX(CalLookUpTable,MATCH($B3374,CalLookUpRow,0),MATCH(I$1,CalLookUpColumn,0))</f>
        <v>5</v>
      </c>
    </row>
    <row r="3375" spans="1:9" x14ac:dyDescent="0.25">
      <c r="A3375" s="7">
        <v>2</v>
      </c>
      <c r="B3375" s="8">
        <v>43827</v>
      </c>
      <c r="C3375" s="9" t="s">
        <v>5</v>
      </c>
      <c r="D3375" s="10">
        <v>1401.932</v>
      </c>
      <c r="E3375" s="10">
        <v>1258.0539999999999</v>
      </c>
      <c r="F3375" t="str">
        <f>VLOOKUP(A3375,StoreLookup,2,FALSE)</f>
        <v>Store#2</v>
      </c>
      <c r="G3375">
        <f>INDEX(CalLookUpTable,MATCH($B3375,CalLookUpRow,0),MATCH(G$1,CalLookUpColumn,0))</f>
        <v>2019</v>
      </c>
      <c r="H3375">
        <f>INDEX(CalLookUpTable,MATCH($B3375,CalLookUpRow,0),MATCH(H$1,CalLookUpColumn,0))</f>
        <v>12</v>
      </c>
      <c r="I3375">
        <f>INDEX(CalLookUpTable,MATCH($B3375,CalLookUpRow,0),MATCH(I$1,CalLookUpColumn,0))</f>
        <v>5</v>
      </c>
    </row>
    <row r="3376" spans="1:9" x14ac:dyDescent="0.25">
      <c r="A3376" s="7">
        <v>2</v>
      </c>
      <c r="B3376" s="8">
        <v>43827</v>
      </c>
      <c r="C3376" s="9" t="s">
        <v>4</v>
      </c>
      <c r="D3376" s="10">
        <v>1929.452</v>
      </c>
      <c r="E3376" s="10">
        <v>2126.9359999999997</v>
      </c>
      <c r="F3376" t="str">
        <f>VLOOKUP(A3376,StoreLookup,2,FALSE)</f>
        <v>Store#2</v>
      </c>
      <c r="G3376">
        <f>INDEX(CalLookUpTable,MATCH($B3376,CalLookUpRow,0),MATCH(G$1,CalLookUpColumn,0))</f>
        <v>2019</v>
      </c>
      <c r="H3376">
        <f>INDEX(CalLookUpTable,MATCH($B3376,CalLookUpRow,0),MATCH(H$1,CalLookUpColumn,0))</f>
        <v>12</v>
      </c>
      <c r="I3376">
        <f>INDEX(CalLookUpTable,MATCH($B3376,CalLookUpRow,0),MATCH(I$1,CalLookUpColumn,0))</f>
        <v>5</v>
      </c>
    </row>
    <row r="3377" spans="1:9" x14ac:dyDescent="0.25">
      <c r="A3377" s="7">
        <v>2</v>
      </c>
      <c r="B3377" s="8">
        <v>43827</v>
      </c>
      <c r="C3377" s="9" t="s">
        <v>3</v>
      </c>
      <c r="D3377" s="10">
        <v>559.2299999999999</v>
      </c>
      <c r="E3377" s="10">
        <v>41.747999999999998</v>
      </c>
      <c r="F3377" t="str">
        <f>VLOOKUP(A3377,StoreLookup,2,FALSE)</f>
        <v>Store#2</v>
      </c>
      <c r="G3377">
        <f>INDEX(CalLookUpTable,MATCH($B3377,CalLookUpRow,0),MATCH(G$1,CalLookUpColumn,0))</f>
        <v>2019</v>
      </c>
      <c r="H3377">
        <f>INDEX(CalLookUpTable,MATCH($B3377,CalLookUpRow,0),MATCH(H$1,CalLookUpColumn,0))</f>
        <v>12</v>
      </c>
      <c r="I3377">
        <f>INDEX(CalLookUpTable,MATCH($B3377,CalLookUpRow,0),MATCH(I$1,CalLookUpColumn,0))</f>
        <v>5</v>
      </c>
    </row>
    <row r="3378" spans="1:9" x14ac:dyDescent="0.25">
      <c r="A3378" s="7">
        <v>2</v>
      </c>
      <c r="B3378" s="8">
        <v>43828</v>
      </c>
      <c r="C3378" s="9" t="s">
        <v>5</v>
      </c>
      <c r="D3378" s="10">
        <v>906.70999999999992</v>
      </c>
      <c r="E3378" s="10">
        <v>471.33100000000002</v>
      </c>
      <c r="F3378" t="str">
        <f>VLOOKUP(A3378,StoreLookup,2,FALSE)</f>
        <v>Store#2</v>
      </c>
      <c r="G3378">
        <f>INDEX(CalLookUpTable,MATCH($B3378,CalLookUpRow,0),MATCH(G$1,CalLookUpColumn,0))</f>
        <v>2019</v>
      </c>
      <c r="H3378">
        <f>INDEX(CalLookUpTable,MATCH($B3378,CalLookUpRow,0),MATCH(H$1,CalLookUpColumn,0))</f>
        <v>12</v>
      </c>
      <c r="I3378">
        <f>INDEX(CalLookUpTable,MATCH($B3378,CalLookUpRow,0),MATCH(I$1,CalLookUpColumn,0))</f>
        <v>5</v>
      </c>
    </row>
    <row r="3379" spans="1:9" x14ac:dyDescent="0.25">
      <c r="A3379" s="7">
        <v>2</v>
      </c>
      <c r="B3379" s="8">
        <v>43828</v>
      </c>
      <c r="C3379" s="9" t="s">
        <v>6</v>
      </c>
      <c r="D3379" s="10">
        <v>380.85599999999999</v>
      </c>
      <c r="E3379" s="10">
        <v>155.18299999999999</v>
      </c>
      <c r="F3379" t="str">
        <f>VLOOKUP(A3379,StoreLookup,2,FALSE)</f>
        <v>Store#2</v>
      </c>
      <c r="G3379">
        <f>INDEX(CalLookUpTable,MATCH($B3379,CalLookUpRow,0),MATCH(G$1,CalLookUpColumn,0))</f>
        <v>2019</v>
      </c>
      <c r="H3379">
        <f>INDEX(CalLookUpTable,MATCH($B3379,CalLookUpRow,0),MATCH(H$1,CalLookUpColumn,0))</f>
        <v>12</v>
      </c>
      <c r="I3379">
        <f>INDEX(CalLookUpTable,MATCH($B3379,CalLookUpRow,0),MATCH(I$1,CalLookUpColumn,0))</f>
        <v>5</v>
      </c>
    </row>
    <row r="3380" spans="1:9" x14ac:dyDescent="0.25">
      <c r="A3380" s="7">
        <v>2</v>
      </c>
      <c r="B3380" s="8">
        <v>43828</v>
      </c>
      <c r="C3380" s="9" t="s">
        <v>4</v>
      </c>
      <c r="D3380" s="10">
        <v>1282.1969999999999</v>
      </c>
      <c r="E3380" s="10">
        <v>1151.0519999999999</v>
      </c>
      <c r="F3380" t="str">
        <f>VLOOKUP(A3380,StoreLookup,2,FALSE)</f>
        <v>Store#2</v>
      </c>
      <c r="G3380">
        <f>INDEX(CalLookUpTable,MATCH($B3380,CalLookUpRow,0),MATCH(G$1,CalLookUpColumn,0))</f>
        <v>2019</v>
      </c>
      <c r="H3380">
        <f>INDEX(CalLookUpTable,MATCH($B3380,CalLookUpRow,0),MATCH(H$1,CalLookUpColumn,0))</f>
        <v>12</v>
      </c>
      <c r="I3380">
        <f>INDEX(CalLookUpTable,MATCH($B3380,CalLookUpRow,0),MATCH(I$1,CalLookUpColumn,0))</f>
        <v>5</v>
      </c>
    </row>
    <row r="3381" spans="1:9" x14ac:dyDescent="0.25">
      <c r="A3381" s="7">
        <v>2</v>
      </c>
      <c r="B3381" s="8">
        <v>43828</v>
      </c>
      <c r="C3381" s="9" t="s">
        <v>3</v>
      </c>
      <c r="D3381" s="10">
        <v>0</v>
      </c>
      <c r="E3381" s="10">
        <v>177.63900000000001</v>
      </c>
      <c r="F3381" t="str">
        <f>VLOOKUP(A3381,StoreLookup,2,FALSE)</f>
        <v>Store#2</v>
      </c>
      <c r="G3381">
        <f>INDEX(CalLookUpTable,MATCH($B3381,CalLookUpRow,0),MATCH(G$1,CalLookUpColumn,0))</f>
        <v>2019</v>
      </c>
      <c r="H3381">
        <f>INDEX(CalLookUpTable,MATCH($B3381,CalLookUpRow,0),MATCH(H$1,CalLookUpColumn,0))</f>
        <v>12</v>
      </c>
      <c r="I3381">
        <f>INDEX(CalLookUpTable,MATCH($B3381,CalLookUpRow,0),MATCH(I$1,CalLookUpColumn,0))</f>
        <v>5</v>
      </c>
    </row>
    <row r="3382" spans="1:9" x14ac:dyDescent="0.25">
      <c r="A3382" s="7">
        <v>2</v>
      </c>
      <c r="B3382" s="8">
        <v>43829</v>
      </c>
      <c r="C3382" s="9" t="s">
        <v>5</v>
      </c>
      <c r="D3382" s="10">
        <v>1232.9449999999999</v>
      </c>
      <c r="E3382" s="10">
        <v>835.35899999999992</v>
      </c>
      <c r="F3382" t="str">
        <f>VLOOKUP(A3382,StoreLookup,2,FALSE)</f>
        <v>Store#2</v>
      </c>
      <c r="G3382">
        <f>INDEX(CalLookUpTable,MATCH($B3382,CalLookUpRow,0),MATCH(G$1,CalLookUpColumn,0))</f>
        <v>2020</v>
      </c>
      <c r="H3382">
        <f>INDEX(CalLookUpTable,MATCH($B3382,CalLookUpRow,0),MATCH(H$1,CalLookUpColumn,0))</f>
        <v>1</v>
      </c>
      <c r="I3382">
        <f>INDEX(CalLookUpTable,MATCH($B3382,CalLookUpRow,0),MATCH(I$1,CalLookUpColumn,0))</f>
        <v>1</v>
      </c>
    </row>
    <row r="3383" spans="1:9" x14ac:dyDescent="0.25">
      <c r="A3383" s="7">
        <v>2</v>
      </c>
      <c r="B3383" s="8">
        <v>43829</v>
      </c>
      <c r="C3383" s="9" t="s">
        <v>6</v>
      </c>
      <c r="D3383" s="10">
        <v>415.75099999999992</v>
      </c>
      <c r="E3383" s="10">
        <v>407.78499999999997</v>
      </c>
      <c r="F3383" t="str">
        <f>VLOOKUP(A3383,StoreLookup,2,FALSE)</f>
        <v>Store#2</v>
      </c>
      <c r="G3383">
        <f>INDEX(CalLookUpTable,MATCH($B3383,CalLookUpRow,0),MATCH(G$1,CalLookUpColumn,0))</f>
        <v>2020</v>
      </c>
      <c r="H3383">
        <f>INDEX(CalLookUpTable,MATCH($B3383,CalLookUpRow,0),MATCH(H$1,CalLookUpColumn,0))</f>
        <v>1</v>
      </c>
      <c r="I3383">
        <f>INDEX(CalLookUpTable,MATCH($B3383,CalLookUpRow,0),MATCH(I$1,CalLookUpColumn,0))</f>
        <v>1</v>
      </c>
    </row>
    <row r="3384" spans="1:9" x14ac:dyDescent="0.25">
      <c r="A3384" s="7">
        <v>2</v>
      </c>
      <c r="B3384" s="8">
        <v>43829</v>
      </c>
      <c r="C3384" s="9" t="s">
        <v>4</v>
      </c>
      <c r="D3384" s="10">
        <v>1932.385</v>
      </c>
      <c r="E3384" s="10">
        <v>1854.8669999999997</v>
      </c>
      <c r="F3384" t="str">
        <f>VLOOKUP(A3384,StoreLookup,2,FALSE)</f>
        <v>Store#2</v>
      </c>
      <c r="G3384">
        <f>INDEX(CalLookUpTable,MATCH($B3384,CalLookUpRow,0),MATCH(G$1,CalLookUpColumn,0))</f>
        <v>2020</v>
      </c>
      <c r="H3384">
        <f>INDEX(CalLookUpTable,MATCH($B3384,CalLookUpRow,0),MATCH(H$1,CalLookUpColumn,0))</f>
        <v>1</v>
      </c>
      <c r="I3384">
        <f>INDEX(CalLookUpTable,MATCH($B3384,CalLookUpRow,0),MATCH(I$1,CalLookUpColumn,0))</f>
        <v>1</v>
      </c>
    </row>
    <row r="3385" spans="1:9" x14ac:dyDescent="0.25">
      <c r="A3385" s="7">
        <v>2</v>
      </c>
      <c r="B3385" s="8">
        <v>43829</v>
      </c>
      <c r="C3385" s="9" t="s">
        <v>3</v>
      </c>
      <c r="D3385" s="10">
        <v>210.44799999999998</v>
      </c>
      <c r="E3385" s="10">
        <v>33.578999999999994</v>
      </c>
      <c r="F3385" t="str">
        <f>VLOOKUP(A3385,StoreLookup,2,FALSE)</f>
        <v>Store#2</v>
      </c>
      <c r="G3385">
        <f>INDEX(CalLookUpTable,MATCH($B3385,CalLookUpRow,0),MATCH(G$1,CalLookUpColumn,0))</f>
        <v>2020</v>
      </c>
      <c r="H3385">
        <f>INDEX(CalLookUpTable,MATCH($B3385,CalLookUpRow,0),MATCH(H$1,CalLookUpColumn,0))</f>
        <v>1</v>
      </c>
      <c r="I3385">
        <f>INDEX(CalLookUpTable,MATCH($B3385,CalLookUpRow,0),MATCH(I$1,CalLookUpColumn,0))</f>
        <v>1</v>
      </c>
    </row>
    <row r="3386" spans="1:9" x14ac:dyDescent="0.25">
      <c r="A3386" s="7">
        <v>2</v>
      </c>
      <c r="B3386" s="8">
        <v>43830</v>
      </c>
      <c r="C3386" s="9" t="s">
        <v>4</v>
      </c>
      <c r="D3386" s="10">
        <v>2132.3679999999999</v>
      </c>
      <c r="E3386" s="10">
        <v>1994.0199999999998</v>
      </c>
      <c r="F3386" t="str">
        <f>VLOOKUP(A3386,StoreLookup,2,FALSE)</f>
        <v>Store#2</v>
      </c>
      <c r="G3386">
        <f>INDEX(CalLookUpTable,MATCH($B3386,CalLookUpRow,0),MATCH(G$1,CalLookUpColumn,0))</f>
        <v>2020</v>
      </c>
      <c r="H3386">
        <f>INDEX(CalLookUpTable,MATCH($B3386,CalLookUpRow,0),MATCH(H$1,CalLookUpColumn,0))</f>
        <v>1</v>
      </c>
      <c r="I3386">
        <f>INDEX(CalLookUpTable,MATCH($B3386,CalLookUpRow,0),MATCH(I$1,CalLookUpColumn,0))</f>
        <v>1</v>
      </c>
    </row>
    <row r="3387" spans="1:9" x14ac:dyDescent="0.25">
      <c r="A3387" s="7">
        <v>2</v>
      </c>
      <c r="B3387" s="8">
        <v>43830</v>
      </c>
      <c r="C3387" s="9" t="s">
        <v>6</v>
      </c>
      <c r="D3387" s="10">
        <v>591.67499999999995</v>
      </c>
      <c r="E3387" s="10">
        <v>458.661</v>
      </c>
      <c r="F3387" t="str">
        <f>VLOOKUP(A3387,StoreLookup,2,FALSE)</f>
        <v>Store#2</v>
      </c>
      <c r="G3387">
        <f>INDEX(CalLookUpTable,MATCH($B3387,CalLookUpRow,0),MATCH(G$1,CalLookUpColumn,0))</f>
        <v>2020</v>
      </c>
      <c r="H3387">
        <f>INDEX(CalLookUpTable,MATCH($B3387,CalLookUpRow,0),MATCH(H$1,CalLookUpColumn,0))</f>
        <v>1</v>
      </c>
      <c r="I3387">
        <f>INDEX(CalLookUpTable,MATCH($B3387,CalLookUpRow,0),MATCH(I$1,CalLookUpColumn,0))</f>
        <v>1</v>
      </c>
    </row>
    <row r="3388" spans="1:9" x14ac:dyDescent="0.25">
      <c r="A3388" s="7">
        <v>2</v>
      </c>
      <c r="B3388" s="8">
        <v>43830</v>
      </c>
      <c r="C3388" s="9" t="s">
        <v>5</v>
      </c>
      <c r="D3388" s="10">
        <v>1097.712</v>
      </c>
      <c r="E3388" s="10">
        <v>953.96699999999987</v>
      </c>
      <c r="F3388" t="str">
        <f>VLOOKUP(A3388,StoreLookup,2,FALSE)</f>
        <v>Store#2</v>
      </c>
      <c r="G3388">
        <f>INDEX(CalLookUpTable,MATCH($B3388,CalLookUpRow,0),MATCH(G$1,CalLookUpColumn,0))</f>
        <v>2020</v>
      </c>
      <c r="H3388">
        <f>INDEX(CalLookUpTable,MATCH($B3388,CalLookUpRow,0),MATCH(H$1,CalLookUpColumn,0))</f>
        <v>1</v>
      </c>
      <c r="I3388">
        <f>INDEX(CalLookUpTable,MATCH($B3388,CalLookUpRow,0),MATCH(I$1,CalLookUpColumn,0))</f>
        <v>1</v>
      </c>
    </row>
    <row r="3389" spans="1:9" x14ac:dyDescent="0.25">
      <c r="A3389" s="7">
        <v>2</v>
      </c>
      <c r="B3389" s="8">
        <v>43830</v>
      </c>
      <c r="C3389" s="9" t="s">
        <v>3</v>
      </c>
      <c r="D3389" s="10">
        <v>442.36500000000001</v>
      </c>
      <c r="E3389" s="10">
        <v>0</v>
      </c>
      <c r="F3389" t="str">
        <f>VLOOKUP(A3389,StoreLookup,2,FALSE)</f>
        <v>Store#2</v>
      </c>
      <c r="G3389">
        <f>INDEX(CalLookUpTable,MATCH($B3389,CalLookUpRow,0),MATCH(G$1,CalLookUpColumn,0))</f>
        <v>2020</v>
      </c>
      <c r="H3389">
        <f>INDEX(CalLookUpTable,MATCH($B3389,CalLookUpRow,0),MATCH(H$1,CalLookUpColumn,0))</f>
        <v>1</v>
      </c>
      <c r="I3389">
        <f>INDEX(CalLookUpTable,MATCH($B3389,CalLookUpRow,0),MATCH(I$1,CalLookUpColumn,0))</f>
        <v>1</v>
      </c>
    </row>
    <row r="3390" spans="1:9" x14ac:dyDescent="0.25">
      <c r="A3390" s="7">
        <v>2</v>
      </c>
      <c r="B3390" s="8">
        <v>43831</v>
      </c>
      <c r="C3390" s="9" t="s">
        <v>4</v>
      </c>
      <c r="D3390" s="10">
        <v>1629.2079999999999</v>
      </c>
      <c r="E3390" s="10">
        <v>1640.4499999999998</v>
      </c>
      <c r="F3390" t="str">
        <f>VLOOKUP(A3390,StoreLookup,2,FALSE)</f>
        <v>Store#2</v>
      </c>
      <c r="G3390">
        <f>INDEX(CalLookUpTable,MATCH($B3390,CalLookUpRow,0),MATCH(G$1,CalLookUpColumn,0))</f>
        <v>2020</v>
      </c>
      <c r="H3390">
        <f>INDEX(CalLookUpTable,MATCH($B3390,CalLookUpRow,0),MATCH(H$1,CalLookUpColumn,0))</f>
        <v>1</v>
      </c>
      <c r="I3390">
        <f>INDEX(CalLookUpTable,MATCH($B3390,CalLookUpRow,0),MATCH(I$1,CalLookUpColumn,0))</f>
        <v>1</v>
      </c>
    </row>
    <row r="3391" spans="1:9" x14ac:dyDescent="0.25">
      <c r="A3391" s="7">
        <v>2</v>
      </c>
      <c r="B3391" s="8">
        <v>43831</v>
      </c>
      <c r="C3391" s="9" t="s">
        <v>6</v>
      </c>
      <c r="D3391" s="10">
        <v>528.81500000000005</v>
      </c>
      <c r="E3391" s="10">
        <v>182.65099999999998</v>
      </c>
      <c r="F3391" t="str">
        <f>VLOOKUP(A3391,StoreLookup,2,FALSE)</f>
        <v>Store#2</v>
      </c>
      <c r="G3391">
        <f>INDEX(CalLookUpTable,MATCH($B3391,CalLookUpRow,0),MATCH(G$1,CalLookUpColumn,0))</f>
        <v>2020</v>
      </c>
      <c r="H3391">
        <f>INDEX(CalLookUpTable,MATCH($B3391,CalLookUpRow,0),MATCH(H$1,CalLookUpColumn,0))</f>
        <v>1</v>
      </c>
      <c r="I3391">
        <f>INDEX(CalLookUpTable,MATCH($B3391,CalLookUpRow,0),MATCH(I$1,CalLookUpColumn,0))</f>
        <v>1</v>
      </c>
    </row>
    <row r="3392" spans="1:9" x14ac:dyDescent="0.25">
      <c r="A3392" s="7">
        <v>2</v>
      </c>
      <c r="B3392" s="8">
        <v>43831</v>
      </c>
      <c r="C3392" s="9" t="s">
        <v>5</v>
      </c>
      <c r="D3392" s="10">
        <v>1123.444</v>
      </c>
      <c r="E3392" s="10">
        <v>786.548</v>
      </c>
      <c r="F3392" t="str">
        <f>VLOOKUP(A3392,StoreLookup,2,FALSE)</f>
        <v>Store#2</v>
      </c>
      <c r="G3392">
        <f>INDEX(CalLookUpTable,MATCH($B3392,CalLookUpRow,0),MATCH(G$1,CalLookUpColumn,0))</f>
        <v>2020</v>
      </c>
      <c r="H3392">
        <f>INDEX(CalLookUpTable,MATCH($B3392,CalLookUpRow,0),MATCH(H$1,CalLookUpColumn,0))</f>
        <v>1</v>
      </c>
      <c r="I3392">
        <f>INDEX(CalLookUpTable,MATCH($B3392,CalLookUpRow,0),MATCH(I$1,CalLookUpColumn,0))</f>
        <v>1</v>
      </c>
    </row>
    <row r="3393" spans="1:9" x14ac:dyDescent="0.25">
      <c r="A3393" s="7">
        <v>2</v>
      </c>
      <c r="B3393" s="8">
        <v>43831</v>
      </c>
      <c r="C3393" s="9" t="s">
        <v>3</v>
      </c>
      <c r="D3393" s="10">
        <v>0</v>
      </c>
      <c r="E3393" s="10">
        <v>28.951999999999998</v>
      </c>
      <c r="F3393" t="str">
        <f>VLOOKUP(A3393,StoreLookup,2,FALSE)</f>
        <v>Store#2</v>
      </c>
      <c r="G3393">
        <f>INDEX(CalLookUpTable,MATCH($B3393,CalLookUpRow,0),MATCH(G$1,CalLookUpColumn,0))</f>
        <v>2020</v>
      </c>
      <c r="H3393">
        <f>INDEX(CalLookUpTable,MATCH($B3393,CalLookUpRow,0),MATCH(H$1,CalLookUpColumn,0))</f>
        <v>1</v>
      </c>
      <c r="I3393">
        <f>INDEX(CalLookUpTable,MATCH($B3393,CalLookUpRow,0),MATCH(I$1,CalLookUpColumn,0))</f>
        <v>1</v>
      </c>
    </row>
    <row r="3394" spans="1:9" x14ac:dyDescent="0.25">
      <c r="A3394" s="7">
        <v>2</v>
      </c>
      <c r="B3394" s="8">
        <v>43832</v>
      </c>
      <c r="C3394" s="9" t="s">
        <v>6</v>
      </c>
      <c r="D3394" s="10">
        <v>492.92599999999993</v>
      </c>
      <c r="E3394" s="10">
        <v>380.39399999999995</v>
      </c>
      <c r="F3394" t="str">
        <f>VLOOKUP(A3394,StoreLookup,2,FALSE)</f>
        <v>Store#2</v>
      </c>
      <c r="G3394">
        <f>INDEX(CalLookUpTable,MATCH($B3394,CalLookUpRow,0),MATCH(G$1,CalLookUpColumn,0))</f>
        <v>2020</v>
      </c>
      <c r="H3394">
        <f>INDEX(CalLookUpTable,MATCH($B3394,CalLookUpRow,0),MATCH(H$1,CalLookUpColumn,0))</f>
        <v>1</v>
      </c>
      <c r="I3394">
        <f>INDEX(CalLookUpTable,MATCH($B3394,CalLookUpRow,0),MATCH(I$1,CalLookUpColumn,0))</f>
        <v>1</v>
      </c>
    </row>
    <row r="3395" spans="1:9" x14ac:dyDescent="0.25">
      <c r="A3395" s="7">
        <v>2</v>
      </c>
      <c r="B3395" s="8">
        <v>43832</v>
      </c>
      <c r="C3395" s="9" t="s">
        <v>5</v>
      </c>
      <c r="D3395" s="10">
        <v>1151.1709999999998</v>
      </c>
      <c r="E3395" s="10">
        <v>1218.98</v>
      </c>
      <c r="F3395" t="str">
        <f>VLOOKUP(A3395,StoreLookup,2,FALSE)</f>
        <v>Store#2</v>
      </c>
      <c r="G3395">
        <f>INDEX(CalLookUpTable,MATCH($B3395,CalLookUpRow,0),MATCH(G$1,CalLookUpColumn,0))</f>
        <v>2020</v>
      </c>
      <c r="H3395">
        <f>INDEX(CalLookUpTable,MATCH($B3395,CalLookUpRow,0),MATCH(H$1,CalLookUpColumn,0))</f>
        <v>1</v>
      </c>
      <c r="I3395">
        <f>INDEX(CalLookUpTable,MATCH($B3395,CalLookUpRow,0),MATCH(I$1,CalLookUpColumn,0))</f>
        <v>1</v>
      </c>
    </row>
    <row r="3396" spans="1:9" x14ac:dyDescent="0.25">
      <c r="A3396" s="7">
        <v>2</v>
      </c>
      <c r="B3396" s="8">
        <v>43832</v>
      </c>
      <c r="C3396" s="9" t="s">
        <v>4</v>
      </c>
      <c r="D3396" s="10">
        <v>1647.9679999999998</v>
      </c>
      <c r="E3396" s="10">
        <v>1980.8320000000001</v>
      </c>
      <c r="F3396" t="str">
        <f>VLOOKUP(A3396,StoreLookup,2,FALSE)</f>
        <v>Store#2</v>
      </c>
      <c r="G3396">
        <f>INDEX(CalLookUpTable,MATCH($B3396,CalLookUpRow,0),MATCH(G$1,CalLookUpColumn,0))</f>
        <v>2020</v>
      </c>
      <c r="H3396">
        <f>INDEX(CalLookUpTable,MATCH($B3396,CalLookUpRow,0),MATCH(H$1,CalLookUpColumn,0))</f>
        <v>1</v>
      </c>
      <c r="I3396">
        <f>INDEX(CalLookUpTable,MATCH($B3396,CalLookUpRow,0),MATCH(I$1,CalLookUpColumn,0))</f>
        <v>1</v>
      </c>
    </row>
    <row r="3397" spans="1:9" x14ac:dyDescent="0.25">
      <c r="A3397" s="7">
        <v>2</v>
      </c>
      <c r="B3397" s="8">
        <v>43832</v>
      </c>
      <c r="C3397" s="9" t="s">
        <v>3</v>
      </c>
      <c r="D3397" s="10">
        <v>0</v>
      </c>
      <c r="E3397" s="10">
        <v>0</v>
      </c>
      <c r="F3397" t="str">
        <f>VLOOKUP(A3397,StoreLookup,2,FALSE)</f>
        <v>Store#2</v>
      </c>
      <c r="G3397">
        <f>INDEX(CalLookUpTable,MATCH($B3397,CalLookUpRow,0),MATCH(G$1,CalLookUpColumn,0))</f>
        <v>2020</v>
      </c>
      <c r="H3397">
        <f>INDEX(CalLookUpTable,MATCH($B3397,CalLookUpRow,0),MATCH(H$1,CalLookUpColumn,0))</f>
        <v>1</v>
      </c>
      <c r="I3397">
        <f>INDEX(CalLookUpTable,MATCH($B3397,CalLookUpRow,0),MATCH(I$1,CalLookUpColumn,0))</f>
        <v>1</v>
      </c>
    </row>
    <row r="3398" spans="1:9" x14ac:dyDescent="0.25">
      <c r="A3398" s="7">
        <v>2</v>
      </c>
      <c r="B3398" s="8">
        <v>43833</v>
      </c>
      <c r="C3398" s="9" t="s">
        <v>4</v>
      </c>
      <c r="D3398" s="10">
        <v>2478.0769999999998</v>
      </c>
      <c r="E3398" s="10">
        <v>1870.8829999999998</v>
      </c>
      <c r="F3398" t="str">
        <f>VLOOKUP(A3398,StoreLookup,2,FALSE)</f>
        <v>Store#2</v>
      </c>
      <c r="G3398">
        <f>INDEX(CalLookUpTable,MATCH($B3398,CalLookUpRow,0),MATCH(G$1,CalLookUpColumn,0))</f>
        <v>2020</v>
      </c>
      <c r="H3398">
        <f>INDEX(CalLookUpTable,MATCH($B3398,CalLookUpRow,0),MATCH(H$1,CalLookUpColumn,0))</f>
        <v>1</v>
      </c>
      <c r="I3398">
        <f>INDEX(CalLookUpTable,MATCH($B3398,CalLookUpRow,0),MATCH(I$1,CalLookUpColumn,0))</f>
        <v>1</v>
      </c>
    </row>
    <row r="3399" spans="1:9" x14ac:dyDescent="0.25">
      <c r="A3399" s="7">
        <v>2</v>
      </c>
      <c r="B3399" s="8">
        <v>43833</v>
      </c>
      <c r="C3399" s="9" t="s">
        <v>5</v>
      </c>
      <c r="D3399" s="10">
        <v>1502.0949999999998</v>
      </c>
      <c r="E3399" s="10">
        <v>711.99099999999999</v>
      </c>
      <c r="F3399" t="str">
        <f>VLOOKUP(A3399,StoreLookup,2,FALSE)</f>
        <v>Store#2</v>
      </c>
      <c r="G3399">
        <f>INDEX(CalLookUpTable,MATCH($B3399,CalLookUpRow,0),MATCH(G$1,CalLookUpColumn,0))</f>
        <v>2020</v>
      </c>
      <c r="H3399">
        <f>INDEX(CalLookUpTable,MATCH($B3399,CalLookUpRow,0),MATCH(H$1,CalLookUpColumn,0))</f>
        <v>1</v>
      </c>
      <c r="I3399">
        <f>INDEX(CalLookUpTable,MATCH($B3399,CalLookUpRow,0),MATCH(I$1,CalLookUpColumn,0))</f>
        <v>1</v>
      </c>
    </row>
    <row r="3400" spans="1:9" x14ac:dyDescent="0.25">
      <c r="A3400" s="7">
        <v>2</v>
      </c>
      <c r="B3400" s="8">
        <v>43833</v>
      </c>
      <c r="C3400" s="9" t="s">
        <v>3</v>
      </c>
      <c r="D3400" s="10">
        <v>0</v>
      </c>
      <c r="E3400" s="10">
        <v>0</v>
      </c>
      <c r="F3400" t="str">
        <f>VLOOKUP(A3400,StoreLookup,2,FALSE)</f>
        <v>Store#2</v>
      </c>
      <c r="G3400">
        <f>INDEX(CalLookUpTable,MATCH($B3400,CalLookUpRow,0),MATCH(G$1,CalLookUpColumn,0))</f>
        <v>2020</v>
      </c>
      <c r="H3400">
        <f>INDEX(CalLookUpTable,MATCH($B3400,CalLookUpRow,0),MATCH(H$1,CalLookUpColumn,0))</f>
        <v>1</v>
      </c>
      <c r="I3400">
        <f>INDEX(CalLookUpTable,MATCH($B3400,CalLookUpRow,0),MATCH(I$1,CalLookUpColumn,0))</f>
        <v>1</v>
      </c>
    </row>
    <row r="3401" spans="1:9" x14ac:dyDescent="0.25">
      <c r="A3401" s="7">
        <v>2</v>
      </c>
      <c r="B3401" s="8">
        <v>43833</v>
      </c>
      <c r="C3401" s="9" t="s">
        <v>6</v>
      </c>
      <c r="D3401" s="10">
        <v>562.06499999999994</v>
      </c>
      <c r="E3401" s="10">
        <v>1008.7489999999999</v>
      </c>
      <c r="F3401" t="str">
        <f>VLOOKUP(A3401,StoreLookup,2,FALSE)</f>
        <v>Store#2</v>
      </c>
      <c r="G3401">
        <f>INDEX(CalLookUpTable,MATCH($B3401,CalLookUpRow,0),MATCH(G$1,CalLookUpColumn,0))</f>
        <v>2020</v>
      </c>
      <c r="H3401">
        <f>INDEX(CalLookUpTable,MATCH($B3401,CalLookUpRow,0),MATCH(H$1,CalLookUpColumn,0))</f>
        <v>1</v>
      </c>
      <c r="I3401">
        <f>INDEX(CalLookUpTable,MATCH($B3401,CalLookUpRow,0),MATCH(I$1,CalLookUpColumn,0))</f>
        <v>1</v>
      </c>
    </row>
    <row r="3402" spans="1:9" x14ac:dyDescent="0.25">
      <c r="A3402" s="7">
        <v>2</v>
      </c>
      <c r="B3402" s="8">
        <v>43834</v>
      </c>
      <c r="C3402" s="9" t="s">
        <v>6</v>
      </c>
      <c r="D3402" s="10">
        <v>696.49299999999994</v>
      </c>
      <c r="E3402" s="10">
        <v>441.33600000000001</v>
      </c>
      <c r="F3402" t="str">
        <f>VLOOKUP(A3402,StoreLookup,2,FALSE)</f>
        <v>Store#2</v>
      </c>
      <c r="G3402">
        <f>INDEX(CalLookUpTable,MATCH($B3402,CalLookUpRow,0),MATCH(G$1,CalLookUpColumn,0))</f>
        <v>2020</v>
      </c>
      <c r="H3402">
        <f>INDEX(CalLookUpTable,MATCH($B3402,CalLookUpRow,0),MATCH(H$1,CalLookUpColumn,0))</f>
        <v>1</v>
      </c>
      <c r="I3402">
        <f>INDEX(CalLookUpTable,MATCH($B3402,CalLookUpRow,0),MATCH(I$1,CalLookUpColumn,0))</f>
        <v>1</v>
      </c>
    </row>
    <row r="3403" spans="1:9" x14ac:dyDescent="0.25">
      <c r="A3403" s="7">
        <v>2</v>
      </c>
      <c r="B3403" s="8">
        <v>43834</v>
      </c>
      <c r="C3403" s="9" t="s">
        <v>4</v>
      </c>
      <c r="D3403" s="10">
        <v>2156.4409999999998</v>
      </c>
      <c r="E3403" s="10">
        <v>2007.0259999999998</v>
      </c>
      <c r="F3403" t="str">
        <f>VLOOKUP(A3403,StoreLookup,2,FALSE)</f>
        <v>Store#2</v>
      </c>
      <c r="G3403">
        <f>INDEX(CalLookUpTable,MATCH($B3403,CalLookUpRow,0),MATCH(G$1,CalLookUpColumn,0))</f>
        <v>2020</v>
      </c>
      <c r="H3403">
        <f>INDEX(CalLookUpTable,MATCH($B3403,CalLookUpRow,0),MATCH(H$1,CalLookUpColumn,0))</f>
        <v>1</v>
      </c>
      <c r="I3403">
        <f>INDEX(CalLookUpTable,MATCH($B3403,CalLookUpRow,0),MATCH(I$1,CalLookUpColumn,0))</f>
        <v>1</v>
      </c>
    </row>
    <row r="3404" spans="1:9" x14ac:dyDescent="0.25">
      <c r="A3404" s="7">
        <v>2</v>
      </c>
      <c r="B3404" s="8">
        <v>43834</v>
      </c>
      <c r="C3404" s="9" t="s">
        <v>3</v>
      </c>
      <c r="D3404" s="10">
        <v>0</v>
      </c>
      <c r="E3404" s="10">
        <v>58.401000000000003</v>
      </c>
      <c r="F3404" t="str">
        <f>VLOOKUP(A3404,StoreLookup,2,FALSE)</f>
        <v>Store#2</v>
      </c>
      <c r="G3404">
        <f>INDEX(CalLookUpTable,MATCH($B3404,CalLookUpRow,0),MATCH(G$1,CalLookUpColumn,0))</f>
        <v>2020</v>
      </c>
      <c r="H3404">
        <f>INDEX(CalLookUpTable,MATCH($B3404,CalLookUpRow,0),MATCH(H$1,CalLookUpColumn,0))</f>
        <v>1</v>
      </c>
      <c r="I3404">
        <f>INDEX(CalLookUpTable,MATCH($B3404,CalLookUpRow,0),MATCH(I$1,CalLookUpColumn,0))</f>
        <v>1</v>
      </c>
    </row>
    <row r="3405" spans="1:9" x14ac:dyDescent="0.25">
      <c r="A3405" s="7">
        <v>2</v>
      </c>
      <c r="B3405" s="8">
        <v>43834</v>
      </c>
      <c r="C3405" s="9" t="s">
        <v>5</v>
      </c>
      <c r="D3405" s="10">
        <v>1047.886</v>
      </c>
      <c r="E3405" s="10">
        <v>900.16499999999996</v>
      </c>
      <c r="F3405" t="str">
        <f>VLOOKUP(A3405,StoreLookup,2,FALSE)</f>
        <v>Store#2</v>
      </c>
      <c r="G3405">
        <f>INDEX(CalLookUpTable,MATCH($B3405,CalLookUpRow,0),MATCH(G$1,CalLookUpColumn,0))</f>
        <v>2020</v>
      </c>
      <c r="H3405">
        <f>INDEX(CalLookUpTable,MATCH($B3405,CalLookUpRow,0),MATCH(H$1,CalLookUpColumn,0))</f>
        <v>1</v>
      </c>
      <c r="I3405">
        <f>INDEX(CalLookUpTable,MATCH($B3405,CalLookUpRow,0),MATCH(I$1,CalLookUpColumn,0))</f>
        <v>1</v>
      </c>
    </row>
    <row r="3406" spans="1:9" x14ac:dyDescent="0.25">
      <c r="A3406" s="7">
        <v>2</v>
      </c>
      <c r="B3406" s="8">
        <v>43835</v>
      </c>
      <c r="C3406" s="9" t="s">
        <v>3</v>
      </c>
      <c r="D3406" s="10">
        <v>0</v>
      </c>
      <c r="E3406" s="10">
        <v>0</v>
      </c>
      <c r="F3406" t="str">
        <f>VLOOKUP(A3406,StoreLookup,2,FALSE)</f>
        <v>Store#2</v>
      </c>
      <c r="G3406">
        <f>INDEX(CalLookUpTable,MATCH($B3406,CalLookUpRow,0),MATCH(G$1,CalLookUpColumn,0))</f>
        <v>2020</v>
      </c>
      <c r="H3406">
        <f>INDEX(CalLookUpTable,MATCH($B3406,CalLookUpRow,0),MATCH(H$1,CalLookUpColumn,0))</f>
        <v>1</v>
      </c>
      <c r="I3406">
        <f>INDEX(CalLookUpTable,MATCH($B3406,CalLookUpRow,0),MATCH(I$1,CalLookUpColumn,0))</f>
        <v>1</v>
      </c>
    </row>
    <row r="3407" spans="1:9" x14ac:dyDescent="0.25">
      <c r="A3407" s="7">
        <v>2</v>
      </c>
      <c r="B3407" s="8">
        <v>43835</v>
      </c>
      <c r="C3407" s="9" t="s">
        <v>6</v>
      </c>
      <c r="D3407" s="10">
        <v>284.33999999999997</v>
      </c>
      <c r="E3407" s="10">
        <v>158.22799999999998</v>
      </c>
      <c r="F3407" t="str">
        <f>VLOOKUP(A3407,StoreLookup,2,FALSE)</f>
        <v>Store#2</v>
      </c>
      <c r="G3407">
        <f>INDEX(CalLookUpTable,MATCH($B3407,CalLookUpRow,0),MATCH(G$1,CalLookUpColumn,0))</f>
        <v>2020</v>
      </c>
      <c r="H3407">
        <f>INDEX(CalLookUpTable,MATCH($B3407,CalLookUpRow,0),MATCH(H$1,CalLookUpColumn,0))</f>
        <v>1</v>
      </c>
      <c r="I3407">
        <f>INDEX(CalLookUpTable,MATCH($B3407,CalLookUpRow,0),MATCH(I$1,CalLookUpColumn,0))</f>
        <v>1</v>
      </c>
    </row>
    <row r="3408" spans="1:9" x14ac:dyDescent="0.25">
      <c r="A3408" s="7">
        <v>2</v>
      </c>
      <c r="B3408" s="8">
        <v>43835</v>
      </c>
      <c r="C3408" s="9" t="s">
        <v>5</v>
      </c>
      <c r="D3408" s="10">
        <v>714.28699999999992</v>
      </c>
      <c r="E3408" s="10">
        <v>678.37699999999995</v>
      </c>
      <c r="F3408" t="str">
        <f>VLOOKUP(A3408,StoreLookup,2,FALSE)</f>
        <v>Store#2</v>
      </c>
      <c r="G3408">
        <f>INDEX(CalLookUpTable,MATCH($B3408,CalLookUpRow,0),MATCH(G$1,CalLookUpColumn,0))</f>
        <v>2020</v>
      </c>
      <c r="H3408">
        <f>INDEX(CalLookUpTable,MATCH($B3408,CalLookUpRow,0),MATCH(H$1,CalLookUpColumn,0))</f>
        <v>1</v>
      </c>
      <c r="I3408">
        <f>INDEX(CalLookUpTable,MATCH($B3408,CalLookUpRow,0),MATCH(I$1,CalLookUpColumn,0))</f>
        <v>1</v>
      </c>
    </row>
    <row r="3409" spans="1:9" x14ac:dyDescent="0.25">
      <c r="A3409" s="7">
        <v>2</v>
      </c>
      <c r="B3409" s="8">
        <v>43835</v>
      </c>
      <c r="C3409" s="9" t="s">
        <v>4</v>
      </c>
      <c r="D3409" s="10">
        <v>1008.441</v>
      </c>
      <c r="E3409" s="10">
        <v>1004.353</v>
      </c>
      <c r="F3409" t="str">
        <f>VLOOKUP(A3409,StoreLookup,2,FALSE)</f>
        <v>Store#2</v>
      </c>
      <c r="G3409">
        <f>INDEX(CalLookUpTable,MATCH($B3409,CalLookUpRow,0),MATCH(G$1,CalLookUpColumn,0))</f>
        <v>2020</v>
      </c>
      <c r="H3409">
        <f>INDEX(CalLookUpTable,MATCH($B3409,CalLookUpRow,0),MATCH(H$1,CalLookUpColumn,0))</f>
        <v>1</v>
      </c>
      <c r="I3409">
        <f>INDEX(CalLookUpTable,MATCH($B3409,CalLookUpRow,0),MATCH(I$1,CalLookUpColumn,0))</f>
        <v>1</v>
      </c>
    </row>
    <row r="3410" spans="1:9" x14ac:dyDescent="0.25">
      <c r="A3410" s="7">
        <v>2</v>
      </c>
      <c r="B3410" s="8">
        <v>43836</v>
      </c>
      <c r="C3410" s="9" t="s">
        <v>6</v>
      </c>
      <c r="D3410" s="10">
        <v>269.98999999999995</v>
      </c>
      <c r="E3410" s="10">
        <v>215.97800000000001</v>
      </c>
      <c r="F3410" t="str">
        <f>VLOOKUP(A3410,StoreLookup,2,FALSE)</f>
        <v>Store#2</v>
      </c>
      <c r="G3410">
        <f>INDEX(CalLookUpTable,MATCH($B3410,CalLookUpRow,0),MATCH(G$1,CalLookUpColumn,0))</f>
        <v>2020</v>
      </c>
      <c r="H3410">
        <f>INDEX(CalLookUpTable,MATCH($B3410,CalLookUpRow,0),MATCH(H$1,CalLookUpColumn,0))</f>
        <v>1</v>
      </c>
      <c r="I3410">
        <f>INDEX(CalLookUpTable,MATCH($B3410,CalLookUpRow,0),MATCH(I$1,CalLookUpColumn,0))</f>
        <v>2</v>
      </c>
    </row>
    <row r="3411" spans="1:9" x14ac:dyDescent="0.25">
      <c r="A3411" s="7">
        <v>2</v>
      </c>
      <c r="B3411" s="8">
        <v>43836</v>
      </c>
      <c r="C3411" s="9" t="s">
        <v>5</v>
      </c>
      <c r="D3411" s="10">
        <v>954.70199999999988</v>
      </c>
      <c r="E3411" s="10">
        <v>811.3</v>
      </c>
      <c r="F3411" t="str">
        <f>VLOOKUP(A3411,StoreLookup,2,FALSE)</f>
        <v>Store#2</v>
      </c>
      <c r="G3411">
        <f>INDEX(CalLookUpTable,MATCH($B3411,CalLookUpRow,0),MATCH(G$1,CalLookUpColumn,0))</f>
        <v>2020</v>
      </c>
      <c r="H3411">
        <f>INDEX(CalLookUpTable,MATCH($B3411,CalLookUpRow,0),MATCH(H$1,CalLookUpColumn,0))</f>
        <v>1</v>
      </c>
      <c r="I3411">
        <f>INDEX(CalLookUpTable,MATCH($B3411,CalLookUpRow,0),MATCH(I$1,CalLookUpColumn,0))</f>
        <v>2</v>
      </c>
    </row>
    <row r="3412" spans="1:9" x14ac:dyDescent="0.25">
      <c r="A3412" s="7">
        <v>2</v>
      </c>
      <c r="B3412" s="8">
        <v>43836</v>
      </c>
      <c r="C3412" s="9" t="s">
        <v>3</v>
      </c>
      <c r="D3412" s="10">
        <v>0</v>
      </c>
      <c r="E3412" s="10">
        <v>0</v>
      </c>
      <c r="F3412" t="str">
        <f>VLOOKUP(A3412,StoreLookup,2,FALSE)</f>
        <v>Store#2</v>
      </c>
      <c r="G3412">
        <f>INDEX(CalLookUpTable,MATCH($B3412,CalLookUpRow,0),MATCH(G$1,CalLookUpColumn,0))</f>
        <v>2020</v>
      </c>
      <c r="H3412">
        <f>INDEX(CalLookUpTable,MATCH($B3412,CalLookUpRow,0),MATCH(H$1,CalLookUpColumn,0))</f>
        <v>1</v>
      </c>
      <c r="I3412">
        <f>INDEX(CalLookUpTable,MATCH($B3412,CalLookUpRow,0),MATCH(I$1,CalLookUpColumn,0))</f>
        <v>2</v>
      </c>
    </row>
    <row r="3413" spans="1:9" x14ac:dyDescent="0.25">
      <c r="A3413" s="7">
        <v>2</v>
      </c>
      <c r="B3413" s="8">
        <v>43836</v>
      </c>
      <c r="C3413" s="9" t="s">
        <v>4</v>
      </c>
      <c r="D3413" s="10">
        <v>1709.4279999999999</v>
      </c>
      <c r="E3413" s="10">
        <v>1209.04</v>
      </c>
      <c r="F3413" t="str">
        <f>VLOOKUP(A3413,StoreLookup,2,FALSE)</f>
        <v>Store#2</v>
      </c>
      <c r="G3413">
        <f>INDEX(CalLookUpTable,MATCH($B3413,CalLookUpRow,0),MATCH(G$1,CalLookUpColumn,0))</f>
        <v>2020</v>
      </c>
      <c r="H3413">
        <f>INDEX(CalLookUpTable,MATCH($B3413,CalLookUpRow,0),MATCH(H$1,CalLookUpColumn,0))</f>
        <v>1</v>
      </c>
      <c r="I3413">
        <f>INDEX(CalLookUpTable,MATCH($B3413,CalLookUpRow,0),MATCH(I$1,CalLookUpColumn,0))</f>
        <v>2</v>
      </c>
    </row>
    <row r="3414" spans="1:9" x14ac:dyDescent="0.25">
      <c r="A3414" s="7">
        <v>2</v>
      </c>
      <c r="B3414" s="8">
        <v>43837</v>
      </c>
      <c r="C3414" s="9" t="s">
        <v>4</v>
      </c>
      <c r="D3414" s="10">
        <v>1877.4490000000001</v>
      </c>
      <c r="E3414" s="10">
        <v>1754.6059999999998</v>
      </c>
      <c r="F3414" t="str">
        <f>VLOOKUP(A3414,StoreLookup,2,FALSE)</f>
        <v>Store#2</v>
      </c>
      <c r="G3414">
        <f>INDEX(CalLookUpTable,MATCH($B3414,CalLookUpRow,0),MATCH(G$1,CalLookUpColumn,0))</f>
        <v>2020</v>
      </c>
      <c r="H3414">
        <f>INDEX(CalLookUpTable,MATCH($B3414,CalLookUpRow,0),MATCH(H$1,CalLookUpColumn,0))</f>
        <v>1</v>
      </c>
      <c r="I3414">
        <f>INDEX(CalLookUpTable,MATCH($B3414,CalLookUpRow,0),MATCH(I$1,CalLookUpColumn,0))</f>
        <v>2</v>
      </c>
    </row>
    <row r="3415" spans="1:9" x14ac:dyDescent="0.25">
      <c r="A3415" s="7">
        <v>2</v>
      </c>
      <c r="B3415" s="8">
        <v>43837</v>
      </c>
      <c r="C3415" s="9" t="s">
        <v>3</v>
      </c>
      <c r="D3415" s="10">
        <v>401.04399999999993</v>
      </c>
      <c r="E3415" s="10">
        <v>0</v>
      </c>
      <c r="F3415" t="str">
        <f>VLOOKUP(A3415,StoreLookup,2,FALSE)</f>
        <v>Store#2</v>
      </c>
      <c r="G3415">
        <f>INDEX(CalLookUpTable,MATCH($B3415,CalLookUpRow,0),MATCH(G$1,CalLookUpColumn,0))</f>
        <v>2020</v>
      </c>
      <c r="H3415">
        <f>INDEX(CalLookUpTable,MATCH($B3415,CalLookUpRow,0),MATCH(H$1,CalLookUpColumn,0))</f>
        <v>1</v>
      </c>
      <c r="I3415">
        <f>INDEX(CalLookUpTable,MATCH($B3415,CalLookUpRow,0),MATCH(I$1,CalLookUpColumn,0))</f>
        <v>2</v>
      </c>
    </row>
    <row r="3416" spans="1:9" x14ac:dyDescent="0.25">
      <c r="A3416" s="7">
        <v>2</v>
      </c>
      <c r="B3416" s="8">
        <v>43837</v>
      </c>
      <c r="C3416" s="9" t="s">
        <v>6</v>
      </c>
      <c r="D3416" s="10">
        <v>556.64</v>
      </c>
      <c r="E3416" s="10">
        <v>261.35199999999998</v>
      </c>
      <c r="F3416" t="str">
        <f>VLOOKUP(A3416,StoreLookup,2,FALSE)</f>
        <v>Store#2</v>
      </c>
      <c r="G3416">
        <f>INDEX(CalLookUpTable,MATCH($B3416,CalLookUpRow,0),MATCH(G$1,CalLookUpColumn,0))</f>
        <v>2020</v>
      </c>
      <c r="H3416">
        <f>INDEX(CalLookUpTable,MATCH($B3416,CalLookUpRow,0),MATCH(H$1,CalLookUpColumn,0))</f>
        <v>1</v>
      </c>
      <c r="I3416">
        <f>INDEX(CalLookUpTable,MATCH($B3416,CalLookUpRow,0),MATCH(I$1,CalLookUpColumn,0))</f>
        <v>2</v>
      </c>
    </row>
    <row r="3417" spans="1:9" x14ac:dyDescent="0.25">
      <c r="A3417" s="7">
        <v>2</v>
      </c>
      <c r="B3417" s="8">
        <v>43837</v>
      </c>
      <c r="C3417" s="9" t="s">
        <v>5</v>
      </c>
      <c r="D3417" s="10">
        <v>835.87699999999984</v>
      </c>
      <c r="E3417" s="10">
        <v>817.79599999999994</v>
      </c>
      <c r="F3417" t="str">
        <f>VLOOKUP(A3417,StoreLookup,2,FALSE)</f>
        <v>Store#2</v>
      </c>
      <c r="G3417">
        <f>INDEX(CalLookUpTable,MATCH($B3417,CalLookUpRow,0),MATCH(G$1,CalLookUpColumn,0))</f>
        <v>2020</v>
      </c>
      <c r="H3417">
        <f>INDEX(CalLookUpTable,MATCH($B3417,CalLookUpRow,0),MATCH(H$1,CalLookUpColumn,0))</f>
        <v>1</v>
      </c>
      <c r="I3417">
        <f>INDEX(CalLookUpTable,MATCH($B3417,CalLookUpRow,0),MATCH(I$1,CalLookUpColumn,0))</f>
        <v>2</v>
      </c>
    </row>
    <row r="3418" spans="1:9" x14ac:dyDescent="0.25">
      <c r="A3418" s="7">
        <v>2</v>
      </c>
      <c r="B3418" s="8">
        <v>43838</v>
      </c>
      <c r="C3418" s="9" t="s">
        <v>4</v>
      </c>
      <c r="D3418" s="10">
        <v>1194.8999999999999</v>
      </c>
      <c r="E3418" s="10">
        <v>1725.7380000000001</v>
      </c>
      <c r="F3418" t="str">
        <f>VLOOKUP(A3418,StoreLookup,2,FALSE)</f>
        <v>Store#2</v>
      </c>
      <c r="G3418">
        <f>INDEX(CalLookUpTable,MATCH($B3418,CalLookUpRow,0),MATCH(G$1,CalLookUpColumn,0))</f>
        <v>2020</v>
      </c>
      <c r="H3418">
        <f>INDEX(CalLookUpTable,MATCH($B3418,CalLookUpRow,0),MATCH(H$1,CalLookUpColumn,0))</f>
        <v>1</v>
      </c>
      <c r="I3418">
        <f>INDEX(CalLookUpTable,MATCH($B3418,CalLookUpRow,0),MATCH(I$1,CalLookUpColumn,0))</f>
        <v>2</v>
      </c>
    </row>
    <row r="3419" spans="1:9" x14ac:dyDescent="0.25">
      <c r="A3419" s="7">
        <v>2</v>
      </c>
      <c r="B3419" s="8">
        <v>43838</v>
      </c>
      <c r="C3419" s="9" t="s">
        <v>6</v>
      </c>
      <c r="D3419" s="10">
        <v>399.57400000000001</v>
      </c>
      <c r="E3419" s="10">
        <v>205.40799999999999</v>
      </c>
      <c r="F3419" t="str">
        <f>VLOOKUP(A3419,StoreLookup,2,FALSE)</f>
        <v>Store#2</v>
      </c>
      <c r="G3419">
        <f>INDEX(CalLookUpTable,MATCH($B3419,CalLookUpRow,0),MATCH(G$1,CalLookUpColumn,0))</f>
        <v>2020</v>
      </c>
      <c r="H3419">
        <f>INDEX(CalLookUpTable,MATCH($B3419,CalLookUpRow,0),MATCH(H$1,CalLookUpColumn,0))</f>
        <v>1</v>
      </c>
      <c r="I3419">
        <f>INDEX(CalLookUpTable,MATCH($B3419,CalLookUpRow,0),MATCH(I$1,CalLookUpColumn,0))</f>
        <v>2</v>
      </c>
    </row>
    <row r="3420" spans="1:9" x14ac:dyDescent="0.25">
      <c r="A3420" s="7">
        <v>2</v>
      </c>
      <c r="B3420" s="8">
        <v>43838</v>
      </c>
      <c r="C3420" s="9" t="s">
        <v>5</v>
      </c>
      <c r="D3420" s="10">
        <v>1078.924</v>
      </c>
      <c r="E3420" s="10">
        <v>710.22699999999998</v>
      </c>
      <c r="F3420" t="str">
        <f>VLOOKUP(A3420,StoreLookup,2,FALSE)</f>
        <v>Store#2</v>
      </c>
      <c r="G3420">
        <f>INDEX(CalLookUpTable,MATCH($B3420,CalLookUpRow,0),MATCH(G$1,CalLookUpColumn,0))</f>
        <v>2020</v>
      </c>
      <c r="H3420">
        <f>INDEX(CalLookUpTable,MATCH($B3420,CalLookUpRow,0),MATCH(H$1,CalLookUpColumn,0))</f>
        <v>1</v>
      </c>
      <c r="I3420">
        <f>INDEX(CalLookUpTable,MATCH($B3420,CalLookUpRow,0),MATCH(I$1,CalLookUpColumn,0))</f>
        <v>2</v>
      </c>
    </row>
    <row r="3421" spans="1:9" x14ac:dyDescent="0.25">
      <c r="A3421" s="7">
        <v>2</v>
      </c>
      <c r="B3421" s="8">
        <v>43838</v>
      </c>
      <c r="C3421" s="9" t="s">
        <v>3</v>
      </c>
      <c r="D3421" s="10">
        <v>0</v>
      </c>
      <c r="E3421" s="10">
        <v>130.07399999999998</v>
      </c>
      <c r="F3421" t="str">
        <f>VLOOKUP(A3421,StoreLookup,2,FALSE)</f>
        <v>Store#2</v>
      </c>
      <c r="G3421">
        <f>INDEX(CalLookUpTable,MATCH($B3421,CalLookUpRow,0),MATCH(G$1,CalLookUpColumn,0))</f>
        <v>2020</v>
      </c>
      <c r="H3421">
        <f>INDEX(CalLookUpTable,MATCH($B3421,CalLookUpRow,0),MATCH(H$1,CalLookUpColumn,0))</f>
        <v>1</v>
      </c>
      <c r="I3421">
        <f>INDEX(CalLookUpTable,MATCH($B3421,CalLookUpRow,0),MATCH(I$1,CalLookUpColumn,0))</f>
        <v>2</v>
      </c>
    </row>
    <row r="3422" spans="1:9" x14ac:dyDescent="0.25">
      <c r="A3422" s="7">
        <v>2</v>
      </c>
      <c r="B3422" s="8">
        <v>43839</v>
      </c>
      <c r="C3422" s="9" t="s">
        <v>4</v>
      </c>
      <c r="D3422" s="10">
        <v>1765.7009999999998</v>
      </c>
      <c r="E3422" s="10">
        <v>1897.5949999999998</v>
      </c>
      <c r="F3422" t="str">
        <f>VLOOKUP(A3422,StoreLookup,2,FALSE)</f>
        <v>Store#2</v>
      </c>
      <c r="G3422">
        <f>INDEX(CalLookUpTable,MATCH($B3422,CalLookUpRow,0),MATCH(G$1,CalLookUpColumn,0))</f>
        <v>2020</v>
      </c>
      <c r="H3422">
        <f>INDEX(CalLookUpTable,MATCH($B3422,CalLookUpRow,0),MATCH(H$1,CalLookUpColumn,0))</f>
        <v>1</v>
      </c>
      <c r="I3422">
        <f>INDEX(CalLookUpTable,MATCH($B3422,CalLookUpRow,0),MATCH(I$1,CalLookUpColumn,0))</f>
        <v>2</v>
      </c>
    </row>
    <row r="3423" spans="1:9" x14ac:dyDescent="0.25">
      <c r="A3423" s="7">
        <v>2</v>
      </c>
      <c r="B3423" s="8">
        <v>43839</v>
      </c>
      <c r="C3423" s="9" t="s">
        <v>6</v>
      </c>
      <c r="D3423" s="10">
        <v>452.05999999999995</v>
      </c>
      <c r="E3423" s="10">
        <v>353.54899999999998</v>
      </c>
      <c r="F3423" t="str">
        <f>VLOOKUP(A3423,StoreLookup,2,FALSE)</f>
        <v>Store#2</v>
      </c>
      <c r="G3423">
        <f>INDEX(CalLookUpTable,MATCH($B3423,CalLookUpRow,0),MATCH(G$1,CalLookUpColumn,0))</f>
        <v>2020</v>
      </c>
      <c r="H3423">
        <f>INDEX(CalLookUpTable,MATCH($B3423,CalLookUpRow,0),MATCH(H$1,CalLookUpColumn,0))</f>
        <v>1</v>
      </c>
      <c r="I3423">
        <f>INDEX(CalLookUpTable,MATCH($B3423,CalLookUpRow,0),MATCH(I$1,CalLookUpColumn,0))</f>
        <v>2</v>
      </c>
    </row>
    <row r="3424" spans="1:9" x14ac:dyDescent="0.25">
      <c r="A3424" s="7">
        <v>2</v>
      </c>
      <c r="B3424" s="8">
        <v>43839</v>
      </c>
      <c r="C3424" s="9" t="s">
        <v>3</v>
      </c>
      <c r="D3424" s="10">
        <v>0</v>
      </c>
      <c r="E3424" s="10">
        <v>0</v>
      </c>
      <c r="F3424" t="str">
        <f>VLOOKUP(A3424,StoreLookup,2,FALSE)</f>
        <v>Store#2</v>
      </c>
      <c r="G3424">
        <f>INDEX(CalLookUpTable,MATCH($B3424,CalLookUpRow,0),MATCH(G$1,CalLookUpColumn,0))</f>
        <v>2020</v>
      </c>
      <c r="H3424">
        <f>INDEX(CalLookUpTable,MATCH($B3424,CalLookUpRow,0),MATCH(H$1,CalLookUpColumn,0))</f>
        <v>1</v>
      </c>
      <c r="I3424">
        <f>INDEX(CalLookUpTable,MATCH($B3424,CalLookUpRow,0),MATCH(I$1,CalLookUpColumn,0))</f>
        <v>2</v>
      </c>
    </row>
    <row r="3425" spans="1:9" x14ac:dyDescent="0.25">
      <c r="A3425" s="7">
        <v>2</v>
      </c>
      <c r="B3425" s="8">
        <v>43839</v>
      </c>
      <c r="C3425" s="9" t="s">
        <v>5</v>
      </c>
      <c r="D3425" s="10">
        <v>1000.433</v>
      </c>
      <c r="E3425" s="10">
        <v>850.89899999999989</v>
      </c>
      <c r="F3425" t="str">
        <f>VLOOKUP(A3425,StoreLookup,2,FALSE)</f>
        <v>Store#2</v>
      </c>
      <c r="G3425">
        <f>INDEX(CalLookUpTable,MATCH($B3425,CalLookUpRow,0),MATCH(G$1,CalLookUpColumn,0))</f>
        <v>2020</v>
      </c>
      <c r="H3425">
        <f>INDEX(CalLookUpTable,MATCH($B3425,CalLookUpRow,0),MATCH(H$1,CalLookUpColumn,0))</f>
        <v>1</v>
      </c>
      <c r="I3425">
        <f>INDEX(CalLookUpTable,MATCH($B3425,CalLookUpRow,0),MATCH(I$1,CalLookUpColumn,0))</f>
        <v>2</v>
      </c>
    </row>
    <row r="3426" spans="1:9" x14ac:dyDescent="0.25">
      <c r="A3426" s="7">
        <v>2</v>
      </c>
      <c r="B3426" s="8">
        <v>43840</v>
      </c>
      <c r="C3426" s="9" t="s">
        <v>4</v>
      </c>
      <c r="D3426" s="10">
        <v>2484.7199999999998</v>
      </c>
      <c r="E3426" s="10">
        <v>2610.3839999999996</v>
      </c>
      <c r="F3426" t="str">
        <f>VLOOKUP(A3426,StoreLookup,2,FALSE)</f>
        <v>Store#2</v>
      </c>
      <c r="G3426">
        <f>INDEX(CalLookUpTable,MATCH($B3426,CalLookUpRow,0),MATCH(G$1,CalLookUpColumn,0))</f>
        <v>2020</v>
      </c>
      <c r="H3426">
        <f>INDEX(CalLookUpTable,MATCH($B3426,CalLookUpRow,0),MATCH(H$1,CalLookUpColumn,0))</f>
        <v>1</v>
      </c>
      <c r="I3426">
        <f>INDEX(CalLookUpTable,MATCH($B3426,CalLookUpRow,0),MATCH(I$1,CalLookUpColumn,0))</f>
        <v>2</v>
      </c>
    </row>
    <row r="3427" spans="1:9" x14ac:dyDescent="0.25">
      <c r="A3427" s="7">
        <v>2</v>
      </c>
      <c r="B3427" s="8">
        <v>43840</v>
      </c>
      <c r="C3427" s="9" t="s">
        <v>6</v>
      </c>
      <c r="D3427" s="10">
        <v>419.37700000000001</v>
      </c>
      <c r="E3427" s="10">
        <v>224.96599999999998</v>
      </c>
      <c r="F3427" t="str">
        <f>VLOOKUP(A3427,StoreLookup,2,FALSE)</f>
        <v>Store#2</v>
      </c>
      <c r="G3427">
        <f>INDEX(CalLookUpTable,MATCH($B3427,CalLookUpRow,0),MATCH(G$1,CalLookUpColumn,0))</f>
        <v>2020</v>
      </c>
      <c r="H3427">
        <f>INDEX(CalLookUpTable,MATCH($B3427,CalLookUpRow,0),MATCH(H$1,CalLookUpColumn,0))</f>
        <v>1</v>
      </c>
      <c r="I3427">
        <f>INDEX(CalLookUpTable,MATCH($B3427,CalLookUpRow,0),MATCH(I$1,CalLookUpColumn,0))</f>
        <v>2</v>
      </c>
    </row>
    <row r="3428" spans="1:9" x14ac:dyDescent="0.25">
      <c r="A3428" s="7">
        <v>2</v>
      </c>
      <c r="B3428" s="8">
        <v>43840</v>
      </c>
      <c r="C3428" s="9" t="s">
        <v>3</v>
      </c>
      <c r="D3428" s="10">
        <v>0</v>
      </c>
      <c r="E3428" s="10">
        <v>317.33799999999997</v>
      </c>
      <c r="F3428" t="str">
        <f>VLOOKUP(A3428,StoreLookup,2,FALSE)</f>
        <v>Store#2</v>
      </c>
      <c r="G3428">
        <f>INDEX(CalLookUpTable,MATCH($B3428,CalLookUpRow,0),MATCH(G$1,CalLookUpColumn,0))</f>
        <v>2020</v>
      </c>
      <c r="H3428">
        <f>INDEX(CalLookUpTable,MATCH($B3428,CalLookUpRow,0),MATCH(H$1,CalLookUpColumn,0))</f>
        <v>1</v>
      </c>
      <c r="I3428">
        <f>INDEX(CalLookUpTable,MATCH($B3428,CalLookUpRow,0),MATCH(I$1,CalLookUpColumn,0))</f>
        <v>2</v>
      </c>
    </row>
    <row r="3429" spans="1:9" x14ac:dyDescent="0.25">
      <c r="A3429" s="7">
        <v>2</v>
      </c>
      <c r="B3429" s="8">
        <v>43840</v>
      </c>
      <c r="C3429" s="9" t="s">
        <v>5</v>
      </c>
      <c r="D3429" s="10">
        <v>1733.6410000000001</v>
      </c>
      <c r="E3429" s="10">
        <v>1025.8009999999999</v>
      </c>
      <c r="F3429" t="str">
        <f>VLOOKUP(A3429,StoreLookup,2,FALSE)</f>
        <v>Store#2</v>
      </c>
      <c r="G3429">
        <f>INDEX(CalLookUpTable,MATCH($B3429,CalLookUpRow,0),MATCH(G$1,CalLookUpColumn,0))</f>
        <v>2020</v>
      </c>
      <c r="H3429">
        <f>INDEX(CalLookUpTable,MATCH($B3429,CalLookUpRow,0),MATCH(H$1,CalLookUpColumn,0))</f>
        <v>1</v>
      </c>
      <c r="I3429">
        <f>INDEX(CalLookUpTable,MATCH($B3429,CalLookUpRow,0),MATCH(I$1,CalLookUpColumn,0))</f>
        <v>2</v>
      </c>
    </row>
    <row r="3430" spans="1:9" x14ac:dyDescent="0.25">
      <c r="A3430" s="7">
        <v>2</v>
      </c>
      <c r="B3430" s="8">
        <v>43841</v>
      </c>
      <c r="C3430" s="9" t="s">
        <v>6</v>
      </c>
      <c r="D3430" s="10">
        <v>688.38699999999994</v>
      </c>
      <c r="E3430" s="10">
        <v>383.85899999999998</v>
      </c>
      <c r="F3430" t="str">
        <f>VLOOKUP(A3430,StoreLookup,2,FALSE)</f>
        <v>Store#2</v>
      </c>
      <c r="G3430">
        <f>INDEX(CalLookUpTable,MATCH($B3430,CalLookUpRow,0),MATCH(G$1,CalLookUpColumn,0))</f>
        <v>2020</v>
      </c>
      <c r="H3430">
        <f>INDEX(CalLookUpTable,MATCH($B3430,CalLookUpRow,0),MATCH(H$1,CalLookUpColumn,0))</f>
        <v>1</v>
      </c>
      <c r="I3430">
        <f>INDEX(CalLookUpTable,MATCH($B3430,CalLookUpRow,0),MATCH(I$1,CalLookUpColumn,0))</f>
        <v>2</v>
      </c>
    </row>
    <row r="3431" spans="1:9" x14ac:dyDescent="0.25">
      <c r="A3431" s="7">
        <v>2</v>
      </c>
      <c r="B3431" s="8">
        <v>43841</v>
      </c>
      <c r="C3431" s="9" t="s">
        <v>4</v>
      </c>
      <c r="D3431" s="10">
        <v>1882.8879999999999</v>
      </c>
      <c r="E3431" s="10">
        <v>2484.0830000000001</v>
      </c>
      <c r="F3431" t="str">
        <f>VLOOKUP(A3431,StoreLookup,2,FALSE)</f>
        <v>Store#2</v>
      </c>
      <c r="G3431">
        <f>INDEX(CalLookUpTable,MATCH($B3431,CalLookUpRow,0),MATCH(G$1,CalLookUpColumn,0))</f>
        <v>2020</v>
      </c>
      <c r="H3431">
        <f>INDEX(CalLookUpTable,MATCH($B3431,CalLookUpRow,0),MATCH(H$1,CalLookUpColumn,0))</f>
        <v>1</v>
      </c>
      <c r="I3431">
        <f>INDEX(CalLookUpTable,MATCH($B3431,CalLookUpRow,0),MATCH(I$1,CalLookUpColumn,0))</f>
        <v>2</v>
      </c>
    </row>
    <row r="3432" spans="1:9" x14ac:dyDescent="0.25">
      <c r="A3432" s="7">
        <v>2</v>
      </c>
      <c r="B3432" s="8">
        <v>43841</v>
      </c>
      <c r="C3432" s="9" t="s">
        <v>3</v>
      </c>
      <c r="D3432" s="10">
        <v>0</v>
      </c>
      <c r="E3432" s="10">
        <v>36.344000000000001</v>
      </c>
      <c r="F3432" t="str">
        <f>VLOOKUP(A3432,StoreLookup,2,FALSE)</f>
        <v>Store#2</v>
      </c>
      <c r="G3432">
        <f>INDEX(CalLookUpTable,MATCH($B3432,CalLookUpRow,0),MATCH(G$1,CalLookUpColumn,0))</f>
        <v>2020</v>
      </c>
      <c r="H3432">
        <f>INDEX(CalLookUpTable,MATCH($B3432,CalLookUpRow,0),MATCH(H$1,CalLookUpColumn,0))</f>
        <v>1</v>
      </c>
      <c r="I3432">
        <f>INDEX(CalLookUpTable,MATCH($B3432,CalLookUpRow,0),MATCH(I$1,CalLookUpColumn,0))</f>
        <v>2</v>
      </c>
    </row>
    <row r="3433" spans="1:9" x14ac:dyDescent="0.25">
      <c r="A3433" s="7">
        <v>2</v>
      </c>
      <c r="B3433" s="8">
        <v>43841</v>
      </c>
      <c r="C3433" s="9" t="s">
        <v>5</v>
      </c>
      <c r="D3433" s="10">
        <v>1125.5160000000001</v>
      </c>
      <c r="E3433" s="10">
        <v>1135.6029999999998</v>
      </c>
      <c r="F3433" t="str">
        <f>VLOOKUP(A3433,StoreLookup,2,FALSE)</f>
        <v>Store#2</v>
      </c>
      <c r="G3433">
        <f>INDEX(CalLookUpTable,MATCH($B3433,CalLookUpRow,0),MATCH(G$1,CalLookUpColumn,0))</f>
        <v>2020</v>
      </c>
      <c r="H3433">
        <f>INDEX(CalLookUpTable,MATCH($B3433,CalLookUpRow,0),MATCH(H$1,CalLookUpColumn,0))</f>
        <v>1</v>
      </c>
      <c r="I3433">
        <f>INDEX(CalLookUpTable,MATCH($B3433,CalLookUpRow,0),MATCH(I$1,CalLookUpColumn,0))</f>
        <v>2</v>
      </c>
    </row>
    <row r="3434" spans="1:9" x14ac:dyDescent="0.25">
      <c r="A3434" s="7">
        <v>2</v>
      </c>
      <c r="B3434" s="8">
        <v>43842</v>
      </c>
      <c r="C3434" s="9" t="s">
        <v>3</v>
      </c>
      <c r="D3434" s="10">
        <v>17.297000000000001</v>
      </c>
      <c r="E3434" s="10">
        <v>0</v>
      </c>
      <c r="F3434" t="str">
        <f>VLOOKUP(A3434,StoreLookup,2,FALSE)</f>
        <v>Store#2</v>
      </c>
      <c r="G3434">
        <f>INDEX(CalLookUpTable,MATCH($B3434,CalLookUpRow,0),MATCH(G$1,CalLookUpColumn,0))</f>
        <v>2020</v>
      </c>
      <c r="H3434">
        <f>INDEX(CalLookUpTable,MATCH($B3434,CalLookUpRow,0),MATCH(H$1,CalLookUpColumn,0))</f>
        <v>1</v>
      </c>
      <c r="I3434">
        <f>INDEX(CalLookUpTable,MATCH($B3434,CalLookUpRow,0),MATCH(I$1,CalLookUpColumn,0))</f>
        <v>2</v>
      </c>
    </row>
    <row r="3435" spans="1:9" x14ac:dyDescent="0.25">
      <c r="A3435" s="7">
        <v>2</v>
      </c>
      <c r="B3435" s="8">
        <v>43842</v>
      </c>
      <c r="C3435" s="9" t="s">
        <v>4</v>
      </c>
      <c r="D3435" s="10">
        <v>876.56099999999992</v>
      </c>
      <c r="E3435" s="10">
        <v>1077.1669999999999</v>
      </c>
      <c r="F3435" t="str">
        <f>VLOOKUP(A3435,StoreLookup,2,FALSE)</f>
        <v>Store#2</v>
      </c>
      <c r="G3435">
        <f>INDEX(CalLookUpTable,MATCH($B3435,CalLookUpRow,0),MATCH(G$1,CalLookUpColumn,0))</f>
        <v>2020</v>
      </c>
      <c r="H3435">
        <f>INDEX(CalLookUpTable,MATCH($B3435,CalLookUpRow,0),MATCH(H$1,CalLookUpColumn,0))</f>
        <v>1</v>
      </c>
      <c r="I3435">
        <f>INDEX(CalLookUpTable,MATCH($B3435,CalLookUpRow,0),MATCH(I$1,CalLookUpColumn,0))</f>
        <v>2</v>
      </c>
    </row>
    <row r="3436" spans="1:9" x14ac:dyDescent="0.25">
      <c r="A3436" s="7">
        <v>2</v>
      </c>
      <c r="B3436" s="8">
        <v>43842</v>
      </c>
      <c r="C3436" s="9" t="s">
        <v>6</v>
      </c>
      <c r="D3436" s="10">
        <v>299.99199999999996</v>
      </c>
      <c r="E3436" s="10">
        <v>105.64399999999999</v>
      </c>
      <c r="F3436" t="str">
        <f>VLOOKUP(A3436,StoreLookup,2,FALSE)</f>
        <v>Store#2</v>
      </c>
      <c r="G3436">
        <f>INDEX(CalLookUpTable,MATCH($B3436,CalLookUpRow,0),MATCH(G$1,CalLookUpColumn,0))</f>
        <v>2020</v>
      </c>
      <c r="H3436">
        <f>INDEX(CalLookUpTable,MATCH($B3436,CalLookUpRow,0),MATCH(H$1,CalLookUpColumn,0))</f>
        <v>1</v>
      </c>
      <c r="I3436">
        <f>INDEX(CalLookUpTable,MATCH($B3436,CalLookUpRow,0),MATCH(I$1,CalLookUpColumn,0))</f>
        <v>2</v>
      </c>
    </row>
    <row r="3437" spans="1:9" x14ac:dyDescent="0.25">
      <c r="A3437" s="7">
        <v>2</v>
      </c>
      <c r="B3437" s="8">
        <v>43842</v>
      </c>
      <c r="C3437" s="9" t="s">
        <v>5</v>
      </c>
      <c r="D3437" s="10">
        <v>648.67599999999993</v>
      </c>
      <c r="E3437" s="10">
        <v>592.52199999999993</v>
      </c>
      <c r="F3437" t="str">
        <f>VLOOKUP(A3437,StoreLookup,2,FALSE)</f>
        <v>Store#2</v>
      </c>
      <c r="G3437">
        <f>INDEX(CalLookUpTable,MATCH($B3437,CalLookUpRow,0),MATCH(G$1,CalLookUpColumn,0))</f>
        <v>2020</v>
      </c>
      <c r="H3437">
        <f>INDEX(CalLookUpTable,MATCH($B3437,CalLookUpRow,0),MATCH(H$1,CalLookUpColumn,0))</f>
        <v>1</v>
      </c>
      <c r="I3437">
        <f>INDEX(CalLookUpTable,MATCH($B3437,CalLookUpRow,0),MATCH(I$1,CalLookUpColumn,0))</f>
        <v>2</v>
      </c>
    </row>
    <row r="3438" spans="1:9" x14ac:dyDescent="0.25">
      <c r="A3438" s="7">
        <v>2</v>
      </c>
      <c r="B3438" s="8">
        <v>43843</v>
      </c>
      <c r="C3438" s="9" t="s">
        <v>3</v>
      </c>
      <c r="D3438" s="10">
        <v>422.37299999999999</v>
      </c>
      <c r="E3438" s="10">
        <v>113.95299999999999</v>
      </c>
      <c r="F3438" t="str">
        <f>VLOOKUP(A3438,StoreLookup,2,FALSE)</f>
        <v>Store#2</v>
      </c>
      <c r="G3438">
        <f>INDEX(CalLookUpTable,MATCH($B3438,CalLookUpRow,0),MATCH(G$1,CalLookUpColumn,0))</f>
        <v>2020</v>
      </c>
      <c r="H3438">
        <f>INDEX(CalLookUpTable,MATCH($B3438,CalLookUpRow,0),MATCH(H$1,CalLookUpColumn,0))</f>
        <v>1</v>
      </c>
      <c r="I3438">
        <f>INDEX(CalLookUpTable,MATCH($B3438,CalLookUpRow,0),MATCH(I$1,CalLookUpColumn,0))</f>
        <v>3</v>
      </c>
    </row>
    <row r="3439" spans="1:9" x14ac:dyDescent="0.25">
      <c r="A3439" s="7">
        <v>2</v>
      </c>
      <c r="B3439" s="8">
        <v>43843</v>
      </c>
      <c r="C3439" s="9" t="s">
        <v>4</v>
      </c>
      <c r="D3439" s="10">
        <v>1361.3389999999999</v>
      </c>
      <c r="E3439" s="10">
        <v>1411.837</v>
      </c>
      <c r="F3439" t="str">
        <f>VLOOKUP(A3439,StoreLookup,2,FALSE)</f>
        <v>Store#2</v>
      </c>
      <c r="G3439">
        <f>INDEX(CalLookUpTable,MATCH($B3439,CalLookUpRow,0),MATCH(G$1,CalLookUpColumn,0))</f>
        <v>2020</v>
      </c>
      <c r="H3439">
        <f>INDEX(CalLookUpTable,MATCH($B3439,CalLookUpRow,0),MATCH(H$1,CalLookUpColumn,0))</f>
        <v>1</v>
      </c>
      <c r="I3439">
        <f>INDEX(CalLookUpTable,MATCH($B3439,CalLookUpRow,0),MATCH(I$1,CalLookUpColumn,0))</f>
        <v>3</v>
      </c>
    </row>
    <row r="3440" spans="1:9" x14ac:dyDescent="0.25">
      <c r="A3440" s="7">
        <v>2</v>
      </c>
      <c r="B3440" s="8">
        <v>43843</v>
      </c>
      <c r="C3440" s="9" t="s">
        <v>6</v>
      </c>
      <c r="D3440" s="10">
        <v>294.154</v>
      </c>
      <c r="E3440" s="10">
        <v>353.017</v>
      </c>
      <c r="F3440" t="str">
        <f>VLOOKUP(A3440,StoreLookup,2,FALSE)</f>
        <v>Store#2</v>
      </c>
      <c r="G3440">
        <f>INDEX(CalLookUpTable,MATCH($B3440,CalLookUpRow,0),MATCH(G$1,CalLookUpColumn,0))</f>
        <v>2020</v>
      </c>
      <c r="H3440">
        <f>INDEX(CalLookUpTable,MATCH($B3440,CalLookUpRow,0),MATCH(H$1,CalLookUpColumn,0))</f>
        <v>1</v>
      </c>
      <c r="I3440">
        <f>INDEX(CalLookUpTable,MATCH($B3440,CalLookUpRow,0),MATCH(I$1,CalLookUpColumn,0))</f>
        <v>3</v>
      </c>
    </row>
    <row r="3441" spans="1:9" x14ac:dyDescent="0.25">
      <c r="A3441" s="7">
        <v>2</v>
      </c>
      <c r="B3441" s="8">
        <v>43843</v>
      </c>
      <c r="C3441" s="9" t="s">
        <v>5</v>
      </c>
      <c r="D3441" s="10">
        <v>948.59100000000001</v>
      </c>
      <c r="E3441" s="10">
        <v>760.89299999999992</v>
      </c>
      <c r="F3441" t="str">
        <f>VLOOKUP(A3441,StoreLookup,2,FALSE)</f>
        <v>Store#2</v>
      </c>
      <c r="G3441">
        <f>INDEX(CalLookUpTable,MATCH($B3441,CalLookUpRow,0),MATCH(G$1,CalLookUpColumn,0))</f>
        <v>2020</v>
      </c>
      <c r="H3441">
        <f>INDEX(CalLookUpTable,MATCH($B3441,CalLookUpRow,0),MATCH(H$1,CalLookUpColumn,0))</f>
        <v>1</v>
      </c>
      <c r="I3441">
        <f>INDEX(CalLookUpTable,MATCH($B3441,CalLookUpRow,0),MATCH(I$1,CalLookUpColumn,0))</f>
        <v>3</v>
      </c>
    </row>
    <row r="3442" spans="1:9" x14ac:dyDescent="0.25">
      <c r="A3442" s="7">
        <v>2</v>
      </c>
      <c r="B3442" s="8">
        <v>43844</v>
      </c>
      <c r="C3442" s="9" t="s">
        <v>5</v>
      </c>
      <c r="D3442" s="10">
        <v>1048.894</v>
      </c>
      <c r="E3442" s="10">
        <v>753.12300000000005</v>
      </c>
      <c r="F3442" t="str">
        <f>VLOOKUP(A3442,StoreLookup,2,FALSE)</f>
        <v>Store#2</v>
      </c>
      <c r="G3442">
        <f>INDEX(CalLookUpTable,MATCH($B3442,CalLookUpRow,0),MATCH(G$1,CalLookUpColumn,0))</f>
        <v>2020</v>
      </c>
      <c r="H3442">
        <f>INDEX(CalLookUpTable,MATCH($B3442,CalLookUpRow,0),MATCH(H$1,CalLookUpColumn,0))</f>
        <v>1</v>
      </c>
      <c r="I3442">
        <f>INDEX(CalLookUpTable,MATCH($B3442,CalLookUpRow,0),MATCH(I$1,CalLookUpColumn,0))</f>
        <v>3</v>
      </c>
    </row>
    <row r="3443" spans="1:9" x14ac:dyDescent="0.25">
      <c r="A3443" s="7">
        <v>2</v>
      </c>
      <c r="B3443" s="8">
        <v>43844</v>
      </c>
      <c r="C3443" s="9" t="s">
        <v>3</v>
      </c>
      <c r="D3443" s="10">
        <v>0</v>
      </c>
      <c r="E3443" s="10">
        <v>0</v>
      </c>
      <c r="F3443" t="str">
        <f>VLOOKUP(A3443,StoreLookup,2,FALSE)</f>
        <v>Store#2</v>
      </c>
      <c r="G3443">
        <f>INDEX(CalLookUpTable,MATCH($B3443,CalLookUpRow,0),MATCH(G$1,CalLookUpColumn,0))</f>
        <v>2020</v>
      </c>
      <c r="H3443">
        <f>INDEX(CalLookUpTable,MATCH($B3443,CalLookUpRow,0),MATCH(H$1,CalLookUpColumn,0))</f>
        <v>1</v>
      </c>
      <c r="I3443">
        <f>INDEX(CalLookUpTable,MATCH($B3443,CalLookUpRow,0),MATCH(I$1,CalLookUpColumn,0))</f>
        <v>3</v>
      </c>
    </row>
    <row r="3444" spans="1:9" x14ac:dyDescent="0.25">
      <c r="A3444" s="7">
        <v>2</v>
      </c>
      <c r="B3444" s="8">
        <v>43844</v>
      </c>
      <c r="C3444" s="9" t="s">
        <v>6</v>
      </c>
      <c r="D3444" s="10">
        <v>340.51499999999999</v>
      </c>
      <c r="E3444" s="10">
        <v>427.51799999999997</v>
      </c>
      <c r="F3444" t="str">
        <f>VLOOKUP(A3444,StoreLookup,2,FALSE)</f>
        <v>Store#2</v>
      </c>
      <c r="G3444">
        <f>INDEX(CalLookUpTable,MATCH($B3444,CalLookUpRow,0),MATCH(G$1,CalLookUpColumn,0))</f>
        <v>2020</v>
      </c>
      <c r="H3444">
        <f>INDEX(CalLookUpTable,MATCH($B3444,CalLookUpRow,0),MATCH(H$1,CalLookUpColumn,0))</f>
        <v>1</v>
      </c>
      <c r="I3444">
        <f>INDEX(CalLookUpTable,MATCH($B3444,CalLookUpRow,0),MATCH(I$1,CalLookUpColumn,0))</f>
        <v>3</v>
      </c>
    </row>
    <row r="3445" spans="1:9" x14ac:dyDescent="0.25">
      <c r="A3445" s="7">
        <v>2</v>
      </c>
      <c r="B3445" s="8">
        <v>43844</v>
      </c>
      <c r="C3445" s="9" t="s">
        <v>4</v>
      </c>
      <c r="D3445" s="10">
        <v>1695.0289999999998</v>
      </c>
      <c r="E3445" s="10">
        <v>1627.9969999999998</v>
      </c>
      <c r="F3445" t="str">
        <f>VLOOKUP(A3445,StoreLookup,2,FALSE)</f>
        <v>Store#2</v>
      </c>
      <c r="G3445">
        <f>INDEX(CalLookUpTable,MATCH($B3445,CalLookUpRow,0),MATCH(G$1,CalLookUpColumn,0))</f>
        <v>2020</v>
      </c>
      <c r="H3445">
        <f>INDEX(CalLookUpTable,MATCH($B3445,CalLookUpRow,0),MATCH(H$1,CalLookUpColumn,0))</f>
        <v>1</v>
      </c>
      <c r="I3445">
        <f>INDEX(CalLookUpTable,MATCH($B3445,CalLookUpRow,0),MATCH(I$1,CalLookUpColumn,0))</f>
        <v>3</v>
      </c>
    </row>
    <row r="3446" spans="1:9" x14ac:dyDescent="0.25">
      <c r="A3446" s="7">
        <v>2</v>
      </c>
      <c r="B3446" s="8">
        <v>43845</v>
      </c>
      <c r="C3446" s="9" t="s">
        <v>4</v>
      </c>
      <c r="D3446" s="10">
        <v>1294.9019999999998</v>
      </c>
      <c r="E3446" s="10">
        <v>1680.9939999999999</v>
      </c>
      <c r="F3446" t="str">
        <f>VLOOKUP(A3446,StoreLookup,2,FALSE)</f>
        <v>Store#2</v>
      </c>
      <c r="G3446">
        <f>INDEX(CalLookUpTable,MATCH($B3446,CalLookUpRow,0),MATCH(G$1,CalLookUpColumn,0))</f>
        <v>2020</v>
      </c>
      <c r="H3446">
        <f>INDEX(CalLookUpTable,MATCH($B3446,CalLookUpRow,0),MATCH(H$1,CalLookUpColumn,0))</f>
        <v>1</v>
      </c>
      <c r="I3446">
        <f>INDEX(CalLookUpTable,MATCH($B3446,CalLookUpRow,0),MATCH(I$1,CalLookUpColumn,0))</f>
        <v>3</v>
      </c>
    </row>
    <row r="3447" spans="1:9" x14ac:dyDescent="0.25">
      <c r="A3447" s="7">
        <v>2</v>
      </c>
      <c r="B3447" s="8">
        <v>43845</v>
      </c>
      <c r="C3447" s="9" t="s">
        <v>5</v>
      </c>
      <c r="D3447" s="10">
        <v>817.90099999999995</v>
      </c>
      <c r="E3447" s="10">
        <v>736.30199999999991</v>
      </c>
      <c r="F3447" t="str">
        <f>VLOOKUP(A3447,StoreLookup,2,FALSE)</f>
        <v>Store#2</v>
      </c>
      <c r="G3447">
        <f>INDEX(CalLookUpTable,MATCH($B3447,CalLookUpRow,0),MATCH(G$1,CalLookUpColumn,0))</f>
        <v>2020</v>
      </c>
      <c r="H3447">
        <f>INDEX(CalLookUpTable,MATCH($B3447,CalLookUpRow,0),MATCH(H$1,CalLookUpColumn,0))</f>
        <v>1</v>
      </c>
      <c r="I3447">
        <f>INDEX(CalLookUpTable,MATCH($B3447,CalLookUpRow,0),MATCH(I$1,CalLookUpColumn,0))</f>
        <v>3</v>
      </c>
    </row>
    <row r="3448" spans="1:9" x14ac:dyDescent="0.25">
      <c r="A3448" s="7">
        <v>2</v>
      </c>
      <c r="B3448" s="8">
        <v>43845</v>
      </c>
      <c r="C3448" s="9" t="s">
        <v>6</v>
      </c>
      <c r="D3448" s="10">
        <v>363.202</v>
      </c>
      <c r="E3448" s="10">
        <v>374.416</v>
      </c>
      <c r="F3448" t="str">
        <f>VLOOKUP(A3448,StoreLookup,2,FALSE)</f>
        <v>Store#2</v>
      </c>
      <c r="G3448">
        <f>INDEX(CalLookUpTable,MATCH($B3448,CalLookUpRow,0),MATCH(G$1,CalLookUpColumn,0))</f>
        <v>2020</v>
      </c>
      <c r="H3448">
        <f>INDEX(CalLookUpTable,MATCH($B3448,CalLookUpRow,0),MATCH(H$1,CalLookUpColumn,0))</f>
        <v>1</v>
      </c>
      <c r="I3448">
        <f>INDEX(CalLookUpTable,MATCH($B3448,CalLookUpRow,0),MATCH(I$1,CalLookUpColumn,0))</f>
        <v>3</v>
      </c>
    </row>
    <row r="3449" spans="1:9" x14ac:dyDescent="0.25">
      <c r="A3449" s="7">
        <v>2</v>
      </c>
      <c r="B3449" s="8">
        <v>43845</v>
      </c>
      <c r="C3449" s="9" t="s">
        <v>3</v>
      </c>
      <c r="D3449" s="10">
        <v>442.36500000000001</v>
      </c>
      <c r="E3449" s="10">
        <v>0</v>
      </c>
      <c r="F3449" t="str">
        <f>VLOOKUP(A3449,StoreLookup,2,FALSE)</f>
        <v>Store#2</v>
      </c>
      <c r="G3449">
        <f>INDEX(CalLookUpTable,MATCH($B3449,CalLookUpRow,0),MATCH(G$1,CalLookUpColumn,0))</f>
        <v>2020</v>
      </c>
      <c r="H3449">
        <f>INDEX(CalLookUpTable,MATCH($B3449,CalLookUpRow,0),MATCH(H$1,CalLookUpColumn,0))</f>
        <v>1</v>
      </c>
      <c r="I3449">
        <f>INDEX(CalLookUpTable,MATCH($B3449,CalLookUpRow,0),MATCH(I$1,CalLookUpColumn,0))</f>
        <v>3</v>
      </c>
    </row>
    <row r="3450" spans="1:9" x14ac:dyDescent="0.25">
      <c r="A3450" s="7">
        <v>2</v>
      </c>
      <c r="B3450" s="8">
        <v>43846</v>
      </c>
      <c r="C3450" s="9" t="s">
        <v>4</v>
      </c>
      <c r="D3450" s="10">
        <v>1725.7449999999999</v>
      </c>
      <c r="E3450" s="10">
        <v>1420.944</v>
      </c>
      <c r="F3450" t="str">
        <f>VLOOKUP(A3450,StoreLookup,2,FALSE)</f>
        <v>Store#2</v>
      </c>
      <c r="G3450">
        <f>INDEX(CalLookUpTable,MATCH($B3450,CalLookUpRow,0),MATCH(G$1,CalLookUpColumn,0))</f>
        <v>2020</v>
      </c>
      <c r="H3450">
        <f>INDEX(CalLookUpTable,MATCH($B3450,CalLookUpRow,0),MATCH(H$1,CalLookUpColumn,0))</f>
        <v>1</v>
      </c>
      <c r="I3450">
        <f>INDEX(CalLookUpTable,MATCH($B3450,CalLookUpRow,0),MATCH(I$1,CalLookUpColumn,0))</f>
        <v>3</v>
      </c>
    </row>
    <row r="3451" spans="1:9" x14ac:dyDescent="0.25">
      <c r="A3451" s="7">
        <v>2</v>
      </c>
      <c r="B3451" s="8">
        <v>43846</v>
      </c>
      <c r="C3451" s="9" t="s">
        <v>6</v>
      </c>
      <c r="D3451" s="10">
        <v>531.46100000000001</v>
      </c>
      <c r="E3451" s="10">
        <v>332.53499999999997</v>
      </c>
      <c r="F3451" t="str">
        <f>VLOOKUP(A3451,StoreLookup,2,FALSE)</f>
        <v>Store#2</v>
      </c>
      <c r="G3451">
        <f>INDEX(CalLookUpTable,MATCH($B3451,CalLookUpRow,0),MATCH(G$1,CalLookUpColumn,0))</f>
        <v>2020</v>
      </c>
      <c r="H3451">
        <f>INDEX(CalLookUpTable,MATCH($B3451,CalLookUpRow,0),MATCH(H$1,CalLookUpColumn,0))</f>
        <v>1</v>
      </c>
      <c r="I3451">
        <f>INDEX(CalLookUpTable,MATCH($B3451,CalLookUpRow,0),MATCH(I$1,CalLookUpColumn,0))</f>
        <v>3</v>
      </c>
    </row>
    <row r="3452" spans="1:9" x14ac:dyDescent="0.25">
      <c r="A3452" s="7">
        <v>2</v>
      </c>
      <c r="B3452" s="8">
        <v>43846</v>
      </c>
      <c r="C3452" s="9" t="s">
        <v>5</v>
      </c>
      <c r="D3452" s="10">
        <v>1215.5709999999999</v>
      </c>
      <c r="E3452" s="10">
        <v>1082.172</v>
      </c>
      <c r="F3452" t="str">
        <f>VLOOKUP(A3452,StoreLookup,2,FALSE)</f>
        <v>Store#2</v>
      </c>
      <c r="G3452">
        <f>INDEX(CalLookUpTable,MATCH($B3452,CalLookUpRow,0),MATCH(G$1,CalLookUpColumn,0))</f>
        <v>2020</v>
      </c>
      <c r="H3452">
        <f>INDEX(CalLookUpTable,MATCH($B3452,CalLookUpRow,0),MATCH(H$1,CalLookUpColumn,0))</f>
        <v>1</v>
      </c>
      <c r="I3452">
        <f>INDEX(CalLookUpTable,MATCH($B3452,CalLookUpRow,0),MATCH(I$1,CalLookUpColumn,0))</f>
        <v>3</v>
      </c>
    </row>
    <row r="3453" spans="1:9" x14ac:dyDescent="0.25">
      <c r="A3453" s="7">
        <v>2</v>
      </c>
      <c r="B3453" s="8">
        <v>43846</v>
      </c>
      <c r="C3453" s="9" t="s">
        <v>3</v>
      </c>
      <c r="D3453" s="10">
        <v>442.36500000000001</v>
      </c>
      <c r="E3453" s="10">
        <v>28.671999999999997</v>
      </c>
      <c r="F3453" t="str">
        <f>VLOOKUP(A3453,StoreLookup,2,FALSE)</f>
        <v>Store#2</v>
      </c>
      <c r="G3453">
        <f>INDEX(CalLookUpTable,MATCH($B3453,CalLookUpRow,0),MATCH(G$1,CalLookUpColumn,0))</f>
        <v>2020</v>
      </c>
      <c r="H3453">
        <f>INDEX(CalLookUpTable,MATCH($B3453,CalLookUpRow,0),MATCH(H$1,CalLookUpColumn,0))</f>
        <v>1</v>
      </c>
      <c r="I3453">
        <f>INDEX(CalLookUpTable,MATCH($B3453,CalLookUpRow,0),MATCH(I$1,CalLookUpColumn,0))</f>
        <v>3</v>
      </c>
    </row>
    <row r="3454" spans="1:9" x14ac:dyDescent="0.25">
      <c r="A3454" s="7">
        <v>2</v>
      </c>
      <c r="B3454" s="8">
        <v>43847</v>
      </c>
      <c r="C3454" s="9" t="s">
        <v>4</v>
      </c>
      <c r="D3454" s="10">
        <v>2467.3249999999998</v>
      </c>
      <c r="E3454" s="10">
        <v>2378.6419999999998</v>
      </c>
      <c r="F3454" t="str">
        <f>VLOOKUP(A3454,StoreLookup,2,FALSE)</f>
        <v>Store#2</v>
      </c>
      <c r="G3454">
        <f>INDEX(CalLookUpTable,MATCH($B3454,CalLookUpRow,0),MATCH(G$1,CalLookUpColumn,0))</f>
        <v>2020</v>
      </c>
      <c r="H3454">
        <f>INDEX(CalLookUpTable,MATCH($B3454,CalLookUpRow,0),MATCH(H$1,CalLookUpColumn,0))</f>
        <v>1</v>
      </c>
      <c r="I3454">
        <f>INDEX(CalLookUpTable,MATCH($B3454,CalLookUpRow,0),MATCH(I$1,CalLookUpColumn,0))</f>
        <v>3</v>
      </c>
    </row>
    <row r="3455" spans="1:9" x14ac:dyDescent="0.25">
      <c r="A3455" s="7">
        <v>2</v>
      </c>
      <c r="B3455" s="8">
        <v>43847</v>
      </c>
      <c r="C3455" s="9" t="s">
        <v>3</v>
      </c>
      <c r="D3455" s="10">
        <v>0</v>
      </c>
      <c r="E3455" s="10">
        <v>231.56</v>
      </c>
      <c r="F3455" t="str">
        <f>VLOOKUP(A3455,StoreLookup,2,FALSE)</f>
        <v>Store#2</v>
      </c>
      <c r="G3455">
        <f>INDEX(CalLookUpTable,MATCH($B3455,CalLookUpRow,0),MATCH(G$1,CalLookUpColumn,0))</f>
        <v>2020</v>
      </c>
      <c r="H3455">
        <f>INDEX(CalLookUpTable,MATCH($B3455,CalLookUpRow,0),MATCH(H$1,CalLookUpColumn,0))</f>
        <v>1</v>
      </c>
      <c r="I3455">
        <f>INDEX(CalLookUpTable,MATCH($B3455,CalLookUpRow,0),MATCH(I$1,CalLookUpColumn,0))</f>
        <v>3</v>
      </c>
    </row>
    <row r="3456" spans="1:9" x14ac:dyDescent="0.25">
      <c r="A3456" s="7">
        <v>2</v>
      </c>
      <c r="B3456" s="8">
        <v>43847</v>
      </c>
      <c r="C3456" s="9" t="s">
        <v>6</v>
      </c>
      <c r="D3456" s="10">
        <v>648.01099999999997</v>
      </c>
      <c r="E3456" s="10">
        <v>182.74199999999999</v>
      </c>
      <c r="F3456" t="str">
        <f>VLOOKUP(A3456,StoreLookup,2,FALSE)</f>
        <v>Store#2</v>
      </c>
      <c r="G3456">
        <f>INDEX(CalLookUpTable,MATCH($B3456,CalLookUpRow,0),MATCH(G$1,CalLookUpColumn,0))</f>
        <v>2020</v>
      </c>
      <c r="H3456">
        <f>INDEX(CalLookUpTable,MATCH($B3456,CalLookUpRow,0),MATCH(H$1,CalLookUpColumn,0))</f>
        <v>1</v>
      </c>
      <c r="I3456">
        <f>INDEX(CalLookUpTable,MATCH($B3456,CalLookUpRow,0),MATCH(I$1,CalLookUpColumn,0))</f>
        <v>3</v>
      </c>
    </row>
    <row r="3457" spans="1:9" x14ac:dyDescent="0.25">
      <c r="A3457" s="7">
        <v>2</v>
      </c>
      <c r="B3457" s="8">
        <v>43847</v>
      </c>
      <c r="C3457" s="9" t="s">
        <v>5</v>
      </c>
      <c r="D3457" s="10">
        <v>1567.4189999999999</v>
      </c>
      <c r="E3457" s="10">
        <v>1188.229</v>
      </c>
      <c r="F3457" t="str">
        <f>VLOOKUP(A3457,StoreLookup,2,FALSE)</f>
        <v>Store#2</v>
      </c>
      <c r="G3457">
        <f>INDEX(CalLookUpTable,MATCH($B3457,CalLookUpRow,0),MATCH(G$1,CalLookUpColumn,0))</f>
        <v>2020</v>
      </c>
      <c r="H3457">
        <f>INDEX(CalLookUpTable,MATCH($B3457,CalLookUpRow,0),MATCH(H$1,CalLookUpColumn,0))</f>
        <v>1</v>
      </c>
      <c r="I3457">
        <f>INDEX(CalLookUpTable,MATCH($B3457,CalLookUpRow,0),MATCH(I$1,CalLookUpColumn,0))</f>
        <v>3</v>
      </c>
    </row>
    <row r="3458" spans="1:9" x14ac:dyDescent="0.25">
      <c r="A3458" s="7">
        <v>2</v>
      </c>
      <c r="B3458" s="8">
        <v>43848</v>
      </c>
      <c r="C3458" s="9" t="s">
        <v>6</v>
      </c>
      <c r="D3458" s="10">
        <v>533.26699999999994</v>
      </c>
      <c r="E3458" s="10">
        <v>486.21299999999997</v>
      </c>
      <c r="F3458" t="str">
        <f>VLOOKUP(A3458,StoreLookup,2,FALSE)</f>
        <v>Store#2</v>
      </c>
      <c r="G3458">
        <f>INDEX(CalLookUpTable,MATCH($B3458,CalLookUpRow,0),MATCH(G$1,CalLookUpColumn,0))</f>
        <v>2020</v>
      </c>
      <c r="H3458">
        <f>INDEX(CalLookUpTable,MATCH($B3458,CalLookUpRow,0),MATCH(H$1,CalLookUpColumn,0))</f>
        <v>1</v>
      </c>
      <c r="I3458">
        <f>INDEX(CalLookUpTable,MATCH($B3458,CalLookUpRow,0),MATCH(I$1,CalLookUpColumn,0))</f>
        <v>3</v>
      </c>
    </row>
    <row r="3459" spans="1:9" x14ac:dyDescent="0.25">
      <c r="A3459" s="7">
        <v>2</v>
      </c>
      <c r="B3459" s="8">
        <v>43848</v>
      </c>
      <c r="C3459" s="9" t="s">
        <v>5</v>
      </c>
      <c r="D3459" s="10">
        <v>838.35500000000002</v>
      </c>
      <c r="E3459" s="10">
        <v>998.96999999999991</v>
      </c>
      <c r="F3459" t="str">
        <f>VLOOKUP(A3459,StoreLookup,2,FALSE)</f>
        <v>Store#2</v>
      </c>
      <c r="G3459">
        <f>INDEX(CalLookUpTable,MATCH($B3459,CalLookUpRow,0),MATCH(G$1,CalLookUpColumn,0))</f>
        <v>2020</v>
      </c>
      <c r="H3459">
        <f>INDEX(CalLookUpTable,MATCH($B3459,CalLookUpRow,0),MATCH(H$1,CalLookUpColumn,0))</f>
        <v>1</v>
      </c>
      <c r="I3459">
        <f>INDEX(CalLookUpTable,MATCH($B3459,CalLookUpRow,0),MATCH(I$1,CalLookUpColumn,0))</f>
        <v>3</v>
      </c>
    </row>
    <row r="3460" spans="1:9" x14ac:dyDescent="0.25">
      <c r="A3460" s="7">
        <v>2</v>
      </c>
      <c r="B3460" s="8">
        <v>43848</v>
      </c>
      <c r="C3460" s="9" t="s">
        <v>4</v>
      </c>
      <c r="D3460" s="10">
        <v>1805.6779999999999</v>
      </c>
      <c r="E3460" s="10">
        <v>2238.922</v>
      </c>
      <c r="F3460" t="str">
        <f>VLOOKUP(A3460,StoreLookup,2,FALSE)</f>
        <v>Store#2</v>
      </c>
      <c r="G3460">
        <f>INDEX(CalLookUpTable,MATCH($B3460,CalLookUpRow,0),MATCH(G$1,CalLookUpColumn,0))</f>
        <v>2020</v>
      </c>
      <c r="H3460">
        <f>INDEX(CalLookUpTable,MATCH($B3460,CalLookUpRow,0),MATCH(H$1,CalLookUpColumn,0))</f>
        <v>1</v>
      </c>
      <c r="I3460">
        <f>INDEX(CalLookUpTable,MATCH($B3460,CalLookUpRow,0),MATCH(I$1,CalLookUpColumn,0))</f>
        <v>3</v>
      </c>
    </row>
    <row r="3461" spans="1:9" x14ac:dyDescent="0.25">
      <c r="A3461" s="7">
        <v>2</v>
      </c>
      <c r="B3461" s="8">
        <v>43848</v>
      </c>
      <c r="C3461" s="9" t="s">
        <v>3</v>
      </c>
      <c r="D3461" s="10">
        <v>280.59499999999997</v>
      </c>
      <c r="E3461" s="10">
        <v>0</v>
      </c>
      <c r="F3461" t="str">
        <f>VLOOKUP(A3461,StoreLookup,2,FALSE)</f>
        <v>Store#2</v>
      </c>
      <c r="G3461">
        <f>INDEX(CalLookUpTable,MATCH($B3461,CalLookUpRow,0),MATCH(G$1,CalLookUpColumn,0))</f>
        <v>2020</v>
      </c>
      <c r="H3461">
        <f>INDEX(CalLookUpTable,MATCH($B3461,CalLookUpRow,0),MATCH(H$1,CalLookUpColumn,0))</f>
        <v>1</v>
      </c>
      <c r="I3461">
        <f>INDEX(CalLookUpTable,MATCH($B3461,CalLookUpRow,0),MATCH(I$1,CalLookUpColumn,0))</f>
        <v>3</v>
      </c>
    </row>
    <row r="3462" spans="1:9" x14ac:dyDescent="0.25">
      <c r="A3462" s="7">
        <v>2</v>
      </c>
      <c r="B3462" s="8">
        <v>43849</v>
      </c>
      <c r="C3462" s="9" t="s">
        <v>4</v>
      </c>
      <c r="D3462" s="10">
        <v>1046.4649999999999</v>
      </c>
      <c r="E3462" s="10">
        <v>1166.011</v>
      </c>
      <c r="F3462" t="str">
        <f>VLOOKUP(A3462,StoreLookup,2,FALSE)</f>
        <v>Store#2</v>
      </c>
      <c r="G3462">
        <f>INDEX(CalLookUpTable,MATCH($B3462,CalLookUpRow,0),MATCH(G$1,CalLookUpColumn,0))</f>
        <v>2020</v>
      </c>
      <c r="H3462">
        <f>INDEX(CalLookUpTable,MATCH($B3462,CalLookUpRow,0),MATCH(H$1,CalLookUpColumn,0))</f>
        <v>1</v>
      </c>
      <c r="I3462">
        <f>INDEX(CalLookUpTable,MATCH($B3462,CalLookUpRow,0),MATCH(I$1,CalLookUpColumn,0))</f>
        <v>3</v>
      </c>
    </row>
    <row r="3463" spans="1:9" x14ac:dyDescent="0.25">
      <c r="A3463" s="7">
        <v>2</v>
      </c>
      <c r="B3463" s="8">
        <v>43849</v>
      </c>
      <c r="C3463" s="9" t="s">
        <v>6</v>
      </c>
      <c r="D3463" s="10">
        <v>393.48399999999998</v>
      </c>
      <c r="E3463" s="10">
        <v>227.703</v>
      </c>
      <c r="F3463" t="str">
        <f>VLOOKUP(A3463,StoreLookup,2,FALSE)</f>
        <v>Store#2</v>
      </c>
      <c r="G3463">
        <f>INDEX(CalLookUpTable,MATCH($B3463,CalLookUpRow,0),MATCH(G$1,CalLookUpColumn,0))</f>
        <v>2020</v>
      </c>
      <c r="H3463">
        <f>INDEX(CalLookUpTable,MATCH($B3463,CalLookUpRow,0),MATCH(H$1,CalLookUpColumn,0))</f>
        <v>1</v>
      </c>
      <c r="I3463">
        <f>INDEX(CalLookUpTable,MATCH($B3463,CalLookUpRow,0),MATCH(I$1,CalLookUpColumn,0))</f>
        <v>3</v>
      </c>
    </row>
    <row r="3464" spans="1:9" x14ac:dyDescent="0.25">
      <c r="A3464" s="7">
        <v>2</v>
      </c>
      <c r="B3464" s="8">
        <v>43849</v>
      </c>
      <c r="C3464" s="9" t="s">
        <v>5</v>
      </c>
      <c r="D3464" s="10">
        <v>686.68599999999992</v>
      </c>
      <c r="E3464" s="10">
        <v>443.50600000000003</v>
      </c>
      <c r="F3464" t="str">
        <f>VLOOKUP(A3464,StoreLookup,2,FALSE)</f>
        <v>Store#2</v>
      </c>
      <c r="G3464">
        <f>INDEX(CalLookUpTable,MATCH($B3464,CalLookUpRow,0),MATCH(G$1,CalLookUpColumn,0))</f>
        <v>2020</v>
      </c>
      <c r="H3464">
        <f>INDEX(CalLookUpTable,MATCH($B3464,CalLookUpRow,0),MATCH(H$1,CalLookUpColumn,0))</f>
        <v>1</v>
      </c>
      <c r="I3464">
        <f>INDEX(CalLookUpTable,MATCH($B3464,CalLookUpRow,0),MATCH(I$1,CalLookUpColumn,0))</f>
        <v>3</v>
      </c>
    </row>
    <row r="3465" spans="1:9" x14ac:dyDescent="0.25">
      <c r="A3465" s="7">
        <v>2</v>
      </c>
      <c r="B3465" s="8">
        <v>43849</v>
      </c>
      <c r="C3465" s="9" t="s">
        <v>3</v>
      </c>
      <c r="D3465" s="10">
        <v>0</v>
      </c>
      <c r="E3465" s="10">
        <v>0</v>
      </c>
      <c r="F3465" t="str">
        <f>VLOOKUP(A3465,StoreLookup,2,FALSE)</f>
        <v>Store#2</v>
      </c>
      <c r="G3465">
        <f>INDEX(CalLookUpTable,MATCH($B3465,CalLookUpRow,0),MATCH(G$1,CalLookUpColumn,0))</f>
        <v>2020</v>
      </c>
      <c r="H3465">
        <f>INDEX(CalLookUpTable,MATCH($B3465,CalLookUpRow,0),MATCH(H$1,CalLookUpColumn,0))</f>
        <v>1</v>
      </c>
      <c r="I3465">
        <f>INDEX(CalLookUpTable,MATCH($B3465,CalLookUpRow,0),MATCH(I$1,CalLookUpColumn,0))</f>
        <v>3</v>
      </c>
    </row>
    <row r="3466" spans="1:9" x14ac:dyDescent="0.25">
      <c r="A3466" s="7">
        <v>2</v>
      </c>
      <c r="B3466" s="8">
        <v>43850</v>
      </c>
      <c r="C3466" s="9" t="s">
        <v>6</v>
      </c>
      <c r="D3466" s="10">
        <v>476.81899999999996</v>
      </c>
      <c r="E3466" s="10">
        <v>237.57299999999998</v>
      </c>
      <c r="F3466" t="str">
        <f>VLOOKUP(A3466,StoreLookup,2,FALSE)</f>
        <v>Store#2</v>
      </c>
      <c r="G3466">
        <f>INDEX(CalLookUpTable,MATCH($B3466,CalLookUpRow,0),MATCH(G$1,CalLookUpColumn,0))</f>
        <v>2020</v>
      </c>
      <c r="H3466">
        <f>INDEX(CalLookUpTable,MATCH($B3466,CalLookUpRow,0),MATCH(H$1,CalLookUpColumn,0))</f>
        <v>1</v>
      </c>
      <c r="I3466">
        <f>INDEX(CalLookUpTable,MATCH($B3466,CalLookUpRow,0),MATCH(I$1,CalLookUpColumn,0))</f>
        <v>4</v>
      </c>
    </row>
    <row r="3467" spans="1:9" x14ac:dyDescent="0.25">
      <c r="A3467" s="7">
        <v>2</v>
      </c>
      <c r="B3467" s="8">
        <v>43850</v>
      </c>
      <c r="C3467" s="9" t="s">
        <v>4</v>
      </c>
      <c r="D3467" s="10">
        <v>1468.8029999999999</v>
      </c>
      <c r="E3467" s="10">
        <v>1357.5029999999999</v>
      </c>
      <c r="F3467" t="str">
        <f>VLOOKUP(A3467,StoreLookup,2,FALSE)</f>
        <v>Store#2</v>
      </c>
      <c r="G3467">
        <f>INDEX(CalLookUpTable,MATCH($B3467,CalLookUpRow,0),MATCH(G$1,CalLookUpColumn,0))</f>
        <v>2020</v>
      </c>
      <c r="H3467">
        <f>INDEX(CalLookUpTable,MATCH($B3467,CalLookUpRow,0),MATCH(H$1,CalLookUpColumn,0))</f>
        <v>1</v>
      </c>
      <c r="I3467">
        <f>INDEX(CalLookUpTable,MATCH($B3467,CalLookUpRow,0),MATCH(I$1,CalLookUpColumn,0))</f>
        <v>4</v>
      </c>
    </row>
    <row r="3468" spans="1:9" x14ac:dyDescent="0.25">
      <c r="A3468" s="7">
        <v>2</v>
      </c>
      <c r="B3468" s="8">
        <v>43850</v>
      </c>
      <c r="C3468" s="9" t="s">
        <v>5</v>
      </c>
      <c r="D3468" s="10">
        <v>1113.133</v>
      </c>
      <c r="E3468" s="10">
        <v>784.07699999999988</v>
      </c>
      <c r="F3468" t="str">
        <f>VLOOKUP(A3468,StoreLookup,2,FALSE)</f>
        <v>Store#2</v>
      </c>
      <c r="G3468">
        <f>INDEX(CalLookUpTable,MATCH($B3468,CalLookUpRow,0),MATCH(G$1,CalLookUpColumn,0))</f>
        <v>2020</v>
      </c>
      <c r="H3468">
        <f>INDEX(CalLookUpTable,MATCH($B3468,CalLookUpRow,0),MATCH(H$1,CalLookUpColumn,0))</f>
        <v>1</v>
      </c>
      <c r="I3468">
        <f>INDEX(CalLookUpTable,MATCH($B3468,CalLookUpRow,0),MATCH(I$1,CalLookUpColumn,0))</f>
        <v>4</v>
      </c>
    </row>
    <row r="3469" spans="1:9" x14ac:dyDescent="0.25">
      <c r="A3469" s="7">
        <v>2</v>
      </c>
      <c r="B3469" s="8">
        <v>43850</v>
      </c>
      <c r="C3469" s="9" t="s">
        <v>3</v>
      </c>
      <c r="D3469" s="10">
        <v>0</v>
      </c>
      <c r="E3469" s="10">
        <v>0</v>
      </c>
      <c r="F3469" t="str">
        <f>VLOOKUP(A3469,StoreLookup,2,FALSE)</f>
        <v>Store#2</v>
      </c>
      <c r="G3469">
        <f>INDEX(CalLookUpTable,MATCH($B3469,CalLookUpRow,0),MATCH(G$1,CalLookUpColumn,0))</f>
        <v>2020</v>
      </c>
      <c r="H3469">
        <f>INDEX(CalLookUpTable,MATCH($B3469,CalLookUpRow,0),MATCH(H$1,CalLookUpColumn,0))</f>
        <v>1</v>
      </c>
      <c r="I3469">
        <f>INDEX(CalLookUpTable,MATCH($B3469,CalLookUpRow,0),MATCH(I$1,CalLookUpColumn,0))</f>
        <v>4</v>
      </c>
    </row>
    <row r="3470" spans="1:9" x14ac:dyDescent="0.25">
      <c r="A3470" s="7">
        <v>2</v>
      </c>
      <c r="B3470" s="8">
        <v>43851</v>
      </c>
      <c r="C3470" s="9" t="s">
        <v>4</v>
      </c>
      <c r="D3470" s="10">
        <v>1513.799</v>
      </c>
      <c r="E3470" s="10">
        <v>1646.1339999999998</v>
      </c>
      <c r="F3470" t="str">
        <f>VLOOKUP(A3470,StoreLookup,2,FALSE)</f>
        <v>Store#2</v>
      </c>
      <c r="G3470">
        <f>INDEX(CalLookUpTable,MATCH($B3470,CalLookUpRow,0),MATCH(G$1,CalLookUpColumn,0))</f>
        <v>2020</v>
      </c>
      <c r="H3470">
        <f>INDEX(CalLookUpTable,MATCH($B3470,CalLookUpRow,0),MATCH(H$1,CalLookUpColumn,0))</f>
        <v>1</v>
      </c>
      <c r="I3470">
        <f>INDEX(CalLookUpTable,MATCH($B3470,CalLookUpRow,0),MATCH(I$1,CalLookUpColumn,0))</f>
        <v>4</v>
      </c>
    </row>
    <row r="3471" spans="1:9" x14ac:dyDescent="0.25">
      <c r="A3471" s="7">
        <v>2</v>
      </c>
      <c r="B3471" s="8">
        <v>43851</v>
      </c>
      <c r="C3471" s="9" t="s">
        <v>6</v>
      </c>
      <c r="D3471" s="10">
        <v>272.15300000000002</v>
      </c>
      <c r="E3471" s="10">
        <v>318.68899999999996</v>
      </c>
      <c r="F3471" t="str">
        <f>VLOOKUP(A3471,StoreLookup,2,FALSE)</f>
        <v>Store#2</v>
      </c>
      <c r="G3471">
        <f>INDEX(CalLookUpTable,MATCH($B3471,CalLookUpRow,0),MATCH(G$1,CalLookUpColumn,0))</f>
        <v>2020</v>
      </c>
      <c r="H3471">
        <f>INDEX(CalLookUpTable,MATCH($B3471,CalLookUpRow,0),MATCH(H$1,CalLookUpColumn,0))</f>
        <v>1</v>
      </c>
      <c r="I3471">
        <f>INDEX(CalLookUpTable,MATCH($B3471,CalLookUpRow,0),MATCH(I$1,CalLookUpColumn,0))</f>
        <v>4</v>
      </c>
    </row>
    <row r="3472" spans="1:9" x14ac:dyDescent="0.25">
      <c r="A3472" s="7">
        <v>2</v>
      </c>
      <c r="B3472" s="8">
        <v>43851</v>
      </c>
      <c r="C3472" s="9" t="s">
        <v>5</v>
      </c>
      <c r="D3472" s="10">
        <v>1056.3419999999999</v>
      </c>
      <c r="E3472" s="10">
        <v>909.73399999999981</v>
      </c>
      <c r="F3472" t="str">
        <f>VLOOKUP(A3472,StoreLookup,2,FALSE)</f>
        <v>Store#2</v>
      </c>
      <c r="G3472">
        <f>INDEX(CalLookUpTable,MATCH($B3472,CalLookUpRow,0),MATCH(G$1,CalLookUpColumn,0))</f>
        <v>2020</v>
      </c>
      <c r="H3472">
        <f>INDEX(CalLookUpTable,MATCH($B3472,CalLookUpRow,0),MATCH(H$1,CalLookUpColumn,0))</f>
        <v>1</v>
      </c>
      <c r="I3472">
        <f>INDEX(CalLookUpTable,MATCH($B3472,CalLookUpRow,0),MATCH(I$1,CalLookUpColumn,0))</f>
        <v>4</v>
      </c>
    </row>
    <row r="3473" spans="1:9" x14ac:dyDescent="0.25">
      <c r="A3473" s="7">
        <v>2</v>
      </c>
      <c r="B3473" s="8">
        <v>43851</v>
      </c>
      <c r="C3473" s="9" t="s">
        <v>3</v>
      </c>
      <c r="D3473" s="10">
        <v>96.515999999999991</v>
      </c>
      <c r="E3473" s="10">
        <v>115.39499999999998</v>
      </c>
      <c r="F3473" t="str">
        <f>VLOOKUP(A3473,StoreLookup,2,FALSE)</f>
        <v>Store#2</v>
      </c>
      <c r="G3473">
        <f>INDEX(CalLookUpTable,MATCH($B3473,CalLookUpRow,0),MATCH(G$1,CalLookUpColumn,0))</f>
        <v>2020</v>
      </c>
      <c r="H3473">
        <f>INDEX(CalLookUpTable,MATCH($B3473,CalLookUpRow,0),MATCH(H$1,CalLookUpColumn,0))</f>
        <v>1</v>
      </c>
      <c r="I3473">
        <f>INDEX(CalLookUpTable,MATCH($B3473,CalLookUpRow,0),MATCH(I$1,CalLookUpColumn,0))</f>
        <v>4</v>
      </c>
    </row>
    <row r="3474" spans="1:9" x14ac:dyDescent="0.25">
      <c r="A3474" s="7">
        <v>2</v>
      </c>
      <c r="B3474" s="8">
        <v>43852</v>
      </c>
      <c r="C3474" s="9" t="s">
        <v>3</v>
      </c>
      <c r="D3474" s="10">
        <v>174.85999999999999</v>
      </c>
      <c r="E3474" s="10">
        <v>0</v>
      </c>
      <c r="F3474" t="str">
        <f>VLOOKUP(A3474,StoreLookup,2,FALSE)</f>
        <v>Store#2</v>
      </c>
      <c r="G3474">
        <f>INDEX(CalLookUpTable,MATCH($B3474,CalLookUpRow,0),MATCH(G$1,CalLookUpColumn,0))</f>
        <v>2020</v>
      </c>
      <c r="H3474">
        <f>INDEX(CalLookUpTable,MATCH($B3474,CalLookUpRow,0),MATCH(H$1,CalLookUpColumn,0))</f>
        <v>1</v>
      </c>
      <c r="I3474">
        <f>INDEX(CalLookUpTable,MATCH($B3474,CalLookUpRow,0),MATCH(I$1,CalLookUpColumn,0))</f>
        <v>4</v>
      </c>
    </row>
    <row r="3475" spans="1:9" x14ac:dyDescent="0.25">
      <c r="A3475" s="7">
        <v>2</v>
      </c>
      <c r="B3475" s="8">
        <v>43852</v>
      </c>
      <c r="C3475" s="9" t="s">
        <v>6</v>
      </c>
      <c r="D3475" s="10">
        <v>454.48199999999997</v>
      </c>
      <c r="E3475" s="10">
        <v>273.42</v>
      </c>
      <c r="F3475" t="str">
        <f>VLOOKUP(A3475,StoreLookup,2,FALSE)</f>
        <v>Store#2</v>
      </c>
      <c r="G3475">
        <f>INDEX(CalLookUpTable,MATCH($B3475,CalLookUpRow,0),MATCH(G$1,CalLookUpColumn,0))</f>
        <v>2020</v>
      </c>
      <c r="H3475">
        <f>INDEX(CalLookUpTable,MATCH($B3475,CalLookUpRow,0),MATCH(H$1,CalLookUpColumn,0))</f>
        <v>1</v>
      </c>
      <c r="I3475">
        <f>INDEX(CalLookUpTable,MATCH($B3475,CalLookUpRow,0),MATCH(I$1,CalLookUpColumn,0))</f>
        <v>4</v>
      </c>
    </row>
    <row r="3476" spans="1:9" x14ac:dyDescent="0.25">
      <c r="A3476" s="7">
        <v>2</v>
      </c>
      <c r="B3476" s="8">
        <v>43852</v>
      </c>
      <c r="C3476" s="9" t="s">
        <v>4</v>
      </c>
      <c r="D3476" s="10">
        <v>1463.6999999999998</v>
      </c>
      <c r="E3476" s="10">
        <v>1727.3339999999998</v>
      </c>
      <c r="F3476" t="str">
        <f>VLOOKUP(A3476,StoreLookup,2,FALSE)</f>
        <v>Store#2</v>
      </c>
      <c r="G3476">
        <f>INDEX(CalLookUpTable,MATCH($B3476,CalLookUpRow,0),MATCH(G$1,CalLookUpColumn,0))</f>
        <v>2020</v>
      </c>
      <c r="H3476">
        <f>INDEX(CalLookUpTable,MATCH($B3476,CalLookUpRow,0),MATCH(H$1,CalLookUpColumn,0))</f>
        <v>1</v>
      </c>
      <c r="I3476">
        <f>INDEX(CalLookUpTable,MATCH($B3476,CalLookUpRow,0),MATCH(I$1,CalLookUpColumn,0))</f>
        <v>4</v>
      </c>
    </row>
    <row r="3477" spans="1:9" x14ac:dyDescent="0.25">
      <c r="A3477" s="7">
        <v>2</v>
      </c>
      <c r="B3477" s="8">
        <v>43852</v>
      </c>
      <c r="C3477" s="9" t="s">
        <v>5</v>
      </c>
      <c r="D3477" s="10">
        <v>856.82799999999997</v>
      </c>
      <c r="E3477" s="10">
        <v>625.02299999999991</v>
      </c>
      <c r="F3477" t="str">
        <f>VLOOKUP(A3477,StoreLookup,2,FALSE)</f>
        <v>Store#2</v>
      </c>
      <c r="G3477">
        <f>INDEX(CalLookUpTable,MATCH($B3477,CalLookUpRow,0),MATCH(G$1,CalLookUpColumn,0))</f>
        <v>2020</v>
      </c>
      <c r="H3477">
        <f>INDEX(CalLookUpTable,MATCH($B3477,CalLookUpRow,0),MATCH(H$1,CalLookUpColumn,0))</f>
        <v>1</v>
      </c>
      <c r="I3477">
        <f>INDEX(CalLookUpTable,MATCH($B3477,CalLookUpRow,0),MATCH(I$1,CalLookUpColumn,0))</f>
        <v>4</v>
      </c>
    </row>
    <row r="3478" spans="1:9" x14ac:dyDescent="0.25">
      <c r="A3478" s="7">
        <v>2</v>
      </c>
      <c r="B3478" s="8">
        <v>43853</v>
      </c>
      <c r="C3478" s="9" t="s">
        <v>6</v>
      </c>
      <c r="D3478" s="10">
        <v>526.79899999999998</v>
      </c>
      <c r="E3478" s="10">
        <v>284.25599999999997</v>
      </c>
      <c r="F3478" t="str">
        <f>VLOOKUP(A3478,StoreLookup,2,FALSE)</f>
        <v>Store#2</v>
      </c>
      <c r="G3478">
        <f>INDEX(CalLookUpTable,MATCH($B3478,CalLookUpRow,0),MATCH(G$1,CalLookUpColumn,0))</f>
        <v>2020</v>
      </c>
      <c r="H3478">
        <f>INDEX(CalLookUpTable,MATCH($B3478,CalLookUpRow,0),MATCH(H$1,CalLookUpColumn,0))</f>
        <v>1</v>
      </c>
      <c r="I3478">
        <f>INDEX(CalLookUpTable,MATCH($B3478,CalLookUpRow,0),MATCH(I$1,CalLookUpColumn,0))</f>
        <v>4</v>
      </c>
    </row>
    <row r="3479" spans="1:9" x14ac:dyDescent="0.25">
      <c r="A3479" s="7">
        <v>2</v>
      </c>
      <c r="B3479" s="8">
        <v>43853</v>
      </c>
      <c r="C3479" s="9" t="s">
        <v>4</v>
      </c>
      <c r="D3479" s="10">
        <v>1867.3479999999997</v>
      </c>
      <c r="E3479" s="10">
        <v>2041.0669999999998</v>
      </c>
      <c r="F3479" t="str">
        <f>VLOOKUP(A3479,StoreLookup,2,FALSE)</f>
        <v>Store#2</v>
      </c>
      <c r="G3479">
        <f>INDEX(CalLookUpTable,MATCH($B3479,CalLookUpRow,0),MATCH(G$1,CalLookUpColumn,0))</f>
        <v>2020</v>
      </c>
      <c r="H3479">
        <f>INDEX(CalLookUpTable,MATCH($B3479,CalLookUpRow,0),MATCH(H$1,CalLookUpColumn,0))</f>
        <v>1</v>
      </c>
      <c r="I3479">
        <f>INDEX(CalLookUpTable,MATCH($B3479,CalLookUpRow,0),MATCH(I$1,CalLookUpColumn,0))</f>
        <v>4</v>
      </c>
    </row>
    <row r="3480" spans="1:9" x14ac:dyDescent="0.25">
      <c r="A3480" s="7">
        <v>2</v>
      </c>
      <c r="B3480" s="8">
        <v>43853</v>
      </c>
      <c r="C3480" s="9" t="s">
        <v>5</v>
      </c>
      <c r="D3480" s="10">
        <v>1139.3409999999999</v>
      </c>
      <c r="E3480" s="10">
        <v>928.65499999999997</v>
      </c>
      <c r="F3480" t="str">
        <f>VLOOKUP(A3480,StoreLookup,2,FALSE)</f>
        <v>Store#2</v>
      </c>
      <c r="G3480">
        <f>INDEX(CalLookUpTable,MATCH($B3480,CalLookUpRow,0),MATCH(G$1,CalLookUpColumn,0))</f>
        <v>2020</v>
      </c>
      <c r="H3480">
        <f>INDEX(CalLookUpTable,MATCH($B3480,CalLookUpRow,0),MATCH(H$1,CalLookUpColumn,0))</f>
        <v>1</v>
      </c>
      <c r="I3480">
        <f>INDEX(CalLookUpTable,MATCH($B3480,CalLookUpRow,0),MATCH(I$1,CalLookUpColumn,0))</f>
        <v>4</v>
      </c>
    </row>
    <row r="3481" spans="1:9" x14ac:dyDescent="0.25">
      <c r="A3481" s="7">
        <v>2</v>
      </c>
      <c r="B3481" s="8">
        <v>43853</v>
      </c>
      <c r="C3481" s="9" t="s">
        <v>3</v>
      </c>
      <c r="D3481" s="10">
        <v>0</v>
      </c>
      <c r="E3481" s="10">
        <v>153.85999999999999</v>
      </c>
      <c r="F3481" t="str">
        <f>VLOOKUP(A3481,StoreLookup,2,FALSE)</f>
        <v>Store#2</v>
      </c>
      <c r="G3481">
        <f>INDEX(CalLookUpTable,MATCH($B3481,CalLookUpRow,0),MATCH(G$1,CalLookUpColumn,0))</f>
        <v>2020</v>
      </c>
      <c r="H3481">
        <f>INDEX(CalLookUpTable,MATCH($B3481,CalLookUpRow,0),MATCH(H$1,CalLookUpColumn,0))</f>
        <v>1</v>
      </c>
      <c r="I3481">
        <f>INDEX(CalLookUpTable,MATCH($B3481,CalLookUpRow,0),MATCH(I$1,CalLookUpColumn,0))</f>
        <v>4</v>
      </c>
    </row>
    <row r="3482" spans="1:9" x14ac:dyDescent="0.25">
      <c r="A3482" s="7">
        <v>2</v>
      </c>
      <c r="B3482" s="8">
        <v>43854</v>
      </c>
      <c r="C3482" s="9" t="s">
        <v>4</v>
      </c>
      <c r="D3482" s="10">
        <v>2611.3289999999997</v>
      </c>
      <c r="E3482" s="10">
        <v>2346.8409999999999</v>
      </c>
      <c r="F3482" t="str">
        <f>VLOOKUP(A3482,StoreLookup,2,FALSE)</f>
        <v>Store#2</v>
      </c>
      <c r="G3482">
        <f>INDEX(CalLookUpTable,MATCH($B3482,CalLookUpRow,0),MATCH(G$1,CalLookUpColumn,0))</f>
        <v>2020</v>
      </c>
      <c r="H3482">
        <f>INDEX(CalLookUpTable,MATCH($B3482,CalLookUpRow,0),MATCH(H$1,CalLookUpColumn,0))</f>
        <v>1</v>
      </c>
      <c r="I3482">
        <f>INDEX(CalLookUpTable,MATCH($B3482,CalLookUpRow,0),MATCH(I$1,CalLookUpColumn,0))</f>
        <v>4</v>
      </c>
    </row>
    <row r="3483" spans="1:9" x14ac:dyDescent="0.25">
      <c r="A3483" s="7">
        <v>2</v>
      </c>
      <c r="B3483" s="8">
        <v>43854</v>
      </c>
      <c r="C3483" s="9" t="s">
        <v>5</v>
      </c>
      <c r="D3483" s="10">
        <v>1590.9109999999998</v>
      </c>
      <c r="E3483" s="10">
        <v>1217.2929999999999</v>
      </c>
      <c r="F3483" t="str">
        <f>VLOOKUP(A3483,StoreLookup,2,FALSE)</f>
        <v>Store#2</v>
      </c>
      <c r="G3483">
        <f>INDEX(CalLookUpTable,MATCH($B3483,CalLookUpRow,0),MATCH(G$1,CalLookUpColumn,0))</f>
        <v>2020</v>
      </c>
      <c r="H3483">
        <f>INDEX(CalLookUpTable,MATCH($B3483,CalLookUpRow,0),MATCH(H$1,CalLookUpColumn,0))</f>
        <v>1</v>
      </c>
      <c r="I3483">
        <f>INDEX(CalLookUpTable,MATCH($B3483,CalLookUpRow,0),MATCH(I$1,CalLookUpColumn,0))</f>
        <v>4</v>
      </c>
    </row>
    <row r="3484" spans="1:9" x14ac:dyDescent="0.25">
      <c r="A3484" s="7">
        <v>2</v>
      </c>
      <c r="B3484" s="8">
        <v>43854</v>
      </c>
      <c r="C3484" s="9" t="s">
        <v>3</v>
      </c>
      <c r="D3484" s="10">
        <v>15.658999999999999</v>
      </c>
      <c r="E3484" s="10">
        <v>0</v>
      </c>
      <c r="F3484" t="str">
        <f>VLOOKUP(A3484,StoreLookup,2,FALSE)</f>
        <v>Store#2</v>
      </c>
      <c r="G3484">
        <f>INDEX(CalLookUpTable,MATCH($B3484,CalLookUpRow,0),MATCH(G$1,CalLookUpColumn,0))</f>
        <v>2020</v>
      </c>
      <c r="H3484">
        <f>INDEX(CalLookUpTable,MATCH($B3484,CalLookUpRow,0),MATCH(H$1,CalLookUpColumn,0))</f>
        <v>1</v>
      </c>
      <c r="I3484">
        <f>INDEX(CalLookUpTable,MATCH($B3484,CalLookUpRow,0),MATCH(I$1,CalLookUpColumn,0))</f>
        <v>4</v>
      </c>
    </row>
    <row r="3485" spans="1:9" x14ac:dyDescent="0.25">
      <c r="A3485" s="7">
        <v>2</v>
      </c>
      <c r="B3485" s="8">
        <v>43854</v>
      </c>
      <c r="C3485" s="9" t="s">
        <v>6</v>
      </c>
      <c r="D3485" s="10">
        <v>523.31999999999994</v>
      </c>
      <c r="E3485" s="10">
        <v>412.23699999999997</v>
      </c>
      <c r="F3485" t="str">
        <f>VLOOKUP(A3485,StoreLookup,2,FALSE)</f>
        <v>Store#2</v>
      </c>
      <c r="G3485">
        <f>INDEX(CalLookUpTable,MATCH($B3485,CalLookUpRow,0),MATCH(G$1,CalLookUpColumn,0))</f>
        <v>2020</v>
      </c>
      <c r="H3485">
        <f>INDEX(CalLookUpTable,MATCH($B3485,CalLookUpRow,0),MATCH(H$1,CalLookUpColumn,0))</f>
        <v>1</v>
      </c>
      <c r="I3485">
        <f>INDEX(CalLookUpTable,MATCH($B3485,CalLookUpRow,0),MATCH(I$1,CalLookUpColumn,0))</f>
        <v>4</v>
      </c>
    </row>
    <row r="3486" spans="1:9" x14ac:dyDescent="0.25">
      <c r="A3486" s="7">
        <v>2</v>
      </c>
      <c r="B3486" s="8">
        <v>43855</v>
      </c>
      <c r="C3486" s="9" t="s">
        <v>4</v>
      </c>
      <c r="D3486" s="10">
        <v>1978.8789999999997</v>
      </c>
      <c r="E3486" s="10">
        <v>2000.6419999999998</v>
      </c>
      <c r="F3486" t="str">
        <f>VLOOKUP(A3486,StoreLookup,2,FALSE)</f>
        <v>Store#2</v>
      </c>
      <c r="G3486">
        <f>INDEX(CalLookUpTable,MATCH($B3486,CalLookUpRow,0),MATCH(G$1,CalLookUpColumn,0))</f>
        <v>2020</v>
      </c>
      <c r="H3486">
        <f>INDEX(CalLookUpTable,MATCH($B3486,CalLookUpRow,0),MATCH(H$1,CalLookUpColumn,0))</f>
        <v>1</v>
      </c>
      <c r="I3486">
        <f>INDEX(CalLookUpTable,MATCH($B3486,CalLookUpRow,0),MATCH(I$1,CalLookUpColumn,0))</f>
        <v>4</v>
      </c>
    </row>
    <row r="3487" spans="1:9" x14ac:dyDescent="0.25">
      <c r="A3487" s="7">
        <v>2</v>
      </c>
      <c r="B3487" s="8">
        <v>43855</v>
      </c>
      <c r="C3487" s="9" t="s">
        <v>3</v>
      </c>
      <c r="D3487" s="10">
        <v>0</v>
      </c>
      <c r="E3487" s="10">
        <v>69.384</v>
      </c>
      <c r="F3487" t="str">
        <f>VLOOKUP(A3487,StoreLookup,2,FALSE)</f>
        <v>Store#2</v>
      </c>
      <c r="G3487">
        <f>INDEX(CalLookUpTable,MATCH($B3487,CalLookUpRow,0),MATCH(G$1,CalLookUpColumn,0))</f>
        <v>2020</v>
      </c>
      <c r="H3487">
        <f>INDEX(CalLookUpTable,MATCH($B3487,CalLookUpRow,0),MATCH(H$1,CalLookUpColumn,0))</f>
        <v>1</v>
      </c>
      <c r="I3487">
        <f>INDEX(CalLookUpTable,MATCH($B3487,CalLookUpRow,0),MATCH(I$1,CalLookUpColumn,0))</f>
        <v>4</v>
      </c>
    </row>
    <row r="3488" spans="1:9" x14ac:dyDescent="0.25">
      <c r="A3488" s="7">
        <v>2</v>
      </c>
      <c r="B3488" s="8">
        <v>43855</v>
      </c>
      <c r="C3488" s="9" t="s">
        <v>6</v>
      </c>
      <c r="D3488" s="10">
        <v>422.83499999999992</v>
      </c>
      <c r="E3488" s="10">
        <v>445.19299999999998</v>
      </c>
      <c r="F3488" t="str">
        <f>VLOOKUP(A3488,StoreLookup,2,FALSE)</f>
        <v>Store#2</v>
      </c>
      <c r="G3488">
        <f>INDEX(CalLookUpTable,MATCH($B3488,CalLookUpRow,0),MATCH(G$1,CalLookUpColumn,0))</f>
        <v>2020</v>
      </c>
      <c r="H3488">
        <f>INDEX(CalLookUpTable,MATCH($B3488,CalLookUpRow,0),MATCH(H$1,CalLookUpColumn,0))</f>
        <v>1</v>
      </c>
      <c r="I3488">
        <f>INDEX(CalLookUpTable,MATCH($B3488,CalLookUpRow,0),MATCH(I$1,CalLookUpColumn,0))</f>
        <v>4</v>
      </c>
    </row>
    <row r="3489" spans="1:9" x14ac:dyDescent="0.25">
      <c r="A3489" s="7">
        <v>2</v>
      </c>
      <c r="B3489" s="8">
        <v>43855</v>
      </c>
      <c r="C3489" s="9" t="s">
        <v>5</v>
      </c>
      <c r="D3489" s="10">
        <v>1011.4160000000001</v>
      </c>
      <c r="E3489" s="10">
        <v>1044.106</v>
      </c>
      <c r="F3489" t="str">
        <f>VLOOKUP(A3489,StoreLookup,2,FALSE)</f>
        <v>Store#2</v>
      </c>
      <c r="G3489">
        <f>INDEX(CalLookUpTable,MATCH($B3489,CalLookUpRow,0),MATCH(G$1,CalLookUpColumn,0))</f>
        <v>2020</v>
      </c>
      <c r="H3489">
        <f>INDEX(CalLookUpTable,MATCH($B3489,CalLookUpRow,0),MATCH(H$1,CalLookUpColumn,0))</f>
        <v>1</v>
      </c>
      <c r="I3489">
        <f>INDEX(CalLookUpTable,MATCH($B3489,CalLookUpRow,0),MATCH(I$1,CalLookUpColumn,0))</f>
        <v>4</v>
      </c>
    </row>
    <row r="3490" spans="1:9" x14ac:dyDescent="0.25">
      <c r="A3490" s="7">
        <v>2</v>
      </c>
      <c r="B3490" s="8">
        <v>43856</v>
      </c>
      <c r="C3490" s="9" t="s">
        <v>6</v>
      </c>
      <c r="D3490" s="10">
        <v>374.11500000000001</v>
      </c>
      <c r="E3490" s="10">
        <v>357.86099999999999</v>
      </c>
      <c r="F3490" t="str">
        <f>VLOOKUP(A3490,StoreLookup,2,FALSE)</f>
        <v>Store#2</v>
      </c>
      <c r="G3490">
        <f>INDEX(CalLookUpTable,MATCH($B3490,CalLookUpRow,0),MATCH(G$1,CalLookUpColumn,0))</f>
        <v>2020</v>
      </c>
      <c r="H3490">
        <f>INDEX(CalLookUpTable,MATCH($B3490,CalLookUpRow,0),MATCH(H$1,CalLookUpColumn,0))</f>
        <v>1</v>
      </c>
      <c r="I3490">
        <f>INDEX(CalLookUpTable,MATCH($B3490,CalLookUpRow,0),MATCH(I$1,CalLookUpColumn,0))</f>
        <v>4</v>
      </c>
    </row>
    <row r="3491" spans="1:9" x14ac:dyDescent="0.25">
      <c r="A3491" s="7">
        <v>2</v>
      </c>
      <c r="B3491" s="8">
        <v>43856</v>
      </c>
      <c r="C3491" s="9" t="s">
        <v>3</v>
      </c>
      <c r="D3491" s="10">
        <v>236.79599999999996</v>
      </c>
      <c r="E3491" s="10">
        <v>173.43199999999999</v>
      </c>
      <c r="F3491" t="str">
        <f>VLOOKUP(A3491,StoreLookup,2,FALSE)</f>
        <v>Store#2</v>
      </c>
      <c r="G3491">
        <f>INDEX(CalLookUpTable,MATCH($B3491,CalLookUpRow,0),MATCH(G$1,CalLookUpColumn,0))</f>
        <v>2020</v>
      </c>
      <c r="H3491">
        <f>INDEX(CalLookUpTable,MATCH($B3491,CalLookUpRow,0),MATCH(H$1,CalLookUpColumn,0))</f>
        <v>1</v>
      </c>
      <c r="I3491">
        <f>INDEX(CalLookUpTable,MATCH($B3491,CalLookUpRow,0),MATCH(I$1,CalLookUpColumn,0))</f>
        <v>4</v>
      </c>
    </row>
    <row r="3492" spans="1:9" x14ac:dyDescent="0.25">
      <c r="A3492" s="7">
        <v>2</v>
      </c>
      <c r="B3492" s="8">
        <v>43856</v>
      </c>
      <c r="C3492" s="9" t="s">
        <v>4</v>
      </c>
      <c r="D3492" s="10">
        <v>1062.4110000000001</v>
      </c>
      <c r="E3492" s="10">
        <v>968.8</v>
      </c>
      <c r="F3492" t="str">
        <f>VLOOKUP(A3492,StoreLookup,2,FALSE)</f>
        <v>Store#2</v>
      </c>
      <c r="G3492">
        <f>INDEX(CalLookUpTable,MATCH($B3492,CalLookUpRow,0),MATCH(G$1,CalLookUpColumn,0))</f>
        <v>2020</v>
      </c>
      <c r="H3492">
        <f>INDEX(CalLookUpTable,MATCH($B3492,CalLookUpRow,0),MATCH(H$1,CalLookUpColumn,0))</f>
        <v>1</v>
      </c>
      <c r="I3492">
        <f>INDEX(CalLookUpTable,MATCH($B3492,CalLookUpRow,0),MATCH(I$1,CalLookUpColumn,0))</f>
        <v>4</v>
      </c>
    </row>
    <row r="3493" spans="1:9" x14ac:dyDescent="0.25">
      <c r="A3493" s="7">
        <v>2</v>
      </c>
      <c r="B3493" s="8">
        <v>43856</v>
      </c>
      <c r="C3493" s="9" t="s">
        <v>5</v>
      </c>
      <c r="D3493" s="10">
        <v>762.55899999999986</v>
      </c>
      <c r="E3493" s="10">
        <v>613.50800000000004</v>
      </c>
      <c r="F3493" t="str">
        <f>VLOOKUP(A3493,StoreLookup,2,FALSE)</f>
        <v>Store#2</v>
      </c>
      <c r="G3493">
        <f>INDEX(CalLookUpTable,MATCH($B3493,CalLookUpRow,0),MATCH(G$1,CalLookUpColumn,0))</f>
        <v>2020</v>
      </c>
      <c r="H3493">
        <f>INDEX(CalLookUpTable,MATCH($B3493,CalLookUpRow,0),MATCH(H$1,CalLookUpColumn,0))</f>
        <v>1</v>
      </c>
      <c r="I3493">
        <f>INDEX(CalLookUpTable,MATCH($B3493,CalLookUpRow,0),MATCH(I$1,CalLookUpColumn,0))</f>
        <v>4</v>
      </c>
    </row>
    <row r="3494" spans="1:9" x14ac:dyDescent="0.25">
      <c r="A3494" s="7">
        <v>2</v>
      </c>
      <c r="B3494" s="8">
        <v>43857</v>
      </c>
      <c r="C3494" s="9" t="s">
        <v>6</v>
      </c>
      <c r="D3494" s="10">
        <v>445.94199999999995</v>
      </c>
      <c r="E3494" s="10">
        <v>166.761</v>
      </c>
      <c r="F3494" t="str">
        <f>VLOOKUP(A3494,StoreLookup,2,FALSE)</f>
        <v>Store#2</v>
      </c>
      <c r="G3494">
        <f>INDEX(CalLookUpTable,MATCH($B3494,CalLookUpRow,0),MATCH(G$1,CalLookUpColumn,0))</f>
        <v>2020</v>
      </c>
      <c r="H3494">
        <f>INDEX(CalLookUpTable,MATCH($B3494,CalLookUpRow,0),MATCH(H$1,CalLookUpColumn,0))</f>
        <v>2</v>
      </c>
      <c r="I3494">
        <f>INDEX(CalLookUpTable,MATCH($B3494,CalLookUpRow,0),MATCH(I$1,CalLookUpColumn,0))</f>
        <v>1</v>
      </c>
    </row>
    <row r="3495" spans="1:9" x14ac:dyDescent="0.25">
      <c r="A3495" s="7">
        <v>2</v>
      </c>
      <c r="B3495" s="8">
        <v>43857</v>
      </c>
      <c r="C3495" s="9" t="s">
        <v>4</v>
      </c>
      <c r="D3495" s="10">
        <v>1201.2769999999998</v>
      </c>
      <c r="E3495" s="10">
        <v>1475.271</v>
      </c>
      <c r="F3495" t="str">
        <f>VLOOKUP(A3495,StoreLookup,2,FALSE)</f>
        <v>Store#2</v>
      </c>
      <c r="G3495">
        <f>INDEX(CalLookUpTable,MATCH($B3495,CalLookUpRow,0),MATCH(G$1,CalLookUpColumn,0))</f>
        <v>2020</v>
      </c>
      <c r="H3495">
        <f>INDEX(CalLookUpTable,MATCH($B3495,CalLookUpRow,0),MATCH(H$1,CalLookUpColumn,0))</f>
        <v>2</v>
      </c>
      <c r="I3495">
        <f>INDEX(CalLookUpTable,MATCH($B3495,CalLookUpRow,0),MATCH(I$1,CalLookUpColumn,0))</f>
        <v>1</v>
      </c>
    </row>
    <row r="3496" spans="1:9" x14ac:dyDescent="0.25">
      <c r="A3496" s="7">
        <v>2</v>
      </c>
      <c r="B3496" s="8">
        <v>43857</v>
      </c>
      <c r="C3496" s="9" t="s">
        <v>5</v>
      </c>
      <c r="D3496" s="10">
        <v>1014.0199999999999</v>
      </c>
      <c r="E3496" s="10">
        <v>750.09199999999987</v>
      </c>
      <c r="F3496" t="str">
        <f>VLOOKUP(A3496,StoreLookup,2,FALSE)</f>
        <v>Store#2</v>
      </c>
      <c r="G3496">
        <f>INDEX(CalLookUpTable,MATCH($B3496,CalLookUpRow,0),MATCH(G$1,CalLookUpColumn,0))</f>
        <v>2020</v>
      </c>
      <c r="H3496">
        <f>INDEX(CalLookUpTable,MATCH($B3496,CalLookUpRow,0),MATCH(H$1,CalLookUpColumn,0))</f>
        <v>2</v>
      </c>
      <c r="I3496">
        <f>INDEX(CalLookUpTable,MATCH($B3496,CalLookUpRow,0),MATCH(I$1,CalLookUpColumn,0))</f>
        <v>1</v>
      </c>
    </row>
    <row r="3497" spans="1:9" x14ac:dyDescent="0.25">
      <c r="A3497" s="7">
        <v>2</v>
      </c>
      <c r="B3497" s="8">
        <v>43857</v>
      </c>
      <c r="C3497" s="9" t="s">
        <v>3</v>
      </c>
      <c r="D3497" s="10">
        <v>0</v>
      </c>
      <c r="E3497" s="10">
        <v>0</v>
      </c>
      <c r="F3497" t="str">
        <f>VLOOKUP(A3497,StoreLookup,2,FALSE)</f>
        <v>Store#2</v>
      </c>
      <c r="G3497">
        <f>INDEX(CalLookUpTable,MATCH($B3497,CalLookUpRow,0),MATCH(G$1,CalLookUpColumn,0))</f>
        <v>2020</v>
      </c>
      <c r="H3497">
        <f>INDEX(CalLookUpTable,MATCH($B3497,CalLookUpRow,0),MATCH(H$1,CalLookUpColumn,0))</f>
        <v>2</v>
      </c>
      <c r="I3497">
        <f>INDEX(CalLookUpTable,MATCH($B3497,CalLookUpRow,0),MATCH(I$1,CalLookUpColumn,0))</f>
        <v>1</v>
      </c>
    </row>
    <row r="3498" spans="1:9" x14ac:dyDescent="0.25">
      <c r="A3498" s="7">
        <v>2</v>
      </c>
      <c r="B3498" s="8">
        <v>43858</v>
      </c>
      <c r="C3498" s="9" t="s">
        <v>6</v>
      </c>
      <c r="D3498" s="10">
        <v>426.81799999999998</v>
      </c>
      <c r="E3498" s="10">
        <v>338.95400000000001</v>
      </c>
      <c r="F3498" t="str">
        <f>VLOOKUP(A3498,StoreLookup,2,FALSE)</f>
        <v>Store#2</v>
      </c>
      <c r="G3498">
        <f>INDEX(CalLookUpTable,MATCH($B3498,CalLookUpRow,0),MATCH(G$1,CalLookUpColumn,0))</f>
        <v>2020</v>
      </c>
      <c r="H3498">
        <f>INDEX(CalLookUpTable,MATCH($B3498,CalLookUpRow,0),MATCH(H$1,CalLookUpColumn,0))</f>
        <v>2</v>
      </c>
      <c r="I3498">
        <f>INDEX(CalLookUpTable,MATCH($B3498,CalLookUpRow,0),MATCH(I$1,CalLookUpColumn,0))</f>
        <v>1</v>
      </c>
    </row>
    <row r="3499" spans="1:9" x14ac:dyDescent="0.25">
      <c r="A3499" s="7">
        <v>2</v>
      </c>
      <c r="B3499" s="8">
        <v>43858</v>
      </c>
      <c r="C3499" s="9" t="s">
        <v>4</v>
      </c>
      <c r="D3499" s="10">
        <v>1689.7159999999999</v>
      </c>
      <c r="E3499" s="10">
        <v>1781.0869999999998</v>
      </c>
      <c r="F3499" t="str">
        <f>VLOOKUP(A3499,StoreLookup,2,FALSE)</f>
        <v>Store#2</v>
      </c>
      <c r="G3499">
        <f>INDEX(CalLookUpTable,MATCH($B3499,CalLookUpRow,0),MATCH(G$1,CalLookUpColumn,0))</f>
        <v>2020</v>
      </c>
      <c r="H3499">
        <f>INDEX(CalLookUpTable,MATCH($B3499,CalLookUpRow,0),MATCH(H$1,CalLookUpColumn,0))</f>
        <v>2</v>
      </c>
      <c r="I3499">
        <f>INDEX(CalLookUpTable,MATCH($B3499,CalLookUpRow,0),MATCH(I$1,CalLookUpColumn,0))</f>
        <v>1</v>
      </c>
    </row>
    <row r="3500" spans="1:9" x14ac:dyDescent="0.25">
      <c r="A3500" s="7">
        <v>2</v>
      </c>
      <c r="B3500" s="8">
        <v>43858</v>
      </c>
      <c r="C3500" s="9" t="s">
        <v>3</v>
      </c>
      <c r="D3500" s="10">
        <v>132.71299999999999</v>
      </c>
      <c r="E3500" s="10">
        <v>0</v>
      </c>
      <c r="F3500" t="str">
        <f>VLOOKUP(A3500,StoreLookup,2,FALSE)</f>
        <v>Store#2</v>
      </c>
      <c r="G3500">
        <f>INDEX(CalLookUpTable,MATCH($B3500,CalLookUpRow,0),MATCH(G$1,CalLookUpColumn,0))</f>
        <v>2020</v>
      </c>
      <c r="H3500">
        <f>INDEX(CalLookUpTable,MATCH($B3500,CalLookUpRow,0),MATCH(H$1,CalLookUpColumn,0))</f>
        <v>2</v>
      </c>
      <c r="I3500">
        <f>INDEX(CalLookUpTable,MATCH($B3500,CalLookUpRow,0),MATCH(I$1,CalLookUpColumn,0))</f>
        <v>1</v>
      </c>
    </row>
    <row r="3501" spans="1:9" x14ac:dyDescent="0.25">
      <c r="A3501" s="7">
        <v>2</v>
      </c>
      <c r="B3501" s="8">
        <v>43858</v>
      </c>
      <c r="C3501" s="9" t="s">
        <v>5</v>
      </c>
      <c r="D3501" s="10">
        <v>1111.5089999999998</v>
      </c>
      <c r="E3501" s="10">
        <v>838.572</v>
      </c>
      <c r="F3501" t="str">
        <f>VLOOKUP(A3501,StoreLookup,2,FALSE)</f>
        <v>Store#2</v>
      </c>
      <c r="G3501">
        <f>INDEX(CalLookUpTable,MATCH($B3501,CalLookUpRow,0),MATCH(G$1,CalLookUpColumn,0))</f>
        <v>2020</v>
      </c>
      <c r="H3501">
        <f>INDEX(CalLookUpTable,MATCH($B3501,CalLookUpRow,0),MATCH(H$1,CalLookUpColumn,0))</f>
        <v>2</v>
      </c>
      <c r="I3501">
        <f>INDEX(CalLookUpTable,MATCH($B3501,CalLookUpRow,0),MATCH(I$1,CalLookUpColumn,0))</f>
        <v>1</v>
      </c>
    </row>
    <row r="3502" spans="1:9" x14ac:dyDescent="0.25">
      <c r="A3502" s="7">
        <v>2</v>
      </c>
      <c r="B3502" s="8">
        <v>43859</v>
      </c>
      <c r="C3502" s="9" t="s">
        <v>5</v>
      </c>
      <c r="D3502" s="10">
        <v>1050.7</v>
      </c>
      <c r="E3502" s="10">
        <v>896.97299999999996</v>
      </c>
      <c r="F3502" t="str">
        <f>VLOOKUP(A3502,StoreLookup,2,FALSE)</f>
        <v>Store#2</v>
      </c>
      <c r="G3502">
        <f>INDEX(CalLookUpTable,MATCH($B3502,CalLookUpRow,0),MATCH(G$1,CalLookUpColumn,0))</f>
        <v>2020</v>
      </c>
      <c r="H3502">
        <f>INDEX(CalLookUpTable,MATCH($B3502,CalLookUpRow,0),MATCH(H$1,CalLookUpColumn,0))</f>
        <v>2</v>
      </c>
      <c r="I3502">
        <f>INDEX(CalLookUpTable,MATCH($B3502,CalLookUpRow,0),MATCH(I$1,CalLookUpColumn,0))</f>
        <v>1</v>
      </c>
    </row>
    <row r="3503" spans="1:9" x14ac:dyDescent="0.25">
      <c r="A3503" s="7">
        <v>2</v>
      </c>
      <c r="B3503" s="8">
        <v>43859</v>
      </c>
      <c r="C3503" s="9" t="s">
        <v>4</v>
      </c>
      <c r="D3503" s="10">
        <v>1620.5279999999998</v>
      </c>
      <c r="E3503" s="10">
        <v>1445.941</v>
      </c>
      <c r="F3503" t="str">
        <f>VLOOKUP(A3503,StoreLookup,2,FALSE)</f>
        <v>Store#2</v>
      </c>
      <c r="G3503">
        <f>INDEX(CalLookUpTable,MATCH($B3503,CalLookUpRow,0),MATCH(G$1,CalLookUpColumn,0))</f>
        <v>2020</v>
      </c>
      <c r="H3503">
        <f>INDEX(CalLookUpTable,MATCH($B3503,CalLookUpRow,0),MATCH(H$1,CalLookUpColumn,0))</f>
        <v>2</v>
      </c>
      <c r="I3503">
        <f>INDEX(CalLookUpTable,MATCH($B3503,CalLookUpRow,0),MATCH(I$1,CalLookUpColumn,0))</f>
        <v>1</v>
      </c>
    </row>
    <row r="3504" spans="1:9" x14ac:dyDescent="0.25">
      <c r="A3504" s="7">
        <v>2</v>
      </c>
      <c r="B3504" s="8">
        <v>43859</v>
      </c>
      <c r="C3504" s="9" t="s">
        <v>6</v>
      </c>
      <c r="D3504" s="10">
        <v>375.64099999999996</v>
      </c>
      <c r="E3504" s="10">
        <v>388.17799999999994</v>
      </c>
      <c r="F3504" t="str">
        <f>VLOOKUP(A3504,StoreLookup,2,FALSE)</f>
        <v>Store#2</v>
      </c>
      <c r="G3504">
        <f>INDEX(CalLookUpTable,MATCH($B3504,CalLookUpRow,0),MATCH(G$1,CalLookUpColumn,0))</f>
        <v>2020</v>
      </c>
      <c r="H3504">
        <f>INDEX(CalLookUpTable,MATCH($B3504,CalLookUpRow,0),MATCH(H$1,CalLookUpColumn,0))</f>
        <v>2</v>
      </c>
      <c r="I3504">
        <f>INDEX(CalLookUpTable,MATCH($B3504,CalLookUpRow,0),MATCH(I$1,CalLookUpColumn,0))</f>
        <v>1</v>
      </c>
    </row>
    <row r="3505" spans="1:9" x14ac:dyDescent="0.25">
      <c r="A3505" s="7">
        <v>2</v>
      </c>
      <c r="B3505" s="8">
        <v>43859</v>
      </c>
      <c r="C3505" s="9" t="s">
        <v>3</v>
      </c>
      <c r="D3505" s="10">
        <v>304.53499999999997</v>
      </c>
      <c r="E3505" s="10">
        <v>0</v>
      </c>
      <c r="F3505" t="str">
        <f>VLOOKUP(A3505,StoreLookup,2,FALSE)</f>
        <v>Store#2</v>
      </c>
      <c r="G3505">
        <f>INDEX(CalLookUpTable,MATCH($B3505,CalLookUpRow,0),MATCH(G$1,CalLookUpColumn,0))</f>
        <v>2020</v>
      </c>
      <c r="H3505">
        <f>INDEX(CalLookUpTable,MATCH($B3505,CalLookUpRow,0),MATCH(H$1,CalLookUpColumn,0))</f>
        <v>2</v>
      </c>
      <c r="I3505">
        <f>INDEX(CalLookUpTable,MATCH($B3505,CalLookUpRow,0),MATCH(I$1,CalLookUpColumn,0))</f>
        <v>1</v>
      </c>
    </row>
    <row r="3506" spans="1:9" x14ac:dyDescent="0.25">
      <c r="A3506" s="7">
        <v>2</v>
      </c>
      <c r="B3506" s="8">
        <v>43860</v>
      </c>
      <c r="C3506" s="9" t="s">
        <v>5</v>
      </c>
      <c r="D3506" s="10">
        <v>1165.1709999999998</v>
      </c>
      <c r="E3506" s="10">
        <v>884.0089999999999</v>
      </c>
      <c r="F3506" t="str">
        <f>VLOOKUP(A3506,StoreLookup,2,FALSE)</f>
        <v>Store#2</v>
      </c>
      <c r="G3506">
        <f>INDEX(CalLookUpTable,MATCH($B3506,CalLookUpRow,0),MATCH(G$1,CalLookUpColumn,0))</f>
        <v>2020</v>
      </c>
      <c r="H3506">
        <f>INDEX(CalLookUpTable,MATCH($B3506,CalLookUpRow,0),MATCH(H$1,CalLookUpColumn,0))</f>
        <v>2</v>
      </c>
      <c r="I3506">
        <f>INDEX(CalLookUpTable,MATCH($B3506,CalLookUpRow,0),MATCH(I$1,CalLookUpColumn,0))</f>
        <v>1</v>
      </c>
    </row>
    <row r="3507" spans="1:9" x14ac:dyDescent="0.25">
      <c r="A3507" s="7">
        <v>2</v>
      </c>
      <c r="B3507" s="8">
        <v>43860</v>
      </c>
      <c r="C3507" s="9" t="s">
        <v>3</v>
      </c>
      <c r="D3507" s="10">
        <v>353.892</v>
      </c>
      <c r="E3507" s="10">
        <v>0</v>
      </c>
      <c r="F3507" t="str">
        <f>VLOOKUP(A3507,StoreLookup,2,FALSE)</f>
        <v>Store#2</v>
      </c>
      <c r="G3507">
        <f>INDEX(CalLookUpTable,MATCH($B3507,CalLookUpRow,0),MATCH(G$1,CalLookUpColumn,0))</f>
        <v>2020</v>
      </c>
      <c r="H3507">
        <f>INDEX(CalLookUpTable,MATCH($B3507,CalLookUpRow,0),MATCH(H$1,CalLookUpColumn,0))</f>
        <v>2</v>
      </c>
      <c r="I3507">
        <f>INDEX(CalLookUpTable,MATCH($B3507,CalLookUpRow,0),MATCH(I$1,CalLookUpColumn,0))</f>
        <v>1</v>
      </c>
    </row>
    <row r="3508" spans="1:9" x14ac:dyDescent="0.25">
      <c r="A3508" s="7">
        <v>2</v>
      </c>
      <c r="B3508" s="8">
        <v>43860</v>
      </c>
      <c r="C3508" s="9" t="s">
        <v>6</v>
      </c>
      <c r="D3508" s="10">
        <v>471.94</v>
      </c>
      <c r="E3508" s="10">
        <v>302.834</v>
      </c>
      <c r="F3508" t="str">
        <f>VLOOKUP(A3508,StoreLookup,2,FALSE)</f>
        <v>Store#2</v>
      </c>
      <c r="G3508">
        <f>INDEX(CalLookUpTable,MATCH($B3508,CalLookUpRow,0),MATCH(G$1,CalLookUpColumn,0))</f>
        <v>2020</v>
      </c>
      <c r="H3508">
        <f>INDEX(CalLookUpTable,MATCH($B3508,CalLookUpRow,0),MATCH(H$1,CalLookUpColumn,0))</f>
        <v>2</v>
      </c>
      <c r="I3508">
        <f>INDEX(CalLookUpTable,MATCH($B3508,CalLookUpRow,0),MATCH(I$1,CalLookUpColumn,0))</f>
        <v>1</v>
      </c>
    </row>
    <row r="3509" spans="1:9" x14ac:dyDescent="0.25">
      <c r="A3509" s="7">
        <v>2</v>
      </c>
      <c r="B3509" s="8">
        <v>43860</v>
      </c>
      <c r="C3509" s="9" t="s">
        <v>4</v>
      </c>
      <c r="D3509" s="10">
        <v>1646.3019999999999</v>
      </c>
      <c r="E3509" s="10">
        <v>2028.502</v>
      </c>
      <c r="F3509" t="str">
        <f>VLOOKUP(A3509,StoreLookup,2,FALSE)</f>
        <v>Store#2</v>
      </c>
      <c r="G3509">
        <f>INDEX(CalLookUpTable,MATCH($B3509,CalLookUpRow,0),MATCH(G$1,CalLookUpColumn,0))</f>
        <v>2020</v>
      </c>
      <c r="H3509">
        <f>INDEX(CalLookUpTable,MATCH($B3509,CalLookUpRow,0),MATCH(H$1,CalLookUpColumn,0))</f>
        <v>2</v>
      </c>
      <c r="I3509">
        <f>INDEX(CalLookUpTable,MATCH($B3509,CalLookUpRow,0),MATCH(I$1,CalLookUpColumn,0))</f>
        <v>1</v>
      </c>
    </row>
    <row r="3510" spans="1:9" x14ac:dyDescent="0.25">
      <c r="A3510" s="7">
        <v>2</v>
      </c>
      <c r="B3510" s="8">
        <v>43861</v>
      </c>
      <c r="C3510" s="9" t="s">
        <v>5</v>
      </c>
      <c r="D3510" s="10">
        <v>1017.0019999999998</v>
      </c>
      <c r="E3510" s="10">
        <v>1137.8429999999998</v>
      </c>
      <c r="F3510" t="str">
        <f>VLOOKUP(A3510,StoreLookup,2,FALSE)</f>
        <v>Store#2</v>
      </c>
      <c r="G3510">
        <f>INDEX(CalLookUpTable,MATCH($B3510,CalLookUpRow,0),MATCH(G$1,CalLookUpColumn,0))</f>
        <v>2020</v>
      </c>
      <c r="H3510">
        <f>INDEX(CalLookUpTable,MATCH($B3510,CalLookUpRow,0),MATCH(H$1,CalLookUpColumn,0))</f>
        <v>2</v>
      </c>
      <c r="I3510">
        <f>INDEX(CalLookUpTable,MATCH($B3510,CalLookUpRow,0),MATCH(I$1,CalLookUpColumn,0))</f>
        <v>1</v>
      </c>
    </row>
    <row r="3511" spans="1:9" x14ac:dyDescent="0.25">
      <c r="A3511" s="7">
        <v>2</v>
      </c>
      <c r="B3511" s="8">
        <v>43861</v>
      </c>
      <c r="C3511" s="9" t="s">
        <v>4</v>
      </c>
      <c r="D3511" s="10">
        <v>1946.1189999999999</v>
      </c>
      <c r="E3511" s="10">
        <v>2148.7759999999998</v>
      </c>
      <c r="F3511" t="str">
        <f>VLOOKUP(A3511,StoreLookup,2,FALSE)</f>
        <v>Store#2</v>
      </c>
      <c r="G3511">
        <f>INDEX(CalLookUpTable,MATCH($B3511,CalLookUpRow,0),MATCH(G$1,CalLookUpColumn,0))</f>
        <v>2020</v>
      </c>
      <c r="H3511">
        <f>INDEX(CalLookUpTable,MATCH($B3511,CalLookUpRow,0),MATCH(H$1,CalLookUpColumn,0))</f>
        <v>2</v>
      </c>
      <c r="I3511">
        <f>INDEX(CalLookUpTable,MATCH($B3511,CalLookUpRow,0),MATCH(I$1,CalLookUpColumn,0))</f>
        <v>1</v>
      </c>
    </row>
    <row r="3512" spans="1:9" x14ac:dyDescent="0.25">
      <c r="A3512" s="7">
        <v>2</v>
      </c>
      <c r="B3512" s="8">
        <v>43861</v>
      </c>
      <c r="C3512" s="9" t="s">
        <v>6</v>
      </c>
      <c r="D3512" s="10">
        <v>693.49</v>
      </c>
      <c r="E3512" s="10">
        <v>505.988</v>
      </c>
      <c r="F3512" t="str">
        <f>VLOOKUP(A3512,StoreLookup,2,FALSE)</f>
        <v>Store#2</v>
      </c>
      <c r="G3512">
        <f>INDEX(CalLookUpTable,MATCH($B3512,CalLookUpRow,0),MATCH(G$1,CalLookUpColumn,0))</f>
        <v>2020</v>
      </c>
      <c r="H3512">
        <f>INDEX(CalLookUpTable,MATCH($B3512,CalLookUpRow,0),MATCH(H$1,CalLookUpColumn,0))</f>
        <v>2</v>
      </c>
      <c r="I3512">
        <f>INDEX(CalLookUpTable,MATCH($B3512,CalLookUpRow,0),MATCH(I$1,CalLookUpColumn,0))</f>
        <v>1</v>
      </c>
    </row>
    <row r="3513" spans="1:9" x14ac:dyDescent="0.25">
      <c r="A3513" s="7">
        <v>2</v>
      </c>
      <c r="B3513" s="8">
        <v>43861</v>
      </c>
      <c r="C3513" s="9" t="s">
        <v>3</v>
      </c>
      <c r="D3513" s="10">
        <v>543.51499999999999</v>
      </c>
      <c r="E3513" s="10">
        <v>0</v>
      </c>
      <c r="F3513" t="str">
        <f>VLOOKUP(A3513,StoreLookup,2,FALSE)</f>
        <v>Store#2</v>
      </c>
      <c r="G3513">
        <f>INDEX(CalLookUpTable,MATCH($B3513,CalLookUpRow,0),MATCH(G$1,CalLookUpColumn,0))</f>
        <v>2020</v>
      </c>
      <c r="H3513">
        <f>INDEX(CalLookUpTable,MATCH($B3513,CalLookUpRow,0),MATCH(H$1,CalLookUpColumn,0))</f>
        <v>2</v>
      </c>
      <c r="I3513">
        <f>INDEX(CalLookUpTable,MATCH($B3513,CalLookUpRow,0),MATCH(I$1,CalLookUpColumn,0))</f>
        <v>1</v>
      </c>
    </row>
    <row r="3514" spans="1:9" x14ac:dyDescent="0.25">
      <c r="A3514" s="7">
        <v>2</v>
      </c>
      <c r="B3514" s="8">
        <v>43862</v>
      </c>
      <c r="C3514" s="9" t="s">
        <v>3</v>
      </c>
      <c r="D3514" s="10">
        <v>194.642</v>
      </c>
      <c r="E3514" s="10">
        <v>0</v>
      </c>
      <c r="F3514" t="str">
        <f>VLOOKUP(A3514,StoreLookup,2,FALSE)</f>
        <v>Store#2</v>
      </c>
      <c r="G3514">
        <f>INDEX(CalLookUpTable,MATCH($B3514,CalLookUpRow,0),MATCH(G$1,CalLookUpColumn,0))</f>
        <v>2020</v>
      </c>
      <c r="H3514">
        <f>INDEX(CalLookUpTable,MATCH($B3514,CalLookUpRow,0),MATCH(H$1,CalLookUpColumn,0))</f>
        <v>2</v>
      </c>
      <c r="I3514">
        <f>INDEX(CalLookUpTable,MATCH($B3514,CalLookUpRow,0),MATCH(I$1,CalLookUpColumn,0))</f>
        <v>1</v>
      </c>
    </row>
    <row r="3515" spans="1:9" x14ac:dyDescent="0.25">
      <c r="A3515" s="7">
        <v>2</v>
      </c>
      <c r="B3515" s="8">
        <v>43862</v>
      </c>
      <c r="C3515" s="9" t="s">
        <v>6</v>
      </c>
      <c r="D3515" s="10">
        <v>413.79799999999994</v>
      </c>
      <c r="E3515" s="10">
        <v>319.137</v>
      </c>
      <c r="F3515" t="str">
        <f>VLOOKUP(A3515,StoreLookup,2,FALSE)</f>
        <v>Store#2</v>
      </c>
      <c r="G3515">
        <f>INDEX(CalLookUpTable,MATCH($B3515,CalLookUpRow,0),MATCH(G$1,CalLookUpColumn,0))</f>
        <v>2020</v>
      </c>
      <c r="H3515">
        <f>INDEX(CalLookUpTable,MATCH($B3515,CalLookUpRow,0),MATCH(H$1,CalLookUpColumn,0))</f>
        <v>2</v>
      </c>
      <c r="I3515">
        <f>INDEX(CalLookUpTable,MATCH($B3515,CalLookUpRow,0),MATCH(I$1,CalLookUpColumn,0))</f>
        <v>1</v>
      </c>
    </row>
    <row r="3516" spans="1:9" x14ac:dyDescent="0.25">
      <c r="A3516" s="7">
        <v>2</v>
      </c>
      <c r="B3516" s="8">
        <v>43862</v>
      </c>
      <c r="C3516" s="9" t="s">
        <v>4</v>
      </c>
      <c r="D3516" s="10">
        <v>2093.4690000000001</v>
      </c>
      <c r="E3516" s="10">
        <v>2295.538</v>
      </c>
      <c r="F3516" t="str">
        <f>VLOOKUP(A3516,StoreLookup,2,FALSE)</f>
        <v>Store#2</v>
      </c>
      <c r="G3516">
        <f>INDEX(CalLookUpTable,MATCH($B3516,CalLookUpRow,0),MATCH(G$1,CalLookUpColumn,0))</f>
        <v>2020</v>
      </c>
      <c r="H3516">
        <f>INDEX(CalLookUpTable,MATCH($B3516,CalLookUpRow,0),MATCH(H$1,CalLookUpColumn,0))</f>
        <v>2</v>
      </c>
      <c r="I3516">
        <f>INDEX(CalLookUpTable,MATCH($B3516,CalLookUpRow,0),MATCH(I$1,CalLookUpColumn,0))</f>
        <v>1</v>
      </c>
    </row>
    <row r="3517" spans="1:9" x14ac:dyDescent="0.25">
      <c r="A3517" s="7">
        <v>2</v>
      </c>
      <c r="B3517" s="8">
        <v>43862</v>
      </c>
      <c r="C3517" s="9" t="s">
        <v>5</v>
      </c>
      <c r="D3517" s="10">
        <v>1351.7559999999999</v>
      </c>
      <c r="E3517" s="10">
        <v>866.92200000000003</v>
      </c>
      <c r="F3517" t="str">
        <f>VLOOKUP(A3517,StoreLookup,2,FALSE)</f>
        <v>Store#2</v>
      </c>
      <c r="G3517">
        <f>INDEX(CalLookUpTable,MATCH($B3517,CalLookUpRow,0),MATCH(G$1,CalLookUpColumn,0))</f>
        <v>2020</v>
      </c>
      <c r="H3517">
        <f>INDEX(CalLookUpTable,MATCH($B3517,CalLookUpRow,0),MATCH(H$1,CalLookUpColumn,0))</f>
        <v>2</v>
      </c>
      <c r="I3517">
        <f>INDEX(CalLookUpTable,MATCH($B3517,CalLookUpRow,0),MATCH(I$1,CalLookUpColumn,0))</f>
        <v>1</v>
      </c>
    </row>
    <row r="3518" spans="1:9" x14ac:dyDescent="0.25">
      <c r="A3518" s="7">
        <v>2</v>
      </c>
      <c r="B3518" s="8">
        <v>43863</v>
      </c>
      <c r="C3518" s="9" t="s">
        <v>3</v>
      </c>
      <c r="D3518" s="10">
        <v>0</v>
      </c>
      <c r="E3518" s="10">
        <v>0</v>
      </c>
      <c r="F3518" t="str">
        <f>VLOOKUP(A3518,StoreLookup,2,FALSE)</f>
        <v>Store#2</v>
      </c>
      <c r="G3518">
        <f>INDEX(CalLookUpTable,MATCH($B3518,CalLookUpRow,0),MATCH(G$1,CalLookUpColumn,0))</f>
        <v>2020</v>
      </c>
      <c r="H3518">
        <f>INDEX(CalLookUpTable,MATCH($B3518,CalLookUpRow,0),MATCH(H$1,CalLookUpColumn,0))</f>
        <v>2</v>
      </c>
      <c r="I3518">
        <f>INDEX(CalLookUpTable,MATCH($B3518,CalLookUpRow,0),MATCH(I$1,CalLookUpColumn,0))</f>
        <v>1</v>
      </c>
    </row>
    <row r="3519" spans="1:9" x14ac:dyDescent="0.25">
      <c r="A3519" s="7">
        <v>2</v>
      </c>
      <c r="B3519" s="8">
        <v>43863</v>
      </c>
      <c r="C3519" s="9" t="s">
        <v>4</v>
      </c>
      <c r="D3519" s="10">
        <v>1009.4209999999999</v>
      </c>
      <c r="E3519" s="10">
        <v>705.1099999999999</v>
      </c>
      <c r="F3519" t="str">
        <f>VLOOKUP(A3519,StoreLookup,2,FALSE)</f>
        <v>Store#2</v>
      </c>
      <c r="G3519">
        <f>INDEX(CalLookUpTable,MATCH($B3519,CalLookUpRow,0),MATCH(G$1,CalLookUpColumn,0))</f>
        <v>2020</v>
      </c>
      <c r="H3519">
        <f>INDEX(CalLookUpTable,MATCH($B3519,CalLookUpRow,0),MATCH(H$1,CalLookUpColumn,0))</f>
        <v>2</v>
      </c>
      <c r="I3519">
        <f>INDEX(CalLookUpTable,MATCH($B3519,CalLookUpRow,0),MATCH(I$1,CalLookUpColumn,0))</f>
        <v>1</v>
      </c>
    </row>
    <row r="3520" spans="1:9" x14ac:dyDescent="0.25">
      <c r="A3520" s="7">
        <v>2</v>
      </c>
      <c r="B3520" s="8">
        <v>43863</v>
      </c>
      <c r="C3520" s="9" t="s">
        <v>5</v>
      </c>
      <c r="D3520" s="10">
        <v>603.51899999999989</v>
      </c>
      <c r="E3520" s="10">
        <v>487.19299999999998</v>
      </c>
      <c r="F3520" t="str">
        <f>VLOOKUP(A3520,StoreLookup,2,FALSE)</f>
        <v>Store#2</v>
      </c>
      <c r="G3520">
        <f>INDEX(CalLookUpTable,MATCH($B3520,CalLookUpRow,0),MATCH(G$1,CalLookUpColumn,0))</f>
        <v>2020</v>
      </c>
      <c r="H3520">
        <f>INDEX(CalLookUpTable,MATCH($B3520,CalLookUpRow,0),MATCH(H$1,CalLookUpColumn,0))</f>
        <v>2</v>
      </c>
      <c r="I3520">
        <f>INDEX(CalLookUpTable,MATCH($B3520,CalLookUpRow,0),MATCH(I$1,CalLookUpColumn,0))</f>
        <v>1</v>
      </c>
    </row>
    <row r="3521" spans="1:9" x14ac:dyDescent="0.25">
      <c r="A3521" s="7">
        <v>2</v>
      </c>
      <c r="B3521" s="8">
        <v>43863</v>
      </c>
      <c r="C3521" s="9" t="s">
        <v>6</v>
      </c>
      <c r="D3521" s="10">
        <v>477.995</v>
      </c>
      <c r="E3521" s="10">
        <v>167.97899999999998</v>
      </c>
      <c r="F3521" t="str">
        <f>VLOOKUP(A3521,StoreLookup,2,FALSE)</f>
        <v>Store#2</v>
      </c>
      <c r="G3521">
        <f>INDEX(CalLookUpTable,MATCH($B3521,CalLookUpRow,0),MATCH(G$1,CalLookUpColumn,0))</f>
        <v>2020</v>
      </c>
      <c r="H3521">
        <f>INDEX(CalLookUpTable,MATCH($B3521,CalLookUpRow,0),MATCH(H$1,CalLookUpColumn,0))</f>
        <v>2</v>
      </c>
      <c r="I3521">
        <f>INDEX(CalLookUpTable,MATCH($B3521,CalLookUpRow,0),MATCH(I$1,CalLookUpColumn,0))</f>
        <v>1</v>
      </c>
    </row>
    <row r="3522" spans="1:9" x14ac:dyDescent="0.25">
      <c r="A3522" s="7">
        <v>2</v>
      </c>
      <c r="B3522" s="8">
        <v>43864</v>
      </c>
      <c r="C3522" s="9" t="s">
        <v>4</v>
      </c>
      <c r="D3522" s="10">
        <v>970.28399999999988</v>
      </c>
      <c r="E3522" s="10">
        <v>1287.125</v>
      </c>
      <c r="F3522" t="str">
        <f>VLOOKUP(A3522,StoreLookup,2,FALSE)</f>
        <v>Store#2</v>
      </c>
      <c r="G3522">
        <f>INDEX(CalLookUpTable,MATCH($B3522,CalLookUpRow,0),MATCH(G$1,CalLookUpColumn,0))</f>
        <v>2020</v>
      </c>
      <c r="H3522">
        <f>INDEX(CalLookUpTable,MATCH($B3522,CalLookUpRow,0),MATCH(H$1,CalLookUpColumn,0))</f>
        <v>2</v>
      </c>
      <c r="I3522">
        <f>INDEX(CalLookUpTable,MATCH($B3522,CalLookUpRow,0),MATCH(I$1,CalLookUpColumn,0))</f>
        <v>2</v>
      </c>
    </row>
    <row r="3523" spans="1:9" x14ac:dyDescent="0.25">
      <c r="A3523" s="7">
        <v>2</v>
      </c>
      <c r="B3523" s="8">
        <v>43864</v>
      </c>
      <c r="C3523" s="9" t="s">
        <v>6</v>
      </c>
      <c r="D3523" s="10">
        <v>417.08100000000002</v>
      </c>
      <c r="E3523" s="10">
        <v>110.922</v>
      </c>
      <c r="F3523" t="str">
        <f>VLOOKUP(A3523,StoreLookup,2,FALSE)</f>
        <v>Store#2</v>
      </c>
      <c r="G3523">
        <f>INDEX(CalLookUpTable,MATCH($B3523,CalLookUpRow,0),MATCH(G$1,CalLookUpColumn,0))</f>
        <v>2020</v>
      </c>
      <c r="H3523">
        <f>INDEX(CalLookUpTable,MATCH($B3523,CalLookUpRow,0),MATCH(H$1,CalLookUpColumn,0))</f>
        <v>2</v>
      </c>
      <c r="I3523">
        <f>INDEX(CalLookUpTable,MATCH($B3523,CalLookUpRow,0),MATCH(I$1,CalLookUpColumn,0))</f>
        <v>2</v>
      </c>
    </row>
    <row r="3524" spans="1:9" x14ac:dyDescent="0.25">
      <c r="A3524" s="7">
        <v>2</v>
      </c>
      <c r="B3524" s="8">
        <v>43864</v>
      </c>
      <c r="C3524" s="9" t="s">
        <v>5</v>
      </c>
      <c r="D3524" s="10">
        <v>721.67200000000003</v>
      </c>
      <c r="E3524" s="10">
        <v>827.09199999999987</v>
      </c>
      <c r="F3524" t="str">
        <f>VLOOKUP(A3524,StoreLookup,2,FALSE)</f>
        <v>Store#2</v>
      </c>
      <c r="G3524">
        <f>INDEX(CalLookUpTable,MATCH($B3524,CalLookUpRow,0),MATCH(G$1,CalLookUpColumn,0))</f>
        <v>2020</v>
      </c>
      <c r="H3524">
        <f>INDEX(CalLookUpTable,MATCH($B3524,CalLookUpRow,0),MATCH(H$1,CalLookUpColumn,0))</f>
        <v>2</v>
      </c>
      <c r="I3524">
        <f>INDEX(CalLookUpTable,MATCH($B3524,CalLookUpRow,0),MATCH(I$1,CalLookUpColumn,0))</f>
        <v>2</v>
      </c>
    </row>
    <row r="3525" spans="1:9" x14ac:dyDescent="0.25">
      <c r="A3525" s="7">
        <v>2</v>
      </c>
      <c r="B3525" s="8">
        <v>43864</v>
      </c>
      <c r="C3525" s="9" t="s">
        <v>3</v>
      </c>
      <c r="D3525" s="10">
        <v>442.36500000000001</v>
      </c>
      <c r="E3525" s="10">
        <v>0</v>
      </c>
      <c r="F3525" t="str">
        <f>VLOOKUP(A3525,StoreLookup,2,FALSE)</f>
        <v>Store#2</v>
      </c>
      <c r="G3525">
        <f>INDEX(CalLookUpTable,MATCH($B3525,CalLookUpRow,0),MATCH(G$1,CalLookUpColumn,0))</f>
        <v>2020</v>
      </c>
      <c r="H3525">
        <f>INDEX(CalLookUpTable,MATCH($B3525,CalLookUpRow,0),MATCH(H$1,CalLookUpColumn,0))</f>
        <v>2</v>
      </c>
      <c r="I3525">
        <f>INDEX(CalLookUpTable,MATCH($B3525,CalLookUpRow,0),MATCH(I$1,CalLookUpColumn,0))</f>
        <v>2</v>
      </c>
    </row>
    <row r="3526" spans="1:9" x14ac:dyDescent="0.25">
      <c r="A3526" s="7">
        <v>2</v>
      </c>
      <c r="B3526" s="8">
        <v>43865</v>
      </c>
      <c r="C3526" s="9" t="s">
        <v>4</v>
      </c>
      <c r="D3526" s="10">
        <v>1805.482</v>
      </c>
      <c r="E3526" s="10">
        <v>1811.0399999999997</v>
      </c>
      <c r="F3526" t="str">
        <f>VLOOKUP(A3526,StoreLookup,2,FALSE)</f>
        <v>Store#2</v>
      </c>
      <c r="G3526">
        <f>INDEX(CalLookUpTable,MATCH($B3526,CalLookUpRow,0),MATCH(G$1,CalLookUpColumn,0))</f>
        <v>2020</v>
      </c>
      <c r="H3526">
        <f>INDEX(CalLookUpTable,MATCH($B3526,CalLookUpRow,0),MATCH(H$1,CalLookUpColumn,0))</f>
        <v>2</v>
      </c>
      <c r="I3526">
        <f>INDEX(CalLookUpTable,MATCH($B3526,CalLookUpRow,0),MATCH(I$1,CalLookUpColumn,0))</f>
        <v>2</v>
      </c>
    </row>
    <row r="3527" spans="1:9" x14ac:dyDescent="0.25">
      <c r="A3527" s="7">
        <v>2</v>
      </c>
      <c r="B3527" s="8">
        <v>43865</v>
      </c>
      <c r="C3527" s="9" t="s">
        <v>6</v>
      </c>
      <c r="D3527" s="10">
        <v>373.96799999999996</v>
      </c>
      <c r="E3527" s="10">
        <v>428.904</v>
      </c>
      <c r="F3527" t="str">
        <f>VLOOKUP(A3527,StoreLookup,2,FALSE)</f>
        <v>Store#2</v>
      </c>
      <c r="G3527">
        <f>INDEX(CalLookUpTable,MATCH($B3527,CalLookUpRow,0),MATCH(G$1,CalLookUpColumn,0))</f>
        <v>2020</v>
      </c>
      <c r="H3527">
        <f>INDEX(CalLookUpTable,MATCH($B3527,CalLookUpRow,0),MATCH(H$1,CalLookUpColumn,0))</f>
        <v>2</v>
      </c>
      <c r="I3527">
        <f>INDEX(CalLookUpTable,MATCH($B3527,CalLookUpRow,0),MATCH(I$1,CalLookUpColumn,0))</f>
        <v>2</v>
      </c>
    </row>
    <row r="3528" spans="1:9" x14ac:dyDescent="0.25">
      <c r="A3528" s="7">
        <v>2</v>
      </c>
      <c r="B3528" s="8">
        <v>43865</v>
      </c>
      <c r="C3528" s="9" t="s">
        <v>3</v>
      </c>
      <c r="D3528" s="10">
        <v>0</v>
      </c>
      <c r="E3528" s="10">
        <v>0</v>
      </c>
      <c r="F3528" t="str">
        <f>VLOOKUP(A3528,StoreLookup,2,FALSE)</f>
        <v>Store#2</v>
      </c>
      <c r="G3528">
        <f>INDEX(CalLookUpTable,MATCH($B3528,CalLookUpRow,0),MATCH(G$1,CalLookUpColumn,0))</f>
        <v>2020</v>
      </c>
      <c r="H3528">
        <f>INDEX(CalLookUpTable,MATCH($B3528,CalLookUpRow,0),MATCH(H$1,CalLookUpColumn,0))</f>
        <v>2</v>
      </c>
      <c r="I3528">
        <f>INDEX(CalLookUpTable,MATCH($B3528,CalLookUpRow,0),MATCH(I$1,CalLookUpColumn,0))</f>
        <v>2</v>
      </c>
    </row>
    <row r="3529" spans="1:9" x14ac:dyDescent="0.25">
      <c r="A3529" s="7">
        <v>2</v>
      </c>
      <c r="B3529" s="8">
        <v>43865</v>
      </c>
      <c r="C3529" s="9" t="s">
        <v>5</v>
      </c>
      <c r="D3529" s="10">
        <v>1150.373</v>
      </c>
      <c r="E3529" s="10">
        <v>938.95899999999983</v>
      </c>
      <c r="F3529" t="str">
        <f>VLOOKUP(A3529,StoreLookup,2,FALSE)</f>
        <v>Store#2</v>
      </c>
      <c r="G3529">
        <f>INDEX(CalLookUpTable,MATCH($B3529,CalLookUpRow,0),MATCH(G$1,CalLookUpColumn,0))</f>
        <v>2020</v>
      </c>
      <c r="H3529">
        <f>INDEX(CalLookUpTable,MATCH($B3529,CalLookUpRow,0),MATCH(H$1,CalLookUpColumn,0))</f>
        <v>2</v>
      </c>
      <c r="I3529">
        <f>INDEX(CalLookUpTable,MATCH($B3529,CalLookUpRow,0),MATCH(I$1,CalLookUpColumn,0))</f>
        <v>2</v>
      </c>
    </row>
    <row r="3530" spans="1:9" x14ac:dyDescent="0.25">
      <c r="A3530" s="7">
        <v>2</v>
      </c>
      <c r="B3530" s="8">
        <v>43866</v>
      </c>
      <c r="C3530" s="9" t="s">
        <v>3</v>
      </c>
      <c r="D3530" s="10">
        <v>354.59899999999999</v>
      </c>
      <c r="E3530" s="10">
        <v>0</v>
      </c>
      <c r="F3530" t="str">
        <f>VLOOKUP(A3530,StoreLookup,2,FALSE)</f>
        <v>Store#2</v>
      </c>
      <c r="G3530">
        <f>INDEX(CalLookUpTable,MATCH($B3530,CalLookUpRow,0),MATCH(G$1,CalLookUpColumn,0))</f>
        <v>2020</v>
      </c>
      <c r="H3530">
        <f>INDEX(CalLookUpTable,MATCH($B3530,CalLookUpRow,0),MATCH(H$1,CalLookUpColumn,0))</f>
        <v>2</v>
      </c>
      <c r="I3530">
        <f>INDEX(CalLookUpTable,MATCH($B3530,CalLookUpRow,0),MATCH(I$1,CalLookUpColumn,0))</f>
        <v>2</v>
      </c>
    </row>
    <row r="3531" spans="1:9" x14ac:dyDescent="0.25">
      <c r="A3531" s="7">
        <v>2</v>
      </c>
      <c r="B3531" s="8">
        <v>43866</v>
      </c>
      <c r="C3531" s="9" t="s">
        <v>6</v>
      </c>
      <c r="D3531" s="10">
        <v>364.077</v>
      </c>
      <c r="E3531" s="10">
        <v>256.214</v>
      </c>
      <c r="F3531" t="str">
        <f>VLOOKUP(A3531,StoreLookup,2,FALSE)</f>
        <v>Store#2</v>
      </c>
      <c r="G3531">
        <f>INDEX(CalLookUpTable,MATCH($B3531,CalLookUpRow,0),MATCH(G$1,CalLookUpColumn,0))</f>
        <v>2020</v>
      </c>
      <c r="H3531">
        <f>INDEX(CalLookUpTable,MATCH($B3531,CalLookUpRow,0),MATCH(H$1,CalLookUpColumn,0))</f>
        <v>2</v>
      </c>
      <c r="I3531">
        <f>INDEX(CalLookUpTable,MATCH($B3531,CalLookUpRow,0),MATCH(I$1,CalLookUpColumn,0))</f>
        <v>2</v>
      </c>
    </row>
    <row r="3532" spans="1:9" x14ac:dyDescent="0.25">
      <c r="A3532" s="7">
        <v>2</v>
      </c>
      <c r="B3532" s="8">
        <v>43866</v>
      </c>
      <c r="C3532" s="9" t="s">
        <v>4</v>
      </c>
      <c r="D3532" s="10">
        <v>1402.3029999999999</v>
      </c>
      <c r="E3532" s="10">
        <v>1519.7559999999999</v>
      </c>
      <c r="F3532" t="str">
        <f>VLOOKUP(A3532,StoreLookup,2,FALSE)</f>
        <v>Store#2</v>
      </c>
      <c r="G3532">
        <f>INDEX(CalLookUpTable,MATCH($B3532,CalLookUpRow,0),MATCH(G$1,CalLookUpColumn,0))</f>
        <v>2020</v>
      </c>
      <c r="H3532">
        <f>INDEX(CalLookUpTable,MATCH($B3532,CalLookUpRow,0),MATCH(H$1,CalLookUpColumn,0))</f>
        <v>2</v>
      </c>
      <c r="I3532">
        <f>INDEX(CalLookUpTable,MATCH($B3532,CalLookUpRow,0),MATCH(I$1,CalLookUpColumn,0))</f>
        <v>2</v>
      </c>
    </row>
    <row r="3533" spans="1:9" x14ac:dyDescent="0.25">
      <c r="A3533" s="7">
        <v>2</v>
      </c>
      <c r="B3533" s="8">
        <v>43866</v>
      </c>
      <c r="C3533" s="9" t="s">
        <v>5</v>
      </c>
      <c r="D3533" s="10">
        <v>1358.9870000000001</v>
      </c>
      <c r="E3533" s="10">
        <v>777.09100000000001</v>
      </c>
      <c r="F3533" t="str">
        <f>VLOOKUP(A3533,StoreLookup,2,FALSE)</f>
        <v>Store#2</v>
      </c>
      <c r="G3533">
        <f>INDEX(CalLookUpTable,MATCH($B3533,CalLookUpRow,0),MATCH(G$1,CalLookUpColumn,0))</f>
        <v>2020</v>
      </c>
      <c r="H3533">
        <f>INDEX(CalLookUpTable,MATCH($B3533,CalLookUpRow,0),MATCH(H$1,CalLookUpColumn,0))</f>
        <v>2</v>
      </c>
      <c r="I3533">
        <f>INDEX(CalLookUpTable,MATCH($B3533,CalLookUpRow,0),MATCH(I$1,CalLookUpColumn,0))</f>
        <v>2</v>
      </c>
    </row>
    <row r="3534" spans="1:9" x14ac:dyDescent="0.25">
      <c r="A3534" s="7">
        <v>2</v>
      </c>
      <c r="B3534" s="8">
        <v>43867</v>
      </c>
      <c r="C3534" s="9" t="s">
        <v>6</v>
      </c>
      <c r="D3534" s="10">
        <v>291.57099999999997</v>
      </c>
      <c r="E3534" s="10">
        <v>138.71899999999999</v>
      </c>
      <c r="F3534" t="str">
        <f>VLOOKUP(A3534,StoreLookup,2,FALSE)</f>
        <v>Store#2</v>
      </c>
      <c r="G3534">
        <f>INDEX(CalLookUpTable,MATCH($B3534,CalLookUpRow,0),MATCH(G$1,CalLookUpColumn,0))</f>
        <v>2020</v>
      </c>
      <c r="H3534">
        <f>INDEX(CalLookUpTable,MATCH($B3534,CalLookUpRow,0),MATCH(H$1,CalLookUpColumn,0))</f>
        <v>2</v>
      </c>
      <c r="I3534">
        <f>INDEX(CalLookUpTable,MATCH($B3534,CalLookUpRow,0),MATCH(I$1,CalLookUpColumn,0))</f>
        <v>2</v>
      </c>
    </row>
    <row r="3535" spans="1:9" x14ac:dyDescent="0.25">
      <c r="A3535" s="7">
        <v>2</v>
      </c>
      <c r="B3535" s="8">
        <v>43867</v>
      </c>
      <c r="C3535" s="9" t="s">
        <v>4</v>
      </c>
      <c r="D3535" s="10">
        <v>1632.1969999999999</v>
      </c>
      <c r="E3535" s="10">
        <v>1717.191</v>
      </c>
      <c r="F3535" t="str">
        <f>VLOOKUP(A3535,StoreLookup,2,FALSE)</f>
        <v>Store#2</v>
      </c>
      <c r="G3535">
        <f>INDEX(CalLookUpTable,MATCH($B3535,CalLookUpRow,0),MATCH(G$1,CalLookUpColumn,0))</f>
        <v>2020</v>
      </c>
      <c r="H3535">
        <f>INDEX(CalLookUpTable,MATCH($B3535,CalLookUpRow,0),MATCH(H$1,CalLookUpColumn,0))</f>
        <v>2</v>
      </c>
      <c r="I3535">
        <f>INDEX(CalLookUpTable,MATCH($B3535,CalLookUpRow,0),MATCH(I$1,CalLookUpColumn,0))</f>
        <v>2</v>
      </c>
    </row>
    <row r="3536" spans="1:9" x14ac:dyDescent="0.25">
      <c r="A3536" s="7">
        <v>2</v>
      </c>
      <c r="B3536" s="8">
        <v>43867</v>
      </c>
      <c r="C3536" s="9" t="s">
        <v>3</v>
      </c>
      <c r="D3536" s="10">
        <v>0</v>
      </c>
      <c r="E3536" s="10">
        <v>0</v>
      </c>
      <c r="F3536" t="str">
        <f>VLOOKUP(A3536,StoreLookup,2,FALSE)</f>
        <v>Store#2</v>
      </c>
      <c r="G3536">
        <f>INDEX(CalLookUpTable,MATCH($B3536,CalLookUpRow,0),MATCH(G$1,CalLookUpColumn,0))</f>
        <v>2020</v>
      </c>
      <c r="H3536">
        <f>INDEX(CalLookUpTable,MATCH($B3536,CalLookUpRow,0),MATCH(H$1,CalLookUpColumn,0))</f>
        <v>2</v>
      </c>
      <c r="I3536">
        <f>INDEX(CalLookUpTable,MATCH($B3536,CalLookUpRow,0),MATCH(I$1,CalLookUpColumn,0))</f>
        <v>2</v>
      </c>
    </row>
    <row r="3537" spans="1:9" x14ac:dyDescent="0.25">
      <c r="A3537" s="7">
        <v>2</v>
      </c>
      <c r="B3537" s="8">
        <v>43867</v>
      </c>
      <c r="C3537" s="9" t="s">
        <v>5</v>
      </c>
      <c r="D3537" s="10">
        <v>1043.1959999999999</v>
      </c>
      <c r="E3537" s="10">
        <v>1002.197</v>
      </c>
      <c r="F3537" t="str">
        <f>VLOOKUP(A3537,StoreLookup,2,FALSE)</f>
        <v>Store#2</v>
      </c>
      <c r="G3537">
        <f>INDEX(CalLookUpTable,MATCH($B3537,CalLookUpRow,0),MATCH(G$1,CalLookUpColumn,0))</f>
        <v>2020</v>
      </c>
      <c r="H3537">
        <f>INDEX(CalLookUpTable,MATCH($B3537,CalLookUpRow,0),MATCH(H$1,CalLookUpColumn,0))</f>
        <v>2</v>
      </c>
      <c r="I3537">
        <f>INDEX(CalLookUpTable,MATCH($B3537,CalLookUpRow,0),MATCH(I$1,CalLookUpColumn,0))</f>
        <v>2</v>
      </c>
    </row>
    <row r="3538" spans="1:9" x14ac:dyDescent="0.25">
      <c r="A3538" s="7">
        <v>2</v>
      </c>
      <c r="B3538" s="8">
        <v>43868</v>
      </c>
      <c r="C3538" s="9" t="s">
        <v>4</v>
      </c>
      <c r="D3538" s="10">
        <v>2399.25</v>
      </c>
      <c r="E3538" s="10">
        <v>2220.0009999999997</v>
      </c>
      <c r="F3538" t="str">
        <f>VLOOKUP(A3538,StoreLookup,2,FALSE)</f>
        <v>Store#2</v>
      </c>
      <c r="G3538">
        <f>INDEX(CalLookUpTable,MATCH($B3538,CalLookUpRow,0),MATCH(G$1,CalLookUpColumn,0))</f>
        <v>2020</v>
      </c>
      <c r="H3538">
        <f>INDEX(CalLookUpTable,MATCH($B3538,CalLookUpRow,0),MATCH(H$1,CalLookUpColumn,0))</f>
        <v>2</v>
      </c>
      <c r="I3538">
        <f>INDEX(CalLookUpTable,MATCH($B3538,CalLookUpRow,0),MATCH(I$1,CalLookUpColumn,0))</f>
        <v>2</v>
      </c>
    </row>
    <row r="3539" spans="1:9" x14ac:dyDescent="0.25">
      <c r="A3539" s="7">
        <v>2</v>
      </c>
      <c r="B3539" s="8">
        <v>43868</v>
      </c>
      <c r="C3539" s="9" t="s">
        <v>6</v>
      </c>
      <c r="D3539" s="10">
        <v>478.11399999999998</v>
      </c>
      <c r="E3539" s="10">
        <v>399.952</v>
      </c>
      <c r="F3539" t="str">
        <f>VLOOKUP(A3539,StoreLookup,2,FALSE)</f>
        <v>Store#2</v>
      </c>
      <c r="G3539">
        <f>INDEX(CalLookUpTable,MATCH($B3539,CalLookUpRow,0),MATCH(G$1,CalLookUpColumn,0))</f>
        <v>2020</v>
      </c>
      <c r="H3539">
        <f>INDEX(CalLookUpTable,MATCH($B3539,CalLookUpRow,0),MATCH(H$1,CalLookUpColumn,0))</f>
        <v>2</v>
      </c>
      <c r="I3539">
        <f>INDEX(CalLookUpTable,MATCH($B3539,CalLookUpRow,0),MATCH(I$1,CalLookUpColumn,0))</f>
        <v>2</v>
      </c>
    </row>
    <row r="3540" spans="1:9" x14ac:dyDescent="0.25">
      <c r="A3540" s="7">
        <v>2</v>
      </c>
      <c r="B3540" s="8">
        <v>43868</v>
      </c>
      <c r="C3540" s="9" t="s">
        <v>3</v>
      </c>
      <c r="D3540" s="10">
        <v>221.179</v>
      </c>
      <c r="E3540" s="10">
        <v>0</v>
      </c>
      <c r="F3540" t="str">
        <f>VLOOKUP(A3540,StoreLookup,2,FALSE)</f>
        <v>Store#2</v>
      </c>
      <c r="G3540">
        <f>INDEX(CalLookUpTable,MATCH($B3540,CalLookUpRow,0),MATCH(G$1,CalLookUpColumn,0))</f>
        <v>2020</v>
      </c>
      <c r="H3540">
        <f>INDEX(CalLookUpTable,MATCH($B3540,CalLookUpRow,0),MATCH(H$1,CalLookUpColumn,0))</f>
        <v>2</v>
      </c>
      <c r="I3540">
        <f>INDEX(CalLookUpTable,MATCH($B3540,CalLookUpRow,0),MATCH(I$1,CalLookUpColumn,0))</f>
        <v>2</v>
      </c>
    </row>
    <row r="3541" spans="1:9" x14ac:dyDescent="0.25">
      <c r="A3541" s="7">
        <v>2</v>
      </c>
      <c r="B3541" s="8">
        <v>43868</v>
      </c>
      <c r="C3541" s="9" t="s">
        <v>5</v>
      </c>
      <c r="D3541" s="10">
        <v>1454.9009999999998</v>
      </c>
      <c r="E3541" s="10">
        <v>1336.5169999999998</v>
      </c>
      <c r="F3541" t="str">
        <f>VLOOKUP(A3541,StoreLookup,2,FALSE)</f>
        <v>Store#2</v>
      </c>
      <c r="G3541">
        <f>INDEX(CalLookUpTable,MATCH($B3541,CalLookUpRow,0),MATCH(G$1,CalLookUpColumn,0))</f>
        <v>2020</v>
      </c>
      <c r="H3541">
        <f>INDEX(CalLookUpTable,MATCH($B3541,CalLookUpRow,0),MATCH(H$1,CalLookUpColumn,0))</f>
        <v>2</v>
      </c>
      <c r="I3541">
        <f>INDEX(CalLookUpTable,MATCH($B3541,CalLookUpRow,0),MATCH(I$1,CalLookUpColumn,0))</f>
        <v>2</v>
      </c>
    </row>
    <row r="3542" spans="1:9" x14ac:dyDescent="0.25">
      <c r="A3542" s="7">
        <v>2</v>
      </c>
      <c r="B3542" s="8">
        <v>43869</v>
      </c>
      <c r="C3542" s="9" t="s">
        <v>4</v>
      </c>
      <c r="D3542" s="10">
        <v>2131.2759999999998</v>
      </c>
      <c r="E3542" s="10">
        <v>1783.9149999999997</v>
      </c>
      <c r="F3542" t="str">
        <f>VLOOKUP(A3542,StoreLookup,2,FALSE)</f>
        <v>Store#2</v>
      </c>
      <c r="G3542">
        <f>INDEX(CalLookUpTable,MATCH($B3542,CalLookUpRow,0),MATCH(G$1,CalLookUpColumn,0))</f>
        <v>2020</v>
      </c>
      <c r="H3542">
        <f>INDEX(CalLookUpTable,MATCH($B3542,CalLookUpRow,0),MATCH(H$1,CalLookUpColumn,0))</f>
        <v>2</v>
      </c>
      <c r="I3542">
        <f>INDEX(CalLookUpTable,MATCH($B3542,CalLookUpRow,0),MATCH(I$1,CalLookUpColumn,0))</f>
        <v>2</v>
      </c>
    </row>
    <row r="3543" spans="1:9" x14ac:dyDescent="0.25">
      <c r="A3543" s="7">
        <v>2</v>
      </c>
      <c r="B3543" s="8">
        <v>43869</v>
      </c>
      <c r="C3543" s="9" t="s">
        <v>3</v>
      </c>
      <c r="D3543" s="10">
        <v>69.16</v>
      </c>
      <c r="E3543" s="10">
        <v>184.63199999999998</v>
      </c>
      <c r="F3543" t="str">
        <f>VLOOKUP(A3543,StoreLookup,2,FALSE)</f>
        <v>Store#2</v>
      </c>
      <c r="G3543">
        <f>INDEX(CalLookUpTable,MATCH($B3543,CalLookUpRow,0),MATCH(G$1,CalLookUpColumn,0))</f>
        <v>2020</v>
      </c>
      <c r="H3543">
        <f>INDEX(CalLookUpTable,MATCH($B3543,CalLookUpRow,0),MATCH(H$1,CalLookUpColumn,0))</f>
        <v>2</v>
      </c>
      <c r="I3543">
        <f>INDEX(CalLookUpTable,MATCH($B3543,CalLookUpRow,0),MATCH(I$1,CalLookUpColumn,0))</f>
        <v>2</v>
      </c>
    </row>
    <row r="3544" spans="1:9" x14ac:dyDescent="0.25">
      <c r="A3544" s="7">
        <v>2</v>
      </c>
      <c r="B3544" s="8">
        <v>43869</v>
      </c>
      <c r="C3544" s="9" t="s">
        <v>6</v>
      </c>
      <c r="D3544" s="10">
        <v>299.47399999999999</v>
      </c>
      <c r="E3544" s="10">
        <v>422.21199999999993</v>
      </c>
      <c r="F3544" t="str">
        <f>VLOOKUP(A3544,StoreLookup,2,FALSE)</f>
        <v>Store#2</v>
      </c>
      <c r="G3544">
        <f>INDEX(CalLookUpTable,MATCH($B3544,CalLookUpRow,0),MATCH(G$1,CalLookUpColumn,0))</f>
        <v>2020</v>
      </c>
      <c r="H3544">
        <f>INDEX(CalLookUpTable,MATCH($B3544,CalLookUpRow,0),MATCH(H$1,CalLookUpColumn,0))</f>
        <v>2</v>
      </c>
      <c r="I3544">
        <f>INDEX(CalLookUpTable,MATCH($B3544,CalLookUpRow,0),MATCH(I$1,CalLookUpColumn,0))</f>
        <v>2</v>
      </c>
    </row>
    <row r="3545" spans="1:9" x14ac:dyDescent="0.25">
      <c r="A3545" s="7">
        <v>2</v>
      </c>
      <c r="B3545" s="8">
        <v>43869</v>
      </c>
      <c r="C3545" s="9" t="s">
        <v>5</v>
      </c>
      <c r="D3545" s="10">
        <v>1038.7649999999999</v>
      </c>
      <c r="E3545" s="10">
        <v>850.95500000000004</v>
      </c>
      <c r="F3545" t="str">
        <f>VLOOKUP(A3545,StoreLookup,2,FALSE)</f>
        <v>Store#2</v>
      </c>
      <c r="G3545">
        <f>INDEX(CalLookUpTable,MATCH($B3545,CalLookUpRow,0),MATCH(G$1,CalLookUpColumn,0))</f>
        <v>2020</v>
      </c>
      <c r="H3545">
        <f>INDEX(CalLookUpTable,MATCH($B3545,CalLookUpRow,0),MATCH(H$1,CalLookUpColumn,0))</f>
        <v>2</v>
      </c>
      <c r="I3545">
        <f>INDEX(CalLookUpTable,MATCH($B3545,CalLookUpRow,0),MATCH(I$1,CalLookUpColumn,0))</f>
        <v>2</v>
      </c>
    </row>
    <row r="3546" spans="1:9" x14ac:dyDescent="0.25">
      <c r="A3546" s="7">
        <v>2</v>
      </c>
      <c r="B3546" s="8">
        <v>43870</v>
      </c>
      <c r="C3546" s="9" t="s">
        <v>4</v>
      </c>
      <c r="D3546" s="10">
        <v>1234.982</v>
      </c>
      <c r="E3546" s="10">
        <v>1148.6019999999999</v>
      </c>
      <c r="F3546" t="str">
        <f>VLOOKUP(A3546,StoreLookup,2,FALSE)</f>
        <v>Store#2</v>
      </c>
      <c r="G3546">
        <f>INDEX(CalLookUpTable,MATCH($B3546,CalLookUpRow,0),MATCH(G$1,CalLookUpColumn,0))</f>
        <v>2020</v>
      </c>
      <c r="H3546">
        <f>INDEX(CalLookUpTable,MATCH($B3546,CalLookUpRow,0),MATCH(H$1,CalLookUpColumn,0))</f>
        <v>2</v>
      </c>
      <c r="I3546">
        <f>INDEX(CalLookUpTable,MATCH($B3546,CalLookUpRow,0),MATCH(I$1,CalLookUpColumn,0))</f>
        <v>2</v>
      </c>
    </row>
    <row r="3547" spans="1:9" x14ac:dyDescent="0.25">
      <c r="A3547" s="7">
        <v>2</v>
      </c>
      <c r="B3547" s="8">
        <v>43870</v>
      </c>
      <c r="C3547" s="9" t="s">
        <v>6</v>
      </c>
      <c r="D3547" s="10">
        <v>329.13299999999998</v>
      </c>
      <c r="E3547" s="10">
        <v>112.44799999999998</v>
      </c>
      <c r="F3547" t="str">
        <f>VLOOKUP(A3547,StoreLookup,2,FALSE)</f>
        <v>Store#2</v>
      </c>
      <c r="G3547">
        <f>INDEX(CalLookUpTable,MATCH($B3547,CalLookUpRow,0),MATCH(G$1,CalLookUpColumn,0))</f>
        <v>2020</v>
      </c>
      <c r="H3547">
        <f>INDEX(CalLookUpTable,MATCH($B3547,CalLookUpRow,0),MATCH(H$1,CalLookUpColumn,0))</f>
        <v>2</v>
      </c>
      <c r="I3547">
        <f>INDEX(CalLookUpTable,MATCH($B3547,CalLookUpRow,0),MATCH(I$1,CalLookUpColumn,0))</f>
        <v>2</v>
      </c>
    </row>
    <row r="3548" spans="1:9" x14ac:dyDescent="0.25">
      <c r="A3548" s="7">
        <v>2</v>
      </c>
      <c r="B3548" s="8">
        <v>43870</v>
      </c>
      <c r="C3548" s="9" t="s">
        <v>3</v>
      </c>
      <c r="D3548" s="10">
        <v>0</v>
      </c>
      <c r="E3548" s="10">
        <v>0</v>
      </c>
      <c r="F3548" t="str">
        <f>VLOOKUP(A3548,StoreLookup,2,FALSE)</f>
        <v>Store#2</v>
      </c>
      <c r="G3548">
        <f>INDEX(CalLookUpTable,MATCH($B3548,CalLookUpRow,0),MATCH(G$1,CalLookUpColumn,0))</f>
        <v>2020</v>
      </c>
      <c r="H3548">
        <f>INDEX(CalLookUpTable,MATCH($B3548,CalLookUpRow,0),MATCH(H$1,CalLookUpColumn,0))</f>
        <v>2</v>
      </c>
      <c r="I3548">
        <f>INDEX(CalLookUpTable,MATCH($B3548,CalLookUpRow,0),MATCH(I$1,CalLookUpColumn,0))</f>
        <v>2</v>
      </c>
    </row>
    <row r="3549" spans="1:9" x14ac:dyDescent="0.25">
      <c r="A3549" s="7">
        <v>2</v>
      </c>
      <c r="B3549" s="8">
        <v>43870</v>
      </c>
      <c r="C3549" s="9" t="s">
        <v>5</v>
      </c>
      <c r="D3549" s="10">
        <v>761.49499999999989</v>
      </c>
      <c r="E3549" s="10">
        <v>536.78099999999995</v>
      </c>
      <c r="F3549" t="str">
        <f>VLOOKUP(A3549,StoreLookup,2,FALSE)</f>
        <v>Store#2</v>
      </c>
      <c r="G3549">
        <f>INDEX(CalLookUpTable,MATCH($B3549,CalLookUpRow,0),MATCH(G$1,CalLookUpColumn,0))</f>
        <v>2020</v>
      </c>
      <c r="H3549">
        <f>INDEX(CalLookUpTable,MATCH($B3549,CalLookUpRow,0),MATCH(H$1,CalLookUpColumn,0))</f>
        <v>2</v>
      </c>
      <c r="I3549">
        <f>INDEX(CalLookUpTable,MATCH($B3549,CalLookUpRow,0),MATCH(I$1,CalLookUpColumn,0))</f>
        <v>2</v>
      </c>
    </row>
    <row r="3550" spans="1:9" x14ac:dyDescent="0.25">
      <c r="A3550" s="7">
        <v>2</v>
      </c>
      <c r="B3550" s="8">
        <v>43871</v>
      </c>
      <c r="C3550" s="9" t="s">
        <v>4</v>
      </c>
      <c r="D3550" s="10">
        <v>1252.23</v>
      </c>
      <c r="E3550" s="10">
        <v>1441.8039999999999</v>
      </c>
      <c r="F3550" t="str">
        <f>VLOOKUP(A3550,StoreLookup,2,FALSE)</f>
        <v>Store#2</v>
      </c>
      <c r="G3550">
        <f>INDEX(CalLookUpTable,MATCH($B3550,CalLookUpRow,0),MATCH(G$1,CalLookUpColumn,0))</f>
        <v>2020</v>
      </c>
      <c r="H3550">
        <f>INDEX(CalLookUpTable,MATCH($B3550,CalLookUpRow,0),MATCH(H$1,CalLookUpColumn,0))</f>
        <v>2</v>
      </c>
      <c r="I3550">
        <f>INDEX(CalLookUpTable,MATCH($B3550,CalLookUpRow,0),MATCH(I$1,CalLookUpColumn,0))</f>
        <v>3</v>
      </c>
    </row>
    <row r="3551" spans="1:9" x14ac:dyDescent="0.25">
      <c r="A3551" s="7">
        <v>2</v>
      </c>
      <c r="B3551" s="8">
        <v>43871</v>
      </c>
      <c r="C3551" s="9" t="s">
        <v>3</v>
      </c>
      <c r="D3551" s="10">
        <v>0</v>
      </c>
      <c r="E3551" s="10">
        <v>338.13499999999999</v>
      </c>
      <c r="F3551" t="str">
        <f>VLOOKUP(A3551,StoreLookup,2,FALSE)</f>
        <v>Store#2</v>
      </c>
      <c r="G3551">
        <f>INDEX(CalLookUpTable,MATCH($B3551,CalLookUpRow,0),MATCH(G$1,CalLookUpColumn,0))</f>
        <v>2020</v>
      </c>
      <c r="H3551">
        <f>INDEX(CalLookUpTable,MATCH($B3551,CalLookUpRow,0),MATCH(H$1,CalLookUpColumn,0))</f>
        <v>2</v>
      </c>
      <c r="I3551">
        <f>INDEX(CalLookUpTable,MATCH($B3551,CalLookUpRow,0),MATCH(I$1,CalLookUpColumn,0))</f>
        <v>3</v>
      </c>
    </row>
    <row r="3552" spans="1:9" x14ac:dyDescent="0.25">
      <c r="A3552" s="7">
        <v>2</v>
      </c>
      <c r="B3552" s="8">
        <v>43871</v>
      </c>
      <c r="C3552" s="9" t="s">
        <v>5</v>
      </c>
      <c r="D3552" s="10">
        <v>1051.9739999999999</v>
      </c>
      <c r="E3552" s="10">
        <v>692.32799999999997</v>
      </c>
      <c r="F3552" t="str">
        <f>VLOOKUP(A3552,StoreLookup,2,FALSE)</f>
        <v>Store#2</v>
      </c>
      <c r="G3552">
        <f>INDEX(CalLookUpTable,MATCH($B3552,CalLookUpRow,0),MATCH(G$1,CalLookUpColumn,0))</f>
        <v>2020</v>
      </c>
      <c r="H3552">
        <f>INDEX(CalLookUpTable,MATCH($B3552,CalLookUpRow,0),MATCH(H$1,CalLookUpColumn,0))</f>
        <v>2</v>
      </c>
      <c r="I3552">
        <f>INDEX(CalLookUpTable,MATCH($B3552,CalLookUpRow,0),MATCH(I$1,CalLookUpColumn,0))</f>
        <v>3</v>
      </c>
    </row>
    <row r="3553" spans="1:9" x14ac:dyDescent="0.25">
      <c r="A3553" s="7">
        <v>2</v>
      </c>
      <c r="B3553" s="8">
        <v>43871</v>
      </c>
      <c r="C3553" s="9" t="s">
        <v>6</v>
      </c>
      <c r="D3553" s="10">
        <v>206.43700000000001</v>
      </c>
      <c r="E3553" s="10">
        <v>111.69899999999998</v>
      </c>
      <c r="F3553" t="str">
        <f>VLOOKUP(A3553,StoreLookup,2,FALSE)</f>
        <v>Store#2</v>
      </c>
      <c r="G3553">
        <f>INDEX(CalLookUpTable,MATCH($B3553,CalLookUpRow,0),MATCH(G$1,CalLookUpColumn,0))</f>
        <v>2020</v>
      </c>
      <c r="H3553">
        <f>INDEX(CalLookUpTable,MATCH($B3553,CalLookUpRow,0),MATCH(H$1,CalLookUpColumn,0))</f>
        <v>2</v>
      </c>
      <c r="I3553">
        <f>INDEX(CalLookUpTable,MATCH($B3553,CalLookUpRow,0),MATCH(I$1,CalLookUpColumn,0))</f>
        <v>3</v>
      </c>
    </row>
    <row r="3554" spans="1:9" x14ac:dyDescent="0.25">
      <c r="A3554" s="7">
        <v>2</v>
      </c>
      <c r="B3554" s="8">
        <v>43872</v>
      </c>
      <c r="C3554" s="9" t="s">
        <v>4</v>
      </c>
      <c r="D3554" s="10">
        <v>1907.5419999999999</v>
      </c>
      <c r="E3554" s="10">
        <v>1848.721</v>
      </c>
      <c r="F3554" t="str">
        <f>VLOOKUP(A3554,StoreLookup,2,FALSE)</f>
        <v>Store#2</v>
      </c>
      <c r="G3554">
        <f>INDEX(CalLookUpTable,MATCH($B3554,CalLookUpRow,0),MATCH(G$1,CalLookUpColumn,0))</f>
        <v>2020</v>
      </c>
      <c r="H3554">
        <f>INDEX(CalLookUpTable,MATCH($B3554,CalLookUpRow,0),MATCH(H$1,CalLookUpColumn,0))</f>
        <v>2</v>
      </c>
      <c r="I3554">
        <f>INDEX(CalLookUpTable,MATCH($B3554,CalLookUpRow,0),MATCH(I$1,CalLookUpColumn,0))</f>
        <v>3</v>
      </c>
    </row>
    <row r="3555" spans="1:9" x14ac:dyDescent="0.25">
      <c r="A3555" s="7">
        <v>2</v>
      </c>
      <c r="B3555" s="8">
        <v>43872</v>
      </c>
      <c r="C3555" s="9" t="s">
        <v>6</v>
      </c>
      <c r="D3555" s="10">
        <v>432.59299999999996</v>
      </c>
      <c r="E3555" s="10">
        <v>446.74</v>
      </c>
      <c r="F3555" t="str">
        <f>VLOOKUP(A3555,StoreLookup,2,FALSE)</f>
        <v>Store#2</v>
      </c>
      <c r="G3555">
        <f>INDEX(CalLookUpTable,MATCH($B3555,CalLookUpRow,0),MATCH(G$1,CalLookUpColumn,0))</f>
        <v>2020</v>
      </c>
      <c r="H3555">
        <f>INDEX(CalLookUpTable,MATCH($B3555,CalLookUpRow,0),MATCH(H$1,CalLookUpColumn,0))</f>
        <v>2</v>
      </c>
      <c r="I3555">
        <f>INDEX(CalLookUpTable,MATCH($B3555,CalLookUpRow,0),MATCH(I$1,CalLookUpColumn,0))</f>
        <v>3</v>
      </c>
    </row>
    <row r="3556" spans="1:9" x14ac:dyDescent="0.25">
      <c r="A3556" s="7">
        <v>2</v>
      </c>
      <c r="B3556" s="8">
        <v>43872</v>
      </c>
      <c r="C3556" s="9" t="s">
        <v>3</v>
      </c>
      <c r="D3556" s="10">
        <v>138.87299999999999</v>
      </c>
      <c r="E3556" s="10">
        <v>0</v>
      </c>
      <c r="F3556" t="str">
        <f>VLOOKUP(A3556,StoreLookup,2,FALSE)</f>
        <v>Store#2</v>
      </c>
      <c r="G3556">
        <f>INDEX(CalLookUpTable,MATCH($B3556,CalLookUpRow,0),MATCH(G$1,CalLookUpColumn,0))</f>
        <v>2020</v>
      </c>
      <c r="H3556">
        <f>INDEX(CalLookUpTable,MATCH($B3556,CalLookUpRow,0),MATCH(H$1,CalLookUpColumn,0))</f>
        <v>2</v>
      </c>
      <c r="I3556">
        <f>INDEX(CalLookUpTable,MATCH($B3556,CalLookUpRow,0),MATCH(I$1,CalLookUpColumn,0))</f>
        <v>3</v>
      </c>
    </row>
    <row r="3557" spans="1:9" x14ac:dyDescent="0.25">
      <c r="A3557" s="7">
        <v>2</v>
      </c>
      <c r="B3557" s="8">
        <v>43872</v>
      </c>
      <c r="C3557" s="9" t="s">
        <v>5</v>
      </c>
      <c r="D3557" s="10">
        <v>1270.9969999999998</v>
      </c>
      <c r="E3557" s="10">
        <v>826.70699999999999</v>
      </c>
      <c r="F3557" t="str">
        <f>VLOOKUP(A3557,StoreLookup,2,FALSE)</f>
        <v>Store#2</v>
      </c>
      <c r="G3557">
        <f>INDEX(CalLookUpTable,MATCH($B3557,CalLookUpRow,0),MATCH(G$1,CalLookUpColumn,0))</f>
        <v>2020</v>
      </c>
      <c r="H3557">
        <f>INDEX(CalLookUpTable,MATCH($B3557,CalLookUpRow,0),MATCH(H$1,CalLookUpColumn,0))</f>
        <v>2</v>
      </c>
      <c r="I3557">
        <f>INDEX(CalLookUpTable,MATCH($B3557,CalLookUpRow,0),MATCH(I$1,CalLookUpColumn,0))</f>
        <v>3</v>
      </c>
    </row>
    <row r="3558" spans="1:9" x14ac:dyDescent="0.25">
      <c r="A3558" s="7">
        <v>2</v>
      </c>
      <c r="B3558" s="8">
        <v>43873</v>
      </c>
      <c r="C3558" s="9" t="s">
        <v>6</v>
      </c>
      <c r="D3558" s="10">
        <v>268.45</v>
      </c>
      <c r="E3558" s="10">
        <v>190.61699999999999</v>
      </c>
      <c r="F3558" t="str">
        <f>VLOOKUP(A3558,StoreLookup,2,FALSE)</f>
        <v>Store#2</v>
      </c>
      <c r="G3558">
        <f>INDEX(CalLookUpTable,MATCH($B3558,CalLookUpRow,0),MATCH(G$1,CalLookUpColumn,0))</f>
        <v>2020</v>
      </c>
      <c r="H3558">
        <f>INDEX(CalLookUpTable,MATCH($B3558,CalLookUpRow,0),MATCH(H$1,CalLookUpColumn,0))</f>
        <v>2</v>
      </c>
      <c r="I3558">
        <f>INDEX(CalLookUpTable,MATCH($B3558,CalLookUpRow,0),MATCH(I$1,CalLookUpColumn,0))</f>
        <v>3</v>
      </c>
    </row>
    <row r="3559" spans="1:9" x14ac:dyDescent="0.25">
      <c r="A3559" s="7">
        <v>2</v>
      </c>
      <c r="B3559" s="8">
        <v>43873</v>
      </c>
      <c r="C3559" s="9" t="s">
        <v>4</v>
      </c>
      <c r="D3559" s="10">
        <v>1792.1959999999999</v>
      </c>
      <c r="E3559" s="10">
        <v>1624.952</v>
      </c>
      <c r="F3559" t="str">
        <f>VLOOKUP(A3559,StoreLookup,2,FALSE)</f>
        <v>Store#2</v>
      </c>
      <c r="G3559">
        <f>INDEX(CalLookUpTable,MATCH($B3559,CalLookUpRow,0),MATCH(G$1,CalLookUpColumn,0))</f>
        <v>2020</v>
      </c>
      <c r="H3559">
        <f>INDEX(CalLookUpTable,MATCH($B3559,CalLookUpRow,0),MATCH(H$1,CalLookUpColumn,0))</f>
        <v>2</v>
      </c>
      <c r="I3559">
        <f>INDEX(CalLookUpTable,MATCH($B3559,CalLookUpRow,0),MATCH(I$1,CalLookUpColumn,0))</f>
        <v>3</v>
      </c>
    </row>
    <row r="3560" spans="1:9" x14ac:dyDescent="0.25">
      <c r="A3560" s="7">
        <v>2</v>
      </c>
      <c r="B3560" s="8">
        <v>43873</v>
      </c>
      <c r="C3560" s="9" t="s">
        <v>3</v>
      </c>
      <c r="D3560" s="10">
        <v>0</v>
      </c>
      <c r="E3560" s="10">
        <v>199.11499999999998</v>
      </c>
      <c r="F3560" t="str">
        <f>VLOOKUP(A3560,StoreLookup,2,FALSE)</f>
        <v>Store#2</v>
      </c>
      <c r="G3560">
        <f>INDEX(CalLookUpTable,MATCH($B3560,CalLookUpRow,0),MATCH(G$1,CalLookUpColumn,0))</f>
        <v>2020</v>
      </c>
      <c r="H3560">
        <f>INDEX(CalLookUpTable,MATCH($B3560,CalLookUpRow,0),MATCH(H$1,CalLookUpColumn,0))</f>
        <v>2</v>
      </c>
      <c r="I3560">
        <f>INDEX(CalLookUpTable,MATCH($B3560,CalLookUpRow,0),MATCH(I$1,CalLookUpColumn,0))</f>
        <v>3</v>
      </c>
    </row>
    <row r="3561" spans="1:9" x14ac:dyDescent="0.25">
      <c r="A3561" s="7">
        <v>2</v>
      </c>
      <c r="B3561" s="8">
        <v>43873</v>
      </c>
      <c r="C3561" s="9" t="s">
        <v>5</v>
      </c>
      <c r="D3561" s="10">
        <v>1060.143</v>
      </c>
      <c r="E3561" s="10">
        <v>981.35799999999995</v>
      </c>
      <c r="F3561" t="str">
        <f>VLOOKUP(A3561,StoreLookup,2,FALSE)</f>
        <v>Store#2</v>
      </c>
      <c r="G3561">
        <f>INDEX(CalLookUpTable,MATCH($B3561,CalLookUpRow,0),MATCH(G$1,CalLookUpColumn,0))</f>
        <v>2020</v>
      </c>
      <c r="H3561">
        <f>INDEX(CalLookUpTable,MATCH($B3561,CalLookUpRow,0),MATCH(H$1,CalLookUpColumn,0))</f>
        <v>2</v>
      </c>
      <c r="I3561">
        <f>INDEX(CalLookUpTable,MATCH($B3561,CalLookUpRow,0),MATCH(I$1,CalLookUpColumn,0))</f>
        <v>3</v>
      </c>
    </row>
    <row r="3562" spans="1:9" x14ac:dyDescent="0.25">
      <c r="A3562" s="7">
        <v>2</v>
      </c>
      <c r="B3562" s="8">
        <v>43874</v>
      </c>
      <c r="C3562" s="9" t="s">
        <v>6</v>
      </c>
      <c r="D3562" s="10">
        <v>548.40099999999995</v>
      </c>
      <c r="E3562" s="10">
        <v>583.89799999999991</v>
      </c>
      <c r="F3562" t="str">
        <f>VLOOKUP(A3562,StoreLookup,2,FALSE)</f>
        <v>Store#2</v>
      </c>
      <c r="G3562">
        <f>INDEX(CalLookUpTable,MATCH($B3562,CalLookUpRow,0),MATCH(G$1,CalLookUpColumn,0))</f>
        <v>2020</v>
      </c>
      <c r="H3562">
        <f>INDEX(CalLookUpTable,MATCH($B3562,CalLookUpRow,0),MATCH(H$1,CalLookUpColumn,0))</f>
        <v>2</v>
      </c>
      <c r="I3562">
        <f>INDEX(CalLookUpTable,MATCH($B3562,CalLookUpRow,0),MATCH(I$1,CalLookUpColumn,0))</f>
        <v>3</v>
      </c>
    </row>
    <row r="3563" spans="1:9" x14ac:dyDescent="0.25">
      <c r="A3563" s="7">
        <v>2</v>
      </c>
      <c r="B3563" s="8">
        <v>43874</v>
      </c>
      <c r="C3563" s="9" t="s">
        <v>4</v>
      </c>
      <c r="D3563" s="10">
        <v>1659.0070000000001</v>
      </c>
      <c r="E3563" s="10">
        <v>2240.1189999999997</v>
      </c>
      <c r="F3563" t="str">
        <f>VLOOKUP(A3563,StoreLookup,2,FALSE)</f>
        <v>Store#2</v>
      </c>
      <c r="G3563">
        <f>INDEX(CalLookUpTable,MATCH($B3563,CalLookUpRow,0),MATCH(G$1,CalLookUpColumn,0))</f>
        <v>2020</v>
      </c>
      <c r="H3563">
        <f>INDEX(CalLookUpTable,MATCH($B3563,CalLookUpRow,0),MATCH(H$1,CalLookUpColumn,0))</f>
        <v>2</v>
      </c>
      <c r="I3563">
        <f>INDEX(CalLookUpTable,MATCH($B3563,CalLookUpRow,0),MATCH(I$1,CalLookUpColumn,0))</f>
        <v>3</v>
      </c>
    </row>
    <row r="3564" spans="1:9" x14ac:dyDescent="0.25">
      <c r="A3564" s="7">
        <v>2</v>
      </c>
      <c r="B3564" s="8">
        <v>43874</v>
      </c>
      <c r="C3564" s="9" t="s">
        <v>5</v>
      </c>
      <c r="D3564" s="10">
        <v>1156.5119999999999</v>
      </c>
      <c r="E3564" s="10">
        <v>1633.982</v>
      </c>
      <c r="F3564" t="str">
        <f>VLOOKUP(A3564,StoreLookup,2,FALSE)</f>
        <v>Store#2</v>
      </c>
      <c r="G3564">
        <f>INDEX(CalLookUpTable,MATCH($B3564,CalLookUpRow,0),MATCH(G$1,CalLookUpColumn,0))</f>
        <v>2020</v>
      </c>
      <c r="H3564">
        <f>INDEX(CalLookUpTable,MATCH($B3564,CalLookUpRow,0),MATCH(H$1,CalLookUpColumn,0))</f>
        <v>2</v>
      </c>
      <c r="I3564">
        <f>INDEX(CalLookUpTable,MATCH($B3564,CalLookUpRow,0),MATCH(I$1,CalLookUpColumn,0))</f>
        <v>3</v>
      </c>
    </row>
    <row r="3565" spans="1:9" x14ac:dyDescent="0.25">
      <c r="A3565" s="7">
        <v>2</v>
      </c>
      <c r="B3565" s="8">
        <v>43874</v>
      </c>
      <c r="C3565" s="9" t="s">
        <v>3</v>
      </c>
      <c r="D3565" s="10">
        <v>241.00299999999999</v>
      </c>
      <c r="E3565" s="10">
        <v>437.745</v>
      </c>
      <c r="F3565" t="str">
        <f>VLOOKUP(A3565,StoreLookup,2,FALSE)</f>
        <v>Store#2</v>
      </c>
      <c r="G3565">
        <f>INDEX(CalLookUpTable,MATCH($B3565,CalLookUpRow,0),MATCH(G$1,CalLookUpColumn,0))</f>
        <v>2020</v>
      </c>
      <c r="H3565">
        <f>INDEX(CalLookUpTable,MATCH($B3565,CalLookUpRow,0),MATCH(H$1,CalLookUpColumn,0))</f>
        <v>2</v>
      </c>
      <c r="I3565">
        <f>INDEX(CalLookUpTable,MATCH($B3565,CalLookUpRow,0),MATCH(I$1,CalLookUpColumn,0))</f>
        <v>3</v>
      </c>
    </row>
    <row r="3566" spans="1:9" x14ac:dyDescent="0.25">
      <c r="A3566" s="7">
        <v>2</v>
      </c>
      <c r="B3566" s="8">
        <v>43875</v>
      </c>
      <c r="C3566" s="9" t="s">
        <v>5</v>
      </c>
      <c r="D3566" s="10">
        <v>1216.4669999999999</v>
      </c>
      <c r="E3566" s="10">
        <v>1158.444</v>
      </c>
      <c r="F3566" t="str">
        <f>VLOOKUP(A3566,StoreLookup,2,FALSE)</f>
        <v>Store#2</v>
      </c>
      <c r="G3566">
        <f>INDEX(CalLookUpTable,MATCH($B3566,CalLookUpRow,0),MATCH(G$1,CalLookUpColumn,0))</f>
        <v>2020</v>
      </c>
      <c r="H3566">
        <f>INDEX(CalLookUpTable,MATCH($B3566,CalLookUpRow,0),MATCH(H$1,CalLookUpColumn,0))</f>
        <v>2</v>
      </c>
      <c r="I3566">
        <f>INDEX(CalLookUpTable,MATCH($B3566,CalLookUpRow,0),MATCH(I$1,CalLookUpColumn,0))</f>
        <v>3</v>
      </c>
    </row>
    <row r="3567" spans="1:9" x14ac:dyDescent="0.25">
      <c r="A3567" s="7">
        <v>2</v>
      </c>
      <c r="B3567" s="8">
        <v>43875</v>
      </c>
      <c r="C3567" s="9" t="s">
        <v>4</v>
      </c>
      <c r="D3567" s="10">
        <v>3406.7249999999999</v>
      </c>
      <c r="E3567" s="10">
        <v>2084.922</v>
      </c>
      <c r="F3567" t="str">
        <f>VLOOKUP(A3567,StoreLookup,2,FALSE)</f>
        <v>Store#2</v>
      </c>
      <c r="G3567">
        <f>INDEX(CalLookUpTable,MATCH($B3567,CalLookUpRow,0),MATCH(G$1,CalLookUpColumn,0))</f>
        <v>2020</v>
      </c>
      <c r="H3567">
        <f>INDEX(CalLookUpTable,MATCH($B3567,CalLookUpRow,0),MATCH(H$1,CalLookUpColumn,0))</f>
        <v>2</v>
      </c>
      <c r="I3567">
        <f>INDEX(CalLookUpTable,MATCH($B3567,CalLookUpRow,0),MATCH(I$1,CalLookUpColumn,0))</f>
        <v>3</v>
      </c>
    </row>
    <row r="3568" spans="1:9" x14ac:dyDescent="0.25">
      <c r="A3568" s="7">
        <v>2</v>
      </c>
      <c r="B3568" s="8">
        <v>43875</v>
      </c>
      <c r="C3568" s="9" t="s">
        <v>6</v>
      </c>
      <c r="D3568" s="10">
        <v>354.83699999999999</v>
      </c>
      <c r="E3568" s="10">
        <v>499.74399999999991</v>
      </c>
      <c r="F3568" t="str">
        <f>VLOOKUP(A3568,StoreLookup,2,FALSE)</f>
        <v>Store#2</v>
      </c>
      <c r="G3568">
        <f>INDEX(CalLookUpTable,MATCH($B3568,CalLookUpRow,0),MATCH(G$1,CalLookUpColumn,0))</f>
        <v>2020</v>
      </c>
      <c r="H3568">
        <f>INDEX(CalLookUpTable,MATCH($B3568,CalLookUpRow,0),MATCH(H$1,CalLookUpColumn,0))</f>
        <v>2</v>
      </c>
      <c r="I3568">
        <f>INDEX(CalLookUpTable,MATCH($B3568,CalLookUpRow,0),MATCH(I$1,CalLookUpColumn,0))</f>
        <v>3</v>
      </c>
    </row>
    <row r="3569" spans="1:9" x14ac:dyDescent="0.25">
      <c r="A3569" s="7">
        <v>2</v>
      </c>
      <c r="B3569" s="8">
        <v>43875</v>
      </c>
      <c r="C3569" s="9" t="s">
        <v>3</v>
      </c>
      <c r="D3569" s="10">
        <v>228.31899999999999</v>
      </c>
      <c r="E3569" s="10">
        <v>0</v>
      </c>
      <c r="F3569" t="str">
        <f>VLOOKUP(A3569,StoreLookup,2,FALSE)</f>
        <v>Store#2</v>
      </c>
      <c r="G3569">
        <f>INDEX(CalLookUpTable,MATCH($B3569,CalLookUpRow,0),MATCH(G$1,CalLookUpColumn,0))</f>
        <v>2020</v>
      </c>
      <c r="H3569">
        <f>INDEX(CalLookUpTable,MATCH($B3569,CalLookUpRow,0),MATCH(H$1,CalLookUpColumn,0))</f>
        <v>2</v>
      </c>
      <c r="I3569">
        <f>INDEX(CalLookUpTable,MATCH($B3569,CalLookUpRow,0),MATCH(I$1,CalLookUpColumn,0))</f>
        <v>3</v>
      </c>
    </row>
    <row r="3570" spans="1:9" x14ac:dyDescent="0.25">
      <c r="A3570" s="7">
        <v>2</v>
      </c>
      <c r="B3570" s="8">
        <v>43876</v>
      </c>
      <c r="C3570" s="9" t="s">
        <v>6</v>
      </c>
      <c r="D3570" s="10">
        <v>697.30499999999995</v>
      </c>
      <c r="E3570" s="10">
        <v>311.60499999999996</v>
      </c>
      <c r="F3570" t="str">
        <f>VLOOKUP(A3570,StoreLookup,2,FALSE)</f>
        <v>Store#2</v>
      </c>
      <c r="G3570">
        <f>INDEX(CalLookUpTable,MATCH($B3570,CalLookUpRow,0),MATCH(G$1,CalLookUpColumn,0))</f>
        <v>2020</v>
      </c>
      <c r="H3570">
        <f>INDEX(CalLookUpTable,MATCH($B3570,CalLookUpRow,0),MATCH(H$1,CalLookUpColumn,0))</f>
        <v>2</v>
      </c>
      <c r="I3570">
        <f>INDEX(CalLookUpTable,MATCH($B3570,CalLookUpRow,0),MATCH(I$1,CalLookUpColumn,0))</f>
        <v>3</v>
      </c>
    </row>
    <row r="3571" spans="1:9" x14ac:dyDescent="0.25">
      <c r="A3571" s="7">
        <v>2</v>
      </c>
      <c r="B3571" s="8">
        <v>43876</v>
      </c>
      <c r="C3571" s="9" t="s">
        <v>4</v>
      </c>
      <c r="D3571" s="10">
        <v>2351.335</v>
      </c>
      <c r="E3571" s="10">
        <v>1851.1569999999999</v>
      </c>
      <c r="F3571" t="str">
        <f>VLOOKUP(A3571,StoreLookup,2,FALSE)</f>
        <v>Store#2</v>
      </c>
      <c r="G3571">
        <f>INDEX(CalLookUpTable,MATCH($B3571,CalLookUpRow,0),MATCH(G$1,CalLookUpColumn,0))</f>
        <v>2020</v>
      </c>
      <c r="H3571">
        <f>INDEX(CalLookUpTable,MATCH($B3571,CalLookUpRow,0),MATCH(H$1,CalLookUpColumn,0))</f>
        <v>2</v>
      </c>
      <c r="I3571">
        <f>INDEX(CalLookUpTable,MATCH($B3571,CalLookUpRow,0),MATCH(I$1,CalLookUpColumn,0))</f>
        <v>3</v>
      </c>
    </row>
    <row r="3572" spans="1:9" x14ac:dyDescent="0.25">
      <c r="A3572" s="7">
        <v>2</v>
      </c>
      <c r="B3572" s="8">
        <v>43876</v>
      </c>
      <c r="C3572" s="9" t="s">
        <v>5</v>
      </c>
      <c r="D3572" s="10">
        <v>1243.3119999999999</v>
      </c>
      <c r="E3572" s="10">
        <v>1063.2370000000001</v>
      </c>
      <c r="F3572" t="str">
        <f>VLOOKUP(A3572,StoreLookup,2,FALSE)</f>
        <v>Store#2</v>
      </c>
      <c r="G3572">
        <f>INDEX(CalLookUpTable,MATCH($B3572,CalLookUpRow,0),MATCH(G$1,CalLookUpColumn,0))</f>
        <v>2020</v>
      </c>
      <c r="H3572">
        <f>INDEX(CalLookUpTable,MATCH($B3572,CalLookUpRow,0),MATCH(H$1,CalLookUpColumn,0))</f>
        <v>2</v>
      </c>
      <c r="I3572">
        <f>INDEX(CalLookUpTable,MATCH($B3572,CalLookUpRow,0),MATCH(I$1,CalLookUpColumn,0))</f>
        <v>3</v>
      </c>
    </row>
    <row r="3573" spans="1:9" x14ac:dyDescent="0.25">
      <c r="A3573" s="7">
        <v>2</v>
      </c>
      <c r="B3573" s="8">
        <v>43876</v>
      </c>
      <c r="C3573" s="9" t="s">
        <v>3</v>
      </c>
      <c r="D3573" s="10">
        <v>0</v>
      </c>
      <c r="E3573" s="10">
        <v>0</v>
      </c>
      <c r="F3573" t="str">
        <f>VLOOKUP(A3573,StoreLookup,2,FALSE)</f>
        <v>Store#2</v>
      </c>
      <c r="G3573">
        <f>INDEX(CalLookUpTable,MATCH($B3573,CalLookUpRow,0),MATCH(G$1,CalLookUpColumn,0))</f>
        <v>2020</v>
      </c>
      <c r="H3573">
        <f>INDEX(CalLookUpTable,MATCH($B3573,CalLookUpRow,0),MATCH(H$1,CalLookUpColumn,0))</f>
        <v>2</v>
      </c>
      <c r="I3573">
        <f>INDEX(CalLookUpTable,MATCH($B3573,CalLookUpRow,0),MATCH(I$1,CalLookUpColumn,0))</f>
        <v>3</v>
      </c>
    </row>
    <row r="3574" spans="1:9" x14ac:dyDescent="0.25">
      <c r="A3574" s="7">
        <v>2</v>
      </c>
      <c r="B3574" s="8">
        <v>43877</v>
      </c>
      <c r="C3574" s="9" t="s">
        <v>3</v>
      </c>
      <c r="D3574" s="10">
        <v>0</v>
      </c>
      <c r="E3574" s="10">
        <v>0</v>
      </c>
      <c r="F3574" t="str">
        <f>VLOOKUP(A3574,StoreLookup,2,FALSE)</f>
        <v>Store#2</v>
      </c>
      <c r="G3574">
        <f>INDEX(CalLookUpTable,MATCH($B3574,CalLookUpRow,0),MATCH(G$1,CalLookUpColumn,0))</f>
        <v>2020</v>
      </c>
      <c r="H3574">
        <f>INDEX(CalLookUpTable,MATCH($B3574,CalLookUpRow,0),MATCH(H$1,CalLookUpColumn,0))</f>
        <v>2</v>
      </c>
      <c r="I3574">
        <f>INDEX(CalLookUpTable,MATCH($B3574,CalLookUpRow,0),MATCH(I$1,CalLookUpColumn,0))</f>
        <v>3</v>
      </c>
    </row>
    <row r="3575" spans="1:9" x14ac:dyDescent="0.25">
      <c r="A3575" s="7">
        <v>2</v>
      </c>
      <c r="B3575" s="8">
        <v>43877</v>
      </c>
      <c r="C3575" s="9" t="s">
        <v>4</v>
      </c>
      <c r="D3575" s="10">
        <v>1265.873</v>
      </c>
      <c r="E3575" s="10">
        <v>848.35799999999995</v>
      </c>
      <c r="F3575" t="str">
        <f>VLOOKUP(A3575,StoreLookup,2,FALSE)</f>
        <v>Store#2</v>
      </c>
      <c r="G3575">
        <f>INDEX(CalLookUpTable,MATCH($B3575,CalLookUpRow,0),MATCH(G$1,CalLookUpColumn,0))</f>
        <v>2020</v>
      </c>
      <c r="H3575">
        <f>INDEX(CalLookUpTable,MATCH($B3575,CalLookUpRow,0),MATCH(H$1,CalLookUpColumn,0))</f>
        <v>2</v>
      </c>
      <c r="I3575">
        <f>INDEX(CalLookUpTable,MATCH($B3575,CalLookUpRow,0),MATCH(I$1,CalLookUpColumn,0))</f>
        <v>3</v>
      </c>
    </row>
    <row r="3576" spans="1:9" x14ac:dyDescent="0.25">
      <c r="A3576" s="7">
        <v>2</v>
      </c>
      <c r="B3576" s="8">
        <v>43877</v>
      </c>
      <c r="C3576" s="9" t="s">
        <v>6</v>
      </c>
      <c r="D3576" s="10">
        <v>457.93299999999999</v>
      </c>
      <c r="E3576" s="10">
        <v>78.308999999999997</v>
      </c>
      <c r="F3576" t="str">
        <f>VLOOKUP(A3576,StoreLookup,2,FALSE)</f>
        <v>Store#2</v>
      </c>
      <c r="G3576">
        <f>INDEX(CalLookUpTable,MATCH($B3576,CalLookUpRow,0),MATCH(G$1,CalLookUpColumn,0))</f>
        <v>2020</v>
      </c>
      <c r="H3576">
        <f>INDEX(CalLookUpTable,MATCH($B3576,CalLookUpRow,0),MATCH(H$1,CalLookUpColumn,0))</f>
        <v>2</v>
      </c>
      <c r="I3576">
        <f>INDEX(CalLookUpTable,MATCH($B3576,CalLookUpRow,0),MATCH(I$1,CalLookUpColumn,0))</f>
        <v>3</v>
      </c>
    </row>
    <row r="3577" spans="1:9" x14ac:dyDescent="0.25">
      <c r="A3577" s="7">
        <v>2</v>
      </c>
      <c r="B3577" s="8">
        <v>43877</v>
      </c>
      <c r="C3577" s="9" t="s">
        <v>5</v>
      </c>
      <c r="D3577" s="10">
        <v>659.12</v>
      </c>
      <c r="E3577" s="10">
        <v>533.17599999999993</v>
      </c>
      <c r="F3577" t="str">
        <f>VLOOKUP(A3577,StoreLookup,2,FALSE)</f>
        <v>Store#2</v>
      </c>
      <c r="G3577">
        <f>INDEX(CalLookUpTable,MATCH($B3577,CalLookUpRow,0),MATCH(G$1,CalLookUpColumn,0))</f>
        <v>2020</v>
      </c>
      <c r="H3577">
        <f>INDEX(CalLookUpTable,MATCH($B3577,CalLookUpRow,0),MATCH(H$1,CalLookUpColumn,0))</f>
        <v>2</v>
      </c>
      <c r="I3577">
        <f>INDEX(CalLookUpTable,MATCH($B3577,CalLookUpRow,0),MATCH(I$1,CalLookUpColumn,0))</f>
        <v>3</v>
      </c>
    </row>
    <row r="3578" spans="1:9" x14ac:dyDescent="0.25">
      <c r="A3578" s="7">
        <v>2</v>
      </c>
      <c r="B3578" s="8">
        <v>43878</v>
      </c>
      <c r="C3578" s="9" t="s">
        <v>6</v>
      </c>
      <c r="D3578" s="10">
        <v>442.77099999999996</v>
      </c>
      <c r="E3578" s="10">
        <v>281.22499999999997</v>
      </c>
      <c r="F3578" t="str">
        <f>VLOOKUP(A3578,StoreLookup,2,FALSE)</f>
        <v>Store#2</v>
      </c>
      <c r="G3578">
        <f>INDEX(CalLookUpTable,MATCH($B3578,CalLookUpRow,0),MATCH(G$1,CalLookUpColumn,0))</f>
        <v>2020</v>
      </c>
      <c r="H3578">
        <f>INDEX(CalLookUpTable,MATCH($B3578,CalLookUpRow,0),MATCH(H$1,CalLookUpColumn,0))</f>
        <v>2</v>
      </c>
      <c r="I3578">
        <f>INDEX(CalLookUpTable,MATCH($B3578,CalLookUpRow,0),MATCH(I$1,CalLookUpColumn,0))</f>
        <v>4</v>
      </c>
    </row>
    <row r="3579" spans="1:9" x14ac:dyDescent="0.25">
      <c r="A3579" s="7">
        <v>2</v>
      </c>
      <c r="B3579" s="8">
        <v>43878</v>
      </c>
      <c r="C3579" s="9" t="s">
        <v>5</v>
      </c>
      <c r="D3579" s="10">
        <v>926.41499999999996</v>
      </c>
      <c r="E3579" s="10">
        <v>870.68799999999987</v>
      </c>
      <c r="F3579" t="str">
        <f>VLOOKUP(A3579,StoreLookup,2,FALSE)</f>
        <v>Store#2</v>
      </c>
      <c r="G3579">
        <f>INDEX(CalLookUpTable,MATCH($B3579,CalLookUpRow,0),MATCH(G$1,CalLookUpColumn,0))</f>
        <v>2020</v>
      </c>
      <c r="H3579">
        <f>INDEX(CalLookUpTable,MATCH($B3579,CalLookUpRow,0),MATCH(H$1,CalLookUpColumn,0))</f>
        <v>2</v>
      </c>
      <c r="I3579">
        <f>INDEX(CalLookUpTable,MATCH($B3579,CalLookUpRow,0),MATCH(I$1,CalLookUpColumn,0))</f>
        <v>4</v>
      </c>
    </row>
    <row r="3580" spans="1:9" x14ac:dyDescent="0.25">
      <c r="A3580" s="7">
        <v>2</v>
      </c>
      <c r="B3580" s="8">
        <v>43878</v>
      </c>
      <c r="C3580" s="9" t="s">
        <v>4</v>
      </c>
      <c r="D3580" s="10">
        <v>1838.8929999999998</v>
      </c>
      <c r="E3580" s="10">
        <v>1655.297</v>
      </c>
      <c r="F3580" t="str">
        <f>VLOOKUP(A3580,StoreLookup,2,FALSE)</f>
        <v>Store#2</v>
      </c>
      <c r="G3580">
        <f>INDEX(CalLookUpTable,MATCH($B3580,CalLookUpRow,0),MATCH(G$1,CalLookUpColumn,0))</f>
        <v>2020</v>
      </c>
      <c r="H3580">
        <f>INDEX(CalLookUpTable,MATCH($B3580,CalLookUpRow,0),MATCH(H$1,CalLookUpColumn,0))</f>
        <v>2</v>
      </c>
      <c r="I3580">
        <f>INDEX(CalLookUpTable,MATCH($B3580,CalLookUpRow,0),MATCH(I$1,CalLookUpColumn,0))</f>
        <v>4</v>
      </c>
    </row>
    <row r="3581" spans="1:9" x14ac:dyDescent="0.25">
      <c r="A3581" s="7">
        <v>2</v>
      </c>
      <c r="B3581" s="8">
        <v>43878</v>
      </c>
      <c r="C3581" s="9" t="s">
        <v>3</v>
      </c>
      <c r="D3581" s="10">
        <v>0</v>
      </c>
      <c r="E3581" s="10">
        <v>0</v>
      </c>
      <c r="F3581" t="str">
        <f>VLOOKUP(A3581,StoreLookup,2,FALSE)</f>
        <v>Store#2</v>
      </c>
      <c r="G3581">
        <f>INDEX(CalLookUpTable,MATCH($B3581,CalLookUpRow,0),MATCH(G$1,CalLookUpColumn,0))</f>
        <v>2020</v>
      </c>
      <c r="H3581">
        <f>INDEX(CalLookUpTable,MATCH($B3581,CalLookUpRow,0),MATCH(H$1,CalLookUpColumn,0))</f>
        <v>2</v>
      </c>
      <c r="I3581">
        <f>INDEX(CalLookUpTable,MATCH($B3581,CalLookUpRow,0),MATCH(I$1,CalLookUpColumn,0))</f>
        <v>4</v>
      </c>
    </row>
    <row r="3582" spans="1:9" x14ac:dyDescent="0.25">
      <c r="A3582" s="7">
        <v>2</v>
      </c>
      <c r="B3582" s="8">
        <v>43879</v>
      </c>
      <c r="C3582" s="9" t="s">
        <v>4</v>
      </c>
      <c r="D3582" s="10">
        <v>1853.1309999999999</v>
      </c>
      <c r="E3582" s="10">
        <v>1584.31</v>
      </c>
      <c r="F3582" t="str">
        <f>VLOOKUP(A3582,StoreLookup,2,FALSE)</f>
        <v>Store#2</v>
      </c>
      <c r="G3582">
        <f>INDEX(CalLookUpTable,MATCH($B3582,CalLookUpRow,0),MATCH(G$1,CalLookUpColumn,0))</f>
        <v>2020</v>
      </c>
      <c r="H3582">
        <f>INDEX(CalLookUpTable,MATCH($B3582,CalLookUpRow,0),MATCH(H$1,CalLookUpColumn,0))</f>
        <v>2</v>
      </c>
      <c r="I3582">
        <f>INDEX(CalLookUpTable,MATCH($B3582,CalLookUpRow,0),MATCH(I$1,CalLookUpColumn,0))</f>
        <v>4</v>
      </c>
    </row>
    <row r="3583" spans="1:9" x14ac:dyDescent="0.25">
      <c r="A3583" s="7">
        <v>2</v>
      </c>
      <c r="B3583" s="8">
        <v>43879</v>
      </c>
      <c r="C3583" s="9" t="s">
        <v>6</v>
      </c>
      <c r="D3583" s="10">
        <v>496.67099999999994</v>
      </c>
      <c r="E3583" s="10">
        <v>354.858</v>
      </c>
      <c r="F3583" t="str">
        <f>VLOOKUP(A3583,StoreLookup,2,FALSE)</f>
        <v>Store#2</v>
      </c>
      <c r="G3583">
        <f>INDEX(CalLookUpTable,MATCH($B3583,CalLookUpRow,0),MATCH(G$1,CalLookUpColumn,0))</f>
        <v>2020</v>
      </c>
      <c r="H3583">
        <f>INDEX(CalLookUpTable,MATCH($B3583,CalLookUpRow,0),MATCH(H$1,CalLookUpColumn,0))</f>
        <v>2</v>
      </c>
      <c r="I3583">
        <f>INDEX(CalLookUpTable,MATCH($B3583,CalLookUpRow,0),MATCH(I$1,CalLookUpColumn,0))</f>
        <v>4</v>
      </c>
    </row>
    <row r="3584" spans="1:9" x14ac:dyDescent="0.25">
      <c r="A3584" s="7">
        <v>2</v>
      </c>
      <c r="B3584" s="8">
        <v>43879</v>
      </c>
      <c r="C3584" s="9" t="s">
        <v>3</v>
      </c>
      <c r="D3584" s="10">
        <v>417.73199999999997</v>
      </c>
      <c r="E3584" s="10">
        <v>187.71200000000002</v>
      </c>
      <c r="F3584" t="str">
        <f>VLOOKUP(A3584,StoreLookup,2,FALSE)</f>
        <v>Store#2</v>
      </c>
      <c r="G3584">
        <f>INDEX(CalLookUpTable,MATCH($B3584,CalLookUpRow,0),MATCH(G$1,CalLookUpColumn,0))</f>
        <v>2020</v>
      </c>
      <c r="H3584">
        <f>INDEX(CalLookUpTable,MATCH($B3584,CalLookUpRow,0),MATCH(H$1,CalLookUpColumn,0))</f>
        <v>2</v>
      </c>
      <c r="I3584">
        <f>INDEX(CalLookUpTable,MATCH($B3584,CalLookUpRow,0),MATCH(I$1,CalLookUpColumn,0))</f>
        <v>4</v>
      </c>
    </row>
    <row r="3585" spans="1:9" x14ac:dyDescent="0.25">
      <c r="A3585" s="7">
        <v>2</v>
      </c>
      <c r="B3585" s="8">
        <v>43879</v>
      </c>
      <c r="C3585" s="9" t="s">
        <v>5</v>
      </c>
      <c r="D3585" s="10">
        <v>1197.9169999999999</v>
      </c>
      <c r="E3585" s="10">
        <v>908.96399999999994</v>
      </c>
      <c r="F3585" t="str">
        <f>VLOOKUP(A3585,StoreLookup,2,FALSE)</f>
        <v>Store#2</v>
      </c>
      <c r="G3585">
        <f>INDEX(CalLookUpTable,MATCH($B3585,CalLookUpRow,0),MATCH(G$1,CalLookUpColumn,0))</f>
        <v>2020</v>
      </c>
      <c r="H3585">
        <f>INDEX(CalLookUpTable,MATCH($B3585,CalLookUpRow,0),MATCH(H$1,CalLookUpColumn,0))</f>
        <v>2</v>
      </c>
      <c r="I3585">
        <f>INDEX(CalLookUpTable,MATCH($B3585,CalLookUpRow,0),MATCH(I$1,CalLookUpColumn,0))</f>
        <v>4</v>
      </c>
    </row>
    <row r="3586" spans="1:9" x14ac:dyDescent="0.25">
      <c r="A3586" s="7">
        <v>2</v>
      </c>
      <c r="B3586" s="8">
        <v>43880</v>
      </c>
      <c r="C3586" s="9" t="s">
        <v>6</v>
      </c>
      <c r="D3586" s="10">
        <v>396.74599999999998</v>
      </c>
      <c r="E3586" s="10">
        <v>303.84899999999999</v>
      </c>
      <c r="F3586" t="str">
        <f>VLOOKUP(A3586,StoreLookup,2,FALSE)</f>
        <v>Store#2</v>
      </c>
      <c r="G3586">
        <f>INDEX(CalLookUpTable,MATCH($B3586,CalLookUpRow,0),MATCH(G$1,CalLookUpColumn,0))</f>
        <v>2020</v>
      </c>
      <c r="H3586">
        <f>INDEX(CalLookUpTable,MATCH($B3586,CalLookUpRow,0),MATCH(H$1,CalLookUpColumn,0))</f>
        <v>2</v>
      </c>
      <c r="I3586">
        <f>INDEX(CalLookUpTable,MATCH($B3586,CalLookUpRow,0),MATCH(I$1,CalLookUpColumn,0))</f>
        <v>4</v>
      </c>
    </row>
    <row r="3587" spans="1:9" x14ac:dyDescent="0.25">
      <c r="A3587" s="7">
        <v>2</v>
      </c>
      <c r="B3587" s="8">
        <v>43880</v>
      </c>
      <c r="C3587" s="9" t="s">
        <v>4</v>
      </c>
      <c r="D3587" s="10">
        <v>1507.0229999999999</v>
      </c>
      <c r="E3587" s="10">
        <v>2151.6109999999999</v>
      </c>
      <c r="F3587" t="str">
        <f>VLOOKUP(A3587,StoreLookup,2,FALSE)</f>
        <v>Store#2</v>
      </c>
      <c r="G3587">
        <f>INDEX(CalLookUpTable,MATCH($B3587,CalLookUpRow,0),MATCH(G$1,CalLookUpColumn,0))</f>
        <v>2020</v>
      </c>
      <c r="H3587">
        <f>INDEX(CalLookUpTable,MATCH($B3587,CalLookUpRow,0),MATCH(H$1,CalLookUpColumn,0))</f>
        <v>2</v>
      </c>
      <c r="I3587">
        <f>INDEX(CalLookUpTable,MATCH($B3587,CalLookUpRow,0),MATCH(I$1,CalLookUpColumn,0))</f>
        <v>4</v>
      </c>
    </row>
    <row r="3588" spans="1:9" x14ac:dyDescent="0.25">
      <c r="A3588" s="7">
        <v>2</v>
      </c>
      <c r="B3588" s="8">
        <v>43880</v>
      </c>
      <c r="C3588" s="9" t="s">
        <v>3</v>
      </c>
      <c r="D3588" s="10">
        <v>95.739000000000004</v>
      </c>
      <c r="E3588" s="10">
        <v>217.13299999999998</v>
      </c>
      <c r="F3588" t="str">
        <f>VLOOKUP(A3588,StoreLookup,2,FALSE)</f>
        <v>Store#2</v>
      </c>
      <c r="G3588">
        <f>INDEX(CalLookUpTable,MATCH($B3588,CalLookUpRow,0),MATCH(G$1,CalLookUpColumn,0))</f>
        <v>2020</v>
      </c>
      <c r="H3588">
        <f>INDEX(CalLookUpTable,MATCH($B3588,CalLookUpRow,0),MATCH(H$1,CalLookUpColumn,0))</f>
        <v>2</v>
      </c>
      <c r="I3588">
        <f>INDEX(CalLookUpTable,MATCH($B3588,CalLookUpRow,0),MATCH(I$1,CalLookUpColumn,0))</f>
        <v>4</v>
      </c>
    </row>
    <row r="3589" spans="1:9" x14ac:dyDescent="0.25">
      <c r="A3589" s="7">
        <v>2</v>
      </c>
      <c r="B3589" s="8">
        <v>43880</v>
      </c>
      <c r="C3589" s="9" t="s">
        <v>5</v>
      </c>
      <c r="D3589" s="10">
        <v>980.39199999999994</v>
      </c>
      <c r="E3589" s="10">
        <v>1015.154</v>
      </c>
      <c r="F3589" t="str">
        <f>VLOOKUP(A3589,StoreLookup,2,FALSE)</f>
        <v>Store#2</v>
      </c>
      <c r="G3589">
        <f>INDEX(CalLookUpTable,MATCH($B3589,CalLookUpRow,0),MATCH(G$1,CalLookUpColumn,0))</f>
        <v>2020</v>
      </c>
      <c r="H3589">
        <f>INDEX(CalLookUpTable,MATCH($B3589,CalLookUpRow,0),MATCH(H$1,CalLookUpColumn,0))</f>
        <v>2</v>
      </c>
      <c r="I3589">
        <f>INDEX(CalLookUpTable,MATCH($B3589,CalLookUpRow,0),MATCH(I$1,CalLookUpColumn,0))</f>
        <v>4</v>
      </c>
    </row>
    <row r="3590" spans="1:9" x14ac:dyDescent="0.25">
      <c r="A3590" s="7">
        <v>2</v>
      </c>
      <c r="B3590" s="8">
        <v>43881</v>
      </c>
      <c r="C3590" s="9" t="s">
        <v>3</v>
      </c>
      <c r="D3590" s="10">
        <v>0</v>
      </c>
      <c r="E3590" s="10">
        <v>0</v>
      </c>
      <c r="F3590" t="str">
        <f>VLOOKUP(A3590,StoreLookup,2,FALSE)</f>
        <v>Store#2</v>
      </c>
      <c r="G3590">
        <f>INDEX(CalLookUpTable,MATCH($B3590,CalLookUpRow,0),MATCH(G$1,CalLookUpColumn,0))</f>
        <v>2020</v>
      </c>
      <c r="H3590">
        <f>INDEX(CalLookUpTable,MATCH($B3590,CalLookUpRow,0),MATCH(H$1,CalLookUpColumn,0))</f>
        <v>2</v>
      </c>
      <c r="I3590">
        <f>INDEX(CalLookUpTable,MATCH($B3590,CalLookUpRow,0),MATCH(I$1,CalLookUpColumn,0))</f>
        <v>4</v>
      </c>
    </row>
    <row r="3591" spans="1:9" x14ac:dyDescent="0.25">
      <c r="A3591" s="7">
        <v>2</v>
      </c>
      <c r="B3591" s="8">
        <v>43881</v>
      </c>
      <c r="C3591" s="9" t="s">
        <v>6</v>
      </c>
      <c r="D3591" s="10">
        <v>578.90699999999993</v>
      </c>
      <c r="E3591" s="10">
        <v>241.88499999999999</v>
      </c>
      <c r="F3591" t="str">
        <f>VLOOKUP(A3591,StoreLookup,2,FALSE)</f>
        <v>Store#2</v>
      </c>
      <c r="G3591">
        <f>INDEX(CalLookUpTable,MATCH($B3591,CalLookUpRow,0),MATCH(G$1,CalLookUpColumn,0))</f>
        <v>2020</v>
      </c>
      <c r="H3591">
        <f>INDEX(CalLookUpTable,MATCH($B3591,CalLookUpRow,0),MATCH(H$1,CalLookUpColumn,0))</f>
        <v>2</v>
      </c>
      <c r="I3591">
        <f>INDEX(CalLookUpTable,MATCH($B3591,CalLookUpRow,0),MATCH(I$1,CalLookUpColumn,0))</f>
        <v>4</v>
      </c>
    </row>
    <row r="3592" spans="1:9" x14ac:dyDescent="0.25">
      <c r="A3592" s="7">
        <v>2</v>
      </c>
      <c r="B3592" s="8">
        <v>43881</v>
      </c>
      <c r="C3592" s="9" t="s">
        <v>4</v>
      </c>
      <c r="D3592" s="10">
        <v>1739.1919999999998</v>
      </c>
      <c r="E3592" s="10">
        <v>1618.5329999999999</v>
      </c>
      <c r="F3592" t="str">
        <f>VLOOKUP(A3592,StoreLookup,2,FALSE)</f>
        <v>Store#2</v>
      </c>
      <c r="G3592">
        <f>INDEX(CalLookUpTable,MATCH($B3592,CalLookUpRow,0),MATCH(G$1,CalLookUpColumn,0))</f>
        <v>2020</v>
      </c>
      <c r="H3592">
        <f>INDEX(CalLookUpTable,MATCH($B3592,CalLookUpRow,0),MATCH(H$1,CalLookUpColumn,0))</f>
        <v>2</v>
      </c>
      <c r="I3592">
        <f>INDEX(CalLookUpTable,MATCH($B3592,CalLookUpRow,0),MATCH(I$1,CalLookUpColumn,0))</f>
        <v>4</v>
      </c>
    </row>
    <row r="3593" spans="1:9" x14ac:dyDescent="0.25">
      <c r="A3593" s="7">
        <v>2</v>
      </c>
      <c r="B3593" s="8">
        <v>43881</v>
      </c>
      <c r="C3593" s="9" t="s">
        <v>5</v>
      </c>
      <c r="D3593" s="10">
        <v>1309.518</v>
      </c>
      <c r="E3593" s="10">
        <v>1177.498</v>
      </c>
      <c r="F3593" t="str">
        <f>VLOOKUP(A3593,StoreLookup,2,FALSE)</f>
        <v>Store#2</v>
      </c>
      <c r="G3593">
        <f>INDEX(CalLookUpTable,MATCH($B3593,CalLookUpRow,0),MATCH(G$1,CalLookUpColumn,0))</f>
        <v>2020</v>
      </c>
      <c r="H3593">
        <f>INDEX(CalLookUpTable,MATCH($B3593,CalLookUpRow,0),MATCH(H$1,CalLookUpColumn,0))</f>
        <v>2</v>
      </c>
      <c r="I3593">
        <f>INDEX(CalLookUpTable,MATCH($B3593,CalLookUpRow,0),MATCH(I$1,CalLookUpColumn,0))</f>
        <v>4</v>
      </c>
    </row>
    <row r="3594" spans="1:9" x14ac:dyDescent="0.25">
      <c r="A3594" s="7">
        <v>2</v>
      </c>
      <c r="B3594" s="8">
        <v>43882</v>
      </c>
      <c r="C3594" s="9" t="s">
        <v>6</v>
      </c>
      <c r="D3594" s="10">
        <v>637.57399999999996</v>
      </c>
      <c r="E3594" s="10">
        <v>464.82799999999992</v>
      </c>
      <c r="F3594" t="str">
        <f>VLOOKUP(A3594,StoreLookup,2,FALSE)</f>
        <v>Store#2</v>
      </c>
      <c r="G3594">
        <f>INDEX(CalLookUpTable,MATCH($B3594,CalLookUpRow,0),MATCH(G$1,CalLookUpColumn,0))</f>
        <v>2020</v>
      </c>
      <c r="H3594">
        <f>INDEX(CalLookUpTable,MATCH($B3594,CalLookUpRow,0),MATCH(H$1,CalLookUpColumn,0))</f>
        <v>2</v>
      </c>
      <c r="I3594">
        <f>INDEX(CalLookUpTable,MATCH($B3594,CalLookUpRow,0),MATCH(I$1,CalLookUpColumn,0))</f>
        <v>4</v>
      </c>
    </row>
    <row r="3595" spans="1:9" x14ac:dyDescent="0.25">
      <c r="A3595" s="7">
        <v>2</v>
      </c>
      <c r="B3595" s="8">
        <v>43882</v>
      </c>
      <c r="C3595" s="9" t="s">
        <v>4</v>
      </c>
      <c r="D3595" s="10">
        <v>2097.7249999999999</v>
      </c>
      <c r="E3595" s="10">
        <v>2718.31</v>
      </c>
      <c r="F3595" t="str">
        <f>VLOOKUP(A3595,StoreLookup,2,FALSE)</f>
        <v>Store#2</v>
      </c>
      <c r="G3595">
        <f>INDEX(CalLookUpTable,MATCH($B3595,CalLookUpRow,0),MATCH(G$1,CalLookUpColumn,0))</f>
        <v>2020</v>
      </c>
      <c r="H3595">
        <f>INDEX(CalLookUpTable,MATCH($B3595,CalLookUpRow,0),MATCH(H$1,CalLookUpColumn,0))</f>
        <v>2</v>
      </c>
      <c r="I3595">
        <f>INDEX(CalLookUpTable,MATCH($B3595,CalLookUpRow,0),MATCH(I$1,CalLookUpColumn,0))</f>
        <v>4</v>
      </c>
    </row>
    <row r="3596" spans="1:9" x14ac:dyDescent="0.25">
      <c r="A3596" s="7">
        <v>2</v>
      </c>
      <c r="B3596" s="8">
        <v>43882</v>
      </c>
      <c r="C3596" s="9" t="s">
        <v>3</v>
      </c>
      <c r="D3596" s="10">
        <v>0</v>
      </c>
      <c r="E3596" s="10">
        <v>0</v>
      </c>
      <c r="F3596" t="str">
        <f>VLOOKUP(A3596,StoreLookup,2,FALSE)</f>
        <v>Store#2</v>
      </c>
      <c r="G3596">
        <f>INDEX(CalLookUpTable,MATCH($B3596,CalLookUpRow,0),MATCH(G$1,CalLookUpColumn,0))</f>
        <v>2020</v>
      </c>
      <c r="H3596">
        <f>INDEX(CalLookUpTable,MATCH($B3596,CalLookUpRow,0),MATCH(H$1,CalLookUpColumn,0))</f>
        <v>2</v>
      </c>
      <c r="I3596">
        <f>INDEX(CalLookUpTable,MATCH($B3596,CalLookUpRow,0),MATCH(I$1,CalLookUpColumn,0))</f>
        <v>4</v>
      </c>
    </row>
    <row r="3597" spans="1:9" x14ac:dyDescent="0.25">
      <c r="A3597" s="7">
        <v>2</v>
      </c>
      <c r="B3597" s="8">
        <v>43882</v>
      </c>
      <c r="C3597" s="9" t="s">
        <v>5</v>
      </c>
      <c r="D3597" s="10">
        <v>1483.3489999999999</v>
      </c>
      <c r="E3597" s="10">
        <v>1461.586</v>
      </c>
      <c r="F3597" t="str">
        <f>VLOOKUP(A3597,StoreLookup,2,FALSE)</f>
        <v>Store#2</v>
      </c>
      <c r="G3597">
        <f>INDEX(CalLookUpTable,MATCH($B3597,CalLookUpRow,0),MATCH(G$1,CalLookUpColumn,0))</f>
        <v>2020</v>
      </c>
      <c r="H3597">
        <f>INDEX(CalLookUpTable,MATCH($B3597,CalLookUpRow,0),MATCH(H$1,CalLookUpColumn,0))</f>
        <v>2</v>
      </c>
      <c r="I3597">
        <f>INDEX(CalLookUpTable,MATCH($B3597,CalLookUpRow,0),MATCH(I$1,CalLookUpColumn,0))</f>
        <v>4</v>
      </c>
    </row>
    <row r="3598" spans="1:9" x14ac:dyDescent="0.25">
      <c r="A3598" s="7">
        <v>2</v>
      </c>
      <c r="B3598" s="8">
        <v>43883</v>
      </c>
      <c r="C3598" s="9" t="s">
        <v>6</v>
      </c>
      <c r="D3598" s="10">
        <v>768.78899999999999</v>
      </c>
      <c r="E3598" s="10">
        <v>164.82899999999998</v>
      </c>
      <c r="F3598" t="str">
        <f>VLOOKUP(A3598,StoreLookup,2,FALSE)</f>
        <v>Store#2</v>
      </c>
      <c r="G3598">
        <f>INDEX(CalLookUpTable,MATCH($B3598,CalLookUpRow,0),MATCH(G$1,CalLookUpColumn,0))</f>
        <v>2020</v>
      </c>
      <c r="H3598">
        <f>INDEX(CalLookUpTable,MATCH($B3598,CalLookUpRow,0),MATCH(H$1,CalLookUpColumn,0))</f>
        <v>2</v>
      </c>
      <c r="I3598">
        <f>INDEX(CalLookUpTable,MATCH($B3598,CalLookUpRow,0),MATCH(I$1,CalLookUpColumn,0))</f>
        <v>4</v>
      </c>
    </row>
    <row r="3599" spans="1:9" x14ac:dyDescent="0.25">
      <c r="A3599" s="7">
        <v>2</v>
      </c>
      <c r="B3599" s="8">
        <v>43883</v>
      </c>
      <c r="C3599" s="9" t="s">
        <v>4</v>
      </c>
      <c r="D3599" s="10">
        <v>2156.672</v>
      </c>
      <c r="E3599" s="10">
        <v>2188.7529999999997</v>
      </c>
      <c r="F3599" t="str">
        <f>VLOOKUP(A3599,StoreLookup,2,FALSE)</f>
        <v>Store#2</v>
      </c>
      <c r="G3599">
        <f>INDEX(CalLookUpTable,MATCH($B3599,CalLookUpRow,0),MATCH(G$1,CalLookUpColumn,0))</f>
        <v>2020</v>
      </c>
      <c r="H3599">
        <f>INDEX(CalLookUpTable,MATCH($B3599,CalLookUpRow,0),MATCH(H$1,CalLookUpColumn,0))</f>
        <v>2</v>
      </c>
      <c r="I3599">
        <f>INDEX(CalLookUpTable,MATCH($B3599,CalLookUpRow,0),MATCH(I$1,CalLookUpColumn,0))</f>
        <v>4</v>
      </c>
    </row>
    <row r="3600" spans="1:9" x14ac:dyDescent="0.25">
      <c r="A3600" s="7">
        <v>2</v>
      </c>
      <c r="B3600" s="8">
        <v>43883</v>
      </c>
      <c r="C3600" s="9" t="s">
        <v>5</v>
      </c>
      <c r="D3600" s="10">
        <v>1402.961</v>
      </c>
      <c r="E3600" s="10">
        <v>863.42899999999997</v>
      </c>
      <c r="F3600" t="str">
        <f>VLOOKUP(A3600,StoreLookup,2,FALSE)</f>
        <v>Store#2</v>
      </c>
      <c r="G3600">
        <f>INDEX(CalLookUpTable,MATCH($B3600,CalLookUpRow,0),MATCH(G$1,CalLookUpColumn,0))</f>
        <v>2020</v>
      </c>
      <c r="H3600">
        <f>INDEX(CalLookUpTable,MATCH($B3600,CalLookUpRow,0),MATCH(H$1,CalLookUpColumn,0))</f>
        <v>2</v>
      </c>
      <c r="I3600">
        <f>INDEX(CalLookUpTable,MATCH($B3600,CalLookUpRow,0),MATCH(I$1,CalLookUpColumn,0))</f>
        <v>4</v>
      </c>
    </row>
    <row r="3601" spans="1:9" x14ac:dyDescent="0.25">
      <c r="A3601" s="7">
        <v>2</v>
      </c>
      <c r="B3601" s="8">
        <v>43883</v>
      </c>
      <c r="C3601" s="9" t="s">
        <v>3</v>
      </c>
      <c r="D3601" s="10">
        <v>0</v>
      </c>
      <c r="E3601" s="10">
        <v>468.447</v>
      </c>
      <c r="F3601" t="str">
        <f>VLOOKUP(A3601,StoreLookup,2,FALSE)</f>
        <v>Store#2</v>
      </c>
      <c r="G3601">
        <f>INDEX(CalLookUpTable,MATCH($B3601,CalLookUpRow,0),MATCH(G$1,CalLookUpColumn,0))</f>
        <v>2020</v>
      </c>
      <c r="H3601">
        <f>INDEX(CalLookUpTable,MATCH($B3601,CalLookUpRow,0),MATCH(H$1,CalLookUpColumn,0))</f>
        <v>2</v>
      </c>
      <c r="I3601">
        <f>INDEX(CalLookUpTable,MATCH($B3601,CalLookUpRow,0),MATCH(I$1,CalLookUpColumn,0))</f>
        <v>4</v>
      </c>
    </row>
    <row r="3602" spans="1:9" x14ac:dyDescent="0.25">
      <c r="A3602" s="7">
        <v>2</v>
      </c>
      <c r="B3602" s="8">
        <v>43884</v>
      </c>
      <c r="C3602" s="9" t="s">
        <v>3</v>
      </c>
      <c r="D3602" s="10">
        <v>16.785999999999998</v>
      </c>
      <c r="E3602" s="10">
        <v>0</v>
      </c>
      <c r="F3602" t="str">
        <f>VLOOKUP(A3602,StoreLookup,2,FALSE)</f>
        <v>Store#2</v>
      </c>
      <c r="G3602">
        <f>INDEX(CalLookUpTable,MATCH($B3602,CalLookUpRow,0),MATCH(G$1,CalLookUpColumn,0))</f>
        <v>2020</v>
      </c>
      <c r="H3602">
        <f>INDEX(CalLookUpTable,MATCH($B3602,CalLookUpRow,0),MATCH(H$1,CalLookUpColumn,0))</f>
        <v>2</v>
      </c>
      <c r="I3602">
        <f>INDEX(CalLookUpTable,MATCH($B3602,CalLookUpRow,0),MATCH(I$1,CalLookUpColumn,0))</f>
        <v>4</v>
      </c>
    </row>
    <row r="3603" spans="1:9" x14ac:dyDescent="0.25">
      <c r="A3603" s="7">
        <v>2</v>
      </c>
      <c r="B3603" s="8">
        <v>43884</v>
      </c>
      <c r="C3603" s="9" t="s">
        <v>4</v>
      </c>
      <c r="D3603" s="10">
        <v>1027.3339999999998</v>
      </c>
      <c r="E3603" s="10">
        <v>1529.808</v>
      </c>
      <c r="F3603" t="str">
        <f>VLOOKUP(A3603,StoreLookup,2,FALSE)</f>
        <v>Store#2</v>
      </c>
      <c r="G3603">
        <f>INDEX(CalLookUpTable,MATCH($B3603,CalLookUpRow,0),MATCH(G$1,CalLookUpColumn,0))</f>
        <v>2020</v>
      </c>
      <c r="H3603">
        <f>INDEX(CalLookUpTable,MATCH($B3603,CalLookUpRow,0),MATCH(H$1,CalLookUpColumn,0))</f>
        <v>2</v>
      </c>
      <c r="I3603">
        <f>INDEX(CalLookUpTable,MATCH($B3603,CalLookUpRow,0),MATCH(I$1,CalLookUpColumn,0))</f>
        <v>4</v>
      </c>
    </row>
    <row r="3604" spans="1:9" x14ac:dyDescent="0.25">
      <c r="A3604" s="7">
        <v>2</v>
      </c>
      <c r="B3604" s="8">
        <v>43884</v>
      </c>
      <c r="C3604" s="9" t="s">
        <v>6</v>
      </c>
      <c r="D3604" s="10">
        <v>360.96899999999994</v>
      </c>
      <c r="E3604" s="10">
        <v>302.96699999999998</v>
      </c>
      <c r="F3604" t="str">
        <f>VLOOKUP(A3604,StoreLookup,2,FALSE)</f>
        <v>Store#2</v>
      </c>
      <c r="G3604">
        <f>INDEX(CalLookUpTable,MATCH($B3604,CalLookUpRow,0),MATCH(G$1,CalLookUpColumn,0))</f>
        <v>2020</v>
      </c>
      <c r="H3604">
        <f>INDEX(CalLookUpTable,MATCH($B3604,CalLookUpRow,0),MATCH(H$1,CalLookUpColumn,0))</f>
        <v>2</v>
      </c>
      <c r="I3604">
        <f>INDEX(CalLookUpTable,MATCH($B3604,CalLookUpRow,0),MATCH(I$1,CalLookUpColumn,0))</f>
        <v>4</v>
      </c>
    </row>
    <row r="3605" spans="1:9" x14ac:dyDescent="0.25">
      <c r="A3605" s="7">
        <v>2</v>
      </c>
      <c r="B3605" s="8">
        <v>43884</v>
      </c>
      <c r="C3605" s="9" t="s">
        <v>5</v>
      </c>
      <c r="D3605" s="10">
        <v>975.06499999999994</v>
      </c>
      <c r="E3605" s="10">
        <v>785.63099999999986</v>
      </c>
      <c r="F3605" t="str">
        <f>VLOOKUP(A3605,StoreLookup,2,FALSE)</f>
        <v>Store#2</v>
      </c>
      <c r="G3605">
        <f>INDEX(CalLookUpTable,MATCH($B3605,CalLookUpRow,0),MATCH(G$1,CalLookUpColumn,0))</f>
        <v>2020</v>
      </c>
      <c r="H3605">
        <f>INDEX(CalLookUpTable,MATCH($B3605,CalLookUpRow,0),MATCH(H$1,CalLookUpColumn,0))</f>
        <v>2</v>
      </c>
      <c r="I3605">
        <f>INDEX(CalLookUpTable,MATCH($B3605,CalLookUpRow,0),MATCH(I$1,CalLookUpColumn,0))</f>
        <v>4</v>
      </c>
    </row>
    <row r="3606" spans="1:9" x14ac:dyDescent="0.25">
      <c r="A3606" s="7">
        <v>2</v>
      </c>
      <c r="B3606" s="8">
        <v>43885</v>
      </c>
      <c r="C3606" s="9" t="s">
        <v>4</v>
      </c>
      <c r="D3606" s="10">
        <v>1523.9349999999999</v>
      </c>
      <c r="E3606" s="10">
        <v>1522.1079999999999</v>
      </c>
      <c r="F3606" t="str">
        <f>VLOOKUP(A3606,StoreLookup,2,FALSE)</f>
        <v>Store#2</v>
      </c>
      <c r="G3606">
        <f>INDEX(CalLookUpTable,MATCH($B3606,CalLookUpRow,0),MATCH(G$1,CalLookUpColumn,0))</f>
        <v>2020</v>
      </c>
      <c r="H3606">
        <f>INDEX(CalLookUpTable,MATCH($B3606,CalLookUpRow,0),MATCH(H$1,CalLookUpColumn,0))</f>
        <v>3</v>
      </c>
      <c r="I3606">
        <f>INDEX(CalLookUpTable,MATCH($B3606,CalLookUpRow,0),MATCH(I$1,CalLookUpColumn,0))</f>
        <v>1</v>
      </c>
    </row>
    <row r="3607" spans="1:9" x14ac:dyDescent="0.25">
      <c r="A3607" s="7">
        <v>2</v>
      </c>
      <c r="B3607" s="8">
        <v>43885</v>
      </c>
      <c r="C3607" s="9" t="s">
        <v>6</v>
      </c>
      <c r="D3607" s="10">
        <v>399.16800000000001</v>
      </c>
      <c r="E3607" s="10">
        <v>136.24099999999999</v>
      </c>
      <c r="F3607" t="str">
        <f>VLOOKUP(A3607,StoreLookup,2,FALSE)</f>
        <v>Store#2</v>
      </c>
      <c r="G3607">
        <f>INDEX(CalLookUpTable,MATCH($B3607,CalLookUpRow,0),MATCH(G$1,CalLookUpColumn,0))</f>
        <v>2020</v>
      </c>
      <c r="H3607">
        <f>INDEX(CalLookUpTable,MATCH($B3607,CalLookUpRow,0),MATCH(H$1,CalLookUpColumn,0))</f>
        <v>3</v>
      </c>
      <c r="I3607">
        <f>INDEX(CalLookUpTable,MATCH($B3607,CalLookUpRow,0),MATCH(I$1,CalLookUpColumn,0))</f>
        <v>1</v>
      </c>
    </row>
    <row r="3608" spans="1:9" x14ac:dyDescent="0.25">
      <c r="A3608" s="7">
        <v>2</v>
      </c>
      <c r="B3608" s="8">
        <v>43885</v>
      </c>
      <c r="C3608" s="9" t="s">
        <v>3</v>
      </c>
      <c r="D3608" s="10">
        <v>0</v>
      </c>
      <c r="E3608" s="10">
        <v>0</v>
      </c>
      <c r="F3608" t="str">
        <f>VLOOKUP(A3608,StoreLookup,2,FALSE)</f>
        <v>Store#2</v>
      </c>
      <c r="G3608">
        <f>INDEX(CalLookUpTable,MATCH($B3608,CalLookUpRow,0),MATCH(G$1,CalLookUpColumn,0))</f>
        <v>2020</v>
      </c>
      <c r="H3608">
        <f>INDEX(CalLookUpTable,MATCH($B3608,CalLookUpRow,0),MATCH(H$1,CalLookUpColumn,0))</f>
        <v>3</v>
      </c>
      <c r="I3608">
        <f>INDEX(CalLookUpTable,MATCH($B3608,CalLookUpRow,0),MATCH(I$1,CalLookUpColumn,0))</f>
        <v>1</v>
      </c>
    </row>
    <row r="3609" spans="1:9" x14ac:dyDescent="0.25">
      <c r="A3609" s="7">
        <v>2</v>
      </c>
      <c r="B3609" s="8">
        <v>43885</v>
      </c>
      <c r="C3609" s="9" t="s">
        <v>5</v>
      </c>
      <c r="D3609" s="10">
        <v>1148.9029999999998</v>
      </c>
      <c r="E3609" s="10">
        <v>789.13099999999986</v>
      </c>
      <c r="F3609" t="str">
        <f>VLOOKUP(A3609,StoreLookup,2,FALSE)</f>
        <v>Store#2</v>
      </c>
      <c r="G3609">
        <f>INDEX(CalLookUpTable,MATCH($B3609,CalLookUpRow,0),MATCH(G$1,CalLookUpColumn,0))</f>
        <v>2020</v>
      </c>
      <c r="H3609">
        <f>INDEX(CalLookUpTable,MATCH($B3609,CalLookUpRow,0),MATCH(H$1,CalLookUpColumn,0))</f>
        <v>3</v>
      </c>
      <c r="I3609">
        <f>INDEX(CalLookUpTable,MATCH($B3609,CalLookUpRow,0),MATCH(I$1,CalLookUpColumn,0))</f>
        <v>1</v>
      </c>
    </row>
    <row r="3610" spans="1:9" x14ac:dyDescent="0.25">
      <c r="A3610" s="7">
        <v>2</v>
      </c>
      <c r="B3610" s="8">
        <v>43886</v>
      </c>
      <c r="C3610" s="9" t="s">
        <v>5</v>
      </c>
      <c r="D3610" s="10">
        <v>1296.4069999999999</v>
      </c>
      <c r="E3610" s="10">
        <v>1267.6299999999999</v>
      </c>
      <c r="F3610" t="str">
        <f>VLOOKUP(A3610,StoreLookup,2,FALSE)</f>
        <v>Store#2</v>
      </c>
      <c r="G3610">
        <f>INDEX(CalLookUpTable,MATCH($B3610,CalLookUpRow,0),MATCH(G$1,CalLookUpColumn,0))</f>
        <v>2020</v>
      </c>
      <c r="H3610">
        <f>INDEX(CalLookUpTable,MATCH($B3610,CalLookUpRow,0),MATCH(H$1,CalLookUpColumn,0))</f>
        <v>3</v>
      </c>
      <c r="I3610">
        <f>INDEX(CalLookUpTable,MATCH($B3610,CalLookUpRow,0),MATCH(I$1,CalLookUpColumn,0))</f>
        <v>1</v>
      </c>
    </row>
    <row r="3611" spans="1:9" x14ac:dyDescent="0.25">
      <c r="A3611" s="7">
        <v>2</v>
      </c>
      <c r="B3611" s="8">
        <v>43886</v>
      </c>
      <c r="C3611" s="9" t="s">
        <v>4</v>
      </c>
      <c r="D3611" s="10">
        <v>1697.6960000000001</v>
      </c>
      <c r="E3611" s="10">
        <v>1701.5740000000001</v>
      </c>
      <c r="F3611" t="str">
        <f>VLOOKUP(A3611,StoreLookup,2,FALSE)</f>
        <v>Store#2</v>
      </c>
      <c r="G3611">
        <f>INDEX(CalLookUpTable,MATCH($B3611,CalLookUpRow,0),MATCH(G$1,CalLookUpColumn,0))</f>
        <v>2020</v>
      </c>
      <c r="H3611">
        <f>INDEX(CalLookUpTable,MATCH($B3611,CalLookUpRow,0),MATCH(H$1,CalLookUpColumn,0))</f>
        <v>3</v>
      </c>
      <c r="I3611">
        <f>INDEX(CalLookUpTable,MATCH($B3611,CalLookUpRow,0),MATCH(I$1,CalLookUpColumn,0))</f>
        <v>1</v>
      </c>
    </row>
    <row r="3612" spans="1:9" x14ac:dyDescent="0.25">
      <c r="A3612" s="7">
        <v>2</v>
      </c>
      <c r="B3612" s="8">
        <v>43886</v>
      </c>
      <c r="C3612" s="9" t="s">
        <v>3</v>
      </c>
      <c r="D3612" s="10">
        <v>217.637</v>
      </c>
      <c r="E3612" s="10">
        <v>0</v>
      </c>
      <c r="F3612" t="str">
        <f>VLOOKUP(A3612,StoreLookup,2,FALSE)</f>
        <v>Store#2</v>
      </c>
      <c r="G3612">
        <f>INDEX(CalLookUpTable,MATCH($B3612,CalLookUpRow,0),MATCH(G$1,CalLookUpColumn,0))</f>
        <v>2020</v>
      </c>
      <c r="H3612">
        <f>INDEX(CalLookUpTable,MATCH($B3612,CalLookUpRow,0),MATCH(H$1,CalLookUpColumn,0))</f>
        <v>3</v>
      </c>
      <c r="I3612">
        <f>INDEX(CalLookUpTable,MATCH($B3612,CalLookUpRow,0),MATCH(I$1,CalLookUpColumn,0))</f>
        <v>1</v>
      </c>
    </row>
    <row r="3613" spans="1:9" x14ac:dyDescent="0.25">
      <c r="A3613" s="7">
        <v>2</v>
      </c>
      <c r="B3613" s="8">
        <v>43886</v>
      </c>
      <c r="C3613" s="9" t="s">
        <v>6</v>
      </c>
      <c r="D3613" s="10">
        <v>462.28699999999992</v>
      </c>
      <c r="E3613" s="10">
        <v>292.97800000000001</v>
      </c>
      <c r="F3613" t="str">
        <f>VLOOKUP(A3613,StoreLookup,2,FALSE)</f>
        <v>Store#2</v>
      </c>
      <c r="G3613">
        <f>INDEX(CalLookUpTable,MATCH($B3613,CalLookUpRow,0),MATCH(G$1,CalLookUpColumn,0))</f>
        <v>2020</v>
      </c>
      <c r="H3613">
        <f>INDEX(CalLookUpTable,MATCH($B3613,CalLookUpRow,0),MATCH(H$1,CalLookUpColumn,0))</f>
        <v>3</v>
      </c>
      <c r="I3613">
        <f>INDEX(CalLookUpTable,MATCH($B3613,CalLookUpRow,0),MATCH(I$1,CalLookUpColumn,0))</f>
        <v>1</v>
      </c>
    </row>
    <row r="3614" spans="1:9" x14ac:dyDescent="0.25">
      <c r="A3614" s="7">
        <v>2</v>
      </c>
      <c r="B3614" s="8">
        <v>43887</v>
      </c>
      <c r="C3614" s="9" t="s">
        <v>3</v>
      </c>
      <c r="D3614" s="10">
        <v>24.073</v>
      </c>
      <c r="E3614" s="10">
        <v>169.24599999999998</v>
      </c>
      <c r="F3614" t="str">
        <f>VLOOKUP(A3614,StoreLookup,2,FALSE)</f>
        <v>Store#2</v>
      </c>
      <c r="G3614">
        <f>INDEX(CalLookUpTable,MATCH($B3614,CalLookUpRow,0),MATCH(G$1,CalLookUpColumn,0))</f>
        <v>2020</v>
      </c>
      <c r="H3614">
        <f>INDEX(CalLookUpTable,MATCH($B3614,CalLookUpRow,0),MATCH(H$1,CalLookUpColumn,0))</f>
        <v>3</v>
      </c>
      <c r="I3614">
        <f>INDEX(CalLookUpTable,MATCH($B3614,CalLookUpRow,0),MATCH(I$1,CalLookUpColumn,0))</f>
        <v>1</v>
      </c>
    </row>
    <row r="3615" spans="1:9" x14ac:dyDescent="0.25">
      <c r="A3615" s="7">
        <v>2</v>
      </c>
      <c r="B3615" s="8">
        <v>43887</v>
      </c>
      <c r="C3615" s="9" t="s">
        <v>4</v>
      </c>
      <c r="D3615" s="10">
        <v>1507.7159999999999</v>
      </c>
      <c r="E3615" s="10">
        <v>1548.2669999999998</v>
      </c>
      <c r="F3615" t="str">
        <f>VLOOKUP(A3615,StoreLookup,2,FALSE)</f>
        <v>Store#2</v>
      </c>
      <c r="G3615">
        <f>INDEX(CalLookUpTable,MATCH($B3615,CalLookUpRow,0),MATCH(G$1,CalLookUpColumn,0))</f>
        <v>2020</v>
      </c>
      <c r="H3615">
        <f>INDEX(CalLookUpTable,MATCH($B3615,CalLookUpRow,0),MATCH(H$1,CalLookUpColumn,0))</f>
        <v>3</v>
      </c>
      <c r="I3615">
        <f>INDEX(CalLookUpTable,MATCH($B3615,CalLookUpRow,0),MATCH(I$1,CalLookUpColumn,0))</f>
        <v>1</v>
      </c>
    </row>
    <row r="3616" spans="1:9" x14ac:dyDescent="0.25">
      <c r="A3616" s="7">
        <v>2</v>
      </c>
      <c r="B3616" s="8">
        <v>43887</v>
      </c>
      <c r="C3616" s="9" t="s">
        <v>6</v>
      </c>
      <c r="D3616" s="10">
        <v>320.93599999999998</v>
      </c>
      <c r="E3616" s="10">
        <v>383.488</v>
      </c>
      <c r="F3616" t="str">
        <f>VLOOKUP(A3616,StoreLookup,2,FALSE)</f>
        <v>Store#2</v>
      </c>
      <c r="G3616">
        <f>INDEX(CalLookUpTable,MATCH($B3616,CalLookUpRow,0),MATCH(G$1,CalLookUpColumn,0))</f>
        <v>2020</v>
      </c>
      <c r="H3616">
        <f>INDEX(CalLookUpTable,MATCH($B3616,CalLookUpRow,0),MATCH(H$1,CalLookUpColumn,0))</f>
        <v>3</v>
      </c>
      <c r="I3616">
        <f>INDEX(CalLookUpTable,MATCH($B3616,CalLookUpRow,0),MATCH(I$1,CalLookUpColumn,0))</f>
        <v>1</v>
      </c>
    </row>
    <row r="3617" spans="1:9" x14ac:dyDescent="0.25">
      <c r="A3617" s="7">
        <v>2</v>
      </c>
      <c r="B3617" s="8">
        <v>43887</v>
      </c>
      <c r="C3617" s="9" t="s">
        <v>5</v>
      </c>
      <c r="D3617" s="10">
        <v>1358.0349999999999</v>
      </c>
      <c r="E3617" s="10">
        <v>812.86099999999999</v>
      </c>
      <c r="F3617" t="str">
        <f>VLOOKUP(A3617,StoreLookup,2,FALSE)</f>
        <v>Store#2</v>
      </c>
      <c r="G3617">
        <f>INDEX(CalLookUpTable,MATCH($B3617,CalLookUpRow,0),MATCH(G$1,CalLookUpColumn,0))</f>
        <v>2020</v>
      </c>
      <c r="H3617">
        <f>INDEX(CalLookUpTable,MATCH($B3617,CalLookUpRow,0),MATCH(H$1,CalLookUpColumn,0))</f>
        <v>3</v>
      </c>
      <c r="I3617">
        <f>INDEX(CalLookUpTable,MATCH($B3617,CalLookUpRow,0),MATCH(I$1,CalLookUpColumn,0))</f>
        <v>1</v>
      </c>
    </row>
    <row r="3618" spans="1:9" x14ac:dyDescent="0.25">
      <c r="A3618" s="7">
        <v>2</v>
      </c>
      <c r="B3618" s="8">
        <v>43888</v>
      </c>
      <c r="C3618" s="9" t="s">
        <v>4</v>
      </c>
      <c r="D3618" s="10">
        <v>1491.8609999999999</v>
      </c>
      <c r="E3618" s="10">
        <v>1558.144</v>
      </c>
      <c r="F3618" t="str">
        <f>VLOOKUP(A3618,StoreLookup,2,FALSE)</f>
        <v>Store#2</v>
      </c>
      <c r="G3618">
        <f>INDEX(CalLookUpTable,MATCH($B3618,CalLookUpRow,0),MATCH(G$1,CalLookUpColumn,0))</f>
        <v>2020</v>
      </c>
      <c r="H3618">
        <f>INDEX(CalLookUpTable,MATCH($B3618,CalLookUpRow,0),MATCH(H$1,CalLookUpColumn,0))</f>
        <v>3</v>
      </c>
      <c r="I3618">
        <f>INDEX(CalLookUpTable,MATCH($B3618,CalLookUpRow,0),MATCH(I$1,CalLookUpColumn,0))</f>
        <v>1</v>
      </c>
    </row>
    <row r="3619" spans="1:9" x14ac:dyDescent="0.25">
      <c r="A3619" s="7">
        <v>2</v>
      </c>
      <c r="B3619" s="8">
        <v>43888</v>
      </c>
      <c r="C3619" s="9" t="s">
        <v>6</v>
      </c>
      <c r="D3619" s="10">
        <v>420.53199999999998</v>
      </c>
      <c r="E3619" s="10">
        <v>396.65499999999997</v>
      </c>
      <c r="F3619" t="str">
        <f>VLOOKUP(A3619,StoreLookup,2,FALSE)</f>
        <v>Store#2</v>
      </c>
      <c r="G3619">
        <f>INDEX(CalLookUpTable,MATCH($B3619,CalLookUpRow,0),MATCH(G$1,CalLookUpColumn,0))</f>
        <v>2020</v>
      </c>
      <c r="H3619">
        <f>INDEX(CalLookUpTable,MATCH($B3619,CalLookUpRow,0),MATCH(H$1,CalLookUpColumn,0))</f>
        <v>3</v>
      </c>
      <c r="I3619">
        <f>INDEX(CalLookUpTable,MATCH($B3619,CalLookUpRow,0),MATCH(I$1,CalLookUpColumn,0))</f>
        <v>1</v>
      </c>
    </row>
    <row r="3620" spans="1:9" x14ac:dyDescent="0.25">
      <c r="A3620" s="7">
        <v>2</v>
      </c>
      <c r="B3620" s="8">
        <v>43888</v>
      </c>
      <c r="C3620" s="9" t="s">
        <v>3</v>
      </c>
      <c r="D3620" s="10">
        <v>0</v>
      </c>
      <c r="E3620" s="10">
        <v>0</v>
      </c>
      <c r="F3620" t="str">
        <f>VLOOKUP(A3620,StoreLookup,2,FALSE)</f>
        <v>Store#2</v>
      </c>
      <c r="G3620">
        <f>INDEX(CalLookUpTable,MATCH($B3620,CalLookUpRow,0),MATCH(G$1,CalLookUpColumn,0))</f>
        <v>2020</v>
      </c>
      <c r="H3620">
        <f>INDEX(CalLookUpTable,MATCH($B3620,CalLookUpRow,0),MATCH(H$1,CalLookUpColumn,0))</f>
        <v>3</v>
      </c>
      <c r="I3620">
        <f>INDEX(CalLookUpTable,MATCH($B3620,CalLookUpRow,0),MATCH(I$1,CalLookUpColumn,0))</f>
        <v>1</v>
      </c>
    </row>
    <row r="3621" spans="1:9" x14ac:dyDescent="0.25">
      <c r="A3621" s="7">
        <v>2</v>
      </c>
      <c r="B3621" s="8">
        <v>43888</v>
      </c>
      <c r="C3621" s="9" t="s">
        <v>5</v>
      </c>
      <c r="D3621" s="10">
        <v>1186.7589999999998</v>
      </c>
      <c r="E3621" s="10">
        <v>1031.366</v>
      </c>
      <c r="F3621" t="str">
        <f>VLOOKUP(A3621,StoreLookup,2,FALSE)</f>
        <v>Store#2</v>
      </c>
      <c r="G3621">
        <f>INDEX(CalLookUpTable,MATCH($B3621,CalLookUpRow,0),MATCH(G$1,CalLookUpColumn,0))</f>
        <v>2020</v>
      </c>
      <c r="H3621">
        <f>INDEX(CalLookUpTable,MATCH($B3621,CalLookUpRow,0),MATCH(H$1,CalLookUpColumn,0))</f>
        <v>3</v>
      </c>
      <c r="I3621">
        <f>INDEX(CalLookUpTable,MATCH($B3621,CalLookUpRow,0),MATCH(I$1,CalLookUpColumn,0))</f>
        <v>1</v>
      </c>
    </row>
    <row r="3622" spans="1:9" x14ac:dyDescent="0.25">
      <c r="A3622" s="7">
        <v>2</v>
      </c>
      <c r="B3622" s="8">
        <v>43889</v>
      </c>
      <c r="C3622" s="9" t="s">
        <v>6</v>
      </c>
      <c r="D3622" s="10">
        <v>565.12400000000002</v>
      </c>
      <c r="E3622" s="10">
        <v>628.89399999999989</v>
      </c>
      <c r="F3622" t="str">
        <f>VLOOKUP(A3622,StoreLookup,2,FALSE)</f>
        <v>Store#2</v>
      </c>
      <c r="G3622">
        <f>INDEX(CalLookUpTable,MATCH($B3622,CalLookUpRow,0),MATCH(G$1,CalLookUpColumn,0))</f>
        <v>2020</v>
      </c>
      <c r="H3622">
        <f>INDEX(CalLookUpTable,MATCH($B3622,CalLookUpRow,0),MATCH(H$1,CalLookUpColumn,0))</f>
        <v>3</v>
      </c>
      <c r="I3622">
        <f>INDEX(CalLookUpTable,MATCH($B3622,CalLookUpRow,0),MATCH(I$1,CalLookUpColumn,0))</f>
        <v>1</v>
      </c>
    </row>
    <row r="3623" spans="1:9" x14ac:dyDescent="0.25">
      <c r="A3623" s="7">
        <v>2</v>
      </c>
      <c r="B3623" s="8">
        <v>43889</v>
      </c>
      <c r="C3623" s="9" t="s">
        <v>5</v>
      </c>
      <c r="D3623" s="10">
        <v>1369.1510000000001</v>
      </c>
      <c r="E3623" s="10">
        <v>1332.9189999999999</v>
      </c>
      <c r="F3623" t="str">
        <f>VLOOKUP(A3623,StoreLookup,2,FALSE)</f>
        <v>Store#2</v>
      </c>
      <c r="G3623">
        <f>INDEX(CalLookUpTable,MATCH($B3623,CalLookUpRow,0),MATCH(G$1,CalLookUpColumn,0))</f>
        <v>2020</v>
      </c>
      <c r="H3623">
        <f>INDEX(CalLookUpTable,MATCH($B3623,CalLookUpRow,0),MATCH(H$1,CalLookUpColumn,0))</f>
        <v>3</v>
      </c>
      <c r="I3623">
        <f>INDEX(CalLookUpTable,MATCH($B3623,CalLookUpRow,0),MATCH(I$1,CalLookUpColumn,0))</f>
        <v>1</v>
      </c>
    </row>
    <row r="3624" spans="1:9" x14ac:dyDescent="0.25">
      <c r="A3624" s="7">
        <v>2</v>
      </c>
      <c r="B3624" s="8">
        <v>43889</v>
      </c>
      <c r="C3624" s="9" t="s">
        <v>4</v>
      </c>
      <c r="D3624" s="10">
        <v>2437.2949999999996</v>
      </c>
      <c r="E3624" s="10">
        <v>2566.5429999999997</v>
      </c>
      <c r="F3624" t="str">
        <f>VLOOKUP(A3624,StoreLookup,2,FALSE)</f>
        <v>Store#2</v>
      </c>
      <c r="G3624">
        <f>INDEX(CalLookUpTable,MATCH($B3624,CalLookUpRow,0),MATCH(G$1,CalLookUpColumn,0))</f>
        <v>2020</v>
      </c>
      <c r="H3624">
        <f>INDEX(CalLookUpTable,MATCH($B3624,CalLookUpRow,0),MATCH(H$1,CalLookUpColumn,0))</f>
        <v>3</v>
      </c>
      <c r="I3624">
        <f>INDEX(CalLookUpTable,MATCH($B3624,CalLookUpRow,0),MATCH(I$1,CalLookUpColumn,0))</f>
        <v>1</v>
      </c>
    </row>
    <row r="3625" spans="1:9" x14ac:dyDescent="0.25">
      <c r="A3625" s="7">
        <v>2</v>
      </c>
      <c r="B3625" s="8">
        <v>43889</v>
      </c>
      <c r="C3625" s="9" t="s">
        <v>3</v>
      </c>
      <c r="D3625" s="10">
        <v>0</v>
      </c>
      <c r="E3625" s="10">
        <v>0</v>
      </c>
      <c r="F3625" t="str">
        <f>VLOOKUP(A3625,StoreLookup,2,FALSE)</f>
        <v>Store#2</v>
      </c>
      <c r="G3625">
        <f>INDEX(CalLookUpTable,MATCH($B3625,CalLookUpRow,0),MATCH(G$1,CalLookUpColumn,0))</f>
        <v>2020</v>
      </c>
      <c r="H3625">
        <f>INDEX(CalLookUpTable,MATCH($B3625,CalLookUpRow,0),MATCH(H$1,CalLookUpColumn,0))</f>
        <v>3</v>
      </c>
      <c r="I3625">
        <f>INDEX(CalLookUpTable,MATCH($B3625,CalLookUpRow,0),MATCH(I$1,CalLookUpColumn,0))</f>
        <v>1</v>
      </c>
    </row>
    <row r="3626" spans="1:9" x14ac:dyDescent="0.25">
      <c r="A3626" s="7">
        <v>2</v>
      </c>
      <c r="B3626" s="8">
        <v>43890</v>
      </c>
      <c r="C3626" s="9" t="s">
        <v>4</v>
      </c>
      <c r="D3626" s="10">
        <v>2434.5649999999996</v>
      </c>
      <c r="E3626" s="10">
        <v>1989.5609999999999</v>
      </c>
      <c r="F3626" t="str">
        <f>VLOOKUP(A3626,StoreLookup,2,FALSE)</f>
        <v>Store#2</v>
      </c>
      <c r="G3626">
        <f>INDEX(CalLookUpTable,MATCH($B3626,CalLookUpRow,0),MATCH(G$1,CalLookUpColumn,0))</f>
        <v>2020</v>
      </c>
      <c r="H3626">
        <f>INDEX(CalLookUpTable,MATCH($B3626,CalLookUpRow,0),MATCH(H$1,CalLookUpColumn,0))</f>
        <v>3</v>
      </c>
      <c r="I3626">
        <f>INDEX(CalLookUpTable,MATCH($B3626,CalLookUpRow,0),MATCH(I$1,CalLookUpColumn,0))</f>
        <v>1</v>
      </c>
    </row>
    <row r="3627" spans="1:9" x14ac:dyDescent="0.25">
      <c r="A3627" s="7">
        <v>2</v>
      </c>
      <c r="B3627" s="8">
        <v>43890</v>
      </c>
      <c r="C3627" s="9" t="s">
        <v>6</v>
      </c>
      <c r="D3627" s="10">
        <v>647.10099999999989</v>
      </c>
      <c r="E3627" s="10">
        <v>308.161</v>
      </c>
      <c r="F3627" t="str">
        <f>VLOOKUP(A3627,StoreLookup,2,FALSE)</f>
        <v>Store#2</v>
      </c>
      <c r="G3627">
        <f>INDEX(CalLookUpTable,MATCH($B3627,CalLookUpRow,0),MATCH(G$1,CalLookUpColumn,0))</f>
        <v>2020</v>
      </c>
      <c r="H3627">
        <f>INDEX(CalLookUpTable,MATCH($B3627,CalLookUpRow,0),MATCH(H$1,CalLookUpColumn,0))</f>
        <v>3</v>
      </c>
      <c r="I3627">
        <f>INDEX(CalLookUpTable,MATCH($B3627,CalLookUpRow,0),MATCH(I$1,CalLookUpColumn,0))</f>
        <v>1</v>
      </c>
    </row>
    <row r="3628" spans="1:9" x14ac:dyDescent="0.25">
      <c r="A3628" s="7">
        <v>2</v>
      </c>
      <c r="B3628" s="8">
        <v>43890</v>
      </c>
      <c r="C3628" s="9" t="s">
        <v>5</v>
      </c>
      <c r="D3628" s="10">
        <v>1505.3149999999998</v>
      </c>
      <c r="E3628" s="10">
        <v>987.06299999999987</v>
      </c>
      <c r="F3628" t="str">
        <f>VLOOKUP(A3628,StoreLookup,2,FALSE)</f>
        <v>Store#2</v>
      </c>
      <c r="G3628">
        <f>INDEX(CalLookUpTable,MATCH($B3628,CalLookUpRow,0),MATCH(G$1,CalLookUpColumn,0))</f>
        <v>2020</v>
      </c>
      <c r="H3628">
        <f>INDEX(CalLookUpTable,MATCH($B3628,CalLookUpRow,0),MATCH(H$1,CalLookUpColumn,0))</f>
        <v>3</v>
      </c>
      <c r="I3628">
        <f>INDEX(CalLookUpTable,MATCH($B3628,CalLookUpRow,0),MATCH(I$1,CalLookUpColumn,0))</f>
        <v>1</v>
      </c>
    </row>
    <row r="3629" spans="1:9" x14ac:dyDescent="0.25">
      <c r="A3629" s="7">
        <v>2</v>
      </c>
      <c r="B3629" s="8">
        <v>43890</v>
      </c>
      <c r="C3629" s="9" t="s">
        <v>3</v>
      </c>
      <c r="D3629" s="10">
        <v>342.74099999999999</v>
      </c>
      <c r="E3629" s="10">
        <v>0</v>
      </c>
      <c r="F3629" t="str">
        <f>VLOOKUP(A3629,StoreLookup,2,FALSE)</f>
        <v>Store#2</v>
      </c>
      <c r="G3629">
        <f>INDEX(CalLookUpTable,MATCH($B3629,CalLookUpRow,0),MATCH(G$1,CalLookUpColumn,0))</f>
        <v>2020</v>
      </c>
      <c r="H3629">
        <f>INDEX(CalLookUpTable,MATCH($B3629,CalLookUpRow,0),MATCH(H$1,CalLookUpColumn,0))</f>
        <v>3</v>
      </c>
      <c r="I3629">
        <f>INDEX(CalLookUpTable,MATCH($B3629,CalLookUpRow,0),MATCH(I$1,CalLookUpColumn,0))</f>
        <v>1</v>
      </c>
    </row>
    <row r="3630" spans="1:9" x14ac:dyDescent="0.25">
      <c r="A3630" s="7">
        <v>2</v>
      </c>
      <c r="B3630" s="8">
        <v>43891</v>
      </c>
      <c r="C3630" s="9" t="s">
        <v>5</v>
      </c>
      <c r="D3630" s="10">
        <v>831.88700000000006</v>
      </c>
      <c r="E3630" s="10">
        <v>759.9129999999999</v>
      </c>
      <c r="F3630" t="str">
        <f>VLOOKUP(A3630,StoreLookup,2,FALSE)</f>
        <v>Store#2</v>
      </c>
      <c r="G3630">
        <f>INDEX(CalLookUpTable,MATCH($B3630,CalLookUpRow,0),MATCH(G$1,CalLookUpColumn,0))</f>
        <v>2020</v>
      </c>
      <c r="H3630">
        <f>INDEX(CalLookUpTable,MATCH($B3630,CalLookUpRow,0),MATCH(H$1,CalLookUpColumn,0))</f>
        <v>3</v>
      </c>
      <c r="I3630">
        <f>INDEX(CalLookUpTable,MATCH($B3630,CalLookUpRow,0),MATCH(I$1,CalLookUpColumn,0))</f>
        <v>1</v>
      </c>
    </row>
    <row r="3631" spans="1:9" x14ac:dyDescent="0.25">
      <c r="A3631" s="7">
        <v>2</v>
      </c>
      <c r="B3631" s="8">
        <v>43891</v>
      </c>
      <c r="C3631" s="9" t="s">
        <v>6</v>
      </c>
      <c r="D3631" s="10">
        <v>315.73500000000001</v>
      </c>
      <c r="E3631" s="10">
        <v>286.39799999999997</v>
      </c>
      <c r="F3631" t="str">
        <f>VLOOKUP(A3631,StoreLookup,2,FALSE)</f>
        <v>Store#2</v>
      </c>
      <c r="G3631">
        <f>INDEX(CalLookUpTable,MATCH($B3631,CalLookUpRow,0),MATCH(G$1,CalLookUpColumn,0))</f>
        <v>2020</v>
      </c>
      <c r="H3631">
        <f>INDEX(CalLookUpTable,MATCH($B3631,CalLookUpRow,0),MATCH(H$1,CalLookUpColumn,0))</f>
        <v>3</v>
      </c>
      <c r="I3631">
        <f>INDEX(CalLookUpTable,MATCH($B3631,CalLookUpRow,0),MATCH(I$1,CalLookUpColumn,0))</f>
        <v>1</v>
      </c>
    </row>
    <row r="3632" spans="1:9" x14ac:dyDescent="0.25">
      <c r="A3632" s="7">
        <v>2</v>
      </c>
      <c r="B3632" s="8">
        <v>43891</v>
      </c>
      <c r="C3632" s="9" t="s">
        <v>3</v>
      </c>
      <c r="D3632" s="10">
        <v>0</v>
      </c>
      <c r="E3632" s="10">
        <v>0</v>
      </c>
      <c r="F3632" t="str">
        <f>VLOOKUP(A3632,StoreLookup,2,FALSE)</f>
        <v>Store#2</v>
      </c>
      <c r="G3632">
        <f>INDEX(CalLookUpTable,MATCH($B3632,CalLookUpRow,0),MATCH(G$1,CalLookUpColumn,0))</f>
        <v>2020</v>
      </c>
      <c r="H3632">
        <f>INDEX(CalLookUpTable,MATCH($B3632,CalLookUpRow,0),MATCH(H$1,CalLookUpColumn,0))</f>
        <v>3</v>
      </c>
      <c r="I3632">
        <f>INDEX(CalLookUpTable,MATCH($B3632,CalLookUpRow,0),MATCH(I$1,CalLookUpColumn,0))</f>
        <v>1</v>
      </c>
    </row>
    <row r="3633" spans="1:9" x14ac:dyDescent="0.25">
      <c r="A3633" s="7">
        <v>2</v>
      </c>
      <c r="B3633" s="8">
        <v>43891</v>
      </c>
      <c r="C3633" s="9" t="s">
        <v>4</v>
      </c>
      <c r="D3633" s="10">
        <v>1067.0449999999998</v>
      </c>
      <c r="E3633" s="10">
        <v>1153.0260000000001</v>
      </c>
      <c r="F3633" t="str">
        <f>VLOOKUP(A3633,StoreLookup,2,FALSE)</f>
        <v>Store#2</v>
      </c>
      <c r="G3633">
        <f>INDEX(CalLookUpTable,MATCH($B3633,CalLookUpRow,0),MATCH(G$1,CalLookUpColumn,0))</f>
        <v>2020</v>
      </c>
      <c r="H3633">
        <f>INDEX(CalLookUpTable,MATCH($B3633,CalLookUpRow,0),MATCH(H$1,CalLookUpColumn,0))</f>
        <v>3</v>
      </c>
      <c r="I3633">
        <f>INDEX(CalLookUpTable,MATCH($B3633,CalLookUpRow,0),MATCH(I$1,CalLookUpColumn,0))</f>
        <v>1</v>
      </c>
    </row>
    <row r="3634" spans="1:9" x14ac:dyDescent="0.25">
      <c r="A3634" s="7">
        <v>2</v>
      </c>
      <c r="B3634" s="8">
        <v>43892</v>
      </c>
      <c r="C3634" s="9" t="s">
        <v>6</v>
      </c>
      <c r="D3634" s="10">
        <v>436.779</v>
      </c>
      <c r="E3634" s="10">
        <v>213.59799999999998</v>
      </c>
      <c r="F3634" t="str">
        <f>VLOOKUP(A3634,StoreLookup,2,FALSE)</f>
        <v>Store#2</v>
      </c>
      <c r="G3634">
        <f>INDEX(CalLookUpTable,MATCH($B3634,CalLookUpRow,0),MATCH(G$1,CalLookUpColumn,0))</f>
        <v>2020</v>
      </c>
      <c r="H3634">
        <f>INDEX(CalLookUpTable,MATCH($B3634,CalLookUpRow,0),MATCH(H$1,CalLookUpColumn,0))</f>
        <v>3</v>
      </c>
      <c r="I3634">
        <f>INDEX(CalLookUpTable,MATCH($B3634,CalLookUpRow,0),MATCH(I$1,CalLookUpColumn,0))</f>
        <v>2</v>
      </c>
    </row>
    <row r="3635" spans="1:9" x14ac:dyDescent="0.25">
      <c r="A3635" s="7">
        <v>2</v>
      </c>
      <c r="B3635" s="8">
        <v>43892</v>
      </c>
      <c r="C3635" s="9" t="s">
        <v>4</v>
      </c>
      <c r="D3635" s="10">
        <v>1883.3009999999997</v>
      </c>
      <c r="E3635" s="10">
        <v>1323.0769999999998</v>
      </c>
      <c r="F3635" t="str">
        <f>VLOOKUP(A3635,StoreLookup,2,FALSE)</f>
        <v>Store#2</v>
      </c>
      <c r="G3635">
        <f>INDEX(CalLookUpTable,MATCH($B3635,CalLookUpRow,0),MATCH(G$1,CalLookUpColumn,0))</f>
        <v>2020</v>
      </c>
      <c r="H3635">
        <f>INDEX(CalLookUpTable,MATCH($B3635,CalLookUpRow,0),MATCH(H$1,CalLookUpColumn,0))</f>
        <v>3</v>
      </c>
      <c r="I3635">
        <f>INDEX(CalLookUpTable,MATCH($B3635,CalLookUpRow,0),MATCH(I$1,CalLookUpColumn,0))</f>
        <v>2</v>
      </c>
    </row>
    <row r="3636" spans="1:9" x14ac:dyDescent="0.25">
      <c r="A3636" s="7">
        <v>2</v>
      </c>
      <c r="B3636" s="8">
        <v>43892</v>
      </c>
      <c r="C3636" s="9" t="s">
        <v>5</v>
      </c>
      <c r="D3636" s="10">
        <v>951.48899999999992</v>
      </c>
      <c r="E3636" s="10">
        <v>864.03099999999995</v>
      </c>
      <c r="F3636" t="str">
        <f>VLOOKUP(A3636,StoreLookup,2,FALSE)</f>
        <v>Store#2</v>
      </c>
      <c r="G3636">
        <f>INDEX(CalLookUpTable,MATCH($B3636,CalLookUpRow,0),MATCH(G$1,CalLookUpColumn,0))</f>
        <v>2020</v>
      </c>
      <c r="H3636">
        <f>INDEX(CalLookUpTable,MATCH($B3636,CalLookUpRow,0),MATCH(H$1,CalLookUpColumn,0))</f>
        <v>3</v>
      </c>
      <c r="I3636">
        <f>INDEX(CalLookUpTable,MATCH($B3636,CalLookUpRow,0),MATCH(I$1,CalLookUpColumn,0))</f>
        <v>2</v>
      </c>
    </row>
    <row r="3637" spans="1:9" x14ac:dyDescent="0.25">
      <c r="A3637" s="7">
        <v>2</v>
      </c>
      <c r="B3637" s="8">
        <v>43892</v>
      </c>
      <c r="C3637" s="9" t="s">
        <v>3</v>
      </c>
      <c r="D3637" s="10">
        <v>172.809</v>
      </c>
      <c r="E3637" s="10">
        <v>0</v>
      </c>
      <c r="F3637" t="str">
        <f>VLOOKUP(A3637,StoreLookup,2,FALSE)</f>
        <v>Store#2</v>
      </c>
      <c r="G3637">
        <f>INDEX(CalLookUpTable,MATCH($B3637,CalLookUpRow,0),MATCH(G$1,CalLookUpColumn,0))</f>
        <v>2020</v>
      </c>
      <c r="H3637">
        <f>INDEX(CalLookUpTable,MATCH($B3637,CalLookUpRow,0),MATCH(H$1,CalLookUpColumn,0))</f>
        <v>3</v>
      </c>
      <c r="I3637">
        <f>INDEX(CalLookUpTable,MATCH($B3637,CalLookUpRow,0),MATCH(I$1,CalLookUpColumn,0))</f>
        <v>2</v>
      </c>
    </row>
    <row r="3638" spans="1:9" x14ac:dyDescent="0.25">
      <c r="A3638" s="7">
        <v>2</v>
      </c>
      <c r="B3638" s="8">
        <v>43893</v>
      </c>
      <c r="C3638" s="9" t="s">
        <v>3</v>
      </c>
      <c r="D3638" s="10">
        <v>0</v>
      </c>
      <c r="E3638" s="10">
        <v>153.46099999999998</v>
      </c>
      <c r="F3638" t="str">
        <f>VLOOKUP(A3638,StoreLookup,2,FALSE)</f>
        <v>Store#2</v>
      </c>
      <c r="G3638">
        <f>INDEX(CalLookUpTable,MATCH($B3638,CalLookUpRow,0),MATCH(G$1,CalLookUpColumn,0))</f>
        <v>2020</v>
      </c>
      <c r="H3638">
        <f>INDEX(CalLookUpTable,MATCH($B3638,CalLookUpRow,0),MATCH(H$1,CalLookUpColumn,0))</f>
        <v>3</v>
      </c>
      <c r="I3638">
        <f>INDEX(CalLookUpTable,MATCH($B3638,CalLookUpRow,0),MATCH(I$1,CalLookUpColumn,0))</f>
        <v>2</v>
      </c>
    </row>
    <row r="3639" spans="1:9" x14ac:dyDescent="0.25">
      <c r="A3639" s="7">
        <v>2</v>
      </c>
      <c r="B3639" s="8">
        <v>43893</v>
      </c>
      <c r="C3639" s="9" t="s">
        <v>4</v>
      </c>
      <c r="D3639" s="10">
        <v>2041.7460000000001</v>
      </c>
      <c r="E3639" s="10">
        <v>1792.1259999999997</v>
      </c>
      <c r="F3639" t="str">
        <f>VLOOKUP(A3639,StoreLookup,2,FALSE)</f>
        <v>Store#2</v>
      </c>
      <c r="G3639">
        <f>INDEX(CalLookUpTable,MATCH($B3639,CalLookUpRow,0),MATCH(G$1,CalLookUpColumn,0))</f>
        <v>2020</v>
      </c>
      <c r="H3639">
        <f>INDEX(CalLookUpTable,MATCH($B3639,CalLookUpRow,0),MATCH(H$1,CalLookUpColumn,0))</f>
        <v>3</v>
      </c>
      <c r="I3639">
        <f>INDEX(CalLookUpTable,MATCH($B3639,CalLookUpRow,0),MATCH(I$1,CalLookUpColumn,0))</f>
        <v>2</v>
      </c>
    </row>
    <row r="3640" spans="1:9" x14ac:dyDescent="0.25">
      <c r="A3640" s="7">
        <v>2</v>
      </c>
      <c r="B3640" s="8">
        <v>43893</v>
      </c>
      <c r="C3640" s="9" t="s">
        <v>6</v>
      </c>
      <c r="D3640" s="10">
        <v>543.15099999999995</v>
      </c>
      <c r="E3640" s="10">
        <v>288.267</v>
      </c>
      <c r="F3640" t="str">
        <f>VLOOKUP(A3640,StoreLookup,2,FALSE)</f>
        <v>Store#2</v>
      </c>
      <c r="G3640">
        <f>INDEX(CalLookUpTable,MATCH($B3640,CalLookUpRow,0),MATCH(G$1,CalLookUpColumn,0))</f>
        <v>2020</v>
      </c>
      <c r="H3640">
        <f>INDEX(CalLookUpTable,MATCH($B3640,CalLookUpRow,0),MATCH(H$1,CalLookUpColumn,0))</f>
        <v>3</v>
      </c>
      <c r="I3640">
        <f>INDEX(CalLookUpTable,MATCH($B3640,CalLookUpRow,0),MATCH(I$1,CalLookUpColumn,0))</f>
        <v>2</v>
      </c>
    </row>
    <row r="3641" spans="1:9" x14ac:dyDescent="0.25">
      <c r="A3641" s="7">
        <v>2</v>
      </c>
      <c r="B3641" s="8">
        <v>43893</v>
      </c>
      <c r="C3641" s="9" t="s">
        <v>5</v>
      </c>
      <c r="D3641" s="10">
        <v>1491.98</v>
      </c>
      <c r="E3641" s="10">
        <v>1007.23</v>
      </c>
      <c r="F3641" t="str">
        <f>VLOOKUP(A3641,StoreLookup,2,FALSE)</f>
        <v>Store#2</v>
      </c>
      <c r="G3641">
        <f>INDEX(CalLookUpTable,MATCH($B3641,CalLookUpRow,0),MATCH(G$1,CalLookUpColumn,0))</f>
        <v>2020</v>
      </c>
      <c r="H3641">
        <f>INDEX(CalLookUpTable,MATCH($B3641,CalLookUpRow,0),MATCH(H$1,CalLookUpColumn,0))</f>
        <v>3</v>
      </c>
      <c r="I3641">
        <f>INDEX(CalLookUpTable,MATCH($B3641,CalLookUpRow,0),MATCH(I$1,CalLookUpColumn,0))</f>
        <v>2</v>
      </c>
    </row>
    <row r="3642" spans="1:9" x14ac:dyDescent="0.25">
      <c r="A3642" s="7">
        <v>2</v>
      </c>
      <c r="B3642" s="8">
        <v>43894</v>
      </c>
      <c r="C3642" s="9" t="s">
        <v>6</v>
      </c>
      <c r="D3642" s="10">
        <v>399.01399999999995</v>
      </c>
      <c r="E3642" s="10">
        <v>207.96299999999997</v>
      </c>
      <c r="F3642" t="str">
        <f>VLOOKUP(A3642,StoreLookup,2,FALSE)</f>
        <v>Store#2</v>
      </c>
      <c r="G3642">
        <f>INDEX(CalLookUpTable,MATCH($B3642,CalLookUpRow,0),MATCH(G$1,CalLookUpColumn,0))</f>
        <v>2020</v>
      </c>
      <c r="H3642">
        <f>INDEX(CalLookUpTable,MATCH($B3642,CalLookUpRow,0),MATCH(H$1,CalLookUpColumn,0))</f>
        <v>3</v>
      </c>
      <c r="I3642">
        <f>INDEX(CalLookUpTable,MATCH($B3642,CalLookUpRow,0),MATCH(I$1,CalLookUpColumn,0))</f>
        <v>2</v>
      </c>
    </row>
    <row r="3643" spans="1:9" x14ac:dyDescent="0.25">
      <c r="A3643" s="7">
        <v>2</v>
      </c>
      <c r="B3643" s="8">
        <v>43894</v>
      </c>
      <c r="C3643" s="9" t="s">
        <v>4</v>
      </c>
      <c r="D3643" s="10">
        <v>1642.3399999999997</v>
      </c>
      <c r="E3643" s="10">
        <v>1674.414</v>
      </c>
      <c r="F3643" t="str">
        <f>VLOOKUP(A3643,StoreLookup,2,FALSE)</f>
        <v>Store#2</v>
      </c>
      <c r="G3643">
        <f>INDEX(CalLookUpTable,MATCH($B3643,CalLookUpRow,0),MATCH(G$1,CalLookUpColumn,0))</f>
        <v>2020</v>
      </c>
      <c r="H3643">
        <f>INDEX(CalLookUpTable,MATCH($B3643,CalLookUpRow,0),MATCH(H$1,CalLookUpColumn,0))</f>
        <v>3</v>
      </c>
      <c r="I3643">
        <f>INDEX(CalLookUpTable,MATCH($B3643,CalLookUpRow,0),MATCH(I$1,CalLookUpColumn,0))</f>
        <v>2</v>
      </c>
    </row>
    <row r="3644" spans="1:9" x14ac:dyDescent="0.25">
      <c r="A3644" s="7">
        <v>2</v>
      </c>
      <c r="B3644" s="8">
        <v>43894</v>
      </c>
      <c r="C3644" s="9" t="s">
        <v>5</v>
      </c>
      <c r="D3644" s="10">
        <v>973.8889999999999</v>
      </c>
      <c r="E3644" s="10">
        <v>841.18299999999999</v>
      </c>
      <c r="F3644" t="str">
        <f>VLOOKUP(A3644,StoreLookup,2,FALSE)</f>
        <v>Store#2</v>
      </c>
      <c r="G3644">
        <f>INDEX(CalLookUpTable,MATCH($B3644,CalLookUpRow,0),MATCH(G$1,CalLookUpColumn,0))</f>
        <v>2020</v>
      </c>
      <c r="H3644">
        <f>INDEX(CalLookUpTable,MATCH($B3644,CalLookUpRow,0),MATCH(H$1,CalLookUpColumn,0))</f>
        <v>3</v>
      </c>
      <c r="I3644">
        <f>INDEX(CalLookUpTable,MATCH($B3644,CalLookUpRow,0),MATCH(I$1,CalLookUpColumn,0))</f>
        <v>2</v>
      </c>
    </row>
    <row r="3645" spans="1:9" x14ac:dyDescent="0.25">
      <c r="A3645" s="7">
        <v>2</v>
      </c>
      <c r="B3645" s="8">
        <v>43894</v>
      </c>
      <c r="C3645" s="9" t="s">
        <v>3</v>
      </c>
      <c r="D3645" s="10">
        <v>0</v>
      </c>
      <c r="E3645" s="10">
        <v>0</v>
      </c>
      <c r="F3645" t="str">
        <f>VLOOKUP(A3645,StoreLookup,2,FALSE)</f>
        <v>Store#2</v>
      </c>
      <c r="G3645">
        <f>INDEX(CalLookUpTable,MATCH($B3645,CalLookUpRow,0),MATCH(G$1,CalLookUpColumn,0))</f>
        <v>2020</v>
      </c>
      <c r="H3645">
        <f>INDEX(CalLookUpTable,MATCH($B3645,CalLookUpRow,0),MATCH(H$1,CalLookUpColumn,0))</f>
        <v>3</v>
      </c>
      <c r="I3645">
        <f>INDEX(CalLookUpTable,MATCH($B3645,CalLookUpRow,0),MATCH(I$1,CalLookUpColumn,0))</f>
        <v>2</v>
      </c>
    </row>
    <row r="3646" spans="1:9" x14ac:dyDescent="0.25">
      <c r="A3646" s="7">
        <v>2</v>
      </c>
      <c r="B3646" s="8">
        <v>43895</v>
      </c>
      <c r="C3646" s="9" t="s">
        <v>4</v>
      </c>
      <c r="D3646" s="10">
        <v>2045.8689999999999</v>
      </c>
      <c r="E3646" s="10">
        <v>2116.6179999999999</v>
      </c>
      <c r="F3646" t="str">
        <f>VLOOKUP(A3646,StoreLookup,2,FALSE)</f>
        <v>Store#2</v>
      </c>
      <c r="G3646">
        <f>INDEX(CalLookUpTable,MATCH($B3646,CalLookUpRow,0),MATCH(G$1,CalLookUpColumn,0))</f>
        <v>2020</v>
      </c>
      <c r="H3646">
        <f>INDEX(CalLookUpTable,MATCH($B3646,CalLookUpRow,0),MATCH(H$1,CalLookUpColumn,0))</f>
        <v>3</v>
      </c>
      <c r="I3646">
        <f>INDEX(CalLookUpTable,MATCH($B3646,CalLookUpRow,0),MATCH(I$1,CalLookUpColumn,0))</f>
        <v>2</v>
      </c>
    </row>
    <row r="3647" spans="1:9" x14ac:dyDescent="0.25">
      <c r="A3647" s="7">
        <v>2</v>
      </c>
      <c r="B3647" s="8">
        <v>43895</v>
      </c>
      <c r="C3647" s="9" t="s">
        <v>5</v>
      </c>
      <c r="D3647" s="10">
        <v>1371.0550000000001</v>
      </c>
      <c r="E3647" s="10">
        <v>1261.9669999999999</v>
      </c>
      <c r="F3647" t="str">
        <f>VLOOKUP(A3647,StoreLookup,2,FALSE)</f>
        <v>Store#2</v>
      </c>
      <c r="G3647">
        <f>INDEX(CalLookUpTable,MATCH($B3647,CalLookUpRow,0),MATCH(G$1,CalLookUpColumn,0))</f>
        <v>2020</v>
      </c>
      <c r="H3647">
        <f>INDEX(CalLookUpTable,MATCH($B3647,CalLookUpRow,0),MATCH(H$1,CalLookUpColumn,0))</f>
        <v>3</v>
      </c>
      <c r="I3647">
        <f>INDEX(CalLookUpTable,MATCH($B3647,CalLookUpRow,0),MATCH(I$1,CalLookUpColumn,0))</f>
        <v>2</v>
      </c>
    </row>
    <row r="3648" spans="1:9" x14ac:dyDescent="0.25">
      <c r="A3648" s="7">
        <v>2</v>
      </c>
      <c r="B3648" s="8">
        <v>43895</v>
      </c>
      <c r="C3648" s="9" t="s">
        <v>6</v>
      </c>
      <c r="D3648" s="10">
        <v>387.00899999999996</v>
      </c>
      <c r="E3648" s="10">
        <v>404.92899999999997</v>
      </c>
      <c r="F3648" t="str">
        <f>VLOOKUP(A3648,StoreLookup,2,FALSE)</f>
        <v>Store#2</v>
      </c>
      <c r="G3648">
        <f>INDEX(CalLookUpTable,MATCH($B3648,CalLookUpRow,0),MATCH(G$1,CalLookUpColumn,0))</f>
        <v>2020</v>
      </c>
      <c r="H3648">
        <f>INDEX(CalLookUpTable,MATCH($B3648,CalLookUpRow,0),MATCH(H$1,CalLookUpColumn,0))</f>
        <v>3</v>
      </c>
      <c r="I3648">
        <f>INDEX(CalLookUpTable,MATCH($B3648,CalLookUpRow,0),MATCH(I$1,CalLookUpColumn,0))</f>
        <v>2</v>
      </c>
    </row>
    <row r="3649" spans="1:9" x14ac:dyDescent="0.25">
      <c r="A3649" s="7">
        <v>2</v>
      </c>
      <c r="B3649" s="8">
        <v>43895</v>
      </c>
      <c r="C3649" s="9" t="s">
        <v>3</v>
      </c>
      <c r="D3649" s="10">
        <v>249.14400000000001</v>
      </c>
      <c r="E3649" s="10">
        <v>507.738</v>
      </c>
      <c r="F3649" t="str">
        <f>VLOOKUP(A3649,StoreLookup,2,FALSE)</f>
        <v>Store#2</v>
      </c>
      <c r="G3649">
        <f>INDEX(CalLookUpTable,MATCH($B3649,CalLookUpRow,0),MATCH(G$1,CalLookUpColumn,0))</f>
        <v>2020</v>
      </c>
      <c r="H3649">
        <f>INDEX(CalLookUpTable,MATCH($B3649,CalLookUpRow,0),MATCH(H$1,CalLookUpColumn,0))</f>
        <v>3</v>
      </c>
      <c r="I3649">
        <f>INDEX(CalLookUpTable,MATCH($B3649,CalLookUpRow,0),MATCH(I$1,CalLookUpColumn,0))</f>
        <v>2</v>
      </c>
    </row>
    <row r="3650" spans="1:9" x14ac:dyDescent="0.25">
      <c r="A3650" s="7">
        <v>2</v>
      </c>
      <c r="B3650" s="8">
        <v>43896</v>
      </c>
      <c r="C3650" s="9" t="s">
        <v>4</v>
      </c>
      <c r="D3650" s="10">
        <v>2067.3380000000002</v>
      </c>
      <c r="E3650" s="10">
        <v>2493.4490000000001</v>
      </c>
      <c r="F3650" t="str">
        <f>VLOOKUP(A3650,StoreLookup,2,FALSE)</f>
        <v>Store#2</v>
      </c>
      <c r="G3650">
        <f>INDEX(CalLookUpTable,MATCH($B3650,CalLookUpRow,0),MATCH(G$1,CalLookUpColumn,0))</f>
        <v>2020</v>
      </c>
      <c r="H3650">
        <f>INDEX(CalLookUpTable,MATCH($B3650,CalLookUpRow,0),MATCH(H$1,CalLookUpColumn,0))</f>
        <v>3</v>
      </c>
      <c r="I3650">
        <f>INDEX(CalLookUpTable,MATCH($B3650,CalLookUpRow,0),MATCH(I$1,CalLookUpColumn,0))</f>
        <v>2</v>
      </c>
    </row>
    <row r="3651" spans="1:9" x14ac:dyDescent="0.25">
      <c r="A3651" s="7">
        <v>2</v>
      </c>
      <c r="B3651" s="8">
        <v>43896</v>
      </c>
      <c r="C3651" s="9" t="s">
        <v>6</v>
      </c>
      <c r="D3651" s="10">
        <v>661.08699999999999</v>
      </c>
      <c r="E3651" s="10">
        <v>418.14499999999998</v>
      </c>
      <c r="F3651" t="str">
        <f>VLOOKUP(A3651,StoreLookup,2,FALSE)</f>
        <v>Store#2</v>
      </c>
      <c r="G3651">
        <f>INDEX(CalLookUpTable,MATCH($B3651,CalLookUpRow,0),MATCH(G$1,CalLookUpColumn,0))</f>
        <v>2020</v>
      </c>
      <c r="H3651">
        <f>INDEX(CalLookUpTable,MATCH($B3651,CalLookUpRow,0),MATCH(H$1,CalLookUpColumn,0))</f>
        <v>3</v>
      </c>
      <c r="I3651">
        <f>INDEX(CalLookUpTable,MATCH($B3651,CalLookUpRow,0),MATCH(I$1,CalLookUpColumn,0))</f>
        <v>2</v>
      </c>
    </row>
    <row r="3652" spans="1:9" x14ac:dyDescent="0.25">
      <c r="A3652" s="7">
        <v>2</v>
      </c>
      <c r="B3652" s="8">
        <v>43896</v>
      </c>
      <c r="C3652" s="9" t="s">
        <v>3</v>
      </c>
      <c r="D3652" s="10">
        <v>0</v>
      </c>
      <c r="E3652" s="10">
        <v>0</v>
      </c>
      <c r="F3652" t="str">
        <f>VLOOKUP(A3652,StoreLookup,2,FALSE)</f>
        <v>Store#2</v>
      </c>
      <c r="G3652">
        <f>INDEX(CalLookUpTable,MATCH($B3652,CalLookUpRow,0),MATCH(G$1,CalLookUpColumn,0))</f>
        <v>2020</v>
      </c>
      <c r="H3652">
        <f>INDEX(CalLookUpTable,MATCH($B3652,CalLookUpRow,0),MATCH(H$1,CalLookUpColumn,0))</f>
        <v>3</v>
      </c>
      <c r="I3652">
        <f>INDEX(CalLookUpTable,MATCH($B3652,CalLookUpRow,0),MATCH(I$1,CalLookUpColumn,0))</f>
        <v>2</v>
      </c>
    </row>
    <row r="3653" spans="1:9" x14ac:dyDescent="0.25">
      <c r="A3653" s="7">
        <v>2</v>
      </c>
      <c r="B3653" s="8">
        <v>43896</v>
      </c>
      <c r="C3653" s="9" t="s">
        <v>5</v>
      </c>
      <c r="D3653" s="10">
        <v>1150.8629999999998</v>
      </c>
      <c r="E3653" s="10">
        <v>1261.8899999999999</v>
      </c>
      <c r="F3653" t="str">
        <f>VLOOKUP(A3653,StoreLookup,2,FALSE)</f>
        <v>Store#2</v>
      </c>
      <c r="G3653">
        <f>INDEX(CalLookUpTable,MATCH($B3653,CalLookUpRow,0),MATCH(G$1,CalLookUpColumn,0))</f>
        <v>2020</v>
      </c>
      <c r="H3653">
        <f>INDEX(CalLookUpTable,MATCH($B3653,CalLookUpRow,0),MATCH(H$1,CalLookUpColumn,0))</f>
        <v>3</v>
      </c>
      <c r="I3653">
        <f>INDEX(CalLookUpTable,MATCH($B3653,CalLookUpRow,0),MATCH(I$1,CalLookUpColumn,0))</f>
        <v>2</v>
      </c>
    </row>
    <row r="3654" spans="1:9" x14ac:dyDescent="0.25">
      <c r="A3654" s="7">
        <v>2</v>
      </c>
      <c r="B3654" s="8">
        <v>43897</v>
      </c>
      <c r="C3654" s="9" t="s">
        <v>6</v>
      </c>
      <c r="D3654" s="10">
        <v>665.30099999999993</v>
      </c>
      <c r="E3654" s="10">
        <v>401.49199999999996</v>
      </c>
      <c r="F3654" t="str">
        <f>VLOOKUP(A3654,StoreLookup,2,FALSE)</f>
        <v>Store#2</v>
      </c>
      <c r="G3654">
        <f>INDEX(CalLookUpTable,MATCH($B3654,CalLookUpRow,0),MATCH(G$1,CalLookUpColumn,0))</f>
        <v>2020</v>
      </c>
      <c r="H3654">
        <f>INDEX(CalLookUpTable,MATCH($B3654,CalLookUpRow,0),MATCH(H$1,CalLookUpColumn,0))</f>
        <v>3</v>
      </c>
      <c r="I3654">
        <f>INDEX(CalLookUpTable,MATCH($B3654,CalLookUpRow,0),MATCH(I$1,CalLookUpColumn,0))</f>
        <v>2</v>
      </c>
    </row>
    <row r="3655" spans="1:9" x14ac:dyDescent="0.25">
      <c r="A3655" s="7">
        <v>2</v>
      </c>
      <c r="B3655" s="8">
        <v>43897</v>
      </c>
      <c r="C3655" s="9" t="s">
        <v>4</v>
      </c>
      <c r="D3655" s="10">
        <v>1707.5309999999999</v>
      </c>
      <c r="E3655" s="10">
        <v>1917.7479999999998</v>
      </c>
      <c r="F3655" t="str">
        <f>VLOOKUP(A3655,StoreLookup,2,FALSE)</f>
        <v>Store#2</v>
      </c>
      <c r="G3655">
        <f>INDEX(CalLookUpTable,MATCH($B3655,CalLookUpRow,0),MATCH(G$1,CalLookUpColumn,0))</f>
        <v>2020</v>
      </c>
      <c r="H3655">
        <f>INDEX(CalLookUpTable,MATCH($B3655,CalLookUpRow,0),MATCH(H$1,CalLookUpColumn,0))</f>
        <v>3</v>
      </c>
      <c r="I3655">
        <f>INDEX(CalLookUpTable,MATCH($B3655,CalLookUpRow,0),MATCH(I$1,CalLookUpColumn,0))</f>
        <v>2</v>
      </c>
    </row>
    <row r="3656" spans="1:9" x14ac:dyDescent="0.25">
      <c r="A3656" s="7">
        <v>2</v>
      </c>
      <c r="B3656" s="8">
        <v>43897</v>
      </c>
      <c r="C3656" s="9" t="s">
        <v>3</v>
      </c>
      <c r="D3656" s="10">
        <v>0</v>
      </c>
      <c r="E3656" s="10">
        <v>0</v>
      </c>
      <c r="F3656" t="str">
        <f>VLOOKUP(A3656,StoreLookup,2,FALSE)</f>
        <v>Store#2</v>
      </c>
      <c r="G3656">
        <f>INDEX(CalLookUpTable,MATCH($B3656,CalLookUpRow,0),MATCH(G$1,CalLookUpColumn,0))</f>
        <v>2020</v>
      </c>
      <c r="H3656">
        <f>INDEX(CalLookUpTable,MATCH($B3656,CalLookUpRow,0),MATCH(H$1,CalLookUpColumn,0))</f>
        <v>3</v>
      </c>
      <c r="I3656">
        <f>INDEX(CalLookUpTable,MATCH($B3656,CalLookUpRow,0),MATCH(I$1,CalLookUpColumn,0))</f>
        <v>2</v>
      </c>
    </row>
    <row r="3657" spans="1:9" x14ac:dyDescent="0.25">
      <c r="A3657" s="7">
        <v>2</v>
      </c>
      <c r="B3657" s="8">
        <v>43897</v>
      </c>
      <c r="C3657" s="9" t="s">
        <v>5</v>
      </c>
      <c r="D3657" s="10">
        <v>1447.8729999999998</v>
      </c>
      <c r="E3657" s="10">
        <v>1064.252</v>
      </c>
      <c r="F3657" t="str">
        <f>VLOOKUP(A3657,StoreLookup,2,FALSE)</f>
        <v>Store#2</v>
      </c>
      <c r="G3657">
        <f>INDEX(CalLookUpTable,MATCH($B3657,CalLookUpRow,0),MATCH(G$1,CalLookUpColumn,0))</f>
        <v>2020</v>
      </c>
      <c r="H3657">
        <f>INDEX(CalLookUpTable,MATCH($B3657,CalLookUpRow,0),MATCH(H$1,CalLookUpColumn,0))</f>
        <v>3</v>
      </c>
      <c r="I3657">
        <f>INDEX(CalLookUpTable,MATCH($B3657,CalLookUpRow,0),MATCH(I$1,CalLookUpColumn,0))</f>
        <v>2</v>
      </c>
    </row>
    <row r="3658" spans="1:9" x14ac:dyDescent="0.25">
      <c r="A3658" s="7">
        <v>2</v>
      </c>
      <c r="B3658" s="8">
        <v>43898</v>
      </c>
      <c r="C3658" s="9" t="s">
        <v>4</v>
      </c>
      <c r="D3658" s="10">
        <v>1123.9549999999999</v>
      </c>
      <c r="E3658" s="10">
        <v>1207.297</v>
      </c>
      <c r="F3658" t="str">
        <f>VLOOKUP(A3658,StoreLookup,2,FALSE)</f>
        <v>Store#2</v>
      </c>
      <c r="G3658">
        <f>INDEX(CalLookUpTable,MATCH($B3658,CalLookUpRow,0),MATCH(G$1,CalLookUpColumn,0))</f>
        <v>2020</v>
      </c>
      <c r="H3658">
        <f>INDEX(CalLookUpTable,MATCH($B3658,CalLookUpRow,0),MATCH(H$1,CalLookUpColumn,0))</f>
        <v>3</v>
      </c>
      <c r="I3658">
        <f>INDEX(CalLookUpTable,MATCH($B3658,CalLookUpRow,0),MATCH(I$1,CalLookUpColumn,0))</f>
        <v>2</v>
      </c>
    </row>
    <row r="3659" spans="1:9" x14ac:dyDescent="0.25">
      <c r="A3659" s="7">
        <v>2</v>
      </c>
      <c r="B3659" s="8">
        <v>43898</v>
      </c>
      <c r="C3659" s="9" t="s">
        <v>6</v>
      </c>
      <c r="D3659" s="10">
        <v>537.2639999999999</v>
      </c>
      <c r="E3659" s="10">
        <v>359.09299999999996</v>
      </c>
      <c r="F3659" t="str">
        <f>VLOOKUP(A3659,StoreLookup,2,FALSE)</f>
        <v>Store#2</v>
      </c>
      <c r="G3659">
        <f>INDEX(CalLookUpTable,MATCH($B3659,CalLookUpRow,0),MATCH(G$1,CalLookUpColumn,0))</f>
        <v>2020</v>
      </c>
      <c r="H3659">
        <f>INDEX(CalLookUpTable,MATCH($B3659,CalLookUpRow,0),MATCH(H$1,CalLookUpColumn,0))</f>
        <v>3</v>
      </c>
      <c r="I3659">
        <f>INDEX(CalLookUpTable,MATCH($B3659,CalLookUpRow,0),MATCH(I$1,CalLookUpColumn,0))</f>
        <v>2</v>
      </c>
    </row>
    <row r="3660" spans="1:9" x14ac:dyDescent="0.25">
      <c r="A3660" s="7">
        <v>2</v>
      </c>
      <c r="B3660" s="8">
        <v>43898</v>
      </c>
      <c r="C3660" s="9" t="s">
        <v>3</v>
      </c>
      <c r="D3660" s="10">
        <v>0</v>
      </c>
      <c r="E3660" s="10">
        <v>0</v>
      </c>
      <c r="F3660" t="str">
        <f>VLOOKUP(A3660,StoreLookup,2,FALSE)</f>
        <v>Store#2</v>
      </c>
      <c r="G3660">
        <f>INDEX(CalLookUpTable,MATCH($B3660,CalLookUpRow,0),MATCH(G$1,CalLookUpColumn,0))</f>
        <v>2020</v>
      </c>
      <c r="H3660">
        <f>INDEX(CalLookUpTable,MATCH($B3660,CalLookUpRow,0),MATCH(H$1,CalLookUpColumn,0))</f>
        <v>3</v>
      </c>
      <c r="I3660">
        <f>INDEX(CalLookUpTable,MATCH($B3660,CalLookUpRow,0),MATCH(I$1,CalLookUpColumn,0))</f>
        <v>2</v>
      </c>
    </row>
    <row r="3661" spans="1:9" x14ac:dyDescent="0.25">
      <c r="A3661" s="7">
        <v>2</v>
      </c>
      <c r="B3661" s="8">
        <v>43898</v>
      </c>
      <c r="C3661" s="9" t="s">
        <v>5</v>
      </c>
      <c r="D3661" s="10">
        <v>888.8599999999999</v>
      </c>
      <c r="E3661" s="10">
        <v>804.923</v>
      </c>
      <c r="F3661" t="str">
        <f>VLOOKUP(A3661,StoreLookup,2,FALSE)</f>
        <v>Store#2</v>
      </c>
      <c r="G3661">
        <f>INDEX(CalLookUpTable,MATCH($B3661,CalLookUpRow,0),MATCH(G$1,CalLookUpColumn,0))</f>
        <v>2020</v>
      </c>
      <c r="H3661">
        <f>INDEX(CalLookUpTable,MATCH($B3661,CalLookUpRow,0),MATCH(H$1,CalLookUpColumn,0))</f>
        <v>3</v>
      </c>
      <c r="I3661">
        <f>INDEX(CalLookUpTable,MATCH($B3661,CalLookUpRow,0),MATCH(I$1,CalLookUpColumn,0))</f>
        <v>2</v>
      </c>
    </row>
    <row r="3662" spans="1:9" x14ac:dyDescent="0.25">
      <c r="A3662" s="7">
        <v>2</v>
      </c>
      <c r="B3662" s="8">
        <v>43899</v>
      </c>
      <c r="C3662" s="9" t="s">
        <v>4</v>
      </c>
      <c r="D3662" s="10">
        <v>1428.9939999999999</v>
      </c>
      <c r="E3662" s="10">
        <v>1652.8539999999998</v>
      </c>
      <c r="F3662" t="str">
        <f>VLOOKUP(A3662,StoreLookup,2,FALSE)</f>
        <v>Store#2</v>
      </c>
      <c r="G3662">
        <f>INDEX(CalLookUpTable,MATCH($B3662,CalLookUpRow,0),MATCH(G$1,CalLookUpColumn,0))</f>
        <v>2020</v>
      </c>
      <c r="H3662">
        <f>INDEX(CalLookUpTable,MATCH($B3662,CalLookUpRow,0),MATCH(H$1,CalLookUpColumn,0))</f>
        <v>3</v>
      </c>
      <c r="I3662">
        <f>INDEX(CalLookUpTable,MATCH($B3662,CalLookUpRow,0),MATCH(I$1,CalLookUpColumn,0))</f>
        <v>3</v>
      </c>
    </row>
    <row r="3663" spans="1:9" x14ac:dyDescent="0.25">
      <c r="A3663" s="7">
        <v>2</v>
      </c>
      <c r="B3663" s="8">
        <v>43899</v>
      </c>
      <c r="C3663" s="9" t="s">
        <v>3</v>
      </c>
      <c r="D3663" s="10">
        <v>329.65100000000001</v>
      </c>
      <c r="E3663" s="10">
        <v>191.56899999999999</v>
      </c>
      <c r="F3663" t="str">
        <f>VLOOKUP(A3663,StoreLookup,2,FALSE)</f>
        <v>Store#2</v>
      </c>
      <c r="G3663">
        <f>INDEX(CalLookUpTable,MATCH($B3663,CalLookUpRow,0),MATCH(G$1,CalLookUpColumn,0))</f>
        <v>2020</v>
      </c>
      <c r="H3663">
        <f>INDEX(CalLookUpTable,MATCH($B3663,CalLookUpRow,0),MATCH(H$1,CalLookUpColumn,0))</f>
        <v>3</v>
      </c>
      <c r="I3663">
        <f>INDEX(CalLookUpTable,MATCH($B3663,CalLookUpRow,0),MATCH(I$1,CalLookUpColumn,0))</f>
        <v>3</v>
      </c>
    </row>
    <row r="3664" spans="1:9" x14ac:dyDescent="0.25">
      <c r="A3664" s="7">
        <v>2</v>
      </c>
      <c r="B3664" s="8">
        <v>43899</v>
      </c>
      <c r="C3664" s="9" t="s">
        <v>6</v>
      </c>
      <c r="D3664" s="10">
        <v>528.81500000000005</v>
      </c>
      <c r="E3664" s="10">
        <v>128.39399999999998</v>
      </c>
      <c r="F3664" t="str">
        <f>VLOOKUP(A3664,StoreLookup,2,FALSE)</f>
        <v>Store#2</v>
      </c>
      <c r="G3664">
        <f>INDEX(CalLookUpTable,MATCH($B3664,CalLookUpRow,0),MATCH(G$1,CalLookUpColumn,0))</f>
        <v>2020</v>
      </c>
      <c r="H3664">
        <f>INDEX(CalLookUpTable,MATCH($B3664,CalLookUpRow,0),MATCH(H$1,CalLookUpColumn,0))</f>
        <v>3</v>
      </c>
      <c r="I3664">
        <f>INDEX(CalLookUpTable,MATCH($B3664,CalLookUpRow,0),MATCH(I$1,CalLookUpColumn,0))</f>
        <v>3</v>
      </c>
    </row>
    <row r="3665" spans="1:9" x14ac:dyDescent="0.25">
      <c r="A3665" s="7">
        <v>2</v>
      </c>
      <c r="B3665" s="8">
        <v>43899</v>
      </c>
      <c r="C3665" s="9" t="s">
        <v>5</v>
      </c>
      <c r="D3665" s="10">
        <v>836.85699999999997</v>
      </c>
      <c r="E3665" s="10">
        <v>772.61099999999999</v>
      </c>
      <c r="F3665" t="str">
        <f>VLOOKUP(A3665,StoreLookup,2,FALSE)</f>
        <v>Store#2</v>
      </c>
      <c r="G3665">
        <f>INDEX(CalLookUpTable,MATCH($B3665,CalLookUpRow,0),MATCH(G$1,CalLookUpColumn,0))</f>
        <v>2020</v>
      </c>
      <c r="H3665">
        <f>INDEX(CalLookUpTable,MATCH($B3665,CalLookUpRow,0),MATCH(H$1,CalLookUpColumn,0))</f>
        <v>3</v>
      </c>
      <c r="I3665">
        <f>INDEX(CalLookUpTable,MATCH($B3665,CalLookUpRow,0),MATCH(I$1,CalLookUpColumn,0))</f>
        <v>3</v>
      </c>
    </row>
    <row r="3666" spans="1:9" x14ac:dyDescent="0.25">
      <c r="A3666" s="7">
        <v>2</v>
      </c>
      <c r="B3666" s="8">
        <v>43900</v>
      </c>
      <c r="C3666" s="9" t="s">
        <v>5</v>
      </c>
      <c r="D3666" s="10">
        <v>1317.0919999999999</v>
      </c>
      <c r="E3666" s="10">
        <v>1023.05</v>
      </c>
      <c r="F3666" t="str">
        <f>VLOOKUP(A3666,StoreLookup,2,FALSE)</f>
        <v>Store#2</v>
      </c>
      <c r="G3666">
        <f>INDEX(CalLookUpTable,MATCH($B3666,CalLookUpRow,0),MATCH(G$1,CalLookUpColumn,0))</f>
        <v>2020</v>
      </c>
      <c r="H3666">
        <f>INDEX(CalLookUpTable,MATCH($B3666,CalLookUpRow,0),MATCH(H$1,CalLookUpColumn,0))</f>
        <v>3</v>
      </c>
      <c r="I3666">
        <f>INDEX(CalLookUpTable,MATCH($B3666,CalLookUpRow,0),MATCH(I$1,CalLookUpColumn,0))</f>
        <v>3</v>
      </c>
    </row>
    <row r="3667" spans="1:9" x14ac:dyDescent="0.25">
      <c r="A3667" s="7">
        <v>2</v>
      </c>
      <c r="B3667" s="8">
        <v>43900</v>
      </c>
      <c r="C3667" s="9" t="s">
        <v>6</v>
      </c>
      <c r="D3667" s="10">
        <v>545.83199999999999</v>
      </c>
      <c r="E3667" s="10">
        <v>232.34399999999999</v>
      </c>
      <c r="F3667" t="str">
        <f>VLOOKUP(A3667,StoreLookup,2,FALSE)</f>
        <v>Store#2</v>
      </c>
      <c r="G3667">
        <f>INDEX(CalLookUpTable,MATCH($B3667,CalLookUpRow,0),MATCH(G$1,CalLookUpColumn,0))</f>
        <v>2020</v>
      </c>
      <c r="H3667">
        <f>INDEX(CalLookUpTable,MATCH($B3667,CalLookUpRow,0),MATCH(H$1,CalLookUpColumn,0))</f>
        <v>3</v>
      </c>
      <c r="I3667">
        <f>INDEX(CalLookUpTable,MATCH($B3667,CalLookUpRow,0),MATCH(I$1,CalLookUpColumn,0))</f>
        <v>3</v>
      </c>
    </row>
    <row r="3668" spans="1:9" x14ac:dyDescent="0.25">
      <c r="A3668" s="7">
        <v>2</v>
      </c>
      <c r="B3668" s="8">
        <v>43900</v>
      </c>
      <c r="C3668" s="9" t="s">
        <v>4</v>
      </c>
      <c r="D3668" s="10">
        <v>1639.008</v>
      </c>
      <c r="E3668" s="10">
        <v>1915.655</v>
      </c>
      <c r="F3668" t="str">
        <f>VLOOKUP(A3668,StoreLookup,2,FALSE)</f>
        <v>Store#2</v>
      </c>
      <c r="G3668">
        <f>INDEX(CalLookUpTable,MATCH($B3668,CalLookUpRow,0),MATCH(G$1,CalLookUpColumn,0))</f>
        <v>2020</v>
      </c>
      <c r="H3668">
        <f>INDEX(CalLookUpTable,MATCH($B3668,CalLookUpRow,0),MATCH(H$1,CalLookUpColumn,0))</f>
        <v>3</v>
      </c>
      <c r="I3668">
        <f>INDEX(CalLookUpTable,MATCH($B3668,CalLookUpRow,0),MATCH(I$1,CalLookUpColumn,0))</f>
        <v>3</v>
      </c>
    </row>
    <row r="3669" spans="1:9" x14ac:dyDescent="0.25">
      <c r="A3669" s="7">
        <v>2</v>
      </c>
      <c r="B3669" s="8">
        <v>43900</v>
      </c>
      <c r="C3669" s="9" t="s">
        <v>3</v>
      </c>
      <c r="D3669" s="10">
        <v>104.916</v>
      </c>
      <c r="E3669" s="10">
        <v>135.39399999999998</v>
      </c>
      <c r="F3669" t="str">
        <f>VLOOKUP(A3669,StoreLookup,2,FALSE)</f>
        <v>Store#2</v>
      </c>
      <c r="G3669">
        <f>INDEX(CalLookUpTable,MATCH($B3669,CalLookUpRow,0),MATCH(G$1,CalLookUpColumn,0))</f>
        <v>2020</v>
      </c>
      <c r="H3669">
        <f>INDEX(CalLookUpTable,MATCH($B3669,CalLookUpRow,0),MATCH(H$1,CalLookUpColumn,0))</f>
        <v>3</v>
      </c>
      <c r="I3669">
        <f>INDEX(CalLookUpTable,MATCH($B3669,CalLookUpRow,0),MATCH(I$1,CalLookUpColumn,0))</f>
        <v>3</v>
      </c>
    </row>
    <row r="3670" spans="1:9" x14ac:dyDescent="0.25">
      <c r="A3670" s="7">
        <v>2</v>
      </c>
      <c r="B3670" s="8">
        <v>43901</v>
      </c>
      <c r="C3670" s="9" t="s">
        <v>5</v>
      </c>
      <c r="D3670" s="10">
        <v>1093.001</v>
      </c>
      <c r="E3670" s="10">
        <v>936.12399999999991</v>
      </c>
      <c r="F3670" t="str">
        <f>VLOOKUP(A3670,StoreLookup,2,FALSE)</f>
        <v>Store#2</v>
      </c>
      <c r="G3670">
        <f>INDEX(CalLookUpTable,MATCH($B3670,CalLookUpRow,0),MATCH(G$1,CalLookUpColumn,0))</f>
        <v>2020</v>
      </c>
      <c r="H3670">
        <f>INDEX(CalLookUpTable,MATCH($B3670,CalLookUpRow,0),MATCH(H$1,CalLookUpColumn,0))</f>
        <v>3</v>
      </c>
      <c r="I3670">
        <f>INDEX(CalLookUpTable,MATCH($B3670,CalLookUpRow,0),MATCH(I$1,CalLookUpColumn,0))</f>
        <v>3</v>
      </c>
    </row>
    <row r="3671" spans="1:9" x14ac:dyDescent="0.25">
      <c r="A3671" s="7">
        <v>2</v>
      </c>
      <c r="B3671" s="8">
        <v>43901</v>
      </c>
      <c r="C3671" s="9" t="s">
        <v>4</v>
      </c>
      <c r="D3671" s="10">
        <v>1465.03</v>
      </c>
      <c r="E3671" s="10">
        <v>1598.1699999999998</v>
      </c>
      <c r="F3671" t="str">
        <f>VLOOKUP(A3671,StoreLookup,2,FALSE)</f>
        <v>Store#2</v>
      </c>
      <c r="G3671">
        <f>INDEX(CalLookUpTable,MATCH($B3671,CalLookUpRow,0),MATCH(G$1,CalLookUpColumn,0))</f>
        <v>2020</v>
      </c>
      <c r="H3671">
        <f>INDEX(CalLookUpTable,MATCH($B3671,CalLookUpRow,0),MATCH(H$1,CalLookUpColumn,0))</f>
        <v>3</v>
      </c>
      <c r="I3671">
        <f>INDEX(CalLookUpTable,MATCH($B3671,CalLookUpRow,0),MATCH(I$1,CalLookUpColumn,0))</f>
        <v>3</v>
      </c>
    </row>
    <row r="3672" spans="1:9" x14ac:dyDescent="0.25">
      <c r="A3672" s="7">
        <v>2</v>
      </c>
      <c r="B3672" s="8">
        <v>43901</v>
      </c>
      <c r="C3672" s="9" t="s">
        <v>3</v>
      </c>
      <c r="D3672" s="10">
        <v>0</v>
      </c>
      <c r="E3672" s="10">
        <v>0</v>
      </c>
      <c r="F3672" t="str">
        <f>VLOOKUP(A3672,StoreLookup,2,FALSE)</f>
        <v>Store#2</v>
      </c>
      <c r="G3672">
        <f>INDEX(CalLookUpTable,MATCH($B3672,CalLookUpRow,0),MATCH(G$1,CalLookUpColumn,0))</f>
        <v>2020</v>
      </c>
      <c r="H3672">
        <f>INDEX(CalLookUpTable,MATCH($B3672,CalLookUpRow,0),MATCH(H$1,CalLookUpColumn,0))</f>
        <v>3</v>
      </c>
      <c r="I3672">
        <f>INDEX(CalLookUpTable,MATCH($B3672,CalLookUpRow,0),MATCH(I$1,CalLookUpColumn,0))</f>
        <v>3</v>
      </c>
    </row>
    <row r="3673" spans="1:9" x14ac:dyDescent="0.25">
      <c r="A3673" s="7">
        <v>2</v>
      </c>
      <c r="B3673" s="8">
        <v>43901</v>
      </c>
      <c r="C3673" s="9" t="s">
        <v>6</v>
      </c>
      <c r="D3673" s="10">
        <v>200.94899999999998</v>
      </c>
      <c r="E3673" s="10">
        <v>385.83300000000003</v>
      </c>
      <c r="F3673" t="str">
        <f>VLOOKUP(A3673,StoreLookup,2,FALSE)</f>
        <v>Store#2</v>
      </c>
      <c r="G3673">
        <f>INDEX(CalLookUpTable,MATCH($B3673,CalLookUpRow,0),MATCH(G$1,CalLookUpColumn,0))</f>
        <v>2020</v>
      </c>
      <c r="H3673">
        <f>INDEX(CalLookUpTable,MATCH($B3673,CalLookUpRow,0),MATCH(H$1,CalLookUpColumn,0))</f>
        <v>3</v>
      </c>
      <c r="I3673">
        <f>INDEX(CalLookUpTable,MATCH($B3673,CalLookUpRow,0),MATCH(I$1,CalLookUpColumn,0))</f>
        <v>3</v>
      </c>
    </row>
    <row r="3674" spans="1:9" x14ac:dyDescent="0.25">
      <c r="A3674" s="7">
        <v>2</v>
      </c>
      <c r="B3674" s="8">
        <v>43902</v>
      </c>
      <c r="C3674" s="9" t="s">
        <v>6</v>
      </c>
      <c r="D3674" s="10">
        <v>455.66500000000002</v>
      </c>
      <c r="E3674" s="10">
        <v>254.27499999999998</v>
      </c>
      <c r="F3674" t="str">
        <f>VLOOKUP(A3674,StoreLookup,2,FALSE)</f>
        <v>Store#2</v>
      </c>
      <c r="G3674">
        <f>INDEX(CalLookUpTable,MATCH($B3674,CalLookUpRow,0),MATCH(G$1,CalLookUpColumn,0))</f>
        <v>2020</v>
      </c>
      <c r="H3674">
        <f>INDEX(CalLookUpTable,MATCH($B3674,CalLookUpRow,0),MATCH(H$1,CalLookUpColumn,0))</f>
        <v>3</v>
      </c>
      <c r="I3674">
        <f>INDEX(CalLookUpTable,MATCH($B3674,CalLookUpRow,0),MATCH(I$1,CalLookUpColumn,0))</f>
        <v>3</v>
      </c>
    </row>
    <row r="3675" spans="1:9" x14ac:dyDescent="0.25">
      <c r="A3675" s="7">
        <v>2</v>
      </c>
      <c r="B3675" s="8">
        <v>43902</v>
      </c>
      <c r="C3675" s="9" t="s">
        <v>4</v>
      </c>
      <c r="D3675" s="10">
        <v>1767.9619999999998</v>
      </c>
      <c r="E3675" s="10">
        <v>1882.902</v>
      </c>
      <c r="F3675" t="str">
        <f>VLOOKUP(A3675,StoreLookup,2,FALSE)</f>
        <v>Store#2</v>
      </c>
      <c r="G3675">
        <f>INDEX(CalLookUpTable,MATCH($B3675,CalLookUpRow,0),MATCH(G$1,CalLookUpColumn,0))</f>
        <v>2020</v>
      </c>
      <c r="H3675">
        <f>INDEX(CalLookUpTable,MATCH($B3675,CalLookUpRow,0),MATCH(H$1,CalLookUpColumn,0))</f>
        <v>3</v>
      </c>
      <c r="I3675">
        <f>INDEX(CalLookUpTable,MATCH($B3675,CalLookUpRow,0),MATCH(I$1,CalLookUpColumn,0))</f>
        <v>3</v>
      </c>
    </row>
    <row r="3676" spans="1:9" x14ac:dyDescent="0.25">
      <c r="A3676" s="7">
        <v>2</v>
      </c>
      <c r="B3676" s="8">
        <v>43902</v>
      </c>
      <c r="C3676" s="9" t="s">
        <v>3</v>
      </c>
      <c r="D3676" s="10">
        <v>176.946</v>
      </c>
      <c r="E3676" s="10">
        <v>0</v>
      </c>
      <c r="F3676" t="str">
        <f>VLOOKUP(A3676,StoreLookup,2,FALSE)</f>
        <v>Store#2</v>
      </c>
      <c r="G3676">
        <f>INDEX(CalLookUpTable,MATCH($B3676,CalLookUpRow,0),MATCH(G$1,CalLookUpColumn,0))</f>
        <v>2020</v>
      </c>
      <c r="H3676">
        <f>INDEX(CalLookUpTable,MATCH($B3676,CalLookUpRow,0),MATCH(H$1,CalLookUpColumn,0))</f>
        <v>3</v>
      </c>
      <c r="I3676">
        <f>INDEX(CalLookUpTable,MATCH($B3676,CalLookUpRow,0),MATCH(I$1,CalLookUpColumn,0))</f>
        <v>3</v>
      </c>
    </row>
    <row r="3677" spans="1:9" x14ac:dyDescent="0.25">
      <c r="A3677" s="7">
        <v>2</v>
      </c>
      <c r="B3677" s="8">
        <v>43902</v>
      </c>
      <c r="C3677" s="9" t="s">
        <v>5</v>
      </c>
      <c r="D3677" s="10">
        <v>1228.1919999999998</v>
      </c>
      <c r="E3677" s="10">
        <v>1074.3879999999999</v>
      </c>
      <c r="F3677" t="str">
        <f>VLOOKUP(A3677,StoreLookup,2,FALSE)</f>
        <v>Store#2</v>
      </c>
      <c r="G3677">
        <f>INDEX(CalLookUpTable,MATCH($B3677,CalLookUpRow,0),MATCH(G$1,CalLookUpColumn,0))</f>
        <v>2020</v>
      </c>
      <c r="H3677">
        <f>INDEX(CalLookUpTable,MATCH($B3677,CalLookUpRow,0),MATCH(H$1,CalLookUpColumn,0))</f>
        <v>3</v>
      </c>
      <c r="I3677">
        <f>INDEX(CalLookUpTable,MATCH($B3677,CalLookUpRow,0),MATCH(I$1,CalLookUpColumn,0))</f>
        <v>3</v>
      </c>
    </row>
    <row r="3678" spans="1:9" x14ac:dyDescent="0.25">
      <c r="A3678" s="7">
        <v>2</v>
      </c>
      <c r="B3678" s="8">
        <v>43903</v>
      </c>
      <c r="C3678" s="9" t="s">
        <v>5</v>
      </c>
      <c r="D3678" s="10">
        <v>1434.5449999999998</v>
      </c>
      <c r="E3678" s="10">
        <v>1357.0619999999999</v>
      </c>
      <c r="F3678" t="str">
        <f>VLOOKUP(A3678,StoreLookup,2,FALSE)</f>
        <v>Store#2</v>
      </c>
      <c r="G3678">
        <f>INDEX(CalLookUpTable,MATCH($B3678,CalLookUpRow,0),MATCH(G$1,CalLookUpColumn,0))</f>
        <v>2020</v>
      </c>
      <c r="H3678">
        <f>INDEX(CalLookUpTable,MATCH($B3678,CalLookUpRow,0),MATCH(H$1,CalLookUpColumn,0))</f>
        <v>3</v>
      </c>
      <c r="I3678">
        <f>INDEX(CalLookUpTable,MATCH($B3678,CalLookUpRow,0),MATCH(I$1,CalLookUpColumn,0))</f>
        <v>3</v>
      </c>
    </row>
    <row r="3679" spans="1:9" x14ac:dyDescent="0.25">
      <c r="A3679" s="7">
        <v>2</v>
      </c>
      <c r="B3679" s="8">
        <v>43903</v>
      </c>
      <c r="C3679" s="9" t="s">
        <v>4</v>
      </c>
      <c r="D3679" s="10">
        <v>1828.0149999999996</v>
      </c>
      <c r="E3679" s="10">
        <v>2475.6059999999998</v>
      </c>
      <c r="F3679" t="str">
        <f>VLOOKUP(A3679,StoreLookup,2,FALSE)</f>
        <v>Store#2</v>
      </c>
      <c r="G3679">
        <f>INDEX(CalLookUpTable,MATCH($B3679,CalLookUpRow,0),MATCH(G$1,CalLookUpColumn,0))</f>
        <v>2020</v>
      </c>
      <c r="H3679">
        <f>INDEX(CalLookUpTable,MATCH($B3679,CalLookUpRow,0),MATCH(H$1,CalLookUpColumn,0))</f>
        <v>3</v>
      </c>
      <c r="I3679">
        <f>INDEX(CalLookUpTable,MATCH($B3679,CalLookUpRow,0),MATCH(I$1,CalLookUpColumn,0))</f>
        <v>3</v>
      </c>
    </row>
    <row r="3680" spans="1:9" x14ac:dyDescent="0.25">
      <c r="A3680" s="7">
        <v>2</v>
      </c>
      <c r="B3680" s="8">
        <v>43903</v>
      </c>
      <c r="C3680" s="9" t="s">
        <v>3</v>
      </c>
      <c r="D3680" s="10">
        <v>0</v>
      </c>
      <c r="E3680" s="10">
        <v>0</v>
      </c>
      <c r="F3680" t="str">
        <f>VLOOKUP(A3680,StoreLookup,2,FALSE)</f>
        <v>Store#2</v>
      </c>
      <c r="G3680">
        <f>INDEX(CalLookUpTable,MATCH($B3680,CalLookUpRow,0),MATCH(G$1,CalLookUpColumn,0))</f>
        <v>2020</v>
      </c>
      <c r="H3680">
        <f>INDEX(CalLookUpTable,MATCH($B3680,CalLookUpRow,0),MATCH(H$1,CalLookUpColumn,0))</f>
        <v>3</v>
      </c>
      <c r="I3680">
        <f>INDEX(CalLookUpTable,MATCH($B3680,CalLookUpRow,0),MATCH(I$1,CalLookUpColumn,0))</f>
        <v>3</v>
      </c>
    </row>
    <row r="3681" spans="1:9" x14ac:dyDescent="0.25">
      <c r="A3681" s="7">
        <v>2</v>
      </c>
      <c r="B3681" s="8">
        <v>43903</v>
      </c>
      <c r="C3681" s="9" t="s">
        <v>6</v>
      </c>
      <c r="D3681" s="10">
        <v>620.96299999999997</v>
      </c>
      <c r="E3681" s="10">
        <v>360.56299999999999</v>
      </c>
      <c r="F3681" t="str">
        <f>VLOOKUP(A3681,StoreLookup,2,FALSE)</f>
        <v>Store#2</v>
      </c>
      <c r="G3681">
        <f>INDEX(CalLookUpTable,MATCH($B3681,CalLookUpRow,0),MATCH(G$1,CalLookUpColumn,0))</f>
        <v>2020</v>
      </c>
      <c r="H3681">
        <f>INDEX(CalLookUpTable,MATCH($B3681,CalLookUpRow,0),MATCH(H$1,CalLookUpColumn,0))</f>
        <v>3</v>
      </c>
      <c r="I3681">
        <f>INDEX(CalLookUpTable,MATCH($B3681,CalLookUpRow,0),MATCH(I$1,CalLookUpColumn,0))</f>
        <v>3</v>
      </c>
    </row>
    <row r="3682" spans="1:9" x14ac:dyDescent="0.25">
      <c r="A3682" s="7">
        <v>2</v>
      </c>
      <c r="B3682" s="8">
        <v>43904</v>
      </c>
      <c r="C3682" s="9" t="s">
        <v>3</v>
      </c>
      <c r="D3682" s="10">
        <v>0</v>
      </c>
      <c r="E3682" s="10">
        <v>163.64599999999999</v>
      </c>
      <c r="F3682" t="str">
        <f>VLOOKUP(A3682,StoreLookup,2,FALSE)</f>
        <v>Store#2</v>
      </c>
      <c r="G3682">
        <f>INDEX(CalLookUpTable,MATCH($B3682,CalLookUpRow,0),MATCH(G$1,CalLookUpColumn,0))</f>
        <v>2020</v>
      </c>
      <c r="H3682">
        <f>INDEX(CalLookUpTable,MATCH($B3682,CalLookUpRow,0),MATCH(H$1,CalLookUpColumn,0))</f>
        <v>3</v>
      </c>
      <c r="I3682">
        <f>INDEX(CalLookUpTable,MATCH($B3682,CalLookUpRow,0),MATCH(I$1,CalLookUpColumn,0))</f>
        <v>3</v>
      </c>
    </row>
    <row r="3683" spans="1:9" x14ac:dyDescent="0.25">
      <c r="A3683" s="7">
        <v>2</v>
      </c>
      <c r="B3683" s="8">
        <v>43904</v>
      </c>
      <c r="C3683" s="9" t="s">
        <v>4</v>
      </c>
      <c r="D3683" s="10">
        <v>1649.4169999999999</v>
      </c>
      <c r="E3683" s="10">
        <v>2270.4919999999997</v>
      </c>
      <c r="F3683" t="str">
        <f>VLOOKUP(A3683,StoreLookup,2,FALSE)</f>
        <v>Store#2</v>
      </c>
      <c r="G3683">
        <f>INDEX(CalLookUpTable,MATCH($B3683,CalLookUpRow,0),MATCH(G$1,CalLookUpColumn,0))</f>
        <v>2020</v>
      </c>
      <c r="H3683">
        <f>INDEX(CalLookUpTable,MATCH($B3683,CalLookUpRow,0),MATCH(H$1,CalLookUpColumn,0))</f>
        <v>3</v>
      </c>
      <c r="I3683">
        <f>INDEX(CalLookUpTable,MATCH($B3683,CalLookUpRow,0),MATCH(I$1,CalLookUpColumn,0))</f>
        <v>3</v>
      </c>
    </row>
    <row r="3684" spans="1:9" x14ac:dyDescent="0.25">
      <c r="A3684" s="7">
        <v>2</v>
      </c>
      <c r="B3684" s="8">
        <v>43904</v>
      </c>
      <c r="C3684" s="9" t="s">
        <v>6</v>
      </c>
      <c r="D3684" s="10">
        <v>739.34</v>
      </c>
      <c r="E3684" s="10">
        <v>258.38400000000001</v>
      </c>
      <c r="F3684" t="str">
        <f>VLOOKUP(A3684,StoreLookup,2,FALSE)</f>
        <v>Store#2</v>
      </c>
      <c r="G3684">
        <f>INDEX(CalLookUpTable,MATCH($B3684,CalLookUpRow,0),MATCH(G$1,CalLookUpColumn,0))</f>
        <v>2020</v>
      </c>
      <c r="H3684">
        <f>INDEX(CalLookUpTable,MATCH($B3684,CalLookUpRow,0),MATCH(H$1,CalLookUpColumn,0))</f>
        <v>3</v>
      </c>
      <c r="I3684">
        <f>INDEX(CalLookUpTable,MATCH($B3684,CalLookUpRow,0),MATCH(I$1,CalLookUpColumn,0))</f>
        <v>3</v>
      </c>
    </row>
    <row r="3685" spans="1:9" x14ac:dyDescent="0.25">
      <c r="A3685" s="7">
        <v>2</v>
      </c>
      <c r="B3685" s="8">
        <v>43904</v>
      </c>
      <c r="C3685" s="9" t="s">
        <v>5</v>
      </c>
      <c r="D3685" s="10">
        <v>1283.2329999999999</v>
      </c>
      <c r="E3685" s="10">
        <v>1166.1299999999999</v>
      </c>
      <c r="F3685" t="str">
        <f>VLOOKUP(A3685,StoreLookup,2,FALSE)</f>
        <v>Store#2</v>
      </c>
      <c r="G3685">
        <f>INDEX(CalLookUpTable,MATCH($B3685,CalLookUpRow,0),MATCH(G$1,CalLookUpColumn,0))</f>
        <v>2020</v>
      </c>
      <c r="H3685">
        <f>INDEX(CalLookUpTable,MATCH($B3685,CalLookUpRow,0),MATCH(H$1,CalLookUpColumn,0))</f>
        <v>3</v>
      </c>
      <c r="I3685">
        <f>INDEX(CalLookUpTable,MATCH($B3685,CalLookUpRow,0),MATCH(I$1,CalLookUpColumn,0))</f>
        <v>3</v>
      </c>
    </row>
    <row r="3686" spans="1:9" x14ac:dyDescent="0.25">
      <c r="A3686" s="7">
        <v>2</v>
      </c>
      <c r="B3686" s="8">
        <v>43905</v>
      </c>
      <c r="C3686" s="9" t="s">
        <v>6</v>
      </c>
      <c r="D3686" s="10">
        <v>178.70299999999997</v>
      </c>
      <c r="E3686" s="10">
        <v>82.914999999999992</v>
      </c>
      <c r="F3686" t="str">
        <f>VLOOKUP(A3686,StoreLookup,2,FALSE)</f>
        <v>Store#2</v>
      </c>
      <c r="G3686">
        <f>INDEX(CalLookUpTable,MATCH($B3686,CalLookUpRow,0),MATCH(G$1,CalLookUpColumn,0))</f>
        <v>2020</v>
      </c>
      <c r="H3686">
        <f>INDEX(CalLookUpTable,MATCH($B3686,CalLookUpRow,0),MATCH(H$1,CalLookUpColumn,0))</f>
        <v>3</v>
      </c>
      <c r="I3686">
        <f>INDEX(CalLookUpTable,MATCH($B3686,CalLookUpRow,0),MATCH(I$1,CalLookUpColumn,0))</f>
        <v>3</v>
      </c>
    </row>
    <row r="3687" spans="1:9" x14ac:dyDescent="0.25">
      <c r="A3687" s="7">
        <v>2</v>
      </c>
      <c r="B3687" s="8">
        <v>43905</v>
      </c>
      <c r="C3687" s="9" t="s">
        <v>4</v>
      </c>
      <c r="D3687" s="10">
        <v>1314.3269999999998</v>
      </c>
      <c r="E3687" s="10">
        <v>1348.5989999999999</v>
      </c>
      <c r="F3687" t="str">
        <f>VLOOKUP(A3687,StoreLookup,2,FALSE)</f>
        <v>Store#2</v>
      </c>
      <c r="G3687">
        <f>INDEX(CalLookUpTable,MATCH($B3687,CalLookUpRow,0),MATCH(G$1,CalLookUpColumn,0))</f>
        <v>2020</v>
      </c>
      <c r="H3687">
        <f>INDEX(CalLookUpTable,MATCH($B3687,CalLookUpRow,0),MATCH(H$1,CalLookUpColumn,0))</f>
        <v>3</v>
      </c>
      <c r="I3687">
        <f>INDEX(CalLookUpTable,MATCH($B3687,CalLookUpRow,0),MATCH(I$1,CalLookUpColumn,0))</f>
        <v>3</v>
      </c>
    </row>
    <row r="3688" spans="1:9" x14ac:dyDescent="0.25">
      <c r="A3688" s="7">
        <v>2</v>
      </c>
      <c r="B3688" s="8">
        <v>43905</v>
      </c>
      <c r="C3688" s="9" t="s">
        <v>3</v>
      </c>
      <c r="D3688" s="10">
        <v>188.727</v>
      </c>
      <c r="E3688" s="10">
        <v>38.359999999999992</v>
      </c>
      <c r="F3688" t="str">
        <f>VLOOKUP(A3688,StoreLookup,2,FALSE)</f>
        <v>Store#2</v>
      </c>
      <c r="G3688">
        <f>INDEX(CalLookUpTable,MATCH($B3688,CalLookUpRow,0),MATCH(G$1,CalLookUpColumn,0))</f>
        <v>2020</v>
      </c>
      <c r="H3688">
        <f>INDEX(CalLookUpTable,MATCH($B3688,CalLookUpRow,0),MATCH(H$1,CalLookUpColumn,0))</f>
        <v>3</v>
      </c>
      <c r="I3688">
        <f>INDEX(CalLookUpTable,MATCH($B3688,CalLookUpRow,0),MATCH(I$1,CalLookUpColumn,0))</f>
        <v>3</v>
      </c>
    </row>
    <row r="3689" spans="1:9" x14ac:dyDescent="0.25">
      <c r="A3689" s="7">
        <v>2</v>
      </c>
      <c r="B3689" s="8">
        <v>43905</v>
      </c>
      <c r="C3689" s="9" t="s">
        <v>5</v>
      </c>
      <c r="D3689" s="10">
        <v>600.85199999999998</v>
      </c>
      <c r="E3689" s="10">
        <v>680.93899999999996</v>
      </c>
      <c r="F3689" t="str">
        <f>VLOOKUP(A3689,StoreLookup,2,FALSE)</f>
        <v>Store#2</v>
      </c>
      <c r="G3689">
        <f>INDEX(CalLookUpTable,MATCH($B3689,CalLookUpRow,0),MATCH(G$1,CalLookUpColumn,0))</f>
        <v>2020</v>
      </c>
      <c r="H3689">
        <f>INDEX(CalLookUpTable,MATCH($B3689,CalLookUpRow,0),MATCH(H$1,CalLookUpColumn,0))</f>
        <v>3</v>
      </c>
      <c r="I3689">
        <f>INDEX(CalLookUpTable,MATCH($B3689,CalLookUpRow,0),MATCH(I$1,CalLookUpColumn,0))</f>
        <v>3</v>
      </c>
    </row>
    <row r="3690" spans="1:9" x14ac:dyDescent="0.25">
      <c r="A3690" s="7">
        <v>2</v>
      </c>
      <c r="B3690" s="8">
        <v>43906</v>
      </c>
      <c r="C3690" s="9" t="s">
        <v>6</v>
      </c>
      <c r="D3690" s="10">
        <v>436.42200000000003</v>
      </c>
      <c r="E3690" s="10">
        <v>174.88800000000001</v>
      </c>
      <c r="F3690" t="str">
        <f>VLOOKUP(A3690,StoreLookup,2,FALSE)</f>
        <v>Store#2</v>
      </c>
      <c r="G3690">
        <f>INDEX(CalLookUpTable,MATCH($B3690,CalLookUpRow,0),MATCH(G$1,CalLookUpColumn,0))</f>
        <v>2020</v>
      </c>
      <c r="H3690">
        <f>INDEX(CalLookUpTable,MATCH($B3690,CalLookUpRow,0),MATCH(H$1,CalLookUpColumn,0))</f>
        <v>3</v>
      </c>
      <c r="I3690">
        <f>INDEX(CalLookUpTable,MATCH($B3690,CalLookUpRow,0),MATCH(I$1,CalLookUpColumn,0))</f>
        <v>4</v>
      </c>
    </row>
    <row r="3691" spans="1:9" x14ac:dyDescent="0.25">
      <c r="A3691" s="7">
        <v>2</v>
      </c>
      <c r="B3691" s="8">
        <v>43906</v>
      </c>
      <c r="C3691" s="9" t="s">
        <v>4</v>
      </c>
      <c r="D3691" s="10">
        <v>747.15199999999993</v>
      </c>
      <c r="E3691" s="10">
        <v>1238.4749999999999</v>
      </c>
      <c r="F3691" t="str">
        <f>VLOOKUP(A3691,StoreLookup,2,FALSE)</f>
        <v>Store#2</v>
      </c>
      <c r="G3691">
        <f>INDEX(CalLookUpTable,MATCH($B3691,CalLookUpRow,0),MATCH(G$1,CalLookUpColumn,0))</f>
        <v>2020</v>
      </c>
      <c r="H3691">
        <f>INDEX(CalLookUpTable,MATCH($B3691,CalLookUpRow,0),MATCH(H$1,CalLookUpColumn,0))</f>
        <v>3</v>
      </c>
      <c r="I3691">
        <f>INDEX(CalLookUpTable,MATCH($B3691,CalLookUpRow,0),MATCH(I$1,CalLookUpColumn,0))</f>
        <v>4</v>
      </c>
    </row>
    <row r="3692" spans="1:9" x14ac:dyDescent="0.25">
      <c r="A3692" s="7">
        <v>2</v>
      </c>
      <c r="B3692" s="8">
        <v>43906</v>
      </c>
      <c r="C3692" s="9" t="s">
        <v>5</v>
      </c>
      <c r="D3692" s="10">
        <v>1035.3979999999999</v>
      </c>
      <c r="E3692" s="10">
        <v>897.47699999999986</v>
      </c>
      <c r="F3692" t="str">
        <f>VLOOKUP(A3692,StoreLookup,2,FALSE)</f>
        <v>Store#2</v>
      </c>
      <c r="G3692">
        <f>INDEX(CalLookUpTable,MATCH($B3692,CalLookUpRow,0),MATCH(G$1,CalLookUpColumn,0))</f>
        <v>2020</v>
      </c>
      <c r="H3692">
        <f>INDEX(CalLookUpTable,MATCH($B3692,CalLookUpRow,0),MATCH(H$1,CalLookUpColumn,0))</f>
        <v>3</v>
      </c>
      <c r="I3692">
        <f>INDEX(CalLookUpTable,MATCH($B3692,CalLookUpRow,0),MATCH(I$1,CalLookUpColumn,0))</f>
        <v>4</v>
      </c>
    </row>
    <row r="3693" spans="1:9" x14ac:dyDescent="0.25">
      <c r="A3693" s="7">
        <v>2</v>
      </c>
      <c r="B3693" s="8">
        <v>43906</v>
      </c>
      <c r="C3693" s="9" t="s">
        <v>3</v>
      </c>
      <c r="D3693" s="10">
        <v>0</v>
      </c>
      <c r="E3693" s="10">
        <v>0</v>
      </c>
      <c r="F3693" t="str">
        <f>VLOOKUP(A3693,StoreLookup,2,FALSE)</f>
        <v>Store#2</v>
      </c>
      <c r="G3693">
        <f>INDEX(CalLookUpTable,MATCH($B3693,CalLookUpRow,0),MATCH(G$1,CalLookUpColumn,0))</f>
        <v>2020</v>
      </c>
      <c r="H3693">
        <f>INDEX(CalLookUpTable,MATCH($B3693,CalLookUpRow,0),MATCH(H$1,CalLookUpColumn,0))</f>
        <v>3</v>
      </c>
      <c r="I3693">
        <f>INDEX(CalLookUpTable,MATCH($B3693,CalLookUpRow,0),MATCH(I$1,CalLookUpColumn,0))</f>
        <v>4</v>
      </c>
    </row>
    <row r="3694" spans="1:9" x14ac:dyDescent="0.25">
      <c r="A3694" s="7">
        <v>2</v>
      </c>
      <c r="B3694" s="8">
        <v>43907</v>
      </c>
      <c r="C3694" s="9" t="s">
        <v>4</v>
      </c>
      <c r="D3694" s="10">
        <v>-4.6899999999999995</v>
      </c>
      <c r="E3694" s="10">
        <v>1917.7549999999999</v>
      </c>
      <c r="F3694" t="str">
        <f>VLOOKUP(A3694,StoreLookup,2,FALSE)</f>
        <v>Store#2</v>
      </c>
      <c r="G3694">
        <f>INDEX(CalLookUpTable,MATCH($B3694,CalLookUpRow,0),MATCH(G$1,CalLookUpColumn,0))</f>
        <v>2020</v>
      </c>
      <c r="H3694">
        <f>INDEX(CalLookUpTable,MATCH($B3694,CalLookUpRow,0),MATCH(H$1,CalLookUpColumn,0))</f>
        <v>3</v>
      </c>
      <c r="I3694">
        <f>INDEX(CalLookUpTable,MATCH($B3694,CalLookUpRow,0),MATCH(I$1,CalLookUpColumn,0))</f>
        <v>4</v>
      </c>
    </row>
    <row r="3695" spans="1:9" x14ac:dyDescent="0.25">
      <c r="A3695" s="7">
        <v>2</v>
      </c>
      <c r="B3695" s="8">
        <v>43907</v>
      </c>
      <c r="C3695" s="9" t="s">
        <v>6</v>
      </c>
      <c r="D3695" s="10">
        <v>617.8549999999999</v>
      </c>
      <c r="E3695" s="10">
        <v>656.10299999999995</v>
      </c>
      <c r="F3695" t="str">
        <f>VLOOKUP(A3695,StoreLookup,2,FALSE)</f>
        <v>Store#2</v>
      </c>
      <c r="G3695">
        <f>INDEX(CalLookUpTable,MATCH($B3695,CalLookUpRow,0),MATCH(G$1,CalLookUpColumn,0))</f>
        <v>2020</v>
      </c>
      <c r="H3695">
        <f>INDEX(CalLookUpTable,MATCH($B3695,CalLookUpRow,0),MATCH(H$1,CalLookUpColumn,0))</f>
        <v>3</v>
      </c>
      <c r="I3695">
        <f>INDEX(CalLookUpTable,MATCH($B3695,CalLookUpRow,0),MATCH(I$1,CalLookUpColumn,0))</f>
        <v>4</v>
      </c>
    </row>
    <row r="3696" spans="1:9" x14ac:dyDescent="0.25">
      <c r="A3696" s="7">
        <v>2</v>
      </c>
      <c r="B3696" s="8">
        <v>43907</v>
      </c>
      <c r="C3696" s="9" t="s">
        <v>3</v>
      </c>
      <c r="D3696" s="10">
        <v>0</v>
      </c>
      <c r="E3696" s="10">
        <v>31.597999999999999</v>
      </c>
      <c r="F3696" t="str">
        <f>VLOOKUP(A3696,StoreLookup,2,FALSE)</f>
        <v>Store#2</v>
      </c>
      <c r="G3696">
        <f>INDEX(CalLookUpTable,MATCH($B3696,CalLookUpRow,0),MATCH(G$1,CalLookUpColumn,0))</f>
        <v>2020</v>
      </c>
      <c r="H3696">
        <f>INDEX(CalLookUpTable,MATCH($B3696,CalLookUpRow,0),MATCH(H$1,CalLookUpColumn,0))</f>
        <v>3</v>
      </c>
      <c r="I3696">
        <f>INDEX(CalLookUpTable,MATCH($B3696,CalLookUpRow,0),MATCH(I$1,CalLookUpColumn,0))</f>
        <v>4</v>
      </c>
    </row>
    <row r="3697" spans="1:9" x14ac:dyDescent="0.25">
      <c r="A3697" s="7">
        <v>2</v>
      </c>
      <c r="B3697" s="8">
        <v>43907</v>
      </c>
      <c r="C3697" s="9" t="s">
        <v>5</v>
      </c>
      <c r="D3697" s="10">
        <v>1831.1999999999998</v>
      </c>
      <c r="E3697" s="10">
        <v>1032.08</v>
      </c>
      <c r="F3697" t="str">
        <f>VLOOKUP(A3697,StoreLookup,2,FALSE)</f>
        <v>Store#2</v>
      </c>
      <c r="G3697">
        <f>INDEX(CalLookUpTable,MATCH($B3697,CalLookUpRow,0),MATCH(G$1,CalLookUpColumn,0))</f>
        <v>2020</v>
      </c>
      <c r="H3697">
        <f>INDEX(CalLookUpTable,MATCH($B3697,CalLookUpRow,0),MATCH(H$1,CalLookUpColumn,0))</f>
        <v>3</v>
      </c>
      <c r="I3697">
        <f>INDEX(CalLookUpTable,MATCH($B3697,CalLookUpRow,0),MATCH(I$1,CalLookUpColumn,0))</f>
        <v>4</v>
      </c>
    </row>
    <row r="3698" spans="1:9" x14ac:dyDescent="0.25">
      <c r="A3698" s="7">
        <v>2</v>
      </c>
      <c r="B3698" s="8">
        <v>43908</v>
      </c>
      <c r="C3698" s="9" t="s">
        <v>6</v>
      </c>
      <c r="D3698" s="10">
        <v>878.15699999999993</v>
      </c>
      <c r="E3698" s="10">
        <v>263.83</v>
      </c>
      <c r="F3698" t="str">
        <f>VLOOKUP(A3698,StoreLookup,2,FALSE)</f>
        <v>Store#2</v>
      </c>
      <c r="G3698">
        <f>INDEX(CalLookUpTable,MATCH($B3698,CalLookUpRow,0),MATCH(G$1,CalLookUpColumn,0))</f>
        <v>2020</v>
      </c>
      <c r="H3698">
        <f>INDEX(CalLookUpTable,MATCH($B3698,CalLookUpRow,0),MATCH(H$1,CalLookUpColumn,0))</f>
        <v>3</v>
      </c>
      <c r="I3698">
        <f>INDEX(CalLookUpTable,MATCH($B3698,CalLookUpRow,0),MATCH(I$1,CalLookUpColumn,0))</f>
        <v>4</v>
      </c>
    </row>
    <row r="3699" spans="1:9" x14ac:dyDescent="0.25">
      <c r="A3699" s="7">
        <v>2</v>
      </c>
      <c r="B3699" s="8">
        <v>43908</v>
      </c>
      <c r="C3699" s="9" t="s">
        <v>3</v>
      </c>
      <c r="D3699" s="10">
        <v>249.22099999999998</v>
      </c>
      <c r="E3699" s="10">
        <v>211.56100000000001</v>
      </c>
      <c r="F3699" t="str">
        <f>VLOOKUP(A3699,StoreLookup,2,FALSE)</f>
        <v>Store#2</v>
      </c>
      <c r="G3699">
        <f>INDEX(CalLookUpTable,MATCH($B3699,CalLookUpRow,0),MATCH(G$1,CalLookUpColumn,0))</f>
        <v>2020</v>
      </c>
      <c r="H3699">
        <f>INDEX(CalLookUpTable,MATCH($B3699,CalLookUpRow,0),MATCH(H$1,CalLookUpColumn,0))</f>
        <v>3</v>
      </c>
      <c r="I3699">
        <f>INDEX(CalLookUpTable,MATCH($B3699,CalLookUpRow,0),MATCH(I$1,CalLookUpColumn,0))</f>
        <v>4</v>
      </c>
    </row>
    <row r="3700" spans="1:9" x14ac:dyDescent="0.25">
      <c r="A3700" s="7">
        <v>2</v>
      </c>
      <c r="B3700" s="8">
        <v>43908</v>
      </c>
      <c r="C3700" s="9" t="s">
        <v>4</v>
      </c>
      <c r="D3700" s="10">
        <v>-6.9929999999999994</v>
      </c>
      <c r="E3700" s="10">
        <v>1473.7380000000001</v>
      </c>
      <c r="F3700" t="str">
        <f>VLOOKUP(A3700,StoreLookup,2,FALSE)</f>
        <v>Store#2</v>
      </c>
      <c r="G3700">
        <f>INDEX(CalLookUpTable,MATCH($B3700,CalLookUpRow,0),MATCH(G$1,CalLookUpColumn,0))</f>
        <v>2020</v>
      </c>
      <c r="H3700">
        <f>INDEX(CalLookUpTable,MATCH($B3700,CalLookUpRow,0),MATCH(H$1,CalLookUpColumn,0))</f>
        <v>3</v>
      </c>
      <c r="I3700">
        <f>INDEX(CalLookUpTable,MATCH($B3700,CalLookUpRow,0),MATCH(I$1,CalLookUpColumn,0))</f>
        <v>4</v>
      </c>
    </row>
    <row r="3701" spans="1:9" x14ac:dyDescent="0.25">
      <c r="A3701" s="7">
        <v>2</v>
      </c>
      <c r="B3701" s="8">
        <v>43908</v>
      </c>
      <c r="C3701" s="9" t="s">
        <v>5</v>
      </c>
      <c r="D3701" s="10">
        <v>1561.21</v>
      </c>
      <c r="E3701" s="10">
        <v>964.48799999999983</v>
      </c>
      <c r="F3701" t="str">
        <f>VLOOKUP(A3701,StoreLookup,2,FALSE)</f>
        <v>Store#2</v>
      </c>
      <c r="G3701">
        <f>INDEX(CalLookUpTable,MATCH($B3701,CalLookUpRow,0),MATCH(G$1,CalLookUpColumn,0))</f>
        <v>2020</v>
      </c>
      <c r="H3701">
        <f>INDEX(CalLookUpTable,MATCH($B3701,CalLookUpRow,0),MATCH(H$1,CalLookUpColumn,0))</f>
        <v>3</v>
      </c>
      <c r="I3701">
        <f>INDEX(CalLookUpTable,MATCH($B3701,CalLookUpRow,0),MATCH(I$1,CalLookUpColumn,0))</f>
        <v>4</v>
      </c>
    </row>
    <row r="3702" spans="1:9" x14ac:dyDescent="0.25">
      <c r="A3702" s="7">
        <v>2</v>
      </c>
      <c r="B3702" s="8">
        <v>43909</v>
      </c>
      <c r="C3702" s="9" t="s">
        <v>4</v>
      </c>
      <c r="D3702" s="10">
        <v>14.686</v>
      </c>
      <c r="E3702" s="10">
        <v>1644.16</v>
      </c>
      <c r="F3702" t="str">
        <f>VLOOKUP(A3702,StoreLookup,2,FALSE)</f>
        <v>Store#2</v>
      </c>
      <c r="G3702">
        <f>INDEX(CalLookUpTable,MATCH($B3702,CalLookUpRow,0),MATCH(G$1,CalLookUpColumn,0))</f>
        <v>2020</v>
      </c>
      <c r="H3702">
        <f>INDEX(CalLookUpTable,MATCH($B3702,CalLookUpRow,0),MATCH(H$1,CalLookUpColumn,0))</f>
        <v>3</v>
      </c>
      <c r="I3702">
        <f>INDEX(CalLookUpTable,MATCH($B3702,CalLookUpRow,0),MATCH(I$1,CalLookUpColumn,0))</f>
        <v>4</v>
      </c>
    </row>
    <row r="3703" spans="1:9" x14ac:dyDescent="0.25">
      <c r="A3703" s="7">
        <v>2</v>
      </c>
      <c r="B3703" s="8">
        <v>43909</v>
      </c>
      <c r="C3703" s="9" t="s">
        <v>3</v>
      </c>
      <c r="D3703" s="10">
        <v>33.628</v>
      </c>
      <c r="E3703" s="10">
        <v>0</v>
      </c>
      <c r="F3703" t="str">
        <f>VLOOKUP(A3703,StoreLookup,2,FALSE)</f>
        <v>Store#2</v>
      </c>
      <c r="G3703">
        <f>INDEX(CalLookUpTable,MATCH($B3703,CalLookUpRow,0),MATCH(G$1,CalLookUpColumn,0))</f>
        <v>2020</v>
      </c>
      <c r="H3703">
        <f>INDEX(CalLookUpTable,MATCH($B3703,CalLookUpRow,0),MATCH(H$1,CalLookUpColumn,0))</f>
        <v>3</v>
      </c>
      <c r="I3703">
        <f>INDEX(CalLookUpTable,MATCH($B3703,CalLookUpRow,0),MATCH(I$1,CalLookUpColumn,0))</f>
        <v>4</v>
      </c>
    </row>
    <row r="3704" spans="1:9" x14ac:dyDescent="0.25">
      <c r="A3704" s="7">
        <v>2</v>
      </c>
      <c r="B3704" s="8">
        <v>43909</v>
      </c>
      <c r="C3704" s="9" t="s">
        <v>6</v>
      </c>
      <c r="D3704" s="10">
        <v>1123.2619999999999</v>
      </c>
      <c r="E3704" s="10">
        <v>417.46599999999995</v>
      </c>
      <c r="F3704" t="str">
        <f>VLOOKUP(A3704,StoreLookup,2,FALSE)</f>
        <v>Store#2</v>
      </c>
      <c r="G3704">
        <f>INDEX(CalLookUpTable,MATCH($B3704,CalLookUpRow,0),MATCH(G$1,CalLookUpColumn,0))</f>
        <v>2020</v>
      </c>
      <c r="H3704">
        <f>INDEX(CalLookUpTable,MATCH($B3704,CalLookUpRow,0),MATCH(H$1,CalLookUpColumn,0))</f>
        <v>3</v>
      </c>
      <c r="I3704">
        <f>INDEX(CalLookUpTable,MATCH($B3704,CalLookUpRow,0),MATCH(I$1,CalLookUpColumn,0))</f>
        <v>4</v>
      </c>
    </row>
    <row r="3705" spans="1:9" x14ac:dyDescent="0.25">
      <c r="A3705" s="7">
        <v>2</v>
      </c>
      <c r="B3705" s="8">
        <v>43909</v>
      </c>
      <c r="C3705" s="9" t="s">
        <v>5</v>
      </c>
      <c r="D3705" s="10">
        <v>1903.1949999999997</v>
      </c>
      <c r="E3705" s="10">
        <v>1045.3589999999999</v>
      </c>
      <c r="F3705" t="str">
        <f>VLOOKUP(A3705,StoreLookup,2,FALSE)</f>
        <v>Store#2</v>
      </c>
      <c r="G3705">
        <f>INDEX(CalLookUpTable,MATCH($B3705,CalLookUpRow,0),MATCH(G$1,CalLookUpColumn,0))</f>
        <v>2020</v>
      </c>
      <c r="H3705">
        <f>INDEX(CalLookUpTable,MATCH($B3705,CalLookUpRow,0),MATCH(H$1,CalLookUpColumn,0))</f>
        <v>3</v>
      </c>
      <c r="I3705">
        <f>INDEX(CalLookUpTable,MATCH($B3705,CalLookUpRow,0),MATCH(I$1,CalLookUpColumn,0))</f>
        <v>4</v>
      </c>
    </row>
    <row r="3706" spans="1:9" x14ac:dyDescent="0.25">
      <c r="A3706" s="7">
        <v>2</v>
      </c>
      <c r="B3706" s="8">
        <v>43910</v>
      </c>
      <c r="C3706" s="9" t="s">
        <v>6</v>
      </c>
      <c r="D3706" s="10">
        <v>1019.06</v>
      </c>
      <c r="E3706" s="10">
        <v>502.60699999999997</v>
      </c>
      <c r="F3706" t="str">
        <f>VLOOKUP(A3706,StoreLookup,2,FALSE)</f>
        <v>Store#2</v>
      </c>
      <c r="G3706">
        <f>INDEX(CalLookUpTable,MATCH($B3706,CalLookUpRow,0),MATCH(G$1,CalLookUpColumn,0))</f>
        <v>2020</v>
      </c>
      <c r="H3706">
        <f>INDEX(CalLookUpTable,MATCH($B3706,CalLookUpRow,0),MATCH(H$1,CalLookUpColumn,0))</f>
        <v>3</v>
      </c>
      <c r="I3706">
        <f>INDEX(CalLookUpTable,MATCH($B3706,CalLookUpRow,0),MATCH(I$1,CalLookUpColumn,0))</f>
        <v>4</v>
      </c>
    </row>
    <row r="3707" spans="1:9" x14ac:dyDescent="0.25">
      <c r="A3707" s="7">
        <v>2</v>
      </c>
      <c r="B3707" s="8">
        <v>43910</v>
      </c>
      <c r="C3707" s="9" t="s">
        <v>4</v>
      </c>
      <c r="D3707" s="10">
        <v>0.7</v>
      </c>
      <c r="E3707" s="10">
        <v>2041.3539999999998</v>
      </c>
      <c r="F3707" t="str">
        <f>VLOOKUP(A3707,StoreLookup,2,FALSE)</f>
        <v>Store#2</v>
      </c>
      <c r="G3707">
        <f>INDEX(CalLookUpTable,MATCH($B3707,CalLookUpRow,0),MATCH(G$1,CalLookUpColumn,0))</f>
        <v>2020</v>
      </c>
      <c r="H3707">
        <f>INDEX(CalLookUpTable,MATCH($B3707,CalLookUpRow,0),MATCH(H$1,CalLookUpColumn,0))</f>
        <v>3</v>
      </c>
      <c r="I3707">
        <f>INDEX(CalLookUpTable,MATCH($B3707,CalLookUpRow,0),MATCH(I$1,CalLookUpColumn,0))</f>
        <v>4</v>
      </c>
    </row>
    <row r="3708" spans="1:9" x14ac:dyDescent="0.25">
      <c r="A3708" s="7">
        <v>2</v>
      </c>
      <c r="B3708" s="8">
        <v>43910</v>
      </c>
      <c r="C3708" s="9" t="s">
        <v>3</v>
      </c>
      <c r="D3708" s="10">
        <v>0</v>
      </c>
      <c r="E3708" s="10">
        <v>0</v>
      </c>
      <c r="F3708" t="str">
        <f>VLOOKUP(A3708,StoreLookup,2,FALSE)</f>
        <v>Store#2</v>
      </c>
      <c r="G3708">
        <f>INDEX(CalLookUpTable,MATCH($B3708,CalLookUpRow,0),MATCH(G$1,CalLookUpColumn,0))</f>
        <v>2020</v>
      </c>
      <c r="H3708">
        <f>INDEX(CalLookUpTable,MATCH($B3708,CalLookUpRow,0),MATCH(H$1,CalLookUpColumn,0))</f>
        <v>3</v>
      </c>
      <c r="I3708">
        <f>INDEX(CalLookUpTable,MATCH($B3708,CalLookUpRow,0),MATCH(I$1,CalLookUpColumn,0))</f>
        <v>4</v>
      </c>
    </row>
    <row r="3709" spans="1:9" x14ac:dyDescent="0.25">
      <c r="A3709" s="7">
        <v>2</v>
      </c>
      <c r="B3709" s="8">
        <v>43910</v>
      </c>
      <c r="C3709" s="9" t="s">
        <v>5</v>
      </c>
      <c r="D3709" s="10">
        <v>2866.1219999999998</v>
      </c>
      <c r="E3709" s="10">
        <v>1283.6669999999999</v>
      </c>
      <c r="F3709" t="str">
        <f>VLOOKUP(A3709,StoreLookup,2,FALSE)</f>
        <v>Store#2</v>
      </c>
      <c r="G3709">
        <f>INDEX(CalLookUpTable,MATCH($B3709,CalLookUpRow,0),MATCH(G$1,CalLookUpColumn,0))</f>
        <v>2020</v>
      </c>
      <c r="H3709">
        <f>INDEX(CalLookUpTable,MATCH($B3709,CalLookUpRow,0),MATCH(H$1,CalLookUpColumn,0))</f>
        <v>3</v>
      </c>
      <c r="I3709">
        <f>INDEX(CalLookUpTable,MATCH($B3709,CalLookUpRow,0),MATCH(I$1,CalLookUpColumn,0))</f>
        <v>4</v>
      </c>
    </row>
    <row r="3710" spans="1:9" x14ac:dyDescent="0.25">
      <c r="A3710" s="7">
        <v>2</v>
      </c>
      <c r="B3710" s="8">
        <v>43911</v>
      </c>
      <c r="C3710" s="9" t="s">
        <v>6</v>
      </c>
      <c r="D3710" s="10">
        <v>1485.4839999999999</v>
      </c>
      <c r="E3710" s="10">
        <v>357.82599999999996</v>
      </c>
      <c r="F3710" t="str">
        <f>VLOOKUP(A3710,StoreLookup,2,FALSE)</f>
        <v>Store#2</v>
      </c>
      <c r="G3710">
        <f>INDEX(CalLookUpTable,MATCH($B3710,CalLookUpRow,0),MATCH(G$1,CalLookUpColumn,0))</f>
        <v>2020</v>
      </c>
      <c r="H3710">
        <f>INDEX(CalLookUpTable,MATCH($B3710,CalLookUpRow,0),MATCH(H$1,CalLookUpColumn,0))</f>
        <v>3</v>
      </c>
      <c r="I3710">
        <f>INDEX(CalLookUpTable,MATCH($B3710,CalLookUpRow,0),MATCH(I$1,CalLookUpColumn,0))</f>
        <v>4</v>
      </c>
    </row>
    <row r="3711" spans="1:9" x14ac:dyDescent="0.25">
      <c r="A3711" s="7">
        <v>2</v>
      </c>
      <c r="B3711" s="8">
        <v>43911</v>
      </c>
      <c r="C3711" s="9" t="s">
        <v>4</v>
      </c>
      <c r="D3711" s="10">
        <v>7.2729999999999997</v>
      </c>
      <c r="E3711" s="10">
        <v>2539.1169999999997</v>
      </c>
      <c r="F3711" t="str">
        <f>VLOOKUP(A3711,StoreLookup,2,FALSE)</f>
        <v>Store#2</v>
      </c>
      <c r="G3711">
        <f>INDEX(CalLookUpTable,MATCH($B3711,CalLookUpRow,0),MATCH(G$1,CalLookUpColumn,0))</f>
        <v>2020</v>
      </c>
      <c r="H3711">
        <f>INDEX(CalLookUpTable,MATCH($B3711,CalLookUpRow,0),MATCH(H$1,CalLookUpColumn,0))</f>
        <v>3</v>
      </c>
      <c r="I3711">
        <f>INDEX(CalLookUpTable,MATCH($B3711,CalLookUpRow,0),MATCH(I$1,CalLookUpColumn,0))</f>
        <v>4</v>
      </c>
    </row>
    <row r="3712" spans="1:9" x14ac:dyDescent="0.25">
      <c r="A3712" s="7">
        <v>2</v>
      </c>
      <c r="B3712" s="8">
        <v>43911</v>
      </c>
      <c r="C3712" s="9" t="s">
        <v>3</v>
      </c>
      <c r="D3712" s="10">
        <v>0</v>
      </c>
      <c r="E3712" s="10">
        <v>0</v>
      </c>
      <c r="F3712" t="str">
        <f>VLOOKUP(A3712,StoreLookup,2,FALSE)</f>
        <v>Store#2</v>
      </c>
      <c r="G3712">
        <f>INDEX(CalLookUpTable,MATCH($B3712,CalLookUpRow,0),MATCH(G$1,CalLookUpColumn,0))</f>
        <v>2020</v>
      </c>
      <c r="H3712">
        <f>INDEX(CalLookUpTable,MATCH($B3712,CalLookUpRow,0),MATCH(H$1,CalLookUpColumn,0))</f>
        <v>3</v>
      </c>
      <c r="I3712">
        <f>INDEX(CalLookUpTable,MATCH($B3712,CalLookUpRow,0),MATCH(I$1,CalLookUpColumn,0))</f>
        <v>4</v>
      </c>
    </row>
    <row r="3713" spans="1:9" x14ac:dyDescent="0.25">
      <c r="A3713" s="7">
        <v>2</v>
      </c>
      <c r="B3713" s="8">
        <v>43911</v>
      </c>
      <c r="C3713" s="9" t="s">
        <v>5</v>
      </c>
      <c r="D3713" s="10">
        <v>2930.0879999999997</v>
      </c>
      <c r="E3713" s="10">
        <v>1138.424</v>
      </c>
      <c r="F3713" t="str">
        <f>VLOOKUP(A3713,StoreLookup,2,FALSE)</f>
        <v>Store#2</v>
      </c>
      <c r="G3713">
        <f>INDEX(CalLookUpTable,MATCH($B3713,CalLookUpRow,0),MATCH(G$1,CalLookUpColumn,0))</f>
        <v>2020</v>
      </c>
      <c r="H3713">
        <f>INDEX(CalLookUpTable,MATCH($B3713,CalLookUpRow,0),MATCH(H$1,CalLookUpColumn,0))</f>
        <v>3</v>
      </c>
      <c r="I3713">
        <f>INDEX(CalLookUpTable,MATCH($B3713,CalLookUpRow,0),MATCH(I$1,CalLookUpColumn,0))</f>
        <v>4</v>
      </c>
    </row>
    <row r="3714" spans="1:9" x14ac:dyDescent="0.25">
      <c r="A3714" s="7">
        <v>2</v>
      </c>
      <c r="B3714" s="8">
        <v>43912</v>
      </c>
      <c r="C3714" s="9" t="s">
        <v>6</v>
      </c>
      <c r="D3714" s="10">
        <v>787.38099999999986</v>
      </c>
      <c r="E3714" s="10">
        <v>282.01599999999996</v>
      </c>
      <c r="F3714" t="str">
        <f>VLOOKUP(A3714,StoreLookup,2,FALSE)</f>
        <v>Store#2</v>
      </c>
      <c r="G3714">
        <f>INDEX(CalLookUpTable,MATCH($B3714,CalLookUpRow,0),MATCH(G$1,CalLookUpColumn,0))</f>
        <v>2020</v>
      </c>
      <c r="H3714">
        <f>INDEX(CalLookUpTable,MATCH($B3714,CalLookUpRow,0),MATCH(H$1,CalLookUpColumn,0))</f>
        <v>3</v>
      </c>
      <c r="I3714">
        <f>INDEX(CalLookUpTable,MATCH($B3714,CalLookUpRow,0),MATCH(I$1,CalLookUpColumn,0))</f>
        <v>4</v>
      </c>
    </row>
    <row r="3715" spans="1:9" x14ac:dyDescent="0.25">
      <c r="A3715" s="7">
        <v>2</v>
      </c>
      <c r="B3715" s="8">
        <v>43912</v>
      </c>
      <c r="C3715" s="9" t="s">
        <v>3</v>
      </c>
      <c r="D3715" s="10">
        <v>0</v>
      </c>
      <c r="E3715" s="10">
        <v>0</v>
      </c>
      <c r="F3715" t="str">
        <f>VLOOKUP(A3715,StoreLookup,2,FALSE)</f>
        <v>Store#2</v>
      </c>
      <c r="G3715">
        <f>INDEX(CalLookUpTable,MATCH($B3715,CalLookUpRow,0),MATCH(G$1,CalLookUpColumn,0))</f>
        <v>2020</v>
      </c>
      <c r="H3715">
        <f>INDEX(CalLookUpTable,MATCH($B3715,CalLookUpRow,0),MATCH(H$1,CalLookUpColumn,0))</f>
        <v>3</v>
      </c>
      <c r="I3715">
        <f>INDEX(CalLookUpTable,MATCH($B3715,CalLookUpRow,0),MATCH(I$1,CalLookUpColumn,0))</f>
        <v>4</v>
      </c>
    </row>
    <row r="3716" spans="1:9" x14ac:dyDescent="0.25">
      <c r="A3716" s="7">
        <v>2</v>
      </c>
      <c r="B3716" s="8">
        <v>43912</v>
      </c>
      <c r="C3716" s="9" t="s">
        <v>4</v>
      </c>
      <c r="D3716" s="10">
        <v>13.838999999999999</v>
      </c>
      <c r="E3716" s="10">
        <v>1336.6849999999999</v>
      </c>
      <c r="F3716" t="str">
        <f>VLOOKUP(A3716,StoreLookup,2,FALSE)</f>
        <v>Store#2</v>
      </c>
      <c r="G3716">
        <f>INDEX(CalLookUpTable,MATCH($B3716,CalLookUpRow,0),MATCH(G$1,CalLookUpColumn,0))</f>
        <v>2020</v>
      </c>
      <c r="H3716">
        <f>INDEX(CalLookUpTable,MATCH($B3716,CalLookUpRow,0),MATCH(H$1,CalLookUpColumn,0))</f>
        <v>3</v>
      </c>
      <c r="I3716">
        <f>INDEX(CalLookUpTable,MATCH($B3716,CalLookUpRow,0),MATCH(I$1,CalLookUpColumn,0))</f>
        <v>4</v>
      </c>
    </row>
    <row r="3717" spans="1:9" x14ac:dyDescent="0.25">
      <c r="A3717" s="7">
        <v>2</v>
      </c>
      <c r="B3717" s="8">
        <v>43912</v>
      </c>
      <c r="C3717" s="9" t="s">
        <v>5</v>
      </c>
      <c r="D3717" s="10">
        <v>1565.4309999999998</v>
      </c>
      <c r="E3717" s="10">
        <v>588.67200000000003</v>
      </c>
      <c r="F3717" t="str">
        <f>VLOOKUP(A3717,StoreLookup,2,FALSE)</f>
        <v>Store#2</v>
      </c>
      <c r="G3717">
        <f>INDEX(CalLookUpTable,MATCH($B3717,CalLookUpRow,0),MATCH(G$1,CalLookUpColumn,0))</f>
        <v>2020</v>
      </c>
      <c r="H3717">
        <f>INDEX(CalLookUpTable,MATCH($B3717,CalLookUpRow,0),MATCH(H$1,CalLookUpColumn,0))</f>
        <v>3</v>
      </c>
      <c r="I3717">
        <f>INDEX(CalLookUpTable,MATCH($B3717,CalLookUpRow,0),MATCH(I$1,CalLookUpColumn,0))</f>
        <v>4</v>
      </c>
    </row>
    <row r="3718" spans="1:9" x14ac:dyDescent="0.25">
      <c r="A3718" s="7">
        <v>2</v>
      </c>
      <c r="B3718" s="8">
        <v>43913</v>
      </c>
      <c r="C3718" s="9" t="s">
        <v>5</v>
      </c>
      <c r="D3718" s="10">
        <v>2048.9139999999998</v>
      </c>
      <c r="E3718" s="10">
        <v>997.43700000000001</v>
      </c>
      <c r="F3718" t="str">
        <f>VLOOKUP(A3718,StoreLookup,2,FALSE)</f>
        <v>Store#2</v>
      </c>
      <c r="G3718">
        <f>INDEX(CalLookUpTable,MATCH($B3718,CalLookUpRow,0),MATCH(G$1,CalLookUpColumn,0))</f>
        <v>2020</v>
      </c>
      <c r="H3718">
        <f>INDEX(CalLookUpTable,MATCH($B3718,CalLookUpRow,0),MATCH(H$1,CalLookUpColumn,0))</f>
        <v>3</v>
      </c>
      <c r="I3718">
        <f>INDEX(CalLookUpTable,MATCH($B3718,CalLookUpRow,0),MATCH(I$1,CalLookUpColumn,0))</f>
        <v>5</v>
      </c>
    </row>
    <row r="3719" spans="1:9" x14ac:dyDescent="0.25">
      <c r="A3719" s="7">
        <v>2</v>
      </c>
      <c r="B3719" s="8">
        <v>43913</v>
      </c>
      <c r="C3719" s="9" t="s">
        <v>3</v>
      </c>
      <c r="D3719" s="10">
        <v>0</v>
      </c>
      <c r="E3719" s="10">
        <v>0</v>
      </c>
      <c r="F3719" t="str">
        <f>VLOOKUP(A3719,StoreLookup,2,FALSE)</f>
        <v>Store#2</v>
      </c>
      <c r="G3719">
        <f>INDEX(CalLookUpTable,MATCH($B3719,CalLookUpRow,0),MATCH(G$1,CalLookUpColumn,0))</f>
        <v>2020</v>
      </c>
      <c r="H3719">
        <f>INDEX(CalLookUpTable,MATCH($B3719,CalLookUpRow,0),MATCH(H$1,CalLookUpColumn,0))</f>
        <v>3</v>
      </c>
      <c r="I3719">
        <f>INDEX(CalLookUpTable,MATCH($B3719,CalLookUpRow,0),MATCH(I$1,CalLookUpColumn,0))</f>
        <v>5</v>
      </c>
    </row>
    <row r="3720" spans="1:9" x14ac:dyDescent="0.25">
      <c r="A3720" s="7">
        <v>2</v>
      </c>
      <c r="B3720" s="8">
        <v>43913</v>
      </c>
      <c r="C3720" s="9" t="s">
        <v>6</v>
      </c>
      <c r="D3720" s="10">
        <v>603.40699999999993</v>
      </c>
      <c r="E3720" s="10">
        <v>228.809</v>
      </c>
      <c r="F3720" t="str">
        <f>VLOOKUP(A3720,StoreLookup,2,FALSE)</f>
        <v>Store#2</v>
      </c>
      <c r="G3720">
        <f>INDEX(CalLookUpTable,MATCH($B3720,CalLookUpRow,0),MATCH(G$1,CalLookUpColumn,0))</f>
        <v>2020</v>
      </c>
      <c r="H3720">
        <f>INDEX(CalLookUpTable,MATCH($B3720,CalLookUpRow,0),MATCH(H$1,CalLookUpColumn,0))</f>
        <v>3</v>
      </c>
      <c r="I3720">
        <f>INDEX(CalLookUpTable,MATCH($B3720,CalLookUpRow,0),MATCH(I$1,CalLookUpColumn,0))</f>
        <v>5</v>
      </c>
    </row>
    <row r="3721" spans="1:9" x14ac:dyDescent="0.25">
      <c r="A3721" s="7">
        <v>2</v>
      </c>
      <c r="B3721" s="8">
        <v>43913</v>
      </c>
      <c r="C3721" s="9" t="s">
        <v>4</v>
      </c>
      <c r="D3721" s="10">
        <v>129.40899999999999</v>
      </c>
      <c r="E3721" s="10">
        <v>1544.48</v>
      </c>
      <c r="F3721" t="str">
        <f>VLOOKUP(A3721,StoreLookup,2,FALSE)</f>
        <v>Store#2</v>
      </c>
      <c r="G3721">
        <f>INDEX(CalLookUpTable,MATCH($B3721,CalLookUpRow,0),MATCH(G$1,CalLookUpColumn,0))</f>
        <v>2020</v>
      </c>
      <c r="H3721">
        <f>INDEX(CalLookUpTable,MATCH($B3721,CalLookUpRow,0),MATCH(H$1,CalLookUpColumn,0))</f>
        <v>3</v>
      </c>
      <c r="I3721">
        <f>INDEX(CalLookUpTable,MATCH($B3721,CalLookUpRow,0),MATCH(I$1,CalLookUpColumn,0))</f>
        <v>5</v>
      </c>
    </row>
    <row r="3722" spans="1:9" x14ac:dyDescent="0.25">
      <c r="A3722" s="7">
        <v>2</v>
      </c>
      <c r="B3722" s="8">
        <v>43914</v>
      </c>
      <c r="C3722" s="9" t="s">
        <v>4</v>
      </c>
      <c r="D3722" s="10">
        <v>48.061999999999998</v>
      </c>
      <c r="E3722" s="10">
        <v>1801.3799999999999</v>
      </c>
      <c r="F3722" t="str">
        <f>VLOOKUP(A3722,StoreLookup,2,FALSE)</f>
        <v>Store#2</v>
      </c>
      <c r="G3722">
        <f>INDEX(CalLookUpTable,MATCH($B3722,CalLookUpRow,0),MATCH(G$1,CalLookUpColumn,0))</f>
        <v>2020</v>
      </c>
      <c r="H3722">
        <f>INDEX(CalLookUpTable,MATCH($B3722,CalLookUpRow,0),MATCH(H$1,CalLookUpColumn,0))</f>
        <v>3</v>
      </c>
      <c r="I3722">
        <f>INDEX(CalLookUpTable,MATCH($B3722,CalLookUpRow,0),MATCH(I$1,CalLookUpColumn,0))</f>
        <v>5</v>
      </c>
    </row>
    <row r="3723" spans="1:9" x14ac:dyDescent="0.25">
      <c r="A3723" s="7">
        <v>2</v>
      </c>
      <c r="B3723" s="8">
        <v>43914</v>
      </c>
      <c r="C3723" s="9" t="s">
        <v>6</v>
      </c>
      <c r="D3723" s="10">
        <v>1091.566</v>
      </c>
      <c r="E3723" s="10">
        <v>226.91200000000001</v>
      </c>
      <c r="F3723" t="str">
        <f>VLOOKUP(A3723,StoreLookup,2,FALSE)</f>
        <v>Store#2</v>
      </c>
      <c r="G3723">
        <f>INDEX(CalLookUpTable,MATCH($B3723,CalLookUpRow,0),MATCH(G$1,CalLookUpColumn,0))</f>
        <v>2020</v>
      </c>
      <c r="H3723">
        <f>INDEX(CalLookUpTable,MATCH($B3723,CalLookUpRow,0),MATCH(H$1,CalLookUpColumn,0))</f>
        <v>3</v>
      </c>
      <c r="I3723">
        <f>INDEX(CalLookUpTable,MATCH($B3723,CalLookUpRow,0),MATCH(I$1,CalLookUpColumn,0))</f>
        <v>5</v>
      </c>
    </row>
    <row r="3724" spans="1:9" x14ac:dyDescent="0.25">
      <c r="A3724" s="7">
        <v>2</v>
      </c>
      <c r="B3724" s="8">
        <v>43914</v>
      </c>
      <c r="C3724" s="9" t="s">
        <v>3</v>
      </c>
      <c r="D3724" s="10">
        <v>0</v>
      </c>
      <c r="E3724" s="10">
        <v>0</v>
      </c>
      <c r="F3724" t="str">
        <f>VLOOKUP(A3724,StoreLookup,2,FALSE)</f>
        <v>Store#2</v>
      </c>
      <c r="G3724">
        <f>INDEX(CalLookUpTable,MATCH($B3724,CalLookUpRow,0),MATCH(G$1,CalLookUpColumn,0))</f>
        <v>2020</v>
      </c>
      <c r="H3724">
        <f>INDEX(CalLookUpTable,MATCH($B3724,CalLookUpRow,0),MATCH(H$1,CalLookUpColumn,0))</f>
        <v>3</v>
      </c>
      <c r="I3724">
        <f>INDEX(CalLookUpTable,MATCH($B3724,CalLookUpRow,0),MATCH(I$1,CalLookUpColumn,0))</f>
        <v>5</v>
      </c>
    </row>
    <row r="3725" spans="1:9" x14ac:dyDescent="0.25">
      <c r="A3725" s="7">
        <v>2</v>
      </c>
      <c r="B3725" s="8">
        <v>43914</v>
      </c>
      <c r="C3725" s="9" t="s">
        <v>5</v>
      </c>
      <c r="D3725" s="10">
        <v>2136.8690000000001</v>
      </c>
      <c r="E3725" s="10">
        <v>1052.9959999999999</v>
      </c>
      <c r="F3725" t="str">
        <f>VLOOKUP(A3725,StoreLookup,2,FALSE)</f>
        <v>Store#2</v>
      </c>
      <c r="G3725">
        <f>INDEX(CalLookUpTable,MATCH($B3725,CalLookUpRow,0),MATCH(G$1,CalLookUpColumn,0))</f>
        <v>2020</v>
      </c>
      <c r="H3725">
        <f>INDEX(CalLookUpTable,MATCH($B3725,CalLookUpRow,0),MATCH(H$1,CalLookUpColumn,0))</f>
        <v>3</v>
      </c>
      <c r="I3725">
        <f>INDEX(CalLookUpTable,MATCH($B3725,CalLookUpRow,0),MATCH(I$1,CalLookUpColumn,0))</f>
        <v>5</v>
      </c>
    </row>
    <row r="3726" spans="1:9" x14ac:dyDescent="0.25">
      <c r="A3726" s="7">
        <v>2</v>
      </c>
      <c r="B3726" s="8">
        <v>43915</v>
      </c>
      <c r="C3726" s="9" t="s">
        <v>4</v>
      </c>
      <c r="D3726" s="10">
        <v>-22.939</v>
      </c>
      <c r="E3726" s="10">
        <v>1728.5869999999998</v>
      </c>
      <c r="F3726" t="str">
        <f>VLOOKUP(A3726,StoreLookup,2,FALSE)</f>
        <v>Store#2</v>
      </c>
      <c r="G3726">
        <f>INDEX(CalLookUpTable,MATCH($B3726,CalLookUpRow,0),MATCH(G$1,CalLookUpColumn,0))</f>
        <v>2020</v>
      </c>
      <c r="H3726">
        <f>INDEX(CalLookUpTable,MATCH($B3726,CalLookUpRow,0),MATCH(H$1,CalLookUpColumn,0))</f>
        <v>3</v>
      </c>
      <c r="I3726">
        <f>INDEX(CalLookUpTable,MATCH($B3726,CalLookUpRow,0),MATCH(I$1,CalLookUpColumn,0))</f>
        <v>5</v>
      </c>
    </row>
    <row r="3727" spans="1:9" x14ac:dyDescent="0.25">
      <c r="A3727" s="7">
        <v>2</v>
      </c>
      <c r="B3727" s="8">
        <v>43915</v>
      </c>
      <c r="C3727" s="9" t="s">
        <v>5</v>
      </c>
      <c r="D3727" s="10">
        <v>1969.7719999999999</v>
      </c>
      <c r="E3727" s="10">
        <v>1019.83</v>
      </c>
      <c r="F3727" t="str">
        <f>VLOOKUP(A3727,StoreLookup,2,FALSE)</f>
        <v>Store#2</v>
      </c>
      <c r="G3727">
        <f>INDEX(CalLookUpTable,MATCH($B3727,CalLookUpRow,0),MATCH(G$1,CalLookUpColumn,0))</f>
        <v>2020</v>
      </c>
      <c r="H3727">
        <f>INDEX(CalLookUpTable,MATCH($B3727,CalLookUpRow,0),MATCH(H$1,CalLookUpColumn,0))</f>
        <v>3</v>
      </c>
      <c r="I3727">
        <f>INDEX(CalLookUpTable,MATCH($B3727,CalLookUpRow,0),MATCH(I$1,CalLookUpColumn,0))</f>
        <v>5</v>
      </c>
    </row>
    <row r="3728" spans="1:9" x14ac:dyDescent="0.25">
      <c r="A3728" s="7">
        <v>2</v>
      </c>
      <c r="B3728" s="8">
        <v>43915</v>
      </c>
      <c r="C3728" s="9" t="s">
        <v>6</v>
      </c>
      <c r="D3728" s="10">
        <v>887.70500000000004</v>
      </c>
      <c r="E3728" s="10">
        <v>379.95999999999992</v>
      </c>
      <c r="F3728" t="str">
        <f>VLOOKUP(A3728,StoreLookup,2,FALSE)</f>
        <v>Store#2</v>
      </c>
      <c r="G3728">
        <f>INDEX(CalLookUpTable,MATCH($B3728,CalLookUpRow,0),MATCH(G$1,CalLookUpColumn,0))</f>
        <v>2020</v>
      </c>
      <c r="H3728">
        <f>INDEX(CalLookUpTable,MATCH($B3728,CalLookUpRow,0),MATCH(H$1,CalLookUpColumn,0))</f>
        <v>3</v>
      </c>
      <c r="I3728">
        <f>INDEX(CalLookUpTable,MATCH($B3728,CalLookUpRow,0),MATCH(I$1,CalLookUpColumn,0))</f>
        <v>5</v>
      </c>
    </row>
    <row r="3729" spans="1:9" x14ac:dyDescent="0.25">
      <c r="A3729" s="7">
        <v>2</v>
      </c>
      <c r="B3729" s="8">
        <v>43915</v>
      </c>
      <c r="C3729" s="9" t="s">
        <v>3</v>
      </c>
      <c r="D3729" s="10">
        <v>0</v>
      </c>
      <c r="E3729" s="10">
        <v>319.536</v>
      </c>
      <c r="F3729" t="str">
        <f>VLOOKUP(A3729,StoreLookup,2,FALSE)</f>
        <v>Store#2</v>
      </c>
      <c r="G3729">
        <f>INDEX(CalLookUpTable,MATCH($B3729,CalLookUpRow,0),MATCH(G$1,CalLookUpColumn,0))</f>
        <v>2020</v>
      </c>
      <c r="H3729">
        <f>INDEX(CalLookUpTable,MATCH($B3729,CalLookUpRow,0),MATCH(H$1,CalLookUpColumn,0))</f>
        <v>3</v>
      </c>
      <c r="I3729">
        <f>INDEX(CalLookUpTable,MATCH($B3729,CalLookUpRow,0),MATCH(I$1,CalLookUpColumn,0))</f>
        <v>5</v>
      </c>
    </row>
    <row r="3730" spans="1:9" x14ac:dyDescent="0.25">
      <c r="A3730" s="7">
        <v>2</v>
      </c>
      <c r="B3730" s="8">
        <v>43916</v>
      </c>
      <c r="C3730" s="9" t="s">
        <v>4</v>
      </c>
      <c r="D3730" s="10">
        <v>36.686999999999998</v>
      </c>
      <c r="E3730" s="10">
        <v>2173.5070000000001</v>
      </c>
      <c r="F3730" t="str">
        <f>VLOOKUP(A3730,StoreLookup,2,FALSE)</f>
        <v>Store#2</v>
      </c>
      <c r="G3730">
        <f>INDEX(CalLookUpTable,MATCH($B3730,CalLookUpRow,0),MATCH(G$1,CalLookUpColumn,0))</f>
        <v>2020</v>
      </c>
      <c r="H3730">
        <f>INDEX(CalLookUpTable,MATCH($B3730,CalLookUpRow,0),MATCH(H$1,CalLookUpColumn,0))</f>
        <v>3</v>
      </c>
      <c r="I3730">
        <f>INDEX(CalLookUpTable,MATCH($B3730,CalLookUpRow,0),MATCH(I$1,CalLookUpColumn,0))</f>
        <v>5</v>
      </c>
    </row>
    <row r="3731" spans="1:9" x14ac:dyDescent="0.25">
      <c r="A3731" s="7">
        <v>2</v>
      </c>
      <c r="B3731" s="8">
        <v>43916</v>
      </c>
      <c r="C3731" s="9" t="s">
        <v>6</v>
      </c>
      <c r="D3731" s="10">
        <v>1360.5199999999998</v>
      </c>
      <c r="E3731" s="10">
        <v>281.33699999999999</v>
      </c>
      <c r="F3731" t="str">
        <f>VLOOKUP(A3731,StoreLookup,2,FALSE)</f>
        <v>Store#2</v>
      </c>
      <c r="G3731">
        <f>INDEX(CalLookUpTable,MATCH($B3731,CalLookUpRow,0),MATCH(G$1,CalLookUpColumn,0))</f>
        <v>2020</v>
      </c>
      <c r="H3731">
        <f>INDEX(CalLookUpTable,MATCH($B3731,CalLookUpRow,0),MATCH(H$1,CalLookUpColumn,0))</f>
        <v>3</v>
      </c>
      <c r="I3731">
        <f>INDEX(CalLookUpTable,MATCH($B3731,CalLookUpRow,0),MATCH(I$1,CalLookUpColumn,0))</f>
        <v>5</v>
      </c>
    </row>
    <row r="3732" spans="1:9" x14ac:dyDescent="0.25">
      <c r="A3732" s="7">
        <v>2</v>
      </c>
      <c r="B3732" s="8">
        <v>43916</v>
      </c>
      <c r="C3732" s="9" t="s">
        <v>5</v>
      </c>
      <c r="D3732" s="10">
        <v>2369.9619999999995</v>
      </c>
      <c r="E3732" s="10">
        <v>1319.4859999999999</v>
      </c>
      <c r="F3732" t="str">
        <f>VLOOKUP(A3732,StoreLookup,2,FALSE)</f>
        <v>Store#2</v>
      </c>
      <c r="G3732">
        <f>INDEX(CalLookUpTable,MATCH($B3732,CalLookUpRow,0),MATCH(G$1,CalLookUpColumn,0))</f>
        <v>2020</v>
      </c>
      <c r="H3732">
        <f>INDEX(CalLookUpTable,MATCH($B3732,CalLookUpRow,0),MATCH(H$1,CalLookUpColumn,0))</f>
        <v>3</v>
      </c>
      <c r="I3732">
        <f>INDEX(CalLookUpTable,MATCH($B3732,CalLookUpRow,0),MATCH(I$1,CalLookUpColumn,0))</f>
        <v>5</v>
      </c>
    </row>
    <row r="3733" spans="1:9" x14ac:dyDescent="0.25">
      <c r="A3733" s="7">
        <v>2</v>
      </c>
      <c r="B3733" s="8">
        <v>43916</v>
      </c>
      <c r="C3733" s="9" t="s">
        <v>3</v>
      </c>
      <c r="D3733" s="10">
        <v>0</v>
      </c>
      <c r="E3733" s="10">
        <v>0</v>
      </c>
      <c r="F3733" t="str">
        <f>VLOOKUP(A3733,StoreLookup,2,FALSE)</f>
        <v>Store#2</v>
      </c>
      <c r="G3733">
        <f>INDEX(CalLookUpTable,MATCH($B3733,CalLookUpRow,0),MATCH(G$1,CalLookUpColumn,0))</f>
        <v>2020</v>
      </c>
      <c r="H3733">
        <f>INDEX(CalLookUpTable,MATCH($B3733,CalLookUpRow,0),MATCH(H$1,CalLookUpColumn,0))</f>
        <v>3</v>
      </c>
      <c r="I3733">
        <f>INDEX(CalLookUpTable,MATCH($B3733,CalLookUpRow,0),MATCH(I$1,CalLookUpColumn,0))</f>
        <v>5</v>
      </c>
    </row>
    <row r="3734" spans="1:9" x14ac:dyDescent="0.25">
      <c r="A3734" s="7">
        <v>2</v>
      </c>
      <c r="B3734" s="8">
        <v>43917</v>
      </c>
      <c r="C3734" s="9" t="s">
        <v>6</v>
      </c>
      <c r="D3734" s="10">
        <v>1432.3679999999999</v>
      </c>
      <c r="E3734" s="10">
        <v>472.59799999999996</v>
      </c>
      <c r="F3734" t="str">
        <f>VLOOKUP(A3734,StoreLookup,2,FALSE)</f>
        <v>Store#2</v>
      </c>
      <c r="G3734">
        <f>INDEX(CalLookUpTable,MATCH($B3734,CalLookUpRow,0),MATCH(G$1,CalLookUpColumn,0))</f>
        <v>2020</v>
      </c>
      <c r="H3734">
        <f>INDEX(CalLookUpTable,MATCH($B3734,CalLookUpRow,0),MATCH(H$1,CalLookUpColumn,0))</f>
        <v>3</v>
      </c>
      <c r="I3734">
        <f>INDEX(CalLookUpTable,MATCH($B3734,CalLookUpRow,0),MATCH(I$1,CalLookUpColumn,0))</f>
        <v>5</v>
      </c>
    </row>
    <row r="3735" spans="1:9" x14ac:dyDescent="0.25">
      <c r="A3735" s="7">
        <v>2</v>
      </c>
      <c r="B3735" s="8">
        <v>43917</v>
      </c>
      <c r="C3735" s="9" t="s">
        <v>4</v>
      </c>
      <c r="D3735" s="10">
        <v>50.847999999999999</v>
      </c>
      <c r="E3735" s="10">
        <v>2187.1779999999999</v>
      </c>
      <c r="F3735" t="str">
        <f>VLOOKUP(A3735,StoreLookup,2,FALSE)</f>
        <v>Store#2</v>
      </c>
      <c r="G3735">
        <f>INDEX(CalLookUpTable,MATCH($B3735,CalLookUpRow,0),MATCH(G$1,CalLookUpColumn,0))</f>
        <v>2020</v>
      </c>
      <c r="H3735">
        <f>INDEX(CalLookUpTable,MATCH($B3735,CalLookUpRow,0),MATCH(H$1,CalLookUpColumn,0))</f>
        <v>3</v>
      </c>
      <c r="I3735">
        <f>INDEX(CalLookUpTable,MATCH($B3735,CalLookUpRow,0),MATCH(I$1,CalLookUpColumn,0))</f>
        <v>5</v>
      </c>
    </row>
    <row r="3736" spans="1:9" x14ac:dyDescent="0.25">
      <c r="A3736" s="7">
        <v>2</v>
      </c>
      <c r="B3736" s="8">
        <v>43917</v>
      </c>
      <c r="C3736" s="9" t="s">
        <v>5</v>
      </c>
      <c r="D3736" s="10">
        <v>3121.797</v>
      </c>
      <c r="E3736" s="10">
        <v>1111.1029999999998</v>
      </c>
      <c r="F3736" t="str">
        <f>VLOOKUP(A3736,StoreLookup,2,FALSE)</f>
        <v>Store#2</v>
      </c>
      <c r="G3736">
        <f>INDEX(CalLookUpTable,MATCH($B3736,CalLookUpRow,0),MATCH(G$1,CalLookUpColumn,0))</f>
        <v>2020</v>
      </c>
      <c r="H3736">
        <f>INDEX(CalLookUpTable,MATCH($B3736,CalLookUpRow,0),MATCH(H$1,CalLookUpColumn,0))</f>
        <v>3</v>
      </c>
      <c r="I3736">
        <f>INDEX(CalLookUpTable,MATCH($B3736,CalLookUpRow,0),MATCH(I$1,CalLookUpColumn,0))</f>
        <v>5</v>
      </c>
    </row>
    <row r="3737" spans="1:9" x14ac:dyDescent="0.25">
      <c r="A3737" s="7">
        <v>2</v>
      </c>
      <c r="B3737" s="8">
        <v>43917</v>
      </c>
      <c r="C3737" s="9" t="s">
        <v>3</v>
      </c>
      <c r="D3737" s="10">
        <v>236.74699999999996</v>
      </c>
      <c r="E3737" s="10">
        <v>303.17</v>
      </c>
      <c r="F3737" t="str">
        <f>VLOOKUP(A3737,StoreLookup,2,FALSE)</f>
        <v>Store#2</v>
      </c>
      <c r="G3737">
        <f>INDEX(CalLookUpTable,MATCH($B3737,CalLookUpRow,0),MATCH(G$1,CalLookUpColumn,0))</f>
        <v>2020</v>
      </c>
      <c r="H3737">
        <f>INDEX(CalLookUpTable,MATCH($B3737,CalLookUpRow,0),MATCH(H$1,CalLookUpColumn,0))</f>
        <v>3</v>
      </c>
      <c r="I3737">
        <f>INDEX(CalLookUpTable,MATCH($B3737,CalLookUpRow,0),MATCH(I$1,CalLookUpColumn,0))</f>
        <v>5</v>
      </c>
    </row>
    <row r="3738" spans="1:9" x14ac:dyDescent="0.25">
      <c r="A3738" s="7">
        <v>2</v>
      </c>
      <c r="B3738" s="8">
        <v>43918</v>
      </c>
      <c r="C3738" s="9" t="s">
        <v>4</v>
      </c>
      <c r="D3738" s="10">
        <v>-5.88</v>
      </c>
      <c r="E3738" s="10">
        <v>2383.8359999999998</v>
      </c>
      <c r="F3738" t="str">
        <f>VLOOKUP(A3738,StoreLookup,2,FALSE)</f>
        <v>Store#2</v>
      </c>
      <c r="G3738">
        <f>INDEX(CalLookUpTable,MATCH($B3738,CalLookUpRow,0),MATCH(G$1,CalLookUpColumn,0))</f>
        <v>2020</v>
      </c>
      <c r="H3738">
        <f>INDEX(CalLookUpTable,MATCH($B3738,CalLookUpRow,0),MATCH(H$1,CalLookUpColumn,0))</f>
        <v>3</v>
      </c>
      <c r="I3738">
        <f>INDEX(CalLookUpTable,MATCH($B3738,CalLookUpRow,0),MATCH(I$1,CalLookUpColumn,0))</f>
        <v>5</v>
      </c>
    </row>
    <row r="3739" spans="1:9" x14ac:dyDescent="0.25">
      <c r="A3739" s="7">
        <v>2</v>
      </c>
      <c r="B3739" s="8">
        <v>43918</v>
      </c>
      <c r="C3739" s="9" t="s">
        <v>5</v>
      </c>
      <c r="D3739" s="10">
        <v>3031.2379999999998</v>
      </c>
      <c r="E3739" s="10">
        <v>925.58199999999988</v>
      </c>
      <c r="F3739" t="str">
        <f>VLOOKUP(A3739,StoreLookup,2,FALSE)</f>
        <v>Store#2</v>
      </c>
      <c r="G3739">
        <f>INDEX(CalLookUpTable,MATCH($B3739,CalLookUpRow,0),MATCH(G$1,CalLookUpColumn,0))</f>
        <v>2020</v>
      </c>
      <c r="H3739">
        <f>INDEX(CalLookUpTable,MATCH($B3739,CalLookUpRow,0),MATCH(H$1,CalLookUpColumn,0))</f>
        <v>3</v>
      </c>
      <c r="I3739">
        <f>INDEX(CalLookUpTable,MATCH($B3739,CalLookUpRow,0),MATCH(I$1,CalLookUpColumn,0))</f>
        <v>5</v>
      </c>
    </row>
    <row r="3740" spans="1:9" x14ac:dyDescent="0.25">
      <c r="A3740" s="7">
        <v>2</v>
      </c>
      <c r="B3740" s="8">
        <v>43918</v>
      </c>
      <c r="C3740" s="9" t="s">
        <v>3</v>
      </c>
      <c r="D3740" s="10">
        <v>0</v>
      </c>
      <c r="E3740" s="10">
        <v>0</v>
      </c>
      <c r="F3740" t="str">
        <f>VLOOKUP(A3740,StoreLookup,2,FALSE)</f>
        <v>Store#2</v>
      </c>
      <c r="G3740">
        <f>INDEX(CalLookUpTable,MATCH($B3740,CalLookUpRow,0),MATCH(G$1,CalLookUpColumn,0))</f>
        <v>2020</v>
      </c>
      <c r="H3740">
        <f>INDEX(CalLookUpTable,MATCH($B3740,CalLookUpRow,0),MATCH(H$1,CalLookUpColumn,0))</f>
        <v>3</v>
      </c>
      <c r="I3740">
        <f>INDEX(CalLookUpTable,MATCH($B3740,CalLookUpRow,0),MATCH(I$1,CalLookUpColumn,0))</f>
        <v>5</v>
      </c>
    </row>
    <row r="3741" spans="1:9" x14ac:dyDescent="0.25">
      <c r="A3741" s="7">
        <v>2</v>
      </c>
      <c r="B3741" s="8">
        <v>43918</v>
      </c>
      <c r="C3741" s="9" t="s">
        <v>6</v>
      </c>
      <c r="D3741" s="10">
        <v>2241.078</v>
      </c>
      <c r="E3741" s="10">
        <v>444.48599999999999</v>
      </c>
      <c r="F3741" t="str">
        <f>VLOOKUP(A3741,StoreLookup,2,FALSE)</f>
        <v>Store#2</v>
      </c>
      <c r="G3741">
        <f>INDEX(CalLookUpTable,MATCH($B3741,CalLookUpRow,0),MATCH(G$1,CalLookUpColumn,0))</f>
        <v>2020</v>
      </c>
      <c r="H3741">
        <f>INDEX(CalLookUpTable,MATCH($B3741,CalLookUpRow,0),MATCH(H$1,CalLookUpColumn,0))</f>
        <v>3</v>
      </c>
      <c r="I3741">
        <f>INDEX(CalLookUpTable,MATCH($B3741,CalLookUpRow,0),MATCH(I$1,CalLookUpColumn,0))</f>
        <v>5</v>
      </c>
    </row>
    <row r="3742" spans="1:9" x14ac:dyDescent="0.25">
      <c r="A3742" s="7">
        <v>2</v>
      </c>
      <c r="B3742" s="8">
        <v>43919</v>
      </c>
      <c r="C3742" s="9" t="s">
        <v>6</v>
      </c>
      <c r="D3742" s="10">
        <v>775.03300000000002</v>
      </c>
      <c r="E3742" s="10">
        <v>299.71899999999999</v>
      </c>
      <c r="F3742" t="str">
        <f>VLOOKUP(A3742,StoreLookup,2,FALSE)</f>
        <v>Store#2</v>
      </c>
      <c r="G3742">
        <f>INDEX(CalLookUpTable,MATCH($B3742,CalLookUpRow,0),MATCH(G$1,CalLookUpColumn,0))</f>
        <v>2020</v>
      </c>
      <c r="H3742">
        <f>INDEX(CalLookUpTable,MATCH($B3742,CalLookUpRow,0),MATCH(H$1,CalLookUpColumn,0))</f>
        <v>3</v>
      </c>
      <c r="I3742">
        <f>INDEX(CalLookUpTable,MATCH($B3742,CalLookUpRow,0),MATCH(I$1,CalLookUpColumn,0))</f>
        <v>5</v>
      </c>
    </row>
    <row r="3743" spans="1:9" x14ac:dyDescent="0.25">
      <c r="A3743" s="7">
        <v>2</v>
      </c>
      <c r="B3743" s="8">
        <v>43919</v>
      </c>
      <c r="C3743" s="9" t="s">
        <v>4</v>
      </c>
      <c r="D3743" s="10">
        <v>-49.622999999999998</v>
      </c>
      <c r="E3743" s="10">
        <v>1418.711</v>
      </c>
      <c r="F3743" t="str">
        <f>VLOOKUP(A3743,StoreLookup,2,FALSE)</f>
        <v>Store#2</v>
      </c>
      <c r="G3743">
        <f>INDEX(CalLookUpTable,MATCH($B3743,CalLookUpRow,0),MATCH(G$1,CalLookUpColumn,0))</f>
        <v>2020</v>
      </c>
      <c r="H3743">
        <f>INDEX(CalLookUpTable,MATCH($B3743,CalLookUpRow,0),MATCH(H$1,CalLookUpColumn,0))</f>
        <v>3</v>
      </c>
      <c r="I3743">
        <f>INDEX(CalLookUpTable,MATCH($B3743,CalLookUpRow,0),MATCH(I$1,CalLookUpColumn,0))</f>
        <v>5</v>
      </c>
    </row>
    <row r="3744" spans="1:9" x14ac:dyDescent="0.25">
      <c r="A3744" s="7">
        <v>2</v>
      </c>
      <c r="B3744" s="8">
        <v>43919</v>
      </c>
      <c r="C3744" s="9" t="s">
        <v>5</v>
      </c>
      <c r="D3744" s="10">
        <v>1250.3609999999999</v>
      </c>
      <c r="E3744" s="10">
        <v>758.61099999999999</v>
      </c>
      <c r="F3744" t="str">
        <f>VLOOKUP(A3744,StoreLookup,2,FALSE)</f>
        <v>Store#2</v>
      </c>
      <c r="G3744">
        <f>INDEX(CalLookUpTable,MATCH($B3744,CalLookUpRow,0),MATCH(G$1,CalLookUpColumn,0))</f>
        <v>2020</v>
      </c>
      <c r="H3744">
        <f>INDEX(CalLookUpTable,MATCH($B3744,CalLookUpRow,0),MATCH(H$1,CalLookUpColumn,0))</f>
        <v>3</v>
      </c>
      <c r="I3744">
        <f>INDEX(CalLookUpTable,MATCH($B3744,CalLookUpRow,0),MATCH(I$1,CalLookUpColumn,0))</f>
        <v>5</v>
      </c>
    </row>
    <row r="3745" spans="1:9" x14ac:dyDescent="0.25">
      <c r="A3745" s="7">
        <v>2</v>
      </c>
      <c r="B3745" s="8">
        <v>43919</v>
      </c>
      <c r="C3745" s="9" t="s">
        <v>3</v>
      </c>
      <c r="D3745" s="10">
        <v>0</v>
      </c>
      <c r="E3745" s="10">
        <v>0</v>
      </c>
      <c r="F3745" t="str">
        <f>VLOOKUP(A3745,StoreLookup,2,FALSE)</f>
        <v>Store#2</v>
      </c>
      <c r="G3745">
        <f>INDEX(CalLookUpTable,MATCH($B3745,CalLookUpRow,0),MATCH(G$1,CalLookUpColumn,0))</f>
        <v>2020</v>
      </c>
      <c r="H3745">
        <f>INDEX(CalLookUpTable,MATCH($B3745,CalLookUpRow,0),MATCH(H$1,CalLookUpColumn,0))</f>
        <v>3</v>
      </c>
      <c r="I3745">
        <f>INDEX(CalLookUpTable,MATCH($B3745,CalLookUpRow,0),MATCH(I$1,CalLookUpColumn,0))</f>
        <v>5</v>
      </c>
    </row>
    <row r="3746" spans="1:9" x14ac:dyDescent="0.25">
      <c r="A3746" s="7">
        <v>2</v>
      </c>
      <c r="B3746" s="8">
        <v>43920</v>
      </c>
      <c r="C3746" s="9" t="s">
        <v>3</v>
      </c>
      <c r="D3746" s="10">
        <v>0</v>
      </c>
      <c r="E3746" s="10">
        <v>0</v>
      </c>
      <c r="F3746" t="str">
        <f>VLOOKUP(A3746,StoreLookup,2,FALSE)</f>
        <v>Store#2</v>
      </c>
      <c r="G3746">
        <f>INDEX(CalLookUpTable,MATCH($B3746,CalLookUpRow,0),MATCH(G$1,CalLookUpColumn,0))</f>
        <v>2020</v>
      </c>
      <c r="H3746">
        <f>INDEX(CalLookUpTable,MATCH($B3746,CalLookUpRow,0),MATCH(H$1,CalLookUpColumn,0))</f>
        <v>4</v>
      </c>
      <c r="I3746">
        <f>INDEX(CalLookUpTable,MATCH($B3746,CalLookUpRow,0),MATCH(I$1,CalLookUpColumn,0))</f>
        <v>1</v>
      </c>
    </row>
    <row r="3747" spans="1:9" x14ac:dyDescent="0.25">
      <c r="A3747" s="7">
        <v>2</v>
      </c>
      <c r="B3747" s="8">
        <v>43920</v>
      </c>
      <c r="C3747" s="9" t="s">
        <v>6</v>
      </c>
      <c r="D3747" s="10">
        <v>610.87599999999998</v>
      </c>
      <c r="E3747" s="10">
        <v>336.12599999999998</v>
      </c>
      <c r="F3747" t="str">
        <f>VLOOKUP(A3747,StoreLookup,2,FALSE)</f>
        <v>Store#2</v>
      </c>
      <c r="G3747">
        <f>INDEX(CalLookUpTable,MATCH($B3747,CalLookUpRow,0),MATCH(G$1,CalLookUpColumn,0))</f>
        <v>2020</v>
      </c>
      <c r="H3747">
        <f>INDEX(CalLookUpTable,MATCH($B3747,CalLookUpRow,0),MATCH(H$1,CalLookUpColumn,0))</f>
        <v>4</v>
      </c>
      <c r="I3747">
        <f>INDEX(CalLookUpTable,MATCH($B3747,CalLookUpRow,0),MATCH(I$1,CalLookUpColumn,0))</f>
        <v>1</v>
      </c>
    </row>
    <row r="3748" spans="1:9" x14ac:dyDescent="0.25">
      <c r="A3748" s="7">
        <v>2</v>
      </c>
      <c r="B3748" s="8">
        <v>43920</v>
      </c>
      <c r="C3748" s="9" t="s">
        <v>5</v>
      </c>
      <c r="D3748" s="10">
        <v>2052.2739999999999</v>
      </c>
      <c r="E3748" s="10">
        <v>1125.9849999999999</v>
      </c>
      <c r="F3748" t="str">
        <f>VLOOKUP(A3748,StoreLookup,2,FALSE)</f>
        <v>Store#2</v>
      </c>
      <c r="G3748">
        <f>INDEX(CalLookUpTable,MATCH($B3748,CalLookUpRow,0),MATCH(G$1,CalLookUpColumn,0))</f>
        <v>2020</v>
      </c>
      <c r="H3748">
        <f>INDEX(CalLookUpTable,MATCH($B3748,CalLookUpRow,0),MATCH(H$1,CalLookUpColumn,0))</f>
        <v>4</v>
      </c>
      <c r="I3748">
        <f>INDEX(CalLookUpTable,MATCH($B3748,CalLookUpRow,0),MATCH(I$1,CalLookUpColumn,0))</f>
        <v>1</v>
      </c>
    </row>
    <row r="3749" spans="1:9" x14ac:dyDescent="0.25">
      <c r="A3749" s="7">
        <v>2</v>
      </c>
      <c r="B3749" s="8">
        <v>43920</v>
      </c>
      <c r="C3749" s="9" t="s">
        <v>4</v>
      </c>
      <c r="D3749" s="10">
        <v>-22.448999999999998</v>
      </c>
      <c r="E3749" s="10">
        <v>1223.18</v>
      </c>
      <c r="F3749" t="str">
        <f>VLOOKUP(A3749,StoreLookup,2,FALSE)</f>
        <v>Store#2</v>
      </c>
      <c r="G3749">
        <f>INDEX(CalLookUpTable,MATCH($B3749,CalLookUpRow,0),MATCH(G$1,CalLookUpColumn,0))</f>
        <v>2020</v>
      </c>
      <c r="H3749">
        <f>INDEX(CalLookUpTable,MATCH($B3749,CalLookUpRow,0),MATCH(H$1,CalLookUpColumn,0))</f>
        <v>4</v>
      </c>
      <c r="I3749">
        <f>INDEX(CalLookUpTable,MATCH($B3749,CalLookUpRow,0),MATCH(I$1,CalLookUpColumn,0))</f>
        <v>1</v>
      </c>
    </row>
    <row r="3750" spans="1:9" x14ac:dyDescent="0.25">
      <c r="A3750" s="7">
        <v>2</v>
      </c>
      <c r="B3750" s="8">
        <v>43921</v>
      </c>
      <c r="C3750" s="9" t="s">
        <v>4</v>
      </c>
      <c r="D3750" s="10">
        <v>2.4430000000000001</v>
      </c>
      <c r="E3750" s="10">
        <v>1482.3899999999999</v>
      </c>
      <c r="F3750" t="str">
        <f>VLOOKUP(A3750,StoreLookup,2,FALSE)</f>
        <v>Store#2</v>
      </c>
      <c r="G3750">
        <f>INDEX(CalLookUpTable,MATCH($B3750,CalLookUpRow,0),MATCH(G$1,CalLookUpColumn,0))</f>
        <v>2020</v>
      </c>
      <c r="H3750">
        <f>INDEX(CalLookUpTable,MATCH($B3750,CalLookUpRow,0),MATCH(H$1,CalLookUpColumn,0))</f>
        <v>4</v>
      </c>
      <c r="I3750">
        <f>INDEX(CalLookUpTable,MATCH($B3750,CalLookUpRow,0),MATCH(I$1,CalLookUpColumn,0))</f>
        <v>1</v>
      </c>
    </row>
    <row r="3751" spans="1:9" x14ac:dyDescent="0.25">
      <c r="A3751" s="7">
        <v>2</v>
      </c>
      <c r="B3751" s="8">
        <v>43921</v>
      </c>
      <c r="C3751" s="9" t="s">
        <v>6</v>
      </c>
      <c r="D3751" s="10">
        <v>1392.1319999999998</v>
      </c>
      <c r="E3751" s="10">
        <v>431.98399999999998</v>
      </c>
      <c r="F3751" t="str">
        <f>VLOOKUP(A3751,StoreLookup,2,FALSE)</f>
        <v>Store#2</v>
      </c>
      <c r="G3751">
        <f>INDEX(CalLookUpTable,MATCH($B3751,CalLookUpRow,0),MATCH(G$1,CalLookUpColumn,0))</f>
        <v>2020</v>
      </c>
      <c r="H3751">
        <f>INDEX(CalLookUpTable,MATCH($B3751,CalLookUpRow,0),MATCH(H$1,CalLookUpColumn,0))</f>
        <v>4</v>
      </c>
      <c r="I3751">
        <f>INDEX(CalLookUpTable,MATCH($B3751,CalLookUpRow,0),MATCH(I$1,CalLookUpColumn,0))</f>
        <v>1</v>
      </c>
    </row>
    <row r="3752" spans="1:9" x14ac:dyDescent="0.25">
      <c r="A3752" s="7">
        <v>2</v>
      </c>
      <c r="B3752" s="8">
        <v>43921</v>
      </c>
      <c r="C3752" s="9" t="s">
        <v>3</v>
      </c>
      <c r="D3752" s="10">
        <v>6.5029999999999992</v>
      </c>
      <c r="E3752" s="10">
        <v>0</v>
      </c>
      <c r="F3752" t="str">
        <f>VLOOKUP(A3752,StoreLookup,2,FALSE)</f>
        <v>Store#2</v>
      </c>
      <c r="G3752">
        <f>INDEX(CalLookUpTable,MATCH($B3752,CalLookUpRow,0),MATCH(G$1,CalLookUpColumn,0))</f>
        <v>2020</v>
      </c>
      <c r="H3752">
        <f>INDEX(CalLookUpTable,MATCH($B3752,CalLookUpRow,0),MATCH(H$1,CalLookUpColumn,0))</f>
        <v>4</v>
      </c>
      <c r="I3752">
        <f>INDEX(CalLookUpTable,MATCH($B3752,CalLookUpRow,0),MATCH(I$1,CalLookUpColumn,0))</f>
        <v>1</v>
      </c>
    </row>
    <row r="3753" spans="1:9" x14ac:dyDescent="0.25">
      <c r="A3753" s="7">
        <v>2</v>
      </c>
      <c r="B3753" s="8">
        <v>43921</v>
      </c>
      <c r="C3753" s="9" t="s">
        <v>5</v>
      </c>
      <c r="D3753" s="10">
        <v>2116.002</v>
      </c>
      <c r="E3753" s="10">
        <v>1114.386</v>
      </c>
      <c r="F3753" t="str">
        <f>VLOOKUP(A3753,StoreLookup,2,FALSE)</f>
        <v>Store#2</v>
      </c>
      <c r="G3753">
        <f>INDEX(CalLookUpTable,MATCH($B3753,CalLookUpRow,0),MATCH(G$1,CalLookUpColumn,0))</f>
        <v>2020</v>
      </c>
      <c r="H3753">
        <f>INDEX(CalLookUpTable,MATCH($B3753,CalLookUpRow,0),MATCH(H$1,CalLookUpColumn,0))</f>
        <v>4</v>
      </c>
      <c r="I3753">
        <f>INDEX(CalLookUpTable,MATCH($B3753,CalLookUpRow,0),MATCH(I$1,CalLookUpColumn,0))</f>
        <v>1</v>
      </c>
    </row>
    <row r="3754" spans="1:9" x14ac:dyDescent="0.25">
      <c r="A3754" s="7">
        <v>2</v>
      </c>
      <c r="B3754" s="8">
        <v>43922</v>
      </c>
      <c r="C3754" s="9" t="s">
        <v>3</v>
      </c>
      <c r="D3754" s="10">
        <v>0</v>
      </c>
      <c r="E3754" s="10">
        <v>221.35400000000001</v>
      </c>
      <c r="F3754" t="str">
        <f>VLOOKUP(A3754,StoreLookup,2,FALSE)</f>
        <v>Store#2</v>
      </c>
      <c r="G3754">
        <f>INDEX(CalLookUpTable,MATCH($B3754,CalLookUpRow,0),MATCH(G$1,CalLookUpColumn,0))</f>
        <v>2020</v>
      </c>
      <c r="H3754">
        <f>INDEX(CalLookUpTable,MATCH($B3754,CalLookUpRow,0),MATCH(H$1,CalLookUpColumn,0))</f>
        <v>4</v>
      </c>
      <c r="I3754">
        <f>INDEX(CalLookUpTable,MATCH($B3754,CalLookUpRow,0),MATCH(I$1,CalLookUpColumn,0))</f>
        <v>1</v>
      </c>
    </row>
    <row r="3755" spans="1:9" x14ac:dyDescent="0.25">
      <c r="A3755" s="7">
        <v>2</v>
      </c>
      <c r="B3755" s="8">
        <v>43922</v>
      </c>
      <c r="C3755" s="9" t="s">
        <v>6</v>
      </c>
      <c r="D3755" s="10">
        <v>1155.588</v>
      </c>
      <c r="E3755" s="10">
        <v>164.64699999999999</v>
      </c>
      <c r="F3755" t="str">
        <f>VLOOKUP(A3755,StoreLookup,2,FALSE)</f>
        <v>Store#2</v>
      </c>
      <c r="G3755">
        <f>INDEX(CalLookUpTable,MATCH($B3755,CalLookUpRow,0),MATCH(G$1,CalLookUpColumn,0))</f>
        <v>2020</v>
      </c>
      <c r="H3755">
        <f>INDEX(CalLookUpTable,MATCH($B3755,CalLookUpRow,0),MATCH(H$1,CalLookUpColumn,0))</f>
        <v>4</v>
      </c>
      <c r="I3755">
        <f>INDEX(CalLookUpTable,MATCH($B3755,CalLookUpRow,0),MATCH(I$1,CalLookUpColumn,0))</f>
        <v>1</v>
      </c>
    </row>
    <row r="3756" spans="1:9" x14ac:dyDescent="0.25">
      <c r="A3756" s="7">
        <v>2</v>
      </c>
      <c r="B3756" s="8">
        <v>43922</v>
      </c>
      <c r="C3756" s="9" t="s">
        <v>5</v>
      </c>
      <c r="D3756" s="10">
        <v>1938.6919999999998</v>
      </c>
      <c r="E3756" s="10">
        <v>1097.5999999999999</v>
      </c>
      <c r="F3756" t="str">
        <f>VLOOKUP(A3756,StoreLookup,2,FALSE)</f>
        <v>Store#2</v>
      </c>
      <c r="G3756">
        <f>INDEX(CalLookUpTable,MATCH($B3756,CalLookUpRow,0),MATCH(G$1,CalLookUpColumn,0))</f>
        <v>2020</v>
      </c>
      <c r="H3756">
        <f>INDEX(CalLookUpTable,MATCH($B3756,CalLookUpRow,0),MATCH(H$1,CalLookUpColumn,0))</f>
        <v>4</v>
      </c>
      <c r="I3756">
        <f>INDEX(CalLookUpTable,MATCH($B3756,CalLookUpRow,0),MATCH(I$1,CalLookUpColumn,0))</f>
        <v>1</v>
      </c>
    </row>
    <row r="3757" spans="1:9" x14ac:dyDescent="0.25">
      <c r="A3757" s="7">
        <v>2</v>
      </c>
      <c r="B3757" s="8">
        <v>43922</v>
      </c>
      <c r="C3757" s="9" t="s">
        <v>4</v>
      </c>
      <c r="D3757" s="10">
        <v>-3.9759999999999995</v>
      </c>
      <c r="E3757" s="10">
        <v>1705.5710000000001</v>
      </c>
      <c r="F3757" t="str">
        <f>VLOOKUP(A3757,StoreLookup,2,FALSE)</f>
        <v>Store#2</v>
      </c>
      <c r="G3757">
        <f>INDEX(CalLookUpTable,MATCH($B3757,CalLookUpRow,0),MATCH(G$1,CalLookUpColumn,0))</f>
        <v>2020</v>
      </c>
      <c r="H3757">
        <f>INDEX(CalLookUpTable,MATCH($B3757,CalLookUpRow,0),MATCH(H$1,CalLookUpColumn,0))</f>
        <v>4</v>
      </c>
      <c r="I3757">
        <f>INDEX(CalLookUpTable,MATCH($B3757,CalLookUpRow,0),MATCH(I$1,CalLookUpColumn,0))</f>
        <v>1</v>
      </c>
    </row>
    <row r="3758" spans="1:9" x14ac:dyDescent="0.25">
      <c r="A3758" s="7">
        <v>2</v>
      </c>
      <c r="B3758" s="8">
        <v>43923</v>
      </c>
      <c r="C3758" s="9" t="s">
        <v>4</v>
      </c>
      <c r="D3758" s="10">
        <v>51.295999999999999</v>
      </c>
      <c r="E3758" s="10">
        <v>2046.4079999999999</v>
      </c>
      <c r="F3758" t="str">
        <f>VLOOKUP(A3758,StoreLookup,2,FALSE)</f>
        <v>Store#2</v>
      </c>
      <c r="G3758">
        <f>INDEX(CalLookUpTable,MATCH($B3758,CalLookUpRow,0),MATCH(G$1,CalLookUpColumn,0))</f>
        <v>2020</v>
      </c>
      <c r="H3758">
        <f>INDEX(CalLookUpTable,MATCH($B3758,CalLookUpRow,0),MATCH(H$1,CalLookUpColumn,0))</f>
        <v>4</v>
      </c>
      <c r="I3758">
        <f>INDEX(CalLookUpTable,MATCH($B3758,CalLookUpRow,0),MATCH(I$1,CalLookUpColumn,0))</f>
        <v>1</v>
      </c>
    </row>
    <row r="3759" spans="1:9" x14ac:dyDescent="0.25">
      <c r="A3759" s="7">
        <v>2</v>
      </c>
      <c r="B3759" s="8">
        <v>43923</v>
      </c>
      <c r="C3759" s="9" t="s">
        <v>6</v>
      </c>
      <c r="D3759" s="10">
        <v>2541.5320000000002</v>
      </c>
      <c r="E3759" s="10">
        <v>506.11399999999998</v>
      </c>
      <c r="F3759" t="str">
        <f>VLOOKUP(A3759,StoreLookup,2,FALSE)</f>
        <v>Store#2</v>
      </c>
      <c r="G3759">
        <f>INDEX(CalLookUpTable,MATCH($B3759,CalLookUpRow,0),MATCH(G$1,CalLookUpColumn,0))</f>
        <v>2020</v>
      </c>
      <c r="H3759">
        <f>INDEX(CalLookUpTable,MATCH($B3759,CalLookUpRow,0),MATCH(H$1,CalLookUpColumn,0))</f>
        <v>4</v>
      </c>
      <c r="I3759">
        <f>INDEX(CalLookUpTable,MATCH($B3759,CalLookUpRow,0),MATCH(I$1,CalLookUpColumn,0))</f>
        <v>1</v>
      </c>
    </row>
    <row r="3760" spans="1:9" x14ac:dyDescent="0.25">
      <c r="A3760" s="7">
        <v>2</v>
      </c>
      <c r="B3760" s="8">
        <v>43923</v>
      </c>
      <c r="C3760" s="9" t="s">
        <v>5</v>
      </c>
      <c r="D3760" s="10">
        <v>3008.39</v>
      </c>
      <c r="E3760" s="10">
        <v>1096.7389999999998</v>
      </c>
      <c r="F3760" t="str">
        <f>VLOOKUP(A3760,StoreLookup,2,FALSE)</f>
        <v>Store#2</v>
      </c>
      <c r="G3760">
        <f>INDEX(CalLookUpTable,MATCH($B3760,CalLookUpRow,0),MATCH(G$1,CalLookUpColumn,0))</f>
        <v>2020</v>
      </c>
      <c r="H3760">
        <f>INDEX(CalLookUpTable,MATCH($B3760,CalLookUpRow,0),MATCH(H$1,CalLookUpColumn,0))</f>
        <v>4</v>
      </c>
      <c r="I3760">
        <f>INDEX(CalLookUpTable,MATCH($B3760,CalLookUpRow,0),MATCH(I$1,CalLookUpColumn,0))</f>
        <v>1</v>
      </c>
    </row>
    <row r="3761" spans="1:9" x14ac:dyDescent="0.25">
      <c r="A3761" s="7">
        <v>2</v>
      </c>
      <c r="B3761" s="8">
        <v>43923</v>
      </c>
      <c r="C3761" s="9" t="s">
        <v>3</v>
      </c>
      <c r="D3761" s="10">
        <v>0</v>
      </c>
      <c r="E3761" s="10">
        <v>0</v>
      </c>
      <c r="F3761" t="str">
        <f>VLOOKUP(A3761,StoreLookup,2,FALSE)</f>
        <v>Store#2</v>
      </c>
      <c r="G3761">
        <f>INDEX(CalLookUpTable,MATCH($B3761,CalLookUpRow,0),MATCH(G$1,CalLookUpColumn,0))</f>
        <v>2020</v>
      </c>
      <c r="H3761">
        <f>INDEX(CalLookUpTable,MATCH($B3761,CalLookUpRow,0),MATCH(H$1,CalLookUpColumn,0))</f>
        <v>4</v>
      </c>
      <c r="I3761">
        <f>INDEX(CalLookUpTable,MATCH($B3761,CalLookUpRow,0),MATCH(I$1,CalLookUpColumn,0))</f>
        <v>1</v>
      </c>
    </row>
    <row r="3762" spans="1:9" x14ac:dyDescent="0.25">
      <c r="A3762" s="7">
        <v>2</v>
      </c>
      <c r="B3762" s="8">
        <v>43924</v>
      </c>
      <c r="C3762" s="9" t="s">
        <v>5</v>
      </c>
      <c r="D3762" s="10">
        <v>2938.7190000000001</v>
      </c>
      <c r="E3762" s="10">
        <v>1166.711</v>
      </c>
      <c r="F3762" t="str">
        <f>VLOOKUP(A3762,StoreLookup,2,FALSE)</f>
        <v>Store#2</v>
      </c>
      <c r="G3762">
        <f>INDEX(CalLookUpTable,MATCH($B3762,CalLookUpRow,0),MATCH(G$1,CalLookUpColumn,0))</f>
        <v>2020</v>
      </c>
      <c r="H3762">
        <f>INDEX(CalLookUpTable,MATCH($B3762,CalLookUpRow,0),MATCH(H$1,CalLookUpColumn,0))</f>
        <v>4</v>
      </c>
      <c r="I3762">
        <f>INDEX(CalLookUpTable,MATCH($B3762,CalLookUpRow,0),MATCH(I$1,CalLookUpColumn,0))</f>
        <v>1</v>
      </c>
    </row>
    <row r="3763" spans="1:9" x14ac:dyDescent="0.25">
      <c r="A3763" s="7">
        <v>2</v>
      </c>
      <c r="B3763" s="8">
        <v>43924</v>
      </c>
      <c r="C3763" s="9" t="s">
        <v>6</v>
      </c>
      <c r="D3763" s="10">
        <v>1397.2139999999999</v>
      </c>
      <c r="E3763" s="10">
        <v>463.37899999999996</v>
      </c>
      <c r="F3763" t="str">
        <f>VLOOKUP(A3763,StoreLookup,2,FALSE)</f>
        <v>Store#2</v>
      </c>
      <c r="G3763">
        <f>INDEX(CalLookUpTable,MATCH($B3763,CalLookUpRow,0),MATCH(G$1,CalLookUpColumn,0))</f>
        <v>2020</v>
      </c>
      <c r="H3763">
        <f>INDEX(CalLookUpTable,MATCH($B3763,CalLookUpRow,0),MATCH(H$1,CalLookUpColumn,0))</f>
        <v>4</v>
      </c>
      <c r="I3763">
        <f>INDEX(CalLookUpTable,MATCH($B3763,CalLookUpRow,0),MATCH(I$1,CalLookUpColumn,0))</f>
        <v>1</v>
      </c>
    </row>
    <row r="3764" spans="1:9" x14ac:dyDescent="0.25">
      <c r="A3764" s="7">
        <v>2</v>
      </c>
      <c r="B3764" s="8">
        <v>43924</v>
      </c>
      <c r="C3764" s="9" t="s">
        <v>3</v>
      </c>
      <c r="D3764" s="10">
        <v>0</v>
      </c>
      <c r="E3764" s="10">
        <v>0</v>
      </c>
      <c r="F3764" t="str">
        <f>VLOOKUP(A3764,StoreLookup,2,FALSE)</f>
        <v>Store#2</v>
      </c>
      <c r="G3764">
        <f>INDEX(CalLookUpTable,MATCH($B3764,CalLookUpRow,0),MATCH(G$1,CalLookUpColumn,0))</f>
        <v>2020</v>
      </c>
      <c r="H3764">
        <f>INDEX(CalLookUpTable,MATCH($B3764,CalLookUpRow,0),MATCH(H$1,CalLookUpColumn,0))</f>
        <v>4</v>
      </c>
      <c r="I3764">
        <f>INDEX(CalLookUpTable,MATCH($B3764,CalLookUpRow,0),MATCH(I$1,CalLookUpColumn,0))</f>
        <v>1</v>
      </c>
    </row>
    <row r="3765" spans="1:9" x14ac:dyDescent="0.25">
      <c r="A3765" s="7">
        <v>2</v>
      </c>
      <c r="B3765" s="8">
        <v>43924</v>
      </c>
      <c r="C3765" s="9" t="s">
        <v>4</v>
      </c>
      <c r="D3765" s="10">
        <v>31.856999999999996</v>
      </c>
      <c r="E3765" s="10">
        <v>2565.6959999999999</v>
      </c>
      <c r="F3765" t="str">
        <f>VLOOKUP(A3765,StoreLookup,2,FALSE)</f>
        <v>Store#2</v>
      </c>
      <c r="G3765">
        <f>INDEX(CalLookUpTable,MATCH($B3765,CalLookUpRow,0),MATCH(G$1,CalLookUpColumn,0))</f>
        <v>2020</v>
      </c>
      <c r="H3765">
        <f>INDEX(CalLookUpTable,MATCH($B3765,CalLookUpRow,0),MATCH(H$1,CalLookUpColumn,0))</f>
        <v>4</v>
      </c>
      <c r="I3765">
        <f>INDEX(CalLookUpTable,MATCH($B3765,CalLookUpRow,0),MATCH(I$1,CalLookUpColumn,0))</f>
        <v>1</v>
      </c>
    </row>
    <row r="3766" spans="1:9" x14ac:dyDescent="0.25">
      <c r="A3766" s="7">
        <v>2</v>
      </c>
      <c r="B3766" s="8">
        <v>43925</v>
      </c>
      <c r="C3766" s="9" t="s">
        <v>6</v>
      </c>
      <c r="D3766" s="10">
        <v>1697.2759999999998</v>
      </c>
      <c r="E3766" s="10">
        <v>315.04199999999997</v>
      </c>
      <c r="F3766" t="str">
        <f>VLOOKUP(A3766,StoreLookup,2,FALSE)</f>
        <v>Store#2</v>
      </c>
      <c r="G3766">
        <f>INDEX(CalLookUpTable,MATCH($B3766,CalLookUpRow,0),MATCH(G$1,CalLookUpColumn,0))</f>
        <v>2020</v>
      </c>
      <c r="H3766">
        <f>INDEX(CalLookUpTable,MATCH($B3766,CalLookUpRow,0),MATCH(H$1,CalLookUpColumn,0))</f>
        <v>4</v>
      </c>
      <c r="I3766">
        <f>INDEX(CalLookUpTable,MATCH($B3766,CalLookUpRow,0),MATCH(I$1,CalLookUpColumn,0))</f>
        <v>1</v>
      </c>
    </row>
    <row r="3767" spans="1:9" x14ac:dyDescent="0.25">
      <c r="A3767" s="7">
        <v>2</v>
      </c>
      <c r="B3767" s="8">
        <v>43925</v>
      </c>
      <c r="C3767" s="9" t="s">
        <v>4</v>
      </c>
      <c r="D3767" s="10">
        <v>-4.1159999999999997</v>
      </c>
      <c r="E3767" s="10">
        <v>2678.9490000000001</v>
      </c>
      <c r="F3767" t="str">
        <f>VLOOKUP(A3767,StoreLookup,2,FALSE)</f>
        <v>Store#2</v>
      </c>
      <c r="G3767">
        <f>INDEX(CalLookUpTable,MATCH($B3767,CalLookUpRow,0),MATCH(G$1,CalLookUpColumn,0))</f>
        <v>2020</v>
      </c>
      <c r="H3767">
        <f>INDEX(CalLookUpTable,MATCH($B3767,CalLookUpRow,0),MATCH(H$1,CalLookUpColumn,0))</f>
        <v>4</v>
      </c>
      <c r="I3767">
        <f>INDEX(CalLookUpTable,MATCH($B3767,CalLookUpRow,0),MATCH(I$1,CalLookUpColumn,0))</f>
        <v>1</v>
      </c>
    </row>
    <row r="3768" spans="1:9" x14ac:dyDescent="0.25">
      <c r="A3768" s="7">
        <v>2</v>
      </c>
      <c r="B3768" s="8">
        <v>43925</v>
      </c>
      <c r="C3768" s="9" t="s">
        <v>5</v>
      </c>
      <c r="D3768" s="10">
        <v>2240.5949999999998</v>
      </c>
      <c r="E3768" s="10">
        <v>1163.6309999999999</v>
      </c>
      <c r="F3768" t="str">
        <f>VLOOKUP(A3768,StoreLookup,2,FALSE)</f>
        <v>Store#2</v>
      </c>
      <c r="G3768">
        <f>INDEX(CalLookUpTable,MATCH($B3768,CalLookUpRow,0),MATCH(G$1,CalLookUpColumn,0))</f>
        <v>2020</v>
      </c>
      <c r="H3768">
        <f>INDEX(CalLookUpTable,MATCH($B3768,CalLookUpRow,0),MATCH(H$1,CalLookUpColumn,0))</f>
        <v>4</v>
      </c>
      <c r="I3768">
        <f>INDEX(CalLookUpTable,MATCH($B3768,CalLookUpRow,0),MATCH(I$1,CalLookUpColumn,0))</f>
        <v>1</v>
      </c>
    </row>
    <row r="3769" spans="1:9" x14ac:dyDescent="0.25">
      <c r="A3769" s="7">
        <v>2</v>
      </c>
      <c r="B3769" s="8">
        <v>43925</v>
      </c>
      <c r="C3769" s="9" t="s">
        <v>3</v>
      </c>
      <c r="D3769" s="10">
        <v>56.090999999999994</v>
      </c>
      <c r="E3769" s="10">
        <v>16.744</v>
      </c>
      <c r="F3769" t="str">
        <f>VLOOKUP(A3769,StoreLookup,2,FALSE)</f>
        <v>Store#2</v>
      </c>
      <c r="G3769">
        <f>INDEX(CalLookUpTable,MATCH($B3769,CalLookUpRow,0),MATCH(G$1,CalLookUpColumn,0))</f>
        <v>2020</v>
      </c>
      <c r="H3769">
        <f>INDEX(CalLookUpTable,MATCH($B3769,CalLookUpRow,0),MATCH(H$1,CalLookUpColumn,0))</f>
        <v>4</v>
      </c>
      <c r="I3769">
        <f>INDEX(CalLookUpTable,MATCH($B3769,CalLookUpRow,0),MATCH(I$1,CalLookUpColumn,0))</f>
        <v>1</v>
      </c>
    </row>
    <row r="3770" spans="1:9" x14ac:dyDescent="0.25">
      <c r="A3770" s="7">
        <v>2</v>
      </c>
      <c r="B3770" s="8">
        <v>43926</v>
      </c>
      <c r="C3770" s="9" t="s">
        <v>6</v>
      </c>
      <c r="D3770" s="10">
        <v>731.99699999999996</v>
      </c>
      <c r="E3770" s="10">
        <v>220.80099999999999</v>
      </c>
      <c r="F3770" t="str">
        <f>VLOOKUP(A3770,StoreLookup,2,FALSE)</f>
        <v>Store#2</v>
      </c>
      <c r="G3770">
        <f>INDEX(CalLookUpTable,MATCH($B3770,CalLookUpRow,0),MATCH(G$1,CalLookUpColumn,0))</f>
        <v>2020</v>
      </c>
      <c r="H3770">
        <f>INDEX(CalLookUpTable,MATCH($B3770,CalLookUpRow,0),MATCH(H$1,CalLookUpColumn,0))</f>
        <v>4</v>
      </c>
      <c r="I3770">
        <f>INDEX(CalLookUpTable,MATCH($B3770,CalLookUpRow,0),MATCH(I$1,CalLookUpColumn,0))</f>
        <v>1</v>
      </c>
    </row>
    <row r="3771" spans="1:9" x14ac:dyDescent="0.25">
      <c r="A3771" s="7">
        <v>2</v>
      </c>
      <c r="B3771" s="8">
        <v>43926</v>
      </c>
      <c r="C3771" s="9" t="s">
        <v>3</v>
      </c>
      <c r="D3771" s="10">
        <v>0</v>
      </c>
      <c r="E3771" s="10">
        <v>206.96200000000002</v>
      </c>
      <c r="F3771" t="str">
        <f>VLOOKUP(A3771,StoreLookup,2,FALSE)</f>
        <v>Store#2</v>
      </c>
      <c r="G3771">
        <f>INDEX(CalLookUpTable,MATCH($B3771,CalLookUpRow,0),MATCH(G$1,CalLookUpColumn,0))</f>
        <v>2020</v>
      </c>
      <c r="H3771">
        <f>INDEX(CalLookUpTable,MATCH($B3771,CalLookUpRow,0),MATCH(H$1,CalLookUpColumn,0))</f>
        <v>4</v>
      </c>
      <c r="I3771">
        <f>INDEX(CalLookUpTable,MATCH($B3771,CalLookUpRow,0),MATCH(I$1,CalLookUpColumn,0))</f>
        <v>1</v>
      </c>
    </row>
    <row r="3772" spans="1:9" x14ac:dyDescent="0.25">
      <c r="A3772" s="7">
        <v>2</v>
      </c>
      <c r="B3772" s="8">
        <v>43926</v>
      </c>
      <c r="C3772" s="9" t="s">
        <v>5</v>
      </c>
      <c r="D3772" s="10">
        <v>1179.1779999999999</v>
      </c>
      <c r="E3772" s="10">
        <v>822.21999999999991</v>
      </c>
      <c r="F3772" t="str">
        <f>VLOOKUP(A3772,StoreLookup,2,FALSE)</f>
        <v>Store#2</v>
      </c>
      <c r="G3772">
        <f>INDEX(CalLookUpTable,MATCH($B3772,CalLookUpRow,0),MATCH(G$1,CalLookUpColumn,0))</f>
        <v>2020</v>
      </c>
      <c r="H3772">
        <f>INDEX(CalLookUpTable,MATCH($B3772,CalLookUpRow,0),MATCH(H$1,CalLookUpColumn,0))</f>
        <v>4</v>
      </c>
      <c r="I3772">
        <f>INDEX(CalLookUpTable,MATCH($B3772,CalLookUpRow,0),MATCH(I$1,CalLookUpColumn,0))</f>
        <v>1</v>
      </c>
    </row>
    <row r="3773" spans="1:9" x14ac:dyDescent="0.25">
      <c r="A3773" s="7">
        <v>2</v>
      </c>
      <c r="B3773" s="8">
        <v>43926</v>
      </c>
      <c r="C3773" s="9" t="s">
        <v>4</v>
      </c>
      <c r="D3773" s="10">
        <v>7.9029999999999987</v>
      </c>
      <c r="E3773" s="10">
        <v>1170.5260000000001</v>
      </c>
      <c r="F3773" t="str">
        <f>VLOOKUP(A3773,StoreLookup,2,FALSE)</f>
        <v>Store#2</v>
      </c>
      <c r="G3773">
        <f>INDEX(CalLookUpTable,MATCH($B3773,CalLookUpRow,0),MATCH(G$1,CalLookUpColumn,0))</f>
        <v>2020</v>
      </c>
      <c r="H3773">
        <f>INDEX(CalLookUpTable,MATCH($B3773,CalLookUpRow,0),MATCH(H$1,CalLookUpColumn,0))</f>
        <v>4</v>
      </c>
      <c r="I3773">
        <f>INDEX(CalLookUpTable,MATCH($B3773,CalLookUpRow,0),MATCH(I$1,CalLookUpColumn,0))</f>
        <v>1</v>
      </c>
    </row>
    <row r="3774" spans="1:9" x14ac:dyDescent="0.25">
      <c r="A3774" s="7">
        <v>2</v>
      </c>
      <c r="B3774" s="8">
        <v>43927</v>
      </c>
      <c r="C3774" s="9" t="s">
        <v>4</v>
      </c>
      <c r="D3774" s="10">
        <v>-9.0790000000000006</v>
      </c>
      <c r="E3774" s="10">
        <v>1953.2029999999997</v>
      </c>
      <c r="F3774" t="str">
        <f>VLOOKUP(A3774,StoreLookup,2,FALSE)</f>
        <v>Store#2</v>
      </c>
      <c r="G3774">
        <f>INDEX(CalLookUpTable,MATCH($B3774,CalLookUpRow,0),MATCH(G$1,CalLookUpColumn,0))</f>
        <v>2020</v>
      </c>
      <c r="H3774">
        <f>INDEX(CalLookUpTable,MATCH($B3774,CalLookUpRow,0),MATCH(H$1,CalLookUpColumn,0))</f>
        <v>4</v>
      </c>
      <c r="I3774">
        <f>INDEX(CalLookUpTable,MATCH($B3774,CalLookUpRow,0),MATCH(I$1,CalLookUpColumn,0))</f>
        <v>2</v>
      </c>
    </row>
    <row r="3775" spans="1:9" x14ac:dyDescent="0.25">
      <c r="A3775" s="7">
        <v>2</v>
      </c>
      <c r="B3775" s="8">
        <v>43927</v>
      </c>
      <c r="C3775" s="9" t="s">
        <v>5</v>
      </c>
      <c r="D3775" s="10">
        <v>1696.9749999999999</v>
      </c>
      <c r="E3775" s="10">
        <v>955.29</v>
      </c>
      <c r="F3775" t="str">
        <f>VLOOKUP(A3775,StoreLookup,2,FALSE)</f>
        <v>Store#2</v>
      </c>
      <c r="G3775">
        <f>INDEX(CalLookUpTable,MATCH($B3775,CalLookUpRow,0),MATCH(G$1,CalLookUpColumn,0))</f>
        <v>2020</v>
      </c>
      <c r="H3775">
        <f>INDEX(CalLookUpTable,MATCH($B3775,CalLookUpRow,0),MATCH(H$1,CalLookUpColumn,0))</f>
        <v>4</v>
      </c>
      <c r="I3775">
        <f>INDEX(CalLookUpTable,MATCH($B3775,CalLookUpRow,0),MATCH(I$1,CalLookUpColumn,0))</f>
        <v>2</v>
      </c>
    </row>
    <row r="3776" spans="1:9" x14ac:dyDescent="0.25">
      <c r="A3776" s="7">
        <v>2</v>
      </c>
      <c r="B3776" s="8">
        <v>43927</v>
      </c>
      <c r="C3776" s="9" t="s">
        <v>3</v>
      </c>
      <c r="D3776" s="10">
        <v>14.587999999999999</v>
      </c>
      <c r="E3776" s="10">
        <v>126.931</v>
      </c>
      <c r="F3776" t="str">
        <f>VLOOKUP(A3776,StoreLookup,2,FALSE)</f>
        <v>Store#2</v>
      </c>
      <c r="G3776">
        <f>INDEX(CalLookUpTable,MATCH($B3776,CalLookUpRow,0),MATCH(G$1,CalLookUpColumn,0))</f>
        <v>2020</v>
      </c>
      <c r="H3776">
        <f>INDEX(CalLookUpTable,MATCH($B3776,CalLookUpRow,0),MATCH(H$1,CalLookUpColumn,0))</f>
        <v>4</v>
      </c>
      <c r="I3776">
        <f>INDEX(CalLookUpTable,MATCH($B3776,CalLookUpRow,0),MATCH(I$1,CalLookUpColumn,0))</f>
        <v>2</v>
      </c>
    </row>
    <row r="3777" spans="1:9" x14ac:dyDescent="0.25">
      <c r="A3777" s="7">
        <v>2</v>
      </c>
      <c r="B3777" s="8">
        <v>43927</v>
      </c>
      <c r="C3777" s="9" t="s">
        <v>6</v>
      </c>
      <c r="D3777" s="10">
        <v>1244.32</v>
      </c>
      <c r="E3777" s="10">
        <v>189.28700000000001</v>
      </c>
      <c r="F3777" t="str">
        <f>VLOOKUP(A3777,StoreLookup,2,FALSE)</f>
        <v>Store#2</v>
      </c>
      <c r="G3777">
        <f>INDEX(CalLookUpTable,MATCH($B3777,CalLookUpRow,0),MATCH(G$1,CalLookUpColumn,0))</f>
        <v>2020</v>
      </c>
      <c r="H3777">
        <f>INDEX(CalLookUpTable,MATCH($B3777,CalLookUpRow,0),MATCH(H$1,CalLookUpColumn,0))</f>
        <v>4</v>
      </c>
      <c r="I3777">
        <f>INDEX(CalLookUpTable,MATCH($B3777,CalLookUpRow,0),MATCH(I$1,CalLookUpColumn,0))</f>
        <v>2</v>
      </c>
    </row>
    <row r="3778" spans="1:9" x14ac:dyDescent="0.25">
      <c r="A3778" s="7">
        <v>2</v>
      </c>
      <c r="B3778" s="8">
        <v>43928</v>
      </c>
      <c r="C3778" s="9" t="s">
        <v>4</v>
      </c>
      <c r="D3778" s="10">
        <v>0.19600000000000001</v>
      </c>
      <c r="E3778" s="10">
        <v>1781.8710000000001</v>
      </c>
      <c r="F3778" t="str">
        <f>VLOOKUP(A3778,StoreLookup,2,FALSE)</f>
        <v>Store#2</v>
      </c>
      <c r="G3778">
        <f>INDEX(CalLookUpTable,MATCH($B3778,CalLookUpRow,0),MATCH(G$1,CalLookUpColumn,0))</f>
        <v>2020</v>
      </c>
      <c r="H3778">
        <f>INDEX(CalLookUpTable,MATCH($B3778,CalLookUpRow,0),MATCH(H$1,CalLookUpColumn,0))</f>
        <v>4</v>
      </c>
      <c r="I3778">
        <f>INDEX(CalLookUpTable,MATCH($B3778,CalLookUpRow,0),MATCH(I$1,CalLookUpColumn,0))</f>
        <v>2</v>
      </c>
    </row>
    <row r="3779" spans="1:9" x14ac:dyDescent="0.25">
      <c r="A3779" s="7">
        <v>2</v>
      </c>
      <c r="B3779" s="8">
        <v>43928</v>
      </c>
      <c r="C3779" s="9" t="s">
        <v>6</v>
      </c>
      <c r="D3779" s="10">
        <v>1544.7809999999999</v>
      </c>
      <c r="E3779" s="10">
        <v>273.18199999999996</v>
      </c>
      <c r="F3779" t="str">
        <f>VLOOKUP(A3779,StoreLookup,2,FALSE)</f>
        <v>Store#2</v>
      </c>
      <c r="G3779">
        <f>INDEX(CalLookUpTable,MATCH($B3779,CalLookUpRow,0),MATCH(G$1,CalLookUpColumn,0))</f>
        <v>2020</v>
      </c>
      <c r="H3779">
        <f>INDEX(CalLookUpTable,MATCH($B3779,CalLookUpRow,0),MATCH(H$1,CalLookUpColumn,0))</f>
        <v>4</v>
      </c>
      <c r="I3779">
        <f>INDEX(CalLookUpTable,MATCH($B3779,CalLookUpRow,0),MATCH(I$1,CalLookUpColumn,0))</f>
        <v>2</v>
      </c>
    </row>
    <row r="3780" spans="1:9" x14ac:dyDescent="0.25">
      <c r="A3780" s="7">
        <v>2</v>
      </c>
      <c r="B3780" s="8">
        <v>43928</v>
      </c>
      <c r="C3780" s="9" t="s">
        <v>5</v>
      </c>
      <c r="D3780" s="10">
        <v>2386.8179999999998</v>
      </c>
      <c r="E3780" s="10">
        <v>1254.0429999999999</v>
      </c>
      <c r="F3780" t="str">
        <f>VLOOKUP(A3780,StoreLookup,2,FALSE)</f>
        <v>Store#2</v>
      </c>
      <c r="G3780">
        <f>INDEX(CalLookUpTable,MATCH($B3780,CalLookUpRow,0),MATCH(G$1,CalLookUpColumn,0))</f>
        <v>2020</v>
      </c>
      <c r="H3780">
        <f>INDEX(CalLookUpTable,MATCH($B3780,CalLookUpRow,0),MATCH(H$1,CalLookUpColumn,0))</f>
        <v>4</v>
      </c>
      <c r="I3780">
        <f>INDEX(CalLookUpTable,MATCH($B3780,CalLookUpRow,0),MATCH(I$1,CalLookUpColumn,0))</f>
        <v>2</v>
      </c>
    </row>
    <row r="3781" spans="1:9" x14ac:dyDescent="0.25">
      <c r="A3781" s="7">
        <v>2</v>
      </c>
      <c r="B3781" s="8">
        <v>43928</v>
      </c>
      <c r="C3781" s="9" t="s">
        <v>3</v>
      </c>
      <c r="D3781" s="10">
        <v>144.71099999999998</v>
      </c>
      <c r="E3781" s="10">
        <v>0</v>
      </c>
      <c r="F3781" t="str">
        <f>VLOOKUP(A3781,StoreLookup,2,FALSE)</f>
        <v>Store#2</v>
      </c>
      <c r="G3781">
        <f>INDEX(CalLookUpTable,MATCH($B3781,CalLookUpRow,0),MATCH(G$1,CalLookUpColumn,0))</f>
        <v>2020</v>
      </c>
      <c r="H3781">
        <f>INDEX(CalLookUpTable,MATCH($B3781,CalLookUpRow,0),MATCH(H$1,CalLookUpColumn,0))</f>
        <v>4</v>
      </c>
      <c r="I3781">
        <f>INDEX(CalLookUpTable,MATCH($B3781,CalLookUpRow,0),MATCH(I$1,CalLookUpColumn,0))</f>
        <v>2</v>
      </c>
    </row>
    <row r="3782" spans="1:9" x14ac:dyDescent="0.25">
      <c r="A3782" s="7">
        <v>2</v>
      </c>
      <c r="B3782" s="8">
        <v>43929</v>
      </c>
      <c r="C3782" s="9" t="s">
        <v>4</v>
      </c>
      <c r="D3782" s="10">
        <v>-44.890999999999991</v>
      </c>
      <c r="E3782" s="10">
        <v>1813.5319999999999</v>
      </c>
      <c r="F3782" t="str">
        <f>VLOOKUP(A3782,StoreLookup,2,FALSE)</f>
        <v>Store#2</v>
      </c>
      <c r="G3782">
        <f>INDEX(CalLookUpTable,MATCH($B3782,CalLookUpRow,0),MATCH(G$1,CalLookUpColumn,0))</f>
        <v>2020</v>
      </c>
      <c r="H3782">
        <f>INDEX(CalLookUpTable,MATCH($B3782,CalLookUpRow,0),MATCH(H$1,CalLookUpColumn,0))</f>
        <v>4</v>
      </c>
      <c r="I3782">
        <f>INDEX(CalLookUpTable,MATCH($B3782,CalLookUpRow,0),MATCH(I$1,CalLookUpColumn,0))</f>
        <v>2</v>
      </c>
    </row>
    <row r="3783" spans="1:9" x14ac:dyDescent="0.25">
      <c r="A3783" s="7">
        <v>2</v>
      </c>
      <c r="B3783" s="8">
        <v>43929</v>
      </c>
      <c r="C3783" s="9" t="s">
        <v>5</v>
      </c>
      <c r="D3783" s="10">
        <v>2545.6059999999998</v>
      </c>
      <c r="E3783" s="10">
        <v>1099.441</v>
      </c>
      <c r="F3783" t="str">
        <f>VLOOKUP(A3783,StoreLookup,2,FALSE)</f>
        <v>Store#2</v>
      </c>
      <c r="G3783">
        <f>INDEX(CalLookUpTable,MATCH($B3783,CalLookUpRow,0),MATCH(G$1,CalLookUpColumn,0))</f>
        <v>2020</v>
      </c>
      <c r="H3783">
        <f>INDEX(CalLookUpTable,MATCH($B3783,CalLookUpRow,0),MATCH(H$1,CalLookUpColumn,0))</f>
        <v>4</v>
      </c>
      <c r="I3783">
        <f>INDEX(CalLookUpTable,MATCH($B3783,CalLookUpRow,0),MATCH(I$1,CalLookUpColumn,0))</f>
        <v>2</v>
      </c>
    </row>
    <row r="3784" spans="1:9" x14ac:dyDescent="0.25">
      <c r="A3784" s="7">
        <v>2</v>
      </c>
      <c r="B3784" s="8">
        <v>43929</v>
      </c>
      <c r="C3784" s="9" t="s">
        <v>6</v>
      </c>
      <c r="D3784" s="10">
        <v>1640.6949999999999</v>
      </c>
      <c r="E3784" s="10">
        <v>331.68099999999998</v>
      </c>
      <c r="F3784" t="str">
        <f>VLOOKUP(A3784,StoreLookup,2,FALSE)</f>
        <v>Store#2</v>
      </c>
      <c r="G3784">
        <f>INDEX(CalLookUpTable,MATCH($B3784,CalLookUpRow,0),MATCH(G$1,CalLookUpColumn,0))</f>
        <v>2020</v>
      </c>
      <c r="H3784">
        <f>INDEX(CalLookUpTable,MATCH($B3784,CalLookUpRow,0),MATCH(H$1,CalLookUpColumn,0))</f>
        <v>4</v>
      </c>
      <c r="I3784">
        <f>INDEX(CalLookUpTable,MATCH($B3784,CalLookUpRow,0),MATCH(I$1,CalLookUpColumn,0))</f>
        <v>2</v>
      </c>
    </row>
    <row r="3785" spans="1:9" x14ac:dyDescent="0.25">
      <c r="A3785" s="7">
        <v>2</v>
      </c>
      <c r="B3785" s="8">
        <v>43929</v>
      </c>
      <c r="C3785" s="9" t="s">
        <v>3</v>
      </c>
      <c r="D3785" s="10">
        <v>33.264000000000003</v>
      </c>
      <c r="E3785" s="10">
        <v>0</v>
      </c>
      <c r="F3785" t="str">
        <f>VLOOKUP(A3785,StoreLookup,2,FALSE)</f>
        <v>Store#2</v>
      </c>
      <c r="G3785">
        <f>INDEX(CalLookUpTable,MATCH($B3785,CalLookUpRow,0),MATCH(G$1,CalLookUpColumn,0))</f>
        <v>2020</v>
      </c>
      <c r="H3785">
        <f>INDEX(CalLookUpTable,MATCH($B3785,CalLookUpRow,0),MATCH(H$1,CalLookUpColumn,0))</f>
        <v>4</v>
      </c>
      <c r="I3785">
        <f>INDEX(CalLookUpTable,MATCH($B3785,CalLookUpRow,0),MATCH(I$1,CalLookUpColumn,0))</f>
        <v>2</v>
      </c>
    </row>
    <row r="3786" spans="1:9" x14ac:dyDescent="0.25">
      <c r="A3786" s="7">
        <v>2</v>
      </c>
      <c r="B3786" s="8">
        <v>43930</v>
      </c>
      <c r="C3786" s="9" t="s">
        <v>3</v>
      </c>
      <c r="D3786" s="10">
        <v>0</v>
      </c>
      <c r="E3786" s="10">
        <v>281.56799999999998</v>
      </c>
      <c r="F3786" t="str">
        <f>VLOOKUP(A3786,StoreLookup,2,FALSE)</f>
        <v>Store#2</v>
      </c>
      <c r="G3786">
        <f>INDEX(CalLookUpTable,MATCH($B3786,CalLookUpRow,0),MATCH(G$1,CalLookUpColumn,0))</f>
        <v>2020</v>
      </c>
      <c r="H3786">
        <f>INDEX(CalLookUpTable,MATCH($B3786,CalLookUpRow,0),MATCH(H$1,CalLookUpColumn,0))</f>
        <v>4</v>
      </c>
      <c r="I3786">
        <f>INDEX(CalLookUpTable,MATCH($B3786,CalLookUpRow,0),MATCH(I$1,CalLookUpColumn,0))</f>
        <v>2</v>
      </c>
    </row>
    <row r="3787" spans="1:9" x14ac:dyDescent="0.25">
      <c r="A3787" s="7">
        <v>2</v>
      </c>
      <c r="B3787" s="8">
        <v>43930</v>
      </c>
      <c r="C3787" s="9" t="s">
        <v>6</v>
      </c>
      <c r="D3787" s="10">
        <v>1814.0359999999998</v>
      </c>
      <c r="E3787" s="10">
        <v>347.98399999999998</v>
      </c>
      <c r="F3787" t="str">
        <f>VLOOKUP(A3787,StoreLookup,2,FALSE)</f>
        <v>Store#2</v>
      </c>
      <c r="G3787">
        <f>INDEX(CalLookUpTable,MATCH($B3787,CalLookUpRow,0),MATCH(G$1,CalLookUpColumn,0))</f>
        <v>2020</v>
      </c>
      <c r="H3787">
        <f>INDEX(CalLookUpTable,MATCH($B3787,CalLookUpRow,0),MATCH(H$1,CalLookUpColumn,0))</f>
        <v>4</v>
      </c>
      <c r="I3787">
        <f>INDEX(CalLookUpTable,MATCH($B3787,CalLookUpRow,0),MATCH(I$1,CalLookUpColumn,0))</f>
        <v>2</v>
      </c>
    </row>
    <row r="3788" spans="1:9" x14ac:dyDescent="0.25">
      <c r="A3788" s="7">
        <v>2</v>
      </c>
      <c r="B3788" s="8">
        <v>43930</v>
      </c>
      <c r="C3788" s="9" t="s">
        <v>4</v>
      </c>
      <c r="D3788" s="10">
        <v>35.567</v>
      </c>
      <c r="E3788" s="10">
        <v>1736.0139999999999</v>
      </c>
      <c r="F3788" t="str">
        <f>VLOOKUP(A3788,StoreLookup,2,FALSE)</f>
        <v>Store#2</v>
      </c>
      <c r="G3788">
        <f>INDEX(CalLookUpTable,MATCH($B3788,CalLookUpRow,0),MATCH(G$1,CalLookUpColumn,0))</f>
        <v>2020</v>
      </c>
      <c r="H3788">
        <f>INDEX(CalLookUpTable,MATCH($B3788,CalLookUpRow,0),MATCH(H$1,CalLookUpColumn,0))</f>
        <v>4</v>
      </c>
      <c r="I3788">
        <f>INDEX(CalLookUpTable,MATCH($B3788,CalLookUpRow,0),MATCH(I$1,CalLookUpColumn,0))</f>
        <v>2</v>
      </c>
    </row>
    <row r="3789" spans="1:9" x14ac:dyDescent="0.25">
      <c r="A3789" s="7">
        <v>2</v>
      </c>
      <c r="B3789" s="8">
        <v>43930</v>
      </c>
      <c r="C3789" s="9" t="s">
        <v>5</v>
      </c>
      <c r="D3789" s="10">
        <v>2372.3490000000002</v>
      </c>
      <c r="E3789" s="10">
        <v>1039.3529999999998</v>
      </c>
      <c r="F3789" t="str">
        <f>VLOOKUP(A3789,StoreLookup,2,FALSE)</f>
        <v>Store#2</v>
      </c>
      <c r="G3789">
        <f>INDEX(CalLookUpTable,MATCH($B3789,CalLookUpRow,0),MATCH(G$1,CalLookUpColumn,0))</f>
        <v>2020</v>
      </c>
      <c r="H3789">
        <f>INDEX(CalLookUpTable,MATCH($B3789,CalLookUpRow,0),MATCH(H$1,CalLookUpColumn,0))</f>
        <v>4</v>
      </c>
      <c r="I3789">
        <f>INDEX(CalLookUpTable,MATCH($B3789,CalLookUpRow,0),MATCH(I$1,CalLookUpColumn,0))</f>
        <v>2</v>
      </c>
    </row>
    <row r="3790" spans="1:9" x14ac:dyDescent="0.25">
      <c r="A3790" s="7">
        <v>2</v>
      </c>
      <c r="B3790" s="8">
        <v>43931</v>
      </c>
      <c r="C3790" s="9" t="s">
        <v>6</v>
      </c>
      <c r="D3790" s="10">
        <v>2746.835</v>
      </c>
      <c r="E3790" s="10">
        <v>266.97999999999996</v>
      </c>
      <c r="F3790" t="str">
        <f>VLOOKUP(A3790,StoreLookup,2,FALSE)</f>
        <v>Store#2</v>
      </c>
      <c r="G3790">
        <f>INDEX(CalLookUpTable,MATCH($B3790,CalLookUpRow,0),MATCH(G$1,CalLookUpColumn,0))</f>
        <v>2020</v>
      </c>
      <c r="H3790">
        <f>INDEX(CalLookUpTable,MATCH($B3790,CalLookUpRow,0),MATCH(H$1,CalLookUpColumn,0))</f>
        <v>4</v>
      </c>
      <c r="I3790">
        <f>INDEX(CalLookUpTable,MATCH($B3790,CalLookUpRow,0),MATCH(I$1,CalLookUpColumn,0))</f>
        <v>2</v>
      </c>
    </row>
    <row r="3791" spans="1:9" x14ac:dyDescent="0.25">
      <c r="A3791" s="7">
        <v>2</v>
      </c>
      <c r="B3791" s="8">
        <v>43931</v>
      </c>
      <c r="C3791" s="9" t="s">
        <v>3</v>
      </c>
      <c r="D3791" s="10">
        <v>25.528999999999996</v>
      </c>
      <c r="E3791" s="10">
        <v>0</v>
      </c>
      <c r="F3791" t="str">
        <f>VLOOKUP(A3791,StoreLookup,2,FALSE)</f>
        <v>Store#2</v>
      </c>
      <c r="G3791">
        <f>INDEX(CalLookUpTable,MATCH($B3791,CalLookUpRow,0),MATCH(G$1,CalLookUpColumn,0))</f>
        <v>2020</v>
      </c>
      <c r="H3791">
        <f>INDEX(CalLookUpTable,MATCH($B3791,CalLookUpRow,0),MATCH(H$1,CalLookUpColumn,0))</f>
        <v>4</v>
      </c>
      <c r="I3791">
        <f>INDEX(CalLookUpTable,MATCH($B3791,CalLookUpRow,0),MATCH(I$1,CalLookUpColumn,0))</f>
        <v>2</v>
      </c>
    </row>
    <row r="3792" spans="1:9" x14ac:dyDescent="0.25">
      <c r="A3792" s="7">
        <v>2</v>
      </c>
      <c r="B3792" s="8">
        <v>43931</v>
      </c>
      <c r="C3792" s="9" t="s">
        <v>4</v>
      </c>
      <c r="D3792" s="10">
        <v>14.055999999999997</v>
      </c>
      <c r="E3792" s="10">
        <v>2672.3689999999997</v>
      </c>
      <c r="F3792" t="str">
        <f>VLOOKUP(A3792,StoreLookup,2,FALSE)</f>
        <v>Store#2</v>
      </c>
      <c r="G3792">
        <f>INDEX(CalLookUpTable,MATCH($B3792,CalLookUpRow,0),MATCH(G$1,CalLookUpColumn,0))</f>
        <v>2020</v>
      </c>
      <c r="H3792">
        <f>INDEX(CalLookUpTable,MATCH($B3792,CalLookUpRow,0),MATCH(H$1,CalLookUpColumn,0))</f>
        <v>4</v>
      </c>
      <c r="I3792">
        <f>INDEX(CalLookUpTable,MATCH($B3792,CalLookUpRow,0),MATCH(I$1,CalLookUpColumn,0))</f>
        <v>2</v>
      </c>
    </row>
    <row r="3793" spans="1:9" x14ac:dyDescent="0.25">
      <c r="A3793" s="7">
        <v>2</v>
      </c>
      <c r="B3793" s="8">
        <v>43931</v>
      </c>
      <c r="C3793" s="9" t="s">
        <v>5</v>
      </c>
      <c r="D3793" s="10">
        <v>3382.8969999999999</v>
      </c>
      <c r="E3793" s="10">
        <v>1335.9079999999999</v>
      </c>
      <c r="F3793" t="str">
        <f>VLOOKUP(A3793,StoreLookup,2,FALSE)</f>
        <v>Store#2</v>
      </c>
      <c r="G3793">
        <f>INDEX(CalLookUpTable,MATCH($B3793,CalLookUpRow,0),MATCH(G$1,CalLookUpColumn,0))</f>
        <v>2020</v>
      </c>
      <c r="H3793">
        <f>INDEX(CalLookUpTable,MATCH($B3793,CalLookUpRow,0),MATCH(H$1,CalLookUpColumn,0))</f>
        <v>4</v>
      </c>
      <c r="I3793">
        <f>INDEX(CalLookUpTable,MATCH($B3793,CalLookUpRow,0),MATCH(I$1,CalLookUpColumn,0))</f>
        <v>2</v>
      </c>
    </row>
    <row r="3794" spans="1:9" x14ac:dyDescent="0.25">
      <c r="A3794" s="7">
        <v>2</v>
      </c>
      <c r="B3794" s="8">
        <v>43932</v>
      </c>
      <c r="C3794" s="9" t="s">
        <v>6</v>
      </c>
      <c r="D3794" s="10">
        <v>1733.396</v>
      </c>
      <c r="E3794" s="10">
        <v>307.29300000000001</v>
      </c>
      <c r="F3794" t="str">
        <f>VLOOKUP(A3794,StoreLookup,2,FALSE)</f>
        <v>Store#2</v>
      </c>
      <c r="G3794">
        <f>INDEX(CalLookUpTable,MATCH($B3794,CalLookUpRow,0),MATCH(G$1,CalLookUpColumn,0))</f>
        <v>2020</v>
      </c>
      <c r="H3794">
        <f>INDEX(CalLookUpTable,MATCH($B3794,CalLookUpRow,0),MATCH(H$1,CalLookUpColumn,0))</f>
        <v>4</v>
      </c>
      <c r="I3794">
        <f>INDEX(CalLookUpTable,MATCH($B3794,CalLookUpRow,0),MATCH(I$1,CalLookUpColumn,0))</f>
        <v>2</v>
      </c>
    </row>
    <row r="3795" spans="1:9" x14ac:dyDescent="0.25">
      <c r="A3795" s="7">
        <v>2</v>
      </c>
      <c r="B3795" s="8">
        <v>43932</v>
      </c>
      <c r="C3795" s="9" t="s">
        <v>4</v>
      </c>
      <c r="D3795" s="10">
        <v>-14.762999999999998</v>
      </c>
      <c r="E3795" s="10">
        <v>2818.3609999999999</v>
      </c>
      <c r="F3795" t="str">
        <f>VLOOKUP(A3795,StoreLookup,2,FALSE)</f>
        <v>Store#2</v>
      </c>
      <c r="G3795">
        <f>INDEX(CalLookUpTable,MATCH($B3795,CalLookUpRow,0),MATCH(G$1,CalLookUpColumn,0))</f>
        <v>2020</v>
      </c>
      <c r="H3795">
        <f>INDEX(CalLookUpTable,MATCH($B3795,CalLookUpRow,0),MATCH(H$1,CalLookUpColumn,0))</f>
        <v>4</v>
      </c>
      <c r="I3795">
        <f>INDEX(CalLookUpTable,MATCH($B3795,CalLookUpRow,0),MATCH(I$1,CalLookUpColumn,0))</f>
        <v>2</v>
      </c>
    </row>
    <row r="3796" spans="1:9" x14ac:dyDescent="0.25">
      <c r="A3796" s="7">
        <v>2</v>
      </c>
      <c r="B3796" s="8">
        <v>43932</v>
      </c>
      <c r="C3796" s="9" t="s">
        <v>3</v>
      </c>
      <c r="D3796" s="10">
        <v>0</v>
      </c>
      <c r="E3796" s="10">
        <v>0</v>
      </c>
      <c r="F3796" t="str">
        <f>VLOOKUP(A3796,StoreLookup,2,FALSE)</f>
        <v>Store#2</v>
      </c>
      <c r="G3796">
        <f>INDEX(CalLookUpTable,MATCH($B3796,CalLookUpRow,0),MATCH(G$1,CalLookUpColumn,0))</f>
        <v>2020</v>
      </c>
      <c r="H3796">
        <f>INDEX(CalLookUpTable,MATCH($B3796,CalLookUpRow,0),MATCH(H$1,CalLookUpColumn,0))</f>
        <v>4</v>
      </c>
      <c r="I3796">
        <f>INDEX(CalLookUpTable,MATCH($B3796,CalLookUpRow,0),MATCH(I$1,CalLookUpColumn,0))</f>
        <v>2</v>
      </c>
    </row>
    <row r="3797" spans="1:9" x14ac:dyDescent="0.25">
      <c r="A3797" s="7">
        <v>2</v>
      </c>
      <c r="B3797" s="8">
        <v>43932</v>
      </c>
      <c r="C3797" s="9" t="s">
        <v>5</v>
      </c>
      <c r="D3797" s="10">
        <v>2739.058</v>
      </c>
      <c r="E3797" s="10">
        <v>1125.7049999999999</v>
      </c>
      <c r="F3797" t="str">
        <f>VLOOKUP(A3797,StoreLookup,2,FALSE)</f>
        <v>Store#2</v>
      </c>
      <c r="G3797">
        <f>INDEX(CalLookUpTable,MATCH($B3797,CalLookUpRow,0),MATCH(G$1,CalLookUpColumn,0))</f>
        <v>2020</v>
      </c>
      <c r="H3797">
        <f>INDEX(CalLookUpTable,MATCH($B3797,CalLookUpRow,0),MATCH(H$1,CalLookUpColumn,0))</f>
        <v>4</v>
      </c>
      <c r="I3797">
        <f>INDEX(CalLookUpTable,MATCH($B3797,CalLookUpRow,0),MATCH(I$1,CalLookUpColumn,0))</f>
        <v>2</v>
      </c>
    </row>
    <row r="3798" spans="1:9" x14ac:dyDescent="0.25">
      <c r="A3798" s="7">
        <v>2</v>
      </c>
      <c r="B3798" s="8">
        <v>43933</v>
      </c>
      <c r="C3798" s="9" t="s">
        <v>6</v>
      </c>
      <c r="D3798" s="10">
        <v>590.50599999999997</v>
      </c>
      <c r="E3798" s="10">
        <v>262.91299999999995</v>
      </c>
      <c r="F3798" t="str">
        <f>VLOOKUP(A3798,StoreLookup,2,FALSE)</f>
        <v>Store#2</v>
      </c>
      <c r="G3798">
        <f>INDEX(CalLookUpTable,MATCH($B3798,CalLookUpRow,0),MATCH(G$1,CalLookUpColumn,0))</f>
        <v>2020</v>
      </c>
      <c r="H3798">
        <f>INDEX(CalLookUpTable,MATCH($B3798,CalLookUpRow,0),MATCH(H$1,CalLookUpColumn,0))</f>
        <v>4</v>
      </c>
      <c r="I3798">
        <f>INDEX(CalLookUpTable,MATCH($B3798,CalLookUpRow,0),MATCH(I$1,CalLookUpColumn,0))</f>
        <v>2</v>
      </c>
    </row>
    <row r="3799" spans="1:9" x14ac:dyDescent="0.25">
      <c r="A3799" s="7">
        <v>2</v>
      </c>
      <c r="B3799" s="8">
        <v>43933</v>
      </c>
      <c r="C3799" s="9" t="s">
        <v>4</v>
      </c>
      <c r="D3799" s="10">
        <v>-19.782</v>
      </c>
      <c r="E3799" s="10">
        <v>1461.383</v>
      </c>
      <c r="F3799" t="str">
        <f>VLOOKUP(A3799,StoreLookup,2,FALSE)</f>
        <v>Store#2</v>
      </c>
      <c r="G3799">
        <f>INDEX(CalLookUpTable,MATCH($B3799,CalLookUpRow,0),MATCH(G$1,CalLookUpColumn,0))</f>
        <v>2020</v>
      </c>
      <c r="H3799">
        <f>INDEX(CalLookUpTable,MATCH($B3799,CalLookUpRow,0),MATCH(H$1,CalLookUpColumn,0))</f>
        <v>4</v>
      </c>
      <c r="I3799">
        <f>INDEX(CalLookUpTable,MATCH($B3799,CalLookUpRow,0),MATCH(I$1,CalLookUpColumn,0))</f>
        <v>2</v>
      </c>
    </row>
    <row r="3800" spans="1:9" x14ac:dyDescent="0.25">
      <c r="A3800" s="7">
        <v>2</v>
      </c>
      <c r="B3800" s="8">
        <v>43933</v>
      </c>
      <c r="C3800" s="9" t="s">
        <v>3</v>
      </c>
      <c r="D3800" s="10">
        <v>0</v>
      </c>
      <c r="E3800" s="10">
        <v>0</v>
      </c>
      <c r="F3800" t="str">
        <f>VLOOKUP(A3800,StoreLookup,2,FALSE)</f>
        <v>Store#2</v>
      </c>
      <c r="G3800">
        <f>INDEX(CalLookUpTable,MATCH($B3800,CalLookUpRow,0),MATCH(G$1,CalLookUpColumn,0))</f>
        <v>2020</v>
      </c>
      <c r="H3800">
        <f>INDEX(CalLookUpTable,MATCH($B3800,CalLookUpRow,0),MATCH(H$1,CalLookUpColumn,0))</f>
        <v>4</v>
      </c>
      <c r="I3800">
        <f>INDEX(CalLookUpTable,MATCH($B3800,CalLookUpRow,0),MATCH(I$1,CalLookUpColumn,0))</f>
        <v>2</v>
      </c>
    </row>
    <row r="3801" spans="1:9" x14ac:dyDescent="0.25">
      <c r="A3801" s="7">
        <v>2</v>
      </c>
      <c r="B3801" s="8">
        <v>43933</v>
      </c>
      <c r="C3801" s="9" t="s">
        <v>5</v>
      </c>
      <c r="D3801" s="10">
        <v>1301.482</v>
      </c>
      <c r="E3801" s="10">
        <v>547.673</v>
      </c>
      <c r="F3801" t="str">
        <f>VLOOKUP(A3801,StoreLookup,2,FALSE)</f>
        <v>Store#2</v>
      </c>
      <c r="G3801">
        <f>INDEX(CalLookUpTable,MATCH($B3801,CalLookUpRow,0),MATCH(G$1,CalLookUpColumn,0))</f>
        <v>2020</v>
      </c>
      <c r="H3801">
        <f>INDEX(CalLookUpTable,MATCH($B3801,CalLookUpRow,0),MATCH(H$1,CalLookUpColumn,0))</f>
        <v>4</v>
      </c>
      <c r="I3801">
        <f>INDEX(CalLookUpTable,MATCH($B3801,CalLookUpRow,0),MATCH(I$1,CalLookUpColumn,0))</f>
        <v>2</v>
      </c>
    </row>
    <row r="3802" spans="1:9" x14ac:dyDescent="0.25">
      <c r="A3802" s="7">
        <v>2</v>
      </c>
      <c r="B3802" s="8">
        <v>43934</v>
      </c>
      <c r="C3802" s="9" t="s">
        <v>4</v>
      </c>
      <c r="D3802" s="10">
        <v>-23.414999999999999</v>
      </c>
      <c r="E3802" s="10">
        <v>1564.9549999999999</v>
      </c>
      <c r="F3802" t="str">
        <f>VLOOKUP(A3802,StoreLookup,2,FALSE)</f>
        <v>Store#2</v>
      </c>
      <c r="G3802">
        <f>INDEX(CalLookUpTable,MATCH($B3802,CalLookUpRow,0),MATCH(G$1,CalLookUpColumn,0))</f>
        <v>2020</v>
      </c>
      <c r="H3802">
        <f>INDEX(CalLookUpTable,MATCH($B3802,CalLookUpRow,0),MATCH(H$1,CalLookUpColumn,0))</f>
        <v>4</v>
      </c>
      <c r="I3802">
        <f>INDEX(CalLookUpTable,MATCH($B3802,CalLookUpRow,0),MATCH(I$1,CalLookUpColumn,0))</f>
        <v>3</v>
      </c>
    </row>
    <row r="3803" spans="1:9" x14ac:dyDescent="0.25">
      <c r="A3803" s="7">
        <v>2</v>
      </c>
      <c r="B3803" s="8">
        <v>43934</v>
      </c>
      <c r="C3803" s="9" t="s">
        <v>3</v>
      </c>
      <c r="D3803" s="10">
        <v>13.691999999999998</v>
      </c>
      <c r="E3803" s="10">
        <v>0</v>
      </c>
      <c r="F3803" t="str">
        <f>VLOOKUP(A3803,StoreLookup,2,FALSE)</f>
        <v>Store#2</v>
      </c>
      <c r="G3803">
        <f>INDEX(CalLookUpTable,MATCH($B3803,CalLookUpRow,0),MATCH(G$1,CalLookUpColumn,0))</f>
        <v>2020</v>
      </c>
      <c r="H3803">
        <f>INDEX(CalLookUpTable,MATCH($B3803,CalLookUpRow,0),MATCH(H$1,CalLookUpColumn,0))</f>
        <v>4</v>
      </c>
      <c r="I3803">
        <f>INDEX(CalLookUpTable,MATCH($B3803,CalLookUpRow,0),MATCH(I$1,CalLookUpColumn,0))</f>
        <v>3</v>
      </c>
    </row>
    <row r="3804" spans="1:9" x14ac:dyDescent="0.25">
      <c r="A3804" s="7">
        <v>2</v>
      </c>
      <c r="B3804" s="8">
        <v>43934</v>
      </c>
      <c r="C3804" s="9" t="s">
        <v>6</v>
      </c>
      <c r="D3804" s="10">
        <v>1434.3139999999999</v>
      </c>
      <c r="E3804" s="10">
        <v>368.02499999999998</v>
      </c>
      <c r="F3804" t="str">
        <f>VLOOKUP(A3804,StoreLookup,2,FALSE)</f>
        <v>Store#2</v>
      </c>
      <c r="G3804">
        <f>INDEX(CalLookUpTable,MATCH($B3804,CalLookUpRow,0),MATCH(G$1,CalLookUpColumn,0))</f>
        <v>2020</v>
      </c>
      <c r="H3804">
        <f>INDEX(CalLookUpTable,MATCH($B3804,CalLookUpRow,0),MATCH(H$1,CalLookUpColumn,0))</f>
        <v>4</v>
      </c>
      <c r="I3804">
        <f>INDEX(CalLookUpTable,MATCH($B3804,CalLookUpRow,0),MATCH(I$1,CalLookUpColumn,0))</f>
        <v>3</v>
      </c>
    </row>
    <row r="3805" spans="1:9" x14ac:dyDescent="0.25">
      <c r="A3805" s="7">
        <v>2</v>
      </c>
      <c r="B3805" s="8">
        <v>43934</v>
      </c>
      <c r="C3805" s="9" t="s">
        <v>5</v>
      </c>
      <c r="D3805" s="10">
        <v>1913.7859999999998</v>
      </c>
      <c r="E3805" s="10">
        <v>1083.4949999999999</v>
      </c>
      <c r="F3805" t="str">
        <f>VLOOKUP(A3805,StoreLookup,2,FALSE)</f>
        <v>Store#2</v>
      </c>
      <c r="G3805">
        <f>INDEX(CalLookUpTable,MATCH($B3805,CalLookUpRow,0),MATCH(G$1,CalLookUpColumn,0))</f>
        <v>2020</v>
      </c>
      <c r="H3805">
        <f>INDEX(CalLookUpTable,MATCH($B3805,CalLookUpRow,0),MATCH(H$1,CalLookUpColumn,0))</f>
        <v>4</v>
      </c>
      <c r="I3805">
        <f>INDEX(CalLookUpTable,MATCH($B3805,CalLookUpRow,0),MATCH(I$1,CalLookUpColumn,0))</f>
        <v>3</v>
      </c>
    </row>
    <row r="3806" spans="1:9" x14ac:dyDescent="0.25">
      <c r="A3806" s="7">
        <v>2</v>
      </c>
      <c r="B3806" s="8">
        <v>43935</v>
      </c>
      <c r="C3806" s="9" t="s">
        <v>4</v>
      </c>
      <c r="D3806" s="10">
        <v>0</v>
      </c>
      <c r="E3806" s="10">
        <v>1991.8219999999999</v>
      </c>
      <c r="F3806" t="str">
        <f>VLOOKUP(A3806,StoreLookup,2,FALSE)</f>
        <v>Store#2</v>
      </c>
      <c r="G3806">
        <f>INDEX(CalLookUpTable,MATCH($B3806,CalLookUpRow,0),MATCH(G$1,CalLookUpColumn,0))</f>
        <v>2020</v>
      </c>
      <c r="H3806">
        <f>INDEX(CalLookUpTable,MATCH($B3806,CalLookUpRow,0),MATCH(H$1,CalLookUpColumn,0))</f>
        <v>4</v>
      </c>
      <c r="I3806">
        <f>INDEX(CalLookUpTable,MATCH($B3806,CalLookUpRow,0),MATCH(I$1,CalLookUpColumn,0))</f>
        <v>3</v>
      </c>
    </row>
    <row r="3807" spans="1:9" x14ac:dyDescent="0.25">
      <c r="A3807" s="7">
        <v>2</v>
      </c>
      <c r="B3807" s="8">
        <v>43935</v>
      </c>
      <c r="C3807" s="9" t="s">
        <v>6</v>
      </c>
      <c r="D3807" s="10">
        <v>2430.5119999999997</v>
      </c>
      <c r="E3807" s="10">
        <v>221.63399999999999</v>
      </c>
      <c r="F3807" t="str">
        <f>VLOOKUP(A3807,StoreLookup,2,FALSE)</f>
        <v>Store#2</v>
      </c>
      <c r="G3807">
        <f>INDEX(CalLookUpTable,MATCH($B3807,CalLookUpRow,0),MATCH(G$1,CalLookUpColumn,0))</f>
        <v>2020</v>
      </c>
      <c r="H3807">
        <f>INDEX(CalLookUpTable,MATCH($B3807,CalLookUpRow,0),MATCH(H$1,CalLookUpColumn,0))</f>
        <v>4</v>
      </c>
      <c r="I3807">
        <f>INDEX(CalLookUpTable,MATCH($B3807,CalLookUpRow,0),MATCH(I$1,CalLookUpColumn,0))</f>
        <v>3</v>
      </c>
    </row>
    <row r="3808" spans="1:9" x14ac:dyDescent="0.25">
      <c r="A3808" s="7">
        <v>2</v>
      </c>
      <c r="B3808" s="8">
        <v>43935</v>
      </c>
      <c r="C3808" s="9" t="s">
        <v>3</v>
      </c>
      <c r="D3808" s="10">
        <v>66.254999999999995</v>
      </c>
      <c r="E3808" s="10">
        <v>0</v>
      </c>
      <c r="F3808" t="str">
        <f>VLOOKUP(A3808,StoreLookup,2,FALSE)</f>
        <v>Store#2</v>
      </c>
      <c r="G3808">
        <f>INDEX(CalLookUpTable,MATCH($B3808,CalLookUpRow,0),MATCH(G$1,CalLookUpColumn,0))</f>
        <v>2020</v>
      </c>
      <c r="H3808">
        <f>INDEX(CalLookUpTable,MATCH($B3808,CalLookUpRow,0),MATCH(H$1,CalLookUpColumn,0))</f>
        <v>4</v>
      </c>
      <c r="I3808">
        <f>INDEX(CalLookUpTable,MATCH($B3808,CalLookUpRow,0),MATCH(I$1,CalLookUpColumn,0))</f>
        <v>3</v>
      </c>
    </row>
    <row r="3809" spans="1:9" x14ac:dyDescent="0.25">
      <c r="A3809" s="7">
        <v>2</v>
      </c>
      <c r="B3809" s="8">
        <v>43935</v>
      </c>
      <c r="C3809" s="9" t="s">
        <v>5</v>
      </c>
      <c r="D3809" s="10">
        <v>3016.6010000000001</v>
      </c>
      <c r="E3809" s="10">
        <v>847.74899999999991</v>
      </c>
      <c r="F3809" t="str">
        <f>VLOOKUP(A3809,StoreLookup,2,FALSE)</f>
        <v>Store#2</v>
      </c>
      <c r="G3809">
        <f>INDEX(CalLookUpTable,MATCH($B3809,CalLookUpRow,0),MATCH(G$1,CalLookUpColumn,0))</f>
        <v>2020</v>
      </c>
      <c r="H3809">
        <f>INDEX(CalLookUpTable,MATCH($B3809,CalLookUpRow,0),MATCH(H$1,CalLookUpColumn,0))</f>
        <v>4</v>
      </c>
      <c r="I3809">
        <f>INDEX(CalLookUpTable,MATCH($B3809,CalLookUpRow,0),MATCH(I$1,CalLookUpColumn,0))</f>
        <v>3</v>
      </c>
    </row>
    <row r="3810" spans="1:9" x14ac:dyDescent="0.25">
      <c r="A3810" s="7">
        <v>2</v>
      </c>
      <c r="B3810" s="8">
        <v>43936</v>
      </c>
      <c r="C3810" s="9" t="s">
        <v>6</v>
      </c>
      <c r="D3810" s="10">
        <v>2290.8689999999997</v>
      </c>
      <c r="E3810" s="10">
        <v>322.26599999999996</v>
      </c>
      <c r="F3810" t="str">
        <f>VLOOKUP(A3810,StoreLookup,2,FALSE)</f>
        <v>Store#2</v>
      </c>
      <c r="G3810">
        <f>INDEX(CalLookUpTable,MATCH($B3810,CalLookUpRow,0),MATCH(G$1,CalLookUpColumn,0))</f>
        <v>2020</v>
      </c>
      <c r="H3810">
        <f>INDEX(CalLookUpTable,MATCH($B3810,CalLookUpRow,0),MATCH(H$1,CalLookUpColumn,0))</f>
        <v>4</v>
      </c>
      <c r="I3810">
        <f>INDEX(CalLookUpTable,MATCH($B3810,CalLookUpRow,0),MATCH(I$1,CalLookUpColumn,0))</f>
        <v>3</v>
      </c>
    </row>
    <row r="3811" spans="1:9" x14ac:dyDescent="0.25">
      <c r="A3811" s="7">
        <v>2</v>
      </c>
      <c r="B3811" s="8">
        <v>43936</v>
      </c>
      <c r="C3811" s="9" t="s">
        <v>4</v>
      </c>
      <c r="D3811" s="10">
        <v>-64.266999999999996</v>
      </c>
      <c r="E3811" s="10">
        <v>1696.933</v>
      </c>
      <c r="F3811" t="str">
        <f>VLOOKUP(A3811,StoreLookup,2,FALSE)</f>
        <v>Store#2</v>
      </c>
      <c r="G3811">
        <f>INDEX(CalLookUpTable,MATCH($B3811,CalLookUpRow,0),MATCH(G$1,CalLookUpColumn,0))</f>
        <v>2020</v>
      </c>
      <c r="H3811">
        <f>INDEX(CalLookUpTable,MATCH($B3811,CalLookUpRow,0),MATCH(H$1,CalLookUpColumn,0))</f>
        <v>4</v>
      </c>
      <c r="I3811">
        <f>INDEX(CalLookUpTable,MATCH($B3811,CalLookUpRow,0),MATCH(I$1,CalLookUpColumn,0))</f>
        <v>3</v>
      </c>
    </row>
    <row r="3812" spans="1:9" x14ac:dyDescent="0.25">
      <c r="A3812" s="7">
        <v>2</v>
      </c>
      <c r="B3812" s="8">
        <v>43936</v>
      </c>
      <c r="C3812" s="9" t="s">
        <v>3</v>
      </c>
      <c r="D3812" s="10">
        <v>0</v>
      </c>
      <c r="E3812" s="10">
        <v>356.95799999999997</v>
      </c>
      <c r="F3812" t="str">
        <f>VLOOKUP(A3812,StoreLookup,2,FALSE)</f>
        <v>Store#2</v>
      </c>
      <c r="G3812">
        <f>INDEX(CalLookUpTable,MATCH($B3812,CalLookUpRow,0),MATCH(G$1,CalLookUpColumn,0))</f>
        <v>2020</v>
      </c>
      <c r="H3812">
        <f>INDEX(CalLookUpTable,MATCH($B3812,CalLookUpRow,0),MATCH(H$1,CalLookUpColumn,0))</f>
        <v>4</v>
      </c>
      <c r="I3812">
        <f>INDEX(CalLookUpTable,MATCH($B3812,CalLookUpRow,0),MATCH(I$1,CalLookUpColumn,0))</f>
        <v>3</v>
      </c>
    </row>
    <row r="3813" spans="1:9" x14ac:dyDescent="0.25">
      <c r="A3813" s="7">
        <v>2</v>
      </c>
      <c r="B3813" s="8">
        <v>43936</v>
      </c>
      <c r="C3813" s="9" t="s">
        <v>5</v>
      </c>
      <c r="D3813" s="10">
        <v>2671.5709999999999</v>
      </c>
      <c r="E3813" s="10">
        <v>1128.7639999999999</v>
      </c>
      <c r="F3813" t="str">
        <f>VLOOKUP(A3813,StoreLookup,2,FALSE)</f>
        <v>Store#2</v>
      </c>
      <c r="G3813">
        <f>INDEX(CalLookUpTable,MATCH($B3813,CalLookUpRow,0),MATCH(G$1,CalLookUpColumn,0))</f>
        <v>2020</v>
      </c>
      <c r="H3813">
        <f>INDEX(CalLookUpTable,MATCH($B3813,CalLookUpRow,0),MATCH(H$1,CalLookUpColumn,0))</f>
        <v>4</v>
      </c>
      <c r="I3813">
        <f>INDEX(CalLookUpTable,MATCH($B3813,CalLookUpRow,0),MATCH(I$1,CalLookUpColumn,0))</f>
        <v>3</v>
      </c>
    </row>
    <row r="3814" spans="1:9" x14ac:dyDescent="0.25">
      <c r="A3814" s="7">
        <v>2</v>
      </c>
      <c r="B3814" s="8">
        <v>43937</v>
      </c>
      <c r="C3814" s="9" t="s">
        <v>6</v>
      </c>
      <c r="D3814" s="10">
        <v>2114.7979999999998</v>
      </c>
      <c r="E3814" s="10">
        <v>473.88599999999997</v>
      </c>
      <c r="F3814" t="str">
        <f>VLOOKUP(A3814,StoreLookup,2,FALSE)</f>
        <v>Store#2</v>
      </c>
      <c r="G3814">
        <f>INDEX(CalLookUpTable,MATCH($B3814,CalLookUpRow,0),MATCH(G$1,CalLookUpColumn,0))</f>
        <v>2020</v>
      </c>
      <c r="H3814">
        <f>INDEX(CalLookUpTable,MATCH($B3814,CalLookUpRow,0),MATCH(H$1,CalLookUpColumn,0))</f>
        <v>4</v>
      </c>
      <c r="I3814">
        <f>INDEX(CalLookUpTable,MATCH($B3814,CalLookUpRow,0),MATCH(I$1,CalLookUpColumn,0))</f>
        <v>3</v>
      </c>
    </row>
    <row r="3815" spans="1:9" x14ac:dyDescent="0.25">
      <c r="A3815" s="7">
        <v>2</v>
      </c>
      <c r="B3815" s="8">
        <v>43937</v>
      </c>
      <c r="C3815" s="9" t="s">
        <v>4</v>
      </c>
      <c r="D3815" s="10">
        <v>0.7</v>
      </c>
      <c r="E3815" s="10">
        <v>1921.1219999999998</v>
      </c>
      <c r="F3815" t="str">
        <f>VLOOKUP(A3815,StoreLookup,2,FALSE)</f>
        <v>Store#2</v>
      </c>
      <c r="G3815">
        <f>INDEX(CalLookUpTable,MATCH($B3815,CalLookUpRow,0),MATCH(G$1,CalLookUpColumn,0))</f>
        <v>2020</v>
      </c>
      <c r="H3815">
        <f>INDEX(CalLookUpTable,MATCH($B3815,CalLookUpRow,0),MATCH(H$1,CalLookUpColumn,0))</f>
        <v>4</v>
      </c>
      <c r="I3815">
        <f>INDEX(CalLookUpTable,MATCH($B3815,CalLookUpRow,0),MATCH(I$1,CalLookUpColumn,0))</f>
        <v>3</v>
      </c>
    </row>
    <row r="3816" spans="1:9" x14ac:dyDescent="0.25">
      <c r="A3816" s="7">
        <v>2</v>
      </c>
      <c r="B3816" s="8">
        <v>43937</v>
      </c>
      <c r="C3816" s="9" t="s">
        <v>3</v>
      </c>
      <c r="D3816" s="10">
        <v>106.16899999999998</v>
      </c>
      <c r="E3816" s="10">
        <v>0</v>
      </c>
      <c r="F3816" t="str">
        <f>VLOOKUP(A3816,StoreLookup,2,FALSE)</f>
        <v>Store#2</v>
      </c>
      <c r="G3816">
        <f>INDEX(CalLookUpTable,MATCH($B3816,CalLookUpRow,0),MATCH(G$1,CalLookUpColumn,0))</f>
        <v>2020</v>
      </c>
      <c r="H3816">
        <f>INDEX(CalLookUpTable,MATCH($B3816,CalLookUpRow,0),MATCH(H$1,CalLookUpColumn,0))</f>
        <v>4</v>
      </c>
      <c r="I3816">
        <f>INDEX(CalLookUpTable,MATCH($B3816,CalLookUpRow,0),MATCH(I$1,CalLookUpColumn,0))</f>
        <v>3</v>
      </c>
    </row>
    <row r="3817" spans="1:9" x14ac:dyDescent="0.25">
      <c r="A3817" s="7">
        <v>2</v>
      </c>
      <c r="B3817" s="8">
        <v>43937</v>
      </c>
      <c r="C3817" s="9" t="s">
        <v>5</v>
      </c>
      <c r="D3817" s="10">
        <v>2471.1889999999999</v>
      </c>
      <c r="E3817" s="10">
        <v>1120.2729999999999</v>
      </c>
      <c r="F3817" t="str">
        <f>VLOOKUP(A3817,StoreLookup,2,FALSE)</f>
        <v>Store#2</v>
      </c>
      <c r="G3817">
        <f>INDEX(CalLookUpTable,MATCH($B3817,CalLookUpRow,0),MATCH(G$1,CalLookUpColumn,0))</f>
        <v>2020</v>
      </c>
      <c r="H3817">
        <f>INDEX(CalLookUpTable,MATCH($B3817,CalLookUpRow,0),MATCH(H$1,CalLookUpColumn,0))</f>
        <v>4</v>
      </c>
      <c r="I3817">
        <f>INDEX(CalLookUpTable,MATCH($B3817,CalLookUpRow,0),MATCH(I$1,CalLookUpColumn,0))</f>
        <v>3</v>
      </c>
    </row>
    <row r="3818" spans="1:9" x14ac:dyDescent="0.25">
      <c r="A3818" s="7">
        <v>2</v>
      </c>
      <c r="B3818" s="8">
        <v>43938</v>
      </c>
      <c r="C3818" s="9" t="s">
        <v>6</v>
      </c>
      <c r="D3818" s="10">
        <v>2932.6429999999996</v>
      </c>
      <c r="E3818" s="10">
        <v>366.47099999999995</v>
      </c>
      <c r="F3818" t="str">
        <f>VLOOKUP(A3818,StoreLookup,2,FALSE)</f>
        <v>Store#2</v>
      </c>
      <c r="G3818">
        <f>INDEX(CalLookUpTable,MATCH($B3818,CalLookUpRow,0),MATCH(G$1,CalLookUpColumn,0))</f>
        <v>2020</v>
      </c>
      <c r="H3818">
        <f>INDEX(CalLookUpTable,MATCH($B3818,CalLookUpRow,0),MATCH(H$1,CalLookUpColumn,0))</f>
        <v>4</v>
      </c>
      <c r="I3818">
        <f>INDEX(CalLookUpTable,MATCH($B3818,CalLookUpRow,0),MATCH(I$1,CalLookUpColumn,0))</f>
        <v>3</v>
      </c>
    </row>
    <row r="3819" spans="1:9" x14ac:dyDescent="0.25">
      <c r="A3819" s="7">
        <v>2</v>
      </c>
      <c r="B3819" s="8">
        <v>43938</v>
      </c>
      <c r="C3819" s="9" t="s">
        <v>4</v>
      </c>
      <c r="D3819" s="10">
        <v>3.206</v>
      </c>
      <c r="E3819" s="10">
        <v>2373.8049999999998</v>
      </c>
      <c r="F3819" t="str">
        <f>VLOOKUP(A3819,StoreLookup,2,FALSE)</f>
        <v>Store#2</v>
      </c>
      <c r="G3819">
        <f>INDEX(CalLookUpTable,MATCH($B3819,CalLookUpRow,0),MATCH(G$1,CalLookUpColumn,0))</f>
        <v>2020</v>
      </c>
      <c r="H3819">
        <f>INDEX(CalLookUpTable,MATCH($B3819,CalLookUpRow,0),MATCH(H$1,CalLookUpColumn,0))</f>
        <v>4</v>
      </c>
      <c r="I3819">
        <f>INDEX(CalLookUpTable,MATCH($B3819,CalLookUpRow,0),MATCH(I$1,CalLookUpColumn,0))</f>
        <v>3</v>
      </c>
    </row>
    <row r="3820" spans="1:9" x14ac:dyDescent="0.25">
      <c r="A3820" s="7">
        <v>2</v>
      </c>
      <c r="B3820" s="8">
        <v>43938</v>
      </c>
      <c r="C3820" s="9" t="s">
        <v>5</v>
      </c>
      <c r="D3820" s="10">
        <v>3090.395</v>
      </c>
      <c r="E3820" s="10">
        <v>1444.2469999999998</v>
      </c>
      <c r="F3820" t="str">
        <f>VLOOKUP(A3820,StoreLookup,2,FALSE)</f>
        <v>Store#2</v>
      </c>
      <c r="G3820">
        <f>INDEX(CalLookUpTable,MATCH($B3820,CalLookUpRow,0),MATCH(G$1,CalLookUpColumn,0))</f>
        <v>2020</v>
      </c>
      <c r="H3820">
        <f>INDEX(CalLookUpTable,MATCH($B3820,CalLookUpRow,0),MATCH(H$1,CalLookUpColumn,0))</f>
        <v>4</v>
      </c>
      <c r="I3820">
        <f>INDEX(CalLookUpTable,MATCH($B3820,CalLookUpRow,0),MATCH(I$1,CalLookUpColumn,0))</f>
        <v>3</v>
      </c>
    </row>
    <row r="3821" spans="1:9" x14ac:dyDescent="0.25">
      <c r="A3821" s="7">
        <v>2</v>
      </c>
      <c r="B3821" s="8">
        <v>43938</v>
      </c>
      <c r="C3821" s="9" t="s">
        <v>3</v>
      </c>
      <c r="D3821" s="10">
        <v>0</v>
      </c>
      <c r="E3821" s="10">
        <v>41.873999999999995</v>
      </c>
      <c r="F3821" t="str">
        <f>VLOOKUP(A3821,StoreLookup,2,FALSE)</f>
        <v>Store#2</v>
      </c>
      <c r="G3821">
        <f>INDEX(CalLookUpTable,MATCH($B3821,CalLookUpRow,0),MATCH(G$1,CalLookUpColumn,0))</f>
        <v>2020</v>
      </c>
      <c r="H3821">
        <f>INDEX(CalLookUpTable,MATCH($B3821,CalLookUpRow,0),MATCH(H$1,CalLookUpColumn,0))</f>
        <v>4</v>
      </c>
      <c r="I3821">
        <f>INDEX(CalLookUpTable,MATCH($B3821,CalLookUpRow,0),MATCH(I$1,CalLookUpColumn,0))</f>
        <v>3</v>
      </c>
    </row>
    <row r="3822" spans="1:9" x14ac:dyDescent="0.25">
      <c r="A3822" s="7">
        <v>2</v>
      </c>
      <c r="B3822" s="8">
        <v>43939</v>
      </c>
      <c r="C3822" s="9" t="s">
        <v>4</v>
      </c>
      <c r="D3822" s="10">
        <v>-80.961999999999989</v>
      </c>
      <c r="E3822" s="10">
        <v>2355.3809999999999</v>
      </c>
      <c r="F3822" t="str">
        <f>VLOOKUP(A3822,StoreLookup,2,FALSE)</f>
        <v>Store#2</v>
      </c>
      <c r="G3822">
        <f>INDEX(CalLookUpTable,MATCH($B3822,CalLookUpRow,0),MATCH(G$1,CalLookUpColumn,0))</f>
        <v>2020</v>
      </c>
      <c r="H3822">
        <f>INDEX(CalLookUpTable,MATCH($B3822,CalLookUpRow,0),MATCH(H$1,CalLookUpColumn,0))</f>
        <v>4</v>
      </c>
      <c r="I3822">
        <f>INDEX(CalLookUpTable,MATCH($B3822,CalLookUpRow,0),MATCH(I$1,CalLookUpColumn,0))</f>
        <v>3</v>
      </c>
    </row>
    <row r="3823" spans="1:9" x14ac:dyDescent="0.25">
      <c r="A3823" s="7">
        <v>2</v>
      </c>
      <c r="B3823" s="8">
        <v>43939</v>
      </c>
      <c r="C3823" s="9" t="s">
        <v>5</v>
      </c>
      <c r="D3823" s="10">
        <v>3096.8910000000001</v>
      </c>
      <c r="E3823" s="10">
        <v>1001.1959999999999</v>
      </c>
      <c r="F3823" t="str">
        <f>VLOOKUP(A3823,StoreLookup,2,FALSE)</f>
        <v>Store#2</v>
      </c>
      <c r="G3823">
        <f>INDEX(CalLookUpTable,MATCH($B3823,CalLookUpRow,0),MATCH(G$1,CalLookUpColumn,0))</f>
        <v>2020</v>
      </c>
      <c r="H3823">
        <f>INDEX(CalLookUpTable,MATCH($B3823,CalLookUpRow,0),MATCH(H$1,CalLookUpColumn,0))</f>
        <v>4</v>
      </c>
      <c r="I3823">
        <f>INDEX(CalLookUpTable,MATCH($B3823,CalLookUpRow,0),MATCH(I$1,CalLookUpColumn,0))</f>
        <v>3</v>
      </c>
    </row>
    <row r="3824" spans="1:9" x14ac:dyDescent="0.25">
      <c r="A3824" s="7">
        <v>2</v>
      </c>
      <c r="B3824" s="8">
        <v>43939</v>
      </c>
      <c r="C3824" s="9" t="s">
        <v>3</v>
      </c>
      <c r="D3824" s="10">
        <v>26.403999999999996</v>
      </c>
      <c r="E3824" s="10">
        <v>0</v>
      </c>
      <c r="F3824" t="str">
        <f>VLOOKUP(A3824,StoreLookup,2,FALSE)</f>
        <v>Store#2</v>
      </c>
      <c r="G3824">
        <f>INDEX(CalLookUpTable,MATCH($B3824,CalLookUpRow,0),MATCH(G$1,CalLookUpColumn,0))</f>
        <v>2020</v>
      </c>
      <c r="H3824">
        <f>INDEX(CalLookUpTable,MATCH($B3824,CalLookUpRow,0),MATCH(H$1,CalLookUpColumn,0))</f>
        <v>4</v>
      </c>
      <c r="I3824">
        <f>INDEX(CalLookUpTable,MATCH($B3824,CalLookUpRow,0),MATCH(I$1,CalLookUpColumn,0))</f>
        <v>3</v>
      </c>
    </row>
    <row r="3825" spans="1:9" x14ac:dyDescent="0.25">
      <c r="A3825" s="7">
        <v>2</v>
      </c>
      <c r="B3825" s="8">
        <v>43939</v>
      </c>
      <c r="C3825" s="9" t="s">
        <v>6</v>
      </c>
      <c r="D3825" s="10">
        <v>2593.5839999999998</v>
      </c>
      <c r="E3825" s="10">
        <v>340.68299999999999</v>
      </c>
      <c r="F3825" t="str">
        <f>VLOOKUP(A3825,StoreLookup,2,FALSE)</f>
        <v>Store#2</v>
      </c>
      <c r="G3825">
        <f>INDEX(CalLookUpTable,MATCH($B3825,CalLookUpRow,0),MATCH(G$1,CalLookUpColumn,0))</f>
        <v>2020</v>
      </c>
      <c r="H3825">
        <f>INDEX(CalLookUpTable,MATCH($B3825,CalLookUpRow,0),MATCH(H$1,CalLookUpColumn,0))</f>
        <v>4</v>
      </c>
      <c r="I3825">
        <f>INDEX(CalLookUpTable,MATCH($B3825,CalLookUpRow,0),MATCH(I$1,CalLookUpColumn,0))</f>
        <v>3</v>
      </c>
    </row>
    <row r="3826" spans="1:9" x14ac:dyDescent="0.25">
      <c r="A3826" s="7">
        <v>2</v>
      </c>
      <c r="B3826" s="8">
        <v>43940</v>
      </c>
      <c r="C3826" s="9" t="s">
        <v>6</v>
      </c>
      <c r="D3826" s="10">
        <v>888.62199999999996</v>
      </c>
      <c r="E3826" s="10">
        <v>190.86199999999999</v>
      </c>
      <c r="F3826" t="str">
        <f>VLOOKUP(A3826,StoreLookup,2,FALSE)</f>
        <v>Store#2</v>
      </c>
      <c r="G3826">
        <f>INDEX(CalLookUpTable,MATCH($B3826,CalLookUpRow,0),MATCH(G$1,CalLookUpColumn,0))</f>
        <v>2020</v>
      </c>
      <c r="H3826">
        <f>INDEX(CalLookUpTable,MATCH($B3826,CalLookUpRow,0),MATCH(H$1,CalLookUpColumn,0))</f>
        <v>4</v>
      </c>
      <c r="I3826">
        <f>INDEX(CalLookUpTable,MATCH($B3826,CalLookUpRow,0),MATCH(I$1,CalLookUpColumn,0))</f>
        <v>3</v>
      </c>
    </row>
    <row r="3827" spans="1:9" x14ac:dyDescent="0.25">
      <c r="A3827" s="7">
        <v>2</v>
      </c>
      <c r="B3827" s="8">
        <v>43940</v>
      </c>
      <c r="C3827" s="9" t="s">
        <v>4</v>
      </c>
      <c r="D3827" s="10">
        <v>-33.074999999999996</v>
      </c>
      <c r="E3827" s="10">
        <v>1219.729</v>
      </c>
      <c r="F3827" t="str">
        <f>VLOOKUP(A3827,StoreLookup,2,FALSE)</f>
        <v>Store#2</v>
      </c>
      <c r="G3827">
        <f>INDEX(CalLookUpTable,MATCH($B3827,CalLookUpRow,0),MATCH(G$1,CalLookUpColumn,0))</f>
        <v>2020</v>
      </c>
      <c r="H3827">
        <f>INDEX(CalLookUpTable,MATCH($B3827,CalLookUpRow,0),MATCH(H$1,CalLookUpColumn,0))</f>
        <v>4</v>
      </c>
      <c r="I3827">
        <f>INDEX(CalLookUpTable,MATCH($B3827,CalLookUpRow,0),MATCH(I$1,CalLookUpColumn,0))</f>
        <v>3</v>
      </c>
    </row>
    <row r="3828" spans="1:9" x14ac:dyDescent="0.25">
      <c r="A3828" s="7">
        <v>2</v>
      </c>
      <c r="B3828" s="8">
        <v>43940</v>
      </c>
      <c r="C3828" s="9" t="s">
        <v>3</v>
      </c>
      <c r="D3828" s="10">
        <v>0</v>
      </c>
      <c r="E3828" s="10">
        <v>0</v>
      </c>
      <c r="F3828" t="str">
        <f>VLOOKUP(A3828,StoreLookup,2,FALSE)</f>
        <v>Store#2</v>
      </c>
      <c r="G3828">
        <f>INDEX(CalLookUpTable,MATCH($B3828,CalLookUpRow,0),MATCH(G$1,CalLookUpColumn,0))</f>
        <v>2020</v>
      </c>
      <c r="H3828">
        <f>INDEX(CalLookUpTable,MATCH($B3828,CalLookUpRow,0),MATCH(H$1,CalLookUpColumn,0))</f>
        <v>4</v>
      </c>
      <c r="I3828">
        <f>INDEX(CalLookUpTable,MATCH($B3828,CalLookUpRow,0),MATCH(I$1,CalLookUpColumn,0))</f>
        <v>3</v>
      </c>
    </row>
    <row r="3829" spans="1:9" x14ac:dyDescent="0.25">
      <c r="A3829" s="7">
        <v>2</v>
      </c>
      <c r="B3829" s="8">
        <v>43940</v>
      </c>
      <c r="C3829" s="9" t="s">
        <v>5</v>
      </c>
      <c r="D3829" s="10">
        <v>1903.7269999999999</v>
      </c>
      <c r="E3829" s="10">
        <v>564.94899999999996</v>
      </c>
      <c r="F3829" t="str">
        <f>VLOOKUP(A3829,StoreLookup,2,FALSE)</f>
        <v>Store#2</v>
      </c>
      <c r="G3829">
        <f>INDEX(CalLookUpTable,MATCH($B3829,CalLookUpRow,0),MATCH(G$1,CalLookUpColumn,0))</f>
        <v>2020</v>
      </c>
      <c r="H3829">
        <f>INDEX(CalLookUpTable,MATCH($B3829,CalLookUpRow,0),MATCH(H$1,CalLookUpColumn,0))</f>
        <v>4</v>
      </c>
      <c r="I3829">
        <f>INDEX(CalLookUpTable,MATCH($B3829,CalLookUpRow,0),MATCH(I$1,CalLookUpColumn,0))</f>
        <v>3</v>
      </c>
    </row>
    <row r="3830" spans="1:9" x14ac:dyDescent="0.25">
      <c r="A3830" s="7">
        <v>2</v>
      </c>
      <c r="B3830" s="8">
        <v>43941</v>
      </c>
      <c r="C3830" s="9" t="s">
        <v>6</v>
      </c>
      <c r="D3830" s="10">
        <v>1754.816</v>
      </c>
      <c r="E3830" s="10">
        <v>140.66499999999999</v>
      </c>
      <c r="F3830" t="str">
        <f>VLOOKUP(A3830,StoreLookup,2,FALSE)</f>
        <v>Store#2</v>
      </c>
      <c r="G3830">
        <f>INDEX(CalLookUpTable,MATCH($B3830,CalLookUpRow,0),MATCH(G$1,CalLookUpColumn,0))</f>
        <v>2020</v>
      </c>
      <c r="H3830">
        <f>INDEX(CalLookUpTable,MATCH($B3830,CalLookUpRow,0),MATCH(H$1,CalLookUpColumn,0))</f>
        <v>4</v>
      </c>
      <c r="I3830">
        <f>INDEX(CalLookUpTable,MATCH($B3830,CalLookUpRow,0),MATCH(I$1,CalLookUpColumn,0))</f>
        <v>4</v>
      </c>
    </row>
    <row r="3831" spans="1:9" x14ac:dyDescent="0.25">
      <c r="A3831" s="7">
        <v>2</v>
      </c>
      <c r="B3831" s="8">
        <v>43941</v>
      </c>
      <c r="C3831" s="9" t="s">
        <v>4</v>
      </c>
      <c r="D3831" s="10">
        <v>39.906999999999996</v>
      </c>
      <c r="E3831" s="10">
        <v>2089.605</v>
      </c>
      <c r="F3831" t="str">
        <f>VLOOKUP(A3831,StoreLookup,2,FALSE)</f>
        <v>Store#2</v>
      </c>
      <c r="G3831">
        <f>INDEX(CalLookUpTable,MATCH($B3831,CalLookUpRow,0),MATCH(G$1,CalLookUpColumn,0))</f>
        <v>2020</v>
      </c>
      <c r="H3831">
        <f>INDEX(CalLookUpTable,MATCH($B3831,CalLookUpRow,0),MATCH(H$1,CalLookUpColumn,0))</f>
        <v>4</v>
      </c>
      <c r="I3831">
        <f>INDEX(CalLookUpTable,MATCH($B3831,CalLookUpRow,0),MATCH(I$1,CalLookUpColumn,0))</f>
        <v>4</v>
      </c>
    </row>
    <row r="3832" spans="1:9" x14ac:dyDescent="0.25">
      <c r="A3832" s="7">
        <v>2</v>
      </c>
      <c r="B3832" s="8">
        <v>43941</v>
      </c>
      <c r="C3832" s="9" t="s">
        <v>3</v>
      </c>
      <c r="D3832" s="10">
        <v>0</v>
      </c>
      <c r="E3832" s="10">
        <v>0</v>
      </c>
      <c r="F3832" t="str">
        <f>VLOOKUP(A3832,StoreLookup,2,FALSE)</f>
        <v>Store#2</v>
      </c>
      <c r="G3832">
        <f>INDEX(CalLookUpTable,MATCH($B3832,CalLookUpRow,0),MATCH(G$1,CalLookUpColumn,0))</f>
        <v>2020</v>
      </c>
      <c r="H3832">
        <f>INDEX(CalLookUpTable,MATCH($B3832,CalLookUpRow,0),MATCH(H$1,CalLookUpColumn,0))</f>
        <v>4</v>
      </c>
      <c r="I3832">
        <f>INDEX(CalLookUpTable,MATCH($B3832,CalLookUpRow,0),MATCH(I$1,CalLookUpColumn,0))</f>
        <v>4</v>
      </c>
    </row>
    <row r="3833" spans="1:9" x14ac:dyDescent="0.25">
      <c r="A3833" s="7">
        <v>2</v>
      </c>
      <c r="B3833" s="8">
        <v>43941</v>
      </c>
      <c r="C3833" s="9" t="s">
        <v>5</v>
      </c>
      <c r="D3833" s="10">
        <v>2584.4070000000002</v>
      </c>
      <c r="E3833" s="10">
        <v>1007.972</v>
      </c>
      <c r="F3833" t="str">
        <f>VLOOKUP(A3833,StoreLookup,2,FALSE)</f>
        <v>Store#2</v>
      </c>
      <c r="G3833">
        <f>INDEX(CalLookUpTable,MATCH($B3833,CalLookUpRow,0),MATCH(G$1,CalLookUpColumn,0))</f>
        <v>2020</v>
      </c>
      <c r="H3833">
        <f>INDEX(CalLookUpTable,MATCH($B3833,CalLookUpRow,0),MATCH(H$1,CalLookUpColumn,0))</f>
        <v>4</v>
      </c>
      <c r="I3833">
        <f>INDEX(CalLookUpTable,MATCH($B3833,CalLookUpRow,0),MATCH(I$1,CalLookUpColumn,0))</f>
        <v>4</v>
      </c>
    </row>
    <row r="3834" spans="1:9" x14ac:dyDescent="0.25">
      <c r="A3834" s="7">
        <v>2</v>
      </c>
      <c r="B3834" s="8">
        <v>43942</v>
      </c>
      <c r="C3834" s="9" t="s">
        <v>3</v>
      </c>
      <c r="D3834" s="10">
        <v>0</v>
      </c>
      <c r="E3834" s="10">
        <v>263.02499999999998</v>
      </c>
      <c r="F3834" t="str">
        <f>VLOOKUP(A3834,StoreLookup,2,FALSE)</f>
        <v>Store#2</v>
      </c>
      <c r="G3834">
        <f>INDEX(CalLookUpTable,MATCH($B3834,CalLookUpRow,0),MATCH(G$1,CalLookUpColumn,0))</f>
        <v>2020</v>
      </c>
      <c r="H3834">
        <f>INDEX(CalLookUpTable,MATCH($B3834,CalLookUpRow,0),MATCH(H$1,CalLookUpColumn,0))</f>
        <v>4</v>
      </c>
      <c r="I3834">
        <f>INDEX(CalLookUpTable,MATCH($B3834,CalLookUpRow,0),MATCH(I$1,CalLookUpColumn,0))</f>
        <v>4</v>
      </c>
    </row>
    <row r="3835" spans="1:9" x14ac:dyDescent="0.25">
      <c r="A3835" s="7">
        <v>2</v>
      </c>
      <c r="B3835" s="8">
        <v>43942</v>
      </c>
      <c r="C3835" s="9" t="s">
        <v>4</v>
      </c>
      <c r="D3835" s="10">
        <v>-9.3659999999999997</v>
      </c>
      <c r="E3835" s="10">
        <v>1826.6149999999998</v>
      </c>
      <c r="F3835" t="str">
        <f>VLOOKUP(A3835,StoreLookup,2,FALSE)</f>
        <v>Store#2</v>
      </c>
      <c r="G3835">
        <f>INDEX(CalLookUpTable,MATCH($B3835,CalLookUpRow,0),MATCH(G$1,CalLookUpColumn,0))</f>
        <v>2020</v>
      </c>
      <c r="H3835">
        <f>INDEX(CalLookUpTable,MATCH($B3835,CalLookUpRow,0),MATCH(H$1,CalLookUpColumn,0))</f>
        <v>4</v>
      </c>
      <c r="I3835">
        <f>INDEX(CalLookUpTable,MATCH($B3835,CalLookUpRow,0),MATCH(I$1,CalLookUpColumn,0))</f>
        <v>4</v>
      </c>
    </row>
    <row r="3836" spans="1:9" x14ac:dyDescent="0.25">
      <c r="A3836" s="7">
        <v>2</v>
      </c>
      <c r="B3836" s="8">
        <v>43942</v>
      </c>
      <c r="C3836" s="9" t="s">
        <v>5</v>
      </c>
      <c r="D3836" s="10">
        <v>2441.0189999999998</v>
      </c>
      <c r="E3836" s="10">
        <v>877.56200000000001</v>
      </c>
      <c r="F3836" t="str">
        <f>VLOOKUP(A3836,StoreLookup,2,FALSE)</f>
        <v>Store#2</v>
      </c>
      <c r="G3836">
        <f>INDEX(CalLookUpTable,MATCH($B3836,CalLookUpRow,0),MATCH(G$1,CalLookUpColumn,0))</f>
        <v>2020</v>
      </c>
      <c r="H3836">
        <f>INDEX(CalLookUpTable,MATCH($B3836,CalLookUpRow,0),MATCH(H$1,CalLookUpColumn,0))</f>
        <v>4</v>
      </c>
      <c r="I3836">
        <f>INDEX(CalLookUpTable,MATCH($B3836,CalLookUpRow,0),MATCH(I$1,CalLookUpColumn,0))</f>
        <v>4</v>
      </c>
    </row>
    <row r="3837" spans="1:9" x14ac:dyDescent="0.25">
      <c r="A3837" s="7">
        <v>2</v>
      </c>
      <c r="B3837" s="8">
        <v>43942</v>
      </c>
      <c r="C3837" s="9" t="s">
        <v>6</v>
      </c>
      <c r="D3837" s="10">
        <v>2273.2919999999999</v>
      </c>
      <c r="E3837" s="10">
        <v>188.53099999999998</v>
      </c>
      <c r="F3837" t="str">
        <f>VLOOKUP(A3837,StoreLookup,2,FALSE)</f>
        <v>Store#2</v>
      </c>
      <c r="G3837">
        <f>INDEX(CalLookUpTable,MATCH($B3837,CalLookUpRow,0),MATCH(G$1,CalLookUpColumn,0))</f>
        <v>2020</v>
      </c>
      <c r="H3837">
        <f>INDEX(CalLookUpTable,MATCH($B3837,CalLookUpRow,0),MATCH(H$1,CalLookUpColumn,0))</f>
        <v>4</v>
      </c>
      <c r="I3837">
        <f>INDEX(CalLookUpTable,MATCH($B3837,CalLookUpRow,0),MATCH(I$1,CalLookUpColumn,0))</f>
        <v>4</v>
      </c>
    </row>
    <row r="3838" spans="1:9" x14ac:dyDescent="0.25">
      <c r="A3838" s="7">
        <v>2</v>
      </c>
      <c r="B3838" s="8">
        <v>43943</v>
      </c>
      <c r="C3838" s="9" t="s">
        <v>6</v>
      </c>
      <c r="D3838" s="10">
        <v>1652.3919999999998</v>
      </c>
      <c r="E3838" s="10">
        <v>264.36899999999997</v>
      </c>
      <c r="F3838" t="str">
        <f>VLOOKUP(A3838,StoreLookup,2,FALSE)</f>
        <v>Store#2</v>
      </c>
      <c r="G3838">
        <f>INDEX(CalLookUpTable,MATCH($B3838,CalLookUpRow,0),MATCH(G$1,CalLookUpColumn,0))</f>
        <v>2020</v>
      </c>
      <c r="H3838">
        <f>INDEX(CalLookUpTable,MATCH($B3838,CalLookUpRow,0),MATCH(H$1,CalLookUpColumn,0))</f>
        <v>4</v>
      </c>
      <c r="I3838">
        <f>INDEX(CalLookUpTable,MATCH($B3838,CalLookUpRow,0),MATCH(I$1,CalLookUpColumn,0))</f>
        <v>4</v>
      </c>
    </row>
    <row r="3839" spans="1:9" x14ac:dyDescent="0.25">
      <c r="A3839" s="7">
        <v>2</v>
      </c>
      <c r="B3839" s="8">
        <v>43943</v>
      </c>
      <c r="C3839" s="9" t="s">
        <v>3</v>
      </c>
      <c r="D3839" s="10">
        <v>0</v>
      </c>
      <c r="E3839" s="10">
        <v>0</v>
      </c>
      <c r="F3839" t="str">
        <f>VLOOKUP(A3839,StoreLookup,2,FALSE)</f>
        <v>Store#2</v>
      </c>
      <c r="G3839">
        <f>INDEX(CalLookUpTable,MATCH($B3839,CalLookUpRow,0),MATCH(G$1,CalLookUpColumn,0))</f>
        <v>2020</v>
      </c>
      <c r="H3839">
        <f>INDEX(CalLookUpTable,MATCH($B3839,CalLookUpRow,0),MATCH(H$1,CalLookUpColumn,0))</f>
        <v>4</v>
      </c>
      <c r="I3839">
        <f>INDEX(CalLookUpTable,MATCH($B3839,CalLookUpRow,0),MATCH(I$1,CalLookUpColumn,0))</f>
        <v>4</v>
      </c>
    </row>
    <row r="3840" spans="1:9" x14ac:dyDescent="0.25">
      <c r="A3840" s="7">
        <v>2</v>
      </c>
      <c r="B3840" s="8">
        <v>43943</v>
      </c>
      <c r="C3840" s="9" t="s">
        <v>5</v>
      </c>
      <c r="D3840" s="10">
        <v>2465.6379999999999</v>
      </c>
      <c r="E3840" s="10">
        <v>1158.8429999999998</v>
      </c>
      <c r="F3840" t="str">
        <f>VLOOKUP(A3840,StoreLookup,2,FALSE)</f>
        <v>Store#2</v>
      </c>
      <c r="G3840">
        <f>INDEX(CalLookUpTable,MATCH($B3840,CalLookUpRow,0),MATCH(G$1,CalLookUpColumn,0))</f>
        <v>2020</v>
      </c>
      <c r="H3840">
        <f>INDEX(CalLookUpTable,MATCH($B3840,CalLookUpRow,0),MATCH(H$1,CalLookUpColumn,0))</f>
        <v>4</v>
      </c>
      <c r="I3840">
        <f>INDEX(CalLookUpTable,MATCH($B3840,CalLookUpRow,0),MATCH(I$1,CalLookUpColumn,0))</f>
        <v>4</v>
      </c>
    </row>
    <row r="3841" spans="1:9" x14ac:dyDescent="0.25">
      <c r="A3841" s="7">
        <v>2</v>
      </c>
      <c r="B3841" s="8">
        <v>43943</v>
      </c>
      <c r="C3841" s="9" t="s">
        <v>4</v>
      </c>
      <c r="D3841" s="10">
        <v>0</v>
      </c>
      <c r="E3841" s="10">
        <v>1721.93</v>
      </c>
      <c r="F3841" t="str">
        <f>VLOOKUP(A3841,StoreLookup,2,FALSE)</f>
        <v>Store#2</v>
      </c>
      <c r="G3841">
        <f>INDEX(CalLookUpTable,MATCH($B3841,CalLookUpRow,0),MATCH(G$1,CalLookUpColumn,0))</f>
        <v>2020</v>
      </c>
      <c r="H3841">
        <f>INDEX(CalLookUpTable,MATCH($B3841,CalLookUpRow,0),MATCH(H$1,CalLookUpColumn,0))</f>
        <v>4</v>
      </c>
      <c r="I3841">
        <f>INDEX(CalLookUpTable,MATCH($B3841,CalLookUpRow,0),MATCH(I$1,CalLookUpColumn,0))</f>
        <v>4</v>
      </c>
    </row>
    <row r="3842" spans="1:9" x14ac:dyDescent="0.25">
      <c r="A3842" s="7">
        <v>2</v>
      </c>
      <c r="B3842" s="8">
        <v>43944</v>
      </c>
      <c r="C3842" s="9" t="s">
        <v>3</v>
      </c>
      <c r="D3842" s="10">
        <v>58.351999999999997</v>
      </c>
      <c r="E3842" s="10">
        <v>0</v>
      </c>
      <c r="F3842" t="str">
        <f>VLOOKUP(A3842,StoreLookup,2,FALSE)</f>
        <v>Store#2</v>
      </c>
      <c r="G3842">
        <f>INDEX(CalLookUpTable,MATCH($B3842,CalLookUpRow,0),MATCH(G$1,CalLookUpColumn,0))</f>
        <v>2020</v>
      </c>
      <c r="H3842">
        <f>INDEX(CalLookUpTable,MATCH($B3842,CalLookUpRow,0),MATCH(H$1,CalLookUpColumn,0))</f>
        <v>4</v>
      </c>
      <c r="I3842">
        <f>INDEX(CalLookUpTable,MATCH($B3842,CalLookUpRow,0),MATCH(I$1,CalLookUpColumn,0))</f>
        <v>4</v>
      </c>
    </row>
    <row r="3843" spans="1:9" x14ac:dyDescent="0.25">
      <c r="A3843" s="7">
        <v>2</v>
      </c>
      <c r="B3843" s="8">
        <v>43944</v>
      </c>
      <c r="C3843" s="9" t="s">
        <v>4</v>
      </c>
      <c r="D3843" s="10">
        <v>7.4759999999999991</v>
      </c>
      <c r="E3843" s="10">
        <v>2040.4159999999999</v>
      </c>
      <c r="F3843" t="str">
        <f>VLOOKUP(A3843,StoreLookup,2,FALSE)</f>
        <v>Store#2</v>
      </c>
      <c r="G3843">
        <f>INDEX(CalLookUpTable,MATCH($B3843,CalLookUpRow,0),MATCH(G$1,CalLookUpColumn,0))</f>
        <v>2020</v>
      </c>
      <c r="H3843">
        <f>INDEX(CalLookUpTable,MATCH($B3843,CalLookUpRow,0),MATCH(H$1,CalLookUpColumn,0))</f>
        <v>4</v>
      </c>
      <c r="I3843">
        <f>INDEX(CalLookUpTable,MATCH($B3843,CalLookUpRow,0),MATCH(I$1,CalLookUpColumn,0))</f>
        <v>4</v>
      </c>
    </row>
    <row r="3844" spans="1:9" x14ac:dyDescent="0.25">
      <c r="A3844" s="7">
        <v>2</v>
      </c>
      <c r="B3844" s="8">
        <v>43944</v>
      </c>
      <c r="C3844" s="9" t="s">
        <v>6</v>
      </c>
      <c r="D3844" s="10">
        <v>2108.8829999999998</v>
      </c>
      <c r="E3844" s="10">
        <v>363.40499999999997</v>
      </c>
      <c r="F3844" t="str">
        <f>VLOOKUP(A3844,StoreLookup,2,FALSE)</f>
        <v>Store#2</v>
      </c>
      <c r="G3844">
        <f>INDEX(CalLookUpTable,MATCH($B3844,CalLookUpRow,0),MATCH(G$1,CalLookUpColumn,0))</f>
        <v>2020</v>
      </c>
      <c r="H3844">
        <f>INDEX(CalLookUpTable,MATCH($B3844,CalLookUpRow,0),MATCH(H$1,CalLookUpColumn,0))</f>
        <v>4</v>
      </c>
      <c r="I3844">
        <f>INDEX(CalLookUpTable,MATCH($B3844,CalLookUpRow,0),MATCH(I$1,CalLookUpColumn,0))</f>
        <v>4</v>
      </c>
    </row>
    <row r="3845" spans="1:9" x14ac:dyDescent="0.25">
      <c r="A3845" s="7">
        <v>2</v>
      </c>
      <c r="B3845" s="8">
        <v>43944</v>
      </c>
      <c r="C3845" s="9" t="s">
        <v>5</v>
      </c>
      <c r="D3845" s="10">
        <v>2700.95</v>
      </c>
      <c r="E3845" s="10">
        <v>1213.5899999999999</v>
      </c>
      <c r="F3845" t="str">
        <f>VLOOKUP(A3845,StoreLookup,2,FALSE)</f>
        <v>Store#2</v>
      </c>
      <c r="G3845">
        <f>INDEX(CalLookUpTable,MATCH($B3845,CalLookUpRow,0),MATCH(G$1,CalLookUpColumn,0))</f>
        <v>2020</v>
      </c>
      <c r="H3845">
        <f>INDEX(CalLookUpTable,MATCH($B3845,CalLookUpRow,0),MATCH(H$1,CalLookUpColumn,0))</f>
        <v>4</v>
      </c>
      <c r="I3845">
        <f>INDEX(CalLookUpTable,MATCH($B3845,CalLookUpRow,0),MATCH(I$1,CalLookUpColumn,0))</f>
        <v>4</v>
      </c>
    </row>
    <row r="3846" spans="1:9" x14ac:dyDescent="0.25">
      <c r="A3846" s="7">
        <v>2</v>
      </c>
      <c r="B3846" s="8">
        <v>43945</v>
      </c>
      <c r="C3846" s="9" t="s">
        <v>4</v>
      </c>
      <c r="D3846" s="10">
        <v>-0.7</v>
      </c>
      <c r="E3846" s="10">
        <v>2437.4629999999997</v>
      </c>
      <c r="F3846" t="str">
        <f>VLOOKUP(A3846,StoreLookup,2,FALSE)</f>
        <v>Store#2</v>
      </c>
      <c r="G3846">
        <f>INDEX(CalLookUpTable,MATCH($B3846,CalLookUpRow,0),MATCH(G$1,CalLookUpColumn,0))</f>
        <v>2020</v>
      </c>
      <c r="H3846">
        <f>INDEX(CalLookUpTable,MATCH($B3846,CalLookUpRow,0),MATCH(H$1,CalLookUpColumn,0))</f>
        <v>4</v>
      </c>
      <c r="I3846">
        <f>INDEX(CalLookUpTable,MATCH($B3846,CalLookUpRow,0),MATCH(I$1,CalLookUpColumn,0))</f>
        <v>4</v>
      </c>
    </row>
    <row r="3847" spans="1:9" x14ac:dyDescent="0.25">
      <c r="A3847" s="7">
        <v>2</v>
      </c>
      <c r="B3847" s="8">
        <v>43945</v>
      </c>
      <c r="C3847" s="9" t="s">
        <v>3</v>
      </c>
      <c r="D3847" s="10">
        <v>0</v>
      </c>
      <c r="E3847" s="10">
        <v>164.82899999999998</v>
      </c>
      <c r="F3847" t="str">
        <f>VLOOKUP(A3847,StoreLookup,2,FALSE)</f>
        <v>Store#2</v>
      </c>
      <c r="G3847">
        <f>INDEX(CalLookUpTable,MATCH($B3847,CalLookUpRow,0),MATCH(G$1,CalLookUpColumn,0))</f>
        <v>2020</v>
      </c>
      <c r="H3847">
        <f>INDEX(CalLookUpTable,MATCH($B3847,CalLookUpRow,0),MATCH(H$1,CalLookUpColumn,0))</f>
        <v>4</v>
      </c>
      <c r="I3847">
        <f>INDEX(CalLookUpTable,MATCH($B3847,CalLookUpRow,0),MATCH(I$1,CalLookUpColumn,0))</f>
        <v>4</v>
      </c>
    </row>
    <row r="3848" spans="1:9" x14ac:dyDescent="0.25">
      <c r="A3848" s="7">
        <v>2</v>
      </c>
      <c r="B3848" s="8">
        <v>43945</v>
      </c>
      <c r="C3848" s="9" t="s">
        <v>6</v>
      </c>
      <c r="D3848" s="10">
        <v>2652.1179999999995</v>
      </c>
      <c r="E3848" s="10">
        <v>515.39599999999996</v>
      </c>
      <c r="F3848" t="str">
        <f>VLOOKUP(A3848,StoreLookup,2,FALSE)</f>
        <v>Store#2</v>
      </c>
      <c r="G3848">
        <f>INDEX(CalLookUpTable,MATCH($B3848,CalLookUpRow,0),MATCH(G$1,CalLookUpColumn,0))</f>
        <v>2020</v>
      </c>
      <c r="H3848">
        <f>INDEX(CalLookUpTable,MATCH($B3848,CalLookUpRow,0),MATCH(H$1,CalLookUpColumn,0))</f>
        <v>4</v>
      </c>
      <c r="I3848">
        <f>INDEX(CalLookUpTable,MATCH($B3848,CalLookUpRow,0),MATCH(I$1,CalLookUpColumn,0))</f>
        <v>4</v>
      </c>
    </row>
    <row r="3849" spans="1:9" x14ac:dyDescent="0.25">
      <c r="A3849" s="7">
        <v>2</v>
      </c>
      <c r="B3849" s="8">
        <v>43945</v>
      </c>
      <c r="C3849" s="9" t="s">
        <v>5</v>
      </c>
      <c r="D3849" s="10">
        <v>3290.7839999999997</v>
      </c>
      <c r="E3849" s="10">
        <v>1678.7049999999999</v>
      </c>
      <c r="F3849" t="str">
        <f>VLOOKUP(A3849,StoreLookup,2,FALSE)</f>
        <v>Store#2</v>
      </c>
      <c r="G3849">
        <f>INDEX(CalLookUpTable,MATCH($B3849,CalLookUpRow,0),MATCH(G$1,CalLookUpColumn,0))</f>
        <v>2020</v>
      </c>
      <c r="H3849">
        <f>INDEX(CalLookUpTable,MATCH($B3849,CalLookUpRow,0),MATCH(H$1,CalLookUpColumn,0))</f>
        <v>4</v>
      </c>
      <c r="I3849">
        <f>INDEX(CalLookUpTable,MATCH($B3849,CalLookUpRow,0),MATCH(I$1,CalLookUpColumn,0))</f>
        <v>4</v>
      </c>
    </row>
    <row r="3850" spans="1:9" x14ac:dyDescent="0.25">
      <c r="A3850" s="7">
        <v>2</v>
      </c>
      <c r="B3850" s="8">
        <v>43946</v>
      </c>
      <c r="C3850" s="9" t="s">
        <v>3</v>
      </c>
      <c r="D3850" s="10">
        <v>0</v>
      </c>
      <c r="E3850" s="10">
        <v>0</v>
      </c>
      <c r="F3850" t="str">
        <f>VLOOKUP(A3850,StoreLookup,2,FALSE)</f>
        <v>Store#2</v>
      </c>
      <c r="G3850">
        <f>INDEX(CalLookUpTable,MATCH($B3850,CalLookUpRow,0),MATCH(G$1,CalLookUpColumn,0))</f>
        <v>2020</v>
      </c>
      <c r="H3850">
        <f>INDEX(CalLookUpTable,MATCH($B3850,CalLookUpRow,0),MATCH(H$1,CalLookUpColumn,0))</f>
        <v>4</v>
      </c>
      <c r="I3850">
        <f>INDEX(CalLookUpTable,MATCH($B3850,CalLookUpRow,0),MATCH(I$1,CalLookUpColumn,0))</f>
        <v>4</v>
      </c>
    </row>
    <row r="3851" spans="1:9" x14ac:dyDescent="0.25">
      <c r="A3851" s="7">
        <v>2</v>
      </c>
      <c r="B3851" s="8">
        <v>43946</v>
      </c>
      <c r="C3851" s="9" t="s">
        <v>4</v>
      </c>
      <c r="D3851" s="10">
        <v>-22.854999999999997</v>
      </c>
      <c r="E3851" s="10">
        <v>2512.4119999999998</v>
      </c>
      <c r="F3851" t="str">
        <f>VLOOKUP(A3851,StoreLookup,2,FALSE)</f>
        <v>Store#2</v>
      </c>
      <c r="G3851">
        <f>INDEX(CalLookUpTable,MATCH($B3851,CalLookUpRow,0),MATCH(G$1,CalLookUpColumn,0))</f>
        <v>2020</v>
      </c>
      <c r="H3851">
        <f>INDEX(CalLookUpTable,MATCH($B3851,CalLookUpRow,0),MATCH(H$1,CalLookUpColumn,0))</f>
        <v>4</v>
      </c>
      <c r="I3851">
        <f>INDEX(CalLookUpTable,MATCH($B3851,CalLookUpRow,0),MATCH(I$1,CalLookUpColumn,0))</f>
        <v>4</v>
      </c>
    </row>
    <row r="3852" spans="1:9" x14ac:dyDescent="0.25">
      <c r="A3852" s="7">
        <v>2</v>
      </c>
      <c r="B3852" s="8">
        <v>43946</v>
      </c>
      <c r="C3852" s="9" t="s">
        <v>5</v>
      </c>
      <c r="D3852" s="10">
        <v>2975.1819999999998</v>
      </c>
      <c r="E3852" s="10">
        <v>1124.6339999999998</v>
      </c>
      <c r="F3852" t="str">
        <f>VLOOKUP(A3852,StoreLookup,2,FALSE)</f>
        <v>Store#2</v>
      </c>
      <c r="G3852">
        <f>INDEX(CalLookUpTable,MATCH($B3852,CalLookUpRow,0),MATCH(G$1,CalLookUpColumn,0))</f>
        <v>2020</v>
      </c>
      <c r="H3852">
        <f>INDEX(CalLookUpTable,MATCH($B3852,CalLookUpRow,0),MATCH(H$1,CalLookUpColumn,0))</f>
        <v>4</v>
      </c>
      <c r="I3852">
        <f>INDEX(CalLookUpTable,MATCH($B3852,CalLookUpRow,0),MATCH(I$1,CalLookUpColumn,0))</f>
        <v>4</v>
      </c>
    </row>
    <row r="3853" spans="1:9" x14ac:dyDescent="0.25">
      <c r="A3853" s="7">
        <v>2</v>
      </c>
      <c r="B3853" s="8">
        <v>43946</v>
      </c>
      <c r="C3853" s="9" t="s">
        <v>6</v>
      </c>
      <c r="D3853" s="10">
        <v>2451.8339999999998</v>
      </c>
      <c r="E3853" s="10">
        <v>399.40600000000001</v>
      </c>
      <c r="F3853" t="str">
        <f>VLOOKUP(A3853,StoreLookup,2,FALSE)</f>
        <v>Store#2</v>
      </c>
      <c r="G3853">
        <f>INDEX(CalLookUpTable,MATCH($B3853,CalLookUpRow,0),MATCH(G$1,CalLookUpColumn,0))</f>
        <v>2020</v>
      </c>
      <c r="H3853">
        <f>INDEX(CalLookUpTable,MATCH($B3853,CalLookUpRow,0),MATCH(H$1,CalLookUpColumn,0))</f>
        <v>4</v>
      </c>
      <c r="I3853">
        <f>INDEX(CalLookUpTable,MATCH($B3853,CalLookUpRow,0),MATCH(I$1,CalLookUpColumn,0))</f>
        <v>4</v>
      </c>
    </row>
    <row r="3854" spans="1:9" x14ac:dyDescent="0.25">
      <c r="A3854" s="7">
        <v>2</v>
      </c>
      <c r="B3854" s="8">
        <v>43947</v>
      </c>
      <c r="C3854" s="9" t="s">
        <v>4</v>
      </c>
      <c r="D3854" s="10">
        <v>-20.971999999999998</v>
      </c>
      <c r="E3854" s="10">
        <v>1322.3139999999999</v>
      </c>
      <c r="F3854" t="str">
        <f>VLOOKUP(A3854,StoreLookup,2,FALSE)</f>
        <v>Store#2</v>
      </c>
      <c r="G3854">
        <f>INDEX(CalLookUpTable,MATCH($B3854,CalLookUpRow,0),MATCH(G$1,CalLookUpColumn,0))</f>
        <v>2020</v>
      </c>
      <c r="H3854">
        <f>INDEX(CalLookUpTable,MATCH($B3854,CalLookUpRow,0),MATCH(H$1,CalLookUpColumn,0))</f>
        <v>4</v>
      </c>
      <c r="I3854">
        <f>INDEX(CalLookUpTable,MATCH($B3854,CalLookUpRow,0),MATCH(I$1,CalLookUpColumn,0))</f>
        <v>4</v>
      </c>
    </row>
    <row r="3855" spans="1:9" x14ac:dyDescent="0.25">
      <c r="A3855" s="7">
        <v>2</v>
      </c>
      <c r="B3855" s="8">
        <v>43947</v>
      </c>
      <c r="C3855" s="9" t="s">
        <v>5</v>
      </c>
      <c r="D3855" s="10">
        <v>1786.925</v>
      </c>
      <c r="E3855" s="10">
        <v>889.29399999999998</v>
      </c>
      <c r="F3855" t="str">
        <f>VLOOKUP(A3855,StoreLookup,2,FALSE)</f>
        <v>Store#2</v>
      </c>
      <c r="G3855">
        <f>INDEX(CalLookUpTable,MATCH($B3855,CalLookUpRow,0),MATCH(G$1,CalLookUpColumn,0))</f>
        <v>2020</v>
      </c>
      <c r="H3855">
        <f>INDEX(CalLookUpTable,MATCH($B3855,CalLookUpRow,0),MATCH(H$1,CalLookUpColumn,0))</f>
        <v>4</v>
      </c>
      <c r="I3855">
        <f>INDEX(CalLookUpTable,MATCH($B3855,CalLookUpRow,0),MATCH(I$1,CalLookUpColumn,0))</f>
        <v>4</v>
      </c>
    </row>
    <row r="3856" spans="1:9" x14ac:dyDescent="0.25">
      <c r="A3856" s="7">
        <v>2</v>
      </c>
      <c r="B3856" s="8">
        <v>43947</v>
      </c>
      <c r="C3856" s="9" t="s">
        <v>3</v>
      </c>
      <c r="D3856" s="10">
        <v>0</v>
      </c>
      <c r="E3856" s="10">
        <v>82.361999999999995</v>
      </c>
      <c r="F3856" t="str">
        <f>VLOOKUP(A3856,StoreLookup,2,FALSE)</f>
        <v>Store#2</v>
      </c>
      <c r="G3856">
        <f>INDEX(CalLookUpTable,MATCH($B3856,CalLookUpRow,0),MATCH(G$1,CalLookUpColumn,0))</f>
        <v>2020</v>
      </c>
      <c r="H3856">
        <f>INDEX(CalLookUpTable,MATCH($B3856,CalLookUpRow,0),MATCH(H$1,CalLookUpColumn,0))</f>
        <v>4</v>
      </c>
      <c r="I3856">
        <f>INDEX(CalLookUpTable,MATCH($B3856,CalLookUpRow,0),MATCH(I$1,CalLookUpColumn,0))</f>
        <v>4</v>
      </c>
    </row>
    <row r="3857" spans="1:9" x14ac:dyDescent="0.25">
      <c r="A3857" s="7">
        <v>2</v>
      </c>
      <c r="B3857" s="8">
        <v>43947</v>
      </c>
      <c r="C3857" s="9" t="s">
        <v>6</v>
      </c>
      <c r="D3857" s="10">
        <v>1518.2649999999999</v>
      </c>
      <c r="E3857" s="10">
        <v>408.12099999999998</v>
      </c>
      <c r="F3857" t="str">
        <f>VLOOKUP(A3857,StoreLookup,2,FALSE)</f>
        <v>Store#2</v>
      </c>
      <c r="G3857">
        <f>INDEX(CalLookUpTable,MATCH($B3857,CalLookUpRow,0),MATCH(G$1,CalLookUpColumn,0))</f>
        <v>2020</v>
      </c>
      <c r="H3857">
        <f>INDEX(CalLookUpTable,MATCH($B3857,CalLookUpRow,0),MATCH(H$1,CalLookUpColumn,0))</f>
        <v>4</v>
      </c>
      <c r="I3857">
        <f>INDEX(CalLookUpTable,MATCH($B3857,CalLookUpRow,0),MATCH(I$1,CalLookUpColumn,0))</f>
        <v>4</v>
      </c>
    </row>
    <row r="3858" spans="1:9" x14ac:dyDescent="0.25">
      <c r="A3858" s="7">
        <v>3</v>
      </c>
      <c r="B3858" s="8">
        <v>43466</v>
      </c>
      <c r="C3858" s="9" t="s">
        <v>6</v>
      </c>
      <c r="D3858" s="10">
        <v>1008.329</v>
      </c>
      <c r="E3858" s="10">
        <v>0</v>
      </c>
      <c r="F3858" t="str">
        <f>VLOOKUP(A3858,StoreLookup,2,FALSE)</f>
        <v>Store#3</v>
      </c>
      <c r="G3858">
        <f>INDEX(CalLookUpTable,MATCH($B3858,CalLookUpRow,0),MATCH(G$1,CalLookUpColumn,0))</f>
        <v>2019</v>
      </c>
      <c r="H3858">
        <f>INDEX(CalLookUpTable,MATCH($B3858,CalLookUpRow,0),MATCH(H$1,CalLookUpColumn,0))</f>
        <v>1</v>
      </c>
      <c r="I3858">
        <f>INDEX(CalLookUpTable,MATCH($B3858,CalLookUpRow,0),MATCH(I$1,CalLookUpColumn,0))</f>
        <v>1</v>
      </c>
    </row>
    <row r="3859" spans="1:9" x14ac:dyDescent="0.25">
      <c r="A3859" s="7">
        <v>3</v>
      </c>
      <c r="B3859" s="8">
        <v>43466</v>
      </c>
      <c r="C3859" s="9" t="s">
        <v>4</v>
      </c>
      <c r="D3859" s="10">
        <v>3371.326</v>
      </c>
      <c r="E3859" s="10">
        <v>0</v>
      </c>
      <c r="F3859" t="str">
        <f>VLOOKUP(A3859,StoreLookup,2,FALSE)</f>
        <v>Store#3</v>
      </c>
      <c r="G3859">
        <f>INDEX(CalLookUpTable,MATCH($B3859,CalLookUpRow,0),MATCH(G$1,CalLookUpColumn,0))</f>
        <v>2019</v>
      </c>
      <c r="H3859">
        <f>INDEX(CalLookUpTable,MATCH($B3859,CalLookUpRow,0),MATCH(H$1,CalLookUpColumn,0))</f>
        <v>1</v>
      </c>
      <c r="I3859">
        <f>INDEX(CalLookUpTable,MATCH($B3859,CalLookUpRow,0),MATCH(I$1,CalLookUpColumn,0))</f>
        <v>1</v>
      </c>
    </row>
    <row r="3860" spans="1:9" x14ac:dyDescent="0.25">
      <c r="A3860" s="7">
        <v>3</v>
      </c>
      <c r="B3860" s="8">
        <v>43466</v>
      </c>
      <c r="C3860" s="9" t="s">
        <v>5</v>
      </c>
      <c r="D3860" s="10">
        <v>3022.1659999999997</v>
      </c>
      <c r="E3860" s="10">
        <v>0</v>
      </c>
      <c r="F3860" t="str">
        <f>VLOOKUP(A3860,StoreLookup,2,FALSE)</f>
        <v>Store#3</v>
      </c>
      <c r="G3860">
        <f>INDEX(CalLookUpTable,MATCH($B3860,CalLookUpRow,0),MATCH(G$1,CalLookUpColumn,0))</f>
        <v>2019</v>
      </c>
      <c r="H3860">
        <f>INDEX(CalLookUpTable,MATCH($B3860,CalLookUpRow,0),MATCH(H$1,CalLookUpColumn,0))</f>
        <v>1</v>
      </c>
      <c r="I3860">
        <f>INDEX(CalLookUpTable,MATCH($B3860,CalLookUpRow,0),MATCH(I$1,CalLookUpColumn,0))</f>
        <v>1</v>
      </c>
    </row>
    <row r="3861" spans="1:9" x14ac:dyDescent="0.25">
      <c r="A3861" s="7">
        <v>3</v>
      </c>
      <c r="B3861" s="8">
        <v>43466</v>
      </c>
      <c r="C3861" s="9" t="s">
        <v>3</v>
      </c>
      <c r="D3861" s="10">
        <v>0</v>
      </c>
      <c r="E3861" s="10">
        <v>0</v>
      </c>
      <c r="F3861" t="str">
        <f>VLOOKUP(A3861,StoreLookup,2,FALSE)</f>
        <v>Store#3</v>
      </c>
      <c r="G3861">
        <f>INDEX(CalLookUpTable,MATCH($B3861,CalLookUpRow,0),MATCH(G$1,CalLookUpColumn,0))</f>
        <v>2019</v>
      </c>
      <c r="H3861">
        <f>INDEX(CalLookUpTable,MATCH($B3861,CalLookUpRow,0),MATCH(H$1,CalLookUpColumn,0))</f>
        <v>1</v>
      </c>
      <c r="I3861">
        <f>INDEX(CalLookUpTable,MATCH($B3861,CalLookUpRow,0),MATCH(I$1,CalLookUpColumn,0))</f>
        <v>1</v>
      </c>
    </row>
    <row r="3862" spans="1:9" x14ac:dyDescent="0.25">
      <c r="A3862" s="7">
        <v>3</v>
      </c>
      <c r="B3862" s="8">
        <v>43467</v>
      </c>
      <c r="C3862" s="9" t="s">
        <v>4</v>
      </c>
      <c r="D3862" s="10">
        <v>2752.6379999999999</v>
      </c>
      <c r="E3862" s="10">
        <v>0</v>
      </c>
      <c r="F3862" t="str">
        <f>VLOOKUP(A3862,StoreLookup,2,FALSE)</f>
        <v>Store#3</v>
      </c>
      <c r="G3862">
        <f>INDEX(CalLookUpTable,MATCH($B3862,CalLookUpRow,0),MATCH(G$1,CalLookUpColumn,0))</f>
        <v>2019</v>
      </c>
      <c r="H3862">
        <f>INDEX(CalLookUpTable,MATCH($B3862,CalLookUpRow,0),MATCH(H$1,CalLookUpColumn,0))</f>
        <v>1</v>
      </c>
      <c r="I3862">
        <f>INDEX(CalLookUpTable,MATCH($B3862,CalLookUpRow,0),MATCH(I$1,CalLookUpColumn,0))</f>
        <v>1</v>
      </c>
    </row>
    <row r="3863" spans="1:9" x14ac:dyDescent="0.25">
      <c r="A3863" s="7">
        <v>3</v>
      </c>
      <c r="B3863" s="8">
        <v>43467</v>
      </c>
      <c r="C3863" s="9" t="s">
        <v>6</v>
      </c>
      <c r="D3863" s="10">
        <v>1110.2279999999998</v>
      </c>
      <c r="E3863" s="10">
        <v>0</v>
      </c>
      <c r="F3863" t="str">
        <f>VLOOKUP(A3863,StoreLookup,2,FALSE)</f>
        <v>Store#3</v>
      </c>
      <c r="G3863">
        <f>INDEX(CalLookUpTable,MATCH($B3863,CalLookUpRow,0),MATCH(G$1,CalLookUpColumn,0))</f>
        <v>2019</v>
      </c>
      <c r="H3863">
        <f>INDEX(CalLookUpTable,MATCH($B3863,CalLookUpRow,0),MATCH(H$1,CalLookUpColumn,0))</f>
        <v>1</v>
      </c>
      <c r="I3863">
        <f>INDEX(CalLookUpTable,MATCH($B3863,CalLookUpRow,0),MATCH(I$1,CalLookUpColumn,0))</f>
        <v>1</v>
      </c>
    </row>
    <row r="3864" spans="1:9" x14ac:dyDescent="0.25">
      <c r="A3864" s="7">
        <v>3</v>
      </c>
      <c r="B3864" s="8">
        <v>43467</v>
      </c>
      <c r="C3864" s="9" t="s">
        <v>5</v>
      </c>
      <c r="D3864" s="10">
        <v>2740.395</v>
      </c>
      <c r="E3864" s="10">
        <v>0</v>
      </c>
      <c r="F3864" t="str">
        <f>VLOOKUP(A3864,StoreLookup,2,FALSE)</f>
        <v>Store#3</v>
      </c>
      <c r="G3864">
        <f>INDEX(CalLookUpTable,MATCH($B3864,CalLookUpRow,0),MATCH(G$1,CalLookUpColumn,0))</f>
        <v>2019</v>
      </c>
      <c r="H3864">
        <f>INDEX(CalLookUpTable,MATCH($B3864,CalLookUpRow,0),MATCH(H$1,CalLookUpColumn,0))</f>
        <v>1</v>
      </c>
      <c r="I3864">
        <f>INDEX(CalLookUpTable,MATCH($B3864,CalLookUpRow,0),MATCH(I$1,CalLookUpColumn,0))</f>
        <v>1</v>
      </c>
    </row>
    <row r="3865" spans="1:9" x14ac:dyDescent="0.25">
      <c r="A3865" s="7">
        <v>3</v>
      </c>
      <c r="B3865" s="8">
        <v>43467</v>
      </c>
      <c r="C3865" s="9" t="s">
        <v>3</v>
      </c>
      <c r="D3865" s="10">
        <v>0</v>
      </c>
      <c r="E3865" s="10">
        <v>0</v>
      </c>
      <c r="F3865" t="str">
        <f>VLOOKUP(A3865,StoreLookup,2,FALSE)</f>
        <v>Store#3</v>
      </c>
      <c r="G3865">
        <f>INDEX(CalLookUpTable,MATCH($B3865,CalLookUpRow,0),MATCH(G$1,CalLookUpColumn,0))</f>
        <v>2019</v>
      </c>
      <c r="H3865">
        <f>INDEX(CalLookUpTable,MATCH($B3865,CalLookUpRow,0),MATCH(H$1,CalLookUpColumn,0))</f>
        <v>1</v>
      </c>
      <c r="I3865">
        <f>INDEX(CalLookUpTable,MATCH($B3865,CalLookUpRow,0),MATCH(I$1,CalLookUpColumn,0))</f>
        <v>1</v>
      </c>
    </row>
    <row r="3866" spans="1:9" x14ac:dyDescent="0.25">
      <c r="A3866" s="7">
        <v>3</v>
      </c>
      <c r="B3866" s="8">
        <v>43468</v>
      </c>
      <c r="C3866" s="9" t="s">
        <v>6</v>
      </c>
      <c r="D3866" s="10">
        <v>1152.6199999999999</v>
      </c>
      <c r="E3866" s="10">
        <v>0</v>
      </c>
      <c r="F3866" t="str">
        <f>VLOOKUP(A3866,StoreLookup,2,FALSE)</f>
        <v>Store#3</v>
      </c>
      <c r="G3866">
        <f>INDEX(CalLookUpTable,MATCH($B3866,CalLookUpRow,0),MATCH(G$1,CalLookUpColumn,0))</f>
        <v>2019</v>
      </c>
      <c r="H3866">
        <f>INDEX(CalLookUpTable,MATCH($B3866,CalLookUpRow,0),MATCH(H$1,CalLookUpColumn,0))</f>
        <v>1</v>
      </c>
      <c r="I3866">
        <f>INDEX(CalLookUpTable,MATCH($B3866,CalLookUpRow,0),MATCH(I$1,CalLookUpColumn,0))</f>
        <v>1</v>
      </c>
    </row>
    <row r="3867" spans="1:9" x14ac:dyDescent="0.25">
      <c r="A3867" s="7">
        <v>3</v>
      </c>
      <c r="B3867" s="8">
        <v>43468</v>
      </c>
      <c r="C3867" s="9" t="s">
        <v>4</v>
      </c>
      <c r="D3867" s="10">
        <v>3010.0419999999999</v>
      </c>
      <c r="E3867" s="10">
        <v>0</v>
      </c>
      <c r="F3867" t="str">
        <f>VLOOKUP(A3867,StoreLookup,2,FALSE)</f>
        <v>Store#3</v>
      </c>
      <c r="G3867">
        <f>INDEX(CalLookUpTable,MATCH($B3867,CalLookUpRow,0),MATCH(G$1,CalLookUpColumn,0))</f>
        <v>2019</v>
      </c>
      <c r="H3867">
        <f>INDEX(CalLookUpTable,MATCH($B3867,CalLookUpRow,0),MATCH(H$1,CalLookUpColumn,0))</f>
        <v>1</v>
      </c>
      <c r="I3867">
        <f>INDEX(CalLookUpTable,MATCH($B3867,CalLookUpRow,0),MATCH(I$1,CalLookUpColumn,0))</f>
        <v>1</v>
      </c>
    </row>
    <row r="3868" spans="1:9" x14ac:dyDescent="0.25">
      <c r="A3868" s="7">
        <v>3</v>
      </c>
      <c r="B3868" s="8">
        <v>43468</v>
      </c>
      <c r="C3868" s="9" t="s">
        <v>3</v>
      </c>
      <c r="D3868" s="10">
        <v>260.74299999999999</v>
      </c>
      <c r="E3868" s="10">
        <v>0</v>
      </c>
      <c r="F3868" t="str">
        <f>VLOOKUP(A3868,StoreLookup,2,FALSE)</f>
        <v>Store#3</v>
      </c>
      <c r="G3868">
        <f>INDEX(CalLookUpTable,MATCH($B3868,CalLookUpRow,0),MATCH(G$1,CalLookUpColumn,0))</f>
        <v>2019</v>
      </c>
      <c r="H3868">
        <f>INDEX(CalLookUpTable,MATCH($B3868,CalLookUpRow,0),MATCH(H$1,CalLookUpColumn,0))</f>
        <v>1</v>
      </c>
      <c r="I3868">
        <f>INDEX(CalLookUpTable,MATCH($B3868,CalLookUpRow,0),MATCH(I$1,CalLookUpColumn,0))</f>
        <v>1</v>
      </c>
    </row>
    <row r="3869" spans="1:9" x14ac:dyDescent="0.25">
      <c r="A3869" s="7">
        <v>3</v>
      </c>
      <c r="B3869" s="8">
        <v>43468</v>
      </c>
      <c r="C3869" s="9" t="s">
        <v>5</v>
      </c>
      <c r="D3869" s="10">
        <v>2796.8849999999998</v>
      </c>
      <c r="E3869" s="10">
        <v>0</v>
      </c>
      <c r="F3869" t="str">
        <f>VLOOKUP(A3869,StoreLookup,2,FALSE)</f>
        <v>Store#3</v>
      </c>
      <c r="G3869">
        <f>INDEX(CalLookUpTable,MATCH($B3869,CalLookUpRow,0),MATCH(G$1,CalLookUpColumn,0))</f>
        <v>2019</v>
      </c>
      <c r="H3869">
        <f>INDEX(CalLookUpTable,MATCH($B3869,CalLookUpRow,0),MATCH(H$1,CalLookUpColumn,0))</f>
        <v>1</v>
      </c>
      <c r="I3869">
        <f>INDEX(CalLookUpTable,MATCH($B3869,CalLookUpRow,0),MATCH(I$1,CalLookUpColumn,0))</f>
        <v>1</v>
      </c>
    </row>
    <row r="3870" spans="1:9" x14ac:dyDescent="0.25">
      <c r="A3870" s="7">
        <v>3</v>
      </c>
      <c r="B3870" s="8">
        <v>43469</v>
      </c>
      <c r="C3870" s="9" t="s">
        <v>3</v>
      </c>
      <c r="D3870" s="10">
        <v>10.843</v>
      </c>
      <c r="E3870" s="10">
        <v>0</v>
      </c>
      <c r="F3870" t="str">
        <f>VLOOKUP(A3870,StoreLookup,2,FALSE)</f>
        <v>Store#3</v>
      </c>
      <c r="G3870">
        <f>INDEX(CalLookUpTable,MATCH($B3870,CalLookUpRow,0),MATCH(G$1,CalLookUpColumn,0))</f>
        <v>2019</v>
      </c>
      <c r="H3870">
        <f>INDEX(CalLookUpTable,MATCH($B3870,CalLookUpRow,0),MATCH(H$1,CalLookUpColumn,0))</f>
        <v>1</v>
      </c>
      <c r="I3870">
        <f>INDEX(CalLookUpTable,MATCH($B3870,CalLookUpRow,0),MATCH(I$1,CalLookUpColumn,0))</f>
        <v>1</v>
      </c>
    </row>
    <row r="3871" spans="1:9" x14ac:dyDescent="0.25">
      <c r="A3871" s="7">
        <v>3</v>
      </c>
      <c r="B3871" s="8">
        <v>43469</v>
      </c>
      <c r="C3871" s="9" t="s">
        <v>5</v>
      </c>
      <c r="D3871" s="10">
        <v>3420.7459999999996</v>
      </c>
      <c r="E3871" s="10">
        <v>0</v>
      </c>
      <c r="F3871" t="str">
        <f>VLOOKUP(A3871,StoreLookup,2,FALSE)</f>
        <v>Store#3</v>
      </c>
      <c r="G3871">
        <f>INDEX(CalLookUpTable,MATCH($B3871,CalLookUpRow,0),MATCH(G$1,CalLookUpColumn,0))</f>
        <v>2019</v>
      </c>
      <c r="H3871">
        <f>INDEX(CalLookUpTable,MATCH($B3871,CalLookUpRow,0),MATCH(H$1,CalLookUpColumn,0))</f>
        <v>1</v>
      </c>
      <c r="I3871">
        <f>INDEX(CalLookUpTable,MATCH($B3871,CalLookUpRow,0),MATCH(I$1,CalLookUpColumn,0))</f>
        <v>1</v>
      </c>
    </row>
    <row r="3872" spans="1:9" x14ac:dyDescent="0.25">
      <c r="A3872" s="7">
        <v>3</v>
      </c>
      <c r="B3872" s="8">
        <v>43469</v>
      </c>
      <c r="C3872" s="9" t="s">
        <v>6</v>
      </c>
      <c r="D3872" s="10">
        <v>1149.33</v>
      </c>
      <c r="E3872" s="10">
        <v>0</v>
      </c>
      <c r="F3872" t="str">
        <f>VLOOKUP(A3872,StoreLookup,2,FALSE)</f>
        <v>Store#3</v>
      </c>
      <c r="G3872">
        <f>INDEX(CalLookUpTable,MATCH($B3872,CalLookUpRow,0),MATCH(G$1,CalLookUpColumn,0))</f>
        <v>2019</v>
      </c>
      <c r="H3872">
        <f>INDEX(CalLookUpTable,MATCH($B3872,CalLookUpRow,0),MATCH(H$1,CalLookUpColumn,0))</f>
        <v>1</v>
      </c>
      <c r="I3872">
        <f>INDEX(CalLookUpTable,MATCH($B3872,CalLookUpRow,0),MATCH(I$1,CalLookUpColumn,0))</f>
        <v>1</v>
      </c>
    </row>
    <row r="3873" spans="1:9" x14ac:dyDescent="0.25">
      <c r="A3873" s="7">
        <v>3</v>
      </c>
      <c r="B3873" s="8">
        <v>43469</v>
      </c>
      <c r="C3873" s="9" t="s">
        <v>4</v>
      </c>
      <c r="D3873" s="10">
        <v>3822.8679999999995</v>
      </c>
      <c r="E3873" s="10">
        <v>0</v>
      </c>
      <c r="F3873" t="str">
        <f>VLOOKUP(A3873,StoreLookup,2,FALSE)</f>
        <v>Store#3</v>
      </c>
      <c r="G3873">
        <f>INDEX(CalLookUpTable,MATCH($B3873,CalLookUpRow,0),MATCH(G$1,CalLookUpColumn,0))</f>
        <v>2019</v>
      </c>
      <c r="H3873">
        <f>INDEX(CalLookUpTable,MATCH($B3873,CalLookUpRow,0),MATCH(H$1,CalLookUpColumn,0))</f>
        <v>1</v>
      </c>
      <c r="I3873">
        <f>INDEX(CalLookUpTable,MATCH($B3873,CalLookUpRow,0),MATCH(I$1,CalLookUpColumn,0))</f>
        <v>1</v>
      </c>
    </row>
    <row r="3874" spans="1:9" x14ac:dyDescent="0.25">
      <c r="A3874" s="7">
        <v>3</v>
      </c>
      <c r="B3874" s="8">
        <v>43470</v>
      </c>
      <c r="C3874" s="9" t="s">
        <v>4</v>
      </c>
      <c r="D3874" s="10">
        <v>3919.1039999999998</v>
      </c>
      <c r="E3874" s="10">
        <v>0</v>
      </c>
      <c r="F3874" t="str">
        <f>VLOOKUP(A3874,StoreLookup,2,FALSE)</f>
        <v>Store#3</v>
      </c>
      <c r="G3874">
        <f>INDEX(CalLookUpTable,MATCH($B3874,CalLookUpRow,0),MATCH(G$1,CalLookUpColumn,0))</f>
        <v>2019</v>
      </c>
      <c r="H3874">
        <f>INDEX(CalLookUpTable,MATCH($B3874,CalLookUpRow,0),MATCH(H$1,CalLookUpColumn,0))</f>
        <v>1</v>
      </c>
      <c r="I3874">
        <f>INDEX(CalLookUpTable,MATCH($B3874,CalLookUpRow,0),MATCH(I$1,CalLookUpColumn,0))</f>
        <v>1</v>
      </c>
    </row>
    <row r="3875" spans="1:9" x14ac:dyDescent="0.25">
      <c r="A3875" s="7">
        <v>3</v>
      </c>
      <c r="B3875" s="8">
        <v>43470</v>
      </c>
      <c r="C3875" s="9" t="s">
        <v>3</v>
      </c>
      <c r="D3875" s="10">
        <v>153.85999999999999</v>
      </c>
      <c r="E3875" s="10">
        <v>0</v>
      </c>
      <c r="F3875" t="str">
        <f>VLOOKUP(A3875,StoreLookup,2,FALSE)</f>
        <v>Store#3</v>
      </c>
      <c r="G3875">
        <f>INDEX(CalLookUpTable,MATCH($B3875,CalLookUpRow,0),MATCH(G$1,CalLookUpColumn,0))</f>
        <v>2019</v>
      </c>
      <c r="H3875">
        <f>INDEX(CalLookUpTable,MATCH($B3875,CalLookUpRow,0),MATCH(H$1,CalLookUpColumn,0))</f>
        <v>1</v>
      </c>
      <c r="I3875">
        <f>INDEX(CalLookUpTable,MATCH($B3875,CalLookUpRow,0),MATCH(I$1,CalLookUpColumn,0))</f>
        <v>1</v>
      </c>
    </row>
    <row r="3876" spans="1:9" x14ac:dyDescent="0.25">
      <c r="A3876" s="7">
        <v>3</v>
      </c>
      <c r="B3876" s="8">
        <v>43470</v>
      </c>
      <c r="C3876" s="9" t="s">
        <v>6</v>
      </c>
      <c r="D3876" s="10">
        <v>1000.5379999999999</v>
      </c>
      <c r="E3876" s="10">
        <v>0</v>
      </c>
      <c r="F3876" t="str">
        <f>VLOOKUP(A3876,StoreLookup,2,FALSE)</f>
        <v>Store#3</v>
      </c>
      <c r="G3876">
        <f>INDEX(CalLookUpTable,MATCH($B3876,CalLookUpRow,0),MATCH(G$1,CalLookUpColumn,0))</f>
        <v>2019</v>
      </c>
      <c r="H3876">
        <f>INDEX(CalLookUpTable,MATCH($B3876,CalLookUpRow,0),MATCH(H$1,CalLookUpColumn,0))</f>
        <v>1</v>
      </c>
      <c r="I3876">
        <f>INDEX(CalLookUpTable,MATCH($B3876,CalLookUpRow,0),MATCH(I$1,CalLookUpColumn,0))</f>
        <v>1</v>
      </c>
    </row>
    <row r="3877" spans="1:9" x14ac:dyDescent="0.25">
      <c r="A3877" s="7">
        <v>3</v>
      </c>
      <c r="B3877" s="8">
        <v>43470</v>
      </c>
      <c r="C3877" s="9" t="s">
        <v>5</v>
      </c>
      <c r="D3877" s="10">
        <v>3538.2549999999997</v>
      </c>
      <c r="E3877" s="10">
        <v>0</v>
      </c>
      <c r="F3877" t="str">
        <f>VLOOKUP(A3877,StoreLookup,2,FALSE)</f>
        <v>Store#3</v>
      </c>
      <c r="G3877">
        <f>INDEX(CalLookUpTable,MATCH($B3877,CalLookUpRow,0),MATCH(G$1,CalLookUpColumn,0))</f>
        <v>2019</v>
      </c>
      <c r="H3877">
        <f>INDEX(CalLookUpTable,MATCH($B3877,CalLookUpRow,0),MATCH(H$1,CalLookUpColumn,0))</f>
        <v>1</v>
      </c>
      <c r="I3877">
        <f>INDEX(CalLookUpTable,MATCH($B3877,CalLookUpRow,0),MATCH(I$1,CalLookUpColumn,0))</f>
        <v>1</v>
      </c>
    </row>
    <row r="3878" spans="1:9" x14ac:dyDescent="0.25">
      <c r="A3878" s="7">
        <v>3</v>
      </c>
      <c r="B3878" s="8">
        <v>43471</v>
      </c>
      <c r="C3878" s="9" t="s">
        <v>6</v>
      </c>
      <c r="D3878" s="10">
        <v>614.649</v>
      </c>
      <c r="E3878" s="10">
        <v>0</v>
      </c>
      <c r="F3878" t="str">
        <f>VLOOKUP(A3878,StoreLookup,2,FALSE)</f>
        <v>Store#3</v>
      </c>
      <c r="G3878">
        <f>INDEX(CalLookUpTable,MATCH($B3878,CalLookUpRow,0),MATCH(G$1,CalLookUpColumn,0))</f>
        <v>2019</v>
      </c>
      <c r="H3878">
        <f>INDEX(CalLookUpTable,MATCH($B3878,CalLookUpRow,0),MATCH(H$1,CalLookUpColumn,0))</f>
        <v>1</v>
      </c>
      <c r="I3878">
        <f>INDEX(CalLookUpTable,MATCH($B3878,CalLookUpRow,0),MATCH(I$1,CalLookUpColumn,0))</f>
        <v>1</v>
      </c>
    </row>
    <row r="3879" spans="1:9" x14ac:dyDescent="0.25">
      <c r="A3879" s="7">
        <v>3</v>
      </c>
      <c r="B3879" s="8">
        <v>43471</v>
      </c>
      <c r="C3879" s="9" t="s">
        <v>4</v>
      </c>
      <c r="D3879" s="10">
        <v>2545.5009999999997</v>
      </c>
      <c r="E3879" s="10">
        <v>0</v>
      </c>
      <c r="F3879" t="str">
        <f>VLOOKUP(A3879,StoreLookup,2,FALSE)</f>
        <v>Store#3</v>
      </c>
      <c r="G3879">
        <f>INDEX(CalLookUpTable,MATCH($B3879,CalLookUpRow,0),MATCH(G$1,CalLookUpColumn,0))</f>
        <v>2019</v>
      </c>
      <c r="H3879">
        <f>INDEX(CalLookUpTable,MATCH($B3879,CalLookUpRow,0),MATCH(H$1,CalLookUpColumn,0))</f>
        <v>1</v>
      </c>
      <c r="I3879">
        <f>INDEX(CalLookUpTable,MATCH($B3879,CalLookUpRow,0),MATCH(I$1,CalLookUpColumn,0))</f>
        <v>1</v>
      </c>
    </row>
    <row r="3880" spans="1:9" x14ac:dyDescent="0.25">
      <c r="A3880" s="7">
        <v>3</v>
      </c>
      <c r="B3880" s="8">
        <v>43471</v>
      </c>
      <c r="C3880" s="9" t="s">
        <v>3</v>
      </c>
      <c r="D3880" s="10">
        <v>169.24599999999998</v>
      </c>
      <c r="E3880" s="10">
        <v>0</v>
      </c>
      <c r="F3880" t="str">
        <f>VLOOKUP(A3880,StoreLookup,2,FALSE)</f>
        <v>Store#3</v>
      </c>
      <c r="G3880">
        <f>INDEX(CalLookUpTable,MATCH($B3880,CalLookUpRow,0),MATCH(G$1,CalLookUpColumn,0))</f>
        <v>2019</v>
      </c>
      <c r="H3880">
        <f>INDEX(CalLookUpTable,MATCH($B3880,CalLookUpRow,0),MATCH(H$1,CalLookUpColumn,0))</f>
        <v>1</v>
      </c>
      <c r="I3880">
        <f>INDEX(CalLookUpTable,MATCH($B3880,CalLookUpRow,0),MATCH(I$1,CalLookUpColumn,0))</f>
        <v>1</v>
      </c>
    </row>
    <row r="3881" spans="1:9" x14ac:dyDescent="0.25">
      <c r="A3881" s="7">
        <v>3</v>
      </c>
      <c r="B3881" s="8">
        <v>43471</v>
      </c>
      <c r="C3881" s="9" t="s">
        <v>5</v>
      </c>
      <c r="D3881" s="10">
        <v>2494.1</v>
      </c>
      <c r="E3881" s="10">
        <v>0</v>
      </c>
      <c r="F3881" t="str">
        <f>VLOOKUP(A3881,StoreLookup,2,FALSE)</f>
        <v>Store#3</v>
      </c>
      <c r="G3881">
        <f>INDEX(CalLookUpTable,MATCH($B3881,CalLookUpRow,0),MATCH(G$1,CalLookUpColumn,0))</f>
        <v>2019</v>
      </c>
      <c r="H3881">
        <f>INDEX(CalLookUpTable,MATCH($B3881,CalLookUpRow,0),MATCH(H$1,CalLookUpColumn,0))</f>
        <v>1</v>
      </c>
      <c r="I3881">
        <f>INDEX(CalLookUpTable,MATCH($B3881,CalLookUpRow,0),MATCH(I$1,CalLookUpColumn,0))</f>
        <v>1</v>
      </c>
    </row>
    <row r="3882" spans="1:9" x14ac:dyDescent="0.25">
      <c r="A3882" s="7">
        <v>3</v>
      </c>
      <c r="B3882" s="8">
        <v>43472</v>
      </c>
      <c r="C3882" s="9" t="s">
        <v>6</v>
      </c>
      <c r="D3882" s="10">
        <v>678.07599999999991</v>
      </c>
      <c r="E3882" s="10">
        <v>0</v>
      </c>
      <c r="F3882" t="str">
        <f>VLOOKUP(A3882,StoreLookup,2,FALSE)</f>
        <v>Store#3</v>
      </c>
      <c r="G3882">
        <f>INDEX(CalLookUpTable,MATCH($B3882,CalLookUpRow,0),MATCH(G$1,CalLookUpColumn,0))</f>
        <v>2019</v>
      </c>
      <c r="H3882">
        <f>INDEX(CalLookUpTable,MATCH($B3882,CalLookUpRow,0),MATCH(H$1,CalLookUpColumn,0))</f>
        <v>1</v>
      </c>
      <c r="I3882">
        <f>INDEX(CalLookUpTable,MATCH($B3882,CalLookUpRow,0),MATCH(I$1,CalLookUpColumn,0))</f>
        <v>2</v>
      </c>
    </row>
    <row r="3883" spans="1:9" x14ac:dyDescent="0.25">
      <c r="A3883" s="7">
        <v>3</v>
      </c>
      <c r="B3883" s="8">
        <v>43472</v>
      </c>
      <c r="C3883" s="9" t="s">
        <v>3</v>
      </c>
      <c r="D3883" s="10">
        <v>18.535999999999998</v>
      </c>
      <c r="E3883" s="10">
        <v>0</v>
      </c>
      <c r="F3883" t="str">
        <f>VLOOKUP(A3883,StoreLookup,2,FALSE)</f>
        <v>Store#3</v>
      </c>
      <c r="G3883">
        <f>INDEX(CalLookUpTable,MATCH($B3883,CalLookUpRow,0),MATCH(G$1,CalLookUpColumn,0))</f>
        <v>2019</v>
      </c>
      <c r="H3883">
        <f>INDEX(CalLookUpTable,MATCH($B3883,CalLookUpRow,0),MATCH(H$1,CalLookUpColumn,0))</f>
        <v>1</v>
      </c>
      <c r="I3883">
        <f>INDEX(CalLookUpTable,MATCH($B3883,CalLookUpRow,0),MATCH(I$1,CalLookUpColumn,0))</f>
        <v>2</v>
      </c>
    </row>
    <row r="3884" spans="1:9" x14ac:dyDescent="0.25">
      <c r="A3884" s="7">
        <v>3</v>
      </c>
      <c r="B3884" s="8">
        <v>43472</v>
      </c>
      <c r="C3884" s="9" t="s">
        <v>4</v>
      </c>
      <c r="D3884" s="10">
        <v>2577.9740000000002</v>
      </c>
      <c r="E3884" s="10">
        <v>0</v>
      </c>
      <c r="F3884" t="str">
        <f>VLOOKUP(A3884,StoreLookup,2,FALSE)</f>
        <v>Store#3</v>
      </c>
      <c r="G3884">
        <f>INDEX(CalLookUpTable,MATCH($B3884,CalLookUpRow,0),MATCH(G$1,CalLookUpColumn,0))</f>
        <v>2019</v>
      </c>
      <c r="H3884">
        <f>INDEX(CalLookUpTable,MATCH($B3884,CalLookUpRow,0),MATCH(H$1,CalLookUpColumn,0))</f>
        <v>1</v>
      </c>
      <c r="I3884">
        <f>INDEX(CalLookUpTable,MATCH($B3884,CalLookUpRow,0),MATCH(I$1,CalLookUpColumn,0))</f>
        <v>2</v>
      </c>
    </row>
    <row r="3885" spans="1:9" x14ac:dyDescent="0.25">
      <c r="A3885" s="7">
        <v>3</v>
      </c>
      <c r="B3885" s="8">
        <v>43472</v>
      </c>
      <c r="C3885" s="9" t="s">
        <v>5</v>
      </c>
      <c r="D3885" s="10">
        <v>2907.7019999999998</v>
      </c>
      <c r="E3885" s="10">
        <v>0</v>
      </c>
      <c r="F3885" t="str">
        <f>VLOOKUP(A3885,StoreLookup,2,FALSE)</f>
        <v>Store#3</v>
      </c>
      <c r="G3885">
        <f>INDEX(CalLookUpTable,MATCH($B3885,CalLookUpRow,0),MATCH(G$1,CalLookUpColumn,0))</f>
        <v>2019</v>
      </c>
      <c r="H3885">
        <f>INDEX(CalLookUpTable,MATCH($B3885,CalLookUpRow,0),MATCH(H$1,CalLookUpColumn,0))</f>
        <v>1</v>
      </c>
      <c r="I3885">
        <f>INDEX(CalLookUpTable,MATCH($B3885,CalLookUpRow,0),MATCH(I$1,CalLookUpColumn,0))</f>
        <v>2</v>
      </c>
    </row>
    <row r="3886" spans="1:9" x14ac:dyDescent="0.25">
      <c r="A3886" s="7">
        <v>3</v>
      </c>
      <c r="B3886" s="8">
        <v>43473</v>
      </c>
      <c r="C3886" s="9" t="s">
        <v>3</v>
      </c>
      <c r="D3886" s="10">
        <v>153.85999999999999</v>
      </c>
      <c r="E3886" s="10">
        <v>0</v>
      </c>
      <c r="F3886" t="str">
        <f>VLOOKUP(A3886,StoreLookup,2,FALSE)</f>
        <v>Store#3</v>
      </c>
      <c r="G3886">
        <f>INDEX(CalLookUpTable,MATCH($B3886,CalLookUpRow,0),MATCH(G$1,CalLookUpColumn,0))</f>
        <v>2019</v>
      </c>
      <c r="H3886">
        <f>INDEX(CalLookUpTable,MATCH($B3886,CalLookUpRow,0),MATCH(H$1,CalLookUpColumn,0))</f>
        <v>1</v>
      </c>
      <c r="I3886">
        <f>INDEX(CalLookUpTable,MATCH($B3886,CalLookUpRow,0),MATCH(I$1,CalLookUpColumn,0))</f>
        <v>2</v>
      </c>
    </row>
    <row r="3887" spans="1:9" x14ac:dyDescent="0.25">
      <c r="A3887" s="7">
        <v>3</v>
      </c>
      <c r="B3887" s="8">
        <v>43473</v>
      </c>
      <c r="C3887" s="9" t="s">
        <v>5</v>
      </c>
      <c r="D3887" s="10">
        <v>2890.8739999999998</v>
      </c>
      <c r="E3887" s="10">
        <v>0</v>
      </c>
      <c r="F3887" t="str">
        <f>VLOOKUP(A3887,StoreLookup,2,FALSE)</f>
        <v>Store#3</v>
      </c>
      <c r="G3887">
        <f>INDEX(CalLookUpTable,MATCH($B3887,CalLookUpRow,0),MATCH(G$1,CalLookUpColumn,0))</f>
        <v>2019</v>
      </c>
      <c r="H3887">
        <f>INDEX(CalLookUpTable,MATCH($B3887,CalLookUpRow,0),MATCH(H$1,CalLookUpColumn,0))</f>
        <v>1</v>
      </c>
      <c r="I3887">
        <f>INDEX(CalLookUpTable,MATCH($B3887,CalLookUpRow,0),MATCH(I$1,CalLookUpColumn,0))</f>
        <v>2</v>
      </c>
    </row>
    <row r="3888" spans="1:9" x14ac:dyDescent="0.25">
      <c r="A3888" s="7">
        <v>3</v>
      </c>
      <c r="B3888" s="8">
        <v>43473</v>
      </c>
      <c r="C3888" s="9" t="s">
        <v>6</v>
      </c>
      <c r="D3888" s="10">
        <v>840.63</v>
      </c>
      <c r="E3888" s="10">
        <v>0</v>
      </c>
      <c r="F3888" t="str">
        <f>VLOOKUP(A3888,StoreLookup,2,FALSE)</f>
        <v>Store#3</v>
      </c>
      <c r="G3888">
        <f>INDEX(CalLookUpTable,MATCH($B3888,CalLookUpRow,0),MATCH(G$1,CalLookUpColumn,0))</f>
        <v>2019</v>
      </c>
      <c r="H3888">
        <f>INDEX(CalLookUpTable,MATCH($B3888,CalLookUpRow,0),MATCH(H$1,CalLookUpColumn,0))</f>
        <v>1</v>
      </c>
      <c r="I3888">
        <f>INDEX(CalLookUpTable,MATCH($B3888,CalLookUpRow,0),MATCH(I$1,CalLookUpColumn,0))</f>
        <v>2</v>
      </c>
    </row>
    <row r="3889" spans="1:9" x14ac:dyDescent="0.25">
      <c r="A3889" s="7">
        <v>3</v>
      </c>
      <c r="B3889" s="8">
        <v>43473</v>
      </c>
      <c r="C3889" s="9" t="s">
        <v>4</v>
      </c>
      <c r="D3889" s="10">
        <v>3072.5729999999999</v>
      </c>
      <c r="E3889" s="10">
        <v>0</v>
      </c>
      <c r="F3889" t="str">
        <f>VLOOKUP(A3889,StoreLookup,2,FALSE)</f>
        <v>Store#3</v>
      </c>
      <c r="G3889">
        <f>INDEX(CalLookUpTable,MATCH($B3889,CalLookUpRow,0),MATCH(G$1,CalLookUpColumn,0))</f>
        <v>2019</v>
      </c>
      <c r="H3889">
        <f>INDEX(CalLookUpTable,MATCH($B3889,CalLookUpRow,0),MATCH(H$1,CalLookUpColumn,0))</f>
        <v>1</v>
      </c>
      <c r="I3889">
        <f>INDEX(CalLookUpTable,MATCH($B3889,CalLookUpRow,0),MATCH(I$1,CalLookUpColumn,0))</f>
        <v>2</v>
      </c>
    </row>
    <row r="3890" spans="1:9" x14ac:dyDescent="0.25">
      <c r="A3890" s="7">
        <v>3</v>
      </c>
      <c r="B3890" s="8">
        <v>43474</v>
      </c>
      <c r="C3890" s="9" t="s">
        <v>3</v>
      </c>
      <c r="D3890" s="10">
        <v>23.484999999999996</v>
      </c>
      <c r="E3890" s="10">
        <v>0</v>
      </c>
      <c r="F3890" t="str">
        <f>VLOOKUP(A3890,StoreLookup,2,FALSE)</f>
        <v>Store#3</v>
      </c>
      <c r="G3890">
        <f>INDEX(CalLookUpTable,MATCH($B3890,CalLookUpRow,0),MATCH(G$1,CalLookUpColumn,0))</f>
        <v>2019</v>
      </c>
      <c r="H3890">
        <f>INDEX(CalLookUpTable,MATCH($B3890,CalLookUpRow,0),MATCH(H$1,CalLookUpColumn,0))</f>
        <v>1</v>
      </c>
      <c r="I3890">
        <f>INDEX(CalLookUpTable,MATCH($B3890,CalLookUpRow,0),MATCH(I$1,CalLookUpColumn,0))</f>
        <v>2</v>
      </c>
    </row>
    <row r="3891" spans="1:9" x14ac:dyDescent="0.25">
      <c r="A3891" s="7">
        <v>3</v>
      </c>
      <c r="B3891" s="8">
        <v>43474</v>
      </c>
      <c r="C3891" s="9" t="s">
        <v>6</v>
      </c>
      <c r="D3891" s="10">
        <v>979.54499999999985</v>
      </c>
      <c r="E3891" s="10">
        <v>0</v>
      </c>
      <c r="F3891" t="str">
        <f>VLOOKUP(A3891,StoreLookup,2,FALSE)</f>
        <v>Store#3</v>
      </c>
      <c r="G3891">
        <f>INDEX(CalLookUpTable,MATCH($B3891,CalLookUpRow,0),MATCH(G$1,CalLookUpColumn,0))</f>
        <v>2019</v>
      </c>
      <c r="H3891">
        <f>INDEX(CalLookUpTable,MATCH($B3891,CalLookUpRow,0),MATCH(H$1,CalLookUpColumn,0))</f>
        <v>1</v>
      </c>
      <c r="I3891">
        <f>INDEX(CalLookUpTable,MATCH($B3891,CalLookUpRow,0),MATCH(I$1,CalLookUpColumn,0))</f>
        <v>2</v>
      </c>
    </row>
    <row r="3892" spans="1:9" x14ac:dyDescent="0.25">
      <c r="A3892" s="7">
        <v>3</v>
      </c>
      <c r="B3892" s="8">
        <v>43474</v>
      </c>
      <c r="C3892" s="9" t="s">
        <v>4</v>
      </c>
      <c r="D3892" s="10">
        <v>3021.4799999999996</v>
      </c>
      <c r="E3892" s="10">
        <v>0</v>
      </c>
      <c r="F3892" t="str">
        <f>VLOOKUP(A3892,StoreLookup,2,FALSE)</f>
        <v>Store#3</v>
      </c>
      <c r="G3892">
        <f>INDEX(CalLookUpTable,MATCH($B3892,CalLookUpRow,0),MATCH(G$1,CalLookUpColumn,0))</f>
        <v>2019</v>
      </c>
      <c r="H3892">
        <f>INDEX(CalLookUpTable,MATCH($B3892,CalLookUpRow,0),MATCH(H$1,CalLookUpColumn,0))</f>
        <v>1</v>
      </c>
      <c r="I3892">
        <f>INDEX(CalLookUpTable,MATCH($B3892,CalLookUpRow,0),MATCH(I$1,CalLookUpColumn,0))</f>
        <v>2</v>
      </c>
    </row>
    <row r="3893" spans="1:9" x14ac:dyDescent="0.25">
      <c r="A3893" s="7">
        <v>3</v>
      </c>
      <c r="B3893" s="8">
        <v>43474</v>
      </c>
      <c r="C3893" s="9" t="s">
        <v>5</v>
      </c>
      <c r="D3893" s="10">
        <v>2924.6489999999994</v>
      </c>
      <c r="E3893" s="10">
        <v>0</v>
      </c>
      <c r="F3893" t="str">
        <f>VLOOKUP(A3893,StoreLookup,2,FALSE)</f>
        <v>Store#3</v>
      </c>
      <c r="G3893">
        <f>INDEX(CalLookUpTable,MATCH($B3893,CalLookUpRow,0),MATCH(G$1,CalLookUpColumn,0))</f>
        <v>2019</v>
      </c>
      <c r="H3893">
        <f>INDEX(CalLookUpTable,MATCH($B3893,CalLookUpRow,0),MATCH(H$1,CalLookUpColumn,0))</f>
        <v>1</v>
      </c>
      <c r="I3893">
        <f>INDEX(CalLookUpTable,MATCH($B3893,CalLookUpRow,0),MATCH(I$1,CalLookUpColumn,0))</f>
        <v>2</v>
      </c>
    </row>
    <row r="3894" spans="1:9" x14ac:dyDescent="0.25">
      <c r="A3894" s="7">
        <v>3</v>
      </c>
      <c r="B3894" s="8">
        <v>43475</v>
      </c>
      <c r="C3894" s="9" t="s">
        <v>5</v>
      </c>
      <c r="D3894" s="10">
        <v>3120.6839999999997</v>
      </c>
      <c r="E3894" s="10">
        <v>0</v>
      </c>
      <c r="F3894" t="str">
        <f>VLOOKUP(A3894,StoreLookup,2,FALSE)</f>
        <v>Store#3</v>
      </c>
      <c r="G3894">
        <f>INDEX(CalLookUpTable,MATCH($B3894,CalLookUpRow,0),MATCH(G$1,CalLookUpColumn,0))</f>
        <v>2019</v>
      </c>
      <c r="H3894">
        <f>INDEX(CalLookUpTable,MATCH($B3894,CalLookUpRow,0),MATCH(H$1,CalLookUpColumn,0))</f>
        <v>1</v>
      </c>
      <c r="I3894">
        <f>INDEX(CalLookUpTable,MATCH($B3894,CalLookUpRow,0),MATCH(I$1,CalLookUpColumn,0))</f>
        <v>2</v>
      </c>
    </row>
    <row r="3895" spans="1:9" x14ac:dyDescent="0.25">
      <c r="A3895" s="7">
        <v>3</v>
      </c>
      <c r="B3895" s="8">
        <v>43475</v>
      </c>
      <c r="C3895" s="9" t="s">
        <v>4</v>
      </c>
      <c r="D3895" s="10">
        <v>3301.7599999999998</v>
      </c>
      <c r="E3895" s="10">
        <v>0</v>
      </c>
      <c r="F3895" t="str">
        <f>VLOOKUP(A3895,StoreLookup,2,FALSE)</f>
        <v>Store#3</v>
      </c>
      <c r="G3895">
        <f>INDEX(CalLookUpTable,MATCH($B3895,CalLookUpRow,0),MATCH(G$1,CalLookUpColumn,0))</f>
        <v>2019</v>
      </c>
      <c r="H3895">
        <f>INDEX(CalLookUpTable,MATCH($B3895,CalLookUpRow,0),MATCH(H$1,CalLookUpColumn,0))</f>
        <v>1</v>
      </c>
      <c r="I3895">
        <f>INDEX(CalLookUpTable,MATCH($B3895,CalLookUpRow,0),MATCH(I$1,CalLookUpColumn,0))</f>
        <v>2</v>
      </c>
    </row>
    <row r="3896" spans="1:9" x14ac:dyDescent="0.25">
      <c r="A3896" s="7">
        <v>3</v>
      </c>
      <c r="B3896" s="8">
        <v>43475</v>
      </c>
      <c r="C3896" s="9" t="s">
        <v>6</v>
      </c>
      <c r="D3896" s="10">
        <v>876.72899999999993</v>
      </c>
      <c r="E3896" s="10">
        <v>0</v>
      </c>
      <c r="F3896" t="str">
        <f>VLOOKUP(A3896,StoreLookup,2,FALSE)</f>
        <v>Store#3</v>
      </c>
      <c r="G3896">
        <f>INDEX(CalLookUpTable,MATCH($B3896,CalLookUpRow,0),MATCH(G$1,CalLookUpColumn,0))</f>
        <v>2019</v>
      </c>
      <c r="H3896">
        <f>INDEX(CalLookUpTable,MATCH($B3896,CalLookUpRow,0),MATCH(H$1,CalLookUpColumn,0))</f>
        <v>1</v>
      </c>
      <c r="I3896">
        <f>INDEX(CalLookUpTable,MATCH($B3896,CalLookUpRow,0),MATCH(I$1,CalLookUpColumn,0))</f>
        <v>2</v>
      </c>
    </row>
    <row r="3897" spans="1:9" x14ac:dyDescent="0.25">
      <c r="A3897" s="7">
        <v>3</v>
      </c>
      <c r="B3897" s="8">
        <v>43475</v>
      </c>
      <c r="C3897" s="9" t="s">
        <v>3</v>
      </c>
      <c r="D3897" s="10">
        <v>0</v>
      </c>
      <c r="E3897" s="10">
        <v>0</v>
      </c>
      <c r="F3897" t="str">
        <f>VLOOKUP(A3897,StoreLookup,2,FALSE)</f>
        <v>Store#3</v>
      </c>
      <c r="G3897">
        <f>INDEX(CalLookUpTable,MATCH($B3897,CalLookUpRow,0),MATCH(G$1,CalLookUpColumn,0))</f>
        <v>2019</v>
      </c>
      <c r="H3897">
        <f>INDEX(CalLookUpTable,MATCH($B3897,CalLookUpRow,0),MATCH(H$1,CalLookUpColumn,0))</f>
        <v>1</v>
      </c>
      <c r="I3897">
        <f>INDEX(CalLookUpTable,MATCH($B3897,CalLookUpRow,0),MATCH(I$1,CalLookUpColumn,0))</f>
        <v>2</v>
      </c>
    </row>
    <row r="3898" spans="1:9" x14ac:dyDescent="0.25">
      <c r="A3898" s="7">
        <v>3</v>
      </c>
      <c r="B3898" s="8">
        <v>43476</v>
      </c>
      <c r="C3898" s="9" t="s">
        <v>6</v>
      </c>
      <c r="D3898" s="10">
        <v>944.72699999999986</v>
      </c>
      <c r="E3898" s="10">
        <v>0</v>
      </c>
      <c r="F3898" t="str">
        <f>VLOOKUP(A3898,StoreLookup,2,FALSE)</f>
        <v>Store#3</v>
      </c>
      <c r="G3898">
        <f>INDEX(CalLookUpTable,MATCH($B3898,CalLookUpRow,0),MATCH(G$1,CalLookUpColumn,0))</f>
        <v>2019</v>
      </c>
      <c r="H3898">
        <f>INDEX(CalLookUpTable,MATCH($B3898,CalLookUpRow,0),MATCH(H$1,CalLookUpColumn,0))</f>
        <v>1</v>
      </c>
      <c r="I3898">
        <f>INDEX(CalLookUpTable,MATCH($B3898,CalLookUpRow,0),MATCH(I$1,CalLookUpColumn,0))</f>
        <v>2</v>
      </c>
    </row>
    <row r="3899" spans="1:9" x14ac:dyDescent="0.25">
      <c r="A3899" s="7">
        <v>3</v>
      </c>
      <c r="B3899" s="8">
        <v>43476</v>
      </c>
      <c r="C3899" s="9" t="s">
        <v>4</v>
      </c>
      <c r="D3899" s="10">
        <v>3916.9409999999998</v>
      </c>
      <c r="E3899" s="10">
        <v>0</v>
      </c>
      <c r="F3899" t="str">
        <f>VLOOKUP(A3899,StoreLookup,2,FALSE)</f>
        <v>Store#3</v>
      </c>
      <c r="G3899">
        <f>INDEX(CalLookUpTable,MATCH($B3899,CalLookUpRow,0),MATCH(G$1,CalLookUpColumn,0))</f>
        <v>2019</v>
      </c>
      <c r="H3899">
        <f>INDEX(CalLookUpTable,MATCH($B3899,CalLookUpRow,0),MATCH(H$1,CalLookUpColumn,0))</f>
        <v>1</v>
      </c>
      <c r="I3899">
        <f>INDEX(CalLookUpTable,MATCH($B3899,CalLookUpRow,0),MATCH(I$1,CalLookUpColumn,0))</f>
        <v>2</v>
      </c>
    </row>
    <row r="3900" spans="1:9" x14ac:dyDescent="0.25">
      <c r="A3900" s="7">
        <v>3</v>
      </c>
      <c r="B3900" s="8">
        <v>43476</v>
      </c>
      <c r="C3900" s="9" t="s">
        <v>5</v>
      </c>
      <c r="D3900" s="10">
        <v>3776.4159999999997</v>
      </c>
      <c r="E3900" s="10">
        <v>0</v>
      </c>
      <c r="F3900" t="str">
        <f>VLOOKUP(A3900,StoreLookup,2,FALSE)</f>
        <v>Store#3</v>
      </c>
      <c r="G3900">
        <f>INDEX(CalLookUpTable,MATCH($B3900,CalLookUpRow,0),MATCH(G$1,CalLookUpColumn,0))</f>
        <v>2019</v>
      </c>
      <c r="H3900">
        <f>INDEX(CalLookUpTable,MATCH($B3900,CalLookUpRow,0),MATCH(H$1,CalLookUpColumn,0))</f>
        <v>1</v>
      </c>
      <c r="I3900">
        <f>INDEX(CalLookUpTable,MATCH($B3900,CalLookUpRow,0),MATCH(I$1,CalLookUpColumn,0))</f>
        <v>2</v>
      </c>
    </row>
    <row r="3901" spans="1:9" x14ac:dyDescent="0.25">
      <c r="A3901" s="7">
        <v>3</v>
      </c>
      <c r="B3901" s="8">
        <v>43476</v>
      </c>
      <c r="C3901" s="9" t="s">
        <v>3</v>
      </c>
      <c r="D3901" s="10">
        <v>27.257999999999996</v>
      </c>
      <c r="E3901" s="10">
        <v>0</v>
      </c>
      <c r="F3901" t="str">
        <f>VLOOKUP(A3901,StoreLookup,2,FALSE)</f>
        <v>Store#3</v>
      </c>
      <c r="G3901">
        <f>INDEX(CalLookUpTable,MATCH($B3901,CalLookUpRow,0),MATCH(G$1,CalLookUpColumn,0))</f>
        <v>2019</v>
      </c>
      <c r="H3901">
        <f>INDEX(CalLookUpTable,MATCH($B3901,CalLookUpRow,0),MATCH(H$1,CalLookUpColumn,0))</f>
        <v>1</v>
      </c>
      <c r="I3901">
        <f>INDEX(CalLookUpTable,MATCH($B3901,CalLookUpRow,0),MATCH(I$1,CalLookUpColumn,0))</f>
        <v>2</v>
      </c>
    </row>
    <row r="3902" spans="1:9" x14ac:dyDescent="0.25">
      <c r="A3902" s="7">
        <v>3</v>
      </c>
      <c r="B3902" s="8">
        <v>43477</v>
      </c>
      <c r="C3902" s="9" t="s">
        <v>4</v>
      </c>
      <c r="D3902" s="10">
        <v>4455.485999999999</v>
      </c>
      <c r="E3902" s="10">
        <v>0</v>
      </c>
      <c r="F3902" t="str">
        <f>VLOOKUP(A3902,StoreLookup,2,FALSE)</f>
        <v>Store#3</v>
      </c>
      <c r="G3902">
        <f>INDEX(CalLookUpTable,MATCH($B3902,CalLookUpRow,0),MATCH(G$1,CalLookUpColumn,0))</f>
        <v>2019</v>
      </c>
      <c r="H3902">
        <f>INDEX(CalLookUpTable,MATCH($B3902,CalLookUpRow,0),MATCH(H$1,CalLookUpColumn,0))</f>
        <v>1</v>
      </c>
      <c r="I3902">
        <f>INDEX(CalLookUpTable,MATCH($B3902,CalLookUpRow,0),MATCH(I$1,CalLookUpColumn,0))</f>
        <v>2</v>
      </c>
    </row>
    <row r="3903" spans="1:9" x14ac:dyDescent="0.25">
      <c r="A3903" s="7">
        <v>3</v>
      </c>
      <c r="B3903" s="8">
        <v>43477</v>
      </c>
      <c r="C3903" s="9" t="s">
        <v>3</v>
      </c>
      <c r="D3903" s="10">
        <v>200.65499999999997</v>
      </c>
      <c r="E3903" s="10">
        <v>0</v>
      </c>
      <c r="F3903" t="str">
        <f>VLOOKUP(A3903,StoreLookup,2,FALSE)</f>
        <v>Store#3</v>
      </c>
      <c r="G3903">
        <f>INDEX(CalLookUpTable,MATCH($B3903,CalLookUpRow,0),MATCH(G$1,CalLookUpColumn,0))</f>
        <v>2019</v>
      </c>
      <c r="H3903">
        <f>INDEX(CalLookUpTable,MATCH($B3903,CalLookUpRow,0),MATCH(H$1,CalLookUpColumn,0))</f>
        <v>1</v>
      </c>
      <c r="I3903">
        <f>INDEX(CalLookUpTable,MATCH($B3903,CalLookUpRow,0),MATCH(I$1,CalLookUpColumn,0))</f>
        <v>2</v>
      </c>
    </row>
    <row r="3904" spans="1:9" x14ac:dyDescent="0.25">
      <c r="A3904" s="7">
        <v>3</v>
      </c>
      <c r="B3904" s="8">
        <v>43477</v>
      </c>
      <c r="C3904" s="9" t="s">
        <v>5</v>
      </c>
      <c r="D3904" s="10">
        <v>3449.0609999999997</v>
      </c>
      <c r="E3904" s="10">
        <v>0</v>
      </c>
      <c r="F3904" t="str">
        <f>VLOOKUP(A3904,StoreLookup,2,FALSE)</f>
        <v>Store#3</v>
      </c>
      <c r="G3904">
        <f>INDEX(CalLookUpTable,MATCH($B3904,CalLookUpRow,0),MATCH(G$1,CalLookUpColumn,0))</f>
        <v>2019</v>
      </c>
      <c r="H3904">
        <f>INDEX(CalLookUpTable,MATCH($B3904,CalLookUpRow,0),MATCH(H$1,CalLookUpColumn,0))</f>
        <v>1</v>
      </c>
      <c r="I3904">
        <f>INDEX(CalLookUpTable,MATCH($B3904,CalLookUpRow,0),MATCH(I$1,CalLookUpColumn,0))</f>
        <v>2</v>
      </c>
    </row>
    <row r="3905" spans="1:9" x14ac:dyDescent="0.25">
      <c r="A3905" s="7">
        <v>3</v>
      </c>
      <c r="B3905" s="8">
        <v>43477</v>
      </c>
      <c r="C3905" s="9" t="s">
        <v>6</v>
      </c>
      <c r="D3905" s="10">
        <v>1154.1599999999999</v>
      </c>
      <c r="E3905" s="10">
        <v>0</v>
      </c>
      <c r="F3905" t="str">
        <f>VLOOKUP(A3905,StoreLookup,2,FALSE)</f>
        <v>Store#3</v>
      </c>
      <c r="G3905">
        <f>INDEX(CalLookUpTable,MATCH($B3905,CalLookUpRow,0),MATCH(G$1,CalLookUpColumn,0))</f>
        <v>2019</v>
      </c>
      <c r="H3905">
        <f>INDEX(CalLookUpTable,MATCH($B3905,CalLookUpRow,0),MATCH(H$1,CalLookUpColumn,0))</f>
        <v>1</v>
      </c>
      <c r="I3905">
        <f>INDEX(CalLookUpTable,MATCH($B3905,CalLookUpRow,0),MATCH(I$1,CalLookUpColumn,0))</f>
        <v>2</v>
      </c>
    </row>
    <row r="3906" spans="1:9" x14ac:dyDescent="0.25">
      <c r="A3906" s="7">
        <v>3</v>
      </c>
      <c r="B3906" s="8">
        <v>43478</v>
      </c>
      <c r="C3906" s="9" t="s">
        <v>3</v>
      </c>
      <c r="D3906" s="10">
        <v>213.91299999999998</v>
      </c>
      <c r="E3906" s="10">
        <v>0</v>
      </c>
      <c r="F3906" t="str">
        <f>VLOOKUP(A3906,StoreLookup,2,FALSE)</f>
        <v>Store#3</v>
      </c>
      <c r="G3906">
        <f>INDEX(CalLookUpTable,MATCH($B3906,CalLookUpRow,0),MATCH(G$1,CalLookUpColumn,0))</f>
        <v>2019</v>
      </c>
      <c r="H3906">
        <f>INDEX(CalLookUpTable,MATCH($B3906,CalLookUpRow,0),MATCH(H$1,CalLookUpColumn,0))</f>
        <v>1</v>
      </c>
      <c r="I3906">
        <f>INDEX(CalLookUpTable,MATCH($B3906,CalLookUpRow,0),MATCH(I$1,CalLookUpColumn,0))</f>
        <v>2</v>
      </c>
    </row>
    <row r="3907" spans="1:9" x14ac:dyDescent="0.25">
      <c r="A3907" s="7">
        <v>3</v>
      </c>
      <c r="B3907" s="8">
        <v>43478</v>
      </c>
      <c r="C3907" s="9" t="s">
        <v>5</v>
      </c>
      <c r="D3907" s="10">
        <v>2435.125</v>
      </c>
      <c r="E3907" s="10">
        <v>0</v>
      </c>
      <c r="F3907" t="str">
        <f>VLOOKUP(A3907,StoreLookup,2,FALSE)</f>
        <v>Store#3</v>
      </c>
      <c r="G3907">
        <f>INDEX(CalLookUpTable,MATCH($B3907,CalLookUpRow,0),MATCH(G$1,CalLookUpColumn,0))</f>
        <v>2019</v>
      </c>
      <c r="H3907">
        <f>INDEX(CalLookUpTable,MATCH($B3907,CalLookUpRow,0),MATCH(H$1,CalLookUpColumn,0))</f>
        <v>1</v>
      </c>
      <c r="I3907">
        <f>INDEX(CalLookUpTable,MATCH($B3907,CalLookUpRow,0),MATCH(I$1,CalLookUpColumn,0))</f>
        <v>2</v>
      </c>
    </row>
    <row r="3908" spans="1:9" x14ac:dyDescent="0.25">
      <c r="A3908" s="7">
        <v>3</v>
      </c>
      <c r="B3908" s="8">
        <v>43478</v>
      </c>
      <c r="C3908" s="9" t="s">
        <v>6</v>
      </c>
      <c r="D3908" s="10">
        <v>694.08499999999992</v>
      </c>
      <c r="E3908" s="10">
        <v>0</v>
      </c>
      <c r="F3908" t="str">
        <f>VLOOKUP(A3908,StoreLookup,2,FALSE)</f>
        <v>Store#3</v>
      </c>
      <c r="G3908">
        <f>INDEX(CalLookUpTable,MATCH($B3908,CalLookUpRow,0),MATCH(G$1,CalLookUpColumn,0))</f>
        <v>2019</v>
      </c>
      <c r="H3908">
        <f>INDEX(CalLookUpTable,MATCH($B3908,CalLookUpRow,0),MATCH(H$1,CalLookUpColumn,0))</f>
        <v>1</v>
      </c>
      <c r="I3908">
        <f>INDEX(CalLookUpTable,MATCH($B3908,CalLookUpRow,0),MATCH(I$1,CalLookUpColumn,0))</f>
        <v>2</v>
      </c>
    </row>
    <row r="3909" spans="1:9" x14ac:dyDescent="0.25">
      <c r="A3909" s="7">
        <v>3</v>
      </c>
      <c r="B3909" s="8">
        <v>43478</v>
      </c>
      <c r="C3909" s="9" t="s">
        <v>4</v>
      </c>
      <c r="D3909" s="10">
        <v>2611.7489999999998</v>
      </c>
      <c r="E3909" s="10">
        <v>0</v>
      </c>
      <c r="F3909" t="str">
        <f>VLOOKUP(A3909,StoreLookup,2,FALSE)</f>
        <v>Store#3</v>
      </c>
      <c r="G3909">
        <f>INDEX(CalLookUpTable,MATCH($B3909,CalLookUpRow,0),MATCH(G$1,CalLookUpColumn,0))</f>
        <v>2019</v>
      </c>
      <c r="H3909">
        <f>INDEX(CalLookUpTable,MATCH($B3909,CalLookUpRow,0),MATCH(H$1,CalLookUpColumn,0))</f>
        <v>1</v>
      </c>
      <c r="I3909">
        <f>INDEX(CalLookUpTable,MATCH($B3909,CalLookUpRow,0),MATCH(I$1,CalLookUpColumn,0))</f>
        <v>2</v>
      </c>
    </row>
    <row r="3910" spans="1:9" x14ac:dyDescent="0.25">
      <c r="A3910" s="7">
        <v>3</v>
      </c>
      <c r="B3910" s="8">
        <v>43479</v>
      </c>
      <c r="C3910" s="9" t="s">
        <v>6</v>
      </c>
      <c r="D3910" s="10">
        <v>705.90800000000002</v>
      </c>
      <c r="E3910" s="10">
        <v>0</v>
      </c>
      <c r="F3910" t="str">
        <f>VLOOKUP(A3910,StoreLookup,2,FALSE)</f>
        <v>Store#3</v>
      </c>
      <c r="G3910">
        <f>INDEX(CalLookUpTable,MATCH($B3910,CalLookUpRow,0),MATCH(G$1,CalLookUpColumn,0))</f>
        <v>2019</v>
      </c>
      <c r="H3910">
        <f>INDEX(CalLookUpTable,MATCH($B3910,CalLookUpRow,0),MATCH(H$1,CalLookUpColumn,0))</f>
        <v>1</v>
      </c>
      <c r="I3910">
        <f>INDEX(CalLookUpTable,MATCH($B3910,CalLookUpRow,0),MATCH(I$1,CalLookUpColumn,0))</f>
        <v>3</v>
      </c>
    </row>
    <row r="3911" spans="1:9" x14ac:dyDescent="0.25">
      <c r="A3911" s="7">
        <v>3</v>
      </c>
      <c r="B3911" s="8">
        <v>43479</v>
      </c>
      <c r="C3911" s="9" t="s">
        <v>4</v>
      </c>
      <c r="D3911" s="10">
        <v>3107.9859999999994</v>
      </c>
      <c r="E3911" s="10">
        <v>0</v>
      </c>
      <c r="F3911" t="str">
        <f>VLOOKUP(A3911,StoreLookup,2,FALSE)</f>
        <v>Store#3</v>
      </c>
      <c r="G3911">
        <f>INDEX(CalLookUpTable,MATCH($B3911,CalLookUpRow,0),MATCH(G$1,CalLookUpColumn,0))</f>
        <v>2019</v>
      </c>
      <c r="H3911">
        <f>INDEX(CalLookUpTable,MATCH($B3911,CalLookUpRow,0),MATCH(H$1,CalLookUpColumn,0))</f>
        <v>1</v>
      </c>
      <c r="I3911">
        <f>INDEX(CalLookUpTable,MATCH($B3911,CalLookUpRow,0),MATCH(I$1,CalLookUpColumn,0))</f>
        <v>3</v>
      </c>
    </row>
    <row r="3912" spans="1:9" x14ac:dyDescent="0.25">
      <c r="A3912" s="7">
        <v>3</v>
      </c>
      <c r="B3912" s="8">
        <v>43479</v>
      </c>
      <c r="C3912" s="9" t="s">
        <v>3</v>
      </c>
      <c r="D3912" s="10">
        <v>0</v>
      </c>
      <c r="E3912" s="10">
        <v>0</v>
      </c>
      <c r="F3912" t="str">
        <f>VLOOKUP(A3912,StoreLookup,2,FALSE)</f>
        <v>Store#3</v>
      </c>
      <c r="G3912">
        <f>INDEX(CalLookUpTable,MATCH($B3912,CalLookUpRow,0),MATCH(G$1,CalLookUpColumn,0))</f>
        <v>2019</v>
      </c>
      <c r="H3912">
        <f>INDEX(CalLookUpTable,MATCH($B3912,CalLookUpRow,0),MATCH(H$1,CalLookUpColumn,0))</f>
        <v>1</v>
      </c>
      <c r="I3912">
        <f>INDEX(CalLookUpTable,MATCH($B3912,CalLookUpRow,0),MATCH(I$1,CalLookUpColumn,0))</f>
        <v>3</v>
      </c>
    </row>
    <row r="3913" spans="1:9" x14ac:dyDescent="0.25">
      <c r="A3913" s="7">
        <v>3</v>
      </c>
      <c r="B3913" s="8">
        <v>43479</v>
      </c>
      <c r="C3913" s="9" t="s">
        <v>5</v>
      </c>
      <c r="D3913" s="10">
        <v>2942.7299999999996</v>
      </c>
      <c r="E3913" s="10">
        <v>0</v>
      </c>
      <c r="F3913" t="str">
        <f>VLOOKUP(A3913,StoreLookup,2,FALSE)</f>
        <v>Store#3</v>
      </c>
      <c r="G3913">
        <f>INDEX(CalLookUpTable,MATCH($B3913,CalLookUpRow,0),MATCH(G$1,CalLookUpColumn,0))</f>
        <v>2019</v>
      </c>
      <c r="H3913">
        <f>INDEX(CalLookUpTable,MATCH($B3913,CalLookUpRow,0),MATCH(H$1,CalLookUpColumn,0))</f>
        <v>1</v>
      </c>
      <c r="I3913">
        <f>INDEX(CalLookUpTable,MATCH($B3913,CalLookUpRow,0),MATCH(I$1,CalLookUpColumn,0))</f>
        <v>3</v>
      </c>
    </row>
    <row r="3914" spans="1:9" x14ac:dyDescent="0.25">
      <c r="A3914" s="7">
        <v>3</v>
      </c>
      <c r="B3914" s="8">
        <v>43480</v>
      </c>
      <c r="C3914" s="9" t="s">
        <v>6</v>
      </c>
      <c r="D3914" s="10">
        <v>719.68399999999986</v>
      </c>
      <c r="E3914" s="10">
        <v>0</v>
      </c>
      <c r="F3914" t="str">
        <f>VLOOKUP(A3914,StoreLookup,2,FALSE)</f>
        <v>Store#3</v>
      </c>
      <c r="G3914">
        <f>INDEX(CalLookUpTable,MATCH($B3914,CalLookUpRow,0),MATCH(G$1,CalLookUpColumn,0))</f>
        <v>2019</v>
      </c>
      <c r="H3914">
        <f>INDEX(CalLookUpTable,MATCH($B3914,CalLookUpRow,0),MATCH(H$1,CalLookUpColumn,0))</f>
        <v>1</v>
      </c>
      <c r="I3914">
        <f>INDEX(CalLookUpTable,MATCH($B3914,CalLookUpRow,0),MATCH(I$1,CalLookUpColumn,0))</f>
        <v>3</v>
      </c>
    </row>
    <row r="3915" spans="1:9" x14ac:dyDescent="0.25">
      <c r="A3915" s="7">
        <v>3</v>
      </c>
      <c r="B3915" s="8">
        <v>43480</v>
      </c>
      <c r="C3915" s="9" t="s">
        <v>4</v>
      </c>
      <c r="D3915" s="10">
        <v>2910.5790000000002</v>
      </c>
      <c r="E3915" s="10">
        <v>0</v>
      </c>
      <c r="F3915" t="str">
        <f>VLOOKUP(A3915,StoreLookup,2,FALSE)</f>
        <v>Store#3</v>
      </c>
      <c r="G3915">
        <f>INDEX(CalLookUpTable,MATCH($B3915,CalLookUpRow,0),MATCH(G$1,CalLookUpColumn,0))</f>
        <v>2019</v>
      </c>
      <c r="H3915">
        <f>INDEX(CalLookUpTable,MATCH($B3915,CalLookUpRow,0),MATCH(H$1,CalLookUpColumn,0))</f>
        <v>1</v>
      </c>
      <c r="I3915">
        <f>INDEX(CalLookUpTable,MATCH($B3915,CalLookUpRow,0),MATCH(I$1,CalLookUpColumn,0))</f>
        <v>3</v>
      </c>
    </row>
    <row r="3916" spans="1:9" x14ac:dyDescent="0.25">
      <c r="A3916" s="7">
        <v>3</v>
      </c>
      <c r="B3916" s="8">
        <v>43480</v>
      </c>
      <c r="C3916" s="9" t="s">
        <v>3</v>
      </c>
      <c r="D3916" s="10">
        <v>0</v>
      </c>
      <c r="E3916" s="10">
        <v>0</v>
      </c>
      <c r="F3916" t="str">
        <f>VLOOKUP(A3916,StoreLookup,2,FALSE)</f>
        <v>Store#3</v>
      </c>
      <c r="G3916">
        <f>INDEX(CalLookUpTable,MATCH($B3916,CalLookUpRow,0),MATCH(G$1,CalLookUpColumn,0))</f>
        <v>2019</v>
      </c>
      <c r="H3916">
        <f>INDEX(CalLookUpTable,MATCH($B3916,CalLookUpRow,0),MATCH(H$1,CalLookUpColumn,0))</f>
        <v>1</v>
      </c>
      <c r="I3916">
        <f>INDEX(CalLookUpTable,MATCH($B3916,CalLookUpRow,0),MATCH(I$1,CalLookUpColumn,0))</f>
        <v>3</v>
      </c>
    </row>
    <row r="3917" spans="1:9" x14ac:dyDescent="0.25">
      <c r="A3917" s="7">
        <v>3</v>
      </c>
      <c r="B3917" s="8">
        <v>43480</v>
      </c>
      <c r="C3917" s="9" t="s">
        <v>5</v>
      </c>
      <c r="D3917" s="10">
        <v>3221.1129999999998</v>
      </c>
      <c r="E3917" s="10">
        <v>0</v>
      </c>
      <c r="F3917" t="str">
        <f>VLOOKUP(A3917,StoreLookup,2,FALSE)</f>
        <v>Store#3</v>
      </c>
      <c r="G3917">
        <f>INDEX(CalLookUpTable,MATCH($B3917,CalLookUpRow,0),MATCH(G$1,CalLookUpColumn,0))</f>
        <v>2019</v>
      </c>
      <c r="H3917">
        <f>INDEX(CalLookUpTable,MATCH($B3917,CalLookUpRow,0),MATCH(H$1,CalLookUpColumn,0))</f>
        <v>1</v>
      </c>
      <c r="I3917">
        <f>INDEX(CalLookUpTable,MATCH($B3917,CalLookUpRow,0),MATCH(I$1,CalLookUpColumn,0))</f>
        <v>3</v>
      </c>
    </row>
    <row r="3918" spans="1:9" x14ac:dyDescent="0.25">
      <c r="A3918" s="7">
        <v>3</v>
      </c>
      <c r="B3918" s="8">
        <v>43481</v>
      </c>
      <c r="C3918" s="9" t="s">
        <v>3</v>
      </c>
      <c r="D3918" s="10">
        <v>0</v>
      </c>
      <c r="E3918" s="10">
        <v>0</v>
      </c>
      <c r="F3918" t="str">
        <f>VLOOKUP(A3918,StoreLookup,2,FALSE)</f>
        <v>Store#3</v>
      </c>
      <c r="G3918">
        <f>INDEX(CalLookUpTable,MATCH($B3918,CalLookUpRow,0),MATCH(G$1,CalLookUpColumn,0))</f>
        <v>2019</v>
      </c>
      <c r="H3918">
        <f>INDEX(CalLookUpTable,MATCH($B3918,CalLookUpRow,0),MATCH(H$1,CalLookUpColumn,0))</f>
        <v>1</v>
      </c>
      <c r="I3918">
        <f>INDEX(CalLookUpTable,MATCH($B3918,CalLookUpRow,0),MATCH(I$1,CalLookUpColumn,0))</f>
        <v>3</v>
      </c>
    </row>
    <row r="3919" spans="1:9" x14ac:dyDescent="0.25">
      <c r="A3919" s="7">
        <v>3</v>
      </c>
      <c r="B3919" s="8">
        <v>43481</v>
      </c>
      <c r="C3919" s="9" t="s">
        <v>4</v>
      </c>
      <c r="D3919" s="10">
        <v>3260.2359999999994</v>
      </c>
      <c r="E3919" s="10">
        <v>0</v>
      </c>
      <c r="F3919" t="str">
        <f>VLOOKUP(A3919,StoreLookup,2,FALSE)</f>
        <v>Store#3</v>
      </c>
      <c r="G3919">
        <f>INDEX(CalLookUpTable,MATCH($B3919,CalLookUpRow,0),MATCH(G$1,CalLookUpColumn,0))</f>
        <v>2019</v>
      </c>
      <c r="H3919">
        <f>INDEX(CalLookUpTable,MATCH($B3919,CalLookUpRow,0),MATCH(H$1,CalLookUpColumn,0))</f>
        <v>1</v>
      </c>
      <c r="I3919">
        <f>INDEX(CalLookUpTable,MATCH($B3919,CalLookUpRow,0),MATCH(I$1,CalLookUpColumn,0))</f>
        <v>3</v>
      </c>
    </row>
    <row r="3920" spans="1:9" x14ac:dyDescent="0.25">
      <c r="A3920" s="7">
        <v>3</v>
      </c>
      <c r="B3920" s="8">
        <v>43481</v>
      </c>
      <c r="C3920" s="9" t="s">
        <v>5</v>
      </c>
      <c r="D3920" s="10">
        <v>3218.0189999999998</v>
      </c>
      <c r="E3920" s="10">
        <v>0</v>
      </c>
      <c r="F3920" t="str">
        <f>VLOOKUP(A3920,StoreLookup,2,FALSE)</f>
        <v>Store#3</v>
      </c>
      <c r="G3920">
        <f>INDEX(CalLookUpTable,MATCH($B3920,CalLookUpRow,0),MATCH(G$1,CalLookUpColumn,0))</f>
        <v>2019</v>
      </c>
      <c r="H3920">
        <f>INDEX(CalLookUpTable,MATCH($B3920,CalLookUpRow,0),MATCH(H$1,CalLookUpColumn,0))</f>
        <v>1</v>
      </c>
      <c r="I3920">
        <f>INDEX(CalLookUpTable,MATCH($B3920,CalLookUpRow,0),MATCH(I$1,CalLookUpColumn,0))</f>
        <v>3</v>
      </c>
    </row>
    <row r="3921" spans="1:9" x14ac:dyDescent="0.25">
      <c r="A3921" s="7">
        <v>3</v>
      </c>
      <c r="B3921" s="8">
        <v>43481</v>
      </c>
      <c r="C3921" s="9" t="s">
        <v>6</v>
      </c>
      <c r="D3921" s="10">
        <v>893.26299999999992</v>
      </c>
      <c r="E3921" s="10">
        <v>0</v>
      </c>
      <c r="F3921" t="str">
        <f>VLOOKUP(A3921,StoreLookup,2,FALSE)</f>
        <v>Store#3</v>
      </c>
      <c r="G3921">
        <f>INDEX(CalLookUpTable,MATCH($B3921,CalLookUpRow,0),MATCH(G$1,CalLookUpColumn,0))</f>
        <v>2019</v>
      </c>
      <c r="H3921">
        <f>INDEX(CalLookUpTable,MATCH($B3921,CalLookUpRow,0),MATCH(H$1,CalLookUpColumn,0))</f>
        <v>1</v>
      </c>
      <c r="I3921">
        <f>INDEX(CalLookUpTable,MATCH($B3921,CalLookUpRow,0),MATCH(I$1,CalLookUpColumn,0))</f>
        <v>3</v>
      </c>
    </row>
    <row r="3922" spans="1:9" x14ac:dyDescent="0.25">
      <c r="A3922" s="7">
        <v>3</v>
      </c>
      <c r="B3922" s="8">
        <v>43482</v>
      </c>
      <c r="C3922" s="9" t="s">
        <v>6</v>
      </c>
      <c r="D3922" s="10">
        <v>957.68399999999986</v>
      </c>
      <c r="E3922" s="10">
        <v>0</v>
      </c>
      <c r="F3922" t="str">
        <f>VLOOKUP(A3922,StoreLookup,2,FALSE)</f>
        <v>Store#3</v>
      </c>
      <c r="G3922">
        <f>INDEX(CalLookUpTable,MATCH($B3922,CalLookUpRow,0),MATCH(G$1,CalLookUpColumn,0))</f>
        <v>2019</v>
      </c>
      <c r="H3922">
        <f>INDEX(CalLookUpTable,MATCH($B3922,CalLookUpRow,0),MATCH(H$1,CalLookUpColumn,0))</f>
        <v>1</v>
      </c>
      <c r="I3922">
        <f>INDEX(CalLookUpTable,MATCH($B3922,CalLookUpRow,0),MATCH(I$1,CalLookUpColumn,0))</f>
        <v>3</v>
      </c>
    </row>
    <row r="3923" spans="1:9" x14ac:dyDescent="0.25">
      <c r="A3923" s="7">
        <v>3</v>
      </c>
      <c r="B3923" s="8">
        <v>43482</v>
      </c>
      <c r="C3923" s="9" t="s">
        <v>4</v>
      </c>
      <c r="D3923" s="10">
        <v>3192.2730000000001</v>
      </c>
      <c r="E3923" s="10">
        <v>0</v>
      </c>
      <c r="F3923" t="str">
        <f>VLOOKUP(A3923,StoreLookup,2,FALSE)</f>
        <v>Store#3</v>
      </c>
      <c r="G3923">
        <f>INDEX(CalLookUpTable,MATCH($B3923,CalLookUpRow,0),MATCH(G$1,CalLookUpColumn,0))</f>
        <v>2019</v>
      </c>
      <c r="H3923">
        <f>INDEX(CalLookUpTable,MATCH($B3923,CalLookUpRow,0),MATCH(H$1,CalLookUpColumn,0))</f>
        <v>1</v>
      </c>
      <c r="I3923">
        <f>INDEX(CalLookUpTable,MATCH($B3923,CalLookUpRow,0),MATCH(I$1,CalLookUpColumn,0))</f>
        <v>3</v>
      </c>
    </row>
    <row r="3924" spans="1:9" x14ac:dyDescent="0.25">
      <c r="A3924" s="7">
        <v>3</v>
      </c>
      <c r="B3924" s="8">
        <v>43482</v>
      </c>
      <c r="C3924" s="9" t="s">
        <v>3</v>
      </c>
      <c r="D3924" s="10">
        <v>163.29599999999999</v>
      </c>
      <c r="E3924" s="10">
        <v>0</v>
      </c>
      <c r="F3924" t="str">
        <f>VLOOKUP(A3924,StoreLookup,2,FALSE)</f>
        <v>Store#3</v>
      </c>
      <c r="G3924">
        <f>INDEX(CalLookUpTable,MATCH($B3924,CalLookUpRow,0),MATCH(G$1,CalLookUpColumn,0))</f>
        <v>2019</v>
      </c>
      <c r="H3924">
        <f>INDEX(CalLookUpTable,MATCH($B3924,CalLookUpRow,0),MATCH(H$1,CalLookUpColumn,0))</f>
        <v>1</v>
      </c>
      <c r="I3924">
        <f>INDEX(CalLookUpTable,MATCH($B3924,CalLookUpRow,0),MATCH(I$1,CalLookUpColumn,0))</f>
        <v>3</v>
      </c>
    </row>
    <row r="3925" spans="1:9" x14ac:dyDescent="0.25">
      <c r="A3925" s="7">
        <v>3</v>
      </c>
      <c r="B3925" s="8">
        <v>43482</v>
      </c>
      <c r="C3925" s="9" t="s">
        <v>5</v>
      </c>
      <c r="D3925" s="10">
        <v>3401.9719999999998</v>
      </c>
      <c r="E3925" s="10">
        <v>0</v>
      </c>
      <c r="F3925" t="str">
        <f>VLOOKUP(A3925,StoreLookup,2,FALSE)</f>
        <v>Store#3</v>
      </c>
      <c r="G3925">
        <f>INDEX(CalLookUpTable,MATCH($B3925,CalLookUpRow,0),MATCH(G$1,CalLookUpColumn,0))</f>
        <v>2019</v>
      </c>
      <c r="H3925">
        <f>INDEX(CalLookUpTable,MATCH($B3925,CalLookUpRow,0),MATCH(H$1,CalLookUpColumn,0))</f>
        <v>1</v>
      </c>
      <c r="I3925">
        <f>INDEX(CalLookUpTable,MATCH($B3925,CalLookUpRow,0),MATCH(I$1,CalLookUpColumn,0))</f>
        <v>3</v>
      </c>
    </row>
    <row r="3926" spans="1:9" x14ac:dyDescent="0.25">
      <c r="A3926" s="7">
        <v>3</v>
      </c>
      <c r="B3926" s="8">
        <v>43483</v>
      </c>
      <c r="C3926" s="9" t="s">
        <v>4</v>
      </c>
      <c r="D3926" s="10">
        <v>4275.3549999999996</v>
      </c>
      <c r="E3926" s="10">
        <v>0</v>
      </c>
      <c r="F3926" t="str">
        <f>VLOOKUP(A3926,StoreLookup,2,FALSE)</f>
        <v>Store#3</v>
      </c>
      <c r="G3926">
        <f>INDEX(CalLookUpTable,MATCH($B3926,CalLookUpRow,0),MATCH(G$1,CalLookUpColumn,0))</f>
        <v>2019</v>
      </c>
      <c r="H3926">
        <f>INDEX(CalLookUpTable,MATCH($B3926,CalLookUpRow,0),MATCH(H$1,CalLookUpColumn,0))</f>
        <v>1</v>
      </c>
      <c r="I3926">
        <f>INDEX(CalLookUpTable,MATCH($B3926,CalLookUpRow,0),MATCH(I$1,CalLookUpColumn,0))</f>
        <v>3</v>
      </c>
    </row>
    <row r="3927" spans="1:9" x14ac:dyDescent="0.25">
      <c r="A3927" s="7">
        <v>3</v>
      </c>
      <c r="B3927" s="8">
        <v>43483</v>
      </c>
      <c r="C3927" s="9" t="s">
        <v>6</v>
      </c>
      <c r="D3927" s="10">
        <v>1442.9939999999999</v>
      </c>
      <c r="E3927" s="10">
        <v>0</v>
      </c>
      <c r="F3927" t="str">
        <f>VLOOKUP(A3927,StoreLookup,2,FALSE)</f>
        <v>Store#3</v>
      </c>
      <c r="G3927">
        <f>INDEX(CalLookUpTable,MATCH($B3927,CalLookUpRow,0),MATCH(G$1,CalLookUpColumn,0))</f>
        <v>2019</v>
      </c>
      <c r="H3927">
        <f>INDEX(CalLookUpTable,MATCH($B3927,CalLookUpRow,0),MATCH(H$1,CalLookUpColumn,0))</f>
        <v>1</v>
      </c>
      <c r="I3927">
        <f>INDEX(CalLookUpTable,MATCH($B3927,CalLookUpRow,0),MATCH(I$1,CalLookUpColumn,0))</f>
        <v>3</v>
      </c>
    </row>
    <row r="3928" spans="1:9" x14ac:dyDescent="0.25">
      <c r="A3928" s="7">
        <v>3</v>
      </c>
      <c r="B3928" s="8">
        <v>43483</v>
      </c>
      <c r="C3928" s="9" t="s">
        <v>3</v>
      </c>
      <c r="D3928" s="10">
        <v>0</v>
      </c>
      <c r="E3928" s="10">
        <v>0</v>
      </c>
      <c r="F3928" t="str">
        <f>VLOOKUP(A3928,StoreLookup,2,FALSE)</f>
        <v>Store#3</v>
      </c>
      <c r="G3928">
        <f>INDEX(CalLookUpTable,MATCH($B3928,CalLookUpRow,0),MATCH(G$1,CalLookUpColumn,0))</f>
        <v>2019</v>
      </c>
      <c r="H3928">
        <f>INDEX(CalLookUpTable,MATCH($B3928,CalLookUpRow,0),MATCH(H$1,CalLookUpColumn,0))</f>
        <v>1</v>
      </c>
      <c r="I3928">
        <f>INDEX(CalLookUpTable,MATCH($B3928,CalLookUpRow,0),MATCH(I$1,CalLookUpColumn,0))</f>
        <v>3</v>
      </c>
    </row>
    <row r="3929" spans="1:9" x14ac:dyDescent="0.25">
      <c r="A3929" s="7">
        <v>3</v>
      </c>
      <c r="B3929" s="8">
        <v>43483</v>
      </c>
      <c r="C3929" s="9" t="s">
        <v>5</v>
      </c>
      <c r="D3929" s="10">
        <v>3545.6119999999996</v>
      </c>
      <c r="E3929" s="10">
        <v>0</v>
      </c>
      <c r="F3929" t="str">
        <f>VLOOKUP(A3929,StoreLookup,2,FALSE)</f>
        <v>Store#3</v>
      </c>
      <c r="G3929">
        <f>INDEX(CalLookUpTable,MATCH($B3929,CalLookUpRow,0),MATCH(G$1,CalLookUpColumn,0))</f>
        <v>2019</v>
      </c>
      <c r="H3929">
        <f>INDEX(CalLookUpTable,MATCH($B3929,CalLookUpRow,0),MATCH(H$1,CalLookUpColumn,0))</f>
        <v>1</v>
      </c>
      <c r="I3929">
        <f>INDEX(CalLookUpTable,MATCH($B3929,CalLookUpRow,0),MATCH(I$1,CalLookUpColumn,0))</f>
        <v>3</v>
      </c>
    </row>
    <row r="3930" spans="1:9" x14ac:dyDescent="0.25">
      <c r="A3930" s="7">
        <v>3</v>
      </c>
      <c r="B3930" s="8">
        <v>43484</v>
      </c>
      <c r="C3930" s="9" t="s">
        <v>6</v>
      </c>
      <c r="D3930" s="10">
        <v>920.37399999999991</v>
      </c>
      <c r="E3930" s="10">
        <v>0</v>
      </c>
      <c r="F3930" t="str">
        <f>VLOOKUP(A3930,StoreLookup,2,FALSE)</f>
        <v>Store#3</v>
      </c>
      <c r="G3930">
        <f>INDEX(CalLookUpTable,MATCH($B3930,CalLookUpRow,0),MATCH(G$1,CalLookUpColumn,0))</f>
        <v>2019</v>
      </c>
      <c r="H3930">
        <f>INDEX(CalLookUpTable,MATCH($B3930,CalLookUpRow,0),MATCH(H$1,CalLookUpColumn,0))</f>
        <v>1</v>
      </c>
      <c r="I3930">
        <f>INDEX(CalLookUpTable,MATCH($B3930,CalLookUpRow,0),MATCH(I$1,CalLookUpColumn,0))</f>
        <v>3</v>
      </c>
    </row>
    <row r="3931" spans="1:9" x14ac:dyDescent="0.25">
      <c r="A3931" s="7">
        <v>3</v>
      </c>
      <c r="B3931" s="8">
        <v>43484</v>
      </c>
      <c r="C3931" s="9" t="s">
        <v>3</v>
      </c>
      <c r="D3931" s="10">
        <v>273.79799999999994</v>
      </c>
      <c r="E3931" s="10">
        <v>0</v>
      </c>
      <c r="F3931" t="str">
        <f>VLOOKUP(A3931,StoreLookup,2,FALSE)</f>
        <v>Store#3</v>
      </c>
      <c r="G3931">
        <f>INDEX(CalLookUpTable,MATCH($B3931,CalLookUpRow,0),MATCH(G$1,CalLookUpColumn,0))</f>
        <v>2019</v>
      </c>
      <c r="H3931">
        <f>INDEX(CalLookUpTable,MATCH($B3931,CalLookUpRow,0),MATCH(H$1,CalLookUpColumn,0))</f>
        <v>1</v>
      </c>
      <c r="I3931">
        <f>INDEX(CalLookUpTable,MATCH($B3931,CalLookUpRow,0),MATCH(I$1,CalLookUpColumn,0))</f>
        <v>3</v>
      </c>
    </row>
    <row r="3932" spans="1:9" x14ac:dyDescent="0.25">
      <c r="A3932" s="7">
        <v>3</v>
      </c>
      <c r="B3932" s="8">
        <v>43484</v>
      </c>
      <c r="C3932" s="9" t="s">
        <v>5</v>
      </c>
      <c r="D3932" s="10">
        <v>3209.913</v>
      </c>
      <c r="E3932" s="10">
        <v>0</v>
      </c>
      <c r="F3932" t="str">
        <f>VLOOKUP(A3932,StoreLookup,2,FALSE)</f>
        <v>Store#3</v>
      </c>
      <c r="G3932">
        <f>INDEX(CalLookUpTable,MATCH($B3932,CalLookUpRow,0),MATCH(G$1,CalLookUpColumn,0))</f>
        <v>2019</v>
      </c>
      <c r="H3932">
        <f>INDEX(CalLookUpTable,MATCH($B3932,CalLookUpRow,0),MATCH(H$1,CalLookUpColumn,0))</f>
        <v>1</v>
      </c>
      <c r="I3932">
        <f>INDEX(CalLookUpTable,MATCH($B3932,CalLookUpRow,0),MATCH(I$1,CalLookUpColumn,0))</f>
        <v>3</v>
      </c>
    </row>
    <row r="3933" spans="1:9" x14ac:dyDescent="0.25">
      <c r="A3933" s="7">
        <v>3</v>
      </c>
      <c r="B3933" s="8">
        <v>43484</v>
      </c>
      <c r="C3933" s="9" t="s">
        <v>4</v>
      </c>
      <c r="D3933" s="10">
        <v>3599.9109999999996</v>
      </c>
      <c r="E3933" s="10">
        <v>0</v>
      </c>
      <c r="F3933" t="str">
        <f>VLOOKUP(A3933,StoreLookup,2,FALSE)</f>
        <v>Store#3</v>
      </c>
      <c r="G3933">
        <f>INDEX(CalLookUpTable,MATCH($B3933,CalLookUpRow,0),MATCH(G$1,CalLookUpColumn,0))</f>
        <v>2019</v>
      </c>
      <c r="H3933">
        <f>INDEX(CalLookUpTable,MATCH($B3933,CalLookUpRow,0),MATCH(H$1,CalLookUpColumn,0))</f>
        <v>1</v>
      </c>
      <c r="I3933">
        <f>INDEX(CalLookUpTable,MATCH($B3933,CalLookUpRow,0),MATCH(I$1,CalLookUpColumn,0))</f>
        <v>3</v>
      </c>
    </row>
    <row r="3934" spans="1:9" x14ac:dyDescent="0.25">
      <c r="A3934" s="7">
        <v>3</v>
      </c>
      <c r="B3934" s="8">
        <v>43485</v>
      </c>
      <c r="C3934" s="9" t="s">
        <v>5</v>
      </c>
      <c r="D3934" s="10">
        <v>2524.473</v>
      </c>
      <c r="E3934" s="10">
        <v>0</v>
      </c>
      <c r="F3934" t="str">
        <f>VLOOKUP(A3934,StoreLookup,2,FALSE)</f>
        <v>Store#3</v>
      </c>
      <c r="G3934">
        <f>INDEX(CalLookUpTable,MATCH($B3934,CalLookUpRow,0),MATCH(G$1,CalLookUpColumn,0))</f>
        <v>2019</v>
      </c>
      <c r="H3934">
        <f>INDEX(CalLookUpTable,MATCH($B3934,CalLookUpRow,0),MATCH(H$1,CalLookUpColumn,0))</f>
        <v>1</v>
      </c>
      <c r="I3934">
        <f>INDEX(CalLookUpTable,MATCH($B3934,CalLookUpRow,0),MATCH(I$1,CalLookUpColumn,0))</f>
        <v>3</v>
      </c>
    </row>
    <row r="3935" spans="1:9" x14ac:dyDescent="0.25">
      <c r="A3935" s="7">
        <v>3</v>
      </c>
      <c r="B3935" s="8">
        <v>43485</v>
      </c>
      <c r="C3935" s="9" t="s">
        <v>4</v>
      </c>
      <c r="D3935" s="10">
        <v>2307.5360000000001</v>
      </c>
      <c r="E3935" s="10">
        <v>0</v>
      </c>
      <c r="F3935" t="str">
        <f>VLOOKUP(A3935,StoreLookup,2,FALSE)</f>
        <v>Store#3</v>
      </c>
      <c r="G3935">
        <f>INDEX(CalLookUpTable,MATCH($B3935,CalLookUpRow,0),MATCH(G$1,CalLookUpColumn,0))</f>
        <v>2019</v>
      </c>
      <c r="H3935">
        <f>INDEX(CalLookUpTable,MATCH($B3935,CalLookUpRow,0),MATCH(H$1,CalLookUpColumn,0))</f>
        <v>1</v>
      </c>
      <c r="I3935">
        <f>INDEX(CalLookUpTable,MATCH($B3935,CalLookUpRow,0),MATCH(I$1,CalLookUpColumn,0))</f>
        <v>3</v>
      </c>
    </row>
    <row r="3936" spans="1:9" x14ac:dyDescent="0.25">
      <c r="A3936" s="7">
        <v>3</v>
      </c>
      <c r="B3936" s="8">
        <v>43485</v>
      </c>
      <c r="C3936" s="9" t="s">
        <v>6</v>
      </c>
      <c r="D3936" s="10">
        <v>795.77399999999989</v>
      </c>
      <c r="E3936" s="10">
        <v>0</v>
      </c>
      <c r="F3936" t="str">
        <f>VLOOKUP(A3936,StoreLookup,2,FALSE)</f>
        <v>Store#3</v>
      </c>
      <c r="G3936">
        <f>INDEX(CalLookUpTable,MATCH($B3936,CalLookUpRow,0),MATCH(G$1,CalLookUpColumn,0))</f>
        <v>2019</v>
      </c>
      <c r="H3936">
        <f>INDEX(CalLookUpTable,MATCH($B3936,CalLookUpRow,0),MATCH(H$1,CalLookUpColumn,0))</f>
        <v>1</v>
      </c>
      <c r="I3936">
        <f>INDEX(CalLookUpTable,MATCH($B3936,CalLookUpRow,0),MATCH(I$1,CalLookUpColumn,0))</f>
        <v>3</v>
      </c>
    </row>
    <row r="3937" spans="1:9" x14ac:dyDescent="0.25">
      <c r="A3937" s="7">
        <v>3</v>
      </c>
      <c r="B3937" s="8">
        <v>43485</v>
      </c>
      <c r="C3937" s="9" t="s">
        <v>3</v>
      </c>
      <c r="D3937" s="10">
        <v>21.686</v>
      </c>
      <c r="E3937" s="10">
        <v>0</v>
      </c>
      <c r="F3937" t="str">
        <f>VLOOKUP(A3937,StoreLookup,2,FALSE)</f>
        <v>Store#3</v>
      </c>
      <c r="G3937">
        <f>INDEX(CalLookUpTable,MATCH($B3937,CalLookUpRow,0),MATCH(G$1,CalLookUpColumn,0))</f>
        <v>2019</v>
      </c>
      <c r="H3937">
        <f>INDEX(CalLookUpTable,MATCH($B3937,CalLookUpRow,0),MATCH(H$1,CalLookUpColumn,0))</f>
        <v>1</v>
      </c>
      <c r="I3937">
        <f>INDEX(CalLookUpTable,MATCH($B3937,CalLookUpRow,0),MATCH(I$1,CalLookUpColumn,0))</f>
        <v>3</v>
      </c>
    </row>
    <row r="3938" spans="1:9" x14ac:dyDescent="0.25">
      <c r="A3938" s="7">
        <v>3</v>
      </c>
      <c r="B3938" s="8">
        <v>43486</v>
      </c>
      <c r="C3938" s="9" t="s">
        <v>3</v>
      </c>
      <c r="D3938" s="10">
        <v>0</v>
      </c>
      <c r="E3938" s="10">
        <v>0</v>
      </c>
      <c r="F3938" t="str">
        <f>VLOOKUP(A3938,StoreLookup,2,FALSE)</f>
        <v>Store#3</v>
      </c>
      <c r="G3938">
        <f>INDEX(CalLookUpTable,MATCH($B3938,CalLookUpRow,0),MATCH(G$1,CalLookUpColumn,0))</f>
        <v>2019</v>
      </c>
      <c r="H3938">
        <f>INDEX(CalLookUpTable,MATCH($B3938,CalLookUpRow,0),MATCH(H$1,CalLookUpColumn,0))</f>
        <v>1</v>
      </c>
      <c r="I3938">
        <f>INDEX(CalLookUpTable,MATCH($B3938,CalLookUpRow,0),MATCH(I$1,CalLookUpColumn,0))</f>
        <v>4</v>
      </c>
    </row>
    <row r="3939" spans="1:9" x14ac:dyDescent="0.25">
      <c r="A3939" s="7">
        <v>3</v>
      </c>
      <c r="B3939" s="8">
        <v>43486</v>
      </c>
      <c r="C3939" s="9" t="s">
        <v>5</v>
      </c>
      <c r="D3939" s="10">
        <v>2675.2460000000001</v>
      </c>
      <c r="E3939" s="10">
        <v>0</v>
      </c>
      <c r="F3939" t="str">
        <f>VLOOKUP(A3939,StoreLookup,2,FALSE)</f>
        <v>Store#3</v>
      </c>
      <c r="G3939">
        <f>INDEX(CalLookUpTable,MATCH($B3939,CalLookUpRow,0),MATCH(G$1,CalLookUpColumn,0))</f>
        <v>2019</v>
      </c>
      <c r="H3939">
        <f>INDEX(CalLookUpTable,MATCH($B3939,CalLookUpRow,0),MATCH(H$1,CalLookUpColumn,0))</f>
        <v>1</v>
      </c>
      <c r="I3939">
        <f>INDEX(CalLookUpTable,MATCH($B3939,CalLookUpRow,0),MATCH(I$1,CalLookUpColumn,0))</f>
        <v>4</v>
      </c>
    </row>
    <row r="3940" spans="1:9" x14ac:dyDescent="0.25">
      <c r="A3940" s="7">
        <v>3</v>
      </c>
      <c r="B3940" s="8">
        <v>43486</v>
      </c>
      <c r="C3940" s="9" t="s">
        <v>6</v>
      </c>
      <c r="D3940" s="10">
        <v>798.4129999999999</v>
      </c>
      <c r="E3940" s="10">
        <v>0</v>
      </c>
      <c r="F3940" t="str">
        <f>VLOOKUP(A3940,StoreLookup,2,FALSE)</f>
        <v>Store#3</v>
      </c>
      <c r="G3940">
        <f>INDEX(CalLookUpTable,MATCH($B3940,CalLookUpRow,0),MATCH(G$1,CalLookUpColumn,0))</f>
        <v>2019</v>
      </c>
      <c r="H3940">
        <f>INDEX(CalLookUpTable,MATCH($B3940,CalLookUpRow,0),MATCH(H$1,CalLookUpColumn,0))</f>
        <v>1</v>
      </c>
      <c r="I3940">
        <f>INDEX(CalLookUpTable,MATCH($B3940,CalLookUpRow,0),MATCH(I$1,CalLookUpColumn,0))</f>
        <v>4</v>
      </c>
    </row>
    <row r="3941" spans="1:9" x14ac:dyDescent="0.25">
      <c r="A3941" s="7">
        <v>3</v>
      </c>
      <c r="B3941" s="8">
        <v>43486</v>
      </c>
      <c r="C3941" s="9" t="s">
        <v>4</v>
      </c>
      <c r="D3941" s="10">
        <v>2983.0429999999997</v>
      </c>
      <c r="E3941" s="10">
        <v>0</v>
      </c>
      <c r="F3941" t="str">
        <f>VLOOKUP(A3941,StoreLookup,2,FALSE)</f>
        <v>Store#3</v>
      </c>
      <c r="G3941">
        <f>INDEX(CalLookUpTable,MATCH($B3941,CalLookUpRow,0),MATCH(G$1,CalLookUpColumn,0))</f>
        <v>2019</v>
      </c>
      <c r="H3941">
        <f>INDEX(CalLookUpTable,MATCH($B3941,CalLookUpRow,0),MATCH(H$1,CalLookUpColumn,0))</f>
        <v>1</v>
      </c>
      <c r="I3941">
        <f>INDEX(CalLookUpTable,MATCH($B3941,CalLookUpRow,0),MATCH(I$1,CalLookUpColumn,0))</f>
        <v>4</v>
      </c>
    </row>
    <row r="3942" spans="1:9" x14ac:dyDescent="0.25">
      <c r="A3942" s="7">
        <v>3</v>
      </c>
      <c r="B3942" s="8">
        <v>43487</v>
      </c>
      <c r="C3942" s="9" t="s">
        <v>5</v>
      </c>
      <c r="D3942" s="10">
        <v>2948.6170000000002</v>
      </c>
      <c r="E3942" s="10">
        <v>0</v>
      </c>
      <c r="F3942" t="str">
        <f>VLOOKUP(A3942,StoreLookup,2,FALSE)</f>
        <v>Store#3</v>
      </c>
      <c r="G3942">
        <f>INDEX(CalLookUpTable,MATCH($B3942,CalLookUpRow,0),MATCH(G$1,CalLookUpColumn,0))</f>
        <v>2019</v>
      </c>
      <c r="H3942">
        <f>INDEX(CalLookUpTable,MATCH($B3942,CalLookUpRow,0),MATCH(H$1,CalLookUpColumn,0))</f>
        <v>1</v>
      </c>
      <c r="I3942">
        <f>INDEX(CalLookUpTable,MATCH($B3942,CalLookUpRow,0),MATCH(I$1,CalLookUpColumn,0))</f>
        <v>4</v>
      </c>
    </row>
    <row r="3943" spans="1:9" x14ac:dyDescent="0.25">
      <c r="A3943" s="7">
        <v>3</v>
      </c>
      <c r="B3943" s="8">
        <v>43487</v>
      </c>
      <c r="C3943" s="9" t="s">
        <v>6</v>
      </c>
      <c r="D3943" s="10">
        <v>737.56899999999996</v>
      </c>
      <c r="E3943" s="10">
        <v>0</v>
      </c>
      <c r="F3943" t="str">
        <f>VLOOKUP(A3943,StoreLookup,2,FALSE)</f>
        <v>Store#3</v>
      </c>
      <c r="G3943">
        <f>INDEX(CalLookUpTable,MATCH($B3943,CalLookUpRow,0),MATCH(G$1,CalLookUpColumn,0))</f>
        <v>2019</v>
      </c>
      <c r="H3943">
        <f>INDEX(CalLookUpTable,MATCH($B3943,CalLookUpRow,0),MATCH(H$1,CalLookUpColumn,0))</f>
        <v>1</v>
      </c>
      <c r="I3943">
        <f>INDEX(CalLookUpTable,MATCH($B3943,CalLookUpRow,0),MATCH(I$1,CalLookUpColumn,0))</f>
        <v>4</v>
      </c>
    </row>
    <row r="3944" spans="1:9" x14ac:dyDescent="0.25">
      <c r="A3944" s="7">
        <v>3</v>
      </c>
      <c r="B3944" s="8">
        <v>43487</v>
      </c>
      <c r="C3944" s="9" t="s">
        <v>4</v>
      </c>
      <c r="D3944" s="10">
        <v>2754.2550000000001</v>
      </c>
      <c r="E3944" s="10">
        <v>0</v>
      </c>
      <c r="F3944" t="str">
        <f>VLOOKUP(A3944,StoreLookup,2,FALSE)</f>
        <v>Store#3</v>
      </c>
      <c r="G3944">
        <f>INDEX(CalLookUpTable,MATCH($B3944,CalLookUpRow,0),MATCH(G$1,CalLookUpColumn,0))</f>
        <v>2019</v>
      </c>
      <c r="H3944">
        <f>INDEX(CalLookUpTable,MATCH($B3944,CalLookUpRow,0),MATCH(H$1,CalLookUpColumn,0))</f>
        <v>1</v>
      </c>
      <c r="I3944">
        <f>INDEX(CalLookUpTable,MATCH($B3944,CalLookUpRow,0),MATCH(I$1,CalLookUpColumn,0))</f>
        <v>4</v>
      </c>
    </row>
    <row r="3945" spans="1:9" x14ac:dyDescent="0.25">
      <c r="A3945" s="7">
        <v>3</v>
      </c>
      <c r="B3945" s="8">
        <v>43487</v>
      </c>
      <c r="C3945" s="9" t="s">
        <v>3</v>
      </c>
      <c r="D3945" s="10">
        <v>162.84799999999998</v>
      </c>
      <c r="E3945" s="10">
        <v>0</v>
      </c>
      <c r="F3945" t="str">
        <f>VLOOKUP(A3945,StoreLookup,2,FALSE)</f>
        <v>Store#3</v>
      </c>
      <c r="G3945">
        <f>INDEX(CalLookUpTable,MATCH($B3945,CalLookUpRow,0),MATCH(G$1,CalLookUpColumn,0))</f>
        <v>2019</v>
      </c>
      <c r="H3945">
        <f>INDEX(CalLookUpTable,MATCH($B3945,CalLookUpRow,0),MATCH(H$1,CalLookUpColumn,0))</f>
        <v>1</v>
      </c>
      <c r="I3945">
        <f>INDEX(CalLookUpTable,MATCH($B3945,CalLookUpRow,0),MATCH(I$1,CalLookUpColumn,0))</f>
        <v>4</v>
      </c>
    </row>
    <row r="3946" spans="1:9" x14ac:dyDescent="0.25">
      <c r="A3946" s="7">
        <v>3</v>
      </c>
      <c r="B3946" s="8">
        <v>43488</v>
      </c>
      <c r="C3946" s="9" t="s">
        <v>5</v>
      </c>
      <c r="D3946" s="10">
        <v>3282.7339999999999</v>
      </c>
      <c r="E3946" s="10">
        <v>0</v>
      </c>
      <c r="F3946" t="str">
        <f>VLOOKUP(A3946,StoreLookup,2,FALSE)</f>
        <v>Store#3</v>
      </c>
      <c r="G3946">
        <f>INDEX(CalLookUpTable,MATCH($B3946,CalLookUpRow,0),MATCH(G$1,CalLookUpColumn,0))</f>
        <v>2019</v>
      </c>
      <c r="H3946">
        <f>INDEX(CalLookUpTable,MATCH($B3946,CalLookUpRow,0),MATCH(H$1,CalLookUpColumn,0))</f>
        <v>1</v>
      </c>
      <c r="I3946">
        <f>INDEX(CalLookUpTable,MATCH($B3946,CalLookUpRow,0),MATCH(I$1,CalLookUpColumn,0))</f>
        <v>4</v>
      </c>
    </row>
    <row r="3947" spans="1:9" x14ac:dyDescent="0.25">
      <c r="A3947" s="7">
        <v>3</v>
      </c>
      <c r="B3947" s="8">
        <v>43488</v>
      </c>
      <c r="C3947" s="9" t="s">
        <v>3</v>
      </c>
      <c r="D3947" s="10">
        <v>98.259</v>
      </c>
      <c r="E3947" s="10">
        <v>0</v>
      </c>
      <c r="F3947" t="str">
        <f>VLOOKUP(A3947,StoreLookup,2,FALSE)</f>
        <v>Store#3</v>
      </c>
      <c r="G3947">
        <f>INDEX(CalLookUpTable,MATCH($B3947,CalLookUpRow,0),MATCH(G$1,CalLookUpColumn,0))</f>
        <v>2019</v>
      </c>
      <c r="H3947">
        <f>INDEX(CalLookUpTable,MATCH($B3947,CalLookUpRow,0),MATCH(H$1,CalLookUpColumn,0))</f>
        <v>1</v>
      </c>
      <c r="I3947">
        <f>INDEX(CalLookUpTable,MATCH($B3947,CalLookUpRow,0),MATCH(I$1,CalLookUpColumn,0))</f>
        <v>4</v>
      </c>
    </row>
    <row r="3948" spans="1:9" x14ac:dyDescent="0.25">
      <c r="A3948" s="7">
        <v>3</v>
      </c>
      <c r="B3948" s="8">
        <v>43488</v>
      </c>
      <c r="C3948" s="9" t="s">
        <v>4</v>
      </c>
      <c r="D3948" s="10">
        <v>3011.3159999999998</v>
      </c>
      <c r="E3948" s="10">
        <v>0</v>
      </c>
      <c r="F3948" t="str">
        <f>VLOOKUP(A3948,StoreLookup,2,FALSE)</f>
        <v>Store#3</v>
      </c>
      <c r="G3948">
        <f>INDEX(CalLookUpTable,MATCH($B3948,CalLookUpRow,0),MATCH(G$1,CalLookUpColumn,0))</f>
        <v>2019</v>
      </c>
      <c r="H3948">
        <f>INDEX(CalLookUpTable,MATCH($B3948,CalLookUpRow,0),MATCH(H$1,CalLookUpColumn,0))</f>
        <v>1</v>
      </c>
      <c r="I3948">
        <f>INDEX(CalLookUpTable,MATCH($B3948,CalLookUpRow,0),MATCH(I$1,CalLookUpColumn,0))</f>
        <v>4</v>
      </c>
    </row>
    <row r="3949" spans="1:9" x14ac:dyDescent="0.25">
      <c r="A3949" s="7">
        <v>3</v>
      </c>
      <c r="B3949" s="8">
        <v>43488</v>
      </c>
      <c r="C3949" s="9" t="s">
        <v>6</v>
      </c>
      <c r="D3949" s="10">
        <v>866.25699999999995</v>
      </c>
      <c r="E3949" s="10">
        <v>0</v>
      </c>
      <c r="F3949" t="str">
        <f>VLOOKUP(A3949,StoreLookup,2,FALSE)</f>
        <v>Store#3</v>
      </c>
      <c r="G3949">
        <f>INDEX(CalLookUpTable,MATCH($B3949,CalLookUpRow,0),MATCH(G$1,CalLookUpColumn,0))</f>
        <v>2019</v>
      </c>
      <c r="H3949">
        <f>INDEX(CalLookUpTable,MATCH($B3949,CalLookUpRow,0),MATCH(H$1,CalLookUpColumn,0))</f>
        <v>1</v>
      </c>
      <c r="I3949">
        <f>INDEX(CalLookUpTable,MATCH($B3949,CalLookUpRow,0),MATCH(I$1,CalLookUpColumn,0))</f>
        <v>4</v>
      </c>
    </row>
    <row r="3950" spans="1:9" x14ac:dyDescent="0.25">
      <c r="A3950" s="7">
        <v>3</v>
      </c>
      <c r="B3950" s="8">
        <v>43489</v>
      </c>
      <c r="C3950" s="9" t="s">
        <v>6</v>
      </c>
      <c r="D3950" s="10">
        <v>944.02699999999982</v>
      </c>
      <c r="E3950" s="10">
        <v>0</v>
      </c>
      <c r="F3950" t="str">
        <f>VLOOKUP(A3950,StoreLookup,2,FALSE)</f>
        <v>Store#3</v>
      </c>
      <c r="G3950">
        <f>INDEX(CalLookUpTable,MATCH($B3950,CalLookUpRow,0),MATCH(G$1,CalLookUpColumn,0))</f>
        <v>2019</v>
      </c>
      <c r="H3950">
        <f>INDEX(CalLookUpTable,MATCH($B3950,CalLookUpRow,0),MATCH(H$1,CalLookUpColumn,0))</f>
        <v>1</v>
      </c>
      <c r="I3950">
        <f>INDEX(CalLookUpTable,MATCH($B3950,CalLookUpRow,0),MATCH(I$1,CalLookUpColumn,0))</f>
        <v>4</v>
      </c>
    </row>
    <row r="3951" spans="1:9" x14ac:dyDescent="0.25">
      <c r="A3951" s="7">
        <v>3</v>
      </c>
      <c r="B3951" s="8">
        <v>43489</v>
      </c>
      <c r="C3951" s="9" t="s">
        <v>5</v>
      </c>
      <c r="D3951" s="10">
        <v>3313.8209999999995</v>
      </c>
      <c r="E3951" s="10">
        <v>0</v>
      </c>
      <c r="F3951" t="str">
        <f>VLOOKUP(A3951,StoreLookup,2,FALSE)</f>
        <v>Store#3</v>
      </c>
      <c r="G3951">
        <f>INDEX(CalLookUpTable,MATCH($B3951,CalLookUpRow,0),MATCH(G$1,CalLookUpColumn,0))</f>
        <v>2019</v>
      </c>
      <c r="H3951">
        <f>INDEX(CalLookUpTable,MATCH($B3951,CalLookUpRow,0),MATCH(H$1,CalLookUpColumn,0))</f>
        <v>1</v>
      </c>
      <c r="I3951">
        <f>INDEX(CalLookUpTable,MATCH($B3951,CalLookUpRow,0),MATCH(I$1,CalLookUpColumn,0))</f>
        <v>4</v>
      </c>
    </row>
    <row r="3952" spans="1:9" x14ac:dyDescent="0.25">
      <c r="A3952" s="7">
        <v>3</v>
      </c>
      <c r="B3952" s="8">
        <v>43489</v>
      </c>
      <c r="C3952" s="9" t="s">
        <v>4</v>
      </c>
      <c r="D3952" s="10">
        <v>3552.1499999999996</v>
      </c>
      <c r="E3952" s="10">
        <v>0</v>
      </c>
      <c r="F3952" t="str">
        <f>VLOOKUP(A3952,StoreLookup,2,FALSE)</f>
        <v>Store#3</v>
      </c>
      <c r="G3952">
        <f>INDEX(CalLookUpTable,MATCH($B3952,CalLookUpRow,0),MATCH(G$1,CalLookUpColumn,0))</f>
        <v>2019</v>
      </c>
      <c r="H3952">
        <f>INDEX(CalLookUpTable,MATCH($B3952,CalLookUpRow,0),MATCH(H$1,CalLookUpColumn,0))</f>
        <v>1</v>
      </c>
      <c r="I3952">
        <f>INDEX(CalLookUpTable,MATCH($B3952,CalLookUpRow,0),MATCH(I$1,CalLookUpColumn,0))</f>
        <v>4</v>
      </c>
    </row>
    <row r="3953" spans="1:9" x14ac:dyDescent="0.25">
      <c r="A3953" s="7">
        <v>3</v>
      </c>
      <c r="B3953" s="8">
        <v>43489</v>
      </c>
      <c r="C3953" s="9" t="s">
        <v>3</v>
      </c>
      <c r="D3953" s="10">
        <v>0</v>
      </c>
      <c r="E3953" s="10">
        <v>0</v>
      </c>
      <c r="F3953" t="str">
        <f>VLOOKUP(A3953,StoreLookup,2,FALSE)</f>
        <v>Store#3</v>
      </c>
      <c r="G3953">
        <f>INDEX(CalLookUpTable,MATCH($B3953,CalLookUpRow,0),MATCH(G$1,CalLookUpColumn,0))</f>
        <v>2019</v>
      </c>
      <c r="H3953">
        <f>INDEX(CalLookUpTable,MATCH($B3953,CalLookUpRow,0),MATCH(H$1,CalLookUpColumn,0))</f>
        <v>1</v>
      </c>
      <c r="I3953">
        <f>INDEX(CalLookUpTable,MATCH($B3953,CalLookUpRow,0),MATCH(I$1,CalLookUpColumn,0))</f>
        <v>4</v>
      </c>
    </row>
    <row r="3954" spans="1:9" x14ac:dyDescent="0.25">
      <c r="A3954" s="7">
        <v>3</v>
      </c>
      <c r="B3954" s="8">
        <v>43490</v>
      </c>
      <c r="C3954" s="9" t="s">
        <v>6</v>
      </c>
      <c r="D3954" s="10">
        <v>1487.836</v>
      </c>
      <c r="E3954" s="10">
        <v>0</v>
      </c>
      <c r="F3954" t="str">
        <f>VLOOKUP(A3954,StoreLookup,2,FALSE)</f>
        <v>Store#3</v>
      </c>
      <c r="G3954">
        <f>INDEX(CalLookUpTable,MATCH($B3954,CalLookUpRow,0),MATCH(G$1,CalLookUpColumn,0))</f>
        <v>2019</v>
      </c>
      <c r="H3954">
        <f>INDEX(CalLookUpTable,MATCH($B3954,CalLookUpRow,0),MATCH(H$1,CalLookUpColumn,0))</f>
        <v>1</v>
      </c>
      <c r="I3954">
        <f>INDEX(CalLookUpTable,MATCH($B3954,CalLookUpRow,0),MATCH(I$1,CalLookUpColumn,0))</f>
        <v>4</v>
      </c>
    </row>
    <row r="3955" spans="1:9" x14ac:dyDescent="0.25">
      <c r="A3955" s="7">
        <v>3</v>
      </c>
      <c r="B3955" s="8">
        <v>43490</v>
      </c>
      <c r="C3955" s="9" t="s">
        <v>4</v>
      </c>
      <c r="D3955" s="10">
        <v>4225.1229999999996</v>
      </c>
      <c r="E3955" s="10">
        <v>0</v>
      </c>
      <c r="F3955" t="str">
        <f>VLOOKUP(A3955,StoreLookup,2,FALSE)</f>
        <v>Store#3</v>
      </c>
      <c r="G3955">
        <f>INDEX(CalLookUpTable,MATCH($B3955,CalLookUpRow,0),MATCH(G$1,CalLookUpColumn,0))</f>
        <v>2019</v>
      </c>
      <c r="H3955">
        <f>INDEX(CalLookUpTable,MATCH($B3955,CalLookUpRow,0),MATCH(H$1,CalLookUpColumn,0))</f>
        <v>1</v>
      </c>
      <c r="I3955">
        <f>INDEX(CalLookUpTable,MATCH($B3955,CalLookUpRow,0),MATCH(I$1,CalLookUpColumn,0))</f>
        <v>4</v>
      </c>
    </row>
    <row r="3956" spans="1:9" x14ac:dyDescent="0.25">
      <c r="A3956" s="7">
        <v>3</v>
      </c>
      <c r="B3956" s="8">
        <v>43490</v>
      </c>
      <c r="C3956" s="9" t="s">
        <v>3</v>
      </c>
      <c r="D3956" s="10">
        <v>167.85999999999999</v>
      </c>
      <c r="E3956" s="10">
        <v>0</v>
      </c>
      <c r="F3956" t="str">
        <f>VLOOKUP(A3956,StoreLookup,2,FALSE)</f>
        <v>Store#3</v>
      </c>
      <c r="G3956">
        <f>INDEX(CalLookUpTable,MATCH($B3956,CalLookUpRow,0),MATCH(G$1,CalLookUpColumn,0))</f>
        <v>2019</v>
      </c>
      <c r="H3956">
        <f>INDEX(CalLookUpTable,MATCH($B3956,CalLookUpRow,0),MATCH(H$1,CalLookUpColumn,0))</f>
        <v>1</v>
      </c>
      <c r="I3956">
        <f>INDEX(CalLookUpTable,MATCH($B3956,CalLookUpRow,0),MATCH(I$1,CalLookUpColumn,0))</f>
        <v>4</v>
      </c>
    </row>
    <row r="3957" spans="1:9" x14ac:dyDescent="0.25">
      <c r="A3957" s="7">
        <v>3</v>
      </c>
      <c r="B3957" s="8">
        <v>43490</v>
      </c>
      <c r="C3957" s="9" t="s">
        <v>5</v>
      </c>
      <c r="D3957" s="10">
        <v>3343.6969999999997</v>
      </c>
      <c r="E3957" s="10">
        <v>0</v>
      </c>
      <c r="F3957" t="str">
        <f>VLOOKUP(A3957,StoreLookup,2,FALSE)</f>
        <v>Store#3</v>
      </c>
      <c r="G3957">
        <f>INDEX(CalLookUpTable,MATCH($B3957,CalLookUpRow,0),MATCH(G$1,CalLookUpColumn,0))</f>
        <v>2019</v>
      </c>
      <c r="H3957">
        <f>INDEX(CalLookUpTable,MATCH($B3957,CalLookUpRow,0),MATCH(H$1,CalLookUpColumn,0))</f>
        <v>1</v>
      </c>
      <c r="I3957">
        <f>INDEX(CalLookUpTable,MATCH($B3957,CalLookUpRow,0),MATCH(I$1,CalLookUpColumn,0))</f>
        <v>4</v>
      </c>
    </row>
    <row r="3958" spans="1:9" x14ac:dyDescent="0.25">
      <c r="A3958" s="7">
        <v>3</v>
      </c>
      <c r="B3958" s="8">
        <v>43491</v>
      </c>
      <c r="C3958" s="9" t="s">
        <v>4</v>
      </c>
      <c r="D3958" s="10">
        <v>3958.3809999999999</v>
      </c>
      <c r="E3958" s="10">
        <v>0</v>
      </c>
      <c r="F3958" t="str">
        <f>VLOOKUP(A3958,StoreLookup,2,FALSE)</f>
        <v>Store#3</v>
      </c>
      <c r="G3958">
        <f>INDEX(CalLookUpTable,MATCH($B3958,CalLookUpRow,0),MATCH(G$1,CalLookUpColumn,0))</f>
        <v>2019</v>
      </c>
      <c r="H3958">
        <f>INDEX(CalLookUpTable,MATCH($B3958,CalLookUpRow,0),MATCH(H$1,CalLookUpColumn,0))</f>
        <v>1</v>
      </c>
      <c r="I3958">
        <f>INDEX(CalLookUpTable,MATCH($B3958,CalLookUpRow,0),MATCH(I$1,CalLookUpColumn,0))</f>
        <v>4</v>
      </c>
    </row>
    <row r="3959" spans="1:9" x14ac:dyDescent="0.25">
      <c r="A3959" s="7">
        <v>3</v>
      </c>
      <c r="B3959" s="8">
        <v>43491</v>
      </c>
      <c r="C3959" s="9" t="s">
        <v>6</v>
      </c>
      <c r="D3959" s="10">
        <v>1046.269</v>
      </c>
      <c r="E3959" s="10">
        <v>0</v>
      </c>
      <c r="F3959" t="str">
        <f>VLOOKUP(A3959,StoreLookup,2,FALSE)</f>
        <v>Store#3</v>
      </c>
      <c r="G3959">
        <f>INDEX(CalLookUpTable,MATCH($B3959,CalLookUpRow,0),MATCH(G$1,CalLookUpColumn,0))</f>
        <v>2019</v>
      </c>
      <c r="H3959">
        <f>INDEX(CalLookUpTable,MATCH($B3959,CalLookUpRow,0),MATCH(H$1,CalLookUpColumn,0))</f>
        <v>1</v>
      </c>
      <c r="I3959">
        <f>INDEX(CalLookUpTable,MATCH($B3959,CalLookUpRow,0),MATCH(I$1,CalLookUpColumn,0))</f>
        <v>4</v>
      </c>
    </row>
    <row r="3960" spans="1:9" x14ac:dyDescent="0.25">
      <c r="A3960" s="7">
        <v>3</v>
      </c>
      <c r="B3960" s="8">
        <v>43491</v>
      </c>
      <c r="C3960" s="9" t="s">
        <v>5</v>
      </c>
      <c r="D3960" s="10">
        <v>3306.625</v>
      </c>
      <c r="E3960" s="10">
        <v>0</v>
      </c>
      <c r="F3960" t="str">
        <f>VLOOKUP(A3960,StoreLookup,2,FALSE)</f>
        <v>Store#3</v>
      </c>
      <c r="G3960">
        <f>INDEX(CalLookUpTable,MATCH($B3960,CalLookUpRow,0),MATCH(G$1,CalLookUpColumn,0))</f>
        <v>2019</v>
      </c>
      <c r="H3960">
        <f>INDEX(CalLookUpTable,MATCH($B3960,CalLookUpRow,0),MATCH(H$1,CalLookUpColumn,0))</f>
        <v>1</v>
      </c>
      <c r="I3960">
        <f>INDEX(CalLookUpTable,MATCH($B3960,CalLookUpRow,0),MATCH(I$1,CalLookUpColumn,0))</f>
        <v>4</v>
      </c>
    </row>
    <row r="3961" spans="1:9" x14ac:dyDescent="0.25">
      <c r="A3961" s="7">
        <v>3</v>
      </c>
      <c r="B3961" s="8">
        <v>43491</v>
      </c>
      <c r="C3961" s="9" t="s">
        <v>3</v>
      </c>
      <c r="D3961" s="10">
        <v>0</v>
      </c>
      <c r="E3961" s="10">
        <v>0</v>
      </c>
      <c r="F3961" t="str">
        <f>VLOOKUP(A3961,StoreLookup,2,FALSE)</f>
        <v>Store#3</v>
      </c>
      <c r="G3961">
        <f>INDEX(CalLookUpTable,MATCH($B3961,CalLookUpRow,0),MATCH(G$1,CalLookUpColumn,0))</f>
        <v>2019</v>
      </c>
      <c r="H3961">
        <f>INDEX(CalLookUpTable,MATCH($B3961,CalLookUpRow,0),MATCH(H$1,CalLookUpColumn,0))</f>
        <v>1</v>
      </c>
      <c r="I3961">
        <f>INDEX(CalLookUpTable,MATCH($B3961,CalLookUpRow,0),MATCH(I$1,CalLookUpColumn,0))</f>
        <v>4</v>
      </c>
    </row>
    <row r="3962" spans="1:9" x14ac:dyDescent="0.25">
      <c r="A3962" s="7">
        <v>3</v>
      </c>
      <c r="B3962" s="8">
        <v>43492</v>
      </c>
      <c r="C3962" s="9" t="s">
        <v>3</v>
      </c>
      <c r="D3962" s="10">
        <v>177.64599999999999</v>
      </c>
      <c r="E3962" s="10">
        <v>0</v>
      </c>
      <c r="F3962" t="str">
        <f>VLOOKUP(A3962,StoreLookup,2,FALSE)</f>
        <v>Store#3</v>
      </c>
      <c r="G3962">
        <f>INDEX(CalLookUpTable,MATCH($B3962,CalLookUpRow,0),MATCH(G$1,CalLookUpColumn,0))</f>
        <v>2019</v>
      </c>
      <c r="H3962">
        <f>INDEX(CalLookUpTable,MATCH($B3962,CalLookUpRow,0),MATCH(H$1,CalLookUpColumn,0))</f>
        <v>1</v>
      </c>
      <c r="I3962">
        <f>INDEX(CalLookUpTable,MATCH($B3962,CalLookUpRow,0),MATCH(I$1,CalLookUpColumn,0))</f>
        <v>4</v>
      </c>
    </row>
    <row r="3963" spans="1:9" x14ac:dyDescent="0.25">
      <c r="A3963" s="7">
        <v>3</v>
      </c>
      <c r="B3963" s="8">
        <v>43492</v>
      </c>
      <c r="C3963" s="9" t="s">
        <v>5</v>
      </c>
      <c r="D3963" s="10">
        <v>2899.232</v>
      </c>
      <c r="E3963" s="10">
        <v>0</v>
      </c>
      <c r="F3963" t="str">
        <f>VLOOKUP(A3963,StoreLookup,2,FALSE)</f>
        <v>Store#3</v>
      </c>
      <c r="G3963">
        <f>INDEX(CalLookUpTable,MATCH($B3963,CalLookUpRow,0),MATCH(G$1,CalLookUpColumn,0))</f>
        <v>2019</v>
      </c>
      <c r="H3963">
        <f>INDEX(CalLookUpTable,MATCH($B3963,CalLookUpRow,0),MATCH(H$1,CalLookUpColumn,0))</f>
        <v>1</v>
      </c>
      <c r="I3963">
        <f>INDEX(CalLookUpTable,MATCH($B3963,CalLookUpRow,0),MATCH(I$1,CalLookUpColumn,0))</f>
        <v>4</v>
      </c>
    </row>
    <row r="3964" spans="1:9" x14ac:dyDescent="0.25">
      <c r="A3964" s="7">
        <v>3</v>
      </c>
      <c r="B3964" s="8">
        <v>43492</v>
      </c>
      <c r="C3964" s="9" t="s">
        <v>6</v>
      </c>
      <c r="D3964" s="10">
        <v>682.70299999999997</v>
      </c>
      <c r="E3964" s="10">
        <v>0</v>
      </c>
      <c r="F3964" t="str">
        <f>VLOOKUP(A3964,StoreLookup,2,FALSE)</f>
        <v>Store#3</v>
      </c>
      <c r="G3964">
        <f>INDEX(CalLookUpTable,MATCH($B3964,CalLookUpRow,0),MATCH(G$1,CalLookUpColumn,0))</f>
        <v>2019</v>
      </c>
      <c r="H3964">
        <f>INDEX(CalLookUpTable,MATCH($B3964,CalLookUpRow,0),MATCH(H$1,CalLookUpColumn,0))</f>
        <v>1</v>
      </c>
      <c r="I3964">
        <f>INDEX(CalLookUpTable,MATCH($B3964,CalLookUpRow,0),MATCH(I$1,CalLookUpColumn,0))</f>
        <v>4</v>
      </c>
    </row>
    <row r="3965" spans="1:9" x14ac:dyDescent="0.25">
      <c r="A3965" s="7">
        <v>3</v>
      </c>
      <c r="B3965" s="8">
        <v>43492</v>
      </c>
      <c r="C3965" s="9" t="s">
        <v>4</v>
      </c>
      <c r="D3965" s="10">
        <v>2816.9189999999999</v>
      </c>
      <c r="E3965" s="10">
        <v>0</v>
      </c>
      <c r="F3965" t="str">
        <f>VLOOKUP(A3965,StoreLookup,2,FALSE)</f>
        <v>Store#3</v>
      </c>
      <c r="G3965">
        <f>INDEX(CalLookUpTable,MATCH($B3965,CalLookUpRow,0),MATCH(G$1,CalLookUpColumn,0))</f>
        <v>2019</v>
      </c>
      <c r="H3965">
        <f>INDEX(CalLookUpTable,MATCH($B3965,CalLookUpRow,0),MATCH(H$1,CalLookUpColumn,0))</f>
        <v>1</v>
      </c>
      <c r="I3965">
        <f>INDEX(CalLookUpTable,MATCH($B3965,CalLookUpRow,0),MATCH(I$1,CalLookUpColumn,0))</f>
        <v>4</v>
      </c>
    </row>
    <row r="3966" spans="1:9" x14ac:dyDescent="0.25">
      <c r="A3966" s="7">
        <v>3</v>
      </c>
      <c r="B3966" s="8">
        <v>43493</v>
      </c>
      <c r="C3966" s="9" t="s">
        <v>6</v>
      </c>
      <c r="D3966" s="10">
        <v>771.14100000000008</v>
      </c>
      <c r="E3966" s="10">
        <v>0</v>
      </c>
      <c r="F3966" t="str">
        <f>VLOOKUP(A3966,StoreLookup,2,FALSE)</f>
        <v>Store#3</v>
      </c>
      <c r="G3966">
        <f>INDEX(CalLookUpTable,MATCH($B3966,CalLookUpRow,0),MATCH(G$1,CalLookUpColumn,0))</f>
        <v>2019</v>
      </c>
      <c r="H3966">
        <f>INDEX(CalLookUpTable,MATCH($B3966,CalLookUpRow,0),MATCH(H$1,CalLookUpColumn,0))</f>
        <v>2</v>
      </c>
      <c r="I3966">
        <f>INDEX(CalLookUpTable,MATCH($B3966,CalLookUpRow,0),MATCH(I$1,CalLookUpColumn,0))</f>
        <v>1</v>
      </c>
    </row>
    <row r="3967" spans="1:9" x14ac:dyDescent="0.25">
      <c r="A3967" s="7">
        <v>3</v>
      </c>
      <c r="B3967" s="8">
        <v>43493</v>
      </c>
      <c r="C3967" s="9" t="s">
        <v>3</v>
      </c>
      <c r="D3967" s="10">
        <v>133.56700000000001</v>
      </c>
      <c r="E3967" s="10">
        <v>0</v>
      </c>
      <c r="F3967" t="str">
        <f>VLOOKUP(A3967,StoreLookup,2,FALSE)</f>
        <v>Store#3</v>
      </c>
      <c r="G3967">
        <f>INDEX(CalLookUpTable,MATCH($B3967,CalLookUpRow,0),MATCH(G$1,CalLookUpColumn,0))</f>
        <v>2019</v>
      </c>
      <c r="H3967">
        <f>INDEX(CalLookUpTable,MATCH($B3967,CalLookUpRow,0),MATCH(H$1,CalLookUpColumn,0))</f>
        <v>2</v>
      </c>
      <c r="I3967">
        <f>INDEX(CalLookUpTable,MATCH($B3967,CalLookUpRow,0),MATCH(I$1,CalLookUpColumn,0))</f>
        <v>1</v>
      </c>
    </row>
    <row r="3968" spans="1:9" x14ac:dyDescent="0.25">
      <c r="A3968" s="7">
        <v>3</v>
      </c>
      <c r="B3968" s="8">
        <v>43493</v>
      </c>
      <c r="C3968" s="9" t="s">
        <v>4</v>
      </c>
      <c r="D3968" s="10">
        <v>2832.991</v>
      </c>
      <c r="E3968" s="10">
        <v>0</v>
      </c>
      <c r="F3968" t="str">
        <f>VLOOKUP(A3968,StoreLookup,2,FALSE)</f>
        <v>Store#3</v>
      </c>
      <c r="G3968">
        <f>INDEX(CalLookUpTable,MATCH($B3968,CalLookUpRow,0),MATCH(G$1,CalLookUpColumn,0))</f>
        <v>2019</v>
      </c>
      <c r="H3968">
        <f>INDEX(CalLookUpTable,MATCH($B3968,CalLookUpRow,0),MATCH(H$1,CalLookUpColumn,0))</f>
        <v>2</v>
      </c>
      <c r="I3968">
        <f>INDEX(CalLookUpTable,MATCH($B3968,CalLookUpRow,0),MATCH(I$1,CalLookUpColumn,0))</f>
        <v>1</v>
      </c>
    </row>
    <row r="3969" spans="1:9" x14ac:dyDescent="0.25">
      <c r="A3969" s="7">
        <v>3</v>
      </c>
      <c r="B3969" s="8">
        <v>43493</v>
      </c>
      <c r="C3969" s="9" t="s">
        <v>5</v>
      </c>
      <c r="D3969" s="10">
        <v>2856.1539999999995</v>
      </c>
      <c r="E3969" s="10">
        <v>0</v>
      </c>
      <c r="F3969" t="str">
        <f>VLOOKUP(A3969,StoreLookup,2,FALSE)</f>
        <v>Store#3</v>
      </c>
      <c r="G3969">
        <f>INDEX(CalLookUpTable,MATCH($B3969,CalLookUpRow,0),MATCH(G$1,CalLookUpColumn,0))</f>
        <v>2019</v>
      </c>
      <c r="H3969">
        <f>INDEX(CalLookUpTable,MATCH($B3969,CalLookUpRow,0),MATCH(H$1,CalLookUpColumn,0))</f>
        <v>2</v>
      </c>
      <c r="I3969">
        <f>INDEX(CalLookUpTable,MATCH($B3969,CalLookUpRow,0),MATCH(I$1,CalLookUpColumn,0))</f>
        <v>1</v>
      </c>
    </row>
    <row r="3970" spans="1:9" x14ac:dyDescent="0.25">
      <c r="A3970" s="7">
        <v>3</v>
      </c>
      <c r="B3970" s="8">
        <v>43494</v>
      </c>
      <c r="C3970" s="9" t="s">
        <v>5</v>
      </c>
      <c r="D3970" s="10">
        <v>3208.3379999999997</v>
      </c>
      <c r="E3970" s="10">
        <v>0</v>
      </c>
      <c r="F3970" t="str">
        <f>VLOOKUP(A3970,StoreLookup,2,FALSE)</f>
        <v>Store#3</v>
      </c>
      <c r="G3970">
        <f>INDEX(CalLookUpTable,MATCH($B3970,CalLookUpRow,0),MATCH(G$1,CalLookUpColumn,0))</f>
        <v>2019</v>
      </c>
      <c r="H3970">
        <f>INDEX(CalLookUpTable,MATCH($B3970,CalLookUpRow,0),MATCH(H$1,CalLookUpColumn,0))</f>
        <v>2</v>
      </c>
      <c r="I3970">
        <f>INDEX(CalLookUpTable,MATCH($B3970,CalLookUpRow,0),MATCH(I$1,CalLookUpColumn,0))</f>
        <v>1</v>
      </c>
    </row>
    <row r="3971" spans="1:9" x14ac:dyDescent="0.25">
      <c r="A3971" s="7">
        <v>3</v>
      </c>
      <c r="B3971" s="8">
        <v>43494</v>
      </c>
      <c r="C3971" s="9" t="s">
        <v>4</v>
      </c>
      <c r="D3971" s="10">
        <v>3164.3989999999994</v>
      </c>
      <c r="E3971" s="10">
        <v>0</v>
      </c>
      <c r="F3971" t="str">
        <f>VLOOKUP(A3971,StoreLookup,2,FALSE)</f>
        <v>Store#3</v>
      </c>
      <c r="G3971">
        <f>INDEX(CalLookUpTable,MATCH($B3971,CalLookUpRow,0),MATCH(G$1,CalLookUpColumn,0))</f>
        <v>2019</v>
      </c>
      <c r="H3971">
        <f>INDEX(CalLookUpTable,MATCH($B3971,CalLookUpRow,0),MATCH(H$1,CalLookUpColumn,0))</f>
        <v>2</v>
      </c>
      <c r="I3971">
        <f>INDEX(CalLookUpTable,MATCH($B3971,CalLookUpRow,0),MATCH(I$1,CalLookUpColumn,0))</f>
        <v>1</v>
      </c>
    </row>
    <row r="3972" spans="1:9" x14ac:dyDescent="0.25">
      <c r="A3972" s="7">
        <v>3</v>
      </c>
      <c r="B3972" s="8">
        <v>43494</v>
      </c>
      <c r="C3972" s="9" t="s">
        <v>3</v>
      </c>
      <c r="D3972" s="10">
        <v>0</v>
      </c>
      <c r="E3972" s="10">
        <v>0</v>
      </c>
      <c r="F3972" t="str">
        <f>VLOOKUP(A3972,StoreLookup,2,FALSE)</f>
        <v>Store#3</v>
      </c>
      <c r="G3972">
        <f>INDEX(CalLookUpTable,MATCH($B3972,CalLookUpRow,0),MATCH(G$1,CalLookUpColumn,0))</f>
        <v>2019</v>
      </c>
      <c r="H3972">
        <f>INDEX(CalLookUpTable,MATCH($B3972,CalLookUpRow,0),MATCH(H$1,CalLookUpColumn,0))</f>
        <v>2</v>
      </c>
      <c r="I3972">
        <f>INDEX(CalLookUpTable,MATCH($B3972,CalLookUpRow,0),MATCH(I$1,CalLookUpColumn,0))</f>
        <v>1</v>
      </c>
    </row>
    <row r="3973" spans="1:9" x14ac:dyDescent="0.25">
      <c r="A3973" s="7">
        <v>3</v>
      </c>
      <c r="B3973" s="8">
        <v>43494</v>
      </c>
      <c r="C3973" s="9" t="s">
        <v>6</v>
      </c>
      <c r="D3973" s="10">
        <v>582.51899999999989</v>
      </c>
      <c r="E3973" s="10">
        <v>0</v>
      </c>
      <c r="F3973" t="str">
        <f>VLOOKUP(A3973,StoreLookup,2,FALSE)</f>
        <v>Store#3</v>
      </c>
      <c r="G3973">
        <f>INDEX(CalLookUpTable,MATCH($B3973,CalLookUpRow,0),MATCH(G$1,CalLookUpColumn,0))</f>
        <v>2019</v>
      </c>
      <c r="H3973">
        <f>INDEX(CalLookUpTable,MATCH($B3973,CalLookUpRow,0),MATCH(H$1,CalLookUpColumn,0))</f>
        <v>2</v>
      </c>
      <c r="I3973">
        <f>INDEX(CalLookUpTable,MATCH($B3973,CalLookUpRow,0),MATCH(I$1,CalLookUpColumn,0))</f>
        <v>1</v>
      </c>
    </row>
    <row r="3974" spans="1:9" x14ac:dyDescent="0.25">
      <c r="A3974" s="7">
        <v>3</v>
      </c>
      <c r="B3974" s="8">
        <v>43495</v>
      </c>
      <c r="C3974" s="9" t="s">
        <v>6</v>
      </c>
      <c r="D3974" s="10">
        <v>764.25299999999993</v>
      </c>
      <c r="E3974" s="10">
        <v>0</v>
      </c>
      <c r="F3974" t="str">
        <f>VLOOKUP(A3974,StoreLookup,2,FALSE)</f>
        <v>Store#3</v>
      </c>
      <c r="G3974">
        <f>INDEX(CalLookUpTable,MATCH($B3974,CalLookUpRow,0),MATCH(G$1,CalLookUpColumn,0))</f>
        <v>2019</v>
      </c>
      <c r="H3974">
        <f>INDEX(CalLookUpTable,MATCH($B3974,CalLookUpRow,0),MATCH(H$1,CalLookUpColumn,0))</f>
        <v>2</v>
      </c>
      <c r="I3974">
        <f>INDEX(CalLookUpTable,MATCH($B3974,CalLookUpRow,0),MATCH(I$1,CalLookUpColumn,0))</f>
        <v>1</v>
      </c>
    </row>
    <row r="3975" spans="1:9" x14ac:dyDescent="0.25">
      <c r="A3975" s="7">
        <v>3</v>
      </c>
      <c r="B3975" s="8">
        <v>43495</v>
      </c>
      <c r="C3975" s="9" t="s">
        <v>3</v>
      </c>
      <c r="D3975" s="10">
        <v>153.85999999999999</v>
      </c>
      <c r="E3975" s="10">
        <v>0</v>
      </c>
      <c r="F3975" t="str">
        <f>VLOOKUP(A3975,StoreLookup,2,FALSE)</f>
        <v>Store#3</v>
      </c>
      <c r="G3975">
        <f>INDEX(CalLookUpTable,MATCH($B3975,CalLookUpRow,0),MATCH(G$1,CalLookUpColumn,0))</f>
        <v>2019</v>
      </c>
      <c r="H3975">
        <f>INDEX(CalLookUpTable,MATCH($B3975,CalLookUpRow,0),MATCH(H$1,CalLookUpColumn,0))</f>
        <v>2</v>
      </c>
      <c r="I3975">
        <f>INDEX(CalLookUpTable,MATCH($B3975,CalLookUpRow,0),MATCH(I$1,CalLookUpColumn,0))</f>
        <v>1</v>
      </c>
    </row>
    <row r="3976" spans="1:9" x14ac:dyDescent="0.25">
      <c r="A3976" s="7">
        <v>3</v>
      </c>
      <c r="B3976" s="8">
        <v>43495</v>
      </c>
      <c r="C3976" s="9" t="s">
        <v>4</v>
      </c>
      <c r="D3976" s="10">
        <v>3267.0889999999999</v>
      </c>
      <c r="E3976" s="10">
        <v>0</v>
      </c>
      <c r="F3976" t="str">
        <f>VLOOKUP(A3976,StoreLookup,2,FALSE)</f>
        <v>Store#3</v>
      </c>
      <c r="G3976">
        <f>INDEX(CalLookUpTable,MATCH($B3976,CalLookUpRow,0),MATCH(G$1,CalLookUpColumn,0))</f>
        <v>2019</v>
      </c>
      <c r="H3976">
        <f>INDEX(CalLookUpTable,MATCH($B3976,CalLookUpRow,0),MATCH(H$1,CalLookUpColumn,0))</f>
        <v>2</v>
      </c>
      <c r="I3976">
        <f>INDEX(CalLookUpTable,MATCH($B3976,CalLookUpRow,0),MATCH(I$1,CalLookUpColumn,0))</f>
        <v>1</v>
      </c>
    </row>
    <row r="3977" spans="1:9" x14ac:dyDescent="0.25">
      <c r="A3977" s="7">
        <v>3</v>
      </c>
      <c r="B3977" s="8">
        <v>43495</v>
      </c>
      <c r="C3977" s="9" t="s">
        <v>5</v>
      </c>
      <c r="D3977" s="10">
        <v>3541.4049999999997</v>
      </c>
      <c r="E3977" s="10">
        <v>0</v>
      </c>
      <c r="F3977" t="str">
        <f>VLOOKUP(A3977,StoreLookup,2,FALSE)</f>
        <v>Store#3</v>
      </c>
      <c r="G3977">
        <f>INDEX(CalLookUpTable,MATCH($B3977,CalLookUpRow,0),MATCH(G$1,CalLookUpColumn,0))</f>
        <v>2019</v>
      </c>
      <c r="H3977">
        <f>INDEX(CalLookUpTable,MATCH($B3977,CalLookUpRow,0),MATCH(H$1,CalLookUpColumn,0))</f>
        <v>2</v>
      </c>
      <c r="I3977">
        <f>INDEX(CalLookUpTable,MATCH($B3977,CalLookUpRow,0),MATCH(I$1,CalLookUpColumn,0))</f>
        <v>1</v>
      </c>
    </row>
    <row r="3978" spans="1:9" x14ac:dyDescent="0.25">
      <c r="A3978" s="7">
        <v>3</v>
      </c>
      <c r="B3978" s="8">
        <v>43496</v>
      </c>
      <c r="C3978" s="9" t="s">
        <v>6</v>
      </c>
      <c r="D3978" s="10">
        <v>870.83499999999992</v>
      </c>
      <c r="E3978" s="10">
        <v>0</v>
      </c>
      <c r="F3978" t="str">
        <f>VLOOKUP(A3978,StoreLookup,2,FALSE)</f>
        <v>Store#3</v>
      </c>
      <c r="G3978">
        <f>INDEX(CalLookUpTable,MATCH($B3978,CalLookUpRow,0),MATCH(G$1,CalLookUpColumn,0))</f>
        <v>2019</v>
      </c>
      <c r="H3978">
        <f>INDEX(CalLookUpTable,MATCH($B3978,CalLookUpRow,0),MATCH(H$1,CalLookUpColumn,0))</f>
        <v>2</v>
      </c>
      <c r="I3978">
        <f>INDEX(CalLookUpTable,MATCH($B3978,CalLookUpRow,0),MATCH(I$1,CalLookUpColumn,0))</f>
        <v>1</v>
      </c>
    </row>
    <row r="3979" spans="1:9" x14ac:dyDescent="0.25">
      <c r="A3979" s="7">
        <v>3</v>
      </c>
      <c r="B3979" s="8">
        <v>43496</v>
      </c>
      <c r="C3979" s="9" t="s">
        <v>3</v>
      </c>
      <c r="D3979" s="10">
        <v>35.678999999999995</v>
      </c>
      <c r="E3979" s="10">
        <v>0</v>
      </c>
      <c r="F3979" t="str">
        <f>VLOOKUP(A3979,StoreLookup,2,FALSE)</f>
        <v>Store#3</v>
      </c>
      <c r="G3979">
        <f>INDEX(CalLookUpTable,MATCH($B3979,CalLookUpRow,0),MATCH(G$1,CalLookUpColumn,0))</f>
        <v>2019</v>
      </c>
      <c r="H3979">
        <f>INDEX(CalLookUpTable,MATCH($B3979,CalLookUpRow,0),MATCH(H$1,CalLookUpColumn,0))</f>
        <v>2</v>
      </c>
      <c r="I3979">
        <f>INDEX(CalLookUpTable,MATCH($B3979,CalLookUpRow,0),MATCH(I$1,CalLookUpColumn,0))</f>
        <v>1</v>
      </c>
    </row>
    <row r="3980" spans="1:9" x14ac:dyDescent="0.25">
      <c r="A3980" s="7">
        <v>3</v>
      </c>
      <c r="B3980" s="8">
        <v>43496</v>
      </c>
      <c r="C3980" s="9" t="s">
        <v>4</v>
      </c>
      <c r="D3980" s="10">
        <v>3353.098</v>
      </c>
      <c r="E3980" s="10">
        <v>0</v>
      </c>
      <c r="F3980" t="str">
        <f>VLOOKUP(A3980,StoreLookup,2,FALSE)</f>
        <v>Store#3</v>
      </c>
      <c r="G3980">
        <f>INDEX(CalLookUpTable,MATCH($B3980,CalLookUpRow,0),MATCH(G$1,CalLookUpColumn,0))</f>
        <v>2019</v>
      </c>
      <c r="H3980">
        <f>INDEX(CalLookUpTable,MATCH($B3980,CalLookUpRow,0),MATCH(H$1,CalLookUpColumn,0))</f>
        <v>2</v>
      </c>
      <c r="I3980">
        <f>INDEX(CalLookUpTable,MATCH($B3980,CalLookUpRow,0),MATCH(I$1,CalLookUpColumn,0))</f>
        <v>1</v>
      </c>
    </row>
    <row r="3981" spans="1:9" x14ac:dyDescent="0.25">
      <c r="A3981" s="7">
        <v>3</v>
      </c>
      <c r="B3981" s="8">
        <v>43496</v>
      </c>
      <c r="C3981" s="9" t="s">
        <v>5</v>
      </c>
      <c r="D3981" s="10">
        <v>3163.2159999999999</v>
      </c>
      <c r="E3981" s="10">
        <v>0</v>
      </c>
      <c r="F3981" t="str">
        <f>VLOOKUP(A3981,StoreLookup,2,FALSE)</f>
        <v>Store#3</v>
      </c>
      <c r="G3981">
        <f>INDEX(CalLookUpTable,MATCH($B3981,CalLookUpRow,0),MATCH(G$1,CalLookUpColumn,0))</f>
        <v>2019</v>
      </c>
      <c r="H3981">
        <f>INDEX(CalLookUpTable,MATCH($B3981,CalLookUpRow,0),MATCH(H$1,CalLookUpColumn,0))</f>
        <v>2</v>
      </c>
      <c r="I3981">
        <f>INDEX(CalLookUpTable,MATCH($B3981,CalLookUpRow,0),MATCH(I$1,CalLookUpColumn,0))</f>
        <v>1</v>
      </c>
    </row>
    <row r="3982" spans="1:9" x14ac:dyDescent="0.25">
      <c r="A3982" s="7">
        <v>3</v>
      </c>
      <c r="B3982" s="8">
        <v>43497</v>
      </c>
      <c r="C3982" s="9" t="s">
        <v>5</v>
      </c>
      <c r="D3982" s="10">
        <v>3559.1570000000002</v>
      </c>
      <c r="E3982" s="10">
        <v>0</v>
      </c>
      <c r="F3982" t="str">
        <f>VLOOKUP(A3982,StoreLookup,2,FALSE)</f>
        <v>Store#3</v>
      </c>
      <c r="G3982">
        <f>INDEX(CalLookUpTable,MATCH($B3982,CalLookUpRow,0),MATCH(G$1,CalLookUpColumn,0))</f>
        <v>2019</v>
      </c>
      <c r="H3982">
        <f>INDEX(CalLookUpTable,MATCH($B3982,CalLookUpRow,0),MATCH(H$1,CalLookUpColumn,0))</f>
        <v>2</v>
      </c>
      <c r="I3982">
        <f>INDEX(CalLookUpTable,MATCH($B3982,CalLookUpRow,0),MATCH(I$1,CalLookUpColumn,0))</f>
        <v>1</v>
      </c>
    </row>
    <row r="3983" spans="1:9" x14ac:dyDescent="0.25">
      <c r="A3983" s="7">
        <v>3</v>
      </c>
      <c r="B3983" s="8">
        <v>43497</v>
      </c>
      <c r="C3983" s="9" t="s">
        <v>3</v>
      </c>
      <c r="D3983" s="10">
        <v>134.32999999999998</v>
      </c>
      <c r="E3983" s="10">
        <v>0</v>
      </c>
      <c r="F3983" t="str">
        <f>VLOOKUP(A3983,StoreLookup,2,FALSE)</f>
        <v>Store#3</v>
      </c>
      <c r="G3983">
        <f>INDEX(CalLookUpTable,MATCH($B3983,CalLookUpRow,0),MATCH(G$1,CalLookUpColumn,0))</f>
        <v>2019</v>
      </c>
      <c r="H3983">
        <f>INDEX(CalLookUpTable,MATCH($B3983,CalLookUpRow,0),MATCH(H$1,CalLookUpColumn,0))</f>
        <v>2</v>
      </c>
      <c r="I3983">
        <f>INDEX(CalLookUpTable,MATCH($B3983,CalLookUpRow,0),MATCH(I$1,CalLookUpColumn,0))</f>
        <v>1</v>
      </c>
    </row>
    <row r="3984" spans="1:9" x14ac:dyDescent="0.25">
      <c r="A3984" s="7">
        <v>3</v>
      </c>
      <c r="B3984" s="8">
        <v>43497</v>
      </c>
      <c r="C3984" s="9" t="s">
        <v>4</v>
      </c>
      <c r="D3984" s="10">
        <v>4015.2559999999999</v>
      </c>
      <c r="E3984" s="10">
        <v>0</v>
      </c>
      <c r="F3984" t="str">
        <f>VLOOKUP(A3984,StoreLookup,2,FALSE)</f>
        <v>Store#3</v>
      </c>
      <c r="G3984">
        <f>INDEX(CalLookUpTable,MATCH($B3984,CalLookUpRow,0),MATCH(G$1,CalLookUpColumn,0))</f>
        <v>2019</v>
      </c>
      <c r="H3984">
        <f>INDEX(CalLookUpTable,MATCH($B3984,CalLookUpRow,0),MATCH(H$1,CalLookUpColumn,0))</f>
        <v>2</v>
      </c>
      <c r="I3984">
        <f>INDEX(CalLookUpTable,MATCH($B3984,CalLookUpRow,0),MATCH(I$1,CalLookUpColumn,0))</f>
        <v>1</v>
      </c>
    </row>
    <row r="3985" spans="1:9" x14ac:dyDescent="0.25">
      <c r="A3985" s="7">
        <v>3</v>
      </c>
      <c r="B3985" s="8">
        <v>43497</v>
      </c>
      <c r="C3985" s="9" t="s">
        <v>6</v>
      </c>
      <c r="D3985" s="10">
        <v>1103.5359999999998</v>
      </c>
      <c r="E3985" s="10">
        <v>0</v>
      </c>
      <c r="F3985" t="str">
        <f>VLOOKUP(A3985,StoreLookup,2,FALSE)</f>
        <v>Store#3</v>
      </c>
      <c r="G3985">
        <f>INDEX(CalLookUpTable,MATCH($B3985,CalLookUpRow,0),MATCH(G$1,CalLookUpColumn,0))</f>
        <v>2019</v>
      </c>
      <c r="H3985">
        <f>INDEX(CalLookUpTable,MATCH($B3985,CalLookUpRow,0),MATCH(H$1,CalLookUpColumn,0))</f>
        <v>2</v>
      </c>
      <c r="I3985">
        <f>INDEX(CalLookUpTable,MATCH($B3985,CalLookUpRow,0),MATCH(I$1,CalLookUpColumn,0))</f>
        <v>1</v>
      </c>
    </row>
    <row r="3986" spans="1:9" x14ac:dyDescent="0.25">
      <c r="A3986" s="7">
        <v>3</v>
      </c>
      <c r="B3986" s="8">
        <v>43498</v>
      </c>
      <c r="C3986" s="9" t="s">
        <v>5</v>
      </c>
      <c r="D3986" s="10">
        <v>3333.2459999999996</v>
      </c>
      <c r="E3986" s="10">
        <v>0</v>
      </c>
      <c r="F3986" t="str">
        <f>VLOOKUP(A3986,StoreLookup,2,FALSE)</f>
        <v>Store#3</v>
      </c>
      <c r="G3986">
        <f>INDEX(CalLookUpTable,MATCH($B3986,CalLookUpRow,0),MATCH(G$1,CalLookUpColumn,0))</f>
        <v>2019</v>
      </c>
      <c r="H3986">
        <f>INDEX(CalLookUpTable,MATCH($B3986,CalLookUpRow,0),MATCH(H$1,CalLookUpColumn,0))</f>
        <v>2</v>
      </c>
      <c r="I3986">
        <f>INDEX(CalLookUpTable,MATCH($B3986,CalLookUpRow,0),MATCH(I$1,CalLookUpColumn,0))</f>
        <v>1</v>
      </c>
    </row>
    <row r="3987" spans="1:9" x14ac:dyDescent="0.25">
      <c r="A3987" s="7">
        <v>3</v>
      </c>
      <c r="B3987" s="8">
        <v>43498</v>
      </c>
      <c r="C3987" s="9" t="s">
        <v>3</v>
      </c>
      <c r="D3987" s="10">
        <v>75.509</v>
      </c>
      <c r="E3987" s="10">
        <v>0</v>
      </c>
      <c r="F3987" t="str">
        <f>VLOOKUP(A3987,StoreLookup,2,FALSE)</f>
        <v>Store#3</v>
      </c>
      <c r="G3987">
        <f>INDEX(CalLookUpTable,MATCH($B3987,CalLookUpRow,0),MATCH(G$1,CalLookUpColumn,0))</f>
        <v>2019</v>
      </c>
      <c r="H3987">
        <f>INDEX(CalLookUpTable,MATCH($B3987,CalLookUpRow,0),MATCH(H$1,CalLookUpColumn,0))</f>
        <v>2</v>
      </c>
      <c r="I3987">
        <f>INDEX(CalLookUpTable,MATCH($B3987,CalLookUpRow,0),MATCH(I$1,CalLookUpColumn,0))</f>
        <v>1</v>
      </c>
    </row>
    <row r="3988" spans="1:9" x14ac:dyDescent="0.25">
      <c r="A3988" s="7">
        <v>3</v>
      </c>
      <c r="B3988" s="8">
        <v>43498</v>
      </c>
      <c r="C3988" s="9" t="s">
        <v>6</v>
      </c>
      <c r="D3988" s="10">
        <v>910.03499999999985</v>
      </c>
      <c r="E3988" s="10">
        <v>0</v>
      </c>
      <c r="F3988" t="str">
        <f>VLOOKUP(A3988,StoreLookup,2,FALSE)</f>
        <v>Store#3</v>
      </c>
      <c r="G3988">
        <f>INDEX(CalLookUpTable,MATCH($B3988,CalLookUpRow,0),MATCH(G$1,CalLookUpColumn,0))</f>
        <v>2019</v>
      </c>
      <c r="H3988">
        <f>INDEX(CalLookUpTable,MATCH($B3988,CalLookUpRow,0),MATCH(H$1,CalLookUpColumn,0))</f>
        <v>2</v>
      </c>
      <c r="I3988">
        <f>INDEX(CalLookUpTable,MATCH($B3988,CalLookUpRow,0),MATCH(I$1,CalLookUpColumn,0))</f>
        <v>1</v>
      </c>
    </row>
    <row r="3989" spans="1:9" x14ac:dyDescent="0.25">
      <c r="A3989" s="7">
        <v>3</v>
      </c>
      <c r="B3989" s="8">
        <v>43498</v>
      </c>
      <c r="C3989" s="9" t="s">
        <v>4</v>
      </c>
      <c r="D3989" s="10">
        <v>3712.9539999999997</v>
      </c>
      <c r="E3989" s="10">
        <v>0</v>
      </c>
      <c r="F3989" t="str">
        <f>VLOOKUP(A3989,StoreLookup,2,FALSE)</f>
        <v>Store#3</v>
      </c>
      <c r="G3989">
        <f>INDEX(CalLookUpTable,MATCH($B3989,CalLookUpRow,0),MATCH(G$1,CalLookUpColumn,0))</f>
        <v>2019</v>
      </c>
      <c r="H3989">
        <f>INDEX(CalLookUpTable,MATCH($B3989,CalLookUpRow,0),MATCH(H$1,CalLookUpColumn,0))</f>
        <v>2</v>
      </c>
      <c r="I3989">
        <f>INDEX(CalLookUpTable,MATCH($B3989,CalLookUpRow,0),MATCH(I$1,CalLookUpColumn,0))</f>
        <v>1</v>
      </c>
    </row>
    <row r="3990" spans="1:9" x14ac:dyDescent="0.25">
      <c r="A3990" s="7">
        <v>3</v>
      </c>
      <c r="B3990" s="8">
        <v>43499</v>
      </c>
      <c r="C3990" s="9" t="s">
        <v>4</v>
      </c>
      <c r="D3990" s="10">
        <v>1649.3889999999999</v>
      </c>
      <c r="E3990" s="10">
        <v>0</v>
      </c>
      <c r="F3990" t="str">
        <f>VLOOKUP(A3990,StoreLookup,2,FALSE)</f>
        <v>Store#3</v>
      </c>
      <c r="G3990">
        <f>INDEX(CalLookUpTable,MATCH($B3990,CalLookUpRow,0),MATCH(G$1,CalLookUpColumn,0))</f>
        <v>2019</v>
      </c>
      <c r="H3990">
        <f>INDEX(CalLookUpTable,MATCH($B3990,CalLookUpRow,0),MATCH(H$1,CalLookUpColumn,0))</f>
        <v>2</v>
      </c>
      <c r="I3990">
        <f>INDEX(CalLookUpTable,MATCH($B3990,CalLookUpRow,0),MATCH(I$1,CalLookUpColumn,0))</f>
        <v>1</v>
      </c>
    </row>
    <row r="3991" spans="1:9" x14ac:dyDescent="0.25">
      <c r="A3991" s="7">
        <v>3</v>
      </c>
      <c r="B3991" s="8">
        <v>43499</v>
      </c>
      <c r="C3991" s="9" t="s">
        <v>5</v>
      </c>
      <c r="D3991" s="10">
        <v>1759.569</v>
      </c>
      <c r="E3991" s="10">
        <v>0</v>
      </c>
      <c r="F3991" t="str">
        <f>VLOOKUP(A3991,StoreLookup,2,FALSE)</f>
        <v>Store#3</v>
      </c>
      <c r="G3991">
        <f>INDEX(CalLookUpTable,MATCH($B3991,CalLookUpRow,0),MATCH(G$1,CalLookUpColumn,0))</f>
        <v>2019</v>
      </c>
      <c r="H3991">
        <f>INDEX(CalLookUpTable,MATCH($B3991,CalLookUpRow,0),MATCH(H$1,CalLookUpColumn,0))</f>
        <v>2</v>
      </c>
      <c r="I3991">
        <f>INDEX(CalLookUpTable,MATCH($B3991,CalLookUpRow,0),MATCH(I$1,CalLookUpColumn,0))</f>
        <v>1</v>
      </c>
    </row>
    <row r="3992" spans="1:9" x14ac:dyDescent="0.25">
      <c r="A3992" s="7">
        <v>3</v>
      </c>
      <c r="B3992" s="8">
        <v>43499</v>
      </c>
      <c r="C3992" s="9" t="s">
        <v>6</v>
      </c>
      <c r="D3992" s="10">
        <v>425.17299999999994</v>
      </c>
      <c r="E3992" s="10">
        <v>0</v>
      </c>
      <c r="F3992" t="str">
        <f>VLOOKUP(A3992,StoreLookup,2,FALSE)</f>
        <v>Store#3</v>
      </c>
      <c r="G3992">
        <f>INDEX(CalLookUpTable,MATCH($B3992,CalLookUpRow,0),MATCH(G$1,CalLookUpColumn,0))</f>
        <v>2019</v>
      </c>
      <c r="H3992">
        <f>INDEX(CalLookUpTable,MATCH($B3992,CalLookUpRow,0),MATCH(H$1,CalLookUpColumn,0))</f>
        <v>2</v>
      </c>
      <c r="I3992">
        <f>INDEX(CalLookUpTable,MATCH($B3992,CalLookUpRow,0),MATCH(I$1,CalLookUpColumn,0))</f>
        <v>1</v>
      </c>
    </row>
    <row r="3993" spans="1:9" x14ac:dyDescent="0.25">
      <c r="A3993" s="7">
        <v>3</v>
      </c>
      <c r="B3993" s="8">
        <v>43499</v>
      </c>
      <c r="C3993" s="9" t="s">
        <v>3</v>
      </c>
      <c r="D3993" s="10">
        <v>248.80799999999999</v>
      </c>
      <c r="E3993" s="10">
        <v>0</v>
      </c>
      <c r="F3993" t="str">
        <f>VLOOKUP(A3993,StoreLookup,2,FALSE)</f>
        <v>Store#3</v>
      </c>
      <c r="G3993">
        <f>INDEX(CalLookUpTable,MATCH($B3993,CalLookUpRow,0),MATCH(G$1,CalLookUpColumn,0))</f>
        <v>2019</v>
      </c>
      <c r="H3993">
        <f>INDEX(CalLookUpTable,MATCH($B3993,CalLookUpRow,0),MATCH(H$1,CalLookUpColumn,0))</f>
        <v>2</v>
      </c>
      <c r="I3993">
        <f>INDEX(CalLookUpTable,MATCH($B3993,CalLookUpRow,0),MATCH(I$1,CalLookUpColumn,0))</f>
        <v>1</v>
      </c>
    </row>
    <row r="3994" spans="1:9" x14ac:dyDescent="0.25">
      <c r="A3994" s="7">
        <v>3</v>
      </c>
      <c r="B3994" s="8">
        <v>43500</v>
      </c>
      <c r="C3994" s="9" t="s">
        <v>3</v>
      </c>
      <c r="D3994" s="10">
        <v>0</v>
      </c>
      <c r="E3994" s="10">
        <v>0</v>
      </c>
      <c r="F3994" t="str">
        <f>VLOOKUP(A3994,StoreLookup,2,FALSE)</f>
        <v>Store#3</v>
      </c>
      <c r="G3994">
        <f>INDEX(CalLookUpTable,MATCH($B3994,CalLookUpRow,0),MATCH(G$1,CalLookUpColumn,0))</f>
        <v>2019</v>
      </c>
      <c r="H3994">
        <f>INDEX(CalLookUpTable,MATCH($B3994,CalLookUpRow,0),MATCH(H$1,CalLookUpColumn,0))</f>
        <v>2</v>
      </c>
      <c r="I3994">
        <f>INDEX(CalLookUpTable,MATCH($B3994,CalLookUpRow,0),MATCH(I$1,CalLookUpColumn,0))</f>
        <v>2</v>
      </c>
    </row>
    <row r="3995" spans="1:9" x14ac:dyDescent="0.25">
      <c r="A3995" s="7">
        <v>3</v>
      </c>
      <c r="B3995" s="8">
        <v>43500</v>
      </c>
      <c r="C3995" s="9" t="s">
        <v>5</v>
      </c>
      <c r="D3995" s="10">
        <v>3087.5879999999997</v>
      </c>
      <c r="E3995" s="10">
        <v>0</v>
      </c>
      <c r="F3995" t="str">
        <f>VLOOKUP(A3995,StoreLookup,2,FALSE)</f>
        <v>Store#3</v>
      </c>
      <c r="G3995">
        <f>INDEX(CalLookUpTable,MATCH($B3995,CalLookUpRow,0),MATCH(G$1,CalLookUpColumn,0))</f>
        <v>2019</v>
      </c>
      <c r="H3995">
        <f>INDEX(CalLookUpTable,MATCH($B3995,CalLookUpRow,0),MATCH(H$1,CalLookUpColumn,0))</f>
        <v>2</v>
      </c>
      <c r="I3995">
        <f>INDEX(CalLookUpTable,MATCH($B3995,CalLookUpRow,0),MATCH(I$1,CalLookUpColumn,0))</f>
        <v>2</v>
      </c>
    </row>
    <row r="3996" spans="1:9" x14ac:dyDescent="0.25">
      <c r="A3996" s="7">
        <v>3</v>
      </c>
      <c r="B3996" s="8">
        <v>43500</v>
      </c>
      <c r="C3996" s="9" t="s">
        <v>6</v>
      </c>
      <c r="D3996" s="10">
        <v>502.24299999999999</v>
      </c>
      <c r="E3996" s="10">
        <v>0</v>
      </c>
      <c r="F3996" t="str">
        <f>VLOOKUP(A3996,StoreLookup,2,FALSE)</f>
        <v>Store#3</v>
      </c>
      <c r="G3996">
        <f>INDEX(CalLookUpTable,MATCH($B3996,CalLookUpRow,0),MATCH(G$1,CalLookUpColumn,0))</f>
        <v>2019</v>
      </c>
      <c r="H3996">
        <f>INDEX(CalLookUpTable,MATCH($B3996,CalLookUpRow,0),MATCH(H$1,CalLookUpColumn,0))</f>
        <v>2</v>
      </c>
      <c r="I3996">
        <f>INDEX(CalLookUpTable,MATCH($B3996,CalLookUpRow,0),MATCH(I$1,CalLookUpColumn,0))</f>
        <v>2</v>
      </c>
    </row>
    <row r="3997" spans="1:9" x14ac:dyDescent="0.25">
      <c r="A3997" s="7">
        <v>3</v>
      </c>
      <c r="B3997" s="8">
        <v>43500</v>
      </c>
      <c r="C3997" s="9" t="s">
        <v>4</v>
      </c>
      <c r="D3997" s="10">
        <v>2811.7109999999998</v>
      </c>
      <c r="E3997" s="10">
        <v>0</v>
      </c>
      <c r="F3997" t="str">
        <f>VLOOKUP(A3997,StoreLookup,2,FALSE)</f>
        <v>Store#3</v>
      </c>
      <c r="G3997">
        <f>INDEX(CalLookUpTable,MATCH($B3997,CalLookUpRow,0),MATCH(G$1,CalLookUpColumn,0))</f>
        <v>2019</v>
      </c>
      <c r="H3997">
        <f>INDEX(CalLookUpTable,MATCH($B3997,CalLookUpRow,0),MATCH(H$1,CalLookUpColumn,0))</f>
        <v>2</v>
      </c>
      <c r="I3997">
        <f>INDEX(CalLookUpTable,MATCH($B3997,CalLookUpRow,0),MATCH(I$1,CalLookUpColumn,0))</f>
        <v>2</v>
      </c>
    </row>
    <row r="3998" spans="1:9" x14ac:dyDescent="0.25">
      <c r="A3998" s="7">
        <v>3</v>
      </c>
      <c r="B3998" s="8">
        <v>43501</v>
      </c>
      <c r="C3998" s="9" t="s">
        <v>6</v>
      </c>
      <c r="D3998" s="10">
        <v>817.22899999999993</v>
      </c>
      <c r="E3998" s="10">
        <v>0</v>
      </c>
      <c r="F3998" t="str">
        <f>VLOOKUP(A3998,StoreLookup,2,FALSE)</f>
        <v>Store#3</v>
      </c>
      <c r="G3998">
        <f>INDEX(CalLookUpTable,MATCH($B3998,CalLookUpRow,0),MATCH(G$1,CalLookUpColumn,0))</f>
        <v>2019</v>
      </c>
      <c r="H3998">
        <f>INDEX(CalLookUpTable,MATCH($B3998,CalLookUpRow,0),MATCH(H$1,CalLookUpColumn,0))</f>
        <v>2</v>
      </c>
      <c r="I3998">
        <f>INDEX(CalLookUpTable,MATCH($B3998,CalLookUpRow,0),MATCH(I$1,CalLookUpColumn,0))</f>
        <v>2</v>
      </c>
    </row>
    <row r="3999" spans="1:9" x14ac:dyDescent="0.25">
      <c r="A3999" s="7">
        <v>3</v>
      </c>
      <c r="B3999" s="8">
        <v>43501</v>
      </c>
      <c r="C3999" s="9" t="s">
        <v>4</v>
      </c>
      <c r="D3999" s="10">
        <v>3106.663</v>
      </c>
      <c r="E3999" s="10">
        <v>0</v>
      </c>
      <c r="F3999" t="str">
        <f>VLOOKUP(A3999,StoreLookup,2,FALSE)</f>
        <v>Store#3</v>
      </c>
      <c r="G3999">
        <f>INDEX(CalLookUpTable,MATCH($B3999,CalLookUpRow,0),MATCH(G$1,CalLookUpColumn,0))</f>
        <v>2019</v>
      </c>
      <c r="H3999">
        <f>INDEX(CalLookUpTable,MATCH($B3999,CalLookUpRow,0),MATCH(H$1,CalLookUpColumn,0))</f>
        <v>2</v>
      </c>
      <c r="I3999">
        <f>INDEX(CalLookUpTable,MATCH($B3999,CalLookUpRow,0),MATCH(I$1,CalLookUpColumn,0))</f>
        <v>2</v>
      </c>
    </row>
    <row r="4000" spans="1:9" x14ac:dyDescent="0.25">
      <c r="A4000" s="7">
        <v>3</v>
      </c>
      <c r="B4000" s="8">
        <v>43501</v>
      </c>
      <c r="C4000" s="9" t="s">
        <v>3</v>
      </c>
      <c r="D4000" s="10">
        <v>348.55099999999999</v>
      </c>
      <c r="E4000" s="10">
        <v>0</v>
      </c>
      <c r="F4000" t="str">
        <f>VLOOKUP(A4000,StoreLookup,2,FALSE)</f>
        <v>Store#3</v>
      </c>
      <c r="G4000">
        <f>INDEX(CalLookUpTable,MATCH($B4000,CalLookUpRow,0),MATCH(G$1,CalLookUpColumn,0))</f>
        <v>2019</v>
      </c>
      <c r="H4000">
        <f>INDEX(CalLookUpTable,MATCH($B4000,CalLookUpRow,0),MATCH(H$1,CalLookUpColumn,0))</f>
        <v>2</v>
      </c>
      <c r="I4000">
        <f>INDEX(CalLookUpTable,MATCH($B4000,CalLookUpRow,0),MATCH(I$1,CalLookUpColumn,0))</f>
        <v>2</v>
      </c>
    </row>
    <row r="4001" spans="1:9" x14ac:dyDescent="0.25">
      <c r="A4001" s="7">
        <v>3</v>
      </c>
      <c r="B4001" s="8">
        <v>43501</v>
      </c>
      <c r="C4001" s="9" t="s">
        <v>5</v>
      </c>
      <c r="D4001" s="10">
        <v>3408.8179999999998</v>
      </c>
      <c r="E4001" s="10">
        <v>0</v>
      </c>
      <c r="F4001" t="str">
        <f>VLOOKUP(A4001,StoreLookup,2,FALSE)</f>
        <v>Store#3</v>
      </c>
      <c r="G4001">
        <f>INDEX(CalLookUpTable,MATCH($B4001,CalLookUpRow,0),MATCH(G$1,CalLookUpColumn,0))</f>
        <v>2019</v>
      </c>
      <c r="H4001">
        <f>INDEX(CalLookUpTable,MATCH($B4001,CalLookUpRow,0),MATCH(H$1,CalLookUpColumn,0))</f>
        <v>2</v>
      </c>
      <c r="I4001">
        <f>INDEX(CalLookUpTable,MATCH($B4001,CalLookUpRow,0),MATCH(I$1,CalLookUpColumn,0))</f>
        <v>2</v>
      </c>
    </row>
    <row r="4002" spans="1:9" x14ac:dyDescent="0.25">
      <c r="A4002" s="7">
        <v>3</v>
      </c>
      <c r="B4002" s="8">
        <v>43502</v>
      </c>
      <c r="C4002" s="9" t="s">
        <v>6</v>
      </c>
      <c r="D4002" s="10">
        <v>903.00699999999995</v>
      </c>
      <c r="E4002" s="10">
        <v>0</v>
      </c>
      <c r="F4002" t="str">
        <f>VLOOKUP(A4002,StoreLookup,2,FALSE)</f>
        <v>Store#3</v>
      </c>
      <c r="G4002">
        <f>INDEX(CalLookUpTable,MATCH($B4002,CalLookUpRow,0),MATCH(G$1,CalLookUpColumn,0))</f>
        <v>2019</v>
      </c>
      <c r="H4002">
        <f>INDEX(CalLookUpTable,MATCH($B4002,CalLookUpRow,0),MATCH(H$1,CalLookUpColumn,0))</f>
        <v>2</v>
      </c>
      <c r="I4002">
        <f>INDEX(CalLookUpTable,MATCH($B4002,CalLookUpRow,0),MATCH(I$1,CalLookUpColumn,0))</f>
        <v>2</v>
      </c>
    </row>
    <row r="4003" spans="1:9" x14ac:dyDescent="0.25">
      <c r="A4003" s="7">
        <v>3</v>
      </c>
      <c r="B4003" s="8">
        <v>43502</v>
      </c>
      <c r="C4003" s="9" t="s">
        <v>5</v>
      </c>
      <c r="D4003" s="10">
        <v>2927.1759999999999</v>
      </c>
      <c r="E4003" s="10">
        <v>0</v>
      </c>
      <c r="F4003" t="str">
        <f>VLOOKUP(A4003,StoreLookup,2,FALSE)</f>
        <v>Store#3</v>
      </c>
      <c r="G4003">
        <f>INDEX(CalLookUpTable,MATCH($B4003,CalLookUpRow,0),MATCH(G$1,CalLookUpColumn,0))</f>
        <v>2019</v>
      </c>
      <c r="H4003">
        <f>INDEX(CalLookUpTable,MATCH($B4003,CalLookUpRow,0),MATCH(H$1,CalLookUpColumn,0))</f>
        <v>2</v>
      </c>
      <c r="I4003">
        <f>INDEX(CalLookUpTable,MATCH($B4003,CalLookUpRow,0),MATCH(I$1,CalLookUpColumn,0))</f>
        <v>2</v>
      </c>
    </row>
    <row r="4004" spans="1:9" x14ac:dyDescent="0.25">
      <c r="A4004" s="7">
        <v>3</v>
      </c>
      <c r="B4004" s="8">
        <v>43502</v>
      </c>
      <c r="C4004" s="9" t="s">
        <v>3</v>
      </c>
      <c r="D4004" s="10">
        <v>0</v>
      </c>
      <c r="E4004" s="10">
        <v>0</v>
      </c>
      <c r="F4004" t="str">
        <f>VLOOKUP(A4004,StoreLookup,2,FALSE)</f>
        <v>Store#3</v>
      </c>
      <c r="G4004">
        <f>INDEX(CalLookUpTable,MATCH($B4004,CalLookUpRow,0),MATCH(G$1,CalLookUpColumn,0))</f>
        <v>2019</v>
      </c>
      <c r="H4004">
        <f>INDEX(CalLookUpTable,MATCH($B4004,CalLookUpRow,0),MATCH(H$1,CalLookUpColumn,0))</f>
        <v>2</v>
      </c>
      <c r="I4004">
        <f>INDEX(CalLookUpTable,MATCH($B4004,CalLookUpRow,0),MATCH(I$1,CalLookUpColumn,0))</f>
        <v>2</v>
      </c>
    </row>
    <row r="4005" spans="1:9" x14ac:dyDescent="0.25">
      <c r="A4005" s="7">
        <v>3</v>
      </c>
      <c r="B4005" s="8">
        <v>43502</v>
      </c>
      <c r="C4005" s="9" t="s">
        <v>4</v>
      </c>
      <c r="D4005" s="10">
        <v>3112.6269999999995</v>
      </c>
      <c r="E4005" s="10">
        <v>0</v>
      </c>
      <c r="F4005" t="str">
        <f>VLOOKUP(A4005,StoreLookup,2,FALSE)</f>
        <v>Store#3</v>
      </c>
      <c r="G4005">
        <f>INDEX(CalLookUpTable,MATCH($B4005,CalLookUpRow,0),MATCH(G$1,CalLookUpColumn,0))</f>
        <v>2019</v>
      </c>
      <c r="H4005">
        <f>INDEX(CalLookUpTable,MATCH($B4005,CalLookUpRow,0),MATCH(H$1,CalLookUpColumn,0))</f>
        <v>2</v>
      </c>
      <c r="I4005">
        <f>INDEX(CalLookUpTable,MATCH($B4005,CalLookUpRow,0),MATCH(I$1,CalLookUpColumn,0))</f>
        <v>2</v>
      </c>
    </row>
    <row r="4006" spans="1:9" x14ac:dyDescent="0.25">
      <c r="A4006" s="7">
        <v>3</v>
      </c>
      <c r="B4006" s="8">
        <v>43503</v>
      </c>
      <c r="C4006" s="9" t="s">
        <v>3</v>
      </c>
      <c r="D4006" s="10">
        <v>395.48599999999999</v>
      </c>
      <c r="E4006" s="10">
        <v>0</v>
      </c>
      <c r="F4006" t="str">
        <f>VLOOKUP(A4006,StoreLookup,2,FALSE)</f>
        <v>Store#3</v>
      </c>
      <c r="G4006">
        <f>INDEX(CalLookUpTable,MATCH($B4006,CalLookUpRow,0),MATCH(G$1,CalLookUpColumn,0))</f>
        <v>2019</v>
      </c>
      <c r="H4006">
        <f>INDEX(CalLookUpTable,MATCH($B4006,CalLookUpRow,0),MATCH(H$1,CalLookUpColumn,0))</f>
        <v>2</v>
      </c>
      <c r="I4006">
        <f>INDEX(CalLookUpTable,MATCH($B4006,CalLookUpRow,0),MATCH(I$1,CalLookUpColumn,0))</f>
        <v>2</v>
      </c>
    </row>
    <row r="4007" spans="1:9" x14ac:dyDescent="0.25">
      <c r="A4007" s="7">
        <v>3</v>
      </c>
      <c r="B4007" s="8">
        <v>43503</v>
      </c>
      <c r="C4007" s="9" t="s">
        <v>6</v>
      </c>
      <c r="D4007" s="10">
        <v>663.96399999999994</v>
      </c>
      <c r="E4007" s="10">
        <v>0</v>
      </c>
      <c r="F4007" t="str">
        <f>VLOOKUP(A4007,StoreLookup,2,FALSE)</f>
        <v>Store#3</v>
      </c>
      <c r="G4007">
        <f>INDEX(CalLookUpTable,MATCH($B4007,CalLookUpRow,0),MATCH(G$1,CalLookUpColumn,0))</f>
        <v>2019</v>
      </c>
      <c r="H4007">
        <f>INDEX(CalLookUpTable,MATCH($B4007,CalLookUpRow,0),MATCH(H$1,CalLookUpColumn,0))</f>
        <v>2</v>
      </c>
      <c r="I4007">
        <f>INDEX(CalLookUpTable,MATCH($B4007,CalLookUpRow,0),MATCH(I$1,CalLookUpColumn,0))</f>
        <v>2</v>
      </c>
    </row>
    <row r="4008" spans="1:9" x14ac:dyDescent="0.25">
      <c r="A4008" s="7">
        <v>3</v>
      </c>
      <c r="B4008" s="8">
        <v>43503</v>
      </c>
      <c r="C4008" s="9" t="s">
        <v>4</v>
      </c>
      <c r="D4008" s="10">
        <v>2832.0039999999999</v>
      </c>
      <c r="E4008" s="10">
        <v>0</v>
      </c>
      <c r="F4008" t="str">
        <f>VLOOKUP(A4008,StoreLookup,2,FALSE)</f>
        <v>Store#3</v>
      </c>
      <c r="G4008">
        <f>INDEX(CalLookUpTable,MATCH($B4008,CalLookUpRow,0),MATCH(G$1,CalLookUpColumn,0))</f>
        <v>2019</v>
      </c>
      <c r="H4008">
        <f>INDEX(CalLookUpTable,MATCH($B4008,CalLookUpRow,0),MATCH(H$1,CalLookUpColumn,0))</f>
        <v>2</v>
      </c>
      <c r="I4008">
        <f>INDEX(CalLookUpTable,MATCH($B4008,CalLookUpRow,0),MATCH(I$1,CalLookUpColumn,0))</f>
        <v>2</v>
      </c>
    </row>
    <row r="4009" spans="1:9" x14ac:dyDescent="0.25">
      <c r="A4009" s="7">
        <v>3</v>
      </c>
      <c r="B4009" s="8">
        <v>43503</v>
      </c>
      <c r="C4009" s="9" t="s">
        <v>5</v>
      </c>
      <c r="D4009" s="10">
        <v>3354.8689999999997</v>
      </c>
      <c r="E4009" s="10">
        <v>0</v>
      </c>
      <c r="F4009" t="str">
        <f>VLOOKUP(A4009,StoreLookup,2,FALSE)</f>
        <v>Store#3</v>
      </c>
      <c r="G4009">
        <f>INDEX(CalLookUpTable,MATCH($B4009,CalLookUpRow,0),MATCH(G$1,CalLookUpColumn,0))</f>
        <v>2019</v>
      </c>
      <c r="H4009">
        <f>INDEX(CalLookUpTable,MATCH($B4009,CalLookUpRow,0),MATCH(H$1,CalLookUpColumn,0))</f>
        <v>2</v>
      </c>
      <c r="I4009">
        <f>INDEX(CalLookUpTable,MATCH($B4009,CalLookUpRow,0),MATCH(I$1,CalLookUpColumn,0))</f>
        <v>2</v>
      </c>
    </row>
    <row r="4010" spans="1:9" x14ac:dyDescent="0.25">
      <c r="A4010" s="7">
        <v>3</v>
      </c>
      <c r="B4010" s="8">
        <v>43504</v>
      </c>
      <c r="C4010" s="9" t="s">
        <v>6</v>
      </c>
      <c r="D4010" s="10">
        <v>1036.133</v>
      </c>
      <c r="E4010" s="10">
        <v>0</v>
      </c>
      <c r="F4010" t="str">
        <f>VLOOKUP(A4010,StoreLookup,2,FALSE)</f>
        <v>Store#3</v>
      </c>
      <c r="G4010">
        <f>INDEX(CalLookUpTable,MATCH($B4010,CalLookUpRow,0),MATCH(G$1,CalLookUpColumn,0))</f>
        <v>2019</v>
      </c>
      <c r="H4010">
        <f>INDEX(CalLookUpTable,MATCH($B4010,CalLookUpRow,0),MATCH(H$1,CalLookUpColumn,0))</f>
        <v>2</v>
      </c>
      <c r="I4010">
        <f>INDEX(CalLookUpTable,MATCH($B4010,CalLookUpRow,0),MATCH(I$1,CalLookUpColumn,0))</f>
        <v>2</v>
      </c>
    </row>
    <row r="4011" spans="1:9" x14ac:dyDescent="0.25">
      <c r="A4011" s="7">
        <v>3</v>
      </c>
      <c r="B4011" s="8">
        <v>43504</v>
      </c>
      <c r="C4011" s="9" t="s">
        <v>4</v>
      </c>
      <c r="D4011" s="10">
        <v>4191.5369999999994</v>
      </c>
      <c r="E4011" s="10">
        <v>0</v>
      </c>
      <c r="F4011" t="str">
        <f>VLOOKUP(A4011,StoreLookup,2,FALSE)</f>
        <v>Store#3</v>
      </c>
      <c r="G4011">
        <f>INDEX(CalLookUpTable,MATCH($B4011,CalLookUpRow,0),MATCH(G$1,CalLookUpColumn,0))</f>
        <v>2019</v>
      </c>
      <c r="H4011">
        <f>INDEX(CalLookUpTable,MATCH($B4011,CalLookUpRow,0),MATCH(H$1,CalLookUpColumn,0))</f>
        <v>2</v>
      </c>
      <c r="I4011">
        <f>INDEX(CalLookUpTable,MATCH($B4011,CalLookUpRow,0),MATCH(I$1,CalLookUpColumn,0))</f>
        <v>2</v>
      </c>
    </row>
    <row r="4012" spans="1:9" x14ac:dyDescent="0.25">
      <c r="A4012" s="7">
        <v>3</v>
      </c>
      <c r="B4012" s="8">
        <v>43504</v>
      </c>
      <c r="C4012" s="9" t="s">
        <v>3</v>
      </c>
      <c r="D4012" s="10">
        <v>0</v>
      </c>
      <c r="E4012" s="10">
        <v>0</v>
      </c>
      <c r="F4012" t="str">
        <f>VLOOKUP(A4012,StoreLookup,2,FALSE)</f>
        <v>Store#3</v>
      </c>
      <c r="G4012">
        <f>INDEX(CalLookUpTable,MATCH($B4012,CalLookUpRow,0),MATCH(G$1,CalLookUpColumn,0))</f>
        <v>2019</v>
      </c>
      <c r="H4012">
        <f>INDEX(CalLookUpTable,MATCH($B4012,CalLookUpRow,0),MATCH(H$1,CalLookUpColumn,0))</f>
        <v>2</v>
      </c>
      <c r="I4012">
        <f>INDEX(CalLookUpTable,MATCH($B4012,CalLookUpRow,0),MATCH(I$1,CalLookUpColumn,0))</f>
        <v>2</v>
      </c>
    </row>
    <row r="4013" spans="1:9" x14ac:dyDescent="0.25">
      <c r="A4013" s="7">
        <v>3</v>
      </c>
      <c r="B4013" s="8">
        <v>43504</v>
      </c>
      <c r="C4013" s="9" t="s">
        <v>5</v>
      </c>
      <c r="D4013" s="10">
        <v>3804.5489999999995</v>
      </c>
      <c r="E4013" s="10">
        <v>0</v>
      </c>
      <c r="F4013" t="str">
        <f>VLOOKUP(A4013,StoreLookup,2,FALSE)</f>
        <v>Store#3</v>
      </c>
      <c r="G4013">
        <f>INDEX(CalLookUpTable,MATCH($B4013,CalLookUpRow,0),MATCH(G$1,CalLookUpColumn,0))</f>
        <v>2019</v>
      </c>
      <c r="H4013">
        <f>INDEX(CalLookUpTable,MATCH($B4013,CalLookUpRow,0),MATCH(H$1,CalLookUpColumn,0))</f>
        <v>2</v>
      </c>
      <c r="I4013">
        <f>INDEX(CalLookUpTable,MATCH($B4013,CalLookUpRow,0),MATCH(I$1,CalLookUpColumn,0))</f>
        <v>2</v>
      </c>
    </row>
    <row r="4014" spans="1:9" x14ac:dyDescent="0.25">
      <c r="A4014" s="7">
        <v>3</v>
      </c>
      <c r="B4014" s="8">
        <v>43505</v>
      </c>
      <c r="C4014" s="9" t="s">
        <v>6</v>
      </c>
      <c r="D4014" s="10">
        <v>788.5569999999999</v>
      </c>
      <c r="E4014" s="10">
        <v>0</v>
      </c>
      <c r="F4014" t="str">
        <f>VLOOKUP(A4014,StoreLookup,2,FALSE)</f>
        <v>Store#3</v>
      </c>
      <c r="G4014">
        <f>INDEX(CalLookUpTable,MATCH($B4014,CalLookUpRow,0),MATCH(G$1,CalLookUpColumn,0))</f>
        <v>2019</v>
      </c>
      <c r="H4014">
        <f>INDEX(CalLookUpTable,MATCH($B4014,CalLookUpRow,0),MATCH(H$1,CalLookUpColumn,0))</f>
        <v>2</v>
      </c>
      <c r="I4014">
        <f>INDEX(CalLookUpTable,MATCH($B4014,CalLookUpRow,0),MATCH(I$1,CalLookUpColumn,0))</f>
        <v>2</v>
      </c>
    </row>
    <row r="4015" spans="1:9" x14ac:dyDescent="0.25">
      <c r="A4015" s="7">
        <v>3</v>
      </c>
      <c r="B4015" s="8">
        <v>43505</v>
      </c>
      <c r="C4015" s="9" t="s">
        <v>4</v>
      </c>
      <c r="D4015" s="10">
        <v>3763.0390000000002</v>
      </c>
      <c r="E4015" s="10">
        <v>0</v>
      </c>
      <c r="F4015" t="str">
        <f>VLOOKUP(A4015,StoreLookup,2,FALSE)</f>
        <v>Store#3</v>
      </c>
      <c r="G4015">
        <f>INDEX(CalLookUpTable,MATCH($B4015,CalLookUpRow,0),MATCH(G$1,CalLookUpColumn,0))</f>
        <v>2019</v>
      </c>
      <c r="H4015">
        <f>INDEX(CalLookUpTable,MATCH($B4015,CalLookUpRow,0),MATCH(H$1,CalLookUpColumn,0))</f>
        <v>2</v>
      </c>
      <c r="I4015">
        <f>INDEX(CalLookUpTable,MATCH($B4015,CalLookUpRow,0),MATCH(I$1,CalLookUpColumn,0))</f>
        <v>2</v>
      </c>
    </row>
    <row r="4016" spans="1:9" x14ac:dyDescent="0.25">
      <c r="A4016" s="7">
        <v>3</v>
      </c>
      <c r="B4016" s="8">
        <v>43505</v>
      </c>
      <c r="C4016" s="9" t="s">
        <v>5</v>
      </c>
      <c r="D4016" s="10">
        <v>3385.7809999999999</v>
      </c>
      <c r="E4016" s="10">
        <v>0</v>
      </c>
      <c r="F4016" t="str">
        <f>VLOOKUP(A4016,StoreLookup,2,FALSE)</f>
        <v>Store#3</v>
      </c>
      <c r="G4016">
        <f>INDEX(CalLookUpTable,MATCH($B4016,CalLookUpRow,0),MATCH(G$1,CalLookUpColumn,0))</f>
        <v>2019</v>
      </c>
      <c r="H4016">
        <f>INDEX(CalLookUpTable,MATCH($B4016,CalLookUpRow,0),MATCH(H$1,CalLookUpColumn,0))</f>
        <v>2</v>
      </c>
      <c r="I4016">
        <f>INDEX(CalLookUpTable,MATCH($B4016,CalLookUpRow,0),MATCH(I$1,CalLookUpColumn,0))</f>
        <v>2</v>
      </c>
    </row>
    <row r="4017" spans="1:9" x14ac:dyDescent="0.25">
      <c r="A4017" s="7">
        <v>3</v>
      </c>
      <c r="B4017" s="8">
        <v>43505</v>
      </c>
      <c r="C4017" s="9" t="s">
        <v>3</v>
      </c>
      <c r="D4017" s="10">
        <v>0</v>
      </c>
      <c r="E4017" s="10">
        <v>0</v>
      </c>
      <c r="F4017" t="str">
        <f>VLOOKUP(A4017,StoreLookup,2,FALSE)</f>
        <v>Store#3</v>
      </c>
      <c r="G4017">
        <f>INDEX(CalLookUpTable,MATCH($B4017,CalLookUpRow,0),MATCH(G$1,CalLookUpColumn,0))</f>
        <v>2019</v>
      </c>
      <c r="H4017">
        <f>INDEX(CalLookUpTable,MATCH($B4017,CalLookUpRow,0),MATCH(H$1,CalLookUpColumn,0))</f>
        <v>2</v>
      </c>
      <c r="I4017">
        <f>INDEX(CalLookUpTable,MATCH($B4017,CalLookUpRow,0),MATCH(I$1,CalLookUpColumn,0))</f>
        <v>2</v>
      </c>
    </row>
    <row r="4018" spans="1:9" x14ac:dyDescent="0.25">
      <c r="A4018" s="7">
        <v>3</v>
      </c>
      <c r="B4018" s="8">
        <v>43506</v>
      </c>
      <c r="C4018" s="9" t="s">
        <v>6</v>
      </c>
      <c r="D4018" s="10">
        <v>396.83699999999993</v>
      </c>
      <c r="E4018" s="10">
        <v>0</v>
      </c>
      <c r="F4018" t="str">
        <f>VLOOKUP(A4018,StoreLookup,2,FALSE)</f>
        <v>Store#3</v>
      </c>
      <c r="G4018">
        <f>INDEX(CalLookUpTable,MATCH($B4018,CalLookUpRow,0),MATCH(G$1,CalLookUpColumn,0))</f>
        <v>2019</v>
      </c>
      <c r="H4018">
        <f>INDEX(CalLookUpTable,MATCH($B4018,CalLookUpRow,0),MATCH(H$1,CalLookUpColumn,0))</f>
        <v>2</v>
      </c>
      <c r="I4018">
        <f>INDEX(CalLookUpTable,MATCH($B4018,CalLookUpRow,0),MATCH(I$1,CalLookUpColumn,0))</f>
        <v>2</v>
      </c>
    </row>
    <row r="4019" spans="1:9" x14ac:dyDescent="0.25">
      <c r="A4019" s="7">
        <v>3</v>
      </c>
      <c r="B4019" s="8">
        <v>43506</v>
      </c>
      <c r="C4019" s="9" t="s">
        <v>4</v>
      </c>
      <c r="D4019" s="10">
        <v>2000.7539999999997</v>
      </c>
      <c r="E4019" s="10">
        <v>0</v>
      </c>
      <c r="F4019" t="str">
        <f>VLOOKUP(A4019,StoreLookup,2,FALSE)</f>
        <v>Store#3</v>
      </c>
      <c r="G4019">
        <f>INDEX(CalLookUpTable,MATCH($B4019,CalLookUpRow,0),MATCH(G$1,CalLookUpColumn,0))</f>
        <v>2019</v>
      </c>
      <c r="H4019">
        <f>INDEX(CalLookUpTable,MATCH($B4019,CalLookUpRow,0),MATCH(H$1,CalLookUpColumn,0))</f>
        <v>2</v>
      </c>
      <c r="I4019">
        <f>INDEX(CalLookUpTable,MATCH($B4019,CalLookUpRow,0),MATCH(I$1,CalLookUpColumn,0))</f>
        <v>2</v>
      </c>
    </row>
    <row r="4020" spans="1:9" x14ac:dyDescent="0.25">
      <c r="A4020" s="7">
        <v>3</v>
      </c>
      <c r="B4020" s="8">
        <v>43506</v>
      </c>
      <c r="C4020" s="9" t="s">
        <v>3</v>
      </c>
      <c r="D4020" s="10">
        <v>0</v>
      </c>
      <c r="E4020" s="10">
        <v>0</v>
      </c>
      <c r="F4020" t="str">
        <f>VLOOKUP(A4020,StoreLookup,2,FALSE)</f>
        <v>Store#3</v>
      </c>
      <c r="G4020">
        <f>INDEX(CalLookUpTable,MATCH($B4020,CalLookUpRow,0),MATCH(G$1,CalLookUpColumn,0))</f>
        <v>2019</v>
      </c>
      <c r="H4020">
        <f>INDEX(CalLookUpTable,MATCH($B4020,CalLookUpRow,0),MATCH(H$1,CalLookUpColumn,0))</f>
        <v>2</v>
      </c>
      <c r="I4020">
        <f>INDEX(CalLookUpTable,MATCH($B4020,CalLookUpRow,0),MATCH(I$1,CalLookUpColumn,0))</f>
        <v>2</v>
      </c>
    </row>
    <row r="4021" spans="1:9" x14ac:dyDescent="0.25">
      <c r="A4021" s="7">
        <v>3</v>
      </c>
      <c r="B4021" s="8">
        <v>43506</v>
      </c>
      <c r="C4021" s="9" t="s">
        <v>5</v>
      </c>
      <c r="D4021" s="10">
        <v>2391.5990000000002</v>
      </c>
      <c r="E4021" s="10">
        <v>0</v>
      </c>
      <c r="F4021" t="str">
        <f>VLOOKUP(A4021,StoreLookup,2,FALSE)</f>
        <v>Store#3</v>
      </c>
      <c r="G4021">
        <f>INDEX(CalLookUpTable,MATCH($B4021,CalLookUpRow,0),MATCH(G$1,CalLookUpColumn,0))</f>
        <v>2019</v>
      </c>
      <c r="H4021">
        <f>INDEX(CalLookUpTable,MATCH($B4021,CalLookUpRow,0),MATCH(H$1,CalLookUpColumn,0))</f>
        <v>2</v>
      </c>
      <c r="I4021">
        <f>INDEX(CalLookUpTable,MATCH($B4021,CalLookUpRow,0),MATCH(I$1,CalLookUpColumn,0))</f>
        <v>2</v>
      </c>
    </row>
    <row r="4022" spans="1:9" x14ac:dyDescent="0.25">
      <c r="A4022" s="7">
        <v>3</v>
      </c>
      <c r="B4022" s="8">
        <v>43507</v>
      </c>
      <c r="C4022" s="9" t="s">
        <v>4</v>
      </c>
      <c r="D4022" s="10">
        <v>2791.2080000000001</v>
      </c>
      <c r="E4022" s="10">
        <v>0</v>
      </c>
      <c r="F4022" t="str">
        <f>VLOOKUP(A4022,StoreLookup,2,FALSE)</f>
        <v>Store#3</v>
      </c>
      <c r="G4022">
        <f>INDEX(CalLookUpTable,MATCH($B4022,CalLookUpRow,0),MATCH(G$1,CalLookUpColumn,0))</f>
        <v>2019</v>
      </c>
      <c r="H4022">
        <f>INDEX(CalLookUpTable,MATCH($B4022,CalLookUpRow,0),MATCH(H$1,CalLookUpColumn,0))</f>
        <v>2</v>
      </c>
      <c r="I4022">
        <f>INDEX(CalLookUpTable,MATCH($B4022,CalLookUpRow,0),MATCH(I$1,CalLookUpColumn,0))</f>
        <v>3</v>
      </c>
    </row>
    <row r="4023" spans="1:9" x14ac:dyDescent="0.25">
      <c r="A4023" s="7">
        <v>3</v>
      </c>
      <c r="B4023" s="8">
        <v>43507</v>
      </c>
      <c r="C4023" s="9" t="s">
        <v>5</v>
      </c>
      <c r="D4023" s="10">
        <v>3242.4629999999997</v>
      </c>
      <c r="E4023" s="10">
        <v>0</v>
      </c>
      <c r="F4023" t="str">
        <f>VLOOKUP(A4023,StoreLookup,2,FALSE)</f>
        <v>Store#3</v>
      </c>
      <c r="G4023">
        <f>INDEX(CalLookUpTable,MATCH($B4023,CalLookUpRow,0),MATCH(G$1,CalLookUpColumn,0))</f>
        <v>2019</v>
      </c>
      <c r="H4023">
        <f>INDEX(CalLookUpTable,MATCH($B4023,CalLookUpRow,0),MATCH(H$1,CalLookUpColumn,0))</f>
        <v>2</v>
      </c>
      <c r="I4023">
        <f>INDEX(CalLookUpTable,MATCH($B4023,CalLookUpRow,0),MATCH(I$1,CalLookUpColumn,0))</f>
        <v>3</v>
      </c>
    </row>
    <row r="4024" spans="1:9" x14ac:dyDescent="0.25">
      <c r="A4024" s="7">
        <v>3</v>
      </c>
      <c r="B4024" s="8">
        <v>43507</v>
      </c>
      <c r="C4024" s="9" t="s">
        <v>3</v>
      </c>
      <c r="D4024" s="10">
        <v>0</v>
      </c>
      <c r="E4024" s="10">
        <v>0</v>
      </c>
      <c r="F4024" t="str">
        <f>VLOOKUP(A4024,StoreLookup,2,FALSE)</f>
        <v>Store#3</v>
      </c>
      <c r="G4024">
        <f>INDEX(CalLookUpTable,MATCH($B4024,CalLookUpRow,0),MATCH(G$1,CalLookUpColumn,0))</f>
        <v>2019</v>
      </c>
      <c r="H4024">
        <f>INDEX(CalLookUpTable,MATCH($B4024,CalLookUpRow,0),MATCH(H$1,CalLookUpColumn,0))</f>
        <v>2</v>
      </c>
      <c r="I4024">
        <f>INDEX(CalLookUpTable,MATCH($B4024,CalLookUpRow,0),MATCH(I$1,CalLookUpColumn,0))</f>
        <v>3</v>
      </c>
    </row>
    <row r="4025" spans="1:9" x14ac:dyDescent="0.25">
      <c r="A4025" s="7">
        <v>3</v>
      </c>
      <c r="B4025" s="8">
        <v>43507</v>
      </c>
      <c r="C4025" s="9" t="s">
        <v>6</v>
      </c>
      <c r="D4025" s="10">
        <v>640.96899999999994</v>
      </c>
      <c r="E4025" s="10">
        <v>0</v>
      </c>
      <c r="F4025" t="str">
        <f>VLOOKUP(A4025,StoreLookup,2,FALSE)</f>
        <v>Store#3</v>
      </c>
      <c r="G4025">
        <f>INDEX(CalLookUpTable,MATCH($B4025,CalLookUpRow,0),MATCH(G$1,CalLookUpColumn,0))</f>
        <v>2019</v>
      </c>
      <c r="H4025">
        <f>INDEX(CalLookUpTable,MATCH($B4025,CalLookUpRow,0),MATCH(H$1,CalLookUpColumn,0))</f>
        <v>2</v>
      </c>
      <c r="I4025">
        <f>INDEX(CalLookUpTable,MATCH($B4025,CalLookUpRow,0),MATCH(I$1,CalLookUpColumn,0))</f>
        <v>3</v>
      </c>
    </row>
    <row r="4026" spans="1:9" x14ac:dyDescent="0.25">
      <c r="A4026" s="7">
        <v>3</v>
      </c>
      <c r="B4026" s="8">
        <v>43508</v>
      </c>
      <c r="C4026" s="9" t="s">
        <v>4</v>
      </c>
      <c r="D4026" s="10">
        <v>3011.1899999999996</v>
      </c>
      <c r="E4026" s="10">
        <v>0</v>
      </c>
      <c r="F4026" t="str">
        <f>VLOOKUP(A4026,StoreLookup,2,FALSE)</f>
        <v>Store#3</v>
      </c>
      <c r="G4026">
        <f>INDEX(CalLookUpTable,MATCH($B4026,CalLookUpRow,0),MATCH(G$1,CalLookUpColumn,0))</f>
        <v>2019</v>
      </c>
      <c r="H4026">
        <f>INDEX(CalLookUpTable,MATCH($B4026,CalLookUpRow,0),MATCH(H$1,CalLookUpColumn,0))</f>
        <v>2</v>
      </c>
      <c r="I4026">
        <f>INDEX(CalLookUpTable,MATCH($B4026,CalLookUpRow,0),MATCH(I$1,CalLookUpColumn,0))</f>
        <v>3</v>
      </c>
    </row>
    <row r="4027" spans="1:9" x14ac:dyDescent="0.25">
      <c r="A4027" s="7">
        <v>3</v>
      </c>
      <c r="B4027" s="8">
        <v>43508</v>
      </c>
      <c r="C4027" s="9" t="s">
        <v>5</v>
      </c>
      <c r="D4027" s="10">
        <v>2921.7089999999998</v>
      </c>
      <c r="E4027" s="10">
        <v>0</v>
      </c>
      <c r="F4027" t="str">
        <f>VLOOKUP(A4027,StoreLookup,2,FALSE)</f>
        <v>Store#3</v>
      </c>
      <c r="G4027">
        <f>INDEX(CalLookUpTable,MATCH($B4027,CalLookUpRow,0),MATCH(G$1,CalLookUpColumn,0))</f>
        <v>2019</v>
      </c>
      <c r="H4027">
        <f>INDEX(CalLookUpTable,MATCH($B4027,CalLookUpRow,0),MATCH(H$1,CalLookUpColumn,0))</f>
        <v>2</v>
      </c>
      <c r="I4027">
        <f>INDEX(CalLookUpTable,MATCH($B4027,CalLookUpRow,0),MATCH(I$1,CalLookUpColumn,0))</f>
        <v>3</v>
      </c>
    </row>
    <row r="4028" spans="1:9" x14ac:dyDescent="0.25">
      <c r="A4028" s="7">
        <v>3</v>
      </c>
      <c r="B4028" s="8">
        <v>43508</v>
      </c>
      <c r="C4028" s="9" t="s">
        <v>6</v>
      </c>
      <c r="D4028" s="10">
        <v>854.22399999999993</v>
      </c>
      <c r="E4028" s="10">
        <v>0</v>
      </c>
      <c r="F4028" t="str">
        <f>VLOOKUP(A4028,StoreLookup,2,FALSE)</f>
        <v>Store#3</v>
      </c>
      <c r="G4028">
        <f>INDEX(CalLookUpTable,MATCH($B4028,CalLookUpRow,0),MATCH(G$1,CalLookUpColumn,0))</f>
        <v>2019</v>
      </c>
      <c r="H4028">
        <f>INDEX(CalLookUpTable,MATCH($B4028,CalLookUpRow,0),MATCH(H$1,CalLookUpColumn,0))</f>
        <v>2</v>
      </c>
      <c r="I4028">
        <f>INDEX(CalLookUpTable,MATCH($B4028,CalLookUpRow,0),MATCH(I$1,CalLookUpColumn,0))</f>
        <v>3</v>
      </c>
    </row>
    <row r="4029" spans="1:9" x14ac:dyDescent="0.25">
      <c r="A4029" s="7">
        <v>3</v>
      </c>
      <c r="B4029" s="8">
        <v>43508</v>
      </c>
      <c r="C4029" s="9" t="s">
        <v>3</v>
      </c>
      <c r="D4029" s="10">
        <v>236.404</v>
      </c>
      <c r="E4029" s="10">
        <v>0</v>
      </c>
      <c r="F4029" t="str">
        <f>VLOOKUP(A4029,StoreLookup,2,FALSE)</f>
        <v>Store#3</v>
      </c>
      <c r="G4029">
        <f>INDEX(CalLookUpTable,MATCH($B4029,CalLookUpRow,0),MATCH(G$1,CalLookUpColumn,0))</f>
        <v>2019</v>
      </c>
      <c r="H4029">
        <f>INDEX(CalLookUpTable,MATCH($B4029,CalLookUpRow,0),MATCH(H$1,CalLookUpColumn,0))</f>
        <v>2</v>
      </c>
      <c r="I4029">
        <f>INDEX(CalLookUpTable,MATCH($B4029,CalLookUpRow,0),MATCH(I$1,CalLookUpColumn,0))</f>
        <v>3</v>
      </c>
    </row>
    <row r="4030" spans="1:9" x14ac:dyDescent="0.25">
      <c r="A4030" s="7">
        <v>3</v>
      </c>
      <c r="B4030" s="8">
        <v>43509</v>
      </c>
      <c r="C4030" s="9" t="s">
        <v>3</v>
      </c>
      <c r="D4030" s="10">
        <v>188.125</v>
      </c>
      <c r="E4030" s="10">
        <v>0</v>
      </c>
      <c r="F4030" t="str">
        <f>VLOOKUP(A4030,StoreLookup,2,FALSE)</f>
        <v>Store#3</v>
      </c>
      <c r="G4030">
        <f>INDEX(CalLookUpTable,MATCH($B4030,CalLookUpRow,0),MATCH(G$1,CalLookUpColumn,0))</f>
        <v>2019</v>
      </c>
      <c r="H4030">
        <f>INDEX(CalLookUpTable,MATCH($B4030,CalLookUpRow,0),MATCH(H$1,CalLookUpColumn,0))</f>
        <v>2</v>
      </c>
      <c r="I4030">
        <f>INDEX(CalLookUpTable,MATCH($B4030,CalLookUpRow,0),MATCH(I$1,CalLookUpColumn,0))</f>
        <v>3</v>
      </c>
    </row>
    <row r="4031" spans="1:9" x14ac:dyDescent="0.25">
      <c r="A4031" s="7">
        <v>3</v>
      </c>
      <c r="B4031" s="8">
        <v>43509</v>
      </c>
      <c r="C4031" s="9" t="s">
        <v>6</v>
      </c>
      <c r="D4031" s="10">
        <v>905.26799999999992</v>
      </c>
      <c r="E4031" s="10">
        <v>0</v>
      </c>
      <c r="F4031" t="str">
        <f>VLOOKUP(A4031,StoreLookup,2,FALSE)</f>
        <v>Store#3</v>
      </c>
      <c r="G4031">
        <f>INDEX(CalLookUpTable,MATCH($B4031,CalLookUpRow,0),MATCH(G$1,CalLookUpColumn,0))</f>
        <v>2019</v>
      </c>
      <c r="H4031">
        <f>INDEX(CalLookUpTable,MATCH($B4031,CalLookUpRow,0),MATCH(H$1,CalLookUpColumn,0))</f>
        <v>2</v>
      </c>
      <c r="I4031">
        <f>INDEX(CalLookUpTable,MATCH($B4031,CalLookUpRow,0),MATCH(I$1,CalLookUpColumn,0))</f>
        <v>3</v>
      </c>
    </row>
    <row r="4032" spans="1:9" x14ac:dyDescent="0.25">
      <c r="A4032" s="7">
        <v>3</v>
      </c>
      <c r="B4032" s="8">
        <v>43509</v>
      </c>
      <c r="C4032" s="9" t="s">
        <v>5</v>
      </c>
      <c r="D4032" s="10">
        <v>3468.4579999999996</v>
      </c>
      <c r="E4032" s="10">
        <v>0</v>
      </c>
      <c r="F4032" t="str">
        <f>VLOOKUP(A4032,StoreLookup,2,FALSE)</f>
        <v>Store#3</v>
      </c>
      <c r="G4032">
        <f>INDEX(CalLookUpTable,MATCH($B4032,CalLookUpRow,0),MATCH(G$1,CalLookUpColumn,0))</f>
        <v>2019</v>
      </c>
      <c r="H4032">
        <f>INDEX(CalLookUpTable,MATCH($B4032,CalLookUpRow,0),MATCH(H$1,CalLookUpColumn,0))</f>
        <v>2</v>
      </c>
      <c r="I4032">
        <f>INDEX(CalLookUpTable,MATCH($B4032,CalLookUpRow,0),MATCH(I$1,CalLookUpColumn,0))</f>
        <v>3</v>
      </c>
    </row>
    <row r="4033" spans="1:9" x14ac:dyDescent="0.25">
      <c r="A4033" s="7">
        <v>3</v>
      </c>
      <c r="B4033" s="8">
        <v>43509</v>
      </c>
      <c r="C4033" s="9" t="s">
        <v>4</v>
      </c>
      <c r="D4033" s="10">
        <v>2873.444</v>
      </c>
      <c r="E4033" s="10">
        <v>0</v>
      </c>
      <c r="F4033" t="str">
        <f>VLOOKUP(A4033,StoreLookup,2,FALSE)</f>
        <v>Store#3</v>
      </c>
      <c r="G4033">
        <f>INDEX(CalLookUpTable,MATCH($B4033,CalLookUpRow,0),MATCH(G$1,CalLookUpColumn,0))</f>
        <v>2019</v>
      </c>
      <c r="H4033">
        <f>INDEX(CalLookUpTable,MATCH($B4033,CalLookUpRow,0),MATCH(H$1,CalLookUpColumn,0))</f>
        <v>2</v>
      </c>
      <c r="I4033">
        <f>INDEX(CalLookUpTable,MATCH($B4033,CalLookUpRow,0),MATCH(I$1,CalLookUpColumn,0))</f>
        <v>3</v>
      </c>
    </row>
    <row r="4034" spans="1:9" x14ac:dyDescent="0.25">
      <c r="A4034" s="7">
        <v>3</v>
      </c>
      <c r="B4034" s="8">
        <v>43510</v>
      </c>
      <c r="C4034" s="9" t="s">
        <v>6</v>
      </c>
      <c r="D4034" s="10">
        <v>1320.375</v>
      </c>
      <c r="E4034" s="10">
        <v>0</v>
      </c>
      <c r="F4034" t="str">
        <f>VLOOKUP(A4034,StoreLookup,2,FALSE)</f>
        <v>Store#3</v>
      </c>
      <c r="G4034">
        <f>INDEX(CalLookUpTable,MATCH($B4034,CalLookUpRow,0),MATCH(G$1,CalLookUpColumn,0))</f>
        <v>2019</v>
      </c>
      <c r="H4034">
        <f>INDEX(CalLookUpTable,MATCH($B4034,CalLookUpRow,0),MATCH(H$1,CalLookUpColumn,0))</f>
        <v>2</v>
      </c>
      <c r="I4034">
        <f>INDEX(CalLookUpTable,MATCH($B4034,CalLookUpRow,0),MATCH(I$1,CalLookUpColumn,0))</f>
        <v>3</v>
      </c>
    </row>
    <row r="4035" spans="1:9" x14ac:dyDescent="0.25">
      <c r="A4035" s="7">
        <v>3</v>
      </c>
      <c r="B4035" s="8">
        <v>43510</v>
      </c>
      <c r="C4035" s="9" t="s">
        <v>5</v>
      </c>
      <c r="D4035" s="10">
        <v>3435.11</v>
      </c>
      <c r="E4035" s="10">
        <v>0</v>
      </c>
      <c r="F4035" t="str">
        <f>VLOOKUP(A4035,StoreLookup,2,FALSE)</f>
        <v>Store#3</v>
      </c>
      <c r="G4035">
        <f>INDEX(CalLookUpTable,MATCH($B4035,CalLookUpRow,0),MATCH(G$1,CalLookUpColumn,0))</f>
        <v>2019</v>
      </c>
      <c r="H4035">
        <f>INDEX(CalLookUpTable,MATCH($B4035,CalLookUpRow,0),MATCH(H$1,CalLookUpColumn,0))</f>
        <v>2</v>
      </c>
      <c r="I4035">
        <f>INDEX(CalLookUpTable,MATCH($B4035,CalLookUpRow,0),MATCH(I$1,CalLookUpColumn,0))</f>
        <v>3</v>
      </c>
    </row>
    <row r="4036" spans="1:9" x14ac:dyDescent="0.25">
      <c r="A4036" s="7">
        <v>3</v>
      </c>
      <c r="B4036" s="8">
        <v>43510</v>
      </c>
      <c r="C4036" s="9" t="s">
        <v>4</v>
      </c>
      <c r="D4036" s="10">
        <v>3711.2599999999998</v>
      </c>
      <c r="E4036" s="10">
        <v>0</v>
      </c>
      <c r="F4036" t="str">
        <f>VLOOKUP(A4036,StoreLookup,2,FALSE)</f>
        <v>Store#3</v>
      </c>
      <c r="G4036">
        <f>INDEX(CalLookUpTable,MATCH($B4036,CalLookUpRow,0),MATCH(G$1,CalLookUpColumn,0))</f>
        <v>2019</v>
      </c>
      <c r="H4036">
        <f>INDEX(CalLookUpTable,MATCH($B4036,CalLookUpRow,0),MATCH(H$1,CalLookUpColumn,0))</f>
        <v>2</v>
      </c>
      <c r="I4036">
        <f>INDEX(CalLookUpTable,MATCH($B4036,CalLookUpRow,0),MATCH(I$1,CalLookUpColumn,0))</f>
        <v>3</v>
      </c>
    </row>
    <row r="4037" spans="1:9" x14ac:dyDescent="0.25">
      <c r="A4037" s="7">
        <v>3</v>
      </c>
      <c r="B4037" s="8">
        <v>43510</v>
      </c>
      <c r="C4037" s="9" t="s">
        <v>3</v>
      </c>
      <c r="D4037" s="10">
        <v>0</v>
      </c>
      <c r="E4037" s="10">
        <v>0</v>
      </c>
      <c r="F4037" t="str">
        <f>VLOOKUP(A4037,StoreLookup,2,FALSE)</f>
        <v>Store#3</v>
      </c>
      <c r="G4037">
        <f>INDEX(CalLookUpTable,MATCH($B4037,CalLookUpRow,0),MATCH(G$1,CalLookUpColumn,0))</f>
        <v>2019</v>
      </c>
      <c r="H4037">
        <f>INDEX(CalLookUpTable,MATCH($B4037,CalLookUpRow,0),MATCH(H$1,CalLookUpColumn,0))</f>
        <v>2</v>
      </c>
      <c r="I4037">
        <f>INDEX(CalLookUpTable,MATCH($B4037,CalLookUpRow,0),MATCH(I$1,CalLookUpColumn,0))</f>
        <v>3</v>
      </c>
    </row>
    <row r="4038" spans="1:9" x14ac:dyDescent="0.25">
      <c r="A4038" s="7">
        <v>3</v>
      </c>
      <c r="B4038" s="8">
        <v>43511</v>
      </c>
      <c r="C4038" s="9" t="s">
        <v>4</v>
      </c>
      <c r="D4038" s="10">
        <v>3753.6099999999997</v>
      </c>
      <c r="E4038" s="10">
        <v>0</v>
      </c>
      <c r="F4038" t="str">
        <f>VLOOKUP(A4038,StoreLookup,2,FALSE)</f>
        <v>Store#3</v>
      </c>
      <c r="G4038">
        <f>INDEX(CalLookUpTable,MATCH($B4038,CalLookUpRow,0),MATCH(G$1,CalLookUpColumn,0))</f>
        <v>2019</v>
      </c>
      <c r="H4038">
        <f>INDEX(CalLookUpTable,MATCH($B4038,CalLookUpRow,0),MATCH(H$1,CalLookUpColumn,0))</f>
        <v>2</v>
      </c>
      <c r="I4038">
        <f>INDEX(CalLookUpTable,MATCH($B4038,CalLookUpRow,0),MATCH(I$1,CalLookUpColumn,0))</f>
        <v>3</v>
      </c>
    </row>
    <row r="4039" spans="1:9" x14ac:dyDescent="0.25">
      <c r="A4039" s="7">
        <v>3</v>
      </c>
      <c r="B4039" s="8">
        <v>43511</v>
      </c>
      <c r="C4039" s="9" t="s">
        <v>6</v>
      </c>
      <c r="D4039" s="10">
        <v>734.41899999999998</v>
      </c>
      <c r="E4039" s="10">
        <v>0</v>
      </c>
      <c r="F4039" t="str">
        <f>VLOOKUP(A4039,StoreLookup,2,FALSE)</f>
        <v>Store#3</v>
      </c>
      <c r="G4039">
        <f>INDEX(CalLookUpTable,MATCH($B4039,CalLookUpRow,0),MATCH(G$1,CalLookUpColumn,0))</f>
        <v>2019</v>
      </c>
      <c r="H4039">
        <f>INDEX(CalLookUpTable,MATCH($B4039,CalLookUpRow,0),MATCH(H$1,CalLookUpColumn,0))</f>
        <v>2</v>
      </c>
      <c r="I4039">
        <f>INDEX(CalLookUpTable,MATCH($B4039,CalLookUpRow,0),MATCH(I$1,CalLookUpColumn,0))</f>
        <v>3</v>
      </c>
    </row>
    <row r="4040" spans="1:9" x14ac:dyDescent="0.25">
      <c r="A4040" s="7">
        <v>3</v>
      </c>
      <c r="B4040" s="8">
        <v>43511</v>
      </c>
      <c r="C4040" s="9" t="s">
        <v>3</v>
      </c>
      <c r="D4040" s="10">
        <v>0</v>
      </c>
      <c r="E4040" s="10">
        <v>0</v>
      </c>
      <c r="F4040" t="str">
        <f>VLOOKUP(A4040,StoreLookup,2,FALSE)</f>
        <v>Store#3</v>
      </c>
      <c r="G4040">
        <f>INDEX(CalLookUpTable,MATCH($B4040,CalLookUpRow,0),MATCH(G$1,CalLookUpColumn,0))</f>
        <v>2019</v>
      </c>
      <c r="H4040">
        <f>INDEX(CalLookUpTable,MATCH($B4040,CalLookUpRow,0),MATCH(H$1,CalLookUpColumn,0))</f>
        <v>2</v>
      </c>
      <c r="I4040">
        <f>INDEX(CalLookUpTable,MATCH($B4040,CalLookUpRow,0),MATCH(I$1,CalLookUpColumn,0))</f>
        <v>3</v>
      </c>
    </row>
    <row r="4041" spans="1:9" x14ac:dyDescent="0.25">
      <c r="A4041" s="7">
        <v>3</v>
      </c>
      <c r="B4041" s="8">
        <v>43511</v>
      </c>
      <c r="C4041" s="9" t="s">
        <v>5</v>
      </c>
      <c r="D4041" s="10">
        <v>3302.0749999999998</v>
      </c>
      <c r="E4041" s="10">
        <v>0</v>
      </c>
      <c r="F4041" t="str">
        <f>VLOOKUP(A4041,StoreLookup,2,FALSE)</f>
        <v>Store#3</v>
      </c>
      <c r="G4041">
        <f>INDEX(CalLookUpTable,MATCH($B4041,CalLookUpRow,0),MATCH(G$1,CalLookUpColumn,0))</f>
        <v>2019</v>
      </c>
      <c r="H4041">
        <f>INDEX(CalLookUpTable,MATCH($B4041,CalLookUpRow,0),MATCH(H$1,CalLookUpColumn,0))</f>
        <v>2</v>
      </c>
      <c r="I4041">
        <f>INDEX(CalLookUpTable,MATCH($B4041,CalLookUpRow,0),MATCH(I$1,CalLookUpColumn,0))</f>
        <v>3</v>
      </c>
    </row>
    <row r="4042" spans="1:9" x14ac:dyDescent="0.25">
      <c r="A4042" s="7">
        <v>3</v>
      </c>
      <c r="B4042" s="8">
        <v>43512</v>
      </c>
      <c r="C4042" s="9" t="s">
        <v>4</v>
      </c>
      <c r="D4042" s="10">
        <v>3395.8049999999994</v>
      </c>
      <c r="E4042" s="10">
        <v>0</v>
      </c>
      <c r="F4042" t="str">
        <f>VLOOKUP(A4042,StoreLookup,2,FALSE)</f>
        <v>Store#3</v>
      </c>
      <c r="G4042">
        <f>INDEX(CalLookUpTable,MATCH($B4042,CalLookUpRow,0),MATCH(G$1,CalLookUpColumn,0))</f>
        <v>2019</v>
      </c>
      <c r="H4042">
        <f>INDEX(CalLookUpTable,MATCH($B4042,CalLookUpRow,0),MATCH(H$1,CalLookUpColumn,0))</f>
        <v>2</v>
      </c>
      <c r="I4042">
        <f>INDEX(CalLookUpTable,MATCH($B4042,CalLookUpRow,0),MATCH(I$1,CalLookUpColumn,0))</f>
        <v>3</v>
      </c>
    </row>
    <row r="4043" spans="1:9" x14ac:dyDescent="0.25">
      <c r="A4043" s="7">
        <v>3</v>
      </c>
      <c r="B4043" s="8">
        <v>43512</v>
      </c>
      <c r="C4043" s="9" t="s">
        <v>3</v>
      </c>
      <c r="D4043" s="10">
        <v>409.822</v>
      </c>
      <c r="E4043" s="10">
        <v>0</v>
      </c>
      <c r="F4043" t="str">
        <f>VLOOKUP(A4043,StoreLookup,2,FALSE)</f>
        <v>Store#3</v>
      </c>
      <c r="G4043">
        <f>INDEX(CalLookUpTable,MATCH($B4043,CalLookUpRow,0),MATCH(G$1,CalLookUpColumn,0))</f>
        <v>2019</v>
      </c>
      <c r="H4043">
        <f>INDEX(CalLookUpTable,MATCH($B4043,CalLookUpRow,0),MATCH(H$1,CalLookUpColumn,0))</f>
        <v>2</v>
      </c>
      <c r="I4043">
        <f>INDEX(CalLookUpTable,MATCH($B4043,CalLookUpRow,0),MATCH(I$1,CalLookUpColumn,0))</f>
        <v>3</v>
      </c>
    </row>
    <row r="4044" spans="1:9" x14ac:dyDescent="0.25">
      <c r="A4044" s="7">
        <v>3</v>
      </c>
      <c r="B4044" s="8">
        <v>43512</v>
      </c>
      <c r="C4044" s="9" t="s">
        <v>6</v>
      </c>
      <c r="D4044" s="10">
        <v>766.64</v>
      </c>
      <c r="E4044" s="10">
        <v>0</v>
      </c>
      <c r="F4044" t="str">
        <f>VLOOKUP(A4044,StoreLookup,2,FALSE)</f>
        <v>Store#3</v>
      </c>
      <c r="G4044">
        <f>INDEX(CalLookUpTable,MATCH($B4044,CalLookUpRow,0),MATCH(G$1,CalLookUpColumn,0))</f>
        <v>2019</v>
      </c>
      <c r="H4044">
        <f>INDEX(CalLookUpTable,MATCH($B4044,CalLookUpRow,0),MATCH(H$1,CalLookUpColumn,0))</f>
        <v>2</v>
      </c>
      <c r="I4044">
        <f>INDEX(CalLookUpTable,MATCH($B4044,CalLookUpRow,0),MATCH(I$1,CalLookUpColumn,0))</f>
        <v>3</v>
      </c>
    </row>
    <row r="4045" spans="1:9" x14ac:dyDescent="0.25">
      <c r="A4045" s="7">
        <v>3</v>
      </c>
      <c r="B4045" s="8">
        <v>43512</v>
      </c>
      <c r="C4045" s="9" t="s">
        <v>5</v>
      </c>
      <c r="D4045" s="10">
        <v>3440.5</v>
      </c>
      <c r="E4045" s="10">
        <v>0</v>
      </c>
      <c r="F4045" t="str">
        <f>VLOOKUP(A4045,StoreLookup,2,FALSE)</f>
        <v>Store#3</v>
      </c>
      <c r="G4045">
        <f>INDEX(CalLookUpTable,MATCH($B4045,CalLookUpRow,0),MATCH(G$1,CalLookUpColumn,0))</f>
        <v>2019</v>
      </c>
      <c r="H4045">
        <f>INDEX(CalLookUpTable,MATCH($B4045,CalLookUpRow,0),MATCH(H$1,CalLookUpColumn,0))</f>
        <v>2</v>
      </c>
      <c r="I4045">
        <f>INDEX(CalLookUpTable,MATCH($B4045,CalLookUpRow,0),MATCH(I$1,CalLookUpColumn,0))</f>
        <v>3</v>
      </c>
    </row>
    <row r="4046" spans="1:9" x14ac:dyDescent="0.25">
      <c r="A4046" s="7">
        <v>3</v>
      </c>
      <c r="B4046" s="8">
        <v>43513</v>
      </c>
      <c r="C4046" s="9" t="s">
        <v>4</v>
      </c>
      <c r="D4046" s="10">
        <v>2368.3029999999999</v>
      </c>
      <c r="E4046" s="10">
        <v>0</v>
      </c>
      <c r="F4046" t="str">
        <f>VLOOKUP(A4046,StoreLookup,2,FALSE)</f>
        <v>Store#3</v>
      </c>
      <c r="G4046">
        <f>INDEX(CalLookUpTable,MATCH($B4046,CalLookUpRow,0),MATCH(G$1,CalLookUpColumn,0))</f>
        <v>2019</v>
      </c>
      <c r="H4046">
        <f>INDEX(CalLookUpTable,MATCH($B4046,CalLookUpRow,0),MATCH(H$1,CalLookUpColumn,0))</f>
        <v>2</v>
      </c>
      <c r="I4046">
        <f>INDEX(CalLookUpTable,MATCH($B4046,CalLookUpRow,0),MATCH(I$1,CalLookUpColumn,0))</f>
        <v>3</v>
      </c>
    </row>
    <row r="4047" spans="1:9" x14ac:dyDescent="0.25">
      <c r="A4047" s="7">
        <v>3</v>
      </c>
      <c r="B4047" s="8">
        <v>43513</v>
      </c>
      <c r="C4047" s="9" t="s">
        <v>6</v>
      </c>
      <c r="D4047" s="10">
        <v>455.30099999999993</v>
      </c>
      <c r="E4047" s="10">
        <v>0</v>
      </c>
      <c r="F4047" t="str">
        <f>VLOOKUP(A4047,StoreLookup,2,FALSE)</f>
        <v>Store#3</v>
      </c>
      <c r="G4047">
        <f>INDEX(CalLookUpTable,MATCH($B4047,CalLookUpRow,0),MATCH(G$1,CalLookUpColumn,0))</f>
        <v>2019</v>
      </c>
      <c r="H4047">
        <f>INDEX(CalLookUpTable,MATCH($B4047,CalLookUpRow,0),MATCH(H$1,CalLookUpColumn,0))</f>
        <v>2</v>
      </c>
      <c r="I4047">
        <f>INDEX(CalLookUpTable,MATCH($B4047,CalLookUpRow,0),MATCH(I$1,CalLookUpColumn,0))</f>
        <v>3</v>
      </c>
    </row>
    <row r="4048" spans="1:9" x14ac:dyDescent="0.25">
      <c r="A4048" s="7">
        <v>3</v>
      </c>
      <c r="B4048" s="8">
        <v>43513</v>
      </c>
      <c r="C4048" s="9" t="s">
        <v>3</v>
      </c>
      <c r="D4048" s="10">
        <v>0</v>
      </c>
      <c r="E4048" s="10">
        <v>0</v>
      </c>
      <c r="F4048" t="str">
        <f>VLOOKUP(A4048,StoreLookup,2,FALSE)</f>
        <v>Store#3</v>
      </c>
      <c r="G4048">
        <f>INDEX(CalLookUpTable,MATCH($B4048,CalLookUpRow,0),MATCH(G$1,CalLookUpColumn,0))</f>
        <v>2019</v>
      </c>
      <c r="H4048">
        <f>INDEX(CalLookUpTable,MATCH($B4048,CalLookUpRow,0),MATCH(H$1,CalLookUpColumn,0))</f>
        <v>2</v>
      </c>
      <c r="I4048">
        <f>INDEX(CalLookUpTable,MATCH($B4048,CalLookUpRow,0),MATCH(I$1,CalLookUpColumn,0))</f>
        <v>3</v>
      </c>
    </row>
    <row r="4049" spans="1:9" x14ac:dyDescent="0.25">
      <c r="A4049" s="7">
        <v>3</v>
      </c>
      <c r="B4049" s="8">
        <v>43513</v>
      </c>
      <c r="C4049" s="9" t="s">
        <v>5</v>
      </c>
      <c r="D4049" s="10">
        <v>2434.3339999999998</v>
      </c>
      <c r="E4049" s="10">
        <v>0</v>
      </c>
      <c r="F4049" t="str">
        <f>VLOOKUP(A4049,StoreLookup,2,FALSE)</f>
        <v>Store#3</v>
      </c>
      <c r="G4049">
        <f>INDEX(CalLookUpTable,MATCH($B4049,CalLookUpRow,0),MATCH(G$1,CalLookUpColumn,0))</f>
        <v>2019</v>
      </c>
      <c r="H4049">
        <f>INDEX(CalLookUpTable,MATCH($B4049,CalLookUpRow,0),MATCH(H$1,CalLookUpColumn,0))</f>
        <v>2</v>
      </c>
      <c r="I4049">
        <f>INDEX(CalLookUpTable,MATCH($B4049,CalLookUpRow,0),MATCH(I$1,CalLookUpColumn,0))</f>
        <v>3</v>
      </c>
    </row>
    <row r="4050" spans="1:9" x14ac:dyDescent="0.25">
      <c r="A4050" s="7">
        <v>3</v>
      </c>
      <c r="B4050" s="8">
        <v>43514</v>
      </c>
      <c r="C4050" s="9" t="s">
        <v>4</v>
      </c>
      <c r="D4050" s="10">
        <v>3559.5279999999998</v>
      </c>
      <c r="E4050" s="10">
        <v>0</v>
      </c>
      <c r="F4050" t="str">
        <f>VLOOKUP(A4050,StoreLookup,2,FALSE)</f>
        <v>Store#3</v>
      </c>
      <c r="G4050">
        <f>INDEX(CalLookUpTable,MATCH($B4050,CalLookUpRow,0),MATCH(G$1,CalLookUpColumn,0))</f>
        <v>2019</v>
      </c>
      <c r="H4050">
        <f>INDEX(CalLookUpTable,MATCH($B4050,CalLookUpRow,0),MATCH(H$1,CalLookUpColumn,0))</f>
        <v>2</v>
      </c>
      <c r="I4050">
        <f>INDEX(CalLookUpTable,MATCH($B4050,CalLookUpRow,0),MATCH(I$1,CalLookUpColumn,0))</f>
        <v>4</v>
      </c>
    </row>
    <row r="4051" spans="1:9" x14ac:dyDescent="0.25">
      <c r="A4051" s="7">
        <v>3</v>
      </c>
      <c r="B4051" s="8">
        <v>43514</v>
      </c>
      <c r="C4051" s="9" t="s">
        <v>5</v>
      </c>
      <c r="D4051" s="10">
        <v>3449.8239999999996</v>
      </c>
      <c r="E4051" s="10">
        <v>0</v>
      </c>
      <c r="F4051" t="str">
        <f>VLOOKUP(A4051,StoreLookup,2,FALSE)</f>
        <v>Store#3</v>
      </c>
      <c r="G4051">
        <f>INDEX(CalLookUpTable,MATCH($B4051,CalLookUpRow,0),MATCH(G$1,CalLookUpColumn,0))</f>
        <v>2019</v>
      </c>
      <c r="H4051">
        <f>INDEX(CalLookUpTable,MATCH($B4051,CalLookUpRow,0),MATCH(H$1,CalLookUpColumn,0))</f>
        <v>2</v>
      </c>
      <c r="I4051">
        <f>INDEX(CalLookUpTable,MATCH($B4051,CalLookUpRow,0),MATCH(I$1,CalLookUpColumn,0))</f>
        <v>4</v>
      </c>
    </row>
    <row r="4052" spans="1:9" x14ac:dyDescent="0.25">
      <c r="A4052" s="7">
        <v>3</v>
      </c>
      <c r="B4052" s="8">
        <v>43514</v>
      </c>
      <c r="C4052" s="9" t="s">
        <v>6</v>
      </c>
      <c r="D4052" s="10">
        <v>928.75299999999993</v>
      </c>
      <c r="E4052" s="10">
        <v>0</v>
      </c>
      <c r="F4052" t="str">
        <f>VLOOKUP(A4052,StoreLookup,2,FALSE)</f>
        <v>Store#3</v>
      </c>
      <c r="G4052">
        <f>INDEX(CalLookUpTable,MATCH($B4052,CalLookUpRow,0),MATCH(G$1,CalLookUpColumn,0))</f>
        <v>2019</v>
      </c>
      <c r="H4052">
        <f>INDEX(CalLookUpTable,MATCH($B4052,CalLookUpRow,0),MATCH(H$1,CalLookUpColumn,0))</f>
        <v>2</v>
      </c>
      <c r="I4052">
        <f>INDEX(CalLookUpTable,MATCH($B4052,CalLookUpRow,0),MATCH(I$1,CalLookUpColumn,0))</f>
        <v>4</v>
      </c>
    </row>
    <row r="4053" spans="1:9" x14ac:dyDescent="0.25">
      <c r="A4053" s="7">
        <v>3</v>
      </c>
      <c r="B4053" s="8">
        <v>43514</v>
      </c>
      <c r="C4053" s="9" t="s">
        <v>3</v>
      </c>
      <c r="D4053" s="10">
        <v>15.519</v>
      </c>
      <c r="E4053" s="10">
        <v>0</v>
      </c>
      <c r="F4053" t="str">
        <f>VLOOKUP(A4053,StoreLookup,2,FALSE)</f>
        <v>Store#3</v>
      </c>
      <c r="G4053">
        <f>INDEX(CalLookUpTable,MATCH($B4053,CalLookUpRow,0),MATCH(G$1,CalLookUpColumn,0))</f>
        <v>2019</v>
      </c>
      <c r="H4053">
        <f>INDEX(CalLookUpTable,MATCH($B4053,CalLookUpRow,0),MATCH(H$1,CalLookUpColumn,0))</f>
        <v>2</v>
      </c>
      <c r="I4053">
        <f>INDEX(CalLookUpTable,MATCH($B4053,CalLookUpRow,0),MATCH(I$1,CalLookUpColumn,0))</f>
        <v>4</v>
      </c>
    </row>
    <row r="4054" spans="1:9" x14ac:dyDescent="0.25">
      <c r="A4054" s="7">
        <v>3</v>
      </c>
      <c r="B4054" s="8">
        <v>43515</v>
      </c>
      <c r="C4054" s="9" t="s">
        <v>4</v>
      </c>
      <c r="D4054" s="10">
        <v>3104.2059999999997</v>
      </c>
      <c r="E4054" s="10">
        <v>0</v>
      </c>
      <c r="F4054" t="str">
        <f>VLOOKUP(A4054,StoreLookup,2,FALSE)</f>
        <v>Store#3</v>
      </c>
      <c r="G4054">
        <f>INDEX(CalLookUpTable,MATCH($B4054,CalLookUpRow,0),MATCH(G$1,CalLookUpColumn,0))</f>
        <v>2019</v>
      </c>
      <c r="H4054">
        <f>INDEX(CalLookUpTable,MATCH($B4054,CalLookUpRow,0),MATCH(H$1,CalLookUpColumn,0))</f>
        <v>2</v>
      </c>
      <c r="I4054">
        <f>INDEX(CalLookUpTable,MATCH($B4054,CalLookUpRow,0),MATCH(I$1,CalLookUpColumn,0))</f>
        <v>4</v>
      </c>
    </row>
    <row r="4055" spans="1:9" x14ac:dyDescent="0.25">
      <c r="A4055" s="7">
        <v>3</v>
      </c>
      <c r="B4055" s="8">
        <v>43515</v>
      </c>
      <c r="C4055" s="9" t="s">
        <v>3</v>
      </c>
      <c r="D4055" s="10">
        <v>0</v>
      </c>
      <c r="E4055" s="10">
        <v>0</v>
      </c>
      <c r="F4055" t="str">
        <f>VLOOKUP(A4055,StoreLookup,2,FALSE)</f>
        <v>Store#3</v>
      </c>
      <c r="G4055">
        <f>INDEX(CalLookUpTable,MATCH($B4055,CalLookUpRow,0),MATCH(G$1,CalLookUpColumn,0))</f>
        <v>2019</v>
      </c>
      <c r="H4055">
        <f>INDEX(CalLookUpTable,MATCH($B4055,CalLookUpRow,0),MATCH(H$1,CalLookUpColumn,0))</f>
        <v>2</v>
      </c>
      <c r="I4055">
        <f>INDEX(CalLookUpTable,MATCH($B4055,CalLookUpRow,0),MATCH(I$1,CalLookUpColumn,0))</f>
        <v>4</v>
      </c>
    </row>
    <row r="4056" spans="1:9" x14ac:dyDescent="0.25">
      <c r="A4056" s="7">
        <v>3</v>
      </c>
      <c r="B4056" s="8">
        <v>43515</v>
      </c>
      <c r="C4056" s="9" t="s">
        <v>6</v>
      </c>
      <c r="D4056" s="10">
        <v>525.74900000000002</v>
      </c>
      <c r="E4056" s="10">
        <v>0</v>
      </c>
      <c r="F4056" t="str">
        <f>VLOOKUP(A4056,StoreLookup,2,FALSE)</f>
        <v>Store#3</v>
      </c>
      <c r="G4056">
        <f>INDEX(CalLookUpTable,MATCH($B4056,CalLookUpRow,0),MATCH(G$1,CalLookUpColumn,0))</f>
        <v>2019</v>
      </c>
      <c r="H4056">
        <f>INDEX(CalLookUpTable,MATCH($B4056,CalLookUpRow,0),MATCH(H$1,CalLookUpColumn,0))</f>
        <v>2</v>
      </c>
      <c r="I4056">
        <f>INDEX(CalLookUpTable,MATCH($B4056,CalLookUpRow,0),MATCH(I$1,CalLookUpColumn,0))</f>
        <v>4</v>
      </c>
    </row>
    <row r="4057" spans="1:9" x14ac:dyDescent="0.25">
      <c r="A4057" s="7">
        <v>3</v>
      </c>
      <c r="B4057" s="8">
        <v>43515</v>
      </c>
      <c r="C4057" s="9" t="s">
        <v>5</v>
      </c>
      <c r="D4057" s="10">
        <v>3592.5609999999992</v>
      </c>
      <c r="E4057" s="10">
        <v>0</v>
      </c>
      <c r="F4057" t="str">
        <f>VLOOKUP(A4057,StoreLookup,2,FALSE)</f>
        <v>Store#3</v>
      </c>
      <c r="G4057">
        <f>INDEX(CalLookUpTable,MATCH($B4057,CalLookUpRow,0),MATCH(G$1,CalLookUpColumn,0))</f>
        <v>2019</v>
      </c>
      <c r="H4057">
        <f>INDEX(CalLookUpTable,MATCH($B4057,CalLookUpRow,0),MATCH(H$1,CalLookUpColumn,0))</f>
        <v>2</v>
      </c>
      <c r="I4057">
        <f>INDEX(CalLookUpTable,MATCH($B4057,CalLookUpRow,0),MATCH(I$1,CalLookUpColumn,0))</f>
        <v>4</v>
      </c>
    </row>
    <row r="4058" spans="1:9" x14ac:dyDescent="0.25">
      <c r="A4058" s="7">
        <v>3</v>
      </c>
      <c r="B4058" s="8">
        <v>43516</v>
      </c>
      <c r="C4058" s="9" t="s">
        <v>5</v>
      </c>
      <c r="D4058" s="10">
        <v>2861.5229999999997</v>
      </c>
      <c r="E4058" s="10">
        <v>0</v>
      </c>
      <c r="F4058" t="str">
        <f>VLOOKUP(A4058,StoreLookup,2,FALSE)</f>
        <v>Store#3</v>
      </c>
      <c r="G4058">
        <f>INDEX(CalLookUpTable,MATCH($B4058,CalLookUpRow,0),MATCH(G$1,CalLookUpColumn,0))</f>
        <v>2019</v>
      </c>
      <c r="H4058">
        <f>INDEX(CalLookUpTable,MATCH($B4058,CalLookUpRow,0),MATCH(H$1,CalLookUpColumn,0))</f>
        <v>2</v>
      </c>
      <c r="I4058">
        <f>INDEX(CalLookUpTable,MATCH($B4058,CalLookUpRow,0),MATCH(I$1,CalLookUpColumn,0))</f>
        <v>4</v>
      </c>
    </row>
    <row r="4059" spans="1:9" x14ac:dyDescent="0.25">
      <c r="A4059" s="7">
        <v>3</v>
      </c>
      <c r="B4059" s="8">
        <v>43516</v>
      </c>
      <c r="C4059" s="9" t="s">
        <v>6</v>
      </c>
      <c r="D4059" s="10">
        <v>703.15</v>
      </c>
      <c r="E4059" s="10">
        <v>0</v>
      </c>
      <c r="F4059" t="str">
        <f>VLOOKUP(A4059,StoreLookup,2,FALSE)</f>
        <v>Store#3</v>
      </c>
      <c r="G4059">
        <f>INDEX(CalLookUpTable,MATCH($B4059,CalLookUpRow,0),MATCH(G$1,CalLookUpColumn,0))</f>
        <v>2019</v>
      </c>
      <c r="H4059">
        <f>INDEX(CalLookUpTable,MATCH($B4059,CalLookUpRow,0),MATCH(H$1,CalLookUpColumn,0))</f>
        <v>2</v>
      </c>
      <c r="I4059">
        <f>INDEX(CalLookUpTable,MATCH($B4059,CalLookUpRow,0),MATCH(I$1,CalLookUpColumn,0))</f>
        <v>4</v>
      </c>
    </row>
    <row r="4060" spans="1:9" x14ac:dyDescent="0.25">
      <c r="A4060" s="7">
        <v>3</v>
      </c>
      <c r="B4060" s="8">
        <v>43516</v>
      </c>
      <c r="C4060" s="9" t="s">
        <v>4</v>
      </c>
      <c r="D4060" s="10">
        <v>2843.1129999999998</v>
      </c>
      <c r="E4060" s="10">
        <v>0</v>
      </c>
      <c r="F4060" t="str">
        <f>VLOOKUP(A4060,StoreLookup,2,FALSE)</f>
        <v>Store#3</v>
      </c>
      <c r="G4060">
        <f>INDEX(CalLookUpTable,MATCH($B4060,CalLookUpRow,0),MATCH(G$1,CalLookUpColumn,0))</f>
        <v>2019</v>
      </c>
      <c r="H4060">
        <f>INDEX(CalLookUpTable,MATCH($B4060,CalLookUpRow,0),MATCH(H$1,CalLookUpColumn,0))</f>
        <v>2</v>
      </c>
      <c r="I4060">
        <f>INDEX(CalLookUpTable,MATCH($B4060,CalLookUpRow,0),MATCH(I$1,CalLookUpColumn,0))</f>
        <v>4</v>
      </c>
    </row>
    <row r="4061" spans="1:9" x14ac:dyDescent="0.25">
      <c r="A4061" s="7">
        <v>3</v>
      </c>
      <c r="B4061" s="8">
        <v>43516</v>
      </c>
      <c r="C4061" s="9" t="s">
        <v>3</v>
      </c>
      <c r="D4061" s="10">
        <v>481.48099999999999</v>
      </c>
      <c r="E4061" s="10">
        <v>0</v>
      </c>
      <c r="F4061" t="str">
        <f>VLOOKUP(A4061,StoreLookup,2,FALSE)</f>
        <v>Store#3</v>
      </c>
      <c r="G4061">
        <f>INDEX(CalLookUpTable,MATCH($B4061,CalLookUpRow,0),MATCH(G$1,CalLookUpColumn,0))</f>
        <v>2019</v>
      </c>
      <c r="H4061">
        <f>INDEX(CalLookUpTable,MATCH($B4061,CalLookUpRow,0),MATCH(H$1,CalLookUpColumn,0))</f>
        <v>2</v>
      </c>
      <c r="I4061">
        <f>INDEX(CalLookUpTable,MATCH($B4061,CalLookUpRow,0),MATCH(I$1,CalLookUpColumn,0))</f>
        <v>4</v>
      </c>
    </row>
    <row r="4062" spans="1:9" x14ac:dyDescent="0.25">
      <c r="A4062" s="7">
        <v>3</v>
      </c>
      <c r="B4062" s="8">
        <v>43517</v>
      </c>
      <c r="C4062" s="9" t="s">
        <v>4</v>
      </c>
      <c r="D4062" s="10">
        <v>3098.0529999999999</v>
      </c>
      <c r="E4062" s="10">
        <v>0</v>
      </c>
      <c r="F4062" t="str">
        <f>VLOOKUP(A4062,StoreLookup,2,FALSE)</f>
        <v>Store#3</v>
      </c>
      <c r="G4062">
        <f>INDEX(CalLookUpTable,MATCH($B4062,CalLookUpRow,0),MATCH(G$1,CalLookUpColumn,0))</f>
        <v>2019</v>
      </c>
      <c r="H4062">
        <f>INDEX(CalLookUpTable,MATCH($B4062,CalLookUpRow,0),MATCH(H$1,CalLookUpColumn,0))</f>
        <v>2</v>
      </c>
      <c r="I4062">
        <f>INDEX(CalLookUpTable,MATCH($B4062,CalLookUpRow,0),MATCH(I$1,CalLookUpColumn,0))</f>
        <v>4</v>
      </c>
    </row>
    <row r="4063" spans="1:9" x14ac:dyDescent="0.25">
      <c r="A4063" s="7">
        <v>3</v>
      </c>
      <c r="B4063" s="8">
        <v>43517</v>
      </c>
      <c r="C4063" s="9" t="s">
        <v>5</v>
      </c>
      <c r="D4063" s="10">
        <v>3325.1260000000002</v>
      </c>
      <c r="E4063" s="10">
        <v>0</v>
      </c>
      <c r="F4063" t="str">
        <f>VLOOKUP(A4063,StoreLookup,2,FALSE)</f>
        <v>Store#3</v>
      </c>
      <c r="G4063">
        <f>INDEX(CalLookUpTable,MATCH($B4063,CalLookUpRow,0),MATCH(G$1,CalLookUpColumn,0))</f>
        <v>2019</v>
      </c>
      <c r="H4063">
        <f>INDEX(CalLookUpTable,MATCH($B4063,CalLookUpRow,0),MATCH(H$1,CalLookUpColumn,0))</f>
        <v>2</v>
      </c>
      <c r="I4063">
        <f>INDEX(CalLookUpTable,MATCH($B4063,CalLookUpRow,0),MATCH(I$1,CalLookUpColumn,0))</f>
        <v>4</v>
      </c>
    </row>
    <row r="4064" spans="1:9" x14ac:dyDescent="0.25">
      <c r="A4064" s="7">
        <v>3</v>
      </c>
      <c r="B4064" s="8">
        <v>43517</v>
      </c>
      <c r="C4064" s="9" t="s">
        <v>3</v>
      </c>
      <c r="D4064" s="10">
        <v>0</v>
      </c>
      <c r="E4064" s="10">
        <v>0</v>
      </c>
      <c r="F4064" t="str">
        <f>VLOOKUP(A4064,StoreLookup,2,FALSE)</f>
        <v>Store#3</v>
      </c>
      <c r="G4064">
        <f>INDEX(CalLookUpTable,MATCH($B4064,CalLookUpRow,0),MATCH(G$1,CalLookUpColumn,0))</f>
        <v>2019</v>
      </c>
      <c r="H4064">
        <f>INDEX(CalLookUpTable,MATCH($B4064,CalLookUpRow,0),MATCH(H$1,CalLookUpColumn,0))</f>
        <v>2</v>
      </c>
      <c r="I4064">
        <f>INDEX(CalLookUpTable,MATCH($B4064,CalLookUpRow,0),MATCH(I$1,CalLookUpColumn,0))</f>
        <v>4</v>
      </c>
    </row>
    <row r="4065" spans="1:9" x14ac:dyDescent="0.25">
      <c r="A4065" s="7">
        <v>3</v>
      </c>
      <c r="B4065" s="8">
        <v>43517</v>
      </c>
      <c r="C4065" s="9" t="s">
        <v>6</v>
      </c>
      <c r="D4065" s="10">
        <v>836.13599999999997</v>
      </c>
      <c r="E4065" s="10">
        <v>0</v>
      </c>
      <c r="F4065" t="str">
        <f>VLOOKUP(A4065,StoreLookup,2,FALSE)</f>
        <v>Store#3</v>
      </c>
      <c r="G4065">
        <f>INDEX(CalLookUpTable,MATCH($B4065,CalLookUpRow,0),MATCH(G$1,CalLookUpColumn,0))</f>
        <v>2019</v>
      </c>
      <c r="H4065">
        <f>INDEX(CalLookUpTable,MATCH($B4065,CalLookUpRow,0),MATCH(H$1,CalLookUpColumn,0))</f>
        <v>2</v>
      </c>
      <c r="I4065">
        <f>INDEX(CalLookUpTable,MATCH($B4065,CalLookUpRow,0),MATCH(I$1,CalLookUpColumn,0))</f>
        <v>4</v>
      </c>
    </row>
    <row r="4066" spans="1:9" x14ac:dyDescent="0.25">
      <c r="A4066" s="7">
        <v>3</v>
      </c>
      <c r="B4066" s="8">
        <v>43518</v>
      </c>
      <c r="C4066" s="9" t="s">
        <v>5</v>
      </c>
      <c r="D4066" s="10">
        <v>3901.3449999999998</v>
      </c>
      <c r="E4066" s="10">
        <v>0</v>
      </c>
      <c r="F4066" t="str">
        <f>VLOOKUP(A4066,StoreLookup,2,FALSE)</f>
        <v>Store#3</v>
      </c>
      <c r="G4066">
        <f>INDEX(CalLookUpTable,MATCH($B4066,CalLookUpRow,0),MATCH(G$1,CalLookUpColumn,0))</f>
        <v>2019</v>
      </c>
      <c r="H4066">
        <f>INDEX(CalLookUpTable,MATCH($B4066,CalLookUpRow,0),MATCH(H$1,CalLookUpColumn,0))</f>
        <v>2</v>
      </c>
      <c r="I4066">
        <f>INDEX(CalLookUpTable,MATCH($B4066,CalLookUpRow,0),MATCH(I$1,CalLookUpColumn,0))</f>
        <v>4</v>
      </c>
    </row>
    <row r="4067" spans="1:9" x14ac:dyDescent="0.25">
      <c r="A4067" s="7">
        <v>3</v>
      </c>
      <c r="B4067" s="8">
        <v>43518</v>
      </c>
      <c r="C4067" s="9" t="s">
        <v>6</v>
      </c>
      <c r="D4067" s="10">
        <v>725.21399999999994</v>
      </c>
      <c r="E4067" s="10">
        <v>0</v>
      </c>
      <c r="F4067" t="str">
        <f>VLOOKUP(A4067,StoreLookup,2,FALSE)</f>
        <v>Store#3</v>
      </c>
      <c r="G4067">
        <f>INDEX(CalLookUpTable,MATCH($B4067,CalLookUpRow,0),MATCH(G$1,CalLookUpColumn,0))</f>
        <v>2019</v>
      </c>
      <c r="H4067">
        <f>INDEX(CalLookUpTable,MATCH($B4067,CalLookUpRow,0),MATCH(H$1,CalLookUpColumn,0))</f>
        <v>2</v>
      </c>
      <c r="I4067">
        <f>INDEX(CalLookUpTable,MATCH($B4067,CalLookUpRow,0),MATCH(I$1,CalLookUpColumn,0))</f>
        <v>4</v>
      </c>
    </row>
    <row r="4068" spans="1:9" x14ac:dyDescent="0.25">
      <c r="A4068" s="7">
        <v>3</v>
      </c>
      <c r="B4068" s="8">
        <v>43518</v>
      </c>
      <c r="C4068" s="9" t="s">
        <v>3</v>
      </c>
      <c r="D4068" s="10">
        <v>0</v>
      </c>
      <c r="E4068" s="10">
        <v>0</v>
      </c>
      <c r="F4068" t="str">
        <f>VLOOKUP(A4068,StoreLookup,2,FALSE)</f>
        <v>Store#3</v>
      </c>
      <c r="G4068">
        <f>INDEX(CalLookUpTable,MATCH($B4068,CalLookUpRow,0),MATCH(G$1,CalLookUpColumn,0))</f>
        <v>2019</v>
      </c>
      <c r="H4068">
        <f>INDEX(CalLookUpTable,MATCH($B4068,CalLookUpRow,0),MATCH(H$1,CalLookUpColumn,0))</f>
        <v>2</v>
      </c>
      <c r="I4068">
        <f>INDEX(CalLookUpTable,MATCH($B4068,CalLookUpRow,0),MATCH(I$1,CalLookUpColumn,0))</f>
        <v>4</v>
      </c>
    </row>
    <row r="4069" spans="1:9" x14ac:dyDescent="0.25">
      <c r="A4069" s="7">
        <v>3</v>
      </c>
      <c r="B4069" s="8">
        <v>43518</v>
      </c>
      <c r="C4069" s="9" t="s">
        <v>4</v>
      </c>
      <c r="D4069" s="10">
        <v>3990.413</v>
      </c>
      <c r="E4069" s="10">
        <v>0</v>
      </c>
      <c r="F4069" t="str">
        <f>VLOOKUP(A4069,StoreLookup,2,FALSE)</f>
        <v>Store#3</v>
      </c>
      <c r="G4069">
        <f>INDEX(CalLookUpTable,MATCH($B4069,CalLookUpRow,0),MATCH(G$1,CalLookUpColumn,0))</f>
        <v>2019</v>
      </c>
      <c r="H4069">
        <f>INDEX(CalLookUpTable,MATCH($B4069,CalLookUpRow,0),MATCH(H$1,CalLookUpColumn,0))</f>
        <v>2</v>
      </c>
      <c r="I4069">
        <f>INDEX(CalLookUpTable,MATCH($B4069,CalLookUpRow,0),MATCH(I$1,CalLookUpColumn,0))</f>
        <v>4</v>
      </c>
    </row>
    <row r="4070" spans="1:9" x14ac:dyDescent="0.25">
      <c r="A4070" s="7">
        <v>3</v>
      </c>
      <c r="B4070" s="8">
        <v>43519</v>
      </c>
      <c r="C4070" s="9" t="s">
        <v>4</v>
      </c>
      <c r="D4070" s="10">
        <v>4293.5200000000004</v>
      </c>
      <c r="E4070" s="10">
        <v>0</v>
      </c>
      <c r="F4070" t="str">
        <f>VLOOKUP(A4070,StoreLookup,2,FALSE)</f>
        <v>Store#3</v>
      </c>
      <c r="G4070">
        <f>INDEX(CalLookUpTable,MATCH($B4070,CalLookUpRow,0),MATCH(G$1,CalLookUpColumn,0))</f>
        <v>2019</v>
      </c>
      <c r="H4070">
        <f>INDEX(CalLookUpTable,MATCH($B4070,CalLookUpRow,0),MATCH(H$1,CalLookUpColumn,0))</f>
        <v>2</v>
      </c>
      <c r="I4070">
        <f>INDEX(CalLookUpTable,MATCH($B4070,CalLookUpRow,0),MATCH(I$1,CalLookUpColumn,0))</f>
        <v>4</v>
      </c>
    </row>
    <row r="4071" spans="1:9" x14ac:dyDescent="0.25">
      <c r="A4071" s="7">
        <v>3</v>
      </c>
      <c r="B4071" s="8">
        <v>43519</v>
      </c>
      <c r="C4071" s="9" t="s">
        <v>3</v>
      </c>
      <c r="D4071" s="10">
        <v>0</v>
      </c>
      <c r="E4071" s="10">
        <v>0</v>
      </c>
      <c r="F4071" t="str">
        <f>VLOOKUP(A4071,StoreLookup,2,FALSE)</f>
        <v>Store#3</v>
      </c>
      <c r="G4071">
        <f>INDEX(CalLookUpTable,MATCH($B4071,CalLookUpRow,0),MATCH(G$1,CalLookUpColumn,0))</f>
        <v>2019</v>
      </c>
      <c r="H4071">
        <f>INDEX(CalLookUpTable,MATCH($B4071,CalLookUpRow,0),MATCH(H$1,CalLookUpColumn,0))</f>
        <v>2</v>
      </c>
      <c r="I4071">
        <f>INDEX(CalLookUpTable,MATCH($B4071,CalLookUpRow,0),MATCH(I$1,CalLookUpColumn,0))</f>
        <v>4</v>
      </c>
    </row>
    <row r="4072" spans="1:9" x14ac:dyDescent="0.25">
      <c r="A4072" s="7">
        <v>3</v>
      </c>
      <c r="B4072" s="8">
        <v>43519</v>
      </c>
      <c r="C4072" s="9" t="s">
        <v>5</v>
      </c>
      <c r="D4072" s="10">
        <v>3896.8999999999996</v>
      </c>
      <c r="E4072" s="10">
        <v>0</v>
      </c>
      <c r="F4072" t="str">
        <f>VLOOKUP(A4072,StoreLookup,2,FALSE)</f>
        <v>Store#3</v>
      </c>
      <c r="G4072">
        <f>INDEX(CalLookUpTable,MATCH($B4072,CalLookUpRow,0),MATCH(G$1,CalLookUpColumn,0))</f>
        <v>2019</v>
      </c>
      <c r="H4072">
        <f>INDEX(CalLookUpTable,MATCH($B4072,CalLookUpRow,0),MATCH(H$1,CalLookUpColumn,0))</f>
        <v>2</v>
      </c>
      <c r="I4072">
        <f>INDEX(CalLookUpTable,MATCH($B4072,CalLookUpRow,0),MATCH(I$1,CalLookUpColumn,0))</f>
        <v>4</v>
      </c>
    </row>
    <row r="4073" spans="1:9" x14ac:dyDescent="0.25">
      <c r="A4073" s="7">
        <v>3</v>
      </c>
      <c r="B4073" s="8">
        <v>43519</v>
      </c>
      <c r="C4073" s="9" t="s">
        <v>6</v>
      </c>
      <c r="D4073" s="10">
        <v>983.64</v>
      </c>
      <c r="E4073" s="10">
        <v>0</v>
      </c>
      <c r="F4073" t="str">
        <f>VLOOKUP(A4073,StoreLookup,2,FALSE)</f>
        <v>Store#3</v>
      </c>
      <c r="G4073">
        <f>INDEX(CalLookUpTable,MATCH($B4073,CalLookUpRow,0),MATCH(G$1,CalLookUpColumn,0))</f>
        <v>2019</v>
      </c>
      <c r="H4073">
        <f>INDEX(CalLookUpTable,MATCH($B4073,CalLookUpRow,0),MATCH(H$1,CalLookUpColumn,0))</f>
        <v>2</v>
      </c>
      <c r="I4073">
        <f>INDEX(CalLookUpTable,MATCH($B4073,CalLookUpRow,0),MATCH(I$1,CalLookUpColumn,0))</f>
        <v>4</v>
      </c>
    </row>
    <row r="4074" spans="1:9" x14ac:dyDescent="0.25">
      <c r="A4074" s="7">
        <v>3</v>
      </c>
      <c r="B4074" s="8">
        <v>43520</v>
      </c>
      <c r="C4074" s="9" t="s">
        <v>4</v>
      </c>
      <c r="D4074" s="10">
        <v>2588.6770000000001</v>
      </c>
      <c r="E4074" s="10">
        <v>0</v>
      </c>
      <c r="F4074" t="str">
        <f>VLOOKUP(A4074,StoreLookup,2,FALSE)</f>
        <v>Store#3</v>
      </c>
      <c r="G4074">
        <f>INDEX(CalLookUpTable,MATCH($B4074,CalLookUpRow,0),MATCH(G$1,CalLookUpColumn,0))</f>
        <v>2019</v>
      </c>
      <c r="H4074">
        <f>INDEX(CalLookUpTable,MATCH($B4074,CalLookUpRow,0),MATCH(H$1,CalLookUpColumn,0))</f>
        <v>2</v>
      </c>
      <c r="I4074">
        <f>INDEX(CalLookUpTable,MATCH($B4074,CalLookUpRow,0),MATCH(I$1,CalLookUpColumn,0))</f>
        <v>4</v>
      </c>
    </row>
    <row r="4075" spans="1:9" x14ac:dyDescent="0.25">
      <c r="A4075" s="7">
        <v>3</v>
      </c>
      <c r="B4075" s="8">
        <v>43520</v>
      </c>
      <c r="C4075" s="9" t="s">
        <v>6</v>
      </c>
      <c r="D4075" s="10">
        <v>622.13199999999995</v>
      </c>
      <c r="E4075" s="10">
        <v>0</v>
      </c>
      <c r="F4075" t="str">
        <f>VLOOKUP(A4075,StoreLookup,2,FALSE)</f>
        <v>Store#3</v>
      </c>
      <c r="G4075">
        <f>INDEX(CalLookUpTable,MATCH($B4075,CalLookUpRow,0),MATCH(G$1,CalLookUpColumn,0))</f>
        <v>2019</v>
      </c>
      <c r="H4075">
        <f>INDEX(CalLookUpTable,MATCH($B4075,CalLookUpRow,0),MATCH(H$1,CalLookUpColumn,0))</f>
        <v>2</v>
      </c>
      <c r="I4075">
        <f>INDEX(CalLookUpTable,MATCH($B4075,CalLookUpRow,0),MATCH(I$1,CalLookUpColumn,0))</f>
        <v>4</v>
      </c>
    </row>
    <row r="4076" spans="1:9" x14ac:dyDescent="0.25">
      <c r="A4076" s="7">
        <v>3</v>
      </c>
      <c r="B4076" s="8">
        <v>43520</v>
      </c>
      <c r="C4076" s="9" t="s">
        <v>3</v>
      </c>
      <c r="D4076" s="10">
        <v>0</v>
      </c>
      <c r="E4076" s="10">
        <v>0</v>
      </c>
      <c r="F4076" t="str">
        <f>VLOOKUP(A4076,StoreLookup,2,FALSE)</f>
        <v>Store#3</v>
      </c>
      <c r="G4076">
        <f>INDEX(CalLookUpTable,MATCH($B4076,CalLookUpRow,0),MATCH(G$1,CalLookUpColumn,0))</f>
        <v>2019</v>
      </c>
      <c r="H4076">
        <f>INDEX(CalLookUpTable,MATCH($B4076,CalLookUpRow,0),MATCH(H$1,CalLookUpColumn,0))</f>
        <v>2</v>
      </c>
      <c r="I4076">
        <f>INDEX(CalLookUpTable,MATCH($B4076,CalLookUpRow,0),MATCH(I$1,CalLookUpColumn,0))</f>
        <v>4</v>
      </c>
    </row>
    <row r="4077" spans="1:9" x14ac:dyDescent="0.25">
      <c r="A4077" s="7">
        <v>3</v>
      </c>
      <c r="B4077" s="8">
        <v>43520</v>
      </c>
      <c r="C4077" s="9" t="s">
        <v>5</v>
      </c>
      <c r="D4077" s="10">
        <v>2606.3029999999999</v>
      </c>
      <c r="E4077" s="10">
        <v>0</v>
      </c>
      <c r="F4077" t="str">
        <f>VLOOKUP(A4077,StoreLookup,2,FALSE)</f>
        <v>Store#3</v>
      </c>
      <c r="G4077">
        <f>INDEX(CalLookUpTable,MATCH($B4077,CalLookUpRow,0),MATCH(G$1,CalLookUpColumn,0))</f>
        <v>2019</v>
      </c>
      <c r="H4077">
        <f>INDEX(CalLookUpTable,MATCH($B4077,CalLookUpRow,0),MATCH(H$1,CalLookUpColumn,0))</f>
        <v>2</v>
      </c>
      <c r="I4077">
        <f>INDEX(CalLookUpTable,MATCH($B4077,CalLookUpRow,0),MATCH(I$1,CalLookUpColumn,0))</f>
        <v>4</v>
      </c>
    </row>
    <row r="4078" spans="1:9" x14ac:dyDescent="0.25">
      <c r="A4078" s="7">
        <v>3</v>
      </c>
      <c r="B4078" s="8">
        <v>43521</v>
      </c>
      <c r="C4078" s="9" t="s">
        <v>6</v>
      </c>
      <c r="D4078" s="10">
        <v>548.39399999999989</v>
      </c>
      <c r="E4078" s="10">
        <v>0</v>
      </c>
      <c r="F4078" t="str">
        <f>VLOOKUP(A4078,StoreLookup,2,FALSE)</f>
        <v>Store#3</v>
      </c>
      <c r="G4078">
        <f>INDEX(CalLookUpTable,MATCH($B4078,CalLookUpRow,0),MATCH(G$1,CalLookUpColumn,0))</f>
        <v>2019</v>
      </c>
      <c r="H4078">
        <f>INDEX(CalLookUpTable,MATCH($B4078,CalLookUpRow,0),MATCH(H$1,CalLookUpColumn,0))</f>
        <v>3</v>
      </c>
      <c r="I4078">
        <f>INDEX(CalLookUpTable,MATCH($B4078,CalLookUpRow,0),MATCH(I$1,CalLookUpColumn,0))</f>
        <v>1</v>
      </c>
    </row>
    <row r="4079" spans="1:9" x14ac:dyDescent="0.25">
      <c r="A4079" s="7">
        <v>3</v>
      </c>
      <c r="B4079" s="8">
        <v>43521</v>
      </c>
      <c r="C4079" s="9" t="s">
        <v>5</v>
      </c>
      <c r="D4079" s="10">
        <v>3254.5309999999999</v>
      </c>
      <c r="E4079" s="10">
        <v>0</v>
      </c>
      <c r="F4079" t="str">
        <f>VLOOKUP(A4079,StoreLookup,2,FALSE)</f>
        <v>Store#3</v>
      </c>
      <c r="G4079">
        <f>INDEX(CalLookUpTable,MATCH($B4079,CalLookUpRow,0),MATCH(G$1,CalLookUpColumn,0))</f>
        <v>2019</v>
      </c>
      <c r="H4079">
        <f>INDEX(CalLookUpTable,MATCH($B4079,CalLookUpRow,0),MATCH(H$1,CalLookUpColumn,0))</f>
        <v>3</v>
      </c>
      <c r="I4079">
        <f>INDEX(CalLookUpTable,MATCH($B4079,CalLookUpRow,0),MATCH(I$1,CalLookUpColumn,0))</f>
        <v>1</v>
      </c>
    </row>
    <row r="4080" spans="1:9" x14ac:dyDescent="0.25">
      <c r="A4080" s="7">
        <v>3</v>
      </c>
      <c r="B4080" s="8">
        <v>43521</v>
      </c>
      <c r="C4080" s="9" t="s">
        <v>4</v>
      </c>
      <c r="D4080" s="10">
        <v>2687.377</v>
      </c>
      <c r="E4080" s="10">
        <v>0</v>
      </c>
      <c r="F4080" t="str">
        <f>VLOOKUP(A4080,StoreLookup,2,FALSE)</f>
        <v>Store#3</v>
      </c>
      <c r="G4080">
        <f>INDEX(CalLookUpTable,MATCH($B4080,CalLookUpRow,0),MATCH(G$1,CalLookUpColumn,0))</f>
        <v>2019</v>
      </c>
      <c r="H4080">
        <f>INDEX(CalLookUpTable,MATCH($B4080,CalLookUpRow,0),MATCH(H$1,CalLookUpColumn,0))</f>
        <v>3</v>
      </c>
      <c r="I4080">
        <f>INDEX(CalLookUpTable,MATCH($B4080,CalLookUpRow,0),MATCH(I$1,CalLookUpColumn,0))</f>
        <v>1</v>
      </c>
    </row>
    <row r="4081" spans="1:9" x14ac:dyDescent="0.25">
      <c r="A4081" s="7">
        <v>3</v>
      </c>
      <c r="B4081" s="8">
        <v>43521</v>
      </c>
      <c r="C4081" s="9" t="s">
        <v>3</v>
      </c>
      <c r="D4081" s="10">
        <v>0</v>
      </c>
      <c r="E4081" s="10">
        <v>0</v>
      </c>
      <c r="F4081" t="str">
        <f>VLOOKUP(A4081,StoreLookup,2,FALSE)</f>
        <v>Store#3</v>
      </c>
      <c r="G4081">
        <f>INDEX(CalLookUpTable,MATCH($B4081,CalLookUpRow,0),MATCH(G$1,CalLookUpColumn,0))</f>
        <v>2019</v>
      </c>
      <c r="H4081">
        <f>INDEX(CalLookUpTable,MATCH($B4081,CalLookUpRow,0),MATCH(H$1,CalLookUpColumn,0))</f>
        <v>3</v>
      </c>
      <c r="I4081">
        <f>INDEX(CalLookUpTable,MATCH($B4081,CalLookUpRow,0),MATCH(I$1,CalLookUpColumn,0))</f>
        <v>1</v>
      </c>
    </row>
    <row r="4082" spans="1:9" x14ac:dyDescent="0.25">
      <c r="A4082" s="7">
        <v>3</v>
      </c>
      <c r="B4082" s="8">
        <v>43522</v>
      </c>
      <c r="C4082" s="9" t="s">
        <v>4</v>
      </c>
      <c r="D4082" s="10">
        <v>2824.8219999999997</v>
      </c>
      <c r="E4082" s="10">
        <v>0</v>
      </c>
      <c r="F4082" t="str">
        <f>VLOOKUP(A4082,StoreLookup,2,FALSE)</f>
        <v>Store#3</v>
      </c>
      <c r="G4082">
        <f>INDEX(CalLookUpTable,MATCH($B4082,CalLookUpRow,0),MATCH(G$1,CalLookUpColumn,0))</f>
        <v>2019</v>
      </c>
      <c r="H4082">
        <f>INDEX(CalLookUpTable,MATCH($B4082,CalLookUpRow,0),MATCH(H$1,CalLookUpColumn,0))</f>
        <v>3</v>
      </c>
      <c r="I4082">
        <f>INDEX(CalLookUpTable,MATCH($B4082,CalLookUpRow,0),MATCH(I$1,CalLookUpColumn,0))</f>
        <v>1</v>
      </c>
    </row>
    <row r="4083" spans="1:9" x14ac:dyDescent="0.25">
      <c r="A4083" s="7">
        <v>3</v>
      </c>
      <c r="B4083" s="8">
        <v>43522</v>
      </c>
      <c r="C4083" s="9" t="s">
        <v>6</v>
      </c>
      <c r="D4083" s="10">
        <v>1009.015</v>
      </c>
      <c r="E4083" s="10">
        <v>0</v>
      </c>
      <c r="F4083" t="str">
        <f>VLOOKUP(A4083,StoreLookup,2,FALSE)</f>
        <v>Store#3</v>
      </c>
      <c r="G4083">
        <f>INDEX(CalLookUpTable,MATCH($B4083,CalLookUpRow,0),MATCH(G$1,CalLookUpColumn,0))</f>
        <v>2019</v>
      </c>
      <c r="H4083">
        <f>INDEX(CalLookUpTable,MATCH($B4083,CalLookUpRow,0),MATCH(H$1,CalLookUpColumn,0))</f>
        <v>3</v>
      </c>
      <c r="I4083">
        <f>INDEX(CalLookUpTable,MATCH($B4083,CalLookUpRow,0),MATCH(I$1,CalLookUpColumn,0))</f>
        <v>1</v>
      </c>
    </row>
    <row r="4084" spans="1:9" x14ac:dyDescent="0.25">
      <c r="A4084" s="7">
        <v>3</v>
      </c>
      <c r="B4084" s="8">
        <v>43522</v>
      </c>
      <c r="C4084" s="9" t="s">
        <v>5</v>
      </c>
      <c r="D4084" s="10">
        <v>3580.192</v>
      </c>
      <c r="E4084" s="10">
        <v>0</v>
      </c>
      <c r="F4084" t="str">
        <f>VLOOKUP(A4084,StoreLookup,2,FALSE)</f>
        <v>Store#3</v>
      </c>
      <c r="G4084">
        <f>INDEX(CalLookUpTable,MATCH($B4084,CalLookUpRow,0),MATCH(G$1,CalLookUpColumn,0))</f>
        <v>2019</v>
      </c>
      <c r="H4084">
        <f>INDEX(CalLookUpTable,MATCH($B4084,CalLookUpRow,0),MATCH(H$1,CalLookUpColumn,0))</f>
        <v>3</v>
      </c>
      <c r="I4084">
        <f>INDEX(CalLookUpTable,MATCH($B4084,CalLookUpRow,0),MATCH(I$1,CalLookUpColumn,0))</f>
        <v>1</v>
      </c>
    </row>
    <row r="4085" spans="1:9" x14ac:dyDescent="0.25">
      <c r="A4085" s="7">
        <v>3</v>
      </c>
      <c r="B4085" s="8">
        <v>43522</v>
      </c>
      <c r="C4085" s="9" t="s">
        <v>3</v>
      </c>
      <c r="D4085" s="10">
        <v>0</v>
      </c>
      <c r="E4085" s="10">
        <v>0</v>
      </c>
      <c r="F4085" t="str">
        <f>VLOOKUP(A4085,StoreLookup,2,FALSE)</f>
        <v>Store#3</v>
      </c>
      <c r="G4085">
        <f>INDEX(CalLookUpTable,MATCH($B4085,CalLookUpRow,0),MATCH(G$1,CalLookUpColumn,0))</f>
        <v>2019</v>
      </c>
      <c r="H4085">
        <f>INDEX(CalLookUpTable,MATCH($B4085,CalLookUpRow,0),MATCH(H$1,CalLookUpColumn,0))</f>
        <v>3</v>
      </c>
      <c r="I4085">
        <f>INDEX(CalLookUpTable,MATCH($B4085,CalLookUpRow,0),MATCH(I$1,CalLookUpColumn,0))</f>
        <v>1</v>
      </c>
    </row>
    <row r="4086" spans="1:9" x14ac:dyDescent="0.25">
      <c r="A4086" s="7">
        <v>3</v>
      </c>
      <c r="B4086" s="8">
        <v>43523</v>
      </c>
      <c r="C4086" s="9" t="s">
        <v>5</v>
      </c>
      <c r="D4086" s="10">
        <v>3553.3469999999998</v>
      </c>
      <c r="E4086" s="10">
        <v>0</v>
      </c>
      <c r="F4086" t="str">
        <f>VLOOKUP(A4086,StoreLookup,2,FALSE)</f>
        <v>Store#3</v>
      </c>
      <c r="G4086">
        <f>INDEX(CalLookUpTable,MATCH($B4086,CalLookUpRow,0),MATCH(G$1,CalLookUpColumn,0))</f>
        <v>2019</v>
      </c>
      <c r="H4086">
        <f>INDEX(CalLookUpTable,MATCH($B4086,CalLookUpRow,0),MATCH(H$1,CalLookUpColumn,0))</f>
        <v>3</v>
      </c>
      <c r="I4086">
        <f>INDEX(CalLookUpTable,MATCH($B4086,CalLookUpRow,0),MATCH(I$1,CalLookUpColumn,0))</f>
        <v>1</v>
      </c>
    </row>
    <row r="4087" spans="1:9" x14ac:dyDescent="0.25">
      <c r="A4087" s="7">
        <v>3</v>
      </c>
      <c r="B4087" s="8">
        <v>43523</v>
      </c>
      <c r="C4087" s="9" t="s">
        <v>3</v>
      </c>
      <c r="D4087" s="10">
        <v>0</v>
      </c>
      <c r="E4087" s="10">
        <v>0</v>
      </c>
      <c r="F4087" t="str">
        <f>VLOOKUP(A4087,StoreLookup,2,FALSE)</f>
        <v>Store#3</v>
      </c>
      <c r="G4087">
        <f>INDEX(CalLookUpTable,MATCH($B4087,CalLookUpRow,0),MATCH(G$1,CalLookUpColumn,0))</f>
        <v>2019</v>
      </c>
      <c r="H4087">
        <f>INDEX(CalLookUpTable,MATCH($B4087,CalLookUpRow,0),MATCH(H$1,CalLookUpColumn,0))</f>
        <v>3</v>
      </c>
      <c r="I4087">
        <f>INDEX(CalLookUpTable,MATCH($B4087,CalLookUpRow,0),MATCH(I$1,CalLookUpColumn,0))</f>
        <v>1</v>
      </c>
    </row>
    <row r="4088" spans="1:9" x14ac:dyDescent="0.25">
      <c r="A4088" s="7">
        <v>3</v>
      </c>
      <c r="B4088" s="8">
        <v>43523</v>
      </c>
      <c r="C4088" s="9" t="s">
        <v>4</v>
      </c>
      <c r="D4088" s="10">
        <v>3235.701</v>
      </c>
      <c r="E4088" s="10">
        <v>0</v>
      </c>
      <c r="F4088" t="str">
        <f>VLOOKUP(A4088,StoreLookup,2,FALSE)</f>
        <v>Store#3</v>
      </c>
      <c r="G4088">
        <f>INDEX(CalLookUpTable,MATCH($B4088,CalLookUpRow,0),MATCH(G$1,CalLookUpColumn,0))</f>
        <v>2019</v>
      </c>
      <c r="H4088">
        <f>INDEX(CalLookUpTable,MATCH($B4088,CalLookUpRow,0),MATCH(H$1,CalLookUpColumn,0))</f>
        <v>3</v>
      </c>
      <c r="I4088">
        <f>INDEX(CalLookUpTable,MATCH($B4088,CalLookUpRow,0),MATCH(I$1,CalLookUpColumn,0))</f>
        <v>1</v>
      </c>
    </row>
    <row r="4089" spans="1:9" x14ac:dyDescent="0.25">
      <c r="A4089" s="7">
        <v>3</v>
      </c>
      <c r="B4089" s="8">
        <v>43523</v>
      </c>
      <c r="C4089" s="9" t="s">
        <v>6</v>
      </c>
      <c r="D4089" s="10">
        <v>935.33999999999992</v>
      </c>
      <c r="E4089" s="10">
        <v>0</v>
      </c>
      <c r="F4089" t="str">
        <f>VLOOKUP(A4089,StoreLookup,2,FALSE)</f>
        <v>Store#3</v>
      </c>
      <c r="G4089">
        <f>INDEX(CalLookUpTable,MATCH($B4089,CalLookUpRow,0),MATCH(G$1,CalLookUpColumn,0))</f>
        <v>2019</v>
      </c>
      <c r="H4089">
        <f>INDEX(CalLookUpTable,MATCH($B4089,CalLookUpRow,0),MATCH(H$1,CalLookUpColumn,0))</f>
        <v>3</v>
      </c>
      <c r="I4089">
        <f>INDEX(CalLookUpTable,MATCH($B4089,CalLookUpRow,0),MATCH(I$1,CalLookUpColumn,0))</f>
        <v>1</v>
      </c>
    </row>
    <row r="4090" spans="1:9" x14ac:dyDescent="0.25">
      <c r="A4090" s="7">
        <v>3</v>
      </c>
      <c r="B4090" s="8">
        <v>43524</v>
      </c>
      <c r="C4090" s="9" t="s">
        <v>6</v>
      </c>
      <c r="D4090" s="10">
        <v>1111.5089999999998</v>
      </c>
      <c r="E4090" s="10">
        <v>0</v>
      </c>
      <c r="F4090" t="str">
        <f>VLOOKUP(A4090,StoreLookup,2,FALSE)</f>
        <v>Store#3</v>
      </c>
      <c r="G4090">
        <f>INDEX(CalLookUpTable,MATCH($B4090,CalLookUpRow,0),MATCH(G$1,CalLookUpColumn,0))</f>
        <v>2019</v>
      </c>
      <c r="H4090">
        <f>INDEX(CalLookUpTable,MATCH($B4090,CalLookUpRow,0),MATCH(H$1,CalLookUpColumn,0))</f>
        <v>3</v>
      </c>
      <c r="I4090">
        <f>INDEX(CalLookUpTable,MATCH($B4090,CalLookUpRow,0),MATCH(I$1,CalLookUpColumn,0))</f>
        <v>1</v>
      </c>
    </row>
    <row r="4091" spans="1:9" x14ac:dyDescent="0.25">
      <c r="A4091" s="7">
        <v>3</v>
      </c>
      <c r="B4091" s="8">
        <v>43524</v>
      </c>
      <c r="C4091" s="9" t="s">
        <v>4</v>
      </c>
      <c r="D4091" s="10">
        <v>3620.8619999999996</v>
      </c>
      <c r="E4091" s="10">
        <v>0</v>
      </c>
      <c r="F4091" t="str">
        <f>VLOOKUP(A4091,StoreLookup,2,FALSE)</f>
        <v>Store#3</v>
      </c>
      <c r="G4091">
        <f>INDEX(CalLookUpTable,MATCH($B4091,CalLookUpRow,0),MATCH(G$1,CalLookUpColumn,0))</f>
        <v>2019</v>
      </c>
      <c r="H4091">
        <f>INDEX(CalLookUpTable,MATCH($B4091,CalLookUpRow,0),MATCH(H$1,CalLookUpColumn,0))</f>
        <v>3</v>
      </c>
      <c r="I4091">
        <f>INDEX(CalLookUpTable,MATCH($B4091,CalLookUpRow,0),MATCH(I$1,CalLookUpColumn,0))</f>
        <v>1</v>
      </c>
    </row>
    <row r="4092" spans="1:9" x14ac:dyDescent="0.25">
      <c r="A4092" s="7">
        <v>3</v>
      </c>
      <c r="B4092" s="8">
        <v>43524</v>
      </c>
      <c r="C4092" s="9" t="s">
        <v>3</v>
      </c>
      <c r="D4092" s="10">
        <v>216.11099999999999</v>
      </c>
      <c r="E4092" s="10">
        <v>0</v>
      </c>
      <c r="F4092" t="str">
        <f>VLOOKUP(A4092,StoreLookup,2,FALSE)</f>
        <v>Store#3</v>
      </c>
      <c r="G4092">
        <f>INDEX(CalLookUpTable,MATCH($B4092,CalLookUpRow,0),MATCH(G$1,CalLookUpColumn,0))</f>
        <v>2019</v>
      </c>
      <c r="H4092">
        <f>INDEX(CalLookUpTable,MATCH($B4092,CalLookUpRow,0),MATCH(H$1,CalLookUpColumn,0))</f>
        <v>3</v>
      </c>
      <c r="I4092">
        <f>INDEX(CalLookUpTable,MATCH($B4092,CalLookUpRow,0),MATCH(I$1,CalLookUpColumn,0))</f>
        <v>1</v>
      </c>
    </row>
    <row r="4093" spans="1:9" x14ac:dyDescent="0.25">
      <c r="A4093" s="7">
        <v>3</v>
      </c>
      <c r="B4093" s="8">
        <v>43524</v>
      </c>
      <c r="C4093" s="9" t="s">
        <v>5</v>
      </c>
      <c r="D4093" s="10">
        <v>3676.0359999999996</v>
      </c>
      <c r="E4093" s="10">
        <v>0</v>
      </c>
      <c r="F4093" t="str">
        <f>VLOOKUP(A4093,StoreLookup,2,FALSE)</f>
        <v>Store#3</v>
      </c>
      <c r="G4093">
        <f>INDEX(CalLookUpTable,MATCH($B4093,CalLookUpRow,0),MATCH(G$1,CalLookUpColumn,0))</f>
        <v>2019</v>
      </c>
      <c r="H4093">
        <f>INDEX(CalLookUpTable,MATCH($B4093,CalLookUpRow,0),MATCH(H$1,CalLookUpColumn,0))</f>
        <v>3</v>
      </c>
      <c r="I4093">
        <f>INDEX(CalLookUpTable,MATCH($B4093,CalLookUpRow,0),MATCH(I$1,CalLookUpColumn,0))</f>
        <v>1</v>
      </c>
    </row>
    <row r="4094" spans="1:9" x14ac:dyDescent="0.25">
      <c r="A4094" s="7">
        <v>3</v>
      </c>
      <c r="B4094" s="8">
        <v>43525</v>
      </c>
      <c r="C4094" s="9" t="s">
        <v>6</v>
      </c>
      <c r="D4094" s="10">
        <v>1361.6469999999999</v>
      </c>
      <c r="E4094" s="10">
        <v>0</v>
      </c>
      <c r="F4094" t="str">
        <f>VLOOKUP(A4094,StoreLookup,2,FALSE)</f>
        <v>Store#3</v>
      </c>
      <c r="G4094">
        <f>INDEX(CalLookUpTable,MATCH($B4094,CalLookUpRow,0),MATCH(G$1,CalLookUpColumn,0))</f>
        <v>2019</v>
      </c>
      <c r="H4094">
        <f>INDEX(CalLookUpTable,MATCH($B4094,CalLookUpRow,0),MATCH(H$1,CalLookUpColumn,0))</f>
        <v>3</v>
      </c>
      <c r="I4094">
        <f>INDEX(CalLookUpTable,MATCH($B4094,CalLookUpRow,0),MATCH(I$1,CalLookUpColumn,0))</f>
        <v>1</v>
      </c>
    </row>
    <row r="4095" spans="1:9" x14ac:dyDescent="0.25">
      <c r="A4095" s="7">
        <v>3</v>
      </c>
      <c r="B4095" s="8">
        <v>43525</v>
      </c>
      <c r="C4095" s="9" t="s">
        <v>3</v>
      </c>
      <c r="D4095" s="10">
        <v>295.07099999999997</v>
      </c>
      <c r="E4095" s="10">
        <v>0</v>
      </c>
      <c r="F4095" t="str">
        <f>VLOOKUP(A4095,StoreLookup,2,FALSE)</f>
        <v>Store#3</v>
      </c>
      <c r="G4095">
        <f>INDEX(CalLookUpTable,MATCH($B4095,CalLookUpRow,0),MATCH(G$1,CalLookUpColumn,0))</f>
        <v>2019</v>
      </c>
      <c r="H4095">
        <f>INDEX(CalLookUpTable,MATCH($B4095,CalLookUpRow,0),MATCH(H$1,CalLookUpColumn,0))</f>
        <v>3</v>
      </c>
      <c r="I4095">
        <f>INDEX(CalLookUpTable,MATCH($B4095,CalLookUpRow,0),MATCH(I$1,CalLookUpColumn,0))</f>
        <v>1</v>
      </c>
    </row>
    <row r="4096" spans="1:9" x14ac:dyDescent="0.25">
      <c r="A4096" s="7">
        <v>3</v>
      </c>
      <c r="B4096" s="8">
        <v>43525</v>
      </c>
      <c r="C4096" s="9" t="s">
        <v>5</v>
      </c>
      <c r="D4096" s="10">
        <v>3887.0439999999999</v>
      </c>
      <c r="E4096" s="10">
        <v>0</v>
      </c>
      <c r="F4096" t="str">
        <f>VLOOKUP(A4096,StoreLookup,2,FALSE)</f>
        <v>Store#3</v>
      </c>
      <c r="G4096">
        <f>INDEX(CalLookUpTable,MATCH($B4096,CalLookUpRow,0),MATCH(G$1,CalLookUpColumn,0))</f>
        <v>2019</v>
      </c>
      <c r="H4096">
        <f>INDEX(CalLookUpTable,MATCH($B4096,CalLookUpRow,0),MATCH(H$1,CalLookUpColumn,0))</f>
        <v>3</v>
      </c>
      <c r="I4096">
        <f>INDEX(CalLookUpTable,MATCH($B4096,CalLookUpRow,0),MATCH(I$1,CalLookUpColumn,0))</f>
        <v>1</v>
      </c>
    </row>
    <row r="4097" spans="1:9" x14ac:dyDescent="0.25">
      <c r="A4097" s="7">
        <v>3</v>
      </c>
      <c r="B4097" s="8">
        <v>43525</v>
      </c>
      <c r="C4097" s="9" t="s">
        <v>4</v>
      </c>
      <c r="D4097" s="10">
        <v>4563.1809999999996</v>
      </c>
      <c r="E4097" s="10">
        <v>0</v>
      </c>
      <c r="F4097" t="str">
        <f>VLOOKUP(A4097,StoreLookup,2,FALSE)</f>
        <v>Store#3</v>
      </c>
      <c r="G4097">
        <f>INDEX(CalLookUpTable,MATCH($B4097,CalLookUpRow,0),MATCH(G$1,CalLookUpColumn,0))</f>
        <v>2019</v>
      </c>
      <c r="H4097">
        <f>INDEX(CalLookUpTable,MATCH($B4097,CalLookUpRow,0),MATCH(H$1,CalLookUpColumn,0))</f>
        <v>3</v>
      </c>
      <c r="I4097">
        <f>INDEX(CalLookUpTable,MATCH($B4097,CalLookUpRow,0),MATCH(I$1,CalLookUpColumn,0))</f>
        <v>1</v>
      </c>
    </row>
    <row r="4098" spans="1:9" x14ac:dyDescent="0.25">
      <c r="A4098" s="7">
        <v>3</v>
      </c>
      <c r="B4098" s="8">
        <v>43526</v>
      </c>
      <c r="C4098" s="9" t="s">
        <v>4</v>
      </c>
      <c r="D4098" s="10">
        <v>3290.7350000000001</v>
      </c>
      <c r="E4098" s="10">
        <v>0</v>
      </c>
      <c r="F4098" t="str">
        <f>VLOOKUP(A4098,StoreLookup,2,FALSE)</f>
        <v>Store#3</v>
      </c>
      <c r="G4098">
        <f>INDEX(CalLookUpTable,MATCH($B4098,CalLookUpRow,0),MATCH(G$1,CalLookUpColumn,0))</f>
        <v>2019</v>
      </c>
      <c r="H4098">
        <f>INDEX(CalLookUpTable,MATCH($B4098,CalLookUpRow,0),MATCH(H$1,CalLookUpColumn,0))</f>
        <v>3</v>
      </c>
      <c r="I4098">
        <f>INDEX(CalLookUpTable,MATCH($B4098,CalLookUpRow,0),MATCH(I$1,CalLookUpColumn,0))</f>
        <v>1</v>
      </c>
    </row>
    <row r="4099" spans="1:9" x14ac:dyDescent="0.25">
      <c r="A4099" s="7">
        <v>3</v>
      </c>
      <c r="B4099" s="8">
        <v>43526</v>
      </c>
      <c r="C4099" s="9" t="s">
        <v>3</v>
      </c>
      <c r="D4099" s="10">
        <v>393.33</v>
      </c>
      <c r="E4099" s="10">
        <v>0</v>
      </c>
      <c r="F4099" t="str">
        <f>VLOOKUP(A4099,StoreLookup,2,FALSE)</f>
        <v>Store#3</v>
      </c>
      <c r="G4099">
        <f>INDEX(CalLookUpTable,MATCH($B4099,CalLookUpRow,0),MATCH(G$1,CalLookUpColumn,0))</f>
        <v>2019</v>
      </c>
      <c r="H4099">
        <f>INDEX(CalLookUpTable,MATCH($B4099,CalLookUpRow,0),MATCH(H$1,CalLookUpColumn,0))</f>
        <v>3</v>
      </c>
      <c r="I4099">
        <f>INDEX(CalLookUpTable,MATCH($B4099,CalLookUpRow,0),MATCH(I$1,CalLookUpColumn,0))</f>
        <v>1</v>
      </c>
    </row>
    <row r="4100" spans="1:9" x14ac:dyDescent="0.25">
      <c r="A4100" s="7">
        <v>3</v>
      </c>
      <c r="B4100" s="8">
        <v>43526</v>
      </c>
      <c r="C4100" s="9" t="s">
        <v>5</v>
      </c>
      <c r="D4100" s="10">
        <v>3647.0489999999995</v>
      </c>
      <c r="E4100" s="10">
        <v>0</v>
      </c>
      <c r="F4100" t="str">
        <f>VLOOKUP(A4100,StoreLookup,2,FALSE)</f>
        <v>Store#3</v>
      </c>
      <c r="G4100">
        <f>INDEX(CalLookUpTable,MATCH($B4100,CalLookUpRow,0),MATCH(G$1,CalLookUpColumn,0))</f>
        <v>2019</v>
      </c>
      <c r="H4100">
        <f>INDEX(CalLookUpTable,MATCH($B4100,CalLookUpRow,0),MATCH(H$1,CalLookUpColumn,0))</f>
        <v>3</v>
      </c>
      <c r="I4100">
        <f>INDEX(CalLookUpTable,MATCH($B4100,CalLookUpRow,0),MATCH(I$1,CalLookUpColumn,0))</f>
        <v>1</v>
      </c>
    </row>
    <row r="4101" spans="1:9" x14ac:dyDescent="0.25">
      <c r="A4101" s="7">
        <v>3</v>
      </c>
      <c r="B4101" s="8">
        <v>43526</v>
      </c>
      <c r="C4101" s="9" t="s">
        <v>6</v>
      </c>
      <c r="D4101" s="10">
        <v>872.17200000000003</v>
      </c>
      <c r="E4101" s="10">
        <v>0</v>
      </c>
      <c r="F4101" t="str">
        <f>VLOOKUP(A4101,StoreLookup,2,FALSE)</f>
        <v>Store#3</v>
      </c>
      <c r="G4101">
        <f>INDEX(CalLookUpTable,MATCH($B4101,CalLookUpRow,0),MATCH(G$1,CalLookUpColumn,0))</f>
        <v>2019</v>
      </c>
      <c r="H4101">
        <f>INDEX(CalLookUpTable,MATCH($B4101,CalLookUpRow,0),MATCH(H$1,CalLookUpColumn,0))</f>
        <v>3</v>
      </c>
      <c r="I4101">
        <f>INDEX(CalLookUpTable,MATCH($B4101,CalLookUpRow,0),MATCH(I$1,CalLookUpColumn,0))</f>
        <v>1</v>
      </c>
    </row>
    <row r="4102" spans="1:9" x14ac:dyDescent="0.25">
      <c r="A4102" s="7">
        <v>3</v>
      </c>
      <c r="B4102" s="8">
        <v>43527</v>
      </c>
      <c r="C4102" s="9" t="s">
        <v>3</v>
      </c>
      <c r="D4102" s="10">
        <v>35.994</v>
      </c>
      <c r="E4102" s="10">
        <v>0</v>
      </c>
      <c r="F4102" t="str">
        <f>VLOOKUP(A4102,StoreLookup,2,FALSE)</f>
        <v>Store#3</v>
      </c>
      <c r="G4102">
        <f>INDEX(CalLookUpTable,MATCH($B4102,CalLookUpRow,0),MATCH(G$1,CalLookUpColumn,0))</f>
        <v>2019</v>
      </c>
      <c r="H4102">
        <f>INDEX(CalLookUpTable,MATCH($B4102,CalLookUpRow,0),MATCH(H$1,CalLookUpColumn,0))</f>
        <v>3</v>
      </c>
      <c r="I4102">
        <f>INDEX(CalLookUpTable,MATCH($B4102,CalLookUpRow,0),MATCH(I$1,CalLookUpColumn,0))</f>
        <v>1</v>
      </c>
    </row>
    <row r="4103" spans="1:9" x14ac:dyDescent="0.25">
      <c r="A4103" s="7">
        <v>3</v>
      </c>
      <c r="B4103" s="8">
        <v>43527</v>
      </c>
      <c r="C4103" s="9" t="s">
        <v>5</v>
      </c>
      <c r="D4103" s="10">
        <v>2658.6419999999998</v>
      </c>
      <c r="E4103" s="10">
        <v>0</v>
      </c>
      <c r="F4103" t="str">
        <f>VLOOKUP(A4103,StoreLookup,2,FALSE)</f>
        <v>Store#3</v>
      </c>
      <c r="G4103">
        <f>INDEX(CalLookUpTable,MATCH($B4103,CalLookUpRow,0),MATCH(G$1,CalLookUpColumn,0))</f>
        <v>2019</v>
      </c>
      <c r="H4103">
        <f>INDEX(CalLookUpTable,MATCH($B4103,CalLookUpRow,0),MATCH(H$1,CalLookUpColumn,0))</f>
        <v>3</v>
      </c>
      <c r="I4103">
        <f>INDEX(CalLookUpTable,MATCH($B4103,CalLookUpRow,0),MATCH(I$1,CalLookUpColumn,0))</f>
        <v>1</v>
      </c>
    </row>
    <row r="4104" spans="1:9" x14ac:dyDescent="0.25">
      <c r="A4104" s="7">
        <v>3</v>
      </c>
      <c r="B4104" s="8">
        <v>43527</v>
      </c>
      <c r="C4104" s="9" t="s">
        <v>6</v>
      </c>
      <c r="D4104" s="10">
        <v>616.09799999999996</v>
      </c>
      <c r="E4104" s="10">
        <v>0</v>
      </c>
      <c r="F4104" t="str">
        <f>VLOOKUP(A4104,StoreLookup,2,FALSE)</f>
        <v>Store#3</v>
      </c>
      <c r="G4104">
        <f>INDEX(CalLookUpTable,MATCH($B4104,CalLookUpRow,0),MATCH(G$1,CalLookUpColumn,0))</f>
        <v>2019</v>
      </c>
      <c r="H4104">
        <f>INDEX(CalLookUpTable,MATCH($B4104,CalLookUpRow,0),MATCH(H$1,CalLookUpColumn,0))</f>
        <v>3</v>
      </c>
      <c r="I4104">
        <f>INDEX(CalLookUpTable,MATCH($B4104,CalLookUpRow,0),MATCH(I$1,CalLookUpColumn,0))</f>
        <v>1</v>
      </c>
    </row>
    <row r="4105" spans="1:9" x14ac:dyDescent="0.25">
      <c r="A4105" s="7">
        <v>3</v>
      </c>
      <c r="B4105" s="8">
        <v>43527</v>
      </c>
      <c r="C4105" s="9" t="s">
        <v>4</v>
      </c>
      <c r="D4105" s="10">
        <v>2668.6869999999999</v>
      </c>
      <c r="E4105" s="10">
        <v>0</v>
      </c>
      <c r="F4105" t="str">
        <f>VLOOKUP(A4105,StoreLookup,2,FALSE)</f>
        <v>Store#3</v>
      </c>
      <c r="G4105">
        <f>INDEX(CalLookUpTable,MATCH($B4105,CalLookUpRow,0),MATCH(G$1,CalLookUpColumn,0))</f>
        <v>2019</v>
      </c>
      <c r="H4105">
        <f>INDEX(CalLookUpTable,MATCH($B4105,CalLookUpRow,0),MATCH(H$1,CalLookUpColumn,0))</f>
        <v>3</v>
      </c>
      <c r="I4105">
        <f>INDEX(CalLookUpTable,MATCH($B4105,CalLookUpRow,0),MATCH(I$1,CalLookUpColumn,0))</f>
        <v>1</v>
      </c>
    </row>
    <row r="4106" spans="1:9" x14ac:dyDescent="0.25">
      <c r="A4106" s="7">
        <v>3</v>
      </c>
      <c r="B4106" s="8">
        <v>43528</v>
      </c>
      <c r="C4106" s="9" t="s">
        <v>5</v>
      </c>
      <c r="D4106" s="10">
        <v>2990.3649999999998</v>
      </c>
      <c r="E4106" s="10">
        <v>0</v>
      </c>
      <c r="F4106" t="str">
        <f>VLOOKUP(A4106,StoreLookup,2,FALSE)</f>
        <v>Store#3</v>
      </c>
      <c r="G4106">
        <f>INDEX(CalLookUpTable,MATCH($B4106,CalLookUpRow,0),MATCH(G$1,CalLookUpColumn,0))</f>
        <v>2019</v>
      </c>
      <c r="H4106">
        <f>INDEX(CalLookUpTable,MATCH($B4106,CalLookUpRow,0),MATCH(H$1,CalLookUpColumn,0))</f>
        <v>3</v>
      </c>
      <c r="I4106">
        <f>INDEX(CalLookUpTable,MATCH($B4106,CalLookUpRow,0),MATCH(I$1,CalLookUpColumn,0))</f>
        <v>2</v>
      </c>
    </row>
    <row r="4107" spans="1:9" x14ac:dyDescent="0.25">
      <c r="A4107" s="7">
        <v>3</v>
      </c>
      <c r="B4107" s="8">
        <v>43528</v>
      </c>
      <c r="C4107" s="9" t="s">
        <v>6</v>
      </c>
      <c r="D4107" s="10">
        <v>654.99</v>
      </c>
      <c r="E4107" s="10">
        <v>0</v>
      </c>
      <c r="F4107" t="str">
        <f>VLOOKUP(A4107,StoreLookup,2,FALSE)</f>
        <v>Store#3</v>
      </c>
      <c r="G4107">
        <f>INDEX(CalLookUpTable,MATCH($B4107,CalLookUpRow,0),MATCH(G$1,CalLookUpColumn,0))</f>
        <v>2019</v>
      </c>
      <c r="H4107">
        <f>INDEX(CalLookUpTable,MATCH($B4107,CalLookUpRow,0),MATCH(H$1,CalLookUpColumn,0))</f>
        <v>3</v>
      </c>
      <c r="I4107">
        <f>INDEX(CalLookUpTable,MATCH($B4107,CalLookUpRow,0),MATCH(I$1,CalLookUpColumn,0))</f>
        <v>2</v>
      </c>
    </row>
    <row r="4108" spans="1:9" x14ac:dyDescent="0.25">
      <c r="A4108" s="7">
        <v>3</v>
      </c>
      <c r="B4108" s="8">
        <v>43528</v>
      </c>
      <c r="C4108" s="9" t="s">
        <v>4</v>
      </c>
      <c r="D4108" s="10">
        <v>2892.4209999999998</v>
      </c>
      <c r="E4108" s="10">
        <v>0</v>
      </c>
      <c r="F4108" t="str">
        <f>VLOOKUP(A4108,StoreLookup,2,FALSE)</f>
        <v>Store#3</v>
      </c>
      <c r="G4108">
        <f>INDEX(CalLookUpTable,MATCH($B4108,CalLookUpRow,0),MATCH(G$1,CalLookUpColumn,0))</f>
        <v>2019</v>
      </c>
      <c r="H4108">
        <f>INDEX(CalLookUpTable,MATCH($B4108,CalLookUpRow,0),MATCH(H$1,CalLookUpColumn,0))</f>
        <v>3</v>
      </c>
      <c r="I4108">
        <f>INDEX(CalLookUpTable,MATCH($B4108,CalLookUpRow,0),MATCH(I$1,CalLookUpColumn,0))</f>
        <v>2</v>
      </c>
    </row>
    <row r="4109" spans="1:9" x14ac:dyDescent="0.25">
      <c r="A4109" s="7">
        <v>3</v>
      </c>
      <c r="B4109" s="8">
        <v>43528</v>
      </c>
      <c r="C4109" s="9" t="s">
        <v>3</v>
      </c>
      <c r="D4109" s="10">
        <v>203.79799999999997</v>
      </c>
      <c r="E4109" s="10">
        <v>0</v>
      </c>
      <c r="F4109" t="str">
        <f>VLOOKUP(A4109,StoreLookup,2,FALSE)</f>
        <v>Store#3</v>
      </c>
      <c r="G4109">
        <f>INDEX(CalLookUpTable,MATCH($B4109,CalLookUpRow,0),MATCH(G$1,CalLookUpColumn,0))</f>
        <v>2019</v>
      </c>
      <c r="H4109">
        <f>INDEX(CalLookUpTable,MATCH($B4109,CalLookUpRow,0),MATCH(H$1,CalLookUpColumn,0))</f>
        <v>3</v>
      </c>
      <c r="I4109">
        <f>INDEX(CalLookUpTable,MATCH($B4109,CalLookUpRow,0),MATCH(I$1,CalLookUpColumn,0))</f>
        <v>2</v>
      </c>
    </row>
    <row r="4110" spans="1:9" x14ac:dyDescent="0.25">
      <c r="A4110" s="7">
        <v>3</v>
      </c>
      <c r="B4110" s="8">
        <v>43529</v>
      </c>
      <c r="C4110" s="9" t="s">
        <v>3</v>
      </c>
      <c r="D4110" s="10">
        <v>0</v>
      </c>
      <c r="E4110" s="10">
        <v>0</v>
      </c>
      <c r="F4110" t="str">
        <f>VLOOKUP(A4110,StoreLookup,2,FALSE)</f>
        <v>Store#3</v>
      </c>
      <c r="G4110">
        <f>INDEX(CalLookUpTable,MATCH($B4110,CalLookUpRow,0),MATCH(G$1,CalLookUpColumn,0))</f>
        <v>2019</v>
      </c>
      <c r="H4110">
        <f>INDEX(CalLookUpTable,MATCH($B4110,CalLookUpRow,0),MATCH(H$1,CalLookUpColumn,0))</f>
        <v>3</v>
      </c>
      <c r="I4110">
        <f>INDEX(CalLookUpTable,MATCH($B4110,CalLookUpRow,0),MATCH(I$1,CalLookUpColumn,0))</f>
        <v>2</v>
      </c>
    </row>
    <row r="4111" spans="1:9" x14ac:dyDescent="0.25">
      <c r="A4111" s="7">
        <v>3</v>
      </c>
      <c r="B4111" s="8">
        <v>43529</v>
      </c>
      <c r="C4111" s="9" t="s">
        <v>5</v>
      </c>
      <c r="D4111" s="10">
        <v>2970.2749999999996</v>
      </c>
      <c r="E4111" s="10">
        <v>0</v>
      </c>
      <c r="F4111" t="str">
        <f>VLOOKUP(A4111,StoreLookup,2,FALSE)</f>
        <v>Store#3</v>
      </c>
      <c r="G4111">
        <f>INDEX(CalLookUpTable,MATCH($B4111,CalLookUpRow,0),MATCH(G$1,CalLookUpColumn,0))</f>
        <v>2019</v>
      </c>
      <c r="H4111">
        <f>INDEX(CalLookUpTable,MATCH($B4111,CalLookUpRow,0),MATCH(H$1,CalLookUpColumn,0))</f>
        <v>3</v>
      </c>
      <c r="I4111">
        <f>INDEX(CalLookUpTable,MATCH($B4111,CalLookUpRow,0),MATCH(I$1,CalLookUpColumn,0))</f>
        <v>2</v>
      </c>
    </row>
    <row r="4112" spans="1:9" x14ac:dyDescent="0.25">
      <c r="A4112" s="7">
        <v>3</v>
      </c>
      <c r="B4112" s="8">
        <v>43529</v>
      </c>
      <c r="C4112" s="9" t="s">
        <v>4</v>
      </c>
      <c r="D4112" s="10">
        <v>2720.5219999999999</v>
      </c>
      <c r="E4112" s="10">
        <v>0</v>
      </c>
      <c r="F4112" t="str">
        <f>VLOOKUP(A4112,StoreLookup,2,FALSE)</f>
        <v>Store#3</v>
      </c>
      <c r="G4112">
        <f>INDEX(CalLookUpTable,MATCH($B4112,CalLookUpRow,0),MATCH(G$1,CalLookUpColumn,0))</f>
        <v>2019</v>
      </c>
      <c r="H4112">
        <f>INDEX(CalLookUpTable,MATCH($B4112,CalLookUpRow,0),MATCH(H$1,CalLookUpColumn,0))</f>
        <v>3</v>
      </c>
      <c r="I4112">
        <f>INDEX(CalLookUpTable,MATCH($B4112,CalLookUpRow,0),MATCH(I$1,CalLookUpColumn,0))</f>
        <v>2</v>
      </c>
    </row>
    <row r="4113" spans="1:9" x14ac:dyDescent="0.25">
      <c r="A4113" s="7">
        <v>3</v>
      </c>
      <c r="B4113" s="8">
        <v>43529</v>
      </c>
      <c r="C4113" s="9" t="s">
        <v>6</v>
      </c>
      <c r="D4113" s="10">
        <v>856.13499999999988</v>
      </c>
      <c r="E4113" s="10">
        <v>0</v>
      </c>
      <c r="F4113" t="str">
        <f>VLOOKUP(A4113,StoreLookup,2,FALSE)</f>
        <v>Store#3</v>
      </c>
      <c r="G4113">
        <f>INDEX(CalLookUpTable,MATCH($B4113,CalLookUpRow,0),MATCH(G$1,CalLookUpColumn,0))</f>
        <v>2019</v>
      </c>
      <c r="H4113">
        <f>INDEX(CalLookUpTable,MATCH($B4113,CalLookUpRow,0),MATCH(H$1,CalLookUpColumn,0))</f>
        <v>3</v>
      </c>
      <c r="I4113">
        <f>INDEX(CalLookUpTable,MATCH($B4113,CalLookUpRow,0),MATCH(I$1,CalLookUpColumn,0))</f>
        <v>2</v>
      </c>
    </row>
    <row r="4114" spans="1:9" x14ac:dyDescent="0.25">
      <c r="A4114" s="7">
        <v>3</v>
      </c>
      <c r="B4114" s="8">
        <v>43530</v>
      </c>
      <c r="C4114" s="9" t="s">
        <v>3</v>
      </c>
      <c r="D4114" s="10">
        <v>0</v>
      </c>
      <c r="E4114" s="10">
        <v>0</v>
      </c>
      <c r="F4114" t="str">
        <f>VLOOKUP(A4114,StoreLookup,2,FALSE)</f>
        <v>Store#3</v>
      </c>
      <c r="G4114">
        <f>INDEX(CalLookUpTable,MATCH($B4114,CalLookUpRow,0),MATCH(G$1,CalLookUpColumn,0))</f>
        <v>2019</v>
      </c>
      <c r="H4114">
        <f>INDEX(CalLookUpTable,MATCH($B4114,CalLookUpRow,0),MATCH(H$1,CalLookUpColumn,0))</f>
        <v>3</v>
      </c>
      <c r="I4114">
        <f>INDEX(CalLookUpTable,MATCH($B4114,CalLookUpRow,0),MATCH(I$1,CalLookUpColumn,0))</f>
        <v>2</v>
      </c>
    </row>
    <row r="4115" spans="1:9" x14ac:dyDescent="0.25">
      <c r="A4115" s="7">
        <v>3</v>
      </c>
      <c r="B4115" s="8">
        <v>43530</v>
      </c>
      <c r="C4115" s="9" t="s">
        <v>4</v>
      </c>
      <c r="D4115" s="10">
        <v>2674.7279999999996</v>
      </c>
      <c r="E4115" s="10">
        <v>0</v>
      </c>
      <c r="F4115" t="str">
        <f>VLOOKUP(A4115,StoreLookup,2,FALSE)</f>
        <v>Store#3</v>
      </c>
      <c r="G4115">
        <f>INDEX(CalLookUpTable,MATCH($B4115,CalLookUpRow,0),MATCH(G$1,CalLookUpColumn,0))</f>
        <v>2019</v>
      </c>
      <c r="H4115">
        <f>INDEX(CalLookUpTable,MATCH($B4115,CalLookUpRow,0),MATCH(H$1,CalLookUpColumn,0))</f>
        <v>3</v>
      </c>
      <c r="I4115">
        <f>INDEX(CalLookUpTable,MATCH($B4115,CalLookUpRow,0),MATCH(I$1,CalLookUpColumn,0))</f>
        <v>2</v>
      </c>
    </row>
    <row r="4116" spans="1:9" x14ac:dyDescent="0.25">
      <c r="A4116" s="7">
        <v>3</v>
      </c>
      <c r="B4116" s="8">
        <v>43530</v>
      </c>
      <c r="C4116" s="9" t="s">
        <v>5</v>
      </c>
      <c r="D4116" s="10">
        <v>3367.9799999999996</v>
      </c>
      <c r="E4116" s="10">
        <v>0</v>
      </c>
      <c r="F4116" t="str">
        <f>VLOOKUP(A4116,StoreLookup,2,FALSE)</f>
        <v>Store#3</v>
      </c>
      <c r="G4116">
        <f>INDEX(CalLookUpTable,MATCH($B4116,CalLookUpRow,0),MATCH(G$1,CalLookUpColumn,0))</f>
        <v>2019</v>
      </c>
      <c r="H4116">
        <f>INDEX(CalLookUpTable,MATCH($B4116,CalLookUpRow,0),MATCH(H$1,CalLookUpColumn,0))</f>
        <v>3</v>
      </c>
      <c r="I4116">
        <f>INDEX(CalLookUpTable,MATCH($B4116,CalLookUpRow,0),MATCH(I$1,CalLookUpColumn,0))</f>
        <v>2</v>
      </c>
    </row>
    <row r="4117" spans="1:9" x14ac:dyDescent="0.25">
      <c r="A4117" s="7">
        <v>3</v>
      </c>
      <c r="B4117" s="8">
        <v>43530</v>
      </c>
      <c r="C4117" s="9" t="s">
        <v>6</v>
      </c>
      <c r="D4117" s="10">
        <v>733.69100000000003</v>
      </c>
      <c r="E4117" s="10">
        <v>0</v>
      </c>
      <c r="F4117" t="str">
        <f>VLOOKUP(A4117,StoreLookup,2,FALSE)</f>
        <v>Store#3</v>
      </c>
      <c r="G4117">
        <f>INDEX(CalLookUpTable,MATCH($B4117,CalLookUpRow,0),MATCH(G$1,CalLookUpColumn,0))</f>
        <v>2019</v>
      </c>
      <c r="H4117">
        <f>INDEX(CalLookUpTable,MATCH($B4117,CalLookUpRow,0),MATCH(H$1,CalLookUpColumn,0))</f>
        <v>3</v>
      </c>
      <c r="I4117">
        <f>INDEX(CalLookUpTable,MATCH($B4117,CalLookUpRow,0),MATCH(I$1,CalLookUpColumn,0))</f>
        <v>2</v>
      </c>
    </row>
    <row r="4118" spans="1:9" x14ac:dyDescent="0.25">
      <c r="A4118" s="7">
        <v>3</v>
      </c>
      <c r="B4118" s="8">
        <v>43531</v>
      </c>
      <c r="C4118" s="9" t="s">
        <v>4</v>
      </c>
      <c r="D4118" s="10">
        <v>3740.6669999999999</v>
      </c>
      <c r="E4118" s="10">
        <v>0</v>
      </c>
      <c r="F4118" t="str">
        <f>VLOOKUP(A4118,StoreLookup,2,FALSE)</f>
        <v>Store#3</v>
      </c>
      <c r="G4118">
        <f>INDEX(CalLookUpTable,MATCH($B4118,CalLookUpRow,0),MATCH(G$1,CalLookUpColumn,0))</f>
        <v>2019</v>
      </c>
      <c r="H4118">
        <f>INDEX(CalLookUpTable,MATCH($B4118,CalLookUpRow,0),MATCH(H$1,CalLookUpColumn,0))</f>
        <v>3</v>
      </c>
      <c r="I4118">
        <f>INDEX(CalLookUpTable,MATCH($B4118,CalLookUpRow,0),MATCH(I$1,CalLookUpColumn,0))</f>
        <v>2</v>
      </c>
    </row>
    <row r="4119" spans="1:9" x14ac:dyDescent="0.25">
      <c r="A4119" s="7">
        <v>3</v>
      </c>
      <c r="B4119" s="8">
        <v>43531</v>
      </c>
      <c r="C4119" s="9" t="s">
        <v>3</v>
      </c>
      <c r="D4119" s="10">
        <v>0</v>
      </c>
      <c r="E4119" s="10">
        <v>0</v>
      </c>
      <c r="F4119" t="str">
        <f>VLOOKUP(A4119,StoreLookup,2,FALSE)</f>
        <v>Store#3</v>
      </c>
      <c r="G4119">
        <f>INDEX(CalLookUpTable,MATCH($B4119,CalLookUpRow,0),MATCH(G$1,CalLookUpColumn,0))</f>
        <v>2019</v>
      </c>
      <c r="H4119">
        <f>INDEX(CalLookUpTable,MATCH($B4119,CalLookUpRow,0),MATCH(H$1,CalLookUpColumn,0))</f>
        <v>3</v>
      </c>
      <c r="I4119">
        <f>INDEX(CalLookUpTable,MATCH($B4119,CalLookUpRow,0),MATCH(I$1,CalLookUpColumn,0))</f>
        <v>2</v>
      </c>
    </row>
    <row r="4120" spans="1:9" x14ac:dyDescent="0.25">
      <c r="A4120" s="7">
        <v>3</v>
      </c>
      <c r="B4120" s="8">
        <v>43531</v>
      </c>
      <c r="C4120" s="9" t="s">
        <v>5</v>
      </c>
      <c r="D4120" s="10">
        <v>3520.5099999999998</v>
      </c>
      <c r="E4120" s="10">
        <v>0</v>
      </c>
      <c r="F4120" t="str">
        <f>VLOOKUP(A4120,StoreLookup,2,FALSE)</f>
        <v>Store#3</v>
      </c>
      <c r="G4120">
        <f>INDEX(CalLookUpTable,MATCH($B4120,CalLookUpRow,0),MATCH(G$1,CalLookUpColumn,0))</f>
        <v>2019</v>
      </c>
      <c r="H4120">
        <f>INDEX(CalLookUpTable,MATCH($B4120,CalLookUpRow,0),MATCH(H$1,CalLookUpColumn,0))</f>
        <v>3</v>
      </c>
      <c r="I4120">
        <f>INDEX(CalLookUpTable,MATCH($B4120,CalLookUpRow,0),MATCH(I$1,CalLookUpColumn,0))</f>
        <v>2</v>
      </c>
    </row>
    <row r="4121" spans="1:9" x14ac:dyDescent="0.25">
      <c r="A4121" s="7">
        <v>3</v>
      </c>
      <c r="B4121" s="8">
        <v>43531</v>
      </c>
      <c r="C4121" s="9" t="s">
        <v>6</v>
      </c>
      <c r="D4121" s="10">
        <v>813.97399999999993</v>
      </c>
      <c r="E4121" s="10">
        <v>0</v>
      </c>
      <c r="F4121" t="str">
        <f>VLOOKUP(A4121,StoreLookup,2,FALSE)</f>
        <v>Store#3</v>
      </c>
      <c r="G4121">
        <f>INDEX(CalLookUpTable,MATCH($B4121,CalLookUpRow,0),MATCH(G$1,CalLookUpColumn,0))</f>
        <v>2019</v>
      </c>
      <c r="H4121">
        <f>INDEX(CalLookUpTable,MATCH($B4121,CalLookUpRow,0),MATCH(H$1,CalLookUpColumn,0))</f>
        <v>3</v>
      </c>
      <c r="I4121">
        <f>INDEX(CalLookUpTable,MATCH($B4121,CalLookUpRow,0),MATCH(I$1,CalLookUpColumn,0))</f>
        <v>2</v>
      </c>
    </row>
    <row r="4122" spans="1:9" x14ac:dyDescent="0.25">
      <c r="A4122" s="7">
        <v>3</v>
      </c>
      <c r="B4122" s="8">
        <v>43532</v>
      </c>
      <c r="C4122" s="9" t="s">
        <v>4</v>
      </c>
      <c r="D4122" s="10">
        <v>3927.2659999999996</v>
      </c>
      <c r="E4122" s="10">
        <v>0</v>
      </c>
      <c r="F4122" t="str">
        <f>VLOOKUP(A4122,StoreLookup,2,FALSE)</f>
        <v>Store#3</v>
      </c>
      <c r="G4122">
        <f>INDEX(CalLookUpTable,MATCH($B4122,CalLookUpRow,0),MATCH(G$1,CalLookUpColumn,0))</f>
        <v>2019</v>
      </c>
      <c r="H4122">
        <f>INDEX(CalLookUpTable,MATCH($B4122,CalLookUpRow,0),MATCH(H$1,CalLookUpColumn,0))</f>
        <v>3</v>
      </c>
      <c r="I4122">
        <f>INDEX(CalLookUpTable,MATCH($B4122,CalLookUpRow,0),MATCH(I$1,CalLookUpColumn,0))</f>
        <v>2</v>
      </c>
    </row>
    <row r="4123" spans="1:9" x14ac:dyDescent="0.25">
      <c r="A4123" s="7">
        <v>3</v>
      </c>
      <c r="B4123" s="8">
        <v>43532</v>
      </c>
      <c r="C4123" s="9" t="s">
        <v>6</v>
      </c>
      <c r="D4123" s="10">
        <v>1018.521</v>
      </c>
      <c r="E4123" s="10">
        <v>0</v>
      </c>
      <c r="F4123" t="str">
        <f>VLOOKUP(A4123,StoreLookup,2,FALSE)</f>
        <v>Store#3</v>
      </c>
      <c r="G4123">
        <f>INDEX(CalLookUpTable,MATCH($B4123,CalLookUpRow,0),MATCH(G$1,CalLookUpColumn,0))</f>
        <v>2019</v>
      </c>
      <c r="H4123">
        <f>INDEX(CalLookUpTable,MATCH($B4123,CalLookUpRow,0),MATCH(H$1,CalLookUpColumn,0))</f>
        <v>3</v>
      </c>
      <c r="I4123">
        <f>INDEX(CalLookUpTable,MATCH($B4123,CalLookUpRow,0),MATCH(I$1,CalLookUpColumn,0))</f>
        <v>2</v>
      </c>
    </row>
    <row r="4124" spans="1:9" x14ac:dyDescent="0.25">
      <c r="A4124" s="7">
        <v>3</v>
      </c>
      <c r="B4124" s="8">
        <v>43532</v>
      </c>
      <c r="C4124" s="9" t="s">
        <v>5</v>
      </c>
      <c r="D4124" s="10">
        <v>3793.8040000000001</v>
      </c>
      <c r="E4124" s="10">
        <v>0</v>
      </c>
      <c r="F4124" t="str">
        <f>VLOOKUP(A4124,StoreLookup,2,FALSE)</f>
        <v>Store#3</v>
      </c>
      <c r="G4124">
        <f>INDEX(CalLookUpTable,MATCH($B4124,CalLookUpRow,0),MATCH(G$1,CalLookUpColumn,0))</f>
        <v>2019</v>
      </c>
      <c r="H4124">
        <f>INDEX(CalLookUpTable,MATCH($B4124,CalLookUpRow,0),MATCH(H$1,CalLookUpColumn,0))</f>
        <v>3</v>
      </c>
      <c r="I4124">
        <f>INDEX(CalLookUpTable,MATCH($B4124,CalLookUpRow,0),MATCH(I$1,CalLookUpColumn,0))</f>
        <v>2</v>
      </c>
    </row>
    <row r="4125" spans="1:9" x14ac:dyDescent="0.25">
      <c r="A4125" s="7">
        <v>3</v>
      </c>
      <c r="B4125" s="8">
        <v>43532</v>
      </c>
      <c r="C4125" s="9" t="s">
        <v>3</v>
      </c>
      <c r="D4125" s="10">
        <v>295.04300000000001</v>
      </c>
      <c r="E4125" s="10">
        <v>0</v>
      </c>
      <c r="F4125" t="str">
        <f>VLOOKUP(A4125,StoreLookup,2,FALSE)</f>
        <v>Store#3</v>
      </c>
      <c r="G4125">
        <f>INDEX(CalLookUpTable,MATCH($B4125,CalLookUpRow,0),MATCH(G$1,CalLookUpColumn,0))</f>
        <v>2019</v>
      </c>
      <c r="H4125">
        <f>INDEX(CalLookUpTable,MATCH($B4125,CalLookUpRow,0),MATCH(H$1,CalLookUpColumn,0))</f>
        <v>3</v>
      </c>
      <c r="I4125">
        <f>INDEX(CalLookUpTable,MATCH($B4125,CalLookUpRow,0),MATCH(I$1,CalLookUpColumn,0))</f>
        <v>2</v>
      </c>
    </row>
    <row r="4126" spans="1:9" x14ac:dyDescent="0.25">
      <c r="A4126" s="7">
        <v>3</v>
      </c>
      <c r="B4126" s="8">
        <v>43533</v>
      </c>
      <c r="C4126" s="9" t="s">
        <v>5</v>
      </c>
      <c r="D4126" s="10">
        <v>3457.9019999999996</v>
      </c>
      <c r="E4126" s="10">
        <v>0</v>
      </c>
      <c r="F4126" t="str">
        <f>VLOOKUP(A4126,StoreLookup,2,FALSE)</f>
        <v>Store#3</v>
      </c>
      <c r="G4126">
        <f>INDEX(CalLookUpTable,MATCH($B4126,CalLookUpRow,0),MATCH(G$1,CalLookUpColumn,0))</f>
        <v>2019</v>
      </c>
      <c r="H4126">
        <f>INDEX(CalLookUpTable,MATCH($B4126,CalLookUpRow,0),MATCH(H$1,CalLookUpColumn,0))</f>
        <v>3</v>
      </c>
      <c r="I4126">
        <f>INDEX(CalLookUpTable,MATCH($B4126,CalLookUpRow,0),MATCH(I$1,CalLookUpColumn,0))</f>
        <v>2</v>
      </c>
    </row>
    <row r="4127" spans="1:9" x14ac:dyDescent="0.25">
      <c r="A4127" s="7">
        <v>3</v>
      </c>
      <c r="B4127" s="8">
        <v>43533</v>
      </c>
      <c r="C4127" s="9" t="s">
        <v>6</v>
      </c>
      <c r="D4127" s="10">
        <v>1031.0999999999999</v>
      </c>
      <c r="E4127" s="10">
        <v>0</v>
      </c>
      <c r="F4127" t="str">
        <f>VLOOKUP(A4127,StoreLookup,2,FALSE)</f>
        <v>Store#3</v>
      </c>
      <c r="G4127">
        <f>INDEX(CalLookUpTable,MATCH($B4127,CalLookUpRow,0),MATCH(G$1,CalLookUpColumn,0))</f>
        <v>2019</v>
      </c>
      <c r="H4127">
        <f>INDEX(CalLookUpTable,MATCH($B4127,CalLookUpRow,0),MATCH(H$1,CalLookUpColumn,0))</f>
        <v>3</v>
      </c>
      <c r="I4127">
        <f>INDEX(CalLookUpTable,MATCH($B4127,CalLookUpRow,0),MATCH(I$1,CalLookUpColumn,0))</f>
        <v>2</v>
      </c>
    </row>
    <row r="4128" spans="1:9" x14ac:dyDescent="0.25">
      <c r="A4128" s="7">
        <v>3</v>
      </c>
      <c r="B4128" s="8">
        <v>43533</v>
      </c>
      <c r="C4128" s="9" t="s">
        <v>4</v>
      </c>
      <c r="D4128" s="10">
        <v>3671.8079999999995</v>
      </c>
      <c r="E4128" s="10">
        <v>0</v>
      </c>
      <c r="F4128" t="str">
        <f>VLOOKUP(A4128,StoreLookup,2,FALSE)</f>
        <v>Store#3</v>
      </c>
      <c r="G4128">
        <f>INDEX(CalLookUpTable,MATCH($B4128,CalLookUpRow,0),MATCH(G$1,CalLookUpColumn,0))</f>
        <v>2019</v>
      </c>
      <c r="H4128">
        <f>INDEX(CalLookUpTable,MATCH($B4128,CalLookUpRow,0),MATCH(H$1,CalLookUpColumn,0))</f>
        <v>3</v>
      </c>
      <c r="I4128">
        <f>INDEX(CalLookUpTable,MATCH($B4128,CalLookUpRow,0),MATCH(I$1,CalLookUpColumn,0))</f>
        <v>2</v>
      </c>
    </row>
    <row r="4129" spans="1:9" x14ac:dyDescent="0.25">
      <c r="A4129" s="7">
        <v>3</v>
      </c>
      <c r="B4129" s="8">
        <v>43533</v>
      </c>
      <c r="C4129" s="9" t="s">
        <v>3</v>
      </c>
      <c r="D4129" s="10">
        <v>9.0860000000000003</v>
      </c>
      <c r="E4129" s="10">
        <v>0</v>
      </c>
      <c r="F4129" t="str">
        <f>VLOOKUP(A4129,StoreLookup,2,FALSE)</f>
        <v>Store#3</v>
      </c>
      <c r="G4129">
        <f>INDEX(CalLookUpTable,MATCH($B4129,CalLookUpRow,0),MATCH(G$1,CalLookUpColumn,0))</f>
        <v>2019</v>
      </c>
      <c r="H4129">
        <f>INDEX(CalLookUpTable,MATCH($B4129,CalLookUpRow,0),MATCH(H$1,CalLookUpColumn,0))</f>
        <v>3</v>
      </c>
      <c r="I4129">
        <f>INDEX(CalLookUpTable,MATCH($B4129,CalLookUpRow,0),MATCH(I$1,CalLookUpColumn,0))</f>
        <v>2</v>
      </c>
    </row>
    <row r="4130" spans="1:9" x14ac:dyDescent="0.25">
      <c r="A4130" s="7">
        <v>3</v>
      </c>
      <c r="B4130" s="8">
        <v>43534</v>
      </c>
      <c r="C4130" s="9" t="s">
        <v>4</v>
      </c>
      <c r="D4130" s="10">
        <v>2258.8789999999999</v>
      </c>
      <c r="E4130" s="10">
        <v>0</v>
      </c>
      <c r="F4130" t="str">
        <f>VLOOKUP(A4130,StoreLookup,2,FALSE)</f>
        <v>Store#3</v>
      </c>
      <c r="G4130">
        <f>INDEX(CalLookUpTable,MATCH($B4130,CalLookUpRow,0),MATCH(G$1,CalLookUpColumn,0))</f>
        <v>2019</v>
      </c>
      <c r="H4130">
        <f>INDEX(CalLookUpTable,MATCH($B4130,CalLookUpRow,0),MATCH(H$1,CalLookUpColumn,0))</f>
        <v>3</v>
      </c>
      <c r="I4130">
        <f>INDEX(CalLookUpTable,MATCH($B4130,CalLookUpRow,0),MATCH(I$1,CalLookUpColumn,0))</f>
        <v>2</v>
      </c>
    </row>
    <row r="4131" spans="1:9" x14ac:dyDescent="0.25">
      <c r="A4131" s="7">
        <v>3</v>
      </c>
      <c r="B4131" s="8">
        <v>43534</v>
      </c>
      <c r="C4131" s="9" t="s">
        <v>5</v>
      </c>
      <c r="D4131" s="10">
        <v>2592.8209999999999</v>
      </c>
      <c r="E4131" s="10">
        <v>0</v>
      </c>
      <c r="F4131" t="str">
        <f>VLOOKUP(A4131,StoreLookup,2,FALSE)</f>
        <v>Store#3</v>
      </c>
      <c r="G4131">
        <f>INDEX(CalLookUpTable,MATCH($B4131,CalLookUpRow,0),MATCH(G$1,CalLookUpColumn,0))</f>
        <v>2019</v>
      </c>
      <c r="H4131">
        <f>INDEX(CalLookUpTable,MATCH($B4131,CalLookUpRow,0),MATCH(H$1,CalLookUpColumn,0))</f>
        <v>3</v>
      </c>
      <c r="I4131">
        <f>INDEX(CalLookUpTable,MATCH($B4131,CalLookUpRow,0),MATCH(I$1,CalLookUpColumn,0))</f>
        <v>2</v>
      </c>
    </row>
    <row r="4132" spans="1:9" x14ac:dyDescent="0.25">
      <c r="A4132" s="7">
        <v>3</v>
      </c>
      <c r="B4132" s="8">
        <v>43534</v>
      </c>
      <c r="C4132" s="9" t="s">
        <v>3</v>
      </c>
      <c r="D4132" s="10">
        <v>111.405</v>
      </c>
      <c r="E4132" s="10">
        <v>0</v>
      </c>
      <c r="F4132" t="str">
        <f>VLOOKUP(A4132,StoreLookup,2,FALSE)</f>
        <v>Store#3</v>
      </c>
      <c r="G4132">
        <f>INDEX(CalLookUpTable,MATCH($B4132,CalLookUpRow,0),MATCH(G$1,CalLookUpColumn,0))</f>
        <v>2019</v>
      </c>
      <c r="H4132">
        <f>INDEX(CalLookUpTable,MATCH($B4132,CalLookUpRow,0),MATCH(H$1,CalLookUpColumn,0))</f>
        <v>3</v>
      </c>
      <c r="I4132">
        <f>INDEX(CalLookUpTable,MATCH($B4132,CalLookUpRow,0),MATCH(I$1,CalLookUpColumn,0))</f>
        <v>2</v>
      </c>
    </row>
    <row r="4133" spans="1:9" x14ac:dyDescent="0.25">
      <c r="A4133" s="7">
        <v>3</v>
      </c>
      <c r="B4133" s="8">
        <v>43534</v>
      </c>
      <c r="C4133" s="9" t="s">
        <v>6</v>
      </c>
      <c r="D4133" s="10">
        <v>487.78800000000001</v>
      </c>
      <c r="E4133" s="10">
        <v>0</v>
      </c>
      <c r="F4133" t="str">
        <f>VLOOKUP(A4133,StoreLookup,2,FALSE)</f>
        <v>Store#3</v>
      </c>
      <c r="G4133">
        <f>INDEX(CalLookUpTable,MATCH($B4133,CalLookUpRow,0),MATCH(G$1,CalLookUpColumn,0))</f>
        <v>2019</v>
      </c>
      <c r="H4133">
        <f>INDEX(CalLookUpTable,MATCH($B4133,CalLookUpRow,0),MATCH(H$1,CalLookUpColumn,0))</f>
        <v>3</v>
      </c>
      <c r="I4133">
        <f>INDEX(CalLookUpTable,MATCH($B4133,CalLookUpRow,0),MATCH(I$1,CalLookUpColumn,0))</f>
        <v>2</v>
      </c>
    </row>
    <row r="4134" spans="1:9" x14ac:dyDescent="0.25">
      <c r="A4134" s="7">
        <v>3</v>
      </c>
      <c r="B4134" s="8">
        <v>43535</v>
      </c>
      <c r="C4134" s="9" t="s">
        <v>3</v>
      </c>
      <c r="D4134" s="10">
        <v>0</v>
      </c>
      <c r="E4134" s="10">
        <v>0</v>
      </c>
      <c r="F4134" t="str">
        <f>VLOOKUP(A4134,StoreLookup,2,FALSE)</f>
        <v>Store#3</v>
      </c>
      <c r="G4134">
        <f>INDEX(CalLookUpTable,MATCH($B4134,CalLookUpRow,0),MATCH(G$1,CalLookUpColumn,0))</f>
        <v>2019</v>
      </c>
      <c r="H4134">
        <f>INDEX(CalLookUpTable,MATCH($B4134,CalLookUpRow,0),MATCH(H$1,CalLookUpColumn,0))</f>
        <v>3</v>
      </c>
      <c r="I4134">
        <f>INDEX(CalLookUpTable,MATCH($B4134,CalLookUpRow,0),MATCH(I$1,CalLookUpColumn,0))</f>
        <v>3</v>
      </c>
    </row>
    <row r="4135" spans="1:9" x14ac:dyDescent="0.25">
      <c r="A4135" s="7">
        <v>3</v>
      </c>
      <c r="B4135" s="8">
        <v>43535</v>
      </c>
      <c r="C4135" s="9" t="s">
        <v>4</v>
      </c>
      <c r="D4135" s="10">
        <v>2742.7889999999998</v>
      </c>
      <c r="E4135" s="10">
        <v>0</v>
      </c>
      <c r="F4135" t="str">
        <f>VLOOKUP(A4135,StoreLookup,2,FALSE)</f>
        <v>Store#3</v>
      </c>
      <c r="G4135">
        <f>INDEX(CalLookUpTable,MATCH($B4135,CalLookUpRow,0),MATCH(G$1,CalLookUpColumn,0))</f>
        <v>2019</v>
      </c>
      <c r="H4135">
        <f>INDEX(CalLookUpTable,MATCH($B4135,CalLookUpRow,0),MATCH(H$1,CalLookUpColumn,0))</f>
        <v>3</v>
      </c>
      <c r="I4135">
        <f>INDEX(CalLookUpTable,MATCH($B4135,CalLookUpRow,0),MATCH(I$1,CalLookUpColumn,0))</f>
        <v>3</v>
      </c>
    </row>
    <row r="4136" spans="1:9" x14ac:dyDescent="0.25">
      <c r="A4136" s="7">
        <v>3</v>
      </c>
      <c r="B4136" s="8">
        <v>43535</v>
      </c>
      <c r="C4136" s="9" t="s">
        <v>6</v>
      </c>
      <c r="D4136" s="10">
        <v>307.83199999999999</v>
      </c>
      <c r="E4136" s="10">
        <v>0</v>
      </c>
      <c r="F4136" t="str">
        <f>VLOOKUP(A4136,StoreLookup,2,FALSE)</f>
        <v>Store#3</v>
      </c>
      <c r="G4136">
        <f>INDEX(CalLookUpTable,MATCH($B4136,CalLookUpRow,0),MATCH(G$1,CalLookUpColumn,0))</f>
        <v>2019</v>
      </c>
      <c r="H4136">
        <f>INDEX(CalLookUpTable,MATCH($B4136,CalLookUpRow,0),MATCH(H$1,CalLookUpColumn,0))</f>
        <v>3</v>
      </c>
      <c r="I4136">
        <f>INDEX(CalLookUpTable,MATCH($B4136,CalLookUpRow,0),MATCH(I$1,CalLookUpColumn,0))</f>
        <v>3</v>
      </c>
    </row>
    <row r="4137" spans="1:9" x14ac:dyDescent="0.25">
      <c r="A4137" s="7">
        <v>3</v>
      </c>
      <c r="B4137" s="8">
        <v>43535</v>
      </c>
      <c r="C4137" s="9" t="s">
        <v>5</v>
      </c>
      <c r="D4137" s="10">
        <v>3064.5509999999999</v>
      </c>
      <c r="E4137" s="10">
        <v>0</v>
      </c>
      <c r="F4137" t="str">
        <f>VLOOKUP(A4137,StoreLookup,2,FALSE)</f>
        <v>Store#3</v>
      </c>
      <c r="G4137">
        <f>INDEX(CalLookUpTable,MATCH($B4137,CalLookUpRow,0),MATCH(G$1,CalLookUpColumn,0))</f>
        <v>2019</v>
      </c>
      <c r="H4137">
        <f>INDEX(CalLookUpTable,MATCH($B4137,CalLookUpRow,0),MATCH(H$1,CalLookUpColumn,0))</f>
        <v>3</v>
      </c>
      <c r="I4137">
        <f>INDEX(CalLookUpTable,MATCH($B4137,CalLookUpRow,0),MATCH(I$1,CalLookUpColumn,0))</f>
        <v>3</v>
      </c>
    </row>
    <row r="4138" spans="1:9" x14ac:dyDescent="0.25">
      <c r="A4138" s="7">
        <v>3</v>
      </c>
      <c r="B4138" s="8">
        <v>43536</v>
      </c>
      <c r="C4138" s="9" t="s">
        <v>6</v>
      </c>
      <c r="D4138" s="10">
        <v>1082.3329999999999</v>
      </c>
      <c r="E4138" s="10">
        <v>0</v>
      </c>
      <c r="F4138" t="str">
        <f>VLOOKUP(A4138,StoreLookup,2,FALSE)</f>
        <v>Store#3</v>
      </c>
      <c r="G4138">
        <f>INDEX(CalLookUpTable,MATCH($B4138,CalLookUpRow,0),MATCH(G$1,CalLookUpColumn,0))</f>
        <v>2019</v>
      </c>
      <c r="H4138">
        <f>INDEX(CalLookUpTable,MATCH($B4138,CalLookUpRow,0),MATCH(H$1,CalLookUpColumn,0))</f>
        <v>3</v>
      </c>
      <c r="I4138">
        <f>INDEX(CalLookUpTable,MATCH($B4138,CalLookUpRow,0),MATCH(I$1,CalLookUpColumn,0))</f>
        <v>3</v>
      </c>
    </row>
    <row r="4139" spans="1:9" x14ac:dyDescent="0.25">
      <c r="A4139" s="7">
        <v>3</v>
      </c>
      <c r="B4139" s="8">
        <v>43536</v>
      </c>
      <c r="C4139" s="9" t="s">
        <v>4</v>
      </c>
      <c r="D4139" s="10">
        <v>2900.4989999999998</v>
      </c>
      <c r="E4139" s="10">
        <v>0</v>
      </c>
      <c r="F4139" t="str">
        <f>VLOOKUP(A4139,StoreLookup,2,FALSE)</f>
        <v>Store#3</v>
      </c>
      <c r="G4139">
        <f>INDEX(CalLookUpTable,MATCH($B4139,CalLookUpRow,0),MATCH(G$1,CalLookUpColumn,0))</f>
        <v>2019</v>
      </c>
      <c r="H4139">
        <f>INDEX(CalLookUpTable,MATCH($B4139,CalLookUpRow,0),MATCH(H$1,CalLookUpColumn,0))</f>
        <v>3</v>
      </c>
      <c r="I4139">
        <f>INDEX(CalLookUpTable,MATCH($B4139,CalLookUpRow,0),MATCH(I$1,CalLookUpColumn,0))</f>
        <v>3</v>
      </c>
    </row>
    <row r="4140" spans="1:9" x14ac:dyDescent="0.25">
      <c r="A4140" s="7">
        <v>3</v>
      </c>
      <c r="B4140" s="8">
        <v>43536</v>
      </c>
      <c r="C4140" s="9" t="s">
        <v>3</v>
      </c>
      <c r="D4140" s="10">
        <v>0</v>
      </c>
      <c r="E4140" s="10">
        <v>0</v>
      </c>
      <c r="F4140" t="str">
        <f>VLOOKUP(A4140,StoreLookup,2,FALSE)</f>
        <v>Store#3</v>
      </c>
      <c r="G4140">
        <f>INDEX(CalLookUpTable,MATCH($B4140,CalLookUpRow,0),MATCH(G$1,CalLookUpColumn,0))</f>
        <v>2019</v>
      </c>
      <c r="H4140">
        <f>INDEX(CalLookUpTable,MATCH($B4140,CalLookUpRow,0),MATCH(H$1,CalLookUpColumn,0))</f>
        <v>3</v>
      </c>
      <c r="I4140">
        <f>INDEX(CalLookUpTable,MATCH($B4140,CalLookUpRow,0),MATCH(I$1,CalLookUpColumn,0))</f>
        <v>3</v>
      </c>
    </row>
    <row r="4141" spans="1:9" x14ac:dyDescent="0.25">
      <c r="A4141" s="7">
        <v>3</v>
      </c>
      <c r="B4141" s="8">
        <v>43536</v>
      </c>
      <c r="C4141" s="9" t="s">
        <v>5</v>
      </c>
      <c r="D4141" s="10">
        <v>2888.578</v>
      </c>
      <c r="E4141" s="10">
        <v>0</v>
      </c>
      <c r="F4141" t="str">
        <f>VLOOKUP(A4141,StoreLookup,2,FALSE)</f>
        <v>Store#3</v>
      </c>
      <c r="G4141">
        <f>INDEX(CalLookUpTable,MATCH($B4141,CalLookUpRow,0),MATCH(G$1,CalLookUpColumn,0))</f>
        <v>2019</v>
      </c>
      <c r="H4141">
        <f>INDEX(CalLookUpTable,MATCH($B4141,CalLookUpRow,0),MATCH(H$1,CalLookUpColumn,0))</f>
        <v>3</v>
      </c>
      <c r="I4141">
        <f>INDEX(CalLookUpTable,MATCH($B4141,CalLookUpRow,0),MATCH(I$1,CalLookUpColumn,0))</f>
        <v>3</v>
      </c>
    </row>
    <row r="4142" spans="1:9" x14ac:dyDescent="0.25">
      <c r="A4142" s="7">
        <v>3</v>
      </c>
      <c r="B4142" s="8">
        <v>43537</v>
      </c>
      <c r="C4142" s="9" t="s">
        <v>5</v>
      </c>
      <c r="D4142" s="10">
        <v>3194.4569999999999</v>
      </c>
      <c r="E4142" s="10">
        <v>0</v>
      </c>
      <c r="F4142" t="str">
        <f>VLOOKUP(A4142,StoreLookup,2,FALSE)</f>
        <v>Store#3</v>
      </c>
      <c r="G4142">
        <f>INDEX(CalLookUpTable,MATCH($B4142,CalLookUpRow,0),MATCH(G$1,CalLookUpColumn,0))</f>
        <v>2019</v>
      </c>
      <c r="H4142">
        <f>INDEX(CalLookUpTable,MATCH($B4142,CalLookUpRow,0),MATCH(H$1,CalLookUpColumn,0))</f>
        <v>3</v>
      </c>
      <c r="I4142">
        <f>INDEX(CalLookUpTable,MATCH($B4142,CalLookUpRow,0),MATCH(I$1,CalLookUpColumn,0))</f>
        <v>3</v>
      </c>
    </row>
    <row r="4143" spans="1:9" x14ac:dyDescent="0.25">
      <c r="A4143" s="7">
        <v>3</v>
      </c>
      <c r="B4143" s="8">
        <v>43537</v>
      </c>
      <c r="C4143" s="9" t="s">
        <v>3</v>
      </c>
      <c r="D4143" s="10">
        <v>26.410999999999998</v>
      </c>
      <c r="E4143" s="10">
        <v>0</v>
      </c>
      <c r="F4143" t="str">
        <f>VLOOKUP(A4143,StoreLookup,2,FALSE)</f>
        <v>Store#3</v>
      </c>
      <c r="G4143">
        <f>INDEX(CalLookUpTable,MATCH($B4143,CalLookUpRow,0),MATCH(G$1,CalLookUpColumn,0))</f>
        <v>2019</v>
      </c>
      <c r="H4143">
        <f>INDEX(CalLookUpTable,MATCH($B4143,CalLookUpRow,0),MATCH(H$1,CalLookUpColumn,0))</f>
        <v>3</v>
      </c>
      <c r="I4143">
        <f>INDEX(CalLookUpTable,MATCH($B4143,CalLookUpRow,0),MATCH(I$1,CalLookUpColumn,0))</f>
        <v>3</v>
      </c>
    </row>
    <row r="4144" spans="1:9" x14ac:dyDescent="0.25">
      <c r="A4144" s="7">
        <v>3</v>
      </c>
      <c r="B4144" s="8">
        <v>43537</v>
      </c>
      <c r="C4144" s="9" t="s">
        <v>4</v>
      </c>
      <c r="D4144" s="10">
        <v>2487.471</v>
      </c>
      <c r="E4144" s="10">
        <v>0</v>
      </c>
      <c r="F4144" t="str">
        <f>VLOOKUP(A4144,StoreLookup,2,FALSE)</f>
        <v>Store#3</v>
      </c>
      <c r="G4144">
        <f>INDEX(CalLookUpTable,MATCH($B4144,CalLookUpRow,0),MATCH(G$1,CalLookUpColumn,0))</f>
        <v>2019</v>
      </c>
      <c r="H4144">
        <f>INDEX(CalLookUpTable,MATCH($B4144,CalLookUpRow,0),MATCH(H$1,CalLookUpColumn,0))</f>
        <v>3</v>
      </c>
      <c r="I4144">
        <f>INDEX(CalLookUpTable,MATCH($B4144,CalLookUpRow,0),MATCH(I$1,CalLookUpColumn,0))</f>
        <v>3</v>
      </c>
    </row>
    <row r="4145" spans="1:9" x14ac:dyDescent="0.25">
      <c r="A4145" s="7">
        <v>3</v>
      </c>
      <c r="B4145" s="8">
        <v>43537</v>
      </c>
      <c r="C4145" s="9" t="s">
        <v>6</v>
      </c>
      <c r="D4145" s="10">
        <v>1011.472</v>
      </c>
      <c r="E4145" s="10">
        <v>0</v>
      </c>
      <c r="F4145" t="str">
        <f>VLOOKUP(A4145,StoreLookup,2,FALSE)</f>
        <v>Store#3</v>
      </c>
      <c r="G4145">
        <f>INDEX(CalLookUpTable,MATCH($B4145,CalLookUpRow,0),MATCH(G$1,CalLookUpColumn,0))</f>
        <v>2019</v>
      </c>
      <c r="H4145">
        <f>INDEX(CalLookUpTable,MATCH($B4145,CalLookUpRow,0),MATCH(H$1,CalLookUpColumn,0))</f>
        <v>3</v>
      </c>
      <c r="I4145">
        <f>INDEX(CalLookUpTable,MATCH($B4145,CalLookUpRow,0),MATCH(I$1,CalLookUpColumn,0))</f>
        <v>3</v>
      </c>
    </row>
    <row r="4146" spans="1:9" x14ac:dyDescent="0.25">
      <c r="A4146" s="7">
        <v>3</v>
      </c>
      <c r="B4146" s="8">
        <v>43538</v>
      </c>
      <c r="C4146" s="9" t="s">
        <v>6</v>
      </c>
      <c r="D4146" s="10">
        <v>650.41899999999998</v>
      </c>
      <c r="E4146" s="10">
        <v>0</v>
      </c>
      <c r="F4146" t="str">
        <f>VLOOKUP(A4146,StoreLookup,2,FALSE)</f>
        <v>Store#3</v>
      </c>
      <c r="G4146">
        <f>INDEX(CalLookUpTable,MATCH($B4146,CalLookUpRow,0),MATCH(G$1,CalLookUpColumn,0))</f>
        <v>2019</v>
      </c>
      <c r="H4146">
        <f>INDEX(CalLookUpTable,MATCH($B4146,CalLookUpRow,0),MATCH(H$1,CalLookUpColumn,0))</f>
        <v>3</v>
      </c>
      <c r="I4146">
        <f>INDEX(CalLookUpTable,MATCH($B4146,CalLookUpRow,0),MATCH(I$1,CalLookUpColumn,0))</f>
        <v>3</v>
      </c>
    </row>
    <row r="4147" spans="1:9" x14ac:dyDescent="0.25">
      <c r="A4147" s="7">
        <v>3</v>
      </c>
      <c r="B4147" s="8">
        <v>43538</v>
      </c>
      <c r="C4147" s="9" t="s">
        <v>3</v>
      </c>
      <c r="D4147" s="10">
        <v>134.98099999999999</v>
      </c>
      <c r="E4147" s="10">
        <v>0</v>
      </c>
      <c r="F4147" t="str">
        <f>VLOOKUP(A4147,StoreLookup,2,FALSE)</f>
        <v>Store#3</v>
      </c>
      <c r="G4147">
        <f>INDEX(CalLookUpTable,MATCH($B4147,CalLookUpRow,0),MATCH(G$1,CalLookUpColumn,0))</f>
        <v>2019</v>
      </c>
      <c r="H4147">
        <f>INDEX(CalLookUpTable,MATCH($B4147,CalLookUpRow,0),MATCH(H$1,CalLookUpColumn,0))</f>
        <v>3</v>
      </c>
      <c r="I4147">
        <f>INDEX(CalLookUpTable,MATCH($B4147,CalLookUpRow,0),MATCH(I$1,CalLookUpColumn,0))</f>
        <v>3</v>
      </c>
    </row>
    <row r="4148" spans="1:9" x14ac:dyDescent="0.25">
      <c r="A4148" s="7">
        <v>3</v>
      </c>
      <c r="B4148" s="8">
        <v>43538</v>
      </c>
      <c r="C4148" s="9" t="s">
        <v>5</v>
      </c>
      <c r="D4148" s="10">
        <v>3403.6029999999996</v>
      </c>
      <c r="E4148" s="10">
        <v>0</v>
      </c>
      <c r="F4148" t="str">
        <f>VLOOKUP(A4148,StoreLookup,2,FALSE)</f>
        <v>Store#3</v>
      </c>
      <c r="G4148">
        <f>INDEX(CalLookUpTable,MATCH($B4148,CalLookUpRow,0),MATCH(G$1,CalLookUpColumn,0))</f>
        <v>2019</v>
      </c>
      <c r="H4148">
        <f>INDEX(CalLookUpTable,MATCH($B4148,CalLookUpRow,0),MATCH(H$1,CalLookUpColumn,0))</f>
        <v>3</v>
      </c>
      <c r="I4148">
        <f>INDEX(CalLookUpTable,MATCH($B4148,CalLookUpRow,0),MATCH(I$1,CalLookUpColumn,0))</f>
        <v>3</v>
      </c>
    </row>
    <row r="4149" spans="1:9" x14ac:dyDescent="0.25">
      <c r="A4149" s="7">
        <v>3</v>
      </c>
      <c r="B4149" s="8">
        <v>43538</v>
      </c>
      <c r="C4149" s="9" t="s">
        <v>4</v>
      </c>
      <c r="D4149" s="10">
        <v>3557.7989999999995</v>
      </c>
      <c r="E4149" s="10">
        <v>0</v>
      </c>
      <c r="F4149" t="str">
        <f>VLOOKUP(A4149,StoreLookup,2,FALSE)</f>
        <v>Store#3</v>
      </c>
      <c r="G4149">
        <f>INDEX(CalLookUpTable,MATCH($B4149,CalLookUpRow,0),MATCH(G$1,CalLookUpColumn,0))</f>
        <v>2019</v>
      </c>
      <c r="H4149">
        <f>INDEX(CalLookUpTable,MATCH($B4149,CalLookUpRow,0),MATCH(H$1,CalLookUpColumn,0))</f>
        <v>3</v>
      </c>
      <c r="I4149">
        <f>INDEX(CalLookUpTable,MATCH($B4149,CalLookUpRow,0),MATCH(I$1,CalLookUpColumn,0))</f>
        <v>3</v>
      </c>
    </row>
    <row r="4150" spans="1:9" x14ac:dyDescent="0.25">
      <c r="A4150" s="7">
        <v>3</v>
      </c>
      <c r="B4150" s="8">
        <v>43539</v>
      </c>
      <c r="C4150" s="9" t="s">
        <v>6</v>
      </c>
      <c r="D4150" s="10">
        <v>1073.8699999999999</v>
      </c>
      <c r="E4150" s="10">
        <v>0</v>
      </c>
      <c r="F4150" t="str">
        <f>VLOOKUP(A4150,StoreLookup,2,FALSE)</f>
        <v>Store#3</v>
      </c>
      <c r="G4150">
        <f>INDEX(CalLookUpTable,MATCH($B4150,CalLookUpRow,0),MATCH(G$1,CalLookUpColumn,0))</f>
        <v>2019</v>
      </c>
      <c r="H4150">
        <f>INDEX(CalLookUpTable,MATCH($B4150,CalLookUpRow,0),MATCH(H$1,CalLookUpColumn,0))</f>
        <v>3</v>
      </c>
      <c r="I4150">
        <f>INDEX(CalLookUpTable,MATCH($B4150,CalLookUpRow,0),MATCH(I$1,CalLookUpColumn,0))</f>
        <v>3</v>
      </c>
    </row>
    <row r="4151" spans="1:9" x14ac:dyDescent="0.25">
      <c r="A4151" s="7">
        <v>3</v>
      </c>
      <c r="B4151" s="8">
        <v>43539</v>
      </c>
      <c r="C4151" s="9" t="s">
        <v>5</v>
      </c>
      <c r="D4151" s="10">
        <v>3853.6679999999997</v>
      </c>
      <c r="E4151" s="10">
        <v>0</v>
      </c>
      <c r="F4151" t="str">
        <f>VLOOKUP(A4151,StoreLookup,2,FALSE)</f>
        <v>Store#3</v>
      </c>
      <c r="G4151">
        <f>INDEX(CalLookUpTable,MATCH($B4151,CalLookUpRow,0),MATCH(G$1,CalLookUpColumn,0))</f>
        <v>2019</v>
      </c>
      <c r="H4151">
        <f>INDEX(CalLookUpTable,MATCH($B4151,CalLookUpRow,0),MATCH(H$1,CalLookUpColumn,0))</f>
        <v>3</v>
      </c>
      <c r="I4151">
        <f>INDEX(CalLookUpTable,MATCH($B4151,CalLookUpRow,0),MATCH(I$1,CalLookUpColumn,0))</f>
        <v>3</v>
      </c>
    </row>
    <row r="4152" spans="1:9" x14ac:dyDescent="0.25">
      <c r="A4152" s="7">
        <v>3</v>
      </c>
      <c r="B4152" s="8">
        <v>43539</v>
      </c>
      <c r="C4152" s="9" t="s">
        <v>3</v>
      </c>
      <c r="D4152" s="10">
        <v>0</v>
      </c>
      <c r="E4152" s="10">
        <v>0</v>
      </c>
      <c r="F4152" t="str">
        <f>VLOOKUP(A4152,StoreLookup,2,FALSE)</f>
        <v>Store#3</v>
      </c>
      <c r="G4152">
        <f>INDEX(CalLookUpTable,MATCH($B4152,CalLookUpRow,0),MATCH(G$1,CalLookUpColumn,0))</f>
        <v>2019</v>
      </c>
      <c r="H4152">
        <f>INDEX(CalLookUpTable,MATCH($B4152,CalLookUpRow,0),MATCH(H$1,CalLookUpColumn,0))</f>
        <v>3</v>
      </c>
      <c r="I4152">
        <f>INDEX(CalLookUpTable,MATCH($B4152,CalLookUpRow,0),MATCH(I$1,CalLookUpColumn,0))</f>
        <v>3</v>
      </c>
    </row>
    <row r="4153" spans="1:9" x14ac:dyDescent="0.25">
      <c r="A4153" s="7">
        <v>3</v>
      </c>
      <c r="B4153" s="8">
        <v>43539</v>
      </c>
      <c r="C4153" s="9" t="s">
        <v>4</v>
      </c>
      <c r="D4153" s="10">
        <v>4247.9079999999994</v>
      </c>
      <c r="E4153" s="10">
        <v>0</v>
      </c>
      <c r="F4153" t="str">
        <f>VLOOKUP(A4153,StoreLookup,2,FALSE)</f>
        <v>Store#3</v>
      </c>
      <c r="G4153">
        <f>INDEX(CalLookUpTable,MATCH($B4153,CalLookUpRow,0),MATCH(G$1,CalLookUpColumn,0))</f>
        <v>2019</v>
      </c>
      <c r="H4153">
        <f>INDEX(CalLookUpTable,MATCH($B4153,CalLookUpRow,0),MATCH(H$1,CalLookUpColumn,0))</f>
        <v>3</v>
      </c>
      <c r="I4153">
        <f>INDEX(CalLookUpTable,MATCH($B4153,CalLookUpRow,0),MATCH(I$1,CalLookUpColumn,0))</f>
        <v>3</v>
      </c>
    </row>
    <row r="4154" spans="1:9" x14ac:dyDescent="0.25">
      <c r="A4154" s="7">
        <v>3</v>
      </c>
      <c r="B4154" s="8">
        <v>43540</v>
      </c>
      <c r="C4154" s="9" t="s">
        <v>3</v>
      </c>
      <c r="D4154" s="10">
        <v>153.85999999999999</v>
      </c>
      <c r="E4154" s="10">
        <v>0</v>
      </c>
      <c r="F4154" t="str">
        <f>VLOOKUP(A4154,StoreLookup,2,FALSE)</f>
        <v>Store#3</v>
      </c>
      <c r="G4154">
        <f>INDEX(CalLookUpTable,MATCH($B4154,CalLookUpRow,0),MATCH(G$1,CalLookUpColumn,0))</f>
        <v>2019</v>
      </c>
      <c r="H4154">
        <f>INDEX(CalLookUpTable,MATCH($B4154,CalLookUpRow,0),MATCH(H$1,CalLookUpColumn,0))</f>
        <v>3</v>
      </c>
      <c r="I4154">
        <f>INDEX(CalLookUpTable,MATCH($B4154,CalLookUpRow,0),MATCH(I$1,CalLookUpColumn,0))</f>
        <v>3</v>
      </c>
    </row>
    <row r="4155" spans="1:9" x14ac:dyDescent="0.25">
      <c r="A4155" s="7">
        <v>3</v>
      </c>
      <c r="B4155" s="8">
        <v>43540</v>
      </c>
      <c r="C4155" s="9" t="s">
        <v>5</v>
      </c>
      <c r="D4155" s="10">
        <v>3431.491</v>
      </c>
      <c r="E4155" s="10">
        <v>0</v>
      </c>
      <c r="F4155" t="str">
        <f>VLOOKUP(A4155,StoreLookup,2,FALSE)</f>
        <v>Store#3</v>
      </c>
      <c r="G4155">
        <f>INDEX(CalLookUpTable,MATCH($B4155,CalLookUpRow,0),MATCH(G$1,CalLookUpColumn,0))</f>
        <v>2019</v>
      </c>
      <c r="H4155">
        <f>INDEX(CalLookUpTable,MATCH($B4155,CalLookUpRow,0),MATCH(H$1,CalLookUpColumn,0))</f>
        <v>3</v>
      </c>
      <c r="I4155">
        <f>INDEX(CalLookUpTable,MATCH($B4155,CalLookUpRow,0),MATCH(I$1,CalLookUpColumn,0))</f>
        <v>3</v>
      </c>
    </row>
    <row r="4156" spans="1:9" x14ac:dyDescent="0.25">
      <c r="A4156" s="7">
        <v>3</v>
      </c>
      <c r="B4156" s="8">
        <v>43540</v>
      </c>
      <c r="C4156" s="9" t="s">
        <v>6</v>
      </c>
      <c r="D4156" s="10">
        <v>740.76099999999997</v>
      </c>
      <c r="E4156" s="10">
        <v>0</v>
      </c>
      <c r="F4156" t="str">
        <f>VLOOKUP(A4156,StoreLookup,2,FALSE)</f>
        <v>Store#3</v>
      </c>
      <c r="G4156">
        <f>INDEX(CalLookUpTable,MATCH($B4156,CalLookUpRow,0),MATCH(G$1,CalLookUpColumn,0))</f>
        <v>2019</v>
      </c>
      <c r="H4156">
        <f>INDEX(CalLookUpTable,MATCH($B4156,CalLookUpRow,0),MATCH(H$1,CalLookUpColumn,0))</f>
        <v>3</v>
      </c>
      <c r="I4156">
        <f>INDEX(CalLookUpTable,MATCH($B4156,CalLookUpRow,0),MATCH(I$1,CalLookUpColumn,0))</f>
        <v>3</v>
      </c>
    </row>
    <row r="4157" spans="1:9" x14ac:dyDescent="0.25">
      <c r="A4157" s="7">
        <v>3</v>
      </c>
      <c r="B4157" s="8">
        <v>43540</v>
      </c>
      <c r="C4157" s="9" t="s">
        <v>4</v>
      </c>
      <c r="D4157" s="10">
        <v>3423.1679999999997</v>
      </c>
      <c r="E4157" s="10">
        <v>0</v>
      </c>
      <c r="F4157" t="str">
        <f>VLOOKUP(A4157,StoreLookup,2,FALSE)</f>
        <v>Store#3</v>
      </c>
      <c r="G4157">
        <f>INDEX(CalLookUpTable,MATCH($B4157,CalLookUpRow,0),MATCH(G$1,CalLookUpColumn,0))</f>
        <v>2019</v>
      </c>
      <c r="H4157">
        <f>INDEX(CalLookUpTable,MATCH($B4157,CalLookUpRow,0),MATCH(H$1,CalLookUpColumn,0))</f>
        <v>3</v>
      </c>
      <c r="I4157">
        <f>INDEX(CalLookUpTable,MATCH($B4157,CalLookUpRow,0),MATCH(I$1,CalLookUpColumn,0))</f>
        <v>3</v>
      </c>
    </row>
    <row r="4158" spans="1:9" x14ac:dyDescent="0.25">
      <c r="A4158" s="7">
        <v>3</v>
      </c>
      <c r="B4158" s="8">
        <v>43541</v>
      </c>
      <c r="C4158" s="9" t="s">
        <v>3</v>
      </c>
      <c r="D4158" s="10">
        <v>22.378999999999998</v>
      </c>
      <c r="E4158" s="10">
        <v>0</v>
      </c>
      <c r="F4158" t="str">
        <f>VLOOKUP(A4158,StoreLookup,2,FALSE)</f>
        <v>Store#3</v>
      </c>
      <c r="G4158">
        <f>INDEX(CalLookUpTable,MATCH($B4158,CalLookUpRow,0),MATCH(G$1,CalLookUpColumn,0))</f>
        <v>2019</v>
      </c>
      <c r="H4158">
        <f>INDEX(CalLookUpTable,MATCH($B4158,CalLookUpRow,0),MATCH(H$1,CalLookUpColumn,0))</f>
        <v>3</v>
      </c>
      <c r="I4158">
        <f>INDEX(CalLookUpTable,MATCH($B4158,CalLookUpRow,0),MATCH(I$1,CalLookUpColumn,0))</f>
        <v>3</v>
      </c>
    </row>
    <row r="4159" spans="1:9" x14ac:dyDescent="0.25">
      <c r="A4159" s="7">
        <v>3</v>
      </c>
      <c r="B4159" s="8">
        <v>43541</v>
      </c>
      <c r="C4159" s="9" t="s">
        <v>6</v>
      </c>
      <c r="D4159" s="10">
        <v>460.80999999999995</v>
      </c>
      <c r="E4159" s="10">
        <v>0</v>
      </c>
      <c r="F4159" t="str">
        <f>VLOOKUP(A4159,StoreLookup,2,FALSE)</f>
        <v>Store#3</v>
      </c>
      <c r="G4159">
        <f>INDEX(CalLookUpTable,MATCH($B4159,CalLookUpRow,0),MATCH(G$1,CalLookUpColumn,0))</f>
        <v>2019</v>
      </c>
      <c r="H4159">
        <f>INDEX(CalLookUpTable,MATCH($B4159,CalLookUpRow,0),MATCH(H$1,CalLookUpColumn,0))</f>
        <v>3</v>
      </c>
      <c r="I4159">
        <f>INDEX(CalLookUpTable,MATCH($B4159,CalLookUpRow,0),MATCH(I$1,CalLookUpColumn,0))</f>
        <v>3</v>
      </c>
    </row>
    <row r="4160" spans="1:9" x14ac:dyDescent="0.25">
      <c r="A4160" s="7">
        <v>3</v>
      </c>
      <c r="B4160" s="8">
        <v>43541</v>
      </c>
      <c r="C4160" s="9" t="s">
        <v>4</v>
      </c>
      <c r="D4160" s="10">
        <v>2833.0399999999995</v>
      </c>
      <c r="E4160" s="10">
        <v>0</v>
      </c>
      <c r="F4160" t="str">
        <f>VLOOKUP(A4160,StoreLookup,2,FALSE)</f>
        <v>Store#3</v>
      </c>
      <c r="G4160">
        <f>INDEX(CalLookUpTable,MATCH($B4160,CalLookUpRow,0),MATCH(G$1,CalLookUpColumn,0))</f>
        <v>2019</v>
      </c>
      <c r="H4160">
        <f>INDEX(CalLookUpTable,MATCH($B4160,CalLookUpRow,0),MATCH(H$1,CalLookUpColumn,0))</f>
        <v>3</v>
      </c>
      <c r="I4160">
        <f>INDEX(CalLookUpTable,MATCH($B4160,CalLookUpRow,0),MATCH(I$1,CalLookUpColumn,0))</f>
        <v>3</v>
      </c>
    </row>
    <row r="4161" spans="1:9" x14ac:dyDescent="0.25">
      <c r="A4161" s="7">
        <v>3</v>
      </c>
      <c r="B4161" s="8">
        <v>43541</v>
      </c>
      <c r="C4161" s="9" t="s">
        <v>5</v>
      </c>
      <c r="D4161" s="10">
        <v>2932.0969999999998</v>
      </c>
      <c r="E4161" s="10">
        <v>0</v>
      </c>
      <c r="F4161" t="str">
        <f>VLOOKUP(A4161,StoreLookup,2,FALSE)</f>
        <v>Store#3</v>
      </c>
      <c r="G4161">
        <f>INDEX(CalLookUpTable,MATCH($B4161,CalLookUpRow,0),MATCH(G$1,CalLookUpColumn,0))</f>
        <v>2019</v>
      </c>
      <c r="H4161">
        <f>INDEX(CalLookUpTable,MATCH($B4161,CalLookUpRow,0),MATCH(H$1,CalLookUpColumn,0))</f>
        <v>3</v>
      </c>
      <c r="I4161">
        <f>INDEX(CalLookUpTable,MATCH($B4161,CalLookUpRow,0),MATCH(I$1,CalLookUpColumn,0))</f>
        <v>3</v>
      </c>
    </row>
    <row r="4162" spans="1:9" x14ac:dyDescent="0.25">
      <c r="A4162" s="7">
        <v>3</v>
      </c>
      <c r="B4162" s="8">
        <v>43542</v>
      </c>
      <c r="C4162" s="9" t="s">
        <v>6</v>
      </c>
      <c r="D4162" s="10">
        <v>624.77799999999991</v>
      </c>
      <c r="E4162" s="10">
        <v>0</v>
      </c>
      <c r="F4162" t="str">
        <f>VLOOKUP(A4162,StoreLookup,2,FALSE)</f>
        <v>Store#3</v>
      </c>
      <c r="G4162">
        <f>INDEX(CalLookUpTable,MATCH($B4162,CalLookUpRow,0),MATCH(G$1,CalLookUpColumn,0))</f>
        <v>2019</v>
      </c>
      <c r="H4162">
        <f>INDEX(CalLookUpTable,MATCH($B4162,CalLookUpRow,0),MATCH(H$1,CalLookUpColumn,0))</f>
        <v>3</v>
      </c>
      <c r="I4162">
        <f>INDEX(CalLookUpTable,MATCH($B4162,CalLookUpRow,0),MATCH(I$1,CalLookUpColumn,0))</f>
        <v>4</v>
      </c>
    </row>
    <row r="4163" spans="1:9" x14ac:dyDescent="0.25">
      <c r="A4163" s="7">
        <v>3</v>
      </c>
      <c r="B4163" s="8">
        <v>43542</v>
      </c>
      <c r="C4163" s="9" t="s">
        <v>4</v>
      </c>
      <c r="D4163" s="10">
        <v>3617.2289999999998</v>
      </c>
      <c r="E4163" s="10">
        <v>0</v>
      </c>
      <c r="F4163" t="str">
        <f>VLOOKUP(A4163,StoreLookup,2,FALSE)</f>
        <v>Store#3</v>
      </c>
      <c r="G4163">
        <f>INDEX(CalLookUpTable,MATCH($B4163,CalLookUpRow,0),MATCH(G$1,CalLookUpColumn,0))</f>
        <v>2019</v>
      </c>
      <c r="H4163">
        <f>INDEX(CalLookUpTable,MATCH($B4163,CalLookUpRow,0),MATCH(H$1,CalLookUpColumn,0))</f>
        <v>3</v>
      </c>
      <c r="I4163">
        <f>INDEX(CalLookUpTable,MATCH($B4163,CalLookUpRow,0),MATCH(I$1,CalLookUpColumn,0))</f>
        <v>4</v>
      </c>
    </row>
    <row r="4164" spans="1:9" x14ac:dyDescent="0.25">
      <c r="A4164" s="7">
        <v>3</v>
      </c>
      <c r="B4164" s="8">
        <v>43542</v>
      </c>
      <c r="C4164" s="9" t="s">
        <v>5</v>
      </c>
      <c r="D4164" s="10">
        <v>3350.6899999999996</v>
      </c>
      <c r="E4164" s="10">
        <v>0</v>
      </c>
      <c r="F4164" t="str">
        <f>VLOOKUP(A4164,StoreLookup,2,FALSE)</f>
        <v>Store#3</v>
      </c>
      <c r="G4164">
        <f>INDEX(CalLookUpTable,MATCH($B4164,CalLookUpRow,0),MATCH(G$1,CalLookUpColumn,0))</f>
        <v>2019</v>
      </c>
      <c r="H4164">
        <f>INDEX(CalLookUpTable,MATCH($B4164,CalLookUpRow,0),MATCH(H$1,CalLookUpColumn,0))</f>
        <v>3</v>
      </c>
      <c r="I4164">
        <f>INDEX(CalLookUpTable,MATCH($B4164,CalLookUpRow,0),MATCH(I$1,CalLookUpColumn,0))</f>
        <v>4</v>
      </c>
    </row>
    <row r="4165" spans="1:9" x14ac:dyDescent="0.25">
      <c r="A4165" s="7">
        <v>3</v>
      </c>
      <c r="B4165" s="8">
        <v>43542</v>
      </c>
      <c r="C4165" s="9" t="s">
        <v>3</v>
      </c>
      <c r="D4165" s="10">
        <v>0</v>
      </c>
      <c r="E4165" s="10">
        <v>0</v>
      </c>
      <c r="F4165" t="str">
        <f>VLOOKUP(A4165,StoreLookup,2,FALSE)</f>
        <v>Store#3</v>
      </c>
      <c r="G4165">
        <f>INDEX(CalLookUpTable,MATCH($B4165,CalLookUpRow,0),MATCH(G$1,CalLookUpColumn,0))</f>
        <v>2019</v>
      </c>
      <c r="H4165">
        <f>INDEX(CalLookUpTable,MATCH($B4165,CalLookUpRow,0),MATCH(H$1,CalLookUpColumn,0))</f>
        <v>3</v>
      </c>
      <c r="I4165">
        <f>INDEX(CalLookUpTable,MATCH($B4165,CalLookUpRow,0),MATCH(I$1,CalLookUpColumn,0))</f>
        <v>4</v>
      </c>
    </row>
    <row r="4166" spans="1:9" x14ac:dyDescent="0.25">
      <c r="A4166" s="7">
        <v>3</v>
      </c>
      <c r="B4166" s="8">
        <v>43543</v>
      </c>
      <c r="C4166" s="9" t="s">
        <v>6</v>
      </c>
      <c r="D4166" s="10">
        <v>1084.972</v>
      </c>
      <c r="E4166" s="10">
        <v>0</v>
      </c>
      <c r="F4166" t="str">
        <f>VLOOKUP(A4166,StoreLookup,2,FALSE)</f>
        <v>Store#3</v>
      </c>
      <c r="G4166">
        <f>INDEX(CalLookUpTable,MATCH($B4166,CalLookUpRow,0),MATCH(G$1,CalLookUpColumn,0))</f>
        <v>2019</v>
      </c>
      <c r="H4166">
        <f>INDEX(CalLookUpTable,MATCH($B4166,CalLookUpRow,0),MATCH(H$1,CalLookUpColumn,0))</f>
        <v>3</v>
      </c>
      <c r="I4166">
        <f>INDEX(CalLookUpTable,MATCH($B4166,CalLookUpRow,0),MATCH(I$1,CalLookUpColumn,0))</f>
        <v>4</v>
      </c>
    </row>
    <row r="4167" spans="1:9" x14ac:dyDescent="0.25">
      <c r="A4167" s="7">
        <v>3</v>
      </c>
      <c r="B4167" s="8">
        <v>43543</v>
      </c>
      <c r="C4167" s="9" t="s">
        <v>3</v>
      </c>
      <c r="D4167" s="10">
        <v>0</v>
      </c>
      <c r="E4167" s="10">
        <v>0</v>
      </c>
      <c r="F4167" t="str">
        <f>VLOOKUP(A4167,StoreLookup,2,FALSE)</f>
        <v>Store#3</v>
      </c>
      <c r="G4167">
        <f>INDEX(CalLookUpTable,MATCH($B4167,CalLookUpRow,0),MATCH(G$1,CalLookUpColumn,0))</f>
        <v>2019</v>
      </c>
      <c r="H4167">
        <f>INDEX(CalLookUpTable,MATCH($B4167,CalLookUpRow,0),MATCH(H$1,CalLookUpColumn,0))</f>
        <v>3</v>
      </c>
      <c r="I4167">
        <f>INDEX(CalLookUpTable,MATCH($B4167,CalLookUpRow,0),MATCH(I$1,CalLookUpColumn,0))</f>
        <v>4</v>
      </c>
    </row>
    <row r="4168" spans="1:9" x14ac:dyDescent="0.25">
      <c r="A4168" s="7">
        <v>3</v>
      </c>
      <c r="B4168" s="8">
        <v>43543</v>
      </c>
      <c r="C4168" s="9" t="s">
        <v>5</v>
      </c>
      <c r="D4168" s="10">
        <v>3313.1559999999999</v>
      </c>
      <c r="E4168" s="10">
        <v>0</v>
      </c>
      <c r="F4168" t="str">
        <f>VLOOKUP(A4168,StoreLookup,2,FALSE)</f>
        <v>Store#3</v>
      </c>
      <c r="G4168">
        <f>INDEX(CalLookUpTable,MATCH($B4168,CalLookUpRow,0),MATCH(G$1,CalLookUpColumn,0))</f>
        <v>2019</v>
      </c>
      <c r="H4168">
        <f>INDEX(CalLookUpTable,MATCH($B4168,CalLookUpRow,0),MATCH(H$1,CalLookUpColumn,0))</f>
        <v>3</v>
      </c>
      <c r="I4168">
        <f>INDEX(CalLookUpTable,MATCH($B4168,CalLookUpRow,0),MATCH(I$1,CalLookUpColumn,0))</f>
        <v>4</v>
      </c>
    </row>
    <row r="4169" spans="1:9" x14ac:dyDescent="0.25">
      <c r="A4169" s="7">
        <v>3</v>
      </c>
      <c r="B4169" s="8">
        <v>43543</v>
      </c>
      <c r="C4169" s="9" t="s">
        <v>4</v>
      </c>
      <c r="D4169" s="10">
        <v>2938.2149999999997</v>
      </c>
      <c r="E4169" s="10">
        <v>0</v>
      </c>
      <c r="F4169" t="str">
        <f>VLOOKUP(A4169,StoreLookup,2,FALSE)</f>
        <v>Store#3</v>
      </c>
      <c r="G4169">
        <f>INDEX(CalLookUpTable,MATCH($B4169,CalLookUpRow,0),MATCH(G$1,CalLookUpColumn,0))</f>
        <v>2019</v>
      </c>
      <c r="H4169">
        <f>INDEX(CalLookUpTable,MATCH($B4169,CalLookUpRow,0),MATCH(H$1,CalLookUpColumn,0))</f>
        <v>3</v>
      </c>
      <c r="I4169">
        <f>INDEX(CalLookUpTable,MATCH($B4169,CalLookUpRow,0),MATCH(I$1,CalLookUpColumn,0))</f>
        <v>4</v>
      </c>
    </row>
    <row r="4170" spans="1:9" x14ac:dyDescent="0.25">
      <c r="A4170" s="7">
        <v>3</v>
      </c>
      <c r="B4170" s="8">
        <v>43544</v>
      </c>
      <c r="C4170" s="9" t="s">
        <v>5</v>
      </c>
      <c r="D4170" s="10">
        <v>3259.0249999999996</v>
      </c>
      <c r="E4170" s="10">
        <v>0</v>
      </c>
      <c r="F4170" t="str">
        <f>VLOOKUP(A4170,StoreLookup,2,FALSE)</f>
        <v>Store#3</v>
      </c>
      <c r="G4170">
        <f>INDEX(CalLookUpTable,MATCH($B4170,CalLookUpRow,0),MATCH(G$1,CalLookUpColumn,0))</f>
        <v>2019</v>
      </c>
      <c r="H4170">
        <f>INDEX(CalLookUpTable,MATCH($B4170,CalLookUpRow,0),MATCH(H$1,CalLookUpColumn,0))</f>
        <v>3</v>
      </c>
      <c r="I4170">
        <f>INDEX(CalLookUpTable,MATCH($B4170,CalLookUpRow,0),MATCH(I$1,CalLookUpColumn,0))</f>
        <v>4</v>
      </c>
    </row>
    <row r="4171" spans="1:9" x14ac:dyDescent="0.25">
      <c r="A4171" s="7">
        <v>3</v>
      </c>
      <c r="B4171" s="8">
        <v>43544</v>
      </c>
      <c r="C4171" s="9" t="s">
        <v>6</v>
      </c>
      <c r="D4171" s="10">
        <v>1030.925</v>
      </c>
      <c r="E4171" s="10">
        <v>0</v>
      </c>
      <c r="F4171" t="str">
        <f>VLOOKUP(A4171,StoreLookup,2,FALSE)</f>
        <v>Store#3</v>
      </c>
      <c r="G4171">
        <f>INDEX(CalLookUpTable,MATCH($B4171,CalLookUpRow,0),MATCH(G$1,CalLookUpColumn,0))</f>
        <v>2019</v>
      </c>
      <c r="H4171">
        <f>INDEX(CalLookUpTable,MATCH($B4171,CalLookUpRow,0),MATCH(H$1,CalLookUpColumn,0))</f>
        <v>3</v>
      </c>
      <c r="I4171">
        <f>INDEX(CalLookUpTable,MATCH($B4171,CalLookUpRow,0),MATCH(I$1,CalLookUpColumn,0))</f>
        <v>4</v>
      </c>
    </row>
    <row r="4172" spans="1:9" x14ac:dyDescent="0.25">
      <c r="A4172" s="7">
        <v>3</v>
      </c>
      <c r="B4172" s="8">
        <v>43544</v>
      </c>
      <c r="C4172" s="9" t="s">
        <v>3</v>
      </c>
      <c r="D4172" s="10">
        <v>338.83499999999998</v>
      </c>
      <c r="E4172" s="10">
        <v>0</v>
      </c>
      <c r="F4172" t="str">
        <f>VLOOKUP(A4172,StoreLookup,2,FALSE)</f>
        <v>Store#3</v>
      </c>
      <c r="G4172">
        <f>INDEX(CalLookUpTable,MATCH($B4172,CalLookUpRow,0),MATCH(G$1,CalLookUpColumn,0))</f>
        <v>2019</v>
      </c>
      <c r="H4172">
        <f>INDEX(CalLookUpTable,MATCH($B4172,CalLookUpRow,0),MATCH(H$1,CalLookUpColumn,0))</f>
        <v>3</v>
      </c>
      <c r="I4172">
        <f>INDEX(CalLookUpTable,MATCH($B4172,CalLookUpRow,0),MATCH(I$1,CalLookUpColumn,0))</f>
        <v>4</v>
      </c>
    </row>
    <row r="4173" spans="1:9" x14ac:dyDescent="0.25">
      <c r="A4173" s="7">
        <v>3</v>
      </c>
      <c r="B4173" s="8">
        <v>43544</v>
      </c>
      <c r="C4173" s="9" t="s">
        <v>4</v>
      </c>
      <c r="D4173" s="10">
        <v>3145.6739999999995</v>
      </c>
      <c r="E4173" s="10">
        <v>0</v>
      </c>
      <c r="F4173" t="str">
        <f>VLOOKUP(A4173,StoreLookup,2,FALSE)</f>
        <v>Store#3</v>
      </c>
      <c r="G4173">
        <f>INDEX(CalLookUpTable,MATCH($B4173,CalLookUpRow,0),MATCH(G$1,CalLookUpColumn,0))</f>
        <v>2019</v>
      </c>
      <c r="H4173">
        <f>INDEX(CalLookUpTable,MATCH($B4173,CalLookUpRow,0),MATCH(H$1,CalLookUpColumn,0))</f>
        <v>3</v>
      </c>
      <c r="I4173">
        <f>INDEX(CalLookUpTable,MATCH($B4173,CalLookUpRow,0),MATCH(I$1,CalLookUpColumn,0))</f>
        <v>4</v>
      </c>
    </row>
    <row r="4174" spans="1:9" x14ac:dyDescent="0.25">
      <c r="A4174" s="7">
        <v>3</v>
      </c>
      <c r="B4174" s="8">
        <v>43545</v>
      </c>
      <c r="C4174" s="9" t="s">
        <v>6</v>
      </c>
      <c r="D4174" s="10">
        <v>1126.3209999999999</v>
      </c>
      <c r="E4174" s="10">
        <v>0</v>
      </c>
      <c r="F4174" t="str">
        <f>VLOOKUP(A4174,StoreLookup,2,FALSE)</f>
        <v>Store#3</v>
      </c>
      <c r="G4174">
        <f>INDEX(CalLookUpTable,MATCH($B4174,CalLookUpRow,0),MATCH(G$1,CalLookUpColumn,0))</f>
        <v>2019</v>
      </c>
      <c r="H4174">
        <f>INDEX(CalLookUpTable,MATCH($B4174,CalLookUpRow,0),MATCH(H$1,CalLookUpColumn,0))</f>
        <v>3</v>
      </c>
      <c r="I4174">
        <f>INDEX(CalLookUpTable,MATCH($B4174,CalLookUpRow,0),MATCH(I$1,CalLookUpColumn,0))</f>
        <v>4</v>
      </c>
    </row>
    <row r="4175" spans="1:9" x14ac:dyDescent="0.25">
      <c r="A4175" s="7">
        <v>3</v>
      </c>
      <c r="B4175" s="8">
        <v>43545</v>
      </c>
      <c r="C4175" s="9" t="s">
        <v>4</v>
      </c>
      <c r="D4175" s="10">
        <v>3786.3769999999995</v>
      </c>
      <c r="E4175" s="10">
        <v>0</v>
      </c>
      <c r="F4175" t="str">
        <f>VLOOKUP(A4175,StoreLookup,2,FALSE)</f>
        <v>Store#3</v>
      </c>
      <c r="G4175">
        <f>INDEX(CalLookUpTable,MATCH($B4175,CalLookUpRow,0),MATCH(G$1,CalLookUpColumn,0))</f>
        <v>2019</v>
      </c>
      <c r="H4175">
        <f>INDEX(CalLookUpTable,MATCH($B4175,CalLookUpRow,0),MATCH(H$1,CalLookUpColumn,0))</f>
        <v>3</v>
      </c>
      <c r="I4175">
        <f>INDEX(CalLookUpTable,MATCH($B4175,CalLookUpRow,0),MATCH(I$1,CalLookUpColumn,0))</f>
        <v>4</v>
      </c>
    </row>
    <row r="4176" spans="1:9" x14ac:dyDescent="0.25">
      <c r="A4176" s="7">
        <v>3</v>
      </c>
      <c r="B4176" s="8">
        <v>43545</v>
      </c>
      <c r="C4176" s="9" t="s">
        <v>3</v>
      </c>
      <c r="D4176" s="10">
        <v>193.03899999999999</v>
      </c>
      <c r="E4176" s="10">
        <v>0</v>
      </c>
      <c r="F4176" t="str">
        <f>VLOOKUP(A4176,StoreLookup,2,FALSE)</f>
        <v>Store#3</v>
      </c>
      <c r="G4176">
        <f>INDEX(CalLookUpTable,MATCH($B4176,CalLookUpRow,0),MATCH(G$1,CalLookUpColumn,0))</f>
        <v>2019</v>
      </c>
      <c r="H4176">
        <f>INDEX(CalLookUpTable,MATCH($B4176,CalLookUpRow,0),MATCH(H$1,CalLookUpColumn,0))</f>
        <v>3</v>
      </c>
      <c r="I4176">
        <f>INDEX(CalLookUpTable,MATCH($B4176,CalLookUpRow,0),MATCH(I$1,CalLookUpColumn,0))</f>
        <v>4</v>
      </c>
    </row>
    <row r="4177" spans="1:9" x14ac:dyDescent="0.25">
      <c r="A4177" s="7">
        <v>3</v>
      </c>
      <c r="B4177" s="8">
        <v>43545</v>
      </c>
      <c r="C4177" s="9" t="s">
        <v>5</v>
      </c>
      <c r="D4177" s="10">
        <v>4001.3049999999994</v>
      </c>
      <c r="E4177" s="10">
        <v>0</v>
      </c>
      <c r="F4177" t="str">
        <f>VLOOKUP(A4177,StoreLookup,2,FALSE)</f>
        <v>Store#3</v>
      </c>
      <c r="G4177">
        <f>INDEX(CalLookUpTable,MATCH($B4177,CalLookUpRow,0),MATCH(G$1,CalLookUpColumn,0))</f>
        <v>2019</v>
      </c>
      <c r="H4177">
        <f>INDEX(CalLookUpTable,MATCH($B4177,CalLookUpRow,0),MATCH(H$1,CalLookUpColumn,0))</f>
        <v>3</v>
      </c>
      <c r="I4177">
        <f>INDEX(CalLookUpTable,MATCH($B4177,CalLookUpRow,0),MATCH(I$1,CalLookUpColumn,0))</f>
        <v>4</v>
      </c>
    </row>
    <row r="4178" spans="1:9" x14ac:dyDescent="0.25">
      <c r="A4178" s="7">
        <v>3</v>
      </c>
      <c r="B4178" s="8">
        <v>43546</v>
      </c>
      <c r="C4178" s="9" t="s">
        <v>6</v>
      </c>
      <c r="D4178" s="10">
        <v>1026.8019999999999</v>
      </c>
      <c r="E4178" s="10">
        <v>0</v>
      </c>
      <c r="F4178" t="str">
        <f>VLOOKUP(A4178,StoreLookup,2,FALSE)</f>
        <v>Store#3</v>
      </c>
      <c r="G4178">
        <f>INDEX(CalLookUpTable,MATCH($B4178,CalLookUpRow,0),MATCH(G$1,CalLookUpColumn,0))</f>
        <v>2019</v>
      </c>
      <c r="H4178">
        <f>INDEX(CalLookUpTable,MATCH($B4178,CalLookUpRow,0),MATCH(H$1,CalLookUpColumn,0))</f>
        <v>3</v>
      </c>
      <c r="I4178">
        <f>INDEX(CalLookUpTable,MATCH($B4178,CalLookUpRow,0),MATCH(I$1,CalLookUpColumn,0))</f>
        <v>4</v>
      </c>
    </row>
    <row r="4179" spans="1:9" x14ac:dyDescent="0.25">
      <c r="A4179" s="7">
        <v>3</v>
      </c>
      <c r="B4179" s="8">
        <v>43546</v>
      </c>
      <c r="C4179" s="9" t="s">
        <v>4</v>
      </c>
      <c r="D4179" s="10">
        <v>4049.7939999999999</v>
      </c>
      <c r="E4179" s="10">
        <v>0</v>
      </c>
      <c r="F4179" t="str">
        <f>VLOOKUP(A4179,StoreLookup,2,FALSE)</f>
        <v>Store#3</v>
      </c>
      <c r="G4179">
        <f>INDEX(CalLookUpTable,MATCH($B4179,CalLookUpRow,0),MATCH(G$1,CalLookUpColumn,0))</f>
        <v>2019</v>
      </c>
      <c r="H4179">
        <f>INDEX(CalLookUpTable,MATCH($B4179,CalLookUpRow,0),MATCH(H$1,CalLookUpColumn,0))</f>
        <v>3</v>
      </c>
      <c r="I4179">
        <f>INDEX(CalLookUpTable,MATCH($B4179,CalLookUpRow,0),MATCH(I$1,CalLookUpColumn,0))</f>
        <v>4</v>
      </c>
    </row>
    <row r="4180" spans="1:9" x14ac:dyDescent="0.25">
      <c r="A4180" s="7">
        <v>3</v>
      </c>
      <c r="B4180" s="8">
        <v>43546</v>
      </c>
      <c r="C4180" s="9" t="s">
        <v>3</v>
      </c>
      <c r="D4180" s="10">
        <v>0</v>
      </c>
      <c r="E4180" s="10">
        <v>0</v>
      </c>
      <c r="F4180" t="str">
        <f>VLOOKUP(A4180,StoreLookup,2,FALSE)</f>
        <v>Store#3</v>
      </c>
      <c r="G4180">
        <f>INDEX(CalLookUpTable,MATCH($B4180,CalLookUpRow,0),MATCH(G$1,CalLookUpColumn,0))</f>
        <v>2019</v>
      </c>
      <c r="H4180">
        <f>INDEX(CalLookUpTable,MATCH($B4180,CalLookUpRow,0),MATCH(H$1,CalLookUpColumn,0))</f>
        <v>3</v>
      </c>
      <c r="I4180">
        <f>INDEX(CalLookUpTable,MATCH($B4180,CalLookUpRow,0),MATCH(I$1,CalLookUpColumn,0))</f>
        <v>4</v>
      </c>
    </row>
    <row r="4181" spans="1:9" x14ac:dyDescent="0.25">
      <c r="A4181" s="7">
        <v>3</v>
      </c>
      <c r="B4181" s="8">
        <v>43546</v>
      </c>
      <c r="C4181" s="9" t="s">
        <v>5</v>
      </c>
      <c r="D4181" s="10">
        <v>3733.3309999999997</v>
      </c>
      <c r="E4181" s="10">
        <v>0</v>
      </c>
      <c r="F4181" t="str">
        <f>VLOOKUP(A4181,StoreLookup,2,FALSE)</f>
        <v>Store#3</v>
      </c>
      <c r="G4181">
        <f>INDEX(CalLookUpTable,MATCH($B4181,CalLookUpRow,0),MATCH(G$1,CalLookUpColumn,0))</f>
        <v>2019</v>
      </c>
      <c r="H4181">
        <f>INDEX(CalLookUpTable,MATCH($B4181,CalLookUpRow,0),MATCH(H$1,CalLookUpColumn,0))</f>
        <v>3</v>
      </c>
      <c r="I4181">
        <f>INDEX(CalLookUpTable,MATCH($B4181,CalLookUpRow,0),MATCH(I$1,CalLookUpColumn,0))</f>
        <v>4</v>
      </c>
    </row>
    <row r="4182" spans="1:9" x14ac:dyDescent="0.25">
      <c r="A4182" s="7">
        <v>3</v>
      </c>
      <c r="B4182" s="8">
        <v>43547</v>
      </c>
      <c r="C4182" s="9" t="s">
        <v>6</v>
      </c>
      <c r="D4182" s="10">
        <v>1132.761</v>
      </c>
      <c r="E4182" s="10">
        <v>0</v>
      </c>
      <c r="F4182" t="str">
        <f>VLOOKUP(A4182,StoreLookup,2,FALSE)</f>
        <v>Store#3</v>
      </c>
      <c r="G4182">
        <f>INDEX(CalLookUpTable,MATCH($B4182,CalLookUpRow,0),MATCH(G$1,CalLookUpColumn,0))</f>
        <v>2019</v>
      </c>
      <c r="H4182">
        <f>INDEX(CalLookUpTable,MATCH($B4182,CalLookUpRow,0),MATCH(H$1,CalLookUpColumn,0))</f>
        <v>3</v>
      </c>
      <c r="I4182">
        <f>INDEX(CalLookUpTable,MATCH($B4182,CalLookUpRow,0),MATCH(I$1,CalLookUpColumn,0))</f>
        <v>4</v>
      </c>
    </row>
    <row r="4183" spans="1:9" x14ac:dyDescent="0.25">
      <c r="A4183" s="7">
        <v>3</v>
      </c>
      <c r="B4183" s="8">
        <v>43547</v>
      </c>
      <c r="C4183" s="9" t="s">
        <v>4</v>
      </c>
      <c r="D4183" s="10">
        <v>3604.2649999999994</v>
      </c>
      <c r="E4183" s="10">
        <v>0</v>
      </c>
      <c r="F4183" t="str">
        <f>VLOOKUP(A4183,StoreLookup,2,FALSE)</f>
        <v>Store#3</v>
      </c>
      <c r="G4183">
        <f>INDEX(CalLookUpTable,MATCH($B4183,CalLookUpRow,0),MATCH(G$1,CalLookUpColumn,0))</f>
        <v>2019</v>
      </c>
      <c r="H4183">
        <f>INDEX(CalLookUpTable,MATCH($B4183,CalLookUpRow,0),MATCH(H$1,CalLookUpColumn,0))</f>
        <v>3</v>
      </c>
      <c r="I4183">
        <f>INDEX(CalLookUpTable,MATCH($B4183,CalLookUpRow,0),MATCH(I$1,CalLookUpColumn,0))</f>
        <v>4</v>
      </c>
    </row>
    <row r="4184" spans="1:9" x14ac:dyDescent="0.25">
      <c r="A4184" s="7">
        <v>3</v>
      </c>
      <c r="B4184" s="8">
        <v>43547</v>
      </c>
      <c r="C4184" s="9" t="s">
        <v>5</v>
      </c>
      <c r="D4184" s="10">
        <v>3200.3229999999999</v>
      </c>
      <c r="E4184" s="10">
        <v>0</v>
      </c>
      <c r="F4184" t="str">
        <f>VLOOKUP(A4184,StoreLookup,2,FALSE)</f>
        <v>Store#3</v>
      </c>
      <c r="G4184">
        <f>INDEX(CalLookUpTable,MATCH($B4184,CalLookUpRow,0),MATCH(G$1,CalLookUpColumn,0))</f>
        <v>2019</v>
      </c>
      <c r="H4184">
        <f>INDEX(CalLookUpTable,MATCH($B4184,CalLookUpRow,0),MATCH(H$1,CalLookUpColumn,0))</f>
        <v>3</v>
      </c>
      <c r="I4184">
        <f>INDEX(CalLookUpTable,MATCH($B4184,CalLookUpRow,0),MATCH(I$1,CalLookUpColumn,0))</f>
        <v>4</v>
      </c>
    </row>
    <row r="4185" spans="1:9" x14ac:dyDescent="0.25">
      <c r="A4185" s="7">
        <v>3</v>
      </c>
      <c r="B4185" s="8">
        <v>43547</v>
      </c>
      <c r="C4185" s="9" t="s">
        <v>3</v>
      </c>
      <c r="D4185" s="10">
        <v>170.29599999999999</v>
      </c>
      <c r="E4185" s="10">
        <v>0</v>
      </c>
      <c r="F4185" t="str">
        <f>VLOOKUP(A4185,StoreLookup,2,FALSE)</f>
        <v>Store#3</v>
      </c>
      <c r="G4185">
        <f>INDEX(CalLookUpTable,MATCH($B4185,CalLookUpRow,0),MATCH(G$1,CalLookUpColumn,0))</f>
        <v>2019</v>
      </c>
      <c r="H4185">
        <f>INDEX(CalLookUpTable,MATCH($B4185,CalLookUpRow,0),MATCH(H$1,CalLookUpColumn,0))</f>
        <v>3</v>
      </c>
      <c r="I4185">
        <f>INDEX(CalLookUpTable,MATCH($B4185,CalLookUpRow,0),MATCH(I$1,CalLookUpColumn,0))</f>
        <v>4</v>
      </c>
    </row>
    <row r="4186" spans="1:9" x14ac:dyDescent="0.25">
      <c r="A4186" s="7">
        <v>3</v>
      </c>
      <c r="B4186" s="8">
        <v>43548</v>
      </c>
      <c r="C4186" s="9" t="s">
        <v>5</v>
      </c>
      <c r="D4186" s="10">
        <v>2885.0499999999997</v>
      </c>
      <c r="E4186" s="10">
        <v>0</v>
      </c>
      <c r="F4186" t="str">
        <f>VLOOKUP(A4186,StoreLookup,2,FALSE)</f>
        <v>Store#3</v>
      </c>
      <c r="G4186">
        <f>INDEX(CalLookUpTable,MATCH($B4186,CalLookUpRow,0),MATCH(G$1,CalLookUpColumn,0))</f>
        <v>2019</v>
      </c>
      <c r="H4186">
        <f>INDEX(CalLookUpTable,MATCH($B4186,CalLookUpRow,0),MATCH(H$1,CalLookUpColumn,0))</f>
        <v>3</v>
      </c>
      <c r="I4186">
        <f>INDEX(CalLookUpTable,MATCH($B4186,CalLookUpRow,0),MATCH(I$1,CalLookUpColumn,0))</f>
        <v>4</v>
      </c>
    </row>
    <row r="4187" spans="1:9" x14ac:dyDescent="0.25">
      <c r="A4187" s="7">
        <v>3</v>
      </c>
      <c r="B4187" s="8">
        <v>43548</v>
      </c>
      <c r="C4187" s="9" t="s">
        <v>4</v>
      </c>
      <c r="D4187" s="10">
        <v>2242.5969999999998</v>
      </c>
      <c r="E4187" s="10">
        <v>0</v>
      </c>
      <c r="F4187" t="str">
        <f>VLOOKUP(A4187,StoreLookup,2,FALSE)</f>
        <v>Store#3</v>
      </c>
      <c r="G4187">
        <f>INDEX(CalLookUpTable,MATCH($B4187,CalLookUpRow,0),MATCH(G$1,CalLookUpColumn,0))</f>
        <v>2019</v>
      </c>
      <c r="H4187">
        <f>INDEX(CalLookUpTable,MATCH($B4187,CalLookUpRow,0),MATCH(H$1,CalLookUpColumn,0))</f>
        <v>3</v>
      </c>
      <c r="I4187">
        <f>INDEX(CalLookUpTable,MATCH($B4187,CalLookUpRow,0),MATCH(I$1,CalLookUpColumn,0))</f>
        <v>4</v>
      </c>
    </row>
    <row r="4188" spans="1:9" x14ac:dyDescent="0.25">
      <c r="A4188" s="7">
        <v>3</v>
      </c>
      <c r="B4188" s="8">
        <v>43548</v>
      </c>
      <c r="C4188" s="9" t="s">
        <v>6</v>
      </c>
      <c r="D4188" s="10">
        <v>521.745</v>
      </c>
      <c r="E4188" s="10">
        <v>0</v>
      </c>
      <c r="F4188" t="str">
        <f>VLOOKUP(A4188,StoreLookup,2,FALSE)</f>
        <v>Store#3</v>
      </c>
      <c r="G4188">
        <f>INDEX(CalLookUpTable,MATCH($B4188,CalLookUpRow,0),MATCH(G$1,CalLookUpColumn,0))</f>
        <v>2019</v>
      </c>
      <c r="H4188">
        <f>INDEX(CalLookUpTable,MATCH($B4188,CalLookUpRow,0),MATCH(H$1,CalLookUpColumn,0))</f>
        <v>3</v>
      </c>
      <c r="I4188">
        <f>INDEX(CalLookUpTable,MATCH($B4188,CalLookUpRow,0),MATCH(I$1,CalLookUpColumn,0))</f>
        <v>4</v>
      </c>
    </row>
    <row r="4189" spans="1:9" x14ac:dyDescent="0.25">
      <c r="A4189" s="7">
        <v>3</v>
      </c>
      <c r="B4189" s="8">
        <v>43548</v>
      </c>
      <c r="C4189" s="9" t="s">
        <v>3</v>
      </c>
      <c r="D4189" s="10">
        <v>0</v>
      </c>
      <c r="E4189" s="10">
        <v>0</v>
      </c>
      <c r="F4189" t="str">
        <f>VLOOKUP(A4189,StoreLookup,2,FALSE)</f>
        <v>Store#3</v>
      </c>
      <c r="G4189">
        <f>INDEX(CalLookUpTable,MATCH($B4189,CalLookUpRow,0),MATCH(G$1,CalLookUpColumn,0))</f>
        <v>2019</v>
      </c>
      <c r="H4189">
        <f>INDEX(CalLookUpTable,MATCH($B4189,CalLookUpRow,0),MATCH(H$1,CalLookUpColumn,0))</f>
        <v>3</v>
      </c>
      <c r="I4189">
        <f>INDEX(CalLookUpTable,MATCH($B4189,CalLookUpRow,0),MATCH(I$1,CalLookUpColumn,0))</f>
        <v>4</v>
      </c>
    </row>
    <row r="4190" spans="1:9" x14ac:dyDescent="0.25">
      <c r="A4190" s="7">
        <v>3</v>
      </c>
      <c r="B4190" s="8">
        <v>43549</v>
      </c>
      <c r="C4190" s="9" t="s">
        <v>5</v>
      </c>
      <c r="D4190" s="10">
        <v>3021.4939999999997</v>
      </c>
      <c r="E4190" s="10">
        <v>0</v>
      </c>
      <c r="F4190" t="str">
        <f>VLOOKUP(A4190,StoreLookup,2,FALSE)</f>
        <v>Store#3</v>
      </c>
      <c r="G4190">
        <f>INDEX(CalLookUpTable,MATCH($B4190,CalLookUpRow,0),MATCH(G$1,CalLookUpColumn,0))</f>
        <v>2019</v>
      </c>
      <c r="H4190">
        <f>INDEX(CalLookUpTable,MATCH($B4190,CalLookUpRow,0),MATCH(H$1,CalLookUpColumn,0))</f>
        <v>3</v>
      </c>
      <c r="I4190">
        <f>INDEX(CalLookUpTable,MATCH($B4190,CalLookUpRow,0),MATCH(I$1,CalLookUpColumn,0))</f>
        <v>5</v>
      </c>
    </row>
    <row r="4191" spans="1:9" x14ac:dyDescent="0.25">
      <c r="A4191" s="7">
        <v>3</v>
      </c>
      <c r="B4191" s="8">
        <v>43549</v>
      </c>
      <c r="C4191" s="9" t="s">
        <v>6</v>
      </c>
      <c r="D4191" s="10">
        <v>727.14599999999996</v>
      </c>
      <c r="E4191" s="10">
        <v>0</v>
      </c>
      <c r="F4191" t="str">
        <f>VLOOKUP(A4191,StoreLookup,2,FALSE)</f>
        <v>Store#3</v>
      </c>
      <c r="G4191">
        <f>INDEX(CalLookUpTable,MATCH($B4191,CalLookUpRow,0),MATCH(G$1,CalLookUpColumn,0))</f>
        <v>2019</v>
      </c>
      <c r="H4191">
        <f>INDEX(CalLookUpTable,MATCH($B4191,CalLookUpRow,0),MATCH(H$1,CalLookUpColumn,0))</f>
        <v>3</v>
      </c>
      <c r="I4191">
        <f>INDEX(CalLookUpTable,MATCH($B4191,CalLookUpRow,0),MATCH(I$1,CalLookUpColumn,0))</f>
        <v>5</v>
      </c>
    </row>
    <row r="4192" spans="1:9" x14ac:dyDescent="0.25">
      <c r="A4192" s="7">
        <v>3</v>
      </c>
      <c r="B4192" s="8">
        <v>43549</v>
      </c>
      <c r="C4192" s="9" t="s">
        <v>4</v>
      </c>
      <c r="D4192" s="10">
        <v>2768.99</v>
      </c>
      <c r="E4192" s="10">
        <v>0</v>
      </c>
      <c r="F4192" t="str">
        <f>VLOOKUP(A4192,StoreLookup,2,FALSE)</f>
        <v>Store#3</v>
      </c>
      <c r="G4192">
        <f>INDEX(CalLookUpTable,MATCH($B4192,CalLookUpRow,0),MATCH(G$1,CalLookUpColumn,0))</f>
        <v>2019</v>
      </c>
      <c r="H4192">
        <f>INDEX(CalLookUpTable,MATCH($B4192,CalLookUpRow,0),MATCH(H$1,CalLookUpColumn,0))</f>
        <v>3</v>
      </c>
      <c r="I4192">
        <f>INDEX(CalLookUpTable,MATCH($B4192,CalLookUpRow,0),MATCH(I$1,CalLookUpColumn,0))</f>
        <v>5</v>
      </c>
    </row>
    <row r="4193" spans="1:9" x14ac:dyDescent="0.25">
      <c r="A4193" s="7">
        <v>3</v>
      </c>
      <c r="B4193" s="8">
        <v>43549</v>
      </c>
      <c r="C4193" s="9" t="s">
        <v>3</v>
      </c>
      <c r="D4193" s="10">
        <v>0</v>
      </c>
      <c r="E4193" s="10">
        <v>0</v>
      </c>
      <c r="F4193" t="str">
        <f>VLOOKUP(A4193,StoreLookup,2,FALSE)</f>
        <v>Store#3</v>
      </c>
      <c r="G4193">
        <f>INDEX(CalLookUpTable,MATCH($B4193,CalLookUpRow,0),MATCH(G$1,CalLookUpColumn,0))</f>
        <v>2019</v>
      </c>
      <c r="H4193">
        <f>INDEX(CalLookUpTable,MATCH($B4193,CalLookUpRow,0),MATCH(H$1,CalLookUpColumn,0))</f>
        <v>3</v>
      </c>
      <c r="I4193">
        <f>INDEX(CalLookUpTable,MATCH($B4193,CalLookUpRow,0),MATCH(I$1,CalLookUpColumn,0))</f>
        <v>5</v>
      </c>
    </row>
    <row r="4194" spans="1:9" x14ac:dyDescent="0.25">
      <c r="A4194" s="7">
        <v>3</v>
      </c>
      <c r="B4194" s="8">
        <v>43550</v>
      </c>
      <c r="C4194" s="9" t="s">
        <v>6</v>
      </c>
      <c r="D4194" s="10">
        <v>941.02399999999989</v>
      </c>
      <c r="E4194" s="10">
        <v>0</v>
      </c>
      <c r="F4194" t="str">
        <f>VLOOKUP(A4194,StoreLookup,2,FALSE)</f>
        <v>Store#3</v>
      </c>
      <c r="G4194">
        <f>INDEX(CalLookUpTable,MATCH($B4194,CalLookUpRow,0),MATCH(G$1,CalLookUpColumn,0))</f>
        <v>2019</v>
      </c>
      <c r="H4194">
        <f>INDEX(CalLookUpTable,MATCH($B4194,CalLookUpRow,0),MATCH(H$1,CalLookUpColumn,0))</f>
        <v>3</v>
      </c>
      <c r="I4194">
        <f>INDEX(CalLookUpTable,MATCH($B4194,CalLookUpRow,0),MATCH(I$1,CalLookUpColumn,0))</f>
        <v>5</v>
      </c>
    </row>
    <row r="4195" spans="1:9" x14ac:dyDescent="0.25">
      <c r="A4195" s="7">
        <v>3</v>
      </c>
      <c r="B4195" s="8">
        <v>43550</v>
      </c>
      <c r="C4195" s="9" t="s">
        <v>3</v>
      </c>
      <c r="D4195" s="10">
        <v>0</v>
      </c>
      <c r="E4195" s="10">
        <v>0</v>
      </c>
      <c r="F4195" t="str">
        <f>VLOOKUP(A4195,StoreLookup,2,FALSE)</f>
        <v>Store#3</v>
      </c>
      <c r="G4195">
        <f>INDEX(CalLookUpTable,MATCH($B4195,CalLookUpRow,0),MATCH(G$1,CalLookUpColumn,0))</f>
        <v>2019</v>
      </c>
      <c r="H4195">
        <f>INDEX(CalLookUpTable,MATCH($B4195,CalLookUpRow,0),MATCH(H$1,CalLookUpColumn,0))</f>
        <v>3</v>
      </c>
      <c r="I4195">
        <f>INDEX(CalLookUpTable,MATCH($B4195,CalLookUpRow,0),MATCH(I$1,CalLookUpColumn,0))</f>
        <v>5</v>
      </c>
    </row>
    <row r="4196" spans="1:9" x14ac:dyDescent="0.25">
      <c r="A4196" s="7">
        <v>3</v>
      </c>
      <c r="B4196" s="8">
        <v>43550</v>
      </c>
      <c r="C4196" s="9" t="s">
        <v>5</v>
      </c>
      <c r="D4196" s="10">
        <v>3560.8859999999995</v>
      </c>
      <c r="E4196" s="10">
        <v>0</v>
      </c>
      <c r="F4196" t="str">
        <f>VLOOKUP(A4196,StoreLookup,2,FALSE)</f>
        <v>Store#3</v>
      </c>
      <c r="G4196">
        <f>INDEX(CalLookUpTable,MATCH($B4196,CalLookUpRow,0),MATCH(G$1,CalLookUpColumn,0))</f>
        <v>2019</v>
      </c>
      <c r="H4196">
        <f>INDEX(CalLookUpTable,MATCH($B4196,CalLookUpRow,0),MATCH(H$1,CalLookUpColumn,0))</f>
        <v>3</v>
      </c>
      <c r="I4196">
        <f>INDEX(CalLookUpTable,MATCH($B4196,CalLookUpRow,0),MATCH(I$1,CalLookUpColumn,0))</f>
        <v>5</v>
      </c>
    </row>
    <row r="4197" spans="1:9" x14ac:dyDescent="0.25">
      <c r="A4197" s="7">
        <v>3</v>
      </c>
      <c r="B4197" s="8">
        <v>43550</v>
      </c>
      <c r="C4197" s="9" t="s">
        <v>4</v>
      </c>
      <c r="D4197" s="10">
        <v>3507.8679999999995</v>
      </c>
      <c r="E4197" s="10">
        <v>0</v>
      </c>
      <c r="F4197" t="str">
        <f>VLOOKUP(A4197,StoreLookup,2,FALSE)</f>
        <v>Store#3</v>
      </c>
      <c r="G4197">
        <f>INDEX(CalLookUpTable,MATCH($B4197,CalLookUpRow,0),MATCH(G$1,CalLookUpColumn,0))</f>
        <v>2019</v>
      </c>
      <c r="H4197">
        <f>INDEX(CalLookUpTable,MATCH($B4197,CalLookUpRow,0),MATCH(H$1,CalLookUpColumn,0))</f>
        <v>3</v>
      </c>
      <c r="I4197">
        <f>INDEX(CalLookUpTable,MATCH($B4197,CalLookUpRow,0),MATCH(I$1,CalLookUpColumn,0))</f>
        <v>5</v>
      </c>
    </row>
    <row r="4198" spans="1:9" x14ac:dyDescent="0.25">
      <c r="A4198" s="7">
        <v>3</v>
      </c>
      <c r="B4198" s="8">
        <v>43551</v>
      </c>
      <c r="C4198" s="9" t="s">
        <v>6</v>
      </c>
      <c r="D4198" s="10">
        <v>728.60899999999992</v>
      </c>
      <c r="E4198" s="10">
        <v>0</v>
      </c>
      <c r="F4198" t="str">
        <f>VLOOKUP(A4198,StoreLookup,2,FALSE)</f>
        <v>Store#3</v>
      </c>
      <c r="G4198">
        <f>INDEX(CalLookUpTable,MATCH($B4198,CalLookUpRow,0),MATCH(G$1,CalLookUpColumn,0))</f>
        <v>2019</v>
      </c>
      <c r="H4198">
        <f>INDEX(CalLookUpTable,MATCH($B4198,CalLookUpRow,0),MATCH(H$1,CalLookUpColumn,0))</f>
        <v>3</v>
      </c>
      <c r="I4198">
        <f>INDEX(CalLookUpTable,MATCH($B4198,CalLookUpRow,0),MATCH(I$1,CalLookUpColumn,0))</f>
        <v>5</v>
      </c>
    </row>
    <row r="4199" spans="1:9" x14ac:dyDescent="0.25">
      <c r="A4199" s="7">
        <v>3</v>
      </c>
      <c r="B4199" s="8">
        <v>43551</v>
      </c>
      <c r="C4199" s="9" t="s">
        <v>4</v>
      </c>
      <c r="D4199" s="10">
        <v>3610.2709999999997</v>
      </c>
      <c r="E4199" s="10">
        <v>0</v>
      </c>
      <c r="F4199" t="str">
        <f>VLOOKUP(A4199,StoreLookup,2,FALSE)</f>
        <v>Store#3</v>
      </c>
      <c r="G4199">
        <f>INDEX(CalLookUpTable,MATCH($B4199,CalLookUpRow,0),MATCH(G$1,CalLookUpColumn,0))</f>
        <v>2019</v>
      </c>
      <c r="H4199">
        <f>INDEX(CalLookUpTable,MATCH($B4199,CalLookUpRow,0),MATCH(H$1,CalLookUpColumn,0))</f>
        <v>3</v>
      </c>
      <c r="I4199">
        <f>INDEX(CalLookUpTable,MATCH($B4199,CalLookUpRow,0),MATCH(I$1,CalLookUpColumn,0))</f>
        <v>5</v>
      </c>
    </row>
    <row r="4200" spans="1:9" x14ac:dyDescent="0.25">
      <c r="A4200" s="7">
        <v>3</v>
      </c>
      <c r="B4200" s="8">
        <v>43551</v>
      </c>
      <c r="C4200" s="9" t="s">
        <v>3</v>
      </c>
      <c r="D4200" s="10">
        <v>123.851</v>
      </c>
      <c r="E4200" s="10">
        <v>0</v>
      </c>
      <c r="F4200" t="str">
        <f>VLOOKUP(A4200,StoreLookup,2,FALSE)</f>
        <v>Store#3</v>
      </c>
      <c r="G4200">
        <f>INDEX(CalLookUpTable,MATCH($B4200,CalLookUpRow,0),MATCH(G$1,CalLookUpColumn,0))</f>
        <v>2019</v>
      </c>
      <c r="H4200">
        <f>INDEX(CalLookUpTable,MATCH($B4200,CalLookUpRow,0),MATCH(H$1,CalLookUpColumn,0))</f>
        <v>3</v>
      </c>
      <c r="I4200">
        <f>INDEX(CalLookUpTable,MATCH($B4200,CalLookUpRow,0),MATCH(I$1,CalLookUpColumn,0))</f>
        <v>5</v>
      </c>
    </row>
    <row r="4201" spans="1:9" x14ac:dyDescent="0.25">
      <c r="A4201" s="7">
        <v>3</v>
      </c>
      <c r="B4201" s="8">
        <v>43551</v>
      </c>
      <c r="C4201" s="9" t="s">
        <v>5</v>
      </c>
      <c r="D4201" s="10">
        <v>3626.1679999999997</v>
      </c>
      <c r="E4201" s="10">
        <v>0</v>
      </c>
      <c r="F4201" t="str">
        <f>VLOOKUP(A4201,StoreLookup,2,FALSE)</f>
        <v>Store#3</v>
      </c>
      <c r="G4201">
        <f>INDEX(CalLookUpTable,MATCH($B4201,CalLookUpRow,0),MATCH(G$1,CalLookUpColumn,0))</f>
        <v>2019</v>
      </c>
      <c r="H4201">
        <f>INDEX(CalLookUpTable,MATCH($B4201,CalLookUpRow,0),MATCH(H$1,CalLookUpColumn,0))</f>
        <v>3</v>
      </c>
      <c r="I4201">
        <f>INDEX(CalLookUpTable,MATCH($B4201,CalLookUpRow,0),MATCH(I$1,CalLookUpColumn,0))</f>
        <v>5</v>
      </c>
    </row>
    <row r="4202" spans="1:9" x14ac:dyDescent="0.25">
      <c r="A4202" s="7">
        <v>3</v>
      </c>
      <c r="B4202" s="8">
        <v>43552</v>
      </c>
      <c r="C4202" s="9" t="s">
        <v>6</v>
      </c>
      <c r="D4202" s="10">
        <v>925.82699999999988</v>
      </c>
      <c r="E4202" s="10">
        <v>0</v>
      </c>
      <c r="F4202" t="str">
        <f>VLOOKUP(A4202,StoreLookup,2,FALSE)</f>
        <v>Store#3</v>
      </c>
      <c r="G4202">
        <f>INDEX(CalLookUpTable,MATCH($B4202,CalLookUpRow,0),MATCH(G$1,CalLookUpColumn,0))</f>
        <v>2019</v>
      </c>
      <c r="H4202">
        <f>INDEX(CalLookUpTable,MATCH($B4202,CalLookUpRow,0),MATCH(H$1,CalLookUpColumn,0))</f>
        <v>3</v>
      </c>
      <c r="I4202">
        <f>INDEX(CalLookUpTable,MATCH($B4202,CalLookUpRow,0),MATCH(I$1,CalLookUpColumn,0))</f>
        <v>5</v>
      </c>
    </row>
    <row r="4203" spans="1:9" x14ac:dyDescent="0.25">
      <c r="A4203" s="7">
        <v>3</v>
      </c>
      <c r="B4203" s="8">
        <v>43552</v>
      </c>
      <c r="C4203" s="9" t="s">
        <v>4</v>
      </c>
      <c r="D4203" s="10">
        <v>3606.4349999999999</v>
      </c>
      <c r="E4203" s="10">
        <v>0</v>
      </c>
      <c r="F4203" t="str">
        <f>VLOOKUP(A4203,StoreLookup,2,FALSE)</f>
        <v>Store#3</v>
      </c>
      <c r="G4203">
        <f>INDEX(CalLookUpTable,MATCH($B4203,CalLookUpRow,0),MATCH(G$1,CalLookUpColumn,0))</f>
        <v>2019</v>
      </c>
      <c r="H4203">
        <f>INDEX(CalLookUpTable,MATCH($B4203,CalLookUpRow,0),MATCH(H$1,CalLookUpColumn,0))</f>
        <v>3</v>
      </c>
      <c r="I4203">
        <f>INDEX(CalLookUpTable,MATCH($B4203,CalLookUpRow,0),MATCH(I$1,CalLookUpColumn,0))</f>
        <v>5</v>
      </c>
    </row>
    <row r="4204" spans="1:9" x14ac:dyDescent="0.25">
      <c r="A4204" s="7">
        <v>3</v>
      </c>
      <c r="B4204" s="8">
        <v>43552</v>
      </c>
      <c r="C4204" s="9" t="s">
        <v>3</v>
      </c>
      <c r="D4204" s="10">
        <v>211.68700000000001</v>
      </c>
      <c r="E4204" s="10">
        <v>0</v>
      </c>
      <c r="F4204" t="str">
        <f>VLOOKUP(A4204,StoreLookup,2,FALSE)</f>
        <v>Store#3</v>
      </c>
      <c r="G4204">
        <f>INDEX(CalLookUpTable,MATCH($B4204,CalLookUpRow,0),MATCH(G$1,CalLookUpColumn,0))</f>
        <v>2019</v>
      </c>
      <c r="H4204">
        <f>INDEX(CalLookUpTable,MATCH($B4204,CalLookUpRow,0),MATCH(H$1,CalLookUpColumn,0))</f>
        <v>3</v>
      </c>
      <c r="I4204">
        <f>INDEX(CalLookUpTable,MATCH($B4204,CalLookUpRow,0),MATCH(I$1,CalLookUpColumn,0))</f>
        <v>5</v>
      </c>
    </row>
    <row r="4205" spans="1:9" x14ac:dyDescent="0.25">
      <c r="A4205" s="7">
        <v>3</v>
      </c>
      <c r="B4205" s="8">
        <v>43552</v>
      </c>
      <c r="C4205" s="9" t="s">
        <v>5</v>
      </c>
      <c r="D4205" s="10">
        <v>3540.0959999999995</v>
      </c>
      <c r="E4205" s="10">
        <v>0</v>
      </c>
      <c r="F4205" t="str">
        <f>VLOOKUP(A4205,StoreLookup,2,FALSE)</f>
        <v>Store#3</v>
      </c>
      <c r="G4205">
        <f>INDEX(CalLookUpTable,MATCH($B4205,CalLookUpRow,0),MATCH(G$1,CalLookUpColumn,0))</f>
        <v>2019</v>
      </c>
      <c r="H4205">
        <f>INDEX(CalLookUpTable,MATCH($B4205,CalLookUpRow,0),MATCH(H$1,CalLookUpColumn,0))</f>
        <v>3</v>
      </c>
      <c r="I4205">
        <f>INDEX(CalLookUpTable,MATCH($B4205,CalLookUpRow,0),MATCH(I$1,CalLookUpColumn,0))</f>
        <v>5</v>
      </c>
    </row>
    <row r="4206" spans="1:9" x14ac:dyDescent="0.25">
      <c r="A4206" s="7">
        <v>3</v>
      </c>
      <c r="B4206" s="8">
        <v>43553</v>
      </c>
      <c r="C4206" s="9" t="s">
        <v>3</v>
      </c>
      <c r="D4206" s="10">
        <v>307.71999999999997</v>
      </c>
      <c r="E4206" s="10">
        <v>0</v>
      </c>
      <c r="F4206" t="str">
        <f>VLOOKUP(A4206,StoreLookup,2,FALSE)</f>
        <v>Store#3</v>
      </c>
      <c r="G4206">
        <f>INDEX(CalLookUpTable,MATCH($B4206,CalLookUpRow,0),MATCH(G$1,CalLookUpColumn,0))</f>
        <v>2019</v>
      </c>
      <c r="H4206">
        <f>INDEX(CalLookUpTable,MATCH($B4206,CalLookUpRow,0),MATCH(H$1,CalLookUpColumn,0))</f>
        <v>3</v>
      </c>
      <c r="I4206">
        <f>INDEX(CalLookUpTable,MATCH($B4206,CalLookUpRow,0),MATCH(I$1,CalLookUpColumn,0))</f>
        <v>5</v>
      </c>
    </row>
    <row r="4207" spans="1:9" x14ac:dyDescent="0.25">
      <c r="A4207" s="7">
        <v>3</v>
      </c>
      <c r="B4207" s="8">
        <v>43553</v>
      </c>
      <c r="C4207" s="9" t="s">
        <v>5</v>
      </c>
      <c r="D4207" s="10">
        <v>3485.3069999999998</v>
      </c>
      <c r="E4207" s="10">
        <v>0</v>
      </c>
      <c r="F4207" t="str">
        <f>VLOOKUP(A4207,StoreLookup,2,FALSE)</f>
        <v>Store#3</v>
      </c>
      <c r="G4207">
        <f>INDEX(CalLookUpTable,MATCH($B4207,CalLookUpRow,0),MATCH(G$1,CalLookUpColumn,0))</f>
        <v>2019</v>
      </c>
      <c r="H4207">
        <f>INDEX(CalLookUpTable,MATCH($B4207,CalLookUpRow,0),MATCH(H$1,CalLookUpColumn,0))</f>
        <v>3</v>
      </c>
      <c r="I4207">
        <f>INDEX(CalLookUpTable,MATCH($B4207,CalLookUpRow,0),MATCH(I$1,CalLookUpColumn,0))</f>
        <v>5</v>
      </c>
    </row>
    <row r="4208" spans="1:9" x14ac:dyDescent="0.25">
      <c r="A4208" s="7">
        <v>3</v>
      </c>
      <c r="B4208" s="8">
        <v>43553</v>
      </c>
      <c r="C4208" s="9" t="s">
        <v>6</v>
      </c>
      <c r="D4208" s="10">
        <v>1206.4359999999999</v>
      </c>
      <c r="E4208" s="10">
        <v>0</v>
      </c>
      <c r="F4208" t="str">
        <f>VLOOKUP(A4208,StoreLookup,2,FALSE)</f>
        <v>Store#3</v>
      </c>
      <c r="G4208">
        <f>INDEX(CalLookUpTable,MATCH($B4208,CalLookUpRow,0),MATCH(G$1,CalLookUpColumn,0))</f>
        <v>2019</v>
      </c>
      <c r="H4208">
        <f>INDEX(CalLookUpTable,MATCH($B4208,CalLookUpRow,0),MATCH(H$1,CalLookUpColumn,0))</f>
        <v>3</v>
      </c>
      <c r="I4208">
        <f>INDEX(CalLookUpTable,MATCH($B4208,CalLookUpRow,0),MATCH(I$1,CalLookUpColumn,0))</f>
        <v>5</v>
      </c>
    </row>
    <row r="4209" spans="1:9" x14ac:dyDescent="0.25">
      <c r="A4209" s="7">
        <v>3</v>
      </c>
      <c r="B4209" s="8">
        <v>43553</v>
      </c>
      <c r="C4209" s="9" t="s">
        <v>4</v>
      </c>
      <c r="D4209" s="10">
        <v>3857.5529999999999</v>
      </c>
      <c r="E4209" s="10">
        <v>0</v>
      </c>
      <c r="F4209" t="str">
        <f>VLOOKUP(A4209,StoreLookup,2,FALSE)</f>
        <v>Store#3</v>
      </c>
      <c r="G4209">
        <f>INDEX(CalLookUpTable,MATCH($B4209,CalLookUpRow,0),MATCH(G$1,CalLookUpColumn,0))</f>
        <v>2019</v>
      </c>
      <c r="H4209">
        <f>INDEX(CalLookUpTable,MATCH($B4209,CalLookUpRow,0),MATCH(H$1,CalLookUpColumn,0))</f>
        <v>3</v>
      </c>
      <c r="I4209">
        <f>INDEX(CalLookUpTable,MATCH($B4209,CalLookUpRow,0),MATCH(I$1,CalLookUpColumn,0))</f>
        <v>5</v>
      </c>
    </row>
    <row r="4210" spans="1:9" x14ac:dyDescent="0.25">
      <c r="A4210" s="7">
        <v>3</v>
      </c>
      <c r="B4210" s="8">
        <v>43554</v>
      </c>
      <c r="C4210" s="9" t="s">
        <v>6</v>
      </c>
      <c r="D4210" s="10">
        <v>1117.886</v>
      </c>
      <c r="E4210" s="10">
        <v>0</v>
      </c>
      <c r="F4210" t="str">
        <f>VLOOKUP(A4210,StoreLookup,2,FALSE)</f>
        <v>Store#3</v>
      </c>
      <c r="G4210">
        <f>INDEX(CalLookUpTable,MATCH($B4210,CalLookUpRow,0),MATCH(G$1,CalLookUpColumn,0))</f>
        <v>2019</v>
      </c>
      <c r="H4210">
        <f>INDEX(CalLookUpTable,MATCH($B4210,CalLookUpRow,0),MATCH(H$1,CalLookUpColumn,0))</f>
        <v>3</v>
      </c>
      <c r="I4210">
        <f>INDEX(CalLookUpTable,MATCH($B4210,CalLookUpRow,0),MATCH(I$1,CalLookUpColumn,0))</f>
        <v>5</v>
      </c>
    </row>
    <row r="4211" spans="1:9" x14ac:dyDescent="0.25">
      <c r="A4211" s="7">
        <v>3</v>
      </c>
      <c r="B4211" s="8">
        <v>43554</v>
      </c>
      <c r="C4211" s="9" t="s">
        <v>3</v>
      </c>
      <c r="D4211" s="10">
        <v>98.343000000000004</v>
      </c>
      <c r="E4211" s="10">
        <v>0</v>
      </c>
      <c r="F4211" t="str">
        <f>VLOOKUP(A4211,StoreLookup,2,FALSE)</f>
        <v>Store#3</v>
      </c>
      <c r="G4211">
        <f>INDEX(CalLookUpTable,MATCH($B4211,CalLookUpRow,0),MATCH(G$1,CalLookUpColumn,0))</f>
        <v>2019</v>
      </c>
      <c r="H4211">
        <f>INDEX(CalLookUpTable,MATCH($B4211,CalLookUpRow,0),MATCH(H$1,CalLookUpColumn,0))</f>
        <v>3</v>
      </c>
      <c r="I4211">
        <f>INDEX(CalLookUpTable,MATCH($B4211,CalLookUpRow,0),MATCH(I$1,CalLookUpColumn,0))</f>
        <v>5</v>
      </c>
    </row>
    <row r="4212" spans="1:9" x14ac:dyDescent="0.25">
      <c r="A4212" s="7">
        <v>3</v>
      </c>
      <c r="B4212" s="8">
        <v>43554</v>
      </c>
      <c r="C4212" s="9" t="s">
        <v>5</v>
      </c>
      <c r="D4212" s="10">
        <v>3389.7989999999995</v>
      </c>
      <c r="E4212" s="10">
        <v>0</v>
      </c>
      <c r="F4212" t="str">
        <f>VLOOKUP(A4212,StoreLookup,2,FALSE)</f>
        <v>Store#3</v>
      </c>
      <c r="G4212">
        <f>INDEX(CalLookUpTable,MATCH($B4212,CalLookUpRow,0),MATCH(G$1,CalLookUpColumn,0))</f>
        <v>2019</v>
      </c>
      <c r="H4212">
        <f>INDEX(CalLookUpTable,MATCH($B4212,CalLookUpRow,0),MATCH(H$1,CalLookUpColumn,0))</f>
        <v>3</v>
      </c>
      <c r="I4212">
        <f>INDEX(CalLookUpTable,MATCH($B4212,CalLookUpRow,0),MATCH(I$1,CalLookUpColumn,0))</f>
        <v>5</v>
      </c>
    </row>
    <row r="4213" spans="1:9" x14ac:dyDescent="0.25">
      <c r="A4213" s="7">
        <v>3</v>
      </c>
      <c r="B4213" s="8">
        <v>43554</v>
      </c>
      <c r="C4213" s="9" t="s">
        <v>4</v>
      </c>
      <c r="D4213" s="10">
        <v>3885.9309999999996</v>
      </c>
      <c r="E4213" s="10">
        <v>0</v>
      </c>
      <c r="F4213" t="str">
        <f>VLOOKUP(A4213,StoreLookup,2,FALSE)</f>
        <v>Store#3</v>
      </c>
      <c r="G4213">
        <f>INDEX(CalLookUpTable,MATCH($B4213,CalLookUpRow,0),MATCH(G$1,CalLookUpColumn,0))</f>
        <v>2019</v>
      </c>
      <c r="H4213">
        <f>INDEX(CalLookUpTable,MATCH($B4213,CalLookUpRow,0),MATCH(H$1,CalLookUpColumn,0))</f>
        <v>3</v>
      </c>
      <c r="I4213">
        <f>INDEX(CalLookUpTable,MATCH($B4213,CalLookUpRow,0),MATCH(I$1,CalLookUpColumn,0))</f>
        <v>5</v>
      </c>
    </row>
    <row r="4214" spans="1:9" x14ac:dyDescent="0.25">
      <c r="A4214" s="7">
        <v>3</v>
      </c>
      <c r="B4214" s="8">
        <v>43555</v>
      </c>
      <c r="C4214" s="9" t="s">
        <v>5</v>
      </c>
      <c r="D4214" s="10">
        <v>2907.3450000000003</v>
      </c>
      <c r="E4214" s="10">
        <v>0</v>
      </c>
      <c r="F4214" t="str">
        <f>VLOOKUP(A4214,StoreLookup,2,FALSE)</f>
        <v>Store#3</v>
      </c>
      <c r="G4214">
        <f>INDEX(CalLookUpTable,MATCH($B4214,CalLookUpRow,0),MATCH(G$1,CalLookUpColumn,0))</f>
        <v>2019</v>
      </c>
      <c r="H4214">
        <f>INDEX(CalLookUpTable,MATCH($B4214,CalLookUpRow,0),MATCH(H$1,CalLookUpColumn,0))</f>
        <v>3</v>
      </c>
      <c r="I4214">
        <f>INDEX(CalLookUpTable,MATCH($B4214,CalLookUpRow,0),MATCH(I$1,CalLookUpColumn,0))</f>
        <v>5</v>
      </c>
    </row>
    <row r="4215" spans="1:9" x14ac:dyDescent="0.25">
      <c r="A4215" s="7">
        <v>3</v>
      </c>
      <c r="B4215" s="8">
        <v>43555</v>
      </c>
      <c r="C4215" s="9" t="s">
        <v>6</v>
      </c>
      <c r="D4215" s="10">
        <v>548.8069999999999</v>
      </c>
      <c r="E4215" s="10">
        <v>0</v>
      </c>
      <c r="F4215" t="str">
        <f>VLOOKUP(A4215,StoreLookup,2,FALSE)</f>
        <v>Store#3</v>
      </c>
      <c r="G4215">
        <f>INDEX(CalLookUpTable,MATCH($B4215,CalLookUpRow,0),MATCH(G$1,CalLookUpColumn,0))</f>
        <v>2019</v>
      </c>
      <c r="H4215">
        <f>INDEX(CalLookUpTable,MATCH($B4215,CalLookUpRow,0),MATCH(H$1,CalLookUpColumn,0))</f>
        <v>3</v>
      </c>
      <c r="I4215">
        <f>INDEX(CalLookUpTable,MATCH($B4215,CalLookUpRow,0),MATCH(I$1,CalLookUpColumn,0))</f>
        <v>5</v>
      </c>
    </row>
    <row r="4216" spans="1:9" x14ac:dyDescent="0.25">
      <c r="A4216" s="7">
        <v>3</v>
      </c>
      <c r="B4216" s="8">
        <v>43555</v>
      </c>
      <c r="C4216" s="9" t="s">
        <v>4</v>
      </c>
      <c r="D4216" s="10">
        <v>2911.5099999999998</v>
      </c>
      <c r="E4216" s="10">
        <v>0</v>
      </c>
      <c r="F4216" t="str">
        <f>VLOOKUP(A4216,StoreLookup,2,FALSE)</f>
        <v>Store#3</v>
      </c>
      <c r="G4216">
        <f>INDEX(CalLookUpTable,MATCH($B4216,CalLookUpRow,0),MATCH(G$1,CalLookUpColumn,0))</f>
        <v>2019</v>
      </c>
      <c r="H4216">
        <f>INDEX(CalLookUpTable,MATCH($B4216,CalLookUpRow,0),MATCH(H$1,CalLookUpColumn,0))</f>
        <v>3</v>
      </c>
      <c r="I4216">
        <f>INDEX(CalLookUpTable,MATCH($B4216,CalLookUpRow,0),MATCH(I$1,CalLookUpColumn,0))</f>
        <v>5</v>
      </c>
    </row>
    <row r="4217" spans="1:9" x14ac:dyDescent="0.25">
      <c r="A4217" s="7">
        <v>3</v>
      </c>
      <c r="B4217" s="8">
        <v>43555</v>
      </c>
      <c r="C4217" s="9" t="s">
        <v>3</v>
      </c>
      <c r="D4217" s="10">
        <v>101.626</v>
      </c>
      <c r="E4217" s="10">
        <v>0</v>
      </c>
      <c r="F4217" t="str">
        <f>VLOOKUP(A4217,StoreLookup,2,FALSE)</f>
        <v>Store#3</v>
      </c>
      <c r="G4217">
        <f>INDEX(CalLookUpTable,MATCH($B4217,CalLookUpRow,0),MATCH(G$1,CalLookUpColumn,0))</f>
        <v>2019</v>
      </c>
      <c r="H4217">
        <f>INDEX(CalLookUpTable,MATCH($B4217,CalLookUpRow,0),MATCH(H$1,CalLookUpColumn,0))</f>
        <v>3</v>
      </c>
      <c r="I4217">
        <f>INDEX(CalLookUpTable,MATCH($B4217,CalLookUpRow,0),MATCH(I$1,CalLookUpColumn,0))</f>
        <v>5</v>
      </c>
    </row>
    <row r="4218" spans="1:9" x14ac:dyDescent="0.25">
      <c r="A4218" s="7">
        <v>3</v>
      </c>
      <c r="B4218" s="8">
        <v>43556</v>
      </c>
      <c r="C4218" s="9" t="s">
        <v>3</v>
      </c>
      <c r="D4218" s="10">
        <v>174.15299999999999</v>
      </c>
      <c r="E4218" s="10">
        <v>0</v>
      </c>
      <c r="F4218" t="str">
        <f>VLOOKUP(A4218,StoreLookup,2,FALSE)</f>
        <v>Store#3</v>
      </c>
      <c r="G4218">
        <f>INDEX(CalLookUpTable,MATCH($B4218,CalLookUpRow,0),MATCH(G$1,CalLookUpColumn,0))</f>
        <v>2019</v>
      </c>
      <c r="H4218">
        <f>INDEX(CalLookUpTable,MATCH($B4218,CalLookUpRow,0),MATCH(H$1,CalLookUpColumn,0))</f>
        <v>4</v>
      </c>
      <c r="I4218">
        <f>INDEX(CalLookUpTable,MATCH($B4218,CalLookUpRow,0),MATCH(I$1,CalLookUpColumn,0))</f>
        <v>1</v>
      </c>
    </row>
    <row r="4219" spans="1:9" x14ac:dyDescent="0.25">
      <c r="A4219" s="7">
        <v>3</v>
      </c>
      <c r="B4219" s="8">
        <v>43556</v>
      </c>
      <c r="C4219" s="9" t="s">
        <v>6</v>
      </c>
      <c r="D4219" s="10">
        <v>446.47399999999999</v>
      </c>
      <c r="E4219" s="10">
        <v>0</v>
      </c>
      <c r="F4219" t="str">
        <f>VLOOKUP(A4219,StoreLookup,2,FALSE)</f>
        <v>Store#3</v>
      </c>
      <c r="G4219">
        <f>INDEX(CalLookUpTable,MATCH($B4219,CalLookUpRow,0),MATCH(G$1,CalLookUpColumn,0))</f>
        <v>2019</v>
      </c>
      <c r="H4219">
        <f>INDEX(CalLookUpTable,MATCH($B4219,CalLookUpRow,0),MATCH(H$1,CalLookUpColumn,0))</f>
        <v>4</v>
      </c>
      <c r="I4219">
        <f>INDEX(CalLookUpTable,MATCH($B4219,CalLookUpRow,0),MATCH(I$1,CalLookUpColumn,0))</f>
        <v>1</v>
      </c>
    </row>
    <row r="4220" spans="1:9" x14ac:dyDescent="0.25">
      <c r="A4220" s="7">
        <v>3</v>
      </c>
      <c r="B4220" s="8">
        <v>43556</v>
      </c>
      <c r="C4220" s="9" t="s">
        <v>4</v>
      </c>
      <c r="D4220" s="10">
        <v>3146.8429999999998</v>
      </c>
      <c r="E4220" s="10">
        <v>0</v>
      </c>
      <c r="F4220" t="str">
        <f>VLOOKUP(A4220,StoreLookup,2,FALSE)</f>
        <v>Store#3</v>
      </c>
      <c r="G4220">
        <f>INDEX(CalLookUpTable,MATCH($B4220,CalLookUpRow,0),MATCH(G$1,CalLookUpColumn,0))</f>
        <v>2019</v>
      </c>
      <c r="H4220">
        <f>INDEX(CalLookUpTable,MATCH($B4220,CalLookUpRow,0),MATCH(H$1,CalLookUpColumn,0))</f>
        <v>4</v>
      </c>
      <c r="I4220">
        <f>INDEX(CalLookUpTable,MATCH($B4220,CalLookUpRow,0),MATCH(I$1,CalLookUpColumn,0))</f>
        <v>1</v>
      </c>
    </row>
    <row r="4221" spans="1:9" x14ac:dyDescent="0.25">
      <c r="A4221" s="7">
        <v>3</v>
      </c>
      <c r="B4221" s="8">
        <v>43556</v>
      </c>
      <c r="C4221" s="9" t="s">
        <v>5</v>
      </c>
      <c r="D4221" s="10">
        <v>2980.1029999999996</v>
      </c>
      <c r="E4221" s="10">
        <v>0</v>
      </c>
      <c r="F4221" t="str">
        <f>VLOOKUP(A4221,StoreLookup,2,FALSE)</f>
        <v>Store#3</v>
      </c>
      <c r="G4221">
        <f>INDEX(CalLookUpTable,MATCH($B4221,CalLookUpRow,0),MATCH(G$1,CalLookUpColumn,0))</f>
        <v>2019</v>
      </c>
      <c r="H4221">
        <f>INDEX(CalLookUpTable,MATCH($B4221,CalLookUpRow,0),MATCH(H$1,CalLookUpColumn,0))</f>
        <v>4</v>
      </c>
      <c r="I4221">
        <f>INDEX(CalLookUpTable,MATCH($B4221,CalLookUpRow,0),MATCH(I$1,CalLookUpColumn,0))</f>
        <v>1</v>
      </c>
    </row>
    <row r="4222" spans="1:9" x14ac:dyDescent="0.25">
      <c r="A4222" s="7">
        <v>3</v>
      </c>
      <c r="B4222" s="8">
        <v>43557</v>
      </c>
      <c r="C4222" s="9" t="s">
        <v>3</v>
      </c>
      <c r="D4222" s="10">
        <v>576.97499999999991</v>
      </c>
      <c r="E4222" s="10">
        <v>0</v>
      </c>
      <c r="F4222" t="str">
        <f>VLOOKUP(A4222,StoreLookup,2,FALSE)</f>
        <v>Store#3</v>
      </c>
      <c r="G4222">
        <f>INDEX(CalLookUpTable,MATCH($B4222,CalLookUpRow,0),MATCH(G$1,CalLookUpColumn,0))</f>
        <v>2019</v>
      </c>
      <c r="H4222">
        <f>INDEX(CalLookUpTable,MATCH($B4222,CalLookUpRow,0),MATCH(H$1,CalLookUpColumn,0))</f>
        <v>4</v>
      </c>
      <c r="I4222">
        <f>INDEX(CalLookUpTable,MATCH($B4222,CalLookUpRow,0),MATCH(I$1,CalLookUpColumn,0))</f>
        <v>1</v>
      </c>
    </row>
    <row r="4223" spans="1:9" x14ac:dyDescent="0.25">
      <c r="A4223" s="7">
        <v>3</v>
      </c>
      <c r="B4223" s="8">
        <v>43557</v>
      </c>
      <c r="C4223" s="9" t="s">
        <v>5</v>
      </c>
      <c r="D4223" s="10">
        <v>3258.1499999999996</v>
      </c>
      <c r="E4223" s="10">
        <v>0</v>
      </c>
      <c r="F4223" t="str">
        <f>VLOOKUP(A4223,StoreLookup,2,FALSE)</f>
        <v>Store#3</v>
      </c>
      <c r="G4223">
        <f>INDEX(CalLookUpTable,MATCH($B4223,CalLookUpRow,0),MATCH(G$1,CalLookUpColumn,0))</f>
        <v>2019</v>
      </c>
      <c r="H4223">
        <f>INDEX(CalLookUpTable,MATCH($B4223,CalLookUpRow,0),MATCH(H$1,CalLookUpColumn,0))</f>
        <v>4</v>
      </c>
      <c r="I4223">
        <f>INDEX(CalLookUpTable,MATCH($B4223,CalLookUpRow,0),MATCH(I$1,CalLookUpColumn,0))</f>
        <v>1</v>
      </c>
    </row>
    <row r="4224" spans="1:9" x14ac:dyDescent="0.25">
      <c r="A4224" s="7">
        <v>3</v>
      </c>
      <c r="B4224" s="8">
        <v>43557</v>
      </c>
      <c r="C4224" s="9" t="s">
        <v>4</v>
      </c>
      <c r="D4224" s="10">
        <v>2883.3839999999996</v>
      </c>
      <c r="E4224" s="10">
        <v>0</v>
      </c>
      <c r="F4224" t="str">
        <f>VLOOKUP(A4224,StoreLookup,2,FALSE)</f>
        <v>Store#3</v>
      </c>
      <c r="G4224">
        <f>INDEX(CalLookUpTable,MATCH($B4224,CalLookUpRow,0),MATCH(G$1,CalLookUpColumn,0))</f>
        <v>2019</v>
      </c>
      <c r="H4224">
        <f>INDEX(CalLookUpTable,MATCH($B4224,CalLookUpRow,0),MATCH(H$1,CalLookUpColumn,0))</f>
        <v>4</v>
      </c>
      <c r="I4224">
        <f>INDEX(CalLookUpTable,MATCH($B4224,CalLookUpRow,0),MATCH(I$1,CalLookUpColumn,0))</f>
        <v>1</v>
      </c>
    </row>
    <row r="4225" spans="1:9" x14ac:dyDescent="0.25">
      <c r="A4225" s="7">
        <v>3</v>
      </c>
      <c r="B4225" s="8">
        <v>43557</v>
      </c>
      <c r="C4225" s="9" t="s">
        <v>6</v>
      </c>
      <c r="D4225" s="10">
        <v>958.91600000000005</v>
      </c>
      <c r="E4225" s="10">
        <v>0</v>
      </c>
      <c r="F4225" t="str">
        <f>VLOOKUP(A4225,StoreLookup,2,FALSE)</f>
        <v>Store#3</v>
      </c>
      <c r="G4225">
        <f>INDEX(CalLookUpTable,MATCH($B4225,CalLookUpRow,0),MATCH(G$1,CalLookUpColumn,0))</f>
        <v>2019</v>
      </c>
      <c r="H4225">
        <f>INDEX(CalLookUpTable,MATCH($B4225,CalLookUpRow,0),MATCH(H$1,CalLookUpColumn,0))</f>
        <v>4</v>
      </c>
      <c r="I4225">
        <f>INDEX(CalLookUpTable,MATCH($B4225,CalLookUpRow,0),MATCH(I$1,CalLookUpColumn,0))</f>
        <v>1</v>
      </c>
    </row>
    <row r="4226" spans="1:9" x14ac:dyDescent="0.25">
      <c r="A4226" s="7">
        <v>3</v>
      </c>
      <c r="B4226" s="8">
        <v>43558</v>
      </c>
      <c r="C4226" s="9" t="s">
        <v>4</v>
      </c>
      <c r="D4226" s="10">
        <v>3686.5009999999997</v>
      </c>
      <c r="E4226" s="10">
        <v>0</v>
      </c>
      <c r="F4226" t="str">
        <f>VLOOKUP(A4226,StoreLookup,2,FALSE)</f>
        <v>Store#3</v>
      </c>
      <c r="G4226">
        <f>INDEX(CalLookUpTable,MATCH($B4226,CalLookUpRow,0),MATCH(G$1,CalLookUpColumn,0))</f>
        <v>2019</v>
      </c>
      <c r="H4226">
        <f>INDEX(CalLookUpTable,MATCH($B4226,CalLookUpRow,0),MATCH(H$1,CalLookUpColumn,0))</f>
        <v>4</v>
      </c>
      <c r="I4226">
        <f>INDEX(CalLookUpTable,MATCH($B4226,CalLookUpRow,0),MATCH(I$1,CalLookUpColumn,0))</f>
        <v>1</v>
      </c>
    </row>
    <row r="4227" spans="1:9" x14ac:dyDescent="0.25">
      <c r="A4227" s="7">
        <v>3</v>
      </c>
      <c r="B4227" s="8">
        <v>43558</v>
      </c>
      <c r="C4227" s="9" t="s">
        <v>5</v>
      </c>
      <c r="D4227" s="10">
        <v>3382.0920000000001</v>
      </c>
      <c r="E4227" s="10">
        <v>0</v>
      </c>
      <c r="F4227" t="str">
        <f>VLOOKUP(A4227,StoreLookup,2,FALSE)</f>
        <v>Store#3</v>
      </c>
      <c r="G4227">
        <f>INDEX(CalLookUpTable,MATCH($B4227,CalLookUpRow,0),MATCH(G$1,CalLookUpColumn,0))</f>
        <v>2019</v>
      </c>
      <c r="H4227">
        <f>INDEX(CalLookUpTable,MATCH($B4227,CalLookUpRow,0),MATCH(H$1,CalLookUpColumn,0))</f>
        <v>4</v>
      </c>
      <c r="I4227">
        <f>INDEX(CalLookUpTable,MATCH($B4227,CalLookUpRow,0),MATCH(I$1,CalLookUpColumn,0))</f>
        <v>1</v>
      </c>
    </row>
    <row r="4228" spans="1:9" x14ac:dyDescent="0.25">
      <c r="A4228" s="7">
        <v>3</v>
      </c>
      <c r="B4228" s="8">
        <v>43558</v>
      </c>
      <c r="C4228" s="9" t="s">
        <v>3</v>
      </c>
      <c r="D4228" s="10">
        <v>169.792</v>
      </c>
      <c r="E4228" s="10">
        <v>0</v>
      </c>
      <c r="F4228" t="str">
        <f>VLOOKUP(A4228,StoreLookup,2,FALSE)</f>
        <v>Store#3</v>
      </c>
      <c r="G4228">
        <f>INDEX(CalLookUpTable,MATCH($B4228,CalLookUpRow,0),MATCH(G$1,CalLookUpColumn,0))</f>
        <v>2019</v>
      </c>
      <c r="H4228">
        <f>INDEX(CalLookUpTable,MATCH($B4228,CalLookUpRow,0),MATCH(H$1,CalLookUpColumn,0))</f>
        <v>4</v>
      </c>
      <c r="I4228">
        <f>INDEX(CalLookUpTable,MATCH($B4228,CalLookUpRow,0),MATCH(I$1,CalLookUpColumn,0))</f>
        <v>1</v>
      </c>
    </row>
    <row r="4229" spans="1:9" x14ac:dyDescent="0.25">
      <c r="A4229" s="7">
        <v>3</v>
      </c>
      <c r="B4229" s="8">
        <v>43558</v>
      </c>
      <c r="C4229" s="9" t="s">
        <v>6</v>
      </c>
      <c r="D4229" s="10">
        <v>913.34599999999989</v>
      </c>
      <c r="E4229" s="10">
        <v>0</v>
      </c>
      <c r="F4229" t="str">
        <f>VLOOKUP(A4229,StoreLookup,2,FALSE)</f>
        <v>Store#3</v>
      </c>
      <c r="G4229">
        <f>INDEX(CalLookUpTable,MATCH($B4229,CalLookUpRow,0),MATCH(G$1,CalLookUpColumn,0))</f>
        <v>2019</v>
      </c>
      <c r="H4229">
        <f>INDEX(CalLookUpTable,MATCH($B4229,CalLookUpRow,0),MATCH(H$1,CalLookUpColumn,0))</f>
        <v>4</v>
      </c>
      <c r="I4229">
        <f>INDEX(CalLookUpTable,MATCH($B4229,CalLookUpRow,0),MATCH(I$1,CalLookUpColumn,0))</f>
        <v>1</v>
      </c>
    </row>
    <row r="4230" spans="1:9" x14ac:dyDescent="0.25">
      <c r="A4230" s="7">
        <v>3</v>
      </c>
      <c r="B4230" s="8">
        <v>43559</v>
      </c>
      <c r="C4230" s="9" t="s">
        <v>5</v>
      </c>
      <c r="D4230" s="10">
        <v>4321.9259999999995</v>
      </c>
      <c r="E4230" s="10">
        <v>0</v>
      </c>
      <c r="F4230" t="str">
        <f>VLOOKUP(A4230,StoreLookup,2,FALSE)</f>
        <v>Store#3</v>
      </c>
      <c r="G4230">
        <f>INDEX(CalLookUpTable,MATCH($B4230,CalLookUpRow,0),MATCH(G$1,CalLookUpColumn,0))</f>
        <v>2019</v>
      </c>
      <c r="H4230">
        <f>INDEX(CalLookUpTable,MATCH($B4230,CalLookUpRow,0),MATCH(H$1,CalLookUpColumn,0))</f>
        <v>4</v>
      </c>
      <c r="I4230">
        <f>INDEX(CalLookUpTable,MATCH($B4230,CalLookUpRow,0),MATCH(I$1,CalLookUpColumn,0))</f>
        <v>1</v>
      </c>
    </row>
    <row r="4231" spans="1:9" x14ac:dyDescent="0.25">
      <c r="A4231" s="7">
        <v>3</v>
      </c>
      <c r="B4231" s="8">
        <v>43559</v>
      </c>
      <c r="C4231" s="9" t="s">
        <v>6</v>
      </c>
      <c r="D4231" s="10">
        <v>1548.1619999999998</v>
      </c>
      <c r="E4231" s="10">
        <v>0</v>
      </c>
      <c r="F4231" t="str">
        <f>VLOOKUP(A4231,StoreLookup,2,FALSE)</f>
        <v>Store#3</v>
      </c>
      <c r="G4231">
        <f>INDEX(CalLookUpTable,MATCH($B4231,CalLookUpRow,0),MATCH(G$1,CalLookUpColumn,0))</f>
        <v>2019</v>
      </c>
      <c r="H4231">
        <f>INDEX(CalLookUpTable,MATCH($B4231,CalLookUpRow,0),MATCH(H$1,CalLookUpColumn,0))</f>
        <v>4</v>
      </c>
      <c r="I4231">
        <f>INDEX(CalLookUpTable,MATCH($B4231,CalLookUpRow,0),MATCH(I$1,CalLookUpColumn,0))</f>
        <v>1</v>
      </c>
    </row>
    <row r="4232" spans="1:9" x14ac:dyDescent="0.25">
      <c r="A4232" s="7">
        <v>3</v>
      </c>
      <c r="B4232" s="8">
        <v>43559</v>
      </c>
      <c r="C4232" s="9" t="s">
        <v>4</v>
      </c>
      <c r="D4232" s="10">
        <v>4559.2820000000002</v>
      </c>
      <c r="E4232" s="10">
        <v>0</v>
      </c>
      <c r="F4232" t="str">
        <f>VLOOKUP(A4232,StoreLookup,2,FALSE)</f>
        <v>Store#3</v>
      </c>
      <c r="G4232">
        <f>INDEX(CalLookUpTable,MATCH($B4232,CalLookUpRow,0),MATCH(G$1,CalLookUpColumn,0))</f>
        <v>2019</v>
      </c>
      <c r="H4232">
        <f>INDEX(CalLookUpTable,MATCH($B4232,CalLookUpRow,0),MATCH(H$1,CalLookUpColumn,0))</f>
        <v>4</v>
      </c>
      <c r="I4232">
        <f>INDEX(CalLookUpTable,MATCH($B4232,CalLookUpRow,0),MATCH(I$1,CalLookUpColumn,0))</f>
        <v>1</v>
      </c>
    </row>
    <row r="4233" spans="1:9" x14ac:dyDescent="0.25">
      <c r="A4233" s="7">
        <v>3</v>
      </c>
      <c r="B4233" s="8">
        <v>43559</v>
      </c>
      <c r="C4233" s="9" t="s">
        <v>3</v>
      </c>
      <c r="D4233" s="10">
        <v>0</v>
      </c>
      <c r="E4233" s="10">
        <v>0</v>
      </c>
      <c r="F4233" t="str">
        <f>VLOOKUP(A4233,StoreLookup,2,FALSE)</f>
        <v>Store#3</v>
      </c>
      <c r="G4233">
        <f>INDEX(CalLookUpTable,MATCH($B4233,CalLookUpRow,0),MATCH(G$1,CalLookUpColumn,0))</f>
        <v>2019</v>
      </c>
      <c r="H4233">
        <f>INDEX(CalLookUpTable,MATCH($B4233,CalLookUpRow,0),MATCH(H$1,CalLookUpColumn,0))</f>
        <v>4</v>
      </c>
      <c r="I4233">
        <f>INDEX(CalLookUpTable,MATCH($B4233,CalLookUpRow,0),MATCH(I$1,CalLookUpColumn,0))</f>
        <v>1</v>
      </c>
    </row>
    <row r="4234" spans="1:9" x14ac:dyDescent="0.25">
      <c r="A4234" s="7">
        <v>3</v>
      </c>
      <c r="B4234" s="8">
        <v>43560</v>
      </c>
      <c r="C4234" s="9" t="s">
        <v>6</v>
      </c>
      <c r="D4234" s="10">
        <v>1050.0349999999999</v>
      </c>
      <c r="E4234" s="10">
        <v>0</v>
      </c>
      <c r="F4234" t="str">
        <f>VLOOKUP(A4234,StoreLookup,2,FALSE)</f>
        <v>Store#3</v>
      </c>
      <c r="G4234">
        <f>INDEX(CalLookUpTable,MATCH($B4234,CalLookUpRow,0),MATCH(G$1,CalLookUpColumn,0))</f>
        <v>2019</v>
      </c>
      <c r="H4234">
        <f>INDEX(CalLookUpTable,MATCH($B4234,CalLookUpRow,0),MATCH(H$1,CalLookUpColumn,0))</f>
        <v>4</v>
      </c>
      <c r="I4234">
        <f>INDEX(CalLookUpTable,MATCH($B4234,CalLookUpRow,0),MATCH(I$1,CalLookUpColumn,0))</f>
        <v>1</v>
      </c>
    </row>
    <row r="4235" spans="1:9" x14ac:dyDescent="0.25">
      <c r="A4235" s="7">
        <v>3</v>
      </c>
      <c r="B4235" s="8">
        <v>43560</v>
      </c>
      <c r="C4235" s="9" t="s">
        <v>3</v>
      </c>
      <c r="D4235" s="10">
        <v>0</v>
      </c>
      <c r="E4235" s="10">
        <v>0</v>
      </c>
      <c r="F4235" t="str">
        <f>VLOOKUP(A4235,StoreLookup,2,FALSE)</f>
        <v>Store#3</v>
      </c>
      <c r="G4235">
        <f>INDEX(CalLookUpTable,MATCH($B4235,CalLookUpRow,0),MATCH(G$1,CalLookUpColumn,0))</f>
        <v>2019</v>
      </c>
      <c r="H4235">
        <f>INDEX(CalLookUpTable,MATCH($B4235,CalLookUpRow,0),MATCH(H$1,CalLookUpColumn,0))</f>
        <v>4</v>
      </c>
      <c r="I4235">
        <f>INDEX(CalLookUpTable,MATCH($B4235,CalLookUpRow,0),MATCH(I$1,CalLookUpColumn,0))</f>
        <v>1</v>
      </c>
    </row>
    <row r="4236" spans="1:9" x14ac:dyDescent="0.25">
      <c r="A4236" s="7">
        <v>3</v>
      </c>
      <c r="B4236" s="8">
        <v>43560</v>
      </c>
      <c r="C4236" s="9" t="s">
        <v>5</v>
      </c>
      <c r="D4236" s="10">
        <v>4041.4079999999994</v>
      </c>
      <c r="E4236" s="10">
        <v>0</v>
      </c>
      <c r="F4236" t="str">
        <f>VLOOKUP(A4236,StoreLookup,2,FALSE)</f>
        <v>Store#3</v>
      </c>
      <c r="G4236">
        <f>INDEX(CalLookUpTable,MATCH($B4236,CalLookUpRow,0),MATCH(G$1,CalLookUpColumn,0))</f>
        <v>2019</v>
      </c>
      <c r="H4236">
        <f>INDEX(CalLookUpTable,MATCH($B4236,CalLookUpRow,0),MATCH(H$1,CalLookUpColumn,0))</f>
        <v>4</v>
      </c>
      <c r="I4236">
        <f>INDEX(CalLookUpTable,MATCH($B4236,CalLookUpRow,0),MATCH(I$1,CalLookUpColumn,0))</f>
        <v>1</v>
      </c>
    </row>
    <row r="4237" spans="1:9" x14ac:dyDescent="0.25">
      <c r="A4237" s="7">
        <v>3</v>
      </c>
      <c r="B4237" s="8">
        <v>43560</v>
      </c>
      <c r="C4237" s="9" t="s">
        <v>4</v>
      </c>
      <c r="D4237" s="10">
        <v>4346.8319999999994</v>
      </c>
      <c r="E4237" s="10">
        <v>0</v>
      </c>
      <c r="F4237" t="str">
        <f>VLOOKUP(A4237,StoreLookup,2,FALSE)</f>
        <v>Store#3</v>
      </c>
      <c r="G4237">
        <f>INDEX(CalLookUpTable,MATCH($B4237,CalLookUpRow,0),MATCH(G$1,CalLookUpColumn,0))</f>
        <v>2019</v>
      </c>
      <c r="H4237">
        <f>INDEX(CalLookUpTable,MATCH($B4237,CalLookUpRow,0),MATCH(H$1,CalLookUpColumn,0))</f>
        <v>4</v>
      </c>
      <c r="I4237">
        <f>INDEX(CalLookUpTable,MATCH($B4237,CalLookUpRow,0),MATCH(I$1,CalLookUpColumn,0))</f>
        <v>1</v>
      </c>
    </row>
    <row r="4238" spans="1:9" x14ac:dyDescent="0.25">
      <c r="A4238" s="7">
        <v>3</v>
      </c>
      <c r="B4238" s="8">
        <v>43561</v>
      </c>
      <c r="C4238" s="9" t="s">
        <v>5</v>
      </c>
      <c r="D4238" s="10">
        <v>3553.5359999999996</v>
      </c>
      <c r="E4238" s="10">
        <v>0</v>
      </c>
      <c r="F4238" t="str">
        <f>VLOOKUP(A4238,StoreLookup,2,FALSE)</f>
        <v>Store#3</v>
      </c>
      <c r="G4238">
        <f>INDEX(CalLookUpTable,MATCH($B4238,CalLookUpRow,0),MATCH(G$1,CalLookUpColumn,0))</f>
        <v>2019</v>
      </c>
      <c r="H4238">
        <f>INDEX(CalLookUpTable,MATCH($B4238,CalLookUpRow,0),MATCH(H$1,CalLookUpColumn,0))</f>
        <v>4</v>
      </c>
      <c r="I4238">
        <f>INDEX(CalLookUpTable,MATCH($B4238,CalLookUpRow,0),MATCH(I$1,CalLookUpColumn,0))</f>
        <v>1</v>
      </c>
    </row>
    <row r="4239" spans="1:9" x14ac:dyDescent="0.25">
      <c r="A4239" s="7">
        <v>3</v>
      </c>
      <c r="B4239" s="8">
        <v>43561</v>
      </c>
      <c r="C4239" s="9" t="s">
        <v>6</v>
      </c>
      <c r="D4239" s="10">
        <v>884.11399999999992</v>
      </c>
      <c r="E4239" s="10">
        <v>0</v>
      </c>
      <c r="F4239" t="str">
        <f>VLOOKUP(A4239,StoreLookup,2,FALSE)</f>
        <v>Store#3</v>
      </c>
      <c r="G4239">
        <f>INDEX(CalLookUpTable,MATCH($B4239,CalLookUpRow,0),MATCH(G$1,CalLookUpColumn,0))</f>
        <v>2019</v>
      </c>
      <c r="H4239">
        <f>INDEX(CalLookUpTable,MATCH($B4239,CalLookUpRow,0),MATCH(H$1,CalLookUpColumn,0))</f>
        <v>4</v>
      </c>
      <c r="I4239">
        <f>INDEX(CalLookUpTable,MATCH($B4239,CalLookUpRow,0),MATCH(I$1,CalLookUpColumn,0))</f>
        <v>1</v>
      </c>
    </row>
    <row r="4240" spans="1:9" x14ac:dyDescent="0.25">
      <c r="A4240" s="7">
        <v>3</v>
      </c>
      <c r="B4240" s="8">
        <v>43561</v>
      </c>
      <c r="C4240" s="9" t="s">
        <v>4</v>
      </c>
      <c r="D4240" s="10">
        <v>4188.1909999999998</v>
      </c>
      <c r="E4240" s="10">
        <v>0</v>
      </c>
      <c r="F4240" t="str">
        <f>VLOOKUP(A4240,StoreLookup,2,FALSE)</f>
        <v>Store#3</v>
      </c>
      <c r="G4240">
        <f>INDEX(CalLookUpTable,MATCH($B4240,CalLookUpRow,0),MATCH(G$1,CalLookUpColumn,0))</f>
        <v>2019</v>
      </c>
      <c r="H4240">
        <f>INDEX(CalLookUpTable,MATCH($B4240,CalLookUpRow,0),MATCH(H$1,CalLookUpColumn,0))</f>
        <v>4</v>
      </c>
      <c r="I4240">
        <f>INDEX(CalLookUpTable,MATCH($B4240,CalLookUpRow,0),MATCH(I$1,CalLookUpColumn,0))</f>
        <v>1</v>
      </c>
    </row>
    <row r="4241" spans="1:9" x14ac:dyDescent="0.25">
      <c r="A4241" s="7">
        <v>3</v>
      </c>
      <c r="B4241" s="8">
        <v>43561</v>
      </c>
      <c r="C4241" s="9" t="s">
        <v>3</v>
      </c>
      <c r="D4241" s="10">
        <v>26.565000000000001</v>
      </c>
      <c r="E4241" s="10">
        <v>0</v>
      </c>
      <c r="F4241" t="str">
        <f>VLOOKUP(A4241,StoreLookup,2,FALSE)</f>
        <v>Store#3</v>
      </c>
      <c r="G4241">
        <f>INDEX(CalLookUpTable,MATCH($B4241,CalLookUpRow,0),MATCH(G$1,CalLookUpColumn,0))</f>
        <v>2019</v>
      </c>
      <c r="H4241">
        <f>INDEX(CalLookUpTable,MATCH($B4241,CalLookUpRow,0),MATCH(H$1,CalLookUpColumn,0))</f>
        <v>4</v>
      </c>
      <c r="I4241">
        <f>INDEX(CalLookUpTable,MATCH($B4241,CalLookUpRow,0),MATCH(I$1,CalLookUpColumn,0))</f>
        <v>1</v>
      </c>
    </row>
    <row r="4242" spans="1:9" x14ac:dyDescent="0.25">
      <c r="A4242" s="7">
        <v>3</v>
      </c>
      <c r="B4242" s="8">
        <v>43562</v>
      </c>
      <c r="C4242" s="9" t="s">
        <v>4</v>
      </c>
      <c r="D4242" s="10">
        <v>3232.1869999999999</v>
      </c>
      <c r="E4242" s="10">
        <v>0</v>
      </c>
      <c r="F4242" t="str">
        <f>VLOOKUP(A4242,StoreLookup,2,FALSE)</f>
        <v>Store#3</v>
      </c>
      <c r="G4242">
        <f>INDEX(CalLookUpTable,MATCH($B4242,CalLookUpRow,0),MATCH(G$1,CalLookUpColumn,0))</f>
        <v>2019</v>
      </c>
      <c r="H4242">
        <f>INDEX(CalLookUpTable,MATCH($B4242,CalLookUpRow,0),MATCH(H$1,CalLookUpColumn,0))</f>
        <v>4</v>
      </c>
      <c r="I4242">
        <f>INDEX(CalLookUpTable,MATCH($B4242,CalLookUpRow,0),MATCH(I$1,CalLookUpColumn,0))</f>
        <v>1</v>
      </c>
    </row>
    <row r="4243" spans="1:9" x14ac:dyDescent="0.25">
      <c r="A4243" s="7">
        <v>3</v>
      </c>
      <c r="B4243" s="8">
        <v>43562</v>
      </c>
      <c r="C4243" s="9" t="s">
        <v>5</v>
      </c>
      <c r="D4243" s="10">
        <v>2759.7570000000001</v>
      </c>
      <c r="E4243" s="10">
        <v>0</v>
      </c>
      <c r="F4243" t="str">
        <f>VLOOKUP(A4243,StoreLookup,2,FALSE)</f>
        <v>Store#3</v>
      </c>
      <c r="G4243">
        <f>INDEX(CalLookUpTable,MATCH($B4243,CalLookUpRow,0),MATCH(G$1,CalLookUpColumn,0))</f>
        <v>2019</v>
      </c>
      <c r="H4243">
        <f>INDEX(CalLookUpTable,MATCH($B4243,CalLookUpRow,0),MATCH(H$1,CalLookUpColumn,0))</f>
        <v>4</v>
      </c>
      <c r="I4243">
        <f>INDEX(CalLookUpTable,MATCH($B4243,CalLookUpRow,0),MATCH(I$1,CalLookUpColumn,0))</f>
        <v>1</v>
      </c>
    </row>
    <row r="4244" spans="1:9" x14ac:dyDescent="0.25">
      <c r="A4244" s="7">
        <v>3</v>
      </c>
      <c r="B4244" s="8">
        <v>43562</v>
      </c>
      <c r="C4244" s="9" t="s">
        <v>6</v>
      </c>
      <c r="D4244" s="10">
        <v>589.65199999999993</v>
      </c>
      <c r="E4244" s="10">
        <v>0</v>
      </c>
      <c r="F4244" t="str">
        <f>VLOOKUP(A4244,StoreLookup,2,FALSE)</f>
        <v>Store#3</v>
      </c>
      <c r="G4244">
        <f>INDEX(CalLookUpTable,MATCH($B4244,CalLookUpRow,0),MATCH(G$1,CalLookUpColumn,0))</f>
        <v>2019</v>
      </c>
      <c r="H4244">
        <f>INDEX(CalLookUpTable,MATCH($B4244,CalLookUpRow,0),MATCH(H$1,CalLookUpColumn,0))</f>
        <v>4</v>
      </c>
      <c r="I4244">
        <f>INDEX(CalLookUpTable,MATCH($B4244,CalLookUpRow,0),MATCH(I$1,CalLookUpColumn,0))</f>
        <v>1</v>
      </c>
    </row>
    <row r="4245" spans="1:9" x14ac:dyDescent="0.25">
      <c r="A4245" s="7">
        <v>3</v>
      </c>
      <c r="B4245" s="8">
        <v>43562</v>
      </c>
      <c r="C4245" s="9" t="s">
        <v>3</v>
      </c>
      <c r="D4245" s="10">
        <v>0</v>
      </c>
      <c r="E4245" s="10">
        <v>0</v>
      </c>
      <c r="F4245" t="str">
        <f>VLOOKUP(A4245,StoreLookup,2,FALSE)</f>
        <v>Store#3</v>
      </c>
      <c r="G4245">
        <f>INDEX(CalLookUpTable,MATCH($B4245,CalLookUpRow,0),MATCH(G$1,CalLookUpColumn,0))</f>
        <v>2019</v>
      </c>
      <c r="H4245">
        <f>INDEX(CalLookUpTable,MATCH($B4245,CalLookUpRow,0),MATCH(H$1,CalLookUpColumn,0))</f>
        <v>4</v>
      </c>
      <c r="I4245">
        <f>INDEX(CalLookUpTable,MATCH($B4245,CalLookUpRow,0),MATCH(I$1,CalLookUpColumn,0))</f>
        <v>1</v>
      </c>
    </row>
    <row r="4246" spans="1:9" x14ac:dyDescent="0.25">
      <c r="A4246" s="7">
        <v>3</v>
      </c>
      <c r="B4246" s="8">
        <v>43563</v>
      </c>
      <c r="C4246" s="9" t="s">
        <v>4</v>
      </c>
      <c r="D4246" s="10">
        <v>2745.3369999999995</v>
      </c>
      <c r="E4246" s="10">
        <v>0</v>
      </c>
      <c r="F4246" t="str">
        <f>VLOOKUP(A4246,StoreLookup,2,FALSE)</f>
        <v>Store#3</v>
      </c>
      <c r="G4246">
        <f>INDEX(CalLookUpTable,MATCH($B4246,CalLookUpRow,0),MATCH(G$1,CalLookUpColumn,0))</f>
        <v>2019</v>
      </c>
      <c r="H4246">
        <f>INDEX(CalLookUpTable,MATCH($B4246,CalLookUpRow,0),MATCH(H$1,CalLookUpColumn,0))</f>
        <v>4</v>
      </c>
      <c r="I4246">
        <f>INDEX(CalLookUpTable,MATCH($B4246,CalLookUpRow,0),MATCH(I$1,CalLookUpColumn,0))</f>
        <v>2</v>
      </c>
    </row>
    <row r="4247" spans="1:9" x14ac:dyDescent="0.25">
      <c r="A4247" s="7">
        <v>3</v>
      </c>
      <c r="B4247" s="8">
        <v>43563</v>
      </c>
      <c r="C4247" s="9" t="s">
        <v>3</v>
      </c>
      <c r="D4247" s="10">
        <v>0</v>
      </c>
      <c r="E4247" s="10">
        <v>0</v>
      </c>
      <c r="F4247" t="str">
        <f>VLOOKUP(A4247,StoreLookup,2,FALSE)</f>
        <v>Store#3</v>
      </c>
      <c r="G4247">
        <f>INDEX(CalLookUpTable,MATCH($B4247,CalLookUpRow,0),MATCH(G$1,CalLookUpColumn,0))</f>
        <v>2019</v>
      </c>
      <c r="H4247">
        <f>INDEX(CalLookUpTable,MATCH($B4247,CalLookUpRow,0),MATCH(H$1,CalLookUpColumn,0))</f>
        <v>4</v>
      </c>
      <c r="I4247">
        <f>INDEX(CalLookUpTable,MATCH($B4247,CalLookUpRow,0),MATCH(I$1,CalLookUpColumn,0))</f>
        <v>2</v>
      </c>
    </row>
    <row r="4248" spans="1:9" x14ac:dyDescent="0.25">
      <c r="A4248" s="7">
        <v>3</v>
      </c>
      <c r="B4248" s="8">
        <v>43563</v>
      </c>
      <c r="C4248" s="9" t="s">
        <v>5</v>
      </c>
      <c r="D4248" s="10">
        <v>3038.7980000000002</v>
      </c>
      <c r="E4248" s="10">
        <v>0</v>
      </c>
      <c r="F4248" t="str">
        <f>VLOOKUP(A4248,StoreLookup,2,FALSE)</f>
        <v>Store#3</v>
      </c>
      <c r="G4248">
        <f>INDEX(CalLookUpTable,MATCH($B4248,CalLookUpRow,0),MATCH(G$1,CalLookUpColumn,0))</f>
        <v>2019</v>
      </c>
      <c r="H4248">
        <f>INDEX(CalLookUpTable,MATCH($B4248,CalLookUpRow,0),MATCH(H$1,CalLookUpColumn,0))</f>
        <v>4</v>
      </c>
      <c r="I4248">
        <f>INDEX(CalLookUpTable,MATCH($B4248,CalLookUpRow,0),MATCH(I$1,CalLookUpColumn,0))</f>
        <v>2</v>
      </c>
    </row>
    <row r="4249" spans="1:9" x14ac:dyDescent="0.25">
      <c r="A4249" s="7">
        <v>3</v>
      </c>
      <c r="B4249" s="8">
        <v>43563</v>
      </c>
      <c r="C4249" s="9" t="s">
        <v>6</v>
      </c>
      <c r="D4249" s="10">
        <v>608.17399999999998</v>
      </c>
      <c r="E4249" s="10">
        <v>0</v>
      </c>
      <c r="F4249" t="str">
        <f>VLOOKUP(A4249,StoreLookup,2,FALSE)</f>
        <v>Store#3</v>
      </c>
      <c r="G4249">
        <f>INDEX(CalLookUpTable,MATCH($B4249,CalLookUpRow,0),MATCH(G$1,CalLookUpColumn,0))</f>
        <v>2019</v>
      </c>
      <c r="H4249">
        <f>INDEX(CalLookUpTable,MATCH($B4249,CalLookUpRow,0),MATCH(H$1,CalLookUpColumn,0))</f>
        <v>4</v>
      </c>
      <c r="I4249">
        <f>INDEX(CalLookUpTable,MATCH($B4249,CalLookUpRow,0),MATCH(I$1,CalLookUpColumn,0))</f>
        <v>2</v>
      </c>
    </row>
    <row r="4250" spans="1:9" x14ac:dyDescent="0.25">
      <c r="A4250" s="7">
        <v>3</v>
      </c>
      <c r="B4250" s="8">
        <v>43564</v>
      </c>
      <c r="C4250" s="9" t="s">
        <v>6</v>
      </c>
      <c r="D4250" s="10">
        <v>508.94199999999995</v>
      </c>
      <c r="E4250" s="10">
        <v>0</v>
      </c>
      <c r="F4250" t="str">
        <f>VLOOKUP(A4250,StoreLookup,2,FALSE)</f>
        <v>Store#3</v>
      </c>
      <c r="G4250">
        <f>INDEX(CalLookUpTable,MATCH($B4250,CalLookUpRow,0),MATCH(G$1,CalLookUpColumn,0))</f>
        <v>2019</v>
      </c>
      <c r="H4250">
        <f>INDEX(CalLookUpTable,MATCH($B4250,CalLookUpRow,0),MATCH(H$1,CalLookUpColumn,0))</f>
        <v>4</v>
      </c>
      <c r="I4250">
        <f>INDEX(CalLookUpTable,MATCH($B4250,CalLookUpRow,0),MATCH(I$1,CalLookUpColumn,0))</f>
        <v>2</v>
      </c>
    </row>
    <row r="4251" spans="1:9" x14ac:dyDescent="0.25">
      <c r="A4251" s="7">
        <v>3</v>
      </c>
      <c r="B4251" s="8">
        <v>43564</v>
      </c>
      <c r="C4251" s="9" t="s">
        <v>5</v>
      </c>
      <c r="D4251" s="10">
        <v>3478.7129999999997</v>
      </c>
      <c r="E4251" s="10">
        <v>0</v>
      </c>
      <c r="F4251" t="str">
        <f>VLOOKUP(A4251,StoreLookup,2,FALSE)</f>
        <v>Store#3</v>
      </c>
      <c r="G4251">
        <f>INDEX(CalLookUpTable,MATCH($B4251,CalLookUpRow,0),MATCH(G$1,CalLookUpColumn,0))</f>
        <v>2019</v>
      </c>
      <c r="H4251">
        <f>INDEX(CalLookUpTable,MATCH($B4251,CalLookUpRow,0),MATCH(H$1,CalLookUpColumn,0))</f>
        <v>4</v>
      </c>
      <c r="I4251">
        <f>INDEX(CalLookUpTable,MATCH($B4251,CalLookUpRow,0),MATCH(I$1,CalLookUpColumn,0))</f>
        <v>2</v>
      </c>
    </row>
    <row r="4252" spans="1:9" x14ac:dyDescent="0.25">
      <c r="A4252" s="7">
        <v>3</v>
      </c>
      <c r="B4252" s="8">
        <v>43564</v>
      </c>
      <c r="C4252" s="9" t="s">
        <v>4</v>
      </c>
      <c r="D4252" s="10">
        <v>2844.6880000000001</v>
      </c>
      <c r="E4252" s="10">
        <v>0</v>
      </c>
      <c r="F4252" t="str">
        <f>VLOOKUP(A4252,StoreLookup,2,FALSE)</f>
        <v>Store#3</v>
      </c>
      <c r="G4252">
        <f>INDEX(CalLookUpTable,MATCH($B4252,CalLookUpRow,0),MATCH(G$1,CalLookUpColumn,0))</f>
        <v>2019</v>
      </c>
      <c r="H4252">
        <f>INDEX(CalLookUpTable,MATCH($B4252,CalLookUpRow,0),MATCH(H$1,CalLookUpColumn,0))</f>
        <v>4</v>
      </c>
      <c r="I4252">
        <f>INDEX(CalLookUpTable,MATCH($B4252,CalLookUpRow,0),MATCH(I$1,CalLookUpColumn,0))</f>
        <v>2</v>
      </c>
    </row>
    <row r="4253" spans="1:9" x14ac:dyDescent="0.25">
      <c r="A4253" s="7">
        <v>3</v>
      </c>
      <c r="B4253" s="8">
        <v>43564</v>
      </c>
      <c r="C4253" s="9" t="s">
        <v>3</v>
      </c>
      <c r="D4253" s="10">
        <v>0</v>
      </c>
      <c r="E4253" s="10">
        <v>0</v>
      </c>
      <c r="F4253" t="str">
        <f>VLOOKUP(A4253,StoreLookup,2,FALSE)</f>
        <v>Store#3</v>
      </c>
      <c r="G4253">
        <f>INDEX(CalLookUpTable,MATCH($B4253,CalLookUpRow,0),MATCH(G$1,CalLookUpColumn,0))</f>
        <v>2019</v>
      </c>
      <c r="H4253">
        <f>INDEX(CalLookUpTable,MATCH($B4253,CalLookUpRow,0),MATCH(H$1,CalLookUpColumn,0))</f>
        <v>4</v>
      </c>
      <c r="I4253">
        <f>INDEX(CalLookUpTable,MATCH($B4253,CalLookUpRow,0),MATCH(I$1,CalLookUpColumn,0))</f>
        <v>2</v>
      </c>
    </row>
    <row r="4254" spans="1:9" x14ac:dyDescent="0.25">
      <c r="A4254" s="7">
        <v>3</v>
      </c>
      <c r="B4254" s="8">
        <v>43565</v>
      </c>
      <c r="C4254" s="9" t="s">
        <v>3</v>
      </c>
      <c r="D4254" s="10">
        <v>13.985999999999999</v>
      </c>
      <c r="E4254" s="10">
        <v>0</v>
      </c>
      <c r="F4254" t="str">
        <f>VLOOKUP(A4254,StoreLookup,2,FALSE)</f>
        <v>Store#3</v>
      </c>
      <c r="G4254">
        <f>INDEX(CalLookUpTable,MATCH($B4254,CalLookUpRow,0),MATCH(G$1,CalLookUpColumn,0))</f>
        <v>2019</v>
      </c>
      <c r="H4254">
        <f>INDEX(CalLookUpTable,MATCH($B4254,CalLookUpRow,0),MATCH(H$1,CalLookUpColumn,0))</f>
        <v>4</v>
      </c>
      <c r="I4254">
        <f>INDEX(CalLookUpTable,MATCH($B4254,CalLookUpRow,0),MATCH(I$1,CalLookUpColumn,0))</f>
        <v>2</v>
      </c>
    </row>
    <row r="4255" spans="1:9" x14ac:dyDescent="0.25">
      <c r="A4255" s="7">
        <v>3</v>
      </c>
      <c r="B4255" s="8">
        <v>43565</v>
      </c>
      <c r="C4255" s="9" t="s">
        <v>6</v>
      </c>
      <c r="D4255" s="10">
        <v>978.02599999999995</v>
      </c>
      <c r="E4255" s="10">
        <v>0</v>
      </c>
      <c r="F4255" t="str">
        <f>VLOOKUP(A4255,StoreLookup,2,FALSE)</f>
        <v>Store#3</v>
      </c>
      <c r="G4255">
        <f>INDEX(CalLookUpTable,MATCH($B4255,CalLookUpRow,0),MATCH(G$1,CalLookUpColumn,0))</f>
        <v>2019</v>
      </c>
      <c r="H4255">
        <f>INDEX(CalLookUpTable,MATCH($B4255,CalLookUpRow,0),MATCH(H$1,CalLookUpColumn,0))</f>
        <v>4</v>
      </c>
      <c r="I4255">
        <f>INDEX(CalLookUpTable,MATCH($B4255,CalLookUpRow,0),MATCH(I$1,CalLookUpColumn,0))</f>
        <v>2</v>
      </c>
    </row>
    <row r="4256" spans="1:9" x14ac:dyDescent="0.25">
      <c r="A4256" s="7">
        <v>3</v>
      </c>
      <c r="B4256" s="8">
        <v>43565</v>
      </c>
      <c r="C4256" s="9" t="s">
        <v>5</v>
      </c>
      <c r="D4256" s="10">
        <v>3621.9609999999993</v>
      </c>
      <c r="E4256" s="10">
        <v>0</v>
      </c>
      <c r="F4256" t="str">
        <f>VLOOKUP(A4256,StoreLookup,2,FALSE)</f>
        <v>Store#3</v>
      </c>
      <c r="G4256">
        <f>INDEX(CalLookUpTable,MATCH($B4256,CalLookUpRow,0),MATCH(G$1,CalLookUpColumn,0))</f>
        <v>2019</v>
      </c>
      <c r="H4256">
        <f>INDEX(CalLookUpTable,MATCH($B4256,CalLookUpRow,0),MATCH(H$1,CalLookUpColumn,0))</f>
        <v>4</v>
      </c>
      <c r="I4256">
        <f>INDEX(CalLookUpTable,MATCH($B4256,CalLookUpRow,0),MATCH(I$1,CalLookUpColumn,0))</f>
        <v>2</v>
      </c>
    </row>
    <row r="4257" spans="1:9" x14ac:dyDescent="0.25">
      <c r="A4257" s="7">
        <v>3</v>
      </c>
      <c r="B4257" s="8">
        <v>43565</v>
      </c>
      <c r="C4257" s="9" t="s">
        <v>4</v>
      </c>
      <c r="D4257" s="10">
        <v>3208.1</v>
      </c>
      <c r="E4257" s="10">
        <v>0</v>
      </c>
      <c r="F4257" t="str">
        <f>VLOOKUP(A4257,StoreLookup,2,FALSE)</f>
        <v>Store#3</v>
      </c>
      <c r="G4257">
        <f>INDEX(CalLookUpTable,MATCH($B4257,CalLookUpRow,0),MATCH(G$1,CalLookUpColumn,0))</f>
        <v>2019</v>
      </c>
      <c r="H4257">
        <f>INDEX(CalLookUpTable,MATCH($B4257,CalLookUpRow,0),MATCH(H$1,CalLookUpColumn,0))</f>
        <v>4</v>
      </c>
      <c r="I4257">
        <f>INDEX(CalLookUpTable,MATCH($B4257,CalLookUpRow,0),MATCH(I$1,CalLookUpColumn,0))</f>
        <v>2</v>
      </c>
    </row>
    <row r="4258" spans="1:9" x14ac:dyDescent="0.25">
      <c r="A4258" s="7">
        <v>3</v>
      </c>
      <c r="B4258" s="8">
        <v>43566</v>
      </c>
      <c r="C4258" s="9" t="s">
        <v>5</v>
      </c>
      <c r="D4258" s="10">
        <v>3944.4719999999998</v>
      </c>
      <c r="E4258" s="10">
        <v>0</v>
      </c>
      <c r="F4258" t="str">
        <f>VLOOKUP(A4258,StoreLookup,2,FALSE)</f>
        <v>Store#3</v>
      </c>
      <c r="G4258">
        <f>INDEX(CalLookUpTable,MATCH($B4258,CalLookUpRow,0),MATCH(G$1,CalLookUpColumn,0))</f>
        <v>2019</v>
      </c>
      <c r="H4258">
        <f>INDEX(CalLookUpTable,MATCH($B4258,CalLookUpRow,0),MATCH(H$1,CalLookUpColumn,0))</f>
        <v>4</v>
      </c>
      <c r="I4258">
        <f>INDEX(CalLookUpTable,MATCH($B4258,CalLookUpRow,0),MATCH(I$1,CalLookUpColumn,0))</f>
        <v>2</v>
      </c>
    </row>
    <row r="4259" spans="1:9" x14ac:dyDescent="0.25">
      <c r="A4259" s="7">
        <v>3</v>
      </c>
      <c r="B4259" s="8">
        <v>43566</v>
      </c>
      <c r="C4259" s="9" t="s">
        <v>4</v>
      </c>
      <c r="D4259" s="10">
        <v>3692.9059999999995</v>
      </c>
      <c r="E4259" s="10">
        <v>0</v>
      </c>
      <c r="F4259" t="str">
        <f>VLOOKUP(A4259,StoreLookup,2,FALSE)</f>
        <v>Store#3</v>
      </c>
      <c r="G4259">
        <f>INDEX(CalLookUpTable,MATCH($B4259,CalLookUpRow,0),MATCH(G$1,CalLookUpColumn,0))</f>
        <v>2019</v>
      </c>
      <c r="H4259">
        <f>INDEX(CalLookUpTable,MATCH($B4259,CalLookUpRow,0),MATCH(H$1,CalLookUpColumn,0))</f>
        <v>4</v>
      </c>
      <c r="I4259">
        <f>INDEX(CalLookUpTable,MATCH($B4259,CalLookUpRow,0),MATCH(I$1,CalLookUpColumn,0))</f>
        <v>2</v>
      </c>
    </row>
    <row r="4260" spans="1:9" x14ac:dyDescent="0.25">
      <c r="A4260" s="7">
        <v>3</v>
      </c>
      <c r="B4260" s="8">
        <v>43566</v>
      </c>
      <c r="C4260" s="9" t="s">
        <v>6</v>
      </c>
      <c r="D4260" s="10">
        <v>1069.348</v>
      </c>
      <c r="E4260" s="10">
        <v>0</v>
      </c>
      <c r="F4260" t="str">
        <f>VLOOKUP(A4260,StoreLookup,2,FALSE)</f>
        <v>Store#3</v>
      </c>
      <c r="G4260">
        <f>INDEX(CalLookUpTable,MATCH($B4260,CalLookUpRow,0),MATCH(G$1,CalLookUpColumn,0))</f>
        <v>2019</v>
      </c>
      <c r="H4260">
        <f>INDEX(CalLookUpTable,MATCH($B4260,CalLookUpRow,0),MATCH(H$1,CalLookUpColumn,0))</f>
        <v>4</v>
      </c>
      <c r="I4260">
        <f>INDEX(CalLookUpTable,MATCH($B4260,CalLookUpRow,0),MATCH(I$1,CalLookUpColumn,0))</f>
        <v>2</v>
      </c>
    </row>
    <row r="4261" spans="1:9" x14ac:dyDescent="0.25">
      <c r="A4261" s="7">
        <v>3</v>
      </c>
      <c r="B4261" s="8">
        <v>43566</v>
      </c>
      <c r="C4261" s="9" t="s">
        <v>3</v>
      </c>
      <c r="D4261" s="10">
        <v>743.75699999999995</v>
      </c>
      <c r="E4261" s="10">
        <v>0</v>
      </c>
      <c r="F4261" t="str">
        <f>VLOOKUP(A4261,StoreLookup,2,FALSE)</f>
        <v>Store#3</v>
      </c>
      <c r="G4261">
        <f>INDEX(CalLookUpTable,MATCH($B4261,CalLookUpRow,0),MATCH(G$1,CalLookUpColumn,0))</f>
        <v>2019</v>
      </c>
      <c r="H4261">
        <f>INDEX(CalLookUpTable,MATCH($B4261,CalLookUpRow,0),MATCH(H$1,CalLookUpColumn,0))</f>
        <v>4</v>
      </c>
      <c r="I4261">
        <f>INDEX(CalLookUpTable,MATCH($B4261,CalLookUpRow,0),MATCH(I$1,CalLookUpColumn,0))</f>
        <v>2</v>
      </c>
    </row>
    <row r="4262" spans="1:9" x14ac:dyDescent="0.25">
      <c r="A4262" s="7">
        <v>3</v>
      </c>
      <c r="B4262" s="8">
        <v>43567</v>
      </c>
      <c r="C4262" s="9" t="s">
        <v>5</v>
      </c>
      <c r="D4262" s="10">
        <v>4007.7309999999998</v>
      </c>
      <c r="E4262" s="10">
        <v>0</v>
      </c>
      <c r="F4262" t="str">
        <f>VLOOKUP(A4262,StoreLookup,2,FALSE)</f>
        <v>Store#3</v>
      </c>
      <c r="G4262">
        <f>INDEX(CalLookUpTable,MATCH($B4262,CalLookUpRow,0),MATCH(G$1,CalLookUpColumn,0))</f>
        <v>2019</v>
      </c>
      <c r="H4262">
        <f>INDEX(CalLookUpTable,MATCH($B4262,CalLookUpRow,0),MATCH(H$1,CalLookUpColumn,0))</f>
        <v>4</v>
      </c>
      <c r="I4262">
        <f>INDEX(CalLookUpTable,MATCH($B4262,CalLookUpRow,0),MATCH(I$1,CalLookUpColumn,0))</f>
        <v>2</v>
      </c>
    </row>
    <row r="4263" spans="1:9" x14ac:dyDescent="0.25">
      <c r="A4263" s="7">
        <v>3</v>
      </c>
      <c r="B4263" s="8">
        <v>43567</v>
      </c>
      <c r="C4263" s="9" t="s">
        <v>6</v>
      </c>
      <c r="D4263" s="10">
        <v>1064.5249999999999</v>
      </c>
      <c r="E4263" s="10">
        <v>0</v>
      </c>
      <c r="F4263" t="str">
        <f>VLOOKUP(A4263,StoreLookup,2,FALSE)</f>
        <v>Store#3</v>
      </c>
      <c r="G4263">
        <f>INDEX(CalLookUpTable,MATCH($B4263,CalLookUpRow,0),MATCH(G$1,CalLookUpColumn,0))</f>
        <v>2019</v>
      </c>
      <c r="H4263">
        <f>INDEX(CalLookUpTable,MATCH($B4263,CalLookUpRow,0),MATCH(H$1,CalLookUpColumn,0))</f>
        <v>4</v>
      </c>
      <c r="I4263">
        <f>INDEX(CalLookUpTable,MATCH($B4263,CalLookUpRow,0),MATCH(I$1,CalLookUpColumn,0))</f>
        <v>2</v>
      </c>
    </row>
    <row r="4264" spans="1:9" x14ac:dyDescent="0.25">
      <c r="A4264" s="7">
        <v>3</v>
      </c>
      <c r="B4264" s="8">
        <v>43567</v>
      </c>
      <c r="C4264" s="9" t="s">
        <v>4</v>
      </c>
      <c r="D4264" s="10">
        <v>4169.5149999999994</v>
      </c>
      <c r="E4264" s="10">
        <v>0</v>
      </c>
      <c r="F4264" t="str">
        <f>VLOOKUP(A4264,StoreLookup,2,FALSE)</f>
        <v>Store#3</v>
      </c>
      <c r="G4264">
        <f>INDEX(CalLookUpTable,MATCH($B4264,CalLookUpRow,0),MATCH(G$1,CalLookUpColumn,0))</f>
        <v>2019</v>
      </c>
      <c r="H4264">
        <f>INDEX(CalLookUpTable,MATCH($B4264,CalLookUpRow,0),MATCH(H$1,CalLookUpColumn,0))</f>
        <v>4</v>
      </c>
      <c r="I4264">
        <f>INDEX(CalLookUpTable,MATCH($B4264,CalLookUpRow,0),MATCH(I$1,CalLookUpColumn,0))</f>
        <v>2</v>
      </c>
    </row>
    <row r="4265" spans="1:9" x14ac:dyDescent="0.25">
      <c r="A4265" s="7">
        <v>3</v>
      </c>
      <c r="B4265" s="8">
        <v>43567</v>
      </c>
      <c r="C4265" s="9" t="s">
        <v>3</v>
      </c>
      <c r="D4265" s="10">
        <v>21.686</v>
      </c>
      <c r="E4265" s="10">
        <v>0</v>
      </c>
      <c r="F4265" t="str">
        <f>VLOOKUP(A4265,StoreLookup,2,FALSE)</f>
        <v>Store#3</v>
      </c>
      <c r="G4265">
        <f>INDEX(CalLookUpTable,MATCH($B4265,CalLookUpRow,0),MATCH(G$1,CalLookUpColumn,0))</f>
        <v>2019</v>
      </c>
      <c r="H4265">
        <f>INDEX(CalLookUpTable,MATCH($B4265,CalLookUpRow,0),MATCH(H$1,CalLookUpColumn,0))</f>
        <v>4</v>
      </c>
      <c r="I4265">
        <f>INDEX(CalLookUpTable,MATCH($B4265,CalLookUpRow,0),MATCH(I$1,CalLookUpColumn,0))</f>
        <v>2</v>
      </c>
    </row>
    <row r="4266" spans="1:9" x14ac:dyDescent="0.25">
      <c r="A4266" s="7">
        <v>3</v>
      </c>
      <c r="B4266" s="8">
        <v>43568</v>
      </c>
      <c r="C4266" s="9" t="s">
        <v>3</v>
      </c>
      <c r="D4266" s="10">
        <v>0</v>
      </c>
      <c r="E4266" s="10">
        <v>0</v>
      </c>
      <c r="F4266" t="str">
        <f>VLOOKUP(A4266,StoreLookup,2,FALSE)</f>
        <v>Store#3</v>
      </c>
      <c r="G4266">
        <f>INDEX(CalLookUpTable,MATCH($B4266,CalLookUpRow,0),MATCH(G$1,CalLookUpColumn,0))</f>
        <v>2019</v>
      </c>
      <c r="H4266">
        <f>INDEX(CalLookUpTable,MATCH($B4266,CalLookUpRow,0),MATCH(H$1,CalLookUpColumn,0))</f>
        <v>4</v>
      </c>
      <c r="I4266">
        <f>INDEX(CalLookUpTable,MATCH($B4266,CalLookUpRow,0),MATCH(I$1,CalLookUpColumn,0))</f>
        <v>2</v>
      </c>
    </row>
    <row r="4267" spans="1:9" x14ac:dyDescent="0.25">
      <c r="A4267" s="7">
        <v>3</v>
      </c>
      <c r="B4267" s="8">
        <v>43568</v>
      </c>
      <c r="C4267" s="9" t="s">
        <v>6</v>
      </c>
      <c r="D4267" s="10">
        <v>864.36699999999996</v>
      </c>
      <c r="E4267" s="10">
        <v>0</v>
      </c>
      <c r="F4267" t="str">
        <f>VLOOKUP(A4267,StoreLookup,2,FALSE)</f>
        <v>Store#3</v>
      </c>
      <c r="G4267">
        <f>INDEX(CalLookUpTable,MATCH($B4267,CalLookUpRow,0),MATCH(G$1,CalLookUpColumn,0))</f>
        <v>2019</v>
      </c>
      <c r="H4267">
        <f>INDEX(CalLookUpTable,MATCH($B4267,CalLookUpRow,0),MATCH(H$1,CalLookUpColumn,0))</f>
        <v>4</v>
      </c>
      <c r="I4267">
        <f>INDEX(CalLookUpTable,MATCH($B4267,CalLookUpRow,0),MATCH(I$1,CalLookUpColumn,0))</f>
        <v>2</v>
      </c>
    </row>
    <row r="4268" spans="1:9" x14ac:dyDescent="0.25">
      <c r="A4268" s="7">
        <v>3</v>
      </c>
      <c r="B4268" s="8">
        <v>43568</v>
      </c>
      <c r="C4268" s="9" t="s">
        <v>4</v>
      </c>
      <c r="D4268" s="10">
        <v>4022.1859999999992</v>
      </c>
      <c r="E4268" s="10">
        <v>0</v>
      </c>
      <c r="F4268" t="str">
        <f>VLOOKUP(A4268,StoreLookup,2,FALSE)</f>
        <v>Store#3</v>
      </c>
      <c r="G4268">
        <f>INDEX(CalLookUpTable,MATCH($B4268,CalLookUpRow,0),MATCH(G$1,CalLookUpColumn,0))</f>
        <v>2019</v>
      </c>
      <c r="H4268">
        <f>INDEX(CalLookUpTable,MATCH($B4268,CalLookUpRow,0),MATCH(H$1,CalLookUpColumn,0))</f>
        <v>4</v>
      </c>
      <c r="I4268">
        <f>INDEX(CalLookUpTable,MATCH($B4268,CalLookUpRow,0),MATCH(I$1,CalLookUpColumn,0))</f>
        <v>2</v>
      </c>
    </row>
    <row r="4269" spans="1:9" x14ac:dyDescent="0.25">
      <c r="A4269" s="7">
        <v>3</v>
      </c>
      <c r="B4269" s="8">
        <v>43568</v>
      </c>
      <c r="C4269" s="9" t="s">
        <v>5</v>
      </c>
      <c r="D4269" s="10">
        <v>3704.5609999999992</v>
      </c>
      <c r="E4269" s="10">
        <v>0</v>
      </c>
      <c r="F4269" t="str">
        <f>VLOOKUP(A4269,StoreLookup,2,FALSE)</f>
        <v>Store#3</v>
      </c>
      <c r="G4269">
        <f>INDEX(CalLookUpTable,MATCH($B4269,CalLookUpRow,0),MATCH(G$1,CalLookUpColumn,0))</f>
        <v>2019</v>
      </c>
      <c r="H4269">
        <f>INDEX(CalLookUpTable,MATCH($B4269,CalLookUpRow,0),MATCH(H$1,CalLookUpColumn,0))</f>
        <v>4</v>
      </c>
      <c r="I4269">
        <f>INDEX(CalLookUpTable,MATCH($B4269,CalLookUpRow,0),MATCH(I$1,CalLookUpColumn,0))</f>
        <v>2</v>
      </c>
    </row>
    <row r="4270" spans="1:9" x14ac:dyDescent="0.25">
      <c r="A4270" s="7">
        <v>3</v>
      </c>
      <c r="B4270" s="8">
        <v>43569</v>
      </c>
      <c r="C4270" s="9" t="s">
        <v>3</v>
      </c>
      <c r="D4270" s="10">
        <v>10.836</v>
      </c>
      <c r="E4270" s="10">
        <v>0</v>
      </c>
      <c r="F4270" t="str">
        <f>VLOOKUP(A4270,StoreLookup,2,FALSE)</f>
        <v>Store#3</v>
      </c>
      <c r="G4270">
        <f>INDEX(CalLookUpTable,MATCH($B4270,CalLookUpRow,0),MATCH(G$1,CalLookUpColumn,0))</f>
        <v>2019</v>
      </c>
      <c r="H4270">
        <f>INDEX(CalLookUpTable,MATCH($B4270,CalLookUpRow,0),MATCH(H$1,CalLookUpColumn,0))</f>
        <v>4</v>
      </c>
      <c r="I4270">
        <f>INDEX(CalLookUpTable,MATCH($B4270,CalLookUpRow,0),MATCH(I$1,CalLookUpColumn,0))</f>
        <v>2</v>
      </c>
    </row>
    <row r="4271" spans="1:9" x14ac:dyDescent="0.25">
      <c r="A4271" s="7">
        <v>3</v>
      </c>
      <c r="B4271" s="8">
        <v>43569</v>
      </c>
      <c r="C4271" s="9" t="s">
        <v>6</v>
      </c>
      <c r="D4271" s="10">
        <v>607.45299999999997</v>
      </c>
      <c r="E4271" s="10">
        <v>0</v>
      </c>
      <c r="F4271" t="str">
        <f>VLOOKUP(A4271,StoreLookup,2,FALSE)</f>
        <v>Store#3</v>
      </c>
      <c r="G4271">
        <f>INDEX(CalLookUpTable,MATCH($B4271,CalLookUpRow,0),MATCH(G$1,CalLookUpColumn,0))</f>
        <v>2019</v>
      </c>
      <c r="H4271">
        <f>INDEX(CalLookUpTable,MATCH($B4271,CalLookUpRow,0),MATCH(H$1,CalLookUpColumn,0))</f>
        <v>4</v>
      </c>
      <c r="I4271">
        <f>INDEX(CalLookUpTable,MATCH($B4271,CalLookUpRow,0),MATCH(I$1,CalLookUpColumn,0))</f>
        <v>2</v>
      </c>
    </row>
    <row r="4272" spans="1:9" x14ac:dyDescent="0.25">
      <c r="A4272" s="7">
        <v>3</v>
      </c>
      <c r="B4272" s="8">
        <v>43569</v>
      </c>
      <c r="C4272" s="9" t="s">
        <v>4</v>
      </c>
      <c r="D4272" s="10">
        <v>3071.4179999999997</v>
      </c>
      <c r="E4272" s="10">
        <v>0</v>
      </c>
      <c r="F4272" t="str">
        <f>VLOOKUP(A4272,StoreLookup,2,FALSE)</f>
        <v>Store#3</v>
      </c>
      <c r="G4272">
        <f>INDEX(CalLookUpTable,MATCH($B4272,CalLookUpRow,0),MATCH(G$1,CalLookUpColumn,0))</f>
        <v>2019</v>
      </c>
      <c r="H4272">
        <f>INDEX(CalLookUpTable,MATCH($B4272,CalLookUpRow,0),MATCH(H$1,CalLookUpColumn,0))</f>
        <v>4</v>
      </c>
      <c r="I4272">
        <f>INDEX(CalLookUpTable,MATCH($B4272,CalLookUpRow,0),MATCH(I$1,CalLookUpColumn,0))</f>
        <v>2</v>
      </c>
    </row>
    <row r="4273" spans="1:9" x14ac:dyDescent="0.25">
      <c r="A4273" s="7">
        <v>3</v>
      </c>
      <c r="B4273" s="8">
        <v>43569</v>
      </c>
      <c r="C4273" s="9" t="s">
        <v>5</v>
      </c>
      <c r="D4273" s="10">
        <v>2963.9399999999996</v>
      </c>
      <c r="E4273" s="10">
        <v>0</v>
      </c>
      <c r="F4273" t="str">
        <f>VLOOKUP(A4273,StoreLookup,2,FALSE)</f>
        <v>Store#3</v>
      </c>
      <c r="G4273">
        <f>INDEX(CalLookUpTable,MATCH($B4273,CalLookUpRow,0),MATCH(G$1,CalLookUpColumn,0))</f>
        <v>2019</v>
      </c>
      <c r="H4273">
        <f>INDEX(CalLookUpTable,MATCH($B4273,CalLookUpRow,0),MATCH(H$1,CalLookUpColumn,0))</f>
        <v>4</v>
      </c>
      <c r="I4273">
        <f>INDEX(CalLookUpTable,MATCH($B4273,CalLookUpRow,0),MATCH(I$1,CalLookUpColumn,0))</f>
        <v>2</v>
      </c>
    </row>
    <row r="4274" spans="1:9" x14ac:dyDescent="0.25">
      <c r="A4274" s="7">
        <v>3</v>
      </c>
      <c r="B4274" s="8">
        <v>43570</v>
      </c>
      <c r="C4274" s="9" t="s">
        <v>4</v>
      </c>
      <c r="D4274" s="10">
        <v>2862.37</v>
      </c>
      <c r="E4274" s="10">
        <v>0</v>
      </c>
      <c r="F4274" t="str">
        <f>VLOOKUP(A4274,StoreLookup,2,FALSE)</f>
        <v>Store#3</v>
      </c>
      <c r="G4274">
        <f>INDEX(CalLookUpTable,MATCH($B4274,CalLookUpRow,0),MATCH(G$1,CalLookUpColumn,0))</f>
        <v>2019</v>
      </c>
      <c r="H4274">
        <f>INDEX(CalLookUpTable,MATCH($B4274,CalLookUpRow,0),MATCH(H$1,CalLookUpColumn,0))</f>
        <v>4</v>
      </c>
      <c r="I4274">
        <f>INDEX(CalLookUpTable,MATCH($B4274,CalLookUpRow,0),MATCH(I$1,CalLookUpColumn,0))</f>
        <v>3</v>
      </c>
    </row>
    <row r="4275" spans="1:9" x14ac:dyDescent="0.25">
      <c r="A4275" s="7">
        <v>3</v>
      </c>
      <c r="B4275" s="8">
        <v>43570</v>
      </c>
      <c r="C4275" s="9" t="s">
        <v>3</v>
      </c>
      <c r="D4275" s="10">
        <v>273.44799999999998</v>
      </c>
      <c r="E4275" s="10">
        <v>0</v>
      </c>
      <c r="F4275" t="str">
        <f>VLOOKUP(A4275,StoreLookup,2,FALSE)</f>
        <v>Store#3</v>
      </c>
      <c r="G4275">
        <f>INDEX(CalLookUpTable,MATCH($B4275,CalLookUpRow,0),MATCH(G$1,CalLookUpColumn,0))</f>
        <v>2019</v>
      </c>
      <c r="H4275">
        <f>INDEX(CalLookUpTable,MATCH($B4275,CalLookUpRow,0),MATCH(H$1,CalLookUpColumn,0))</f>
        <v>4</v>
      </c>
      <c r="I4275">
        <f>INDEX(CalLookUpTable,MATCH($B4275,CalLookUpRow,0),MATCH(I$1,CalLookUpColumn,0))</f>
        <v>3</v>
      </c>
    </row>
    <row r="4276" spans="1:9" x14ac:dyDescent="0.25">
      <c r="A4276" s="7">
        <v>3</v>
      </c>
      <c r="B4276" s="8">
        <v>43570</v>
      </c>
      <c r="C4276" s="9" t="s">
        <v>5</v>
      </c>
      <c r="D4276" s="10">
        <v>2920.8059999999996</v>
      </c>
      <c r="E4276" s="10">
        <v>0</v>
      </c>
      <c r="F4276" t="str">
        <f>VLOOKUP(A4276,StoreLookup,2,FALSE)</f>
        <v>Store#3</v>
      </c>
      <c r="G4276">
        <f>INDEX(CalLookUpTable,MATCH($B4276,CalLookUpRow,0),MATCH(G$1,CalLookUpColumn,0))</f>
        <v>2019</v>
      </c>
      <c r="H4276">
        <f>INDEX(CalLookUpTable,MATCH($B4276,CalLookUpRow,0),MATCH(H$1,CalLookUpColumn,0))</f>
        <v>4</v>
      </c>
      <c r="I4276">
        <f>INDEX(CalLookUpTable,MATCH($B4276,CalLookUpRow,0),MATCH(I$1,CalLookUpColumn,0))</f>
        <v>3</v>
      </c>
    </row>
    <row r="4277" spans="1:9" x14ac:dyDescent="0.25">
      <c r="A4277" s="7">
        <v>3</v>
      </c>
      <c r="B4277" s="8">
        <v>43570</v>
      </c>
      <c r="C4277" s="9" t="s">
        <v>6</v>
      </c>
      <c r="D4277" s="10">
        <v>1010.898</v>
      </c>
      <c r="E4277" s="10">
        <v>0</v>
      </c>
      <c r="F4277" t="str">
        <f>VLOOKUP(A4277,StoreLookup,2,FALSE)</f>
        <v>Store#3</v>
      </c>
      <c r="G4277">
        <f>INDEX(CalLookUpTable,MATCH($B4277,CalLookUpRow,0),MATCH(G$1,CalLookUpColumn,0))</f>
        <v>2019</v>
      </c>
      <c r="H4277">
        <f>INDEX(CalLookUpTable,MATCH($B4277,CalLookUpRow,0),MATCH(H$1,CalLookUpColumn,0))</f>
        <v>4</v>
      </c>
      <c r="I4277">
        <f>INDEX(CalLookUpTable,MATCH($B4277,CalLookUpRow,0),MATCH(I$1,CalLookUpColumn,0))</f>
        <v>3</v>
      </c>
    </row>
    <row r="4278" spans="1:9" x14ac:dyDescent="0.25">
      <c r="A4278" s="7">
        <v>3</v>
      </c>
      <c r="B4278" s="8">
        <v>43571</v>
      </c>
      <c r="C4278" s="9" t="s">
        <v>3</v>
      </c>
      <c r="D4278" s="10">
        <v>305.39599999999996</v>
      </c>
      <c r="E4278" s="10">
        <v>0</v>
      </c>
      <c r="F4278" t="str">
        <f>VLOOKUP(A4278,StoreLookup,2,FALSE)</f>
        <v>Store#3</v>
      </c>
      <c r="G4278">
        <f>INDEX(CalLookUpTable,MATCH($B4278,CalLookUpRow,0),MATCH(G$1,CalLookUpColumn,0))</f>
        <v>2019</v>
      </c>
      <c r="H4278">
        <f>INDEX(CalLookUpTable,MATCH($B4278,CalLookUpRow,0),MATCH(H$1,CalLookUpColumn,0))</f>
        <v>4</v>
      </c>
      <c r="I4278">
        <f>INDEX(CalLookUpTable,MATCH($B4278,CalLookUpRow,0),MATCH(I$1,CalLookUpColumn,0))</f>
        <v>3</v>
      </c>
    </row>
    <row r="4279" spans="1:9" x14ac:dyDescent="0.25">
      <c r="A4279" s="7">
        <v>3</v>
      </c>
      <c r="B4279" s="8">
        <v>43571</v>
      </c>
      <c r="C4279" s="9" t="s">
        <v>4</v>
      </c>
      <c r="D4279" s="10">
        <v>3029.0399999999995</v>
      </c>
      <c r="E4279" s="10">
        <v>0</v>
      </c>
      <c r="F4279" t="str">
        <f>VLOOKUP(A4279,StoreLookup,2,FALSE)</f>
        <v>Store#3</v>
      </c>
      <c r="G4279">
        <f>INDEX(CalLookUpTable,MATCH($B4279,CalLookUpRow,0),MATCH(G$1,CalLookUpColumn,0))</f>
        <v>2019</v>
      </c>
      <c r="H4279">
        <f>INDEX(CalLookUpTable,MATCH($B4279,CalLookUpRow,0),MATCH(H$1,CalLookUpColumn,0))</f>
        <v>4</v>
      </c>
      <c r="I4279">
        <f>INDEX(CalLookUpTable,MATCH($B4279,CalLookUpRow,0),MATCH(I$1,CalLookUpColumn,0))</f>
        <v>3</v>
      </c>
    </row>
    <row r="4280" spans="1:9" x14ac:dyDescent="0.25">
      <c r="A4280" s="7">
        <v>3</v>
      </c>
      <c r="B4280" s="8">
        <v>43571</v>
      </c>
      <c r="C4280" s="9" t="s">
        <v>5</v>
      </c>
      <c r="D4280" s="10">
        <v>3596.1170000000002</v>
      </c>
      <c r="E4280" s="10">
        <v>0</v>
      </c>
      <c r="F4280" t="str">
        <f>VLOOKUP(A4280,StoreLookup,2,FALSE)</f>
        <v>Store#3</v>
      </c>
      <c r="G4280">
        <f>INDEX(CalLookUpTable,MATCH($B4280,CalLookUpRow,0),MATCH(G$1,CalLookUpColumn,0))</f>
        <v>2019</v>
      </c>
      <c r="H4280">
        <f>INDEX(CalLookUpTable,MATCH($B4280,CalLookUpRow,0),MATCH(H$1,CalLookUpColumn,0))</f>
        <v>4</v>
      </c>
      <c r="I4280">
        <f>INDEX(CalLookUpTable,MATCH($B4280,CalLookUpRow,0),MATCH(I$1,CalLookUpColumn,0))</f>
        <v>3</v>
      </c>
    </row>
    <row r="4281" spans="1:9" x14ac:dyDescent="0.25">
      <c r="A4281" s="7">
        <v>3</v>
      </c>
      <c r="B4281" s="8">
        <v>43571</v>
      </c>
      <c r="C4281" s="9" t="s">
        <v>6</v>
      </c>
      <c r="D4281" s="10">
        <v>608.18100000000004</v>
      </c>
      <c r="E4281" s="10">
        <v>0</v>
      </c>
      <c r="F4281" t="str">
        <f>VLOOKUP(A4281,StoreLookup,2,FALSE)</f>
        <v>Store#3</v>
      </c>
      <c r="G4281">
        <f>INDEX(CalLookUpTable,MATCH($B4281,CalLookUpRow,0),MATCH(G$1,CalLookUpColumn,0))</f>
        <v>2019</v>
      </c>
      <c r="H4281">
        <f>INDEX(CalLookUpTable,MATCH($B4281,CalLookUpRow,0),MATCH(H$1,CalLookUpColumn,0))</f>
        <v>4</v>
      </c>
      <c r="I4281">
        <f>INDEX(CalLookUpTable,MATCH($B4281,CalLookUpRow,0),MATCH(I$1,CalLookUpColumn,0))</f>
        <v>3</v>
      </c>
    </row>
    <row r="4282" spans="1:9" x14ac:dyDescent="0.25">
      <c r="A4282" s="7">
        <v>3</v>
      </c>
      <c r="B4282" s="8">
        <v>43572</v>
      </c>
      <c r="C4282" s="9" t="s">
        <v>4</v>
      </c>
      <c r="D4282" s="10">
        <v>4143.51</v>
      </c>
      <c r="E4282" s="10">
        <v>0</v>
      </c>
      <c r="F4282" t="str">
        <f>VLOOKUP(A4282,StoreLookup,2,FALSE)</f>
        <v>Store#3</v>
      </c>
      <c r="G4282">
        <f>INDEX(CalLookUpTable,MATCH($B4282,CalLookUpRow,0),MATCH(G$1,CalLookUpColumn,0))</f>
        <v>2019</v>
      </c>
      <c r="H4282">
        <f>INDEX(CalLookUpTable,MATCH($B4282,CalLookUpRow,0),MATCH(H$1,CalLookUpColumn,0))</f>
        <v>4</v>
      </c>
      <c r="I4282">
        <f>INDEX(CalLookUpTable,MATCH($B4282,CalLookUpRow,0),MATCH(I$1,CalLookUpColumn,0))</f>
        <v>3</v>
      </c>
    </row>
    <row r="4283" spans="1:9" x14ac:dyDescent="0.25">
      <c r="A4283" s="7">
        <v>3</v>
      </c>
      <c r="B4283" s="8">
        <v>43572</v>
      </c>
      <c r="C4283" s="9" t="s">
        <v>6</v>
      </c>
      <c r="D4283" s="10">
        <v>876.89699999999993</v>
      </c>
      <c r="E4283" s="10">
        <v>0</v>
      </c>
      <c r="F4283" t="str">
        <f>VLOOKUP(A4283,StoreLookup,2,FALSE)</f>
        <v>Store#3</v>
      </c>
      <c r="G4283">
        <f>INDEX(CalLookUpTable,MATCH($B4283,CalLookUpRow,0),MATCH(G$1,CalLookUpColumn,0))</f>
        <v>2019</v>
      </c>
      <c r="H4283">
        <f>INDEX(CalLookUpTable,MATCH($B4283,CalLookUpRow,0),MATCH(H$1,CalLookUpColumn,0))</f>
        <v>4</v>
      </c>
      <c r="I4283">
        <f>INDEX(CalLookUpTable,MATCH($B4283,CalLookUpRow,0),MATCH(I$1,CalLookUpColumn,0))</f>
        <v>3</v>
      </c>
    </row>
    <row r="4284" spans="1:9" x14ac:dyDescent="0.25">
      <c r="A4284" s="7">
        <v>3</v>
      </c>
      <c r="B4284" s="8">
        <v>43572</v>
      </c>
      <c r="C4284" s="9" t="s">
        <v>5</v>
      </c>
      <c r="D4284" s="10">
        <v>3677.6529999999998</v>
      </c>
      <c r="E4284" s="10">
        <v>0</v>
      </c>
      <c r="F4284" t="str">
        <f>VLOOKUP(A4284,StoreLookup,2,FALSE)</f>
        <v>Store#3</v>
      </c>
      <c r="G4284">
        <f>INDEX(CalLookUpTable,MATCH($B4284,CalLookUpRow,0),MATCH(G$1,CalLookUpColumn,0))</f>
        <v>2019</v>
      </c>
      <c r="H4284">
        <f>INDEX(CalLookUpTable,MATCH($B4284,CalLookUpRow,0),MATCH(H$1,CalLookUpColumn,0))</f>
        <v>4</v>
      </c>
      <c r="I4284">
        <f>INDEX(CalLookUpTable,MATCH($B4284,CalLookUpRow,0),MATCH(I$1,CalLookUpColumn,0))</f>
        <v>3</v>
      </c>
    </row>
    <row r="4285" spans="1:9" x14ac:dyDescent="0.25">
      <c r="A4285" s="7">
        <v>3</v>
      </c>
      <c r="B4285" s="8">
        <v>43572</v>
      </c>
      <c r="C4285" s="9" t="s">
        <v>3</v>
      </c>
      <c r="D4285" s="10">
        <v>0</v>
      </c>
      <c r="E4285" s="10">
        <v>0</v>
      </c>
      <c r="F4285" t="str">
        <f>VLOOKUP(A4285,StoreLookup,2,FALSE)</f>
        <v>Store#3</v>
      </c>
      <c r="G4285">
        <f>INDEX(CalLookUpTable,MATCH($B4285,CalLookUpRow,0),MATCH(G$1,CalLookUpColumn,0))</f>
        <v>2019</v>
      </c>
      <c r="H4285">
        <f>INDEX(CalLookUpTable,MATCH($B4285,CalLookUpRow,0),MATCH(H$1,CalLookUpColumn,0))</f>
        <v>4</v>
      </c>
      <c r="I4285">
        <f>INDEX(CalLookUpTable,MATCH($B4285,CalLookUpRow,0),MATCH(I$1,CalLookUpColumn,0))</f>
        <v>3</v>
      </c>
    </row>
    <row r="4286" spans="1:9" x14ac:dyDescent="0.25">
      <c r="A4286" s="7">
        <v>3</v>
      </c>
      <c r="B4286" s="8">
        <v>43573</v>
      </c>
      <c r="C4286" s="9" t="s">
        <v>4</v>
      </c>
      <c r="D4286" s="10">
        <v>4204.1509999999998</v>
      </c>
      <c r="E4286" s="10">
        <v>0</v>
      </c>
      <c r="F4286" t="str">
        <f>VLOOKUP(A4286,StoreLookup,2,FALSE)</f>
        <v>Store#3</v>
      </c>
      <c r="G4286">
        <f>INDEX(CalLookUpTable,MATCH($B4286,CalLookUpRow,0),MATCH(G$1,CalLookUpColumn,0))</f>
        <v>2019</v>
      </c>
      <c r="H4286">
        <f>INDEX(CalLookUpTable,MATCH($B4286,CalLookUpRow,0),MATCH(H$1,CalLookUpColumn,0))</f>
        <v>4</v>
      </c>
      <c r="I4286">
        <f>INDEX(CalLookUpTable,MATCH($B4286,CalLookUpRow,0),MATCH(I$1,CalLookUpColumn,0))</f>
        <v>3</v>
      </c>
    </row>
    <row r="4287" spans="1:9" x14ac:dyDescent="0.25">
      <c r="A4287" s="7">
        <v>3</v>
      </c>
      <c r="B4287" s="8">
        <v>43573</v>
      </c>
      <c r="C4287" s="9" t="s">
        <v>3</v>
      </c>
      <c r="D4287" s="10">
        <v>336.399</v>
      </c>
      <c r="E4287" s="10">
        <v>0</v>
      </c>
      <c r="F4287" t="str">
        <f>VLOOKUP(A4287,StoreLookup,2,FALSE)</f>
        <v>Store#3</v>
      </c>
      <c r="G4287">
        <f>INDEX(CalLookUpTable,MATCH($B4287,CalLookUpRow,0),MATCH(G$1,CalLookUpColumn,0))</f>
        <v>2019</v>
      </c>
      <c r="H4287">
        <f>INDEX(CalLookUpTable,MATCH($B4287,CalLookUpRow,0),MATCH(H$1,CalLookUpColumn,0))</f>
        <v>4</v>
      </c>
      <c r="I4287">
        <f>INDEX(CalLookUpTable,MATCH($B4287,CalLookUpRow,0),MATCH(I$1,CalLookUpColumn,0))</f>
        <v>3</v>
      </c>
    </row>
    <row r="4288" spans="1:9" x14ac:dyDescent="0.25">
      <c r="A4288" s="7">
        <v>3</v>
      </c>
      <c r="B4288" s="8">
        <v>43573</v>
      </c>
      <c r="C4288" s="9" t="s">
        <v>5</v>
      </c>
      <c r="D4288" s="10">
        <v>3748.0099999999998</v>
      </c>
      <c r="E4288" s="10">
        <v>0</v>
      </c>
      <c r="F4288" t="str">
        <f>VLOOKUP(A4288,StoreLookup,2,FALSE)</f>
        <v>Store#3</v>
      </c>
      <c r="G4288">
        <f>INDEX(CalLookUpTable,MATCH($B4288,CalLookUpRow,0),MATCH(G$1,CalLookUpColumn,0))</f>
        <v>2019</v>
      </c>
      <c r="H4288">
        <f>INDEX(CalLookUpTable,MATCH($B4288,CalLookUpRow,0),MATCH(H$1,CalLookUpColumn,0))</f>
        <v>4</v>
      </c>
      <c r="I4288">
        <f>INDEX(CalLookUpTable,MATCH($B4288,CalLookUpRow,0),MATCH(I$1,CalLookUpColumn,0))</f>
        <v>3</v>
      </c>
    </row>
    <row r="4289" spans="1:9" x14ac:dyDescent="0.25">
      <c r="A4289" s="7">
        <v>3</v>
      </c>
      <c r="B4289" s="8">
        <v>43573</v>
      </c>
      <c r="C4289" s="9" t="s">
        <v>6</v>
      </c>
      <c r="D4289" s="10">
        <v>949.851</v>
      </c>
      <c r="E4289" s="10">
        <v>0</v>
      </c>
      <c r="F4289" t="str">
        <f>VLOOKUP(A4289,StoreLookup,2,FALSE)</f>
        <v>Store#3</v>
      </c>
      <c r="G4289">
        <f>INDEX(CalLookUpTable,MATCH($B4289,CalLookUpRow,0),MATCH(G$1,CalLookUpColumn,0))</f>
        <v>2019</v>
      </c>
      <c r="H4289">
        <f>INDEX(CalLookUpTable,MATCH($B4289,CalLookUpRow,0),MATCH(H$1,CalLookUpColumn,0))</f>
        <v>4</v>
      </c>
      <c r="I4289">
        <f>INDEX(CalLookUpTable,MATCH($B4289,CalLookUpRow,0),MATCH(I$1,CalLookUpColumn,0))</f>
        <v>3</v>
      </c>
    </row>
    <row r="4290" spans="1:9" x14ac:dyDescent="0.25">
      <c r="A4290" s="7">
        <v>3</v>
      </c>
      <c r="B4290" s="8">
        <v>43574</v>
      </c>
      <c r="C4290" s="9" t="s">
        <v>4</v>
      </c>
      <c r="D4290" s="10">
        <v>4100.6350000000002</v>
      </c>
      <c r="E4290" s="10">
        <v>0</v>
      </c>
      <c r="F4290" t="str">
        <f>VLOOKUP(A4290,StoreLookup,2,FALSE)</f>
        <v>Store#3</v>
      </c>
      <c r="G4290">
        <f>INDEX(CalLookUpTable,MATCH($B4290,CalLookUpRow,0),MATCH(G$1,CalLookUpColumn,0))</f>
        <v>2019</v>
      </c>
      <c r="H4290">
        <f>INDEX(CalLookUpTable,MATCH($B4290,CalLookUpRow,0),MATCH(H$1,CalLookUpColumn,0))</f>
        <v>4</v>
      </c>
      <c r="I4290">
        <f>INDEX(CalLookUpTable,MATCH($B4290,CalLookUpRow,0),MATCH(I$1,CalLookUpColumn,0))</f>
        <v>3</v>
      </c>
    </row>
    <row r="4291" spans="1:9" x14ac:dyDescent="0.25">
      <c r="A4291" s="7">
        <v>3</v>
      </c>
      <c r="B4291" s="8">
        <v>43574</v>
      </c>
      <c r="C4291" s="9" t="s">
        <v>3</v>
      </c>
      <c r="D4291" s="10">
        <v>161.553</v>
      </c>
      <c r="E4291" s="10">
        <v>0</v>
      </c>
      <c r="F4291" t="str">
        <f>VLOOKUP(A4291,StoreLookup,2,FALSE)</f>
        <v>Store#3</v>
      </c>
      <c r="G4291">
        <f>INDEX(CalLookUpTable,MATCH($B4291,CalLookUpRow,0),MATCH(G$1,CalLookUpColumn,0))</f>
        <v>2019</v>
      </c>
      <c r="H4291">
        <f>INDEX(CalLookUpTable,MATCH($B4291,CalLookUpRow,0),MATCH(H$1,CalLookUpColumn,0))</f>
        <v>4</v>
      </c>
      <c r="I4291">
        <f>INDEX(CalLookUpTable,MATCH($B4291,CalLookUpRow,0),MATCH(I$1,CalLookUpColumn,0))</f>
        <v>3</v>
      </c>
    </row>
    <row r="4292" spans="1:9" x14ac:dyDescent="0.25">
      <c r="A4292" s="7">
        <v>3</v>
      </c>
      <c r="B4292" s="8">
        <v>43574</v>
      </c>
      <c r="C4292" s="9" t="s">
        <v>6</v>
      </c>
      <c r="D4292" s="10">
        <v>1128.491</v>
      </c>
      <c r="E4292" s="10">
        <v>0</v>
      </c>
      <c r="F4292" t="str">
        <f>VLOOKUP(A4292,StoreLookup,2,FALSE)</f>
        <v>Store#3</v>
      </c>
      <c r="G4292">
        <f>INDEX(CalLookUpTable,MATCH($B4292,CalLookUpRow,0),MATCH(G$1,CalLookUpColumn,0))</f>
        <v>2019</v>
      </c>
      <c r="H4292">
        <f>INDEX(CalLookUpTable,MATCH($B4292,CalLookUpRow,0),MATCH(H$1,CalLookUpColumn,0))</f>
        <v>4</v>
      </c>
      <c r="I4292">
        <f>INDEX(CalLookUpTable,MATCH($B4292,CalLookUpRow,0),MATCH(I$1,CalLookUpColumn,0))</f>
        <v>3</v>
      </c>
    </row>
    <row r="4293" spans="1:9" x14ac:dyDescent="0.25">
      <c r="A4293" s="7">
        <v>3</v>
      </c>
      <c r="B4293" s="8">
        <v>43574</v>
      </c>
      <c r="C4293" s="9" t="s">
        <v>5</v>
      </c>
      <c r="D4293" s="10">
        <v>3795.8969999999999</v>
      </c>
      <c r="E4293" s="10">
        <v>0</v>
      </c>
      <c r="F4293" t="str">
        <f>VLOOKUP(A4293,StoreLookup,2,FALSE)</f>
        <v>Store#3</v>
      </c>
      <c r="G4293">
        <f>INDEX(CalLookUpTable,MATCH($B4293,CalLookUpRow,0),MATCH(G$1,CalLookUpColumn,0))</f>
        <v>2019</v>
      </c>
      <c r="H4293">
        <f>INDEX(CalLookUpTable,MATCH($B4293,CalLookUpRow,0),MATCH(H$1,CalLookUpColumn,0))</f>
        <v>4</v>
      </c>
      <c r="I4293">
        <f>INDEX(CalLookUpTable,MATCH($B4293,CalLookUpRow,0),MATCH(I$1,CalLookUpColumn,0))</f>
        <v>3</v>
      </c>
    </row>
    <row r="4294" spans="1:9" x14ac:dyDescent="0.25">
      <c r="A4294" s="7">
        <v>3</v>
      </c>
      <c r="B4294" s="8">
        <v>43575</v>
      </c>
      <c r="C4294" s="9" t="s">
        <v>4</v>
      </c>
      <c r="D4294" s="10">
        <v>3960.9079999999994</v>
      </c>
      <c r="E4294" s="10">
        <v>0</v>
      </c>
      <c r="F4294" t="str">
        <f>VLOOKUP(A4294,StoreLookup,2,FALSE)</f>
        <v>Store#3</v>
      </c>
      <c r="G4294">
        <f>INDEX(CalLookUpTable,MATCH($B4294,CalLookUpRow,0),MATCH(G$1,CalLookUpColumn,0))</f>
        <v>2019</v>
      </c>
      <c r="H4294">
        <f>INDEX(CalLookUpTable,MATCH($B4294,CalLookUpRow,0),MATCH(H$1,CalLookUpColumn,0))</f>
        <v>4</v>
      </c>
      <c r="I4294">
        <f>INDEX(CalLookUpTable,MATCH($B4294,CalLookUpRow,0),MATCH(I$1,CalLookUpColumn,0))</f>
        <v>3</v>
      </c>
    </row>
    <row r="4295" spans="1:9" x14ac:dyDescent="0.25">
      <c r="A4295" s="7">
        <v>3</v>
      </c>
      <c r="B4295" s="8">
        <v>43575</v>
      </c>
      <c r="C4295" s="9" t="s">
        <v>5</v>
      </c>
      <c r="D4295" s="10">
        <v>3258.57</v>
      </c>
      <c r="E4295" s="10">
        <v>0</v>
      </c>
      <c r="F4295" t="str">
        <f>VLOOKUP(A4295,StoreLookup,2,FALSE)</f>
        <v>Store#3</v>
      </c>
      <c r="G4295">
        <f>INDEX(CalLookUpTable,MATCH($B4295,CalLookUpRow,0),MATCH(G$1,CalLookUpColumn,0))</f>
        <v>2019</v>
      </c>
      <c r="H4295">
        <f>INDEX(CalLookUpTable,MATCH($B4295,CalLookUpRow,0),MATCH(H$1,CalLookUpColumn,0))</f>
        <v>4</v>
      </c>
      <c r="I4295">
        <f>INDEX(CalLookUpTable,MATCH($B4295,CalLookUpRow,0),MATCH(I$1,CalLookUpColumn,0))</f>
        <v>3</v>
      </c>
    </row>
    <row r="4296" spans="1:9" x14ac:dyDescent="0.25">
      <c r="A4296" s="7">
        <v>3</v>
      </c>
      <c r="B4296" s="8">
        <v>43575</v>
      </c>
      <c r="C4296" s="9" t="s">
        <v>3</v>
      </c>
      <c r="D4296" s="10">
        <v>189.54599999999996</v>
      </c>
      <c r="E4296" s="10">
        <v>0</v>
      </c>
      <c r="F4296" t="str">
        <f>VLOOKUP(A4296,StoreLookup,2,FALSE)</f>
        <v>Store#3</v>
      </c>
      <c r="G4296">
        <f>INDEX(CalLookUpTable,MATCH($B4296,CalLookUpRow,0),MATCH(G$1,CalLookUpColumn,0))</f>
        <v>2019</v>
      </c>
      <c r="H4296">
        <f>INDEX(CalLookUpTable,MATCH($B4296,CalLookUpRow,0),MATCH(H$1,CalLookUpColumn,0))</f>
        <v>4</v>
      </c>
      <c r="I4296">
        <f>INDEX(CalLookUpTable,MATCH($B4296,CalLookUpRow,0),MATCH(I$1,CalLookUpColumn,0))</f>
        <v>3</v>
      </c>
    </row>
    <row r="4297" spans="1:9" x14ac:dyDescent="0.25">
      <c r="A4297" s="7">
        <v>3</v>
      </c>
      <c r="B4297" s="8">
        <v>43575</v>
      </c>
      <c r="C4297" s="9" t="s">
        <v>6</v>
      </c>
      <c r="D4297" s="10">
        <v>971.92199999999991</v>
      </c>
      <c r="E4297" s="10">
        <v>0</v>
      </c>
      <c r="F4297" t="str">
        <f>VLOOKUP(A4297,StoreLookup,2,FALSE)</f>
        <v>Store#3</v>
      </c>
      <c r="G4297">
        <f>INDEX(CalLookUpTable,MATCH($B4297,CalLookUpRow,0),MATCH(G$1,CalLookUpColumn,0))</f>
        <v>2019</v>
      </c>
      <c r="H4297">
        <f>INDEX(CalLookUpTable,MATCH($B4297,CalLookUpRow,0),MATCH(H$1,CalLookUpColumn,0))</f>
        <v>4</v>
      </c>
      <c r="I4297">
        <f>INDEX(CalLookUpTable,MATCH($B4297,CalLookUpRow,0),MATCH(I$1,CalLookUpColumn,0))</f>
        <v>3</v>
      </c>
    </row>
    <row r="4298" spans="1:9" x14ac:dyDescent="0.25">
      <c r="A4298" s="7">
        <v>3</v>
      </c>
      <c r="B4298" s="8">
        <v>43576</v>
      </c>
      <c r="C4298" s="9" t="s">
        <v>6</v>
      </c>
      <c r="D4298" s="10">
        <v>412.97899999999998</v>
      </c>
      <c r="E4298" s="10">
        <v>0</v>
      </c>
      <c r="F4298" t="str">
        <f>VLOOKUP(A4298,StoreLookup,2,FALSE)</f>
        <v>Store#3</v>
      </c>
      <c r="G4298">
        <f>INDEX(CalLookUpTable,MATCH($B4298,CalLookUpRow,0),MATCH(G$1,CalLookUpColumn,0))</f>
        <v>2019</v>
      </c>
      <c r="H4298">
        <f>INDEX(CalLookUpTable,MATCH($B4298,CalLookUpRow,0),MATCH(H$1,CalLookUpColumn,0))</f>
        <v>4</v>
      </c>
      <c r="I4298">
        <f>INDEX(CalLookUpTable,MATCH($B4298,CalLookUpRow,0),MATCH(I$1,CalLookUpColumn,0))</f>
        <v>3</v>
      </c>
    </row>
    <row r="4299" spans="1:9" x14ac:dyDescent="0.25">
      <c r="A4299" s="7">
        <v>3</v>
      </c>
      <c r="B4299" s="8">
        <v>43576</v>
      </c>
      <c r="C4299" s="9" t="s">
        <v>5</v>
      </c>
      <c r="D4299" s="10">
        <v>2411.5419999999999</v>
      </c>
      <c r="E4299" s="10">
        <v>0</v>
      </c>
      <c r="F4299" t="str">
        <f>VLOOKUP(A4299,StoreLookup,2,FALSE)</f>
        <v>Store#3</v>
      </c>
      <c r="G4299">
        <f>INDEX(CalLookUpTable,MATCH($B4299,CalLookUpRow,0),MATCH(G$1,CalLookUpColumn,0))</f>
        <v>2019</v>
      </c>
      <c r="H4299">
        <f>INDEX(CalLookUpTable,MATCH($B4299,CalLookUpRow,0),MATCH(H$1,CalLookUpColumn,0))</f>
        <v>4</v>
      </c>
      <c r="I4299">
        <f>INDEX(CalLookUpTable,MATCH($B4299,CalLookUpRow,0),MATCH(I$1,CalLookUpColumn,0))</f>
        <v>3</v>
      </c>
    </row>
    <row r="4300" spans="1:9" x14ac:dyDescent="0.25">
      <c r="A4300" s="7">
        <v>3</v>
      </c>
      <c r="B4300" s="8">
        <v>43576</v>
      </c>
      <c r="C4300" s="9" t="s">
        <v>4</v>
      </c>
      <c r="D4300" s="10">
        <v>2349.2979999999998</v>
      </c>
      <c r="E4300" s="10">
        <v>0</v>
      </c>
      <c r="F4300" t="str">
        <f>VLOOKUP(A4300,StoreLookup,2,FALSE)</f>
        <v>Store#3</v>
      </c>
      <c r="G4300">
        <f>INDEX(CalLookUpTable,MATCH($B4300,CalLookUpRow,0),MATCH(G$1,CalLookUpColumn,0))</f>
        <v>2019</v>
      </c>
      <c r="H4300">
        <f>INDEX(CalLookUpTable,MATCH($B4300,CalLookUpRow,0),MATCH(H$1,CalLookUpColumn,0))</f>
        <v>4</v>
      </c>
      <c r="I4300">
        <f>INDEX(CalLookUpTable,MATCH($B4300,CalLookUpRow,0),MATCH(I$1,CalLookUpColumn,0))</f>
        <v>3</v>
      </c>
    </row>
    <row r="4301" spans="1:9" x14ac:dyDescent="0.25">
      <c r="A4301" s="7">
        <v>3</v>
      </c>
      <c r="B4301" s="8">
        <v>43576</v>
      </c>
      <c r="C4301" s="9" t="s">
        <v>3</v>
      </c>
      <c r="D4301" s="10">
        <v>32.171999999999997</v>
      </c>
      <c r="E4301" s="10">
        <v>0</v>
      </c>
      <c r="F4301" t="str">
        <f>VLOOKUP(A4301,StoreLookup,2,FALSE)</f>
        <v>Store#3</v>
      </c>
      <c r="G4301">
        <f>INDEX(CalLookUpTable,MATCH($B4301,CalLookUpRow,0),MATCH(G$1,CalLookUpColumn,0))</f>
        <v>2019</v>
      </c>
      <c r="H4301">
        <f>INDEX(CalLookUpTable,MATCH($B4301,CalLookUpRow,0),MATCH(H$1,CalLookUpColumn,0))</f>
        <v>4</v>
      </c>
      <c r="I4301">
        <f>INDEX(CalLookUpTable,MATCH($B4301,CalLookUpRow,0),MATCH(I$1,CalLookUpColumn,0))</f>
        <v>3</v>
      </c>
    </row>
    <row r="4302" spans="1:9" x14ac:dyDescent="0.25">
      <c r="A4302" s="7">
        <v>3</v>
      </c>
      <c r="B4302" s="8">
        <v>43577</v>
      </c>
      <c r="C4302" s="9" t="s">
        <v>6</v>
      </c>
      <c r="D4302" s="10">
        <v>887.80299999999988</v>
      </c>
      <c r="E4302" s="10">
        <v>0</v>
      </c>
      <c r="F4302" t="str">
        <f>VLOOKUP(A4302,StoreLookup,2,FALSE)</f>
        <v>Store#3</v>
      </c>
      <c r="G4302">
        <f>INDEX(CalLookUpTable,MATCH($B4302,CalLookUpRow,0),MATCH(G$1,CalLookUpColumn,0))</f>
        <v>2019</v>
      </c>
      <c r="H4302">
        <f>INDEX(CalLookUpTable,MATCH($B4302,CalLookUpRow,0),MATCH(H$1,CalLookUpColumn,0))</f>
        <v>4</v>
      </c>
      <c r="I4302">
        <f>INDEX(CalLookUpTable,MATCH($B4302,CalLookUpRow,0),MATCH(I$1,CalLookUpColumn,0))</f>
        <v>4</v>
      </c>
    </row>
    <row r="4303" spans="1:9" x14ac:dyDescent="0.25">
      <c r="A4303" s="7">
        <v>3</v>
      </c>
      <c r="B4303" s="8">
        <v>43577</v>
      </c>
      <c r="C4303" s="9" t="s">
        <v>4</v>
      </c>
      <c r="D4303" s="10">
        <v>3619.9029999999998</v>
      </c>
      <c r="E4303" s="10">
        <v>0</v>
      </c>
      <c r="F4303" t="str">
        <f>VLOOKUP(A4303,StoreLookup,2,FALSE)</f>
        <v>Store#3</v>
      </c>
      <c r="G4303">
        <f>INDEX(CalLookUpTable,MATCH($B4303,CalLookUpRow,0),MATCH(G$1,CalLookUpColumn,0))</f>
        <v>2019</v>
      </c>
      <c r="H4303">
        <f>INDEX(CalLookUpTable,MATCH($B4303,CalLookUpRow,0),MATCH(H$1,CalLookUpColumn,0))</f>
        <v>4</v>
      </c>
      <c r="I4303">
        <f>INDEX(CalLookUpTable,MATCH($B4303,CalLookUpRow,0),MATCH(I$1,CalLookUpColumn,0))</f>
        <v>4</v>
      </c>
    </row>
    <row r="4304" spans="1:9" x14ac:dyDescent="0.25">
      <c r="A4304" s="7">
        <v>3</v>
      </c>
      <c r="B4304" s="8">
        <v>43577</v>
      </c>
      <c r="C4304" s="9" t="s">
        <v>3</v>
      </c>
      <c r="D4304" s="10">
        <v>346.185</v>
      </c>
      <c r="E4304" s="10">
        <v>0</v>
      </c>
      <c r="F4304" t="str">
        <f>VLOOKUP(A4304,StoreLookup,2,FALSE)</f>
        <v>Store#3</v>
      </c>
      <c r="G4304">
        <f>INDEX(CalLookUpTable,MATCH($B4304,CalLookUpRow,0),MATCH(G$1,CalLookUpColumn,0))</f>
        <v>2019</v>
      </c>
      <c r="H4304">
        <f>INDEX(CalLookUpTable,MATCH($B4304,CalLookUpRow,0),MATCH(H$1,CalLookUpColumn,0))</f>
        <v>4</v>
      </c>
      <c r="I4304">
        <f>INDEX(CalLookUpTable,MATCH($B4304,CalLookUpRow,0),MATCH(I$1,CalLookUpColumn,0))</f>
        <v>4</v>
      </c>
    </row>
    <row r="4305" spans="1:9" x14ac:dyDescent="0.25">
      <c r="A4305" s="7">
        <v>3</v>
      </c>
      <c r="B4305" s="8">
        <v>43577</v>
      </c>
      <c r="C4305" s="9" t="s">
        <v>5</v>
      </c>
      <c r="D4305" s="10">
        <v>3415.8809999999999</v>
      </c>
      <c r="E4305" s="10">
        <v>0</v>
      </c>
      <c r="F4305" t="str">
        <f>VLOOKUP(A4305,StoreLookup,2,FALSE)</f>
        <v>Store#3</v>
      </c>
      <c r="G4305">
        <f>INDEX(CalLookUpTable,MATCH($B4305,CalLookUpRow,0),MATCH(G$1,CalLookUpColumn,0))</f>
        <v>2019</v>
      </c>
      <c r="H4305">
        <f>INDEX(CalLookUpTable,MATCH($B4305,CalLookUpRow,0),MATCH(H$1,CalLookUpColumn,0))</f>
        <v>4</v>
      </c>
      <c r="I4305">
        <f>INDEX(CalLookUpTable,MATCH($B4305,CalLookUpRow,0),MATCH(I$1,CalLookUpColumn,0))</f>
        <v>4</v>
      </c>
    </row>
    <row r="4306" spans="1:9" x14ac:dyDescent="0.25">
      <c r="A4306" s="7">
        <v>3</v>
      </c>
      <c r="B4306" s="8">
        <v>43578</v>
      </c>
      <c r="C4306" s="9" t="s">
        <v>3</v>
      </c>
      <c r="D4306" s="10">
        <v>10.485999999999999</v>
      </c>
      <c r="E4306" s="10">
        <v>0</v>
      </c>
      <c r="F4306" t="str">
        <f>VLOOKUP(A4306,StoreLookup,2,FALSE)</f>
        <v>Store#3</v>
      </c>
      <c r="G4306">
        <f>INDEX(CalLookUpTable,MATCH($B4306,CalLookUpRow,0),MATCH(G$1,CalLookUpColumn,0))</f>
        <v>2019</v>
      </c>
      <c r="H4306">
        <f>INDEX(CalLookUpTable,MATCH($B4306,CalLookUpRow,0),MATCH(H$1,CalLookUpColumn,0))</f>
        <v>4</v>
      </c>
      <c r="I4306">
        <f>INDEX(CalLookUpTable,MATCH($B4306,CalLookUpRow,0),MATCH(I$1,CalLookUpColumn,0))</f>
        <v>4</v>
      </c>
    </row>
    <row r="4307" spans="1:9" x14ac:dyDescent="0.25">
      <c r="A4307" s="7">
        <v>3</v>
      </c>
      <c r="B4307" s="8">
        <v>43578</v>
      </c>
      <c r="C4307" s="9" t="s">
        <v>6</v>
      </c>
      <c r="D4307" s="10">
        <v>509.69799999999998</v>
      </c>
      <c r="E4307" s="10">
        <v>0</v>
      </c>
      <c r="F4307" t="str">
        <f>VLOOKUP(A4307,StoreLookup,2,FALSE)</f>
        <v>Store#3</v>
      </c>
      <c r="G4307">
        <f>INDEX(CalLookUpTable,MATCH($B4307,CalLookUpRow,0),MATCH(G$1,CalLookUpColumn,0))</f>
        <v>2019</v>
      </c>
      <c r="H4307">
        <f>INDEX(CalLookUpTable,MATCH($B4307,CalLookUpRow,0),MATCH(H$1,CalLookUpColumn,0))</f>
        <v>4</v>
      </c>
      <c r="I4307">
        <f>INDEX(CalLookUpTable,MATCH($B4307,CalLookUpRow,0),MATCH(I$1,CalLookUpColumn,0))</f>
        <v>4</v>
      </c>
    </row>
    <row r="4308" spans="1:9" x14ac:dyDescent="0.25">
      <c r="A4308" s="7">
        <v>3</v>
      </c>
      <c r="B4308" s="8">
        <v>43578</v>
      </c>
      <c r="C4308" s="9" t="s">
        <v>5</v>
      </c>
      <c r="D4308" s="10">
        <v>3672.4239999999995</v>
      </c>
      <c r="E4308" s="10">
        <v>0</v>
      </c>
      <c r="F4308" t="str">
        <f>VLOOKUP(A4308,StoreLookup,2,FALSE)</f>
        <v>Store#3</v>
      </c>
      <c r="G4308">
        <f>INDEX(CalLookUpTable,MATCH($B4308,CalLookUpRow,0),MATCH(G$1,CalLookUpColumn,0))</f>
        <v>2019</v>
      </c>
      <c r="H4308">
        <f>INDEX(CalLookUpTable,MATCH($B4308,CalLookUpRow,0),MATCH(H$1,CalLookUpColumn,0))</f>
        <v>4</v>
      </c>
      <c r="I4308">
        <f>INDEX(CalLookUpTable,MATCH($B4308,CalLookUpRow,0),MATCH(I$1,CalLookUpColumn,0))</f>
        <v>4</v>
      </c>
    </row>
    <row r="4309" spans="1:9" x14ac:dyDescent="0.25">
      <c r="A4309" s="7">
        <v>3</v>
      </c>
      <c r="B4309" s="8">
        <v>43578</v>
      </c>
      <c r="C4309" s="9" t="s">
        <v>4</v>
      </c>
      <c r="D4309" s="10">
        <v>3079.4329999999995</v>
      </c>
      <c r="E4309" s="10">
        <v>0</v>
      </c>
      <c r="F4309" t="str">
        <f>VLOOKUP(A4309,StoreLookup,2,FALSE)</f>
        <v>Store#3</v>
      </c>
      <c r="G4309">
        <f>INDEX(CalLookUpTable,MATCH($B4309,CalLookUpRow,0),MATCH(G$1,CalLookUpColumn,0))</f>
        <v>2019</v>
      </c>
      <c r="H4309">
        <f>INDEX(CalLookUpTable,MATCH($B4309,CalLookUpRow,0),MATCH(H$1,CalLookUpColumn,0))</f>
        <v>4</v>
      </c>
      <c r="I4309">
        <f>INDEX(CalLookUpTable,MATCH($B4309,CalLookUpRow,0),MATCH(I$1,CalLookUpColumn,0))</f>
        <v>4</v>
      </c>
    </row>
    <row r="4310" spans="1:9" x14ac:dyDescent="0.25">
      <c r="A4310" s="7">
        <v>3</v>
      </c>
      <c r="B4310" s="8">
        <v>43579</v>
      </c>
      <c r="C4310" s="9" t="s">
        <v>5</v>
      </c>
      <c r="D4310" s="10">
        <v>3577.5739999999996</v>
      </c>
      <c r="E4310" s="10">
        <v>0</v>
      </c>
      <c r="F4310" t="str">
        <f>VLOOKUP(A4310,StoreLookup,2,FALSE)</f>
        <v>Store#3</v>
      </c>
      <c r="G4310">
        <f>INDEX(CalLookUpTable,MATCH($B4310,CalLookUpRow,0),MATCH(G$1,CalLookUpColumn,0))</f>
        <v>2019</v>
      </c>
      <c r="H4310">
        <f>INDEX(CalLookUpTable,MATCH($B4310,CalLookUpRow,0),MATCH(H$1,CalLookUpColumn,0))</f>
        <v>4</v>
      </c>
      <c r="I4310">
        <f>INDEX(CalLookUpTable,MATCH($B4310,CalLookUpRow,0),MATCH(I$1,CalLookUpColumn,0))</f>
        <v>4</v>
      </c>
    </row>
    <row r="4311" spans="1:9" x14ac:dyDescent="0.25">
      <c r="A4311" s="7">
        <v>3</v>
      </c>
      <c r="B4311" s="8">
        <v>43579</v>
      </c>
      <c r="C4311" s="9" t="s">
        <v>3</v>
      </c>
      <c r="D4311" s="10">
        <v>521.19899999999996</v>
      </c>
      <c r="E4311" s="10">
        <v>0</v>
      </c>
      <c r="F4311" t="str">
        <f>VLOOKUP(A4311,StoreLookup,2,FALSE)</f>
        <v>Store#3</v>
      </c>
      <c r="G4311">
        <f>INDEX(CalLookUpTable,MATCH($B4311,CalLookUpRow,0),MATCH(G$1,CalLookUpColumn,0))</f>
        <v>2019</v>
      </c>
      <c r="H4311">
        <f>INDEX(CalLookUpTable,MATCH($B4311,CalLookUpRow,0),MATCH(H$1,CalLookUpColumn,0))</f>
        <v>4</v>
      </c>
      <c r="I4311">
        <f>INDEX(CalLookUpTable,MATCH($B4311,CalLookUpRow,0),MATCH(I$1,CalLookUpColumn,0))</f>
        <v>4</v>
      </c>
    </row>
    <row r="4312" spans="1:9" x14ac:dyDescent="0.25">
      <c r="A4312" s="7">
        <v>3</v>
      </c>
      <c r="B4312" s="8">
        <v>43579</v>
      </c>
      <c r="C4312" s="9" t="s">
        <v>4</v>
      </c>
      <c r="D4312" s="10">
        <v>3522.3369999999995</v>
      </c>
      <c r="E4312" s="10">
        <v>0</v>
      </c>
      <c r="F4312" t="str">
        <f>VLOOKUP(A4312,StoreLookup,2,FALSE)</f>
        <v>Store#3</v>
      </c>
      <c r="G4312">
        <f>INDEX(CalLookUpTable,MATCH($B4312,CalLookUpRow,0),MATCH(G$1,CalLookUpColumn,0))</f>
        <v>2019</v>
      </c>
      <c r="H4312">
        <f>INDEX(CalLookUpTable,MATCH($B4312,CalLookUpRow,0),MATCH(H$1,CalLookUpColumn,0))</f>
        <v>4</v>
      </c>
      <c r="I4312">
        <f>INDEX(CalLookUpTable,MATCH($B4312,CalLookUpRow,0),MATCH(I$1,CalLookUpColumn,0))</f>
        <v>4</v>
      </c>
    </row>
    <row r="4313" spans="1:9" x14ac:dyDescent="0.25">
      <c r="A4313" s="7">
        <v>3</v>
      </c>
      <c r="B4313" s="8">
        <v>43579</v>
      </c>
      <c r="C4313" s="9" t="s">
        <v>6</v>
      </c>
      <c r="D4313" s="10">
        <v>1010.0019999999998</v>
      </c>
      <c r="E4313" s="10">
        <v>0</v>
      </c>
      <c r="F4313" t="str">
        <f>VLOOKUP(A4313,StoreLookup,2,FALSE)</f>
        <v>Store#3</v>
      </c>
      <c r="G4313">
        <f>INDEX(CalLookUpTable,MATCH($B4313,CalLookUpRow,0),MATCH(G$1,CalLookUpColumn,0))</f>
        <v>2019</v>
      </c>
      <c r="H4313">
        <f>INDEX(CalLookUpTable,MATCH($B4313,CalLookUpRow,0),MATCH(H$1,CalLookUpColumn,0))</f>
        <v>4</v>
      </c>
      <c r="I4313">
        <f>INDEX(CalLookUpTable,MATCH($B4313,CalLookUpRow,0),MATCH(I$1,CalLookUpColumn,0))</f>
        <v>4</v>
      </c>
    </row>
    <row r="4314" spans="1:9" x14ac:dyDescent="0.25">
      <c r="A4314" s="7">
        <v>3</v>
      </c>
      <c r="B4314" s="8">
        <v>43580</v>
      </c>
      <c r="C4314" s="9" t="s">
        <v>6</v>
      </c>
      <c r="D4314" s="10">
        <v>1255.7019999999998</v>
      </c>
      <c r="E4314" s="10">
        <v>0</v>
      </c>
      <c r="F4314" t="str">
        <f>VLOOKUP(A4314,StoreLookup,2,FALSE)</f>
        <v>Store#3</v>
      </c>
      <c r="G4314">
        <f>INDEX(CalLookUpTable,MATCH($B4314,CalLookUpRow,0),MATCH(G$1,CalLookUpColumn,0))</f>
        <v>2019</v>
      </c>
      <c r="H4314">
        <f>INDEX(CalLookUpTable,MATCH($B4314,CalLookUpRow,0),MATCH(H$1,CalLookUpColumn,0))</f>
        <v>4</v>
      </c>
      <c r="I4314">
        <f>INDEX(CalLookUpTable,MATCH($B4314,CalLookUpRow,0),MATCH(I$1,CalLookUpColumn,0))</f>
        <v>4</v>
      </c>
    </row>
    <row r="4315" spans="1:9" x14ac:dyDescent="0.25">
      <c r="A4315" s="7">
        <v>3</v>
      </c>
      <c r="B4315" s="8">
        <v>43580</v>
      </c>
      <c r="C4315" s="9" t="s">
        <v>4</v>
      </c>
      <c r="D4315" s="10">
        <v>4322.857</v>
      </c>
      <c r="E4315" s="10">
        <v>0</v>
      </c>
      <c r="F4315" t="str">
        <f>VLOOKUP(A4315,StoreLookup,2,FALSE)</f>
        <v>Store#3</v>
      </c>
      <c r="G4315">
        <f>INDEX(CalLookUpTable,MATCH($B4315,CalLookUpRow,0),MATCH(G$1,CalLookUpColumn,0))</f>
        <v>2019</v>
      </c>
      <c r="H4315">
        <f>INDEX(CalLookUpTable,MATCH($B4315,CalLookUpRow,0),MATCH(H$1,CalLookUpColumn,0))</f>
        <v>4</v>
      </c>
      <c r="I4315">
        <f>INDEX(CalLookUpTable,MATCH($B4315,CalLookUpRow,0),MATCH(I$1,CalLookUpColumn,0))</f>
        <v>4</v>
      </c>
    </row>
    <row r="4316" spans="1:9" x14ac:dyDescent="0.25">
      <c r="A4316" s="7">
        <v>3</v>
      </c>
      <c r="B4316" s="8">
        <v>43580</v>
      </c>
      <c r="C4316" s="9" t="s">
        <v>3</v>
      </c>
      <c r="D4316" s="10">
        <v>13.992999999999999</v>
      </c>
      <c r="E4316" s="10">
        <v>0</v>
      </c>
      <c r="F4316" t="str">
        <f>VLOOKUP(A4316,StoreLookup,2,FALSE)</f>
        <v>Store#3</v>
      </c>
      <c r="G4316">
        <f>INDEX(CalLookUpTable,MATCH($B4316,CalLookUpRow,0),MATCH(G$1,CalLookUpColumn,0))</f>
        <v>2019</v>
      </c>
      <c r="H4316">
        <f>INDEX(CalLookUpTable,MATCH($B4316,CalLookUpRow,0),MATCH(H$1,CalLookUpColumn,0))</f>
        <v>4</v>
      </c>
      <c r="I4316">
        <f>INDEX(CalLookUpTable,MATCH($B4316,CalLookUpRow,0),MATCH(I$1,CalLookUpColumn,0))</f>
        <v>4</v>
      </c>
    </row>
    <row r="4317" spans="1:9" x14ac:dyDescent="0.25">
      <c r="A4317" s="7">
        <v>3</v>
      </c>
      <c r="B4317" s="8">
        <v>43580</v>
      </c>
      <c r="C4317" s="9" t="s">
        <v>5</v>
      </c>
      <c r="D4317" s="10">
        <v>3568.2779999999998</v>
      </c>
      <c r="E4317" s="10">
        <v>0</v>
      </c>
      <c r="F4317" t="str">
        <f>VLOOKUP(A4317,StoreLookup,2,FALSE)</f>
        <v>Store#3</v>
      </c>
      <c r="G4317">
        <f>INDEX(CalLookUpTable,MATCH($B4317,CalLookUpRow,0),MATCH(G$1,CalLookUpColumn,0))</f>
        <v>2019</v>
      </c>
      <c r="H4317">
        <f>INDEX(CalLookUpTable,MATCH($B4317,CalLookUpRow,0),MATCH(H$1,CalLookUpColumn,0))</f>
        <v>4</v>
      </c>
      <c r="I4317">
        <f>INDEX(CalLookUpTable,MATCH($B4317,CalLookUpRow,0),MATCH(I$1,CalLookUpColumn,0))</f>
        <v>4</v>
      </c>
    </row>
    <row r="4318" spans="1:9" x14ac:dyDescent="0.25">
      <c r="A4318" s="7">
        <v>3</v>
      </c>
      <c r="B4318" s="8">
        <v>43581</v>
      </c>
      <c r="C4318" s="9" t="s">
        <v>4</v>
      </c>
      <c r="D4318" s="10">
        <v>4167.8559999999998</v>
      </c>
      <c r="E4318" s="10">
        <v>0</v>
      </c>
      <c r="F4318" t="str">
        <f>VLOOKUP(A4318,StoreLookup,2,FALSE)</f>
        <v>Store#3</v>
      </c>
      <c r="G4318">
        <f>INDEX(CalLookUpTable,MATCH($B4318,CalLookUpRow,0),MATCH(G$1,CalLookUpColumn,0))</f>
        <v>2019</v>
      </c>
      <c r="H4318">
        <f>INDEX(CalLookUpTable,MATCH($B4318,CalLookUpRow,0),MATCH(H$1,CalLookUpColumn,0))</f>
        <v>4</v>
      </c>
      <c r="I4318">
        <f>INDEX(CalLookUpTable,MATCH($B4318,CalLookUpRow,0),MATCH(I$1,CalLookUpColumn,0))</f>
        <v>4</v>
      </c>
    </row>
    <row r="4319" spans="1:9" x14ac:dyDescent="0.25">
      <c r="A4319" s="7">
        <v>3</v>
      </c>
      <c r="B4319" s="8">
        <v>43581</v>
      </c>
      <c r="C4319" s="9" t="s">
        <v>6</v>
      </c>
      <c r="D4319" s="10">
        <v>1165.7449999999999</v>
      </c>
      <c r="E4319" s="10">
        <v>0</v>
      </c>
      <c r="F4319" t="str">
        <f>VLOOKUP(A4319,StoreLookup,2,FALSE)</f>
        <v>Store#3</v>
      </c>
      <c r="G4319">
        <f>INDEX(CalLookUpTable,MATCH($B4319,CalLookUpRow,0),MATCH(G$1,CalLookUpColumn,0))</f>
        <v>2019</v>
      </c>
      <c r="H4319">
        <f>INDEX(CalLookUpTable,MATCH($B4319,CalLookUpRow,0),MATCH(H$1,CalLookUpColumn,0))</f>
        <v>4</v>
      </c>
      <c r="I4319">
        <f>INDEX(CalLookUpTable,MATCH($B4319,CalLookUpRow,0),MATCH(I$1,CalLookUpColumn,0))</f>
        <v>4</v>
      </c>
    </row>
    <row r="4320" spans="1:9" x14ac:dyDescent="0.25">
      <c r="A4320" s="7">
        <v>3</v>
      </c>
      <c r="B4320" s="8">
        <v>43581</v>
      </c>
      <c r="C4320" s="9" t="s">
        <v>5</v>
      </c>
      <c r="D4320" s="10">
        <v>3755.2619999999997</v>
      </c>
      <c r="E4320" s="10">
        <v>0</v>
      </c>
      <c r="F4320" t="str">
        <f>VLOOKUP(A4320,StoreLookup,2,FALSE)</f>
        <v>Store#3</v>
      </c>
      <c r="G4320">
        <f>INDEX(CalLookUpTable,MATCH($B4320,CalLookUpRow,0),MATCH(G$1,CalLookUpColumn,0))</f>
        <v>2019</v>
      </c>
      <c r="H4320">
        <f>INDEX(CalLookUpTable,MATCH($B4320,CalLookUpRow,0),MATCH(H$1,CalLookUpColumn,0))</f>
        <v>4</v>
      </c>
      <c r="I4320">
        <f>INDEX(CalLookUpTable,MATCH($B4320,CalLookUpRow,0),MATCH(I$1,CalLookUpColumn,0))</f>
        <v>4</v>
      </c>
    </row>
    <row r="4321" spans="1:9" x14ac:dyDescent="0.25">
      <c r="A4321" s="7">
        <v>3</v>
      </c>
      <c r="B4321" s="8">
        <v>43581</v>
      </c>
      <c r="C4321" s="9" t="s">
        <v>3</v>
      </c>
      <c r="D4321" s="10">
        <v>17.268999999999998</v>
      </c>
      <c r="E4321" s="10">
        <v>0</v>
      </c>
      <c r="F4321" t="str">
        <f>VLOOKUP(A4321,StoreLookup,2,FALSE)</f>
        <v>Store#3</v>
      </c>
      <c r="G4321">
        <f>INDEX(CalLookUpTable,MATCH($B4321,CalLookUpRow,0),MATCH(G$1,CalLookUpColumn,0))</f>
        <v>2019</v>
      </c>
      <c r="H4321">
        <f>INDEX(CalLookUpTable,MATCH($B4321,CalLookUpRow,0),MATCH(H$1,CalLookUpColumn,0))</f>
        <v>4</v>
      </c>
      <c r="I4321">
        <f>INDEX(CalLookUpTable,MATCH($B4321,CalLookUpRow,0),MATCH(I$1,CalLookUpColumn,0))</f>
        <v>4</v>
      </c>
    </row>
    <row r="4322" spans="1:9" x14ac:dyDescent="0.25">
      <c r="A4322" s="7">
        <v>3</v>
      </c>
      <c r="B4322" s="8">
        <v>43582</v>
      </c>
      <c r="C4322" s="9" t="s">
        <v>4</v>
      </c>
      <c r="D4322" s="10">
        <v>4425.2809999999999</v>
      </c>
      <c r="E4322" s="10">
        <v>0</v>
      </c>
      <c r="F4322" t="str">
        <f>VLOOKUP(A4322,StoreLookup,2,FALSE)</f>
        <v>Store#3</v>
      </c>
      <c r="G4322">
        <f>INDEX(CalLookUpTable,MATCH($B4322,CalLookUpRow,0),MATCH(G$1,CalLookUpColumn,0))</f>
        <v>2019</v>
      </c>
      <c r="H4322">
        <f>INDEX(CalLookUpTable,MATCH($B4322,CalLookUpRow,0),MATCH(H$1,CalLookUpColumn,0))</f>
        <v>4</v>
      </c>
      <c r="I4322">
        <f>INDEX(CalLookUpTable,MATCH($B4322,CalLookUpRow,0),MATCH(I$1,CalLookUpColumn,0))</f>
        <v>4</v>
      </c>
    </row>
    <row r="4323" spans="1:9" x14ac:dyDescent="0.25">
      <c r="A4323" s="7">
        <v>3</v>
      </c>
      <c r="B4323" s="8">
        <v>43582</v>
      </c>
      <c r="C4323" s="9" t="s">
        <v>6</v>
      </c>
      <c r="D4323" s="10">
        <v>1038.338</v>
      </c>
      <c r="E4323" s="10">
        <v>0</v>
      </c>
      <c r="F4323" t="str">
        <f>VLOOKUP(A4323,StoreLookup,2,FALSE)</f>
        <v>Store#3</v>
      </c>
      <c r="G4323">
        <f>INDEX(CalLookUpTable,MATCH($B4323,CalLookUpRow,0),MATCH(G$1,CalLookUpColumn,0))</f>
        <v>2019</v>
      </c>
      <c r="H4323">
        <f>INDEX(CalLookUpTable,MATCH($B4323,CalLookUpRow,0),MATCH(H$1,CalLookUpColumn,0))</f>
        <v>4</v>
      </c>
      <c r="I4323">
        <f>INDEX(CalLookUpTable,MATCH($B4323,CalLookUpRow,0),MATCH(I$1,CalLookUpColumn,0))</f>
        <v>4</v>
      </c>
    </row>
    <row r="4324" spans="1:9" x14ac:dyDescent="0.25">
      <c r="A4324" s="7">
        <v>3</v>
      </c>
      <c r="B4324" s="8">
        <v>43582</v>
      </c>
      <c r="C4324" s="9" t="s">
        <v>5</v>
      </c>
      <c r="D4324" s="10">
        <v>3505.7679999999996</v>
      </c>
      <c r="E4324" s="10">
        <v>0</v>
      </c>
      <c r="F4324" t="str">
        <f>VLOOKUP(A4324,StoreLookup,2,FALSE)</f>
        <v>Store#3</v>
      </c>
      <c r="G4324">
        <f>INDEX(CalLookUpTable,MATCH($B4324,CalLookUpRow,0),MATCH(G$1,CalLookUpColumn,0))</f>
        <v>2019</v>
      </c>
      <c r="H4324">
        <f>INDEX(CalLookUpTable,MATCH($B4324,CalLookUpRow,0),MATCH(H$1,CalLookUpColumn,0))</f>
        <v>4</v>
      </c>
      <c r="I4324">
        <f>INDEX(CalLookUpTable,MATCH($B4324,CalLookUpRow,0),MATCH(I$1,CalLookUpColumn,0))</f>
        <v>4</v>
      </c>
    </row>
    <row r="4325" spans="1:9" x14ac:dyDescent="0.25">
      <c r="A4325" s="7">
        <v>3</v>
      </c>
      <c r="B4325" s="8">
        <v>43582</v>
      </c>
      <c r="C4325" s="9" t="s">
        <v>3</v>
      </c>
      <c r="D4325" s="10">
        <v>353.90599999999995</v>
      </c>
      <c r="E4325" s="10">
        <v>0</v>
      </c>
      <c r="F4325" t="str">
        <f>VLOOKUP(A4325,StoreLookup,2,FALSE)</f>
        <v>Store#3</v>
      </c>
      <c r="G4325">
        <f>INDEX(CalLookUpTable,MATCH($B4325,CalLookUpRow,0),MATCH(G$1,CalLookUpColumn,0))</f>
        <v>2019</v>
      </c>
      <c r="H4325">
        <f>INDEX(CalLookUpTable,MATCH($B4325,CalLookUpRow,0),MATCH(H$1,CalLookUpColumn,0))</f>
        <v>4</v>
      </c>
      <c r="I4325">
        <f>INDEX(CalLookUpTable,MATCH($B4325,CalLookUpRow,0),MATCH(I$1,CalLookUpColumn,0))</f>
        <v>4</v>
      </c>
    </row>
    <row r="4326" spans="1:9" x14ac:dyDescent="0.25">
      <c r="A4326" s="7">
        <v>3</v>
      </c>
      <c r="B4326" s="8">
        <v>43583</v>
      </c>
      <c r="C4326" s="9" t="s">
        <v>4</v>
      </c>
      <c r="D4326" s="10">
        <v>2448.5089999999996</v>
      </c>
      <c r="E4326" s="10">
        <v>0</v>
      </c>
      <c r="F4326" t="str">
        <f>VLOOKUP(A4326,StoreLookup,2,FALSE)</f>
        <v>Store#3</v>
      </c>
      <c r="G4326">
        <f>INDEX(CalLookUpTable,MATCH($B4326,CalLookUpRow,0),MATCH(G$1,CalLookUpColumn,0))</f>
        <v>2019</v>
      </c>
      <c r="H4326">
        <f>INDEX(CalLookUpTable,MATCH($B4326,CalLookUpRow,0),MATCH(H$1,CalLookUpColumn,0))</f>
        <v>4</v>
      </c>
      <c r="I4326">
        <f>INDEX(CalLookUpTable,MATCH($B4326,CalLookUpRow,0),MATCH(I$1,CalLookUpColumn,0))</f>
        <v>4</v>
      </c>
    </row>
    <row r="4327" spans="1:9" x14ac:dyDescent="0.25">
      <c r="A4327" s="7">
        <v>3</v>
      </c>
      <c r="B4327" s="8">
        <v>43583</v>
      </c>
      <c r="C4327" s="9" t="s">
        <v>5</v>
      </c>
      <c r="D4327" s="10">
        <v>2647.9249999999997</v>
      </c>
      <c r="E4327" s="10">
        <v>0</v>
      </c>
      <c r="F4327" t="str">
        <f>VLOOKUP(A4327,StoreLookup,2,FALSE)</f>
        <v>Store#3</v>
      </c>
      <c r="G4327">
        <f>INDEX(CalLookUpTable,MATCH($B4327,CalLookUpRow,0),MATCH(G$1,CalLookUpColumn,0))</f>
        <v>2019</v>
      </c>
      <c r="H4327">
        <f>INDEX(CalLookUpTable,MATCH($B4327,CalLookUpRow,0),MATCH(H$1,CalLookUpColumn,0))</f>
        <v>4</v>
      </c>
      <c r="I4327">
        <f>INDEX(CalLookUpTable,MATCH($B4327,CalLookUpRow,0),MATCH(I$1,CalLookUpColumn,0))</f>
        <v>4</v>
      </c>
    </row>
    <row r="4328" spans="1:9" x14ac:dyDescent="0.25">
      <c r="A4328" s="7">
        <v>3</v>
      </c>
      <c r="B4328" s="8">
        <v>43583</v>
      </c>
      <c r="C4328" s="9" t="s">
        <v>3</v>
      </c>
      <c r="D4328" s="10">
        <v>0</v>
      </c>
      <c r="E4328" s="10">
        <v>0</v>
      </c>
      <c r="F4328" t="str">
        <f>VLOOKUP(A4328,StoreLookup,2,FALSE)</f>
        <v>Store#3</v>
      </c>
      <c r="G4328">
        <f>INDEX(CalLookUpTable,MATCH($B4328,CalLookUpRow,0),MATCH(G$1,CalLookUpColumn,0))</f>
        <v>2019</v>
      </c>
      <c r="H4328">
        <f>INDEX(CalLookUpTable,MATCH($B4328,CalLookUpRow,0),MATCH(H$1,CalLookUpColumn,0))</f>
        <v>4</v>
      </c>
      <c r="I4328">
        <f>INDEX(CalLookUpTable,MATCH($B4328,CalLookUpRow,0),MATCH(I$1,CalLookUpColumn,0))</f>
        <v>4</v>
      </c>
    </row>
    <row r="4329" spans="1:9" x14ac:dyDescent="0.25">
      <c r="A4329" s="7">
        <v>3</v>
      </c>
      <c r="B4329" s="8">
        <v>43583</v>
      </c>
      <c r="C4329" s="9" t="s">
        <v>6</v>
      </c>
      <c r="D4329" s="10">
        <v>756.86799999999994</v>
      </c>
      <c r="E4329" s="10">
        <v>0</v>
      </c>
      <c r="F4329" t="str">
        <f>VLOOKUP(A4329,StoreLookup,2,FALSE)</f>
        <v>Store#3</v>
      </c>
      <c r="G4329">
        <f>INDEX(CalLookUpTable,MATCH($B4329,CalLookUpRow,0),MATCH(G$1,CalLookUpColumn,0))</f>
        <v>2019</v>
      </c>
      <c r="H4329">
        <f>INDEX(CalLookUpTable,MATCH($B4329,CalLookUpRow,0),MATCH(H$1,CalLookUpColumn,0))</f>
        <v>4</v>
      </c>
      <c r="I4329">
        <f>INDEX(CalLookUpTable,MATCH($B4329,CalLookUpRow,0),MATCH(I$1,CalLookUpColumn,0))</f>
        <v>4</v>
      </c>
    </row>
    <row r="4330" spans="1:9" x14ac:dyDescent="0.25">
      <c r="A4330" s="7">
        <v>3</v>
      </c>
      <c r="B4330" s="8">
        <v>43584</v>
      </c>
      <c r="C4330" s="9" t="s">
        <v>6</v>
      </c>
      <c r="D4330" s="10">
        <v>664.85299999999995</v>
      </c>
      <c r="E4330" s="10">
        <v>0</v>
      </c>
      <c r="F4330" t="str">
        <f>VLOOKUP(A4330,StoreLookup,2,FALSE)</f>
        <v>Store#3</v>
      </c>
      <c r="G4330">
        <f>INDEX(CalLookUpTable,MATCH($B4330,CalLookUpRow,0),MATCH(G$1,CalLookUpColumn,0))</f>
        <v>2019</v>
      </c>
      <c r="H4330">
        <f>INDEX(CalLookUpTable,MATCH($B4330,CalLookUpRow,0),MATCH(H$1,CalLookUpColumn,0))</f>
        <v>5</v>
      </c>
      <c r="I4330">
        <f>INDEX(CalLookUpTable,MATCH($B4330,CalLookUpRow,0),MATCH(I$1,CalLookUpColumn,0))</f>
        <v>1</v>
      </c>
    </row>
    <row r="4331" spans="1:9" x14ac:dyDescent="0.25">
      <c r="A4331" s="7">
        <v>3</v>
      </c>
      <c r="B4331" s="8">
        <v>43584</v>
      </c>
      <c r="C4331" s="9" t="s">
        <v>5</v>
      </c>
      <c r="D4331" s="10">
        <v>3498.4109999999996</v>
      </c>
      <c r="E4331" s="10">
        <v>0</v>
      </c>
      <c r="F4331" t="str">
        <f>VLOOKUP(A4331,StoreLookup,2,FALSE)</f>
        <v>Store#3</v>
      </c>
      <c r="G4331">
        <f>INDEX(CalLookUpTable,MATCH($B4331,CalLookUpRow,0),MATCH(G$1,CalLookUpColumn,0))</f>
        <v>2019</v>
      </c>
      <c r="H4331">
        <f>INDEX(CalLookUpTable,MATCH($B4331,CalLookUpRow,0),MATCH(H$1,CalLookUpColumn,0))</f>
        <v>5</v>
      </c>
      <c r="I4331">
        <f>INDEX(CalLookUpTable,MATCH($B4331,CalLookUpRow,0),MATCH(I$1,CalLookUpColumn,0))</f>
        <v>1</v>
      </c>
    </row>
    <row r="4332" spans="1:9" x14ac:dyDescent="0.25">
      <c r="A4332" s="7">
        <v>3</v>
      </c>
      <c r="B4332" s="8">
        <v>43584</v>
      </c>
      <c r="C4332" s="9" t="s">
        <v>4</v>
      </c>
      <c r="D4332" s="10">
        <v>3427.4450000000002</v>
      </c>
      <c r="E4332" s="10">
        <v>0</v>
      </c>
      <c r="F4332" t="str">
        <f>VLOOKUP(A4332,StoreLookup,2,FALSE)</f>
        <v>Store#3</v>
      </c>
      <c r="G4332">
        <f>INDEX(CalLookUpTable,MATCH($B4332,CalLookUpRow,0),MATCH(G$1,CalLookUpColumn,0))</f>
        <v>2019</v>
      </c>
      <c r="H4332">
        <f>INDEX(CalLookUpTable,MATCH($B4332,CalLookUpRow,0),MATCH(H$1,CalLookUpColumn,0))</f>
        <v>5</v>
      </c>
      <c r="I4332">
        <f>INDEX(CalLookUpTable,MATCH($B4332,CalLookUpRow,0),MATCH(I$1,CalLookUpColumn,0))</f>
        <v>1</v>
      </c>
    </row>
    <row r="4333" spans="1:9" x14ac:dyDescent="0.25">
      <c r="A4333" s="7">
        <v>3</v>
      </c>
      <c r="B4333" s="8">
        <v>43584</v>
      </c>
      <c r="C4333" s="9" t="s">
        <v>3</v>
      </c>
      <c r="D4333" s="10">
        <v>64.196999999999989</v>
      </c>
      <c r="E4333" s="10">
        <v>0</v>
      </c>
      <c r="F4333" t="str">
        <f>VLOOKUP(A4333,StoreLookup,2,FALSE)</f>
        <v>Store#3</v>
      </c>
      <c r="G4333">
        <f>INDEX(CalLookUpTable,MATCH($B4333,CalLookUpRow,0),MATCH(G$1,CalLookUpColumn,0))</f>
        <v>2019</v>
      </c>
      <c r="H4333">
        <f>INDEX(CalLookUpTable,MATCH($B4333,CalLookUpRow,0),MATCH(H$1,CalLookUpColumn,0))</f>
        <v>5</v>
      </c>
      <c r="I4333">
        <f>INDEX(CalLookUpTable,MATCH($B4333,CalLookUpRow,0),MATCH(I$1,CalLookUpColumn,0))</f>
        <v>1</v>
      </c>
    </row>
    <row r="4334" spans="1:9" x14ac:dyDescent="0.25">
      <c r="A4334" s="7">
        <v>3</v>
      </c>
      <c r="B4334" s="8">
        <v>43585</v>
      </c>
      <c r="C4334" s="9" t="s">
        <v>3</v>
      </c>
      <c r="D4334" s="10">
        <v>123.08799999999999</v>
      </c>
      <c r="E4334" s="10">
        <v>0</v>
      </c>
      <c r="F4334" t="str">
        <f>VLOOKUP(A4334,StoreLookup,2,FALSE)</f>
        <v>Store#3</v>
      </c>
      <c r="G4334">
        <f>INDEX(CalLookUpTable,MATCH($B4334,CalLookUpRow,0),MATCH(G$1,CalLookUpColumn,0))</f>
        <v>2019</v>
      </c>
      <c r="H4334">
        <f>INDEX(CalLookUpTable,MATCH($B4334,CalLookUpRow,0),MATCH(H$1,CalLookUpColumn,0))</f>
        <v>5</v>
      </c>
      <c r="I4334">
        <f>INDEX(CalLookUpTable,MATCH($B4334,CalLookUpRow,0),MATCH(I$1,CalLookUpColumn,0))</f>
        <v>1</v>
      </c>
    </row>
    <row r="4335" spans="1:9" x14ac:dyDescent="0.25">
      <c r="A4335" s="7">
        <v>3</v>
      </c>
      <c r="B4335" s="8">
        <v>43585</v>
      </c>
      <c r="C4335" s="9" t="s">
        <v>4</v>
      </c>
      <c r="D4335" s="10">
        <v>3560.2769999999996</v>
      </c>
      <c r="E4335" s="10">
        <v>0</v>
      </c>
      <c r="F4335" t="str">
        <f>VLOOKUP(A4335,StoreLookup,2,FALSE)</f>
        <v>Store#3</v>
      </c>
      <c r="G4335">
        <f>INDEX(CalLookUpTable,MATCH($B4335,CalLookUpRow,0),MATCH(G$1,CalLookUpColumn,0))</f>
        <v>2019</v>
      </c>
      <c r="H4335">
        <f>INDEX(CalLookUpTable,MATCH($B4335,CalLookUpRow,0),MATCH(H$1,CalLookUpColumn,0))</f>
        <v>5</v>
      </c>
      <c r="I4335">
        <f>INDEX(CalLookUpTable,MATCH($B4335,CalLookUpRow,0),MATCH(I$1,CalLookUpColumn,0))</f>
        <v>1</v>
      </c>
    </row>
    <row r="4336" spans="1:9" x14ac:dyDescent="0.25">
      <c r="A4336" s="7">
        <v>3</v>
      </c>
      <c r="B4336" s="8">
        <v>43585</v>
      </c>
      <c r="C4336" s="9" t="s">
        <v>6</v>
      </c>
      <c r="D4336" s="10">
        <v>581.65800000000002</v>
      </c>
      <c r="E4336" s="10">
        <v>0</v>
      </c>
      <c r="F4336" t="str">
        <f>VLOOKUP(A4336,StoreLookup,2,FALSE)</f>
        <v>Store#3</v>
      </c>
      <c r="G4336">
        <f>INDEX(CalLookUpTable,MATCH($B4336,CalLookUpRow,0),MATCH(G$1,CalLookUpColumn,0))</f>
        <v>2019</v>
      </c>
      <c r="H4336">
        <f>INDEX(CalLookUpTable,MATCH($B4336,CalLookUpRow,0),MATCH(H$1,CalLookUpColumn,0))</f>
        <v>5</v>
      </c>
      <c r="I4336">
        <f>INDEX(CalLookUpTable,MATCH($B4336,CalLookUpRow,0),MATCH(I$1,CalLookUpColumn,0))</f>
        <v>1</v>
      </c>
    </row>
    <row r="4337" spans="1:9" x14ac:dyDescent="0.25">
      <c r="A4337" s="7">
        <v>3</v>
      </c>
      <c r="B4337" s="8">
        <v>43585</v>
      </c>
      <c r="C4337" s="9" t="s">
        <v>5</v>
      </c>
      <c r="D4337" s="10">
        <v>3243.7510000000002</v>
      </c>
      <c r="E4337" s="10">
        <v>0</v>
      </c>
      <c r="F4337" t="str">
        <f>VLOOKUP(A4337,StoreLookup,2,FALSE)</f>
        <v>Store#3</v>
      </c>
      <c r="G4337">
        <f>INDEX(CalLookUpTable,MATCH($B4337,CalLookUpRow,0),MATCH(G$1,CalLookUpColumn,0))</f>
        <v>2019</v>
      </c>
      <c r="H4337">
        <f>INDEX(CalLookUpTable,MATCH($B4337,CalLookUpRow,0),MATCH(H$1,CalLookUpColumn,0))</f>
        <v>5</v>
      </c>
      <c r="I4337">
        <f>INDEX(CalLookUpTable,MATCH($B4337,CalLookUpRow,0),MATCH(I$1,CalLookUpColumn,0))</f>
        <v>1</v>
      </c>
    </row>
    <row r="4338" spans="1:9" x14ac:dyDescent="0.25">
      <c r="A4338" s="7">
        <v>3</v>
      </c>
      <c r="B4338" s="8">
        <v>43586</v>
      </c>
      <c r="C4338" s="9" t="s">
        <v>6</v>
      </c>
      <c r="D4338" s="10">
        <v>899.64699999999993</v>
      </c>
      <c r="E4338" s="10">
        <v>0</v>
      </c>
      <c r="F4338" t="str">
        <f>VLOOKUP(A4338,StoreLookup,2,FALSE)</f>
        <v>Store#3</v>
      </c>
      <c r="G4338">
        <f>INDEX(CalLookUpTable,MATCH($B4338,CalLookUpRow,0),MATCH(G$1,CalLookUpColumn,0))</f>
        <v>2019</v>
      </c>
      <c r="H4338">
        <f>INDEX(CalLookUpTable,MATCH($B4338,CalLookUpRow,0),MATCH(H$1,CalLookUpColumn,0))</f>
        <v>5</v>
      </c>
      <c r="I4338">
        <f>INDEX(CalLookUpTable,MATCH($B4338,CalLookUpRow,0),MATCH(I$1,CalLookUpColumn,0))</f>
        <v>1</v>
      </c>
    </row>
    <row r="4339" spans="1:9" x14ac:dyDescent="0.25">
      <c r="A4339" s="7">
        <v>3</v>
      </c>
      <c r="B4339" s="8">
        <v>43586</v>
      </c>
      <c r="C4339" s="9" t="s">
        <v>4</v>
      </c>
      <c r="D4339" s="10">
        <v>3872.6869999999994</v>
      </c>
      <c r="E4339" s="10">
        <v>0</v>
      </c>
      <c r="F4339" t="str">
        <f>VLOOKUP(A4339,StoreLookup,2,FALSE)</f>
        <v>Store#3</v>
      </c>
      <c r="G4339">
        <f>INDEX(CalLookUpTable,MATCH($B4339,CalLookUpRow,0),MATCH(G$1,CalLookUpColumn,0))</f>
        <v>2019</v>
      </c>
      <c r="H4339">
        <f>INDEX(CalLookUpTable,MATCH($B4339,CalLookUpRow,0),MATCH(H$1,CalLookUpColumn,0))</f>
        <v>5</v>
      </c>
      <c r="I4339">
        <f>INDEX(CalLookUpTable,MATCH($B4339,CalLookUpRow,0),MATCH(I$1,CalLookUpColumn,0))</f>
        <v>1</v>
      </c>
    </row>
    <row r="4340" spans="1:9" x14ac:dyDescent="0.25">
      <c r="A4340" s="7">
        <v>3</v>
      </c>
      <c r="B4340" s="8">
        <v>43586</v>
      </c>
      <c r="C4340" s="9" t="s">
        <v>5</v>
      </c>
      <c r="D4340" s="10">
        <v>3773.098</v>
      </c>
      <c r="E4340" s="10">
        <v>0</v>
      </c>
      <c r="F4340" t="str">
        <f>VLOOKUP(A4340,StoreLookup,2,FALSE)</f>
        <v>Store#3</v>
      </c>
      <c r="G4340">
        <f>INDEX(CalLookUpTable,MATCH($B4340,CalLookUpRow,0),MATCH(G$1,CalLookUpColumn,0))</f>
        <v>2019</v>
      </c>
      <c r="H4340">
        <f>INDEX(CalLookUpTable,MATCH($B4340,CalLookUpRow,0),MATCH(H$1,CalLookUpColumn,0))</f>
        <v>5</v>
      </c>
      <c r="I4340">
        <f>INDEX(CalLookUpTable,MATCH($B4340,CalLookUpRow,0),MATCH(I$1,CalLookUpColumn,0))</f>
        <v>1</v>
      </c>
    </row>
    <row r="4341" spans="1:9" x14ac:dyDescent="0.25">
      <c r="A4341" s="7">
        <v>3</v>
      </c>
      <c r="B4341" s="8">
        <v>43586</v>
      </c>
      <c r="C4341" s="9" t="s">
        <v>3</v>
      </c>
      <c r="D4341" s="10">
        <v>22.617000000000001</v>
      </c>
      <c r="E4341" s="10">
        <v>0</v>
      </c>
      <c r="F4341" t="str">
        <f>VLOOKUP(A4341,StoreLookup,2,FALSE)</f>
        <v>Store#3</v>
      </c>
      <c r="G4341">
        <f>INDEX(CalLookUpTable,MATCH($B4341,CalLookUpRow,0),MATCH(G$1,CalLookUpColumn,0))</f>
        <v>2019</v>
      </c>
      <c r="H4341">
        <f>INDEX(CalLookUpTable,MATCH($B4341,CalLookUpRow,0),MATCH(H$1,CalLookUpColumn,0))</f>
        <v>5</v>
      </c>
      <c r="I4341">
        <f>INDEX(CalLookUpTable,MATCH($B4341,CalLookUpRow,0),MATCH(I$1,CalLookUpColumn,0))</f>
        <v>1</v>
      </c>
    </row>
    <row r="4342" spans="1:9" x14ac:dyDescent="0.25">
      <c r="A4342" s="7">
        <v>3</v>
      </c>
      <c r="B4342" s="8">
        <v>43587</v>
      </c>
      <c r="C4342" s="9" t="s">
        <v>3</v>
      </c>
      <c r="D4342" s="10">
        <v>530.73300000000006</v>
      </c>
      <c r="E4342" s="10">
        <v>0</v>
      </c>
      <c r="F4342" t="str">
        <f>VLOOKUP(A4342,StoreLookup,2,FALSE)</f>
        <v>Store#3</v>
      </c>
      <c r="G4342">
        <f>INDEX(CalLookUpTable,MATCH($B4342,CalLookUpRow,0),MATCH(G$1,CalLookUpColumn,0))</f>
        <v>2019</v>
      </c>
      <c r="H4342">
        <f>INDEX(CalLookUpTable,MATCH($B4342,CalLookUpRow,0),MATCH(H$1,CalLookUpColumn,0))</f>
        <v>5</v>
      </c>
      <c r="I4342">
        <f>INDEX(CalLookUpTable,MATCH($B4342,CalLookUpRow,0),MATCH(I$1,CalLookUpColumn,0))</f>
        <v>1</v>
      </c>
    </row>
    <row r="4343" spans="1:9" x14ac:dyDescent="0.25">
      <c r="A4343" s="7">
        <v>3</v>
      </c>
      <c r="B4343" s="8">
        <v>43587</v>
      </c>
      <c r="C4343" s="9" t="s">
        <v>6</v>
      </c>
      <c r="D4343" s="10">
        <v>1289.3789999999999</v>
      </c>
      <c r="E4343" s="10">
        <v>0</v>
      </c>
      <c r="F4343" t="str">
        <f>VLOOKUP(A4343,StoreLookup,2,FALSE)</f>
        <v>Store#3</v>
      </c>
      <c r="G4343">
        <f>INDEX(CalLookUpTable,MATCH($B4343,CalLookUpRow,0),MATCH(G$1,CalLookUpColumn,0))</f>
        <v>2019</v>
      </c>
      <c r="H4343">
        <f>INDEX(CalLookUpTable,MATCH($B4343,CalLookUpRow,0),MATCH(H$1,CalLookUpColumn,0))</f>
        <v>5</v>
      </c>
      <c r="I4343">
        <f>INDEX(CalLookUpTable,MATCH($B4343,CalLookUpRow,0),MATCH(I$1,CalLookUpColumn,0))</f>
        <v>1</v>
      </c>
    </row>
    <row r="4344" spans="1:9" x14ac:dyDescent="0.25">
      <c r="A4344" s="7">
        <v>3</v>
      </c>
      <c r="B4344" s="8">
        <v>43587</v>
      </c>
      <c r="C4344" s="9" t="s">
        <v>5</v>
      </c>
      <c r="D4344" s="10">
        <v>3894.317</v>
      </c>
      <c r="E4344" s="10">
        <v>0</v>
      </c>
      <c r="F4344" t="str">
        <f>VLOOKUP(A4344,StoreLookup,2,FALSE)</f>
        <v>Store#3</v>
      </c>
      <c r="G4344">
        <f>INDEX(CalLookUpTable,MATCH($B4344,CalLookUpRow,0),MATCH(G$1,CalLookUpColumn,0))</f>
        <v>2019</v>
      </c>
      <c r="H4344">
        <f>INDEX(CalLookUpTable,MATCH($B4344,CalLookUpRow,0),MATCH(H$1,CalLookUpColumn,0))</f>
        <v>5</v>
      </c>
      <c r="I4344">
        <f>INDEX(CalLookUpTable,MATCH($B4344,CalLookUpRow,0),MATCH(I$1,CalLookUpColumn,0))</f>
        <v>1</v>
      </c>
    </row>
    <row r="4345" spans="1:9" x14ac:dyDescent="0.25">
      <c r="A4345" s="7">
        <v>3</v>
      </c>
      <c r="B4345" s="8">
        <v>43587</v>
      </c>
      <c r="C4345" s="9" t="s">
        <v>4</v>
      </c>
      <c r="D4345" s="10">
        <v>4073.951</v>
      </c>
      <c r="E4345" s="10">
        <v>0</v>
      </c>
      <c r="F4345" t="str">
        <f>VLOOKUP(A4345,StoreLookup,2,FALSE)</f>
        <v>Store#3</v>
      </c>
      <c r="G4345">
        <f>INDEX(CalLookUpTable,MATCH($B4345,CalLookUpRow,0),MATCH(G$1,CalLookUpColumn,0))</f>
        <v>2019</v>
      </c>
      <c r="H4345">
        <f>INDEX(CalLookUpTable,MATCH($B4345,CalLookUpRow,0),MATCH(H$1,CalLookUpColumn,0))</f>
        <v>5</v>
      </c>
      <c r="I4345">
        <f>INDEX(CalLookUpTable,MATCH($B4345,CalLookUpRow,0),MATCH(I$1,CalLookUpColumn,0))</f>
        <v>1</v>
      </c>
    </row>
    <row r="4346" spans="1:9" x14ac:dyDescent="0.25">
      <c r="A4346" s="7">
        <v>3</v>
      </c>
      <c r="B4346" s="8">
        <v>43588</v>
      </c>
      <c r="C4346" s="9" t="s">
        <v>6</v>
      </c>
      <c r="D4346" s="10">
        <v>1295.2379999999998</v>
      </c>
      <c r="E4346" s="10">
        <v>0</v>
      </c>
      <c r="F4346" t="str">
        <f>VLOOKUP(A4346,StoreLookup,2,FALSE)</f>
        <v>Store#3</v>
      </c>
      <c r="G4346">
        <f>INDEX(CalLookUpTable,MATCH($B4346,CalLookUpRow,0),MATCH(G$1,CalLookUpColumn,0))</f>
        <v>2019</v>
      </c>
      <c r="H4346">
        <f>INDEX(CalLookUpTable,MATCH($B4346,CalLookUpRow,0),MATCH(H$1,CalLookUpColumn,0))</f>
        <v>5</v>
      </c>
      <c r="I4346">
        <f>INDEX(CalLookUpTable,MATCH($B4346,CalLookUpRow,0),MATCH(I$1,CalLookUpColumn,0))</f>
        <v>1</v>
      </c>
    </row>
    <row r="4347" spans="1:9" x14ac:dyDescent="0.25">
      <c r="A4347" s="7">
        <v>3</v>
      </c>
      <c r="B4347" s="8">
        <v>43588</v>
      </c>
      <c r="C4347" s="9" t="s">
        <v>4</v>
      </c>
      <c r="D4347" s="10">
        <v>3961.3980000000001</v>
      </c>
      <c r="E4347" s="10">
        <v>0</v>
      </c>
      <c r="F4347" t="str">
        <f>VLOOKUP(A4347,StoreLookup,2,FALSE)</f>
        <v>Store#3</v>
      </c>
      <c r="G4347">
        <f>INDEX(CalLookUpTable,MATCH($B4347,CalLookUpRow,0),MATCH(G$1,CalLookUpColumn,0))</f>
        <v>2019</v>
      </c>
      <c r="H4347">
        <f>INDEX(CalLookUpTable,MATCH($B4347,CalLookUpRow,0),MATCH(H$1,CalLookUpColumn,0))</f>
        <v>5</v>
      </c>
      <c r="I4347">
        <f>INDEX(CalLookUpTable,MATCH($B4347,CalLookUpRow,0),MATCH(I$1,CalLookUpColumn,0))</f>
        <v>1</v>
      </c>
    </row>
    <row r="4348" spans="1:9" x14ac:dyDescent="0.25">
      <c r="A4348" s="7">
        <v>3</v>
      </c>
      <c r="B4348" s="8">
        <v>43588</v>
      </c>
      <c r="C4348" s="9" t="s">
        <v>3</v>
      </c>
      <c r="D4348" s="10">
        <v>383.95</v>
      </c>
      <c r="E4348" s="10">
        <v>0</v>
      </c>
      <c r="F4348" t="str">
        <f>VLOOKUP(A4348,StoreLookup,2,FALSE)</f>
        <v>Store#3</v>
      </c>
      <c r="G4348">
        <f>INDEX(CalLookUpTable,MATCH($B4348,CalLookUpRow,0),MATCH(G$1,CalLookUpColumn,0))</f>
        <v>2019</v>
      </c>
      <c r="H4348">
        <f>INDEX(CalLookUpTable,MATCH($B4348,CalLookUpRow,0),MATCH(H$1,CalLookUpColumn,0))</f>
        <v>5</v>
      </c>
      <c r="I4348">
        <f>INDEX(CalLookUpTable,MATCH($B4348,CalLookUpRow,0),MATCH(I$1,CalLookUpColumn,0))</f>
        <v>1</v>
      </c>
    </row>
    <row r="4349" spans="1:9" x14ac:dyDescent="0.25">
      <c r="A4349" s="7">
        <v>3</v>
      </c>
      <c r="B4349" s="8">
        <v>43588</v>
      </c>
      <c r="C4349" s="9" t="s">
        <v>5</v>
      </c>
      <c r="D4349" s="10">
        <v>3621.1769999999997</v>
      </c>
      <c r="E4349" s="10">
        <v>0</v>
      </c>
      <c r="F4349" t="str">
        <f>VLOOKUP(A4349,StoreLookup,2,FALSE)</f>
        <v>Store#3</v>
      </c>
      <c r="G4349">
        <f>INDEX(CalLookUpTable,MATCH($B4349,CalLookUpRow,0),MATCH(G$1,CalLookUpColumn,0))</f>
        <v>2019</v>
      </c>
      <c r="H4349">
        <f>INDEX(CalLookUpTable,MATCH($B4349,CalLookUpRow,0),MATCH(H$1,CalLookUpColumn,0))</f>
        <v>5</v>
      </c>
      <c r="I4349">
        <f>INDEX(CalLookUpTable,MATCH($B4349,CalLookUpRow,0),MATCH(I$1,CalLookUpColumn,0))</f>
        <v>1</v>
      </c>
    </row>
    <row r="4350" spans="1:9" x14ac:dyDescent="0.25">
      <c r="A4350" s="7">
        <v>3</v>
      </c>
      <c r="B4350" s="8">
        <v>43589</v>
      </c>
      <c r="C4350" s="9" t="s">
        <v>4</v>
      </c>
      <c r="D4350" s="10">
        <v>3556.4619999999995</v>
      </c>
      <c r="E4350" s="10">
        <v>0</v>
      </c>
      <c r="F4350" t="str">
        <f>VLOOKUP(A4350,StoreLookup,2,FALSE)</f>
        <v>Store#3</v>
      </c>
      <c r="G4350">
        <f>INDEX(CalLookUpTable,MATCH($B4350,CalLookUpRow,0),MATCH(G$1,CalLookUpColumn,0))</f>
        <v>2019</v>
      </c>
      <c r="H4350">
        <f>INDEX(CalLookUpTable,MATCH($B4350,CalLookUpRow,0),MATCH(H$1,CalLookUpColumn,0))</f>
        <v>5</v>
      </c>
      <c r="I4350">
        <f>INDEX(CalLookUpTable,MATCH($B4350,CalLookUpRow,0),MATCH(I$1,CalLookUpColumn,0))</f>
        <v>1</v>
      </c>
    </row>
    <row r="4351" spans="1:9" x14ac:dyDescent="0.25">
      <c r="A4351" s="7">
        <v>3</v>
      </c>
      <c r="B4351" s="8">
        <v>43589</v>
      </c>
      <c r="C4351" s="9" t="s">
        <v>3</v>
      </c>
      <c r="D4351" s="10">
        <v>2072.1820000000002</v>
      </c>
      <c r="E4351" s="10">
        <v>0</v>
      </c>
      <c r="F4351" t="str">
        <f>VLOOKUP(A4351,StoreLookup,2,FALSE)</f>
        <v>Store#3</v>
      </c>
      <c r="G4351">
        <f>INDEX(CalLookUpTable,MATCH($B4351,CalLookUpRow,0),MATCH(G$1,CalLookUpColumn,0))</f>
        <v>2019</v>
      </c>
      <c r="H4351">
        <f>INDEX(CalLookUpTable,MATCH($B4351,CalLookUpRow,0),MATCH(H$1,CalLookUpColumn,0))</f>
        <v>5</v>
      </c>
      <c r="I4351">
        <f>INDEX(CalLookUpTable,MATCH($B4351,CalLookUpRow,0),MATCH(I$1,CalLookUpColumn,0))</f>
        <v>1</v>
      </c>
    </row>
    <row r="4352" spans="1:9" x14ac:dyDescent="0.25">
      <c r="A4352" s="7">
        <v>3</v>
      </c>
      <c r="B4352" s="8">
        <v>43589</v>
      </c>
      <c r="C4352" s="9" t="s">
        <v>5</v>
      </c>
      <c r="D4352" s="10">
        <v>3542.3849999999998</v>
      </c>
      <c r="E4352" s="10">
        <v>0</v>
      </c>
      <c r="F4352" t="str">
        <f>VLOOKUP(A4352,StoreLookup,2,FALSE)</f>
        <v>Store#3</v>
      </c>
      <c r="G4352">
        <f>INDEX(CalLookUpTable,MATCH($B4352,CalLookUpRow,0),MATCH(G$1,CalLookUpColumn,0))</f>
        <v>2019</v>
      </c>
      <c r="H4352">
        <f>INDEX(CalLookUpTable,MATCH($B4352,CalLookUpRow,0),MATCH(H$1,CalLookUpColumn,0))</f>
        <v>5</v>
      </c>
      <c r="I4352">
        <f>INDEX(CalLookUpTable,MATCH($B4352,CalLookUpRow,0),MATCH(I$1,CalLookUpColumn,0))</f>
        <v>1</v>
      </c>
    </row>
    <row r="4353" spans="1:9" x14ac:dyDescent="0.25">
      <c r="A4353" s="7">
        <v>3</v>
      </c>
      <c r="B4353" s="8">
        <v>43589</v>
      </c>
      <c r="C4353" s="9" t="s">
        <v>6</v>
      </c>
      <c r="D4353" s="10">
        <v>740.03300000000002</v>
      </c>
      <c r="E4353" s="10">
        <v>0</v>
      </c>
      <c r="F4353" t="str">
        <f>VLOOKUP(A4353,StoreLookup,2,FALSE)</f>
        <v>Store#3</v>
      </c>
      <c r="G4353">
        <f>INDEX(CalLookUpTable,MATCH($B4353,CalLookUpRow,0),MATCH(G$1,CalLookUpColumn,0))</f>
        <v>2019</v>
      </c>
      <c r="H4353">
        <f>INDEX(CalLookUpTable,MATCH($B4353,CalLookUpRow,0),MATCH(H$1,CalLookUpColumn,0))</f>
        <v>5</v>
      </c>
      <c r="I4353">
        <f>INDEX(CalLookUpTable,MATCH($B4353,CalLookUpRow,0),MATCH(I$1,CalLookUpColumn,0))</f>
        <v>1</v>
      </c>
    </row>
    <row r="4354" spans="1:9" x14ac:dyDescent="0.25">
      <c r="A4354" s="7">
        <v>3</v>
      </c>
      <c r="B4354" s="8">
        <v>43590</v>
      </c>
      <c r="C4354" s="9" t="s">
        <v>4</v>
      </c>
      <c r="D4354" s="10">
        <v>3771.817</v>
      </c>
      <c r="E4354" s="10">
        <v>0</v>
      </c>
      <c r="F4354" t="str">
        <f>VLOOKUP(A4354,StoreLookup,2,FALSE)</f>
        <v>Store#3</v>
      </c>
      <c r="G4354">
        <f>INDEX(CalLookUpTable,MATCH($B4354,CalLookUpRow,0),MATCH(G$1,CalLookUpColumn,0))</f>
        <v>2019</v>
      </c>
      <c r="H4354">
        <f>INDEX(CalLookUpTable,MATCH($B4354,CalLookUpRow,0),MATCH(H$1,CalLookUpColumn,0))</f>
        <v>5</v>
      </c>
      <c r="I4354">
        <f>INDEX(CalLookUpTable,MATCH($B4354,CalLookUpRow,0),MATCH(I$1,CalLookUpColumn,0))</f>
        <v>1</v>
      </c>
    </row>
    <row r="4355" spans="1:9" x14ac:dyDescent="0.25">
      <c r="A4355" s="7">
        <v>3</v>
      </c>
      <c r="B4355" s="8">
        <v>43590</v>
      </c>
      <c r="C4355" s="9" t="s">
        <v>3</v>
      </c>
      <c r="D4355" s="10">
        <v>1079.491</v>
      </c>
      <c r="E4355" s="10">
        <v>0</v>
      </c>
      <c r="F4355" t="str">
        <f>VLOOKUP(A4355,StoreLookup,2,FALSE)</f>
        <v>Store#3</v>
      </c>
      <c r="G4355">
        <f>INDEX(CalLookUpTable,MATCH($B4355,CalLookUpRow,0),MATCH(G$1,CalLookUpColumn,0))</f>
        <v>2019</v>
      </c>
      <c r="H4355">
        <f>INDEX(CalLookUpTable,MATCH($B4355,CalLookUpRow,0),MATCH(H$1,CalLookUpColumn,0))</f>
        <v>5</v>
      </c>
      <c r="I4355">
        <f>INDEX(CalLookUpTable,MATCH($B4355,CalLookUpRow,0),MATCH(I$1,CalLookUpColumn,0))</f>
        <v>1</v>
      </c>
    </row>
    <row r="4356" spans="1:9" x14ac:dyDescent="0.25">
      <c r="A4356" s="7">
        <v>3</v>
      </c>
      <c r="B4356" s="8">
        <v>43590</v>
      </c>
      <c r="C4356" s="9" t="s">
        <v>5</v>
      </c>
      <c r="D4356" s="10">
        <v>2985.6119999999996</v>
      </c>
      <c r="E4356" s="10">
        <v>0</v>
      </c>
      <c r="F4356" t="str">
        <f>VLOOKUP(A4356,StoreLookup,2,FALSE)</f>
        <v>Store#3</v>
      </c>
      <c r="G4356">
        <f>INDEX(CalLookUpTable,MATCH($B4356,CalLookUpRow,0),MATCH(G$1,CalLookUpColumn,0))</f>
        <v>2019</v>
      </c>
      <c r="H4356">
        <f>INDEX(CalLookUpTable,MATCH($B4356,CalLookUpRow,0),MATCH(H$1,CalLookUpColumn,0))</f>
        <v>5</v>
      </c>
      <c r="I4356">
        <f>INDEX(CalLookUpTable,MATCH($B4356,CalLookUpRow,0),MATCH(I$1,CalLookUpColumn,0))</f>
        <v>1</v>
      </c>
    </row>
    <row r="4357" spans="1:9" x14ac:dyDescent="0.25">
      <c r="A4357" s="7">
        <v>3</v>
      </c>
      <c r="B4357" s="8">
        <v>43590</v>
      </c>
      <c r="C4357" s="9" t="s">
        <v>6</v>
      </c>
      <c r="D4357" s="10">
        <v>779.93999999999994</v>
      </c>
      <c r="E4357" s="10">
        <v>0</v>
      </c>
      <c r="F4357" t="str">
        <f>VLOOKUP(A4357,StoreLookup,2,FALSE)</f>
        <v>Store#3</v>
      </c>
      <c r="G4357">
        <f>INDEX(CalLookUpTable,MATCH($B4357,CalLookUpRow,0),MATCH(G$1,CalLookUpColumn,0))</f>
        <v>2019</v>
      </c>
      <c r="H4357">
        <f>INDEX(CalLookUpTable,MATCH($B4357,CalLookUpRow,0),MATCH(H$1,CalLookUpColumn,0))</f>
        <v>5</v>
      </c>
      <c r="I4357">
        <f>INDEX(CalLookUpTable,MATCH($B4357,CalLookUpRow,0),MATCH(I$1,CalLookUpColumn,0))</f>
        <v>1</v>
      </c>
    </row>
    <row r="4358" spans="1:9" x14ac:dyDescent="0.25">
      <c r="A4358" s="7">
        <v>3</v>
      </c>
      <c r="B4358" s="8">
        <v>43591</v>
      </c>
      <c r="C4358" s="9" t="s">
        <v>4</v>
      </c>
      <c r="D4358" s="10">
        <v>2881.6969999999997</v>
      </c>
      <c r="E4358" s="10">
        <v>0</v>
      </c>
      <c r="F4358" t="str">
        <f>VLOOKUP(A4358,StoreLookup,2,FALSE)</f>
        <v>Store#3</v>
      </c>
      <c r="G4358">
        <f>INDEX(CalLookUpTable,MATCH($B4358,CalLookUpRow,0),MATCH(G$1,CalLookUpColumn,0))</f>
        <v>2019</v>
      </c>
      <c r="H4358">
        <f>INDEX(CalLookUpTable,MATCH($B4358,CalLookUpRow,0),MATCH(H$1,CalLookUpColumn,0))</f>
        <v>5</v>
      </c>
      <c r="I4358">
        <f>INDEX(CalLookUpTable,MATCH($B4358,CalLookUpRow,0),MATCH(I$1,CalLookUpColumn,0))</f>
        <v>2</v>
      </c>
    </row>
    <row r="4359" spans="1:9" x14ac:dyDescent="0.25">
      <c r="A4359" s="7">
        <v>3</v>
      </c>
      <c r="B4359" s="8">
        <v>43591</v>
      </c>
      <c r="C4359" s="9" t="s">
        <v>5</v>
      </c>
      <c r="D4359" s="10">
        <v>2580.2350000000001</v>
      </c>
      <c r="E4359" s="10">
        <v>0</v>
      </c>
      <c r="F4359" t="str">
        <f>VLOOKUP(A4359,StoreLookup,2,FALSE)</f>
        <v>Store#3</v>
      </c>
      <c r="G4359">
        <f>INDEX(CalLookUpTable,MATCH($B4359,CalLookUpRow,0),MATCH(G$1,CalLookUpColumn,0))</f>
        <v>2019</v>
      </c>
      <c r="H4359">
        <f>INDEX(CalLookUpTable,MATCH($B4359,CalLookUpRow,0),MATCH(H$1,CalLookUpColumn,0))</f>
        <v>5</v>
      </c>
      <c r="I4359">
        <f>INDEX(CalLookUpTable,MATCH($B4359,CalLookUpRow,0),MATCH(I$1,CalLookUpColumn,0))</f>
        <v>2</v>
      </c>
    </row>
    <row r="4360" spans="1:9" x14ac:dyDescent="0.25">
      <c r="A4360" s="7">
        <v>3</v>
      </c>
      <c r="B4360" s="8">
        <v>43591</v>
      </c>
      <c r="C4360" s="9" t="s">
        <v>3</v>
      </c>
      <c r="D4360" s="10">
        <v>0</v>
      </c>
      <c r="E4360" s="10">
        <v>0</v>
      </c>
      <c r="F4360" t="str">
        <f>VLOOKUP(A4360,StoreLookup,2,FALSE)</f>
        <v>Store#3</v>
      </c>
      <c r="G4360">
        <f>INDEX(CalLookUpTable,MATCH($B4360,CalLookUpRow,0),MATCH(G$1,CalLookUpColumn,0))</f>
        <v>2019</v>
      </c>
      <c r="H4360">
        <f>INDEX(CalLookUpTable,MATCH($B4360,CalLookUpRow,0),MATCH(H$1,CalLookUpColumn,0))</f>
        <v>5</v>
      </c>
      <c r="I4360">
        <f>INDEX(CalLookUpTable,MATCH($B4360,CalLookUpRow,0),MATCH(I$1,CalLookUpColumn,0))</f>
        <v>2</v>
      </c>
    </row>
    <row r="4361" spans="1:9" x14ac:dyDescent="0.25">
      <c r="A4361" s="7">
        <v>3</v>
      </c>
      <c r="B4361" s="8">
        <v>43591</v>
      </c>
      <c r="C4361" s="9" t="s">
        <v>6</v>
      </c>
      <c r="D4361" s="10">
        <v>661.78699999999992</v>
      </c>
      <c r="E4361" s="10">
        <v>0</v>
      </c>
      <c r="F4361" t="str">
        <f>VLOOKUP(A4361,StoreLookup,2,FALSE)</f>
        <v>Store#3</v>
      </c>
      <c r="G4361">
        <f>INDEX(CalLookUpTable,MATCH($B4361,CalLookUpRow,0),MATCH(G$1,CalLookUpColumn,0))</f>
        <v>2019</v>
      </c>
      <c r="H4361">
        <f>INDEX(CalLookUpTable,MATCH($B4361,CalLookUpRow,0),MATCH(H$1,CalLookUpColumn,0))</f>
        <v>5</v>
      </c>
      <c r="I4361">
        <f>INDEX(CalLookUpTable,MATCH($B4361,CalLookUpRow,0),MATCH(I$1,CalLookUpColumn,0))</f>
        <v>2</v>
      </c>
    </row>
    <row r="4362" spans="1:9" x14ac:dyDescent="0.25">
      <c r="A4362" s="7">
        <v>3</v>
      </c>
      <c r="B4362" s="8">
        <v>43592</v>
      </c>
      <c r="C4362" s="9" t="s">
        <v>4</v>
      </c>
      <c r="D4362" s="10">
        <v>2476.7049999999999</v>
      </c>
      <c r="E4362" s="10">
        <v>0</v>
      </c>
      <c r="F4362" t="str">
        <f>VLOOKUP(A4362,StoreLookup,2,FALSE)</f>
        <v>Store#3</v>
      </c>
      <c r="G4362">
        <f>INDEX(CalLookUpTable,MATCH($B4362,CalLookUpRow,0),MATCH(G$1,CalLookUpColumn,0))</f>
        <v>2019</v>
      </c>
      <c r="H4362">
        <f>INDEX(CalLookUpTable,MATCH($B4362,CalLookUpRow,0),MATCH(H$1,CalLookUpColumn,0))</f>
        <v>5</v>
      </c>
      <c r="I4362">
        <f>INDEX(CalLookUpTable,MATCH($B4362,CalLookUpRow,0),MATCH(I$1,CalLookUpColumn,0))</f>
        <v>2</v>
      </c>
    </row>
    <row r="4363" spans="1:9" x14ac:dyDescent="0.25">
      <c r="A4363" s="7">
        <v>3</v>
      </c>
      <c r="B4363" s="8">
        <v>43592</v>
      </c>
      <c r="C4363" s="9" t="s">
        <v>3</v>
      </c>
      <c r="D4363" s="10">
        <v>0</v>
      </c>
      <c r="E4363" s="10">
        <v>0</v>
      </c>
      <c r="F4363" t="str">
        <f>VLOOKUP(A4363,StoreLookup,2,FALSE)</f>
        <v>Store#3</v>
      </c>
      <c r="G4363">
        <f>INDEX(CalLookUpTable,MATCH($B4363,CalLookUpRow,0),MATCH(G$1,CalLookUpColumn,0))</f>
        <v>2019</v>
      </c>
      <c r="H4363">
        <f>INDEX(CalLookUpTable,MATCH($B4363,CalLookUpRow,0),MATCH(H$1,CalLookUpColumn,0))</f>
        <v>5</v>
      </c>
      <c r="I4363">
        <f>INDEX(CalLookUpTable,MATCH($B4363,CalLookUpRow,0),MATCH(I$1,CalLookUpColumn,0))</f>
        <v>2</v>
      </c>
    </row>
    <row r="4364" spans="1:9" x14ac:dyDescent="0.25">
      <c r="A4364" s="7">
        <v>3</v>
      </c>
      <c r="B4364" s="8">
        <v>43592</v>
      </c>
      <c r="C4364" s="9" t="s">
        <v>5</v>
      </c>
      <c r="D4364" s="10">
        <v>3323.9569999999999</v>
      </c>
      <c r="E4364" s="10">
        <v>0</v>
      </c>
      <c r="F4364" t="str">
        <f>VLOOKUP(A4364,StoreLookup,2,FALSE)</f>
        <v>Store#3</v>
      </c>
      <c r="G4364">
        <f>INDEX(CalLookUpTable,MATCH($B4364,CalLookUpRow,0),MATCH(G$1,CalLookUpColumn,0))</f>
        <v>2019</v>
      </c>
      <c r="H4364">
        <f>INDEX(CalLookUpTable,MATCH($B4364,CalLookUpRow,0),MATCH(H$1,CalLookUpColumn,0))</f>
        <v>5</v>
      </c>
      <c r="I4364">
        <f>INDEX(CalLookUpTable,MATCH($B4364,CalLookUpRow,0),MATCH(I$1,CalLookUpColumn,0))</f>
        <v>2</v>
      </c>
    </row>
    <row r="4365" spans="1:9" x14ac:dyDescent="0.25">
      <c r="A4365" s="7">
        <v>3</v>
      </c>
      <c r="B4365" s="8">
        <v>43592</v>
      </c>
      <c r="C4365" s="9" t="s">
        <v>6</v>
      </c>
      <c r="D4365" s="10">
        <v>783.09</v>
      </c>
      <c r="E4365" s="10">
        <v>0</v>
      </c>
      <c r="F4365" t="str">
        <f>VLOOKUP(A4365,StoreLookup,2,FALSE)</f>
        <v>Store#3</v>
      </c>
      <c r="G4365">
        <f>INDEX(CalLookUpTable,MATCH($B4365,CalLookUpRow,0),MATCH(G$1,CalLookUpColumn,0))</f>
        <v>2019</v>
      </c>
      <c r="H4365">
        <f>INDEX(CalLookUpTable,MATCH($B4365,CalLookUpRow,0),MATCH(H$1,CalLookUpColumn,0))</f>
        <v>5</v>
      </c>
      <c r="I4365">
        <f>INDEX(CalLookUpTable,MATCH($B4365,CalLookUpRow,0),MATCH(I$1,CalLookUpColumn,0))</f>
        <v>2</v>
      </c>
    </row>
    <row r="4366" spans="1:9" x14ac:dyDescent="0.25">
      <c r="A4366" s="7">
        <v>3</v>
      </c>
      <c r="B4366" s="8">
        <v>43593</v>
      </c>
      <c r="C4366" s="9" t="s">
        <v>5</v>
      </c>
      <c r="D4366" s="10">
        <v>3472.9380000000001</v>
      </c>
      <c r="E4366" s="10">
        <v>0</v>
      </c>
      <c r="F4366" t="str">
        <f>VLOOKUP(A4366,StoreLookup,2,FALSE)</f>
        <v>Store#3</v>
      </c>
      <c r="G4366">
        <f>INDEX(CalLookUpTable,MATCH($B4366,CalLookUpRow,0),MATCH(G$1,CalLookUpColumn,0))</f>
        <v>2019</v>
      </c>
      <c r="H4366">
        <f>INDEX(CalLookUpTable,MATCH($B4366,CalLookUpRow,0),MATCH(H$1,CalLookUpColumn,0))</f>
        <v>5</v>
      </c>
      <c r="I4366">
        <f>INDEX(CalLookUpTable,MATCH($B4366,CalLookUpRow,0),MATCH(I$1,CalLookUpColumn,0))</f>
        <v>2</v>
      </c>
    </row>
    <row r="4367" spans="1:9" x14ac:dyDescent="0.25">
      <c r="A4367" s="7">
        <v>3</v>
      </c>
      <c r="B4367" s="8">
        <v>43593</v>
      </c>
      <c r="C4367" s="9" t="s">
        <v>6</v>
      </c>
      <c r="D4367" s="10">
        <v>1079.008</v>
      </c>
      <c r="E4367" s="10">
        <v>0</v>
      </c>
      <c r="F4367" t="str">
        <f>VLOOKUP(A4367,StoreLookup,2,FALSE)</f>
        <v>Store#3</v>
      </c>
      <c r="G4367">
        <f>INDEX(CalLookUpTable,MATCH($B4367,CalLookUpRow,0),MATCH(G$1,CalLookUpColumn,0))</f>
        <v>2019</v>
      </c>
      <c r="H4367">
        <f>INDEX(CalLookUpTable,MATCH($B4367,CalLookUpRow,0),MATCH(H$1,CalLookUpColumn,0))</f>
        <v>5</v>
      </c>
      <c r="I4367">
        <f>INDEX(CalLookUpTable,MATCH($B4367,CalLookUpRow,0),MATCH(I$1,CalLookUpColumn,0))</f>
        <v>2</v>
      </c>
    </row>
    <row r="4368" spans="1:9" x14ac:dyDescent="0.25">
      <c r="A4368" s="7">
        <v>3</v>
      </c>
      <c r="B4368" s="8">
        <v>43593</v>
      </c>
      <c r="C4368" s="9" t="s">
        <v>4</v>
      </c>
      <c r="D4368" s="10">
        <v>3007.7040000000002</v>
      </c>
      <c r="E4368" s="10">
        <v>0</v>
      </c>
      <c r="F4368" t="str">
        <f>VLOOKUP(A4368,StoreLookup,2,FALSE)</f>
        <v>Store#3</v>
      </c>
      <c r="G4368">
        <f>INDEX(CalLookUpTable,MATCH($B4368,CalLookUpRow,0),MATCH(G$1,CalLookUpColumn,0))</f>
        <v>2019</v>
      </c>
      <c r="H4368">
        <f>INDEX(CalLookUpTable,MATCH($B4368,CalLookUpRow,0),MATCH(H$1,CalLookUpColumn,0))</f>
        <v>5</v>
      </c>
      <c r="I4368">
        <f>INDEX(CalLookUpTable,MATCH($B4368,CalLookUpRow,0),MATCH(I$1,CalLookUpColumn,0))</f>
        <v>2</v>
      </c>
    </row>
    <row r="4369" spans="1:9" x14ac:dyDescent="0.25">
      <c r="A4369" s="7">
        <v>3</v>
      </c>
      <c r="B4369" s="8">
        <v>43593</v>
      </c>
      <c r="C4369" s="9" t="s">
        <v>3</v>
      </c>
      <c r="D4369" s="10">
        <v>0</v>
      </c>
      <c r="E4369" s="10">
        <v>0</v>
      </c>
      <c r="F4369" t="str">
        <f>VLOOKUP(A4369,StoreLookup,2,FALSE)</f>
        <v>Store#3</v>
      </c>
      <c r="G4369">
        <f>INDEX(CalLookUpTable,MATCH($B4369,CalLookUpRow,0),MATCH(G$1,CalLookUpColumn,0))</f>
        <v>2019</v>
      </c>
      <c r="H4369">
        <f>INDEX(CalLookUpTable,MATCH($B4369,CalLookUpRow,0),MATCH(H$1,CalLookUpColumn,0))</f>
        <v>5</v>
      </c>
      <c r="I4369">
        <f>INDEX(CalLookUpTable,MATCH($B4369,CalLookUpRow,0),MATCH(I$1,CalLookUpColumn,0))</f>
        <v>2</v>
      </c>
    </row>
    <row r="4370" spans="1:9" x14ac:dyDescent="0.25">
      <c r="A4370" s="7">
        <v>3</v>
      </c>
      <c r="B4370" s="8">
        <v>43594</v>
      </c>
      <c r="C4370" s="9" t="s">
        <v>6</v>
      </c>
      <c r="D4370" s="10">
        <v>918.87599999999998</v>
      </c>
      <c r="E4370" s="10">
        <v>0</v>
      </c>
      <c r="F4370" t="str">
        <f>VLOOKUP(A4370,StoreLookup,2,FALSE)</f>
        <v>Store#3</v>
      </c>
      <c r="G4370">
        <f>INDEX(CalLookUpTable,MATCH($B4370,CalLookUpRow,0),MATCH(G$1,CalLookUpColumn,0))</f>
        <v>2019</v>
      </c>
      <c r="H4370">
        <f>INDEX(CalLookUpTable,MATCH($B4370,CalLookUpRow,0),MATCH(H$1,CalLookUpColumn,0))</f>
        <v>5</v>
      </c>
      <c r="I4370">
        <f>INDEX(CalLookUpTable,MATCH($B4370,CalLookUpRow,0),MATCH(I$1,CalLookUpColumn,0))</f>
        <v>2</v>
      </c>
    </row>
    <row r="4371" spans="1:9" x14ac:dyDescent="0.25">
      <c r="A4371" s="7">
        <v>3</v>
      </c>
      <c r="B4371" s="8">
        <v>43594</v>
      </c>
      <c r="C4371" s="9" t="s">
        <v>4</v>
      </c>
      <c r="D4371" s="10">
        <v>3651.1369999999997</v>
      </c>
      <c r="E4371" s="10">
        <v>0</v>
      </c>
      <c r="F4371" t="str">
        <f>VLOOKUP(A4371,StoreLookup,2,FALSE)</f>
        <v>Store#3</v>
      </c>
      <c r="G4371">
        <f>INDEX(CalLookUpTable,MATCH($B4371,CalLookUpRow,0),MATCH(G$1,CalLookUpColumn,0))</f>
        <v>2019</v>
      </c>
      <c r="H4371">
        <f>INDEX(CalLookUpTable,MATCH($B4371,CalLookUpRow,0),MATCH(H$1,CalLookUpColumn,0))</f>
        <v>5</v>
      </c>
      <c r="I4371">
        <f>INDEX(CalLookUpTable,MATCH($B4371,CalLookUpRow,0),MATCH(I$1,CalLookUpColumn,0))</f>
        <v>2</v>
      </c>
    </row>
    <row r="4372" spans="1:9" x14ac:dyDescent="0.25">
      <c r="A4372" s="7">
        <v>3</v>
      </c>
      <c r="B4372" s="8">
        <v>43594</v>
      </c>
      <c r="C4372" s="9" t="s">
        <v>3</v>
      </c>
      <c r="D4372" s="10">
        <v>242.32599999999999</v>
      </c>
      <c r="E4372" s="10">
        <v>0</v>
      </c>
      <c r="F4372" t="str">
        <f>VLOOKUP(A4372,StoreLookup,2,FALSE)</f>
        <v>Store#3</v>
      </c>
      <c r="G4372">
        <f>INDEX(CalLookUpTable,MATCH($B4372,CalLookUpRow,0),MATCH(G$1,CalLookUpColumn,0))</f>
        <v>2019</v>
      </c>
      <c r="H4372">
        <f>INDEX(CalLookUpTable,MATCH($B4372,CalLookUpRow,0),MATCH(H$1,CalLookUpColumn,0))</f>
        <v>5</v>
      </c>
      <c r="I4372">
        <f>INDEX(CalLookUpTable,MATCH($B4372,CalLookUpRow,0),MATCH(I$1,CalLookUpColumn,0))</f>
        <v>2</v>
      </c>
    </row>
    <row r="4373" spans="1:9" x14ac:dyDescent="0.25">
      <c r="A4373" s="7">
        <v>3</v>
      </c>
      <c r="B4373" s="8">
        <v>43594</v>
      </c>
      <c r="C4373" s="9" t="s">
        <v>5</v>
      </c>
      <c r="D4373" s="10">
        <v>3550.3089999999997</v>
      </c>
      <c r="E4373" s="10">
        <v>0</v>
      </c>
      <c r="F4373" t="str">
        <f>VLOOKUP(A4373,StoreLookup,2,FALSE)</f>
        <v>Store#3</v>
      </c>
      <c r="G4373">
        <f>INDEX(CalLookUpTable,MATCH($B4373,CalLookUpRow,0),MATCH(G$1,CalLookUpColumn,0))</f>
        <v>2019</v>
      </c>
      <c r="H4373">
        <f>INDEX(CalLookUpTable,MATCH($B4373,CalLookUpRow,0),MATCH(H$1,CalLookUpColumn,0))</f>
        <v>5</v>
      </c>
      <c r="I4373">
        <f>INDEX(CalLookUpTable,MATCH($B4373,CalLookUpRow,0),MATCH(I$1,CalLookUpColumn,0))</f>
        <v>2</v>
      </c>
    </row>
    <row r="4374" spans="1:9" x14ac:dyDescent="0.25">
      <c r="A4374" s="7">
        <v>3</v>
      </c>
      <c r="B4374" s="8">
        <v>43595</v>
      </c>
      <c r="C4374" s="9" t="s">
        <v>4</v>
      </c>
      <c r="D4374" s="10">
        <v>3862.6909999999998</v>
      </c>
      <c r="E4374" s="10">
        <v>0</v>
      </c>
      <c r="F4374" t="str">
        <f>VLOOKUP(A4374,StoreLookup,2,FALSE)</f>
        <v>Store#3</v>
      </c>
      <c r="G4374">
        <f>INDEX(CalLookUpTable,MATCH($B4374,CalLookUpRow,0),MATCH(G$1,CalLookUpColumn,0))</f>
        <v>2019</v>
      </c>
      <c r="H4374">
        <f>INDEX(CalLookUpTable,MATCH($B4374,CalLookUpRow,0),MATCH(H$1,CalLookUpColumn,0))</f>
        <v>5</v>
      </c>
      <c r="I4374">
        <f>INDEX(CalLookUpTable,MATCH($B4374,CalLookUpRow,0),MATCH(I$1,CalLookUpColumn,0))</f>
        <v>2</v>
      </c>
    </row>
    <row r="4375" spans="1:9" x14ac:dyDescent="0.25">
      <c r="A4375" s="7">
        <v>3</v>
      </c>
      <c r="B4375" s="8">
        <v>43595</v>
      </c>
      <c r="C4375" s="9" t="s">
        <v>5</v>
      </c>
      <c r="D4375" s="10">
        <v>4040.8969999999999</v>
      </c>
      <c r="E4375" s="10">
        <v>0</v>
      </c>
      <c r="F4375" t="str">
        <f>VLOOKUP(A4375,StoreLookup,2,FALSE)</f>
        <v>Store#3</v>
      </c>
      <c r="G4375">
        <f>INDEX(CalLookUpTable,MATCH($B4375,CalLookUpRow,0),MATCH(G$1,CalLookUpColumn,0))</f>
        <v>2019</v>
      </c>
      <c r="H4375">
        <f>INDEX(CalLookUpTable,MATCH($B4375,CalLookUpRow,0),MATCH(H$1,CalLookUpColumn,0))</f>
        <v>5</v>
      </c>
      <c r="I4375">
        <f>INDEX(CalLookUpTable,MATCH($B4375,CalLookUpRow,0),MATCH(I$1,CalLookUpColumn,0))</f>
        <v>2</v>
      </c>
    </row>
    <row r="4376" spans="1:9" x14ac:dyDescent="0.25">
      <c r="A4376" s="7">
        <v>3</v>
      </c>
      <c r="B4376" s="8">
        <v>43595</v>
      </c>
      <c r="C4376" s="9" t="s">
        <v>3</v>
      </c>
      <c r="D4376" s="10">
        <v>92.315999999999988</v>
      </c>
      <c r="E4376" s="10">
        <v>0</v>
      </c>
      <c r="F4376" t="str">
        <f>VLOOKUP(A4376,StoreLookup,2,FALSE)</f>
        <v>Store#3</v>
      </c>
      <c r="G4376">
        <f>INDEX(CalLookUpTable,MATCH($B4376,CalLookUpRow,0),MATCH(G$1,CalLookUpColumn,0))</f>
        <v>2019</v>
      </c>
      <c r="H4376">
        <f>INDEX(CalLookUpTable,MATCH($B4376,CalLookUpRow,0),MATCH(H$1,CalLookUpColumn,0))</f>
        <v>5</v>
      </c>
      <c r="I4376">
        <f>INDEX(CalLookUpTable,MATCH($B4376,CalLookUpRow,0),MATCH(I$1,CalLookUpColumn,0))</f>
        <v>2</v>
      </c>
    </row>
    <row r="4377" spans="1:9" x14ac:dyDescent="0.25">
      <c r="A4377" s="7">
        <v>3</v>
      </c>
      <c r="B4377" s="8">
        <v>43595</v>
      </c>
      <c r="C4377" s="9" t="s">
        <v>6</v>
      </c>
      <c r="D4377" s="10">
        <v>927.07299999999998</v>
      </c>
      <c r="E4377" s="10">
        <v>0</v>
      </c>
      <c r="F4377" t="str">
        <f>VLOOKUP(A4377,StoreLookup,2,FALSE)</f>
        <v>Store#3</v>
      </c>
      <c r="G4377">
        <f>INDEX(CalLookUpTable,MATCH($B4377,CalLookUpRow,0),MATCH(G$1,CalLookUpColumn,0))</f>
        <v>2019</v>
      </c>
      <c r="H4377">
        <f>INDEX(CalLookUpTable,MATCH($B4377,CalLookUpRow,0),MATCH(H$1,CalLookUpColumn,0))</f>
        <v>5</v>
      </c>
      <c r="I4377">
        <f>INDEX(CalLookUpTable,MATCH($B4377,CalLookUpRow,0),MATCH(I$1,CalLookUpColumn,0))</f>
        <v>2</v>
      </c>
    </row>
    <row r="4378" spans="1:9" x14ac:dyDescent="0.25">
      <c r="A4378" s="7">
        <v>3</v>
      </c>
      <c r="B4378" s="8">
        <v>43596</v>
      </c>
      <c r="C4378" s="9" t="s">
        <v>6</v>
      </c>
      <c r="D4378" s="10">
        <v>921.26999999999987</v>
      </c>
      <c r="E4378" s="10">
        <v>0</v>
      </c>
      <c r="F4378" t="str">
        <f>VLOOKUP(A4378,StoreLookup,2,FALSE)</f>
        <v>Store#3</v>
      </c>
      <c r="G4378">
        <f>INDEX(CalLookUpTable,MATCH($B4378,CalLookUpRow,0),MATCH(G$1,CalLookUpColumn,0))</f>
        <v>2019</v>
      </c>
      <c r="H4378">
        <f>INDEX(CalLookUpTable,MATCH($B4378,CalLookUpRow,0),MATCH(H$1,CalLookUpColumn,0))</f>
        <v>5</v>
      </c>
      <c r="I4378">
        <f>INDEX(CalLookUpTable,MATCH($B4378,CalLookUpRow,0),MATCH(I$1,CalLookUpColumn,0))</f>
        <v>2</v>
      </c>
    </row>
    <row r="4379" spans="1:9" x14ac:dyDescent="0.25">
      <c r="A4379" s="7">
        <v>3</v>
      </c>
      <c r="B4379" s="8">
        <v>43596</v>
      </c>
      <c r="C4379" s="9" t="s">
        <v>4</v>
      </c>
      <c r="D4379" s="10">
        <v>3887.3379999999997</v>
      </c>
      <c r="E4379" s="10">
        <v>0</v>
      </c>
      <c r="F4379" t="str">
        <f>VLOOKUP(A4379,StoreLookup,2,FALSE)</f>
        <v>Store#3</v>
      </c>
      <c r="G4379">
        <f>INDEX(CalLookUpTable,MATCH($B4379,CalLookUpRow,0),MATCH(G$1,CalLookUpColumn,0))</f>
        <v>2019</v>
      </c>
      <c r="H4379">
        <f>INDEX(CalLookUpTable,MATCH($B4379,CalLookUpRow,0),MATCH(H$1,CalLookUpColumn,0))</f>
        <v>5</v>
      </c>
      <c r="I4379">
        <f>INDEX(CalLookUpTable,MATCH($B4379,CalLookUpRow,0),MATCH(I$1,CalLookUpColumn,0))</f>
        <v>2</v>
      </c>
    </row>
    <row r="4380" spans="1:9" x14ac:dyDescent="0.25">
      <c r="A4380" s="7">
        <v>3</v>
      </c>
      <c r="B4380" s="8">
        <v>43596</v>
      </c>
      <c r="C4380" s="9" t="s">
        <v>3</v>
      </c>
      <c r="D4380" s="10">
        <v>644.54599999999994</v>
      </c>
      <c r="E4380" s="10">
        <v>0</v>
      </c>
      <c r="F4380" t="str">
        <f>VLOOKUP(A4380,StoreLookup,2,FALSE)</f>
        <v>Store#3</v>
      </c>
      <c r="G4380">
        <f>INDEX(CalLookUpTable,MATCH($B4380,CalLookUpRow,0),MATCH(G$1,CalLookUpColumn,0))</f>
        <v>2019</v>
      </c>
      <c r="H4380">
        <f>INDEX(CalLookUpTable,MATCH($B4380,CalLookUpRow,0),MATCH(H$1,CalLookUpColumn,0))</f>
        <v>5</v>
      </c>
      <c r="I4380">
        <f>INDEX(CalLookUpTable,MATCH($B4380,CalLookUpRow,0),MATCH(I$1,CalLookUpColumn,0))</f>
        <v>2</v>
      </c>
    </row>
    <row r="4381" spans="1:9" x14ac:dyDescent="0.25">
      <c r="A4381" s="7">
        <v>3</v>
      </c>
      <c r="B4381" s="8">
        <v>43596</v>
      </c>
      <c r="C4381" s="9" t="s">
        <v>5</v>
      </c>
      <c r="D4381" s="10">
        <v>3335.0729999999999</v>
      </c>
      <c r="E4381" s="10">
        <v>0</v>
      </c>
      <c r="F4381" t="str">
        <f>VLOOKUP(A4381,StoreLookup,2,FALSE)</f>
        <v>Store#3</v>
      </c>
      <c r="G4381">
        <f>INDEX(CalLookUpTable,MATCH($B4381,CalLookUpRow,0),MATCH(G$1,CalLookUpColumn,0))</f>
        <v>2019</v>
      </c>
      <c r="H4381">
        <f>INDEX(CalLookUpTable,MATCH($B4381,CalLookUpRow,0),MATCH(H$1,CalLookUpColumn,0))</f>
        <v>5</v>
      </c>
      <c r="I4381">
        <f>INDEX(CalLookUpTable,MATCH($B4381,CalLookUpRow,0),MATCH(I$1,CalLookUpColumn,0))</f>
        <v>2</v>
      </c>
    </row>
    <row r="4382" spans="1:9" x14ac:dyDescent="0.25">
      <c r="A4382" s="7">
        <v>3</v>
      </c>
      <c r="B4382" s="8">
        <v>43597</v>
      </c>
      <c r="C4382" s="9" t="s">
        <v>6</v>
      </c>
      <c r="D4382" s="10">
        <v>547.77799999999991</v>
      </c>
      <c r="E4382" s="10">
        <v>0</v>
      </c>
      <c r="F4382" t="str">
        <f>VLOOKUP(A4382,StoreLookup,2,FALSE)</f>
        <v>Store#3</v>
      </c>
      <c r="G4382">
        <f>INDEX(CalLookUpTable,MATCH($B4382,CalLookUpRow,0),MATCH(G$1,CalLookUpColumn,0))</f>
        <v>2019</v>
      </c>
      <c r="H4382">
        <f>INDEX(CalLookUpTable,MATCH($B4382,CalLookUpRow,0),MATCH(H$1,CalLookUpColumn,0))</f>
        <v>5</v>
      </c>
      <c r="I4382">
        <f>INDEX(CalLookUpTable,MATCH($B4382,CalLookUpRow,0),MATCH(I$1,CalLookUpColumn,0))</f>
        <v>2</v>
      </c>
    </row>
    <row r="4383" spans="1:9" x14ac:dyDescent="0.25">
      <c r="A4383" s="7">
        <v>3</v>
      </c>
      <c r="B4383" s="8">
        <v>43597</v>
      </c>
      <c r="C4383" s="9" t="s">
        <v>4</v>
      </c>
      <c r="D4383" s="10">
        <v>2702.1189999999997</v>
      </c>
      <c r="E4383" s="10">
        <v>0</v>
      </c>
      <c r="F4383" t="str">
        <f>VLOOKUP(A4383,StoreLookup,2,FALSE)</f>
        <v>Store#3</v>
      </c>
      <c r="G4383">
        <f>INDEX(CalLookUpTable,MATCH($B4383,CalLookUpRow,0),MATCH(G$1,CalLookUpColumn,0))</f>
        <v>2019</v>
      </c>
      <c r="H4383">
        <f>INDEX(CalLookUpTable,MATCH($B4383,CalLookUpRow,0),MATCH(H$1,CalLookUpColumn,0))</f>
        <v>5</v>
      </c>
      <c r="I4383">
        <f>INDEX(CalLookUpTable,MATCH($B4383,CalLookUpRow,0),MATCH(I$1,CalLookUpColumn,0))</f>
        <v>2</v>
      </c>
    </row>
    <row r="4384" spans="1:9" x14ac:dyDescent="0.25">
      <c r="A4384" s="7">
        <v>3</v>
      </c>
      <c r="B4384" s="8">
        <v>43597</v>
      </c>
      <c r="C4384" s="9" t="s">
        <v>3</v>
      </c>
      <c r="D4384" s="10">
        <v>295.12700000000001</v>
      </c>
      <c r="E4384" s="10">
        <v>0</v>
      </c>
      <c r="F4384" t="str">
        <f>VLOOKUP(A4384,StoreLookup,2,FALSE)</f>
        <v>Store#3</v>
      </c>
      <c r="G4384">
        <f>INDEX(CalLookUpTable,MATCH($B4384,CalLookUpRow,0),MATCH(G$1,CalLookUpColumn,0))</f>
        <v>2019</v>
      </c>
      <c r="H4384">
        <f>INDEX(CalLookUpTable,MATCH($B4384,CalLookUpRow,0),MATCH(H$1,CalLookUpColumn,0))</f>
        <v>5</v>
      </c>
      <c r="I4384">
        <f>INDEX(CalLookUpTable,MATCH($B4384,CalLookUpRow,0),MATCH(I$1,CalLookUpColumn,0))</f>
        <v>2</v>
      </c>
    </row>
    <row r="4385" spans="1:9" x14ac:dyDescent="0.25">
      <c r="A4385" s="7">
        <v>3</v>
      </c>
      <c r="B4385" s="8">
        <v>43597</v>
      </c>
      <c r="C4385" s="9" t="s">
        <v>5</v>
      </c>
      <c r="D4385" s="10">
        <v>2613.7439999999997</v>
      </c>
      <c r="E4385" s="10">
        <v>0</v>
      </c>
      <c r="F4385" t="str">
        <f>VLOOKUP(A4385,StoreLookup,2,FALSE)</f>
        <v>Store#3</v>
      </c>
      <c r="G4385">
        <f>INDEX(CalLookUpTable,MATCH($B4385,CalLookUpRow,0),MATCH(G$1,CalLookUpColumn,0))</f>
        <v>2019</v>
      </c>
      <c r="H4385">
        <f>INDEX(CalLookUpTable,MATCH($B4385,CalLookUpRow,0),MATCH(H$1,CalLookUpColumn,0))</f>
        <v>5</v>
      </c>
      <c r="I4385">
        <f>INDEX(CalLookUpTable,MATCH($B4385,CalLookUpRow,0),MATCH(I$1,CalLookUpColumn,0))</f>
        <v>2</v>
      </c>
    </row>
    <row r="4386" spans="1:9" x14ac:dyDescent="0.25">
      <c r="A4386" s="7">
        <v>3</v>
      </c>
      <c r="B4386" s="8">
        <v>43598</v>
      </c>
      <c r="C4386" s="9" t="s">
        <v>5</v>
      </c>
      <c r="D4386" s="10">
        <v>3280.6129999999998</v>
      </c>
      <c r="E4386" s="10">
        <v>0</v>
      </c>
      <c r="F4386" t="str">
        <f>VLOOKUP(A4386,StoreLookup,2,FALSE)</f>
        <v>Store#3</v>
      </c>
      <c r="G4386">
        <f>INDEX(CalLookUpTable,MATCH($B4386,CalLookUpRow,0),MATCH(G$1,CalLookUpColumn,0))</f>
        <v>2019</v>
      </c>
      <c r="H4386">
        <f>INDEX(CalLookUpTable,MATCH($B4386,CalLookUpRow,0),MATCH(H$1,CalLookUpColumn,0))</f>
        <v>5</v>
      </c>
      <c r="I4386">
        <f>INDEX(CalLookUpTable,MATCH($B4386,CalLookUpRow,0),MATCH(I$1,CalLookUpColumn,0))</f>
        <v>3</v>
      </c>
    </row>
    <row r="4387" spans="1:9" x14ac:dyDescent="0.25">
      <c r="A4387" s="7">
        <v>3</v>
      </c>
      <c r="B4387" s="8">
        <v>43598</v>
      </c>
      <c r="C4387" s="9" t="s">
        <v>4</v>
      </c>
      <c r="D4387" s="10">
        <v>3430.6579999999994</v>
      </c>
      <c r="E4387" s="10">
        <v>0</v>
      </c>
      <c r="F4387" t="str">
        <f>VLOOKUP(A4387,StoreLookup,2,FALSE)</f>
        <v>Store#3</v>
      </c>
      <c r="G4387">
        <f>INDEX(CalLookUpTable,MATCH($B4387,CalLookUpRow,0),MATCH(G$1,CalLookUpColumn,0))</f>
        <v>2019</v>
      </c>
      <c r="H4387">
        <f>INDEX(CalLookUpTable,MATCH($B4387,CalLookUpRow,0),MATCH(H$1,CalLookUpColumn,0))</f>
        <v>5</v>
      </c>
      <c r="I4387">
        <f>INDEX(CalLookUpTable,MATCH($B4387,CalLookUpRow,0),MATCH(I$1,CalLookUpColumn,0))</f>
        <v>3</v>
      </c>
    </row>
    <row r="4388" spans="1:9" x14ac:dyDescent="0.25">
      <c r="A4388" s="7">
        <v>3</v>
      </c>
      <c r="B4388" s="8">
        <v>43598</v>
      </c>
      <c r="C4388" s="9" t="s">
        <v>3</v>
      </c>
      <c r="D4388" s="10">
        <v>37.757999999999996</v>
      </c>
      <c r="E4388" s="10">
        <v>0</v>
      </c>
      <c r="F4388" t="str">
        <f>VLOOKUP(A4388,StoreLookup,2,FALSE)</f>
        <v>Store#3</v>
      </c>
      <c r="G4388">
        <f>INDEX(CalLookUpTable,MATCH($B4388,CalLookUpRow,0),MATCH(G$1,CalLookUpColumn,0))</f>
        <v>2019</v>
      </c>
      <c r="H4388">
        <f>INDEX(CalLookUpTable,MATCH($B4388,CalLookUpRow,0),MATCH(H$1,CalLookUpColumn,0))</f>
        <v>5</v>
      </c>
      <c r="I4388">
        <f>INDEX(CalLookUpTable,MATCH($B4388,CalLookUpRow,0),MATCH(I$1,CalLookUpColumn,0))</f>
        <v>3</v>
      </c>
    </row>
    <row r="4389" spans="1:9" x14ac:dyDescent="0.25">
      <c r="A4389" s="7">
        <v>3</v>
      </c>
      <c r="B4389" s="8">
        <v>43598</v>
      </c>
      <c r="C4389" s="9" t="s">
        <v>6</v>
      </c>
      <c r="D4389" s="10">
        <v>855.18999999999994</v>
      </c>
      <c r="E4389" s="10">
        <v>0</v>
      </c>
      <c r="F4389" t="str">
        <f>VLOOKUP(A4389,StoreLookup,2,FALSE)</f>
        <v>Store#3</v>
      </c>
      <c r="G4389">
        <f>INDEX(CalLookUpTable,MATCH($B4389,CalLookUpRow,0),MATCH(G$1,CalLookUpColumn,0))</f>
        <v>2019</v>
      </c>
      <c r="H4389">
        <f>INDEX(CalLookUpTable,MATCH($B4389,CalLookUpRow,0),MATCH(H$1,CalLookUpColumn,0))</f>
        <v>5</v>
      </c>
      <c r="I4389">
        <f>INDEX(CalLookUpTable,MATCH($B4389,CalLookUpRow,0),MATCH(I$1,CalLookUpColumn,0))</f>
        <v>3</v>
      </c>
    </row>
    <row r="4390" spans="1:9" x14ac:dyDescent="0.25">
      <c r="A4390" s="7">
        <v>3</v>
      </c>
      <c r="B4390" s="8">
        <v>43599</v>
      </c>
      <c r="C4390" s="9" t="s">
        <v>4</v>
      </c>
      <c r="D4390" s="10">
        <v>3292.6529999999998</v>
      </c>
      <c r="E4390" s="10">
        <v>0</v>
      </c>
      <c r="F4390" t="str">
        <f>VLOOKUP(A4390,StoreLookup,2,FALSE)</f>
        <v>Store#3</v>
      </c>
      <c r="G4390">
        <f>INDEX(CalLookUpTable,MATCH($B4390,CalLookUpRow,0),MATCH(G$1,CalLookUpColumn,0))</f>
        <v>2019</v>
      </c>
      <c r="H4390">
        <f>INDEX(CalLookUpTable,MATCH($B4390,CalLookUpRow,0),MATCH(H$1,CalLookUpColumn,0))</f>
        <v>5</v>
      </c>
      <c r="I4390">
        <f>INDEX(CalLookUpTable,MATCH($B4390,CalLookUpRow,0),MATCH(I$1,CalLookUpColumn,0))</f>
        <v>3</v>
      </c>
    </row>
    <row r="4391" spans="1:9" x14ac:dyDescent="0.25">
      <c r="A4391" s="7">
        <v>3</v>
      </c>
      <c r="B4391" s="8">
        <v>43599</v>
      </c>
      <c r="C4391" s="9" t="s">
        <v>6</v>
      </c>
      <c r="D4391" s="10">
        <v>654.84299999999996</v>
      </c>
      <c r="E4391" s="10">
        <v>0</v>
      </c>
      <c r="F4391" t="str">
        <f>VLOOKUP(A4391,StoreLookup,2,FALSE)</f>
        <v>Store#3</v>
      </c>
      <c r="G4391">
        <f>INDEX(CalLookUpTable,MATCH($B4391,CalLookUpRow,0),MATCH(G$1,CalLookUpColumn,0))</f>
        <v>2019</v>
      </c>
      <c r="H4391">
        <f>INDEX(CalLookUpTable,MATCH($B4391,CalLookUpRow,0),MATCH(H$1,CalLookUpColumn,0))</f>
        <v>5</v>
      </c>
      <c r="I4391">
        <f>INDEX(CalLookUpTable,MATCH($B4391,CalLookUpRow,0),MATCH(I$1,CalLookUpColumn,0))</f>
        <v>3</v>
      </c>
    </row>
    <row r="4392" spans="1:9" x14ac:dyDescent="0.25">
      <c r="A4392" s="7">
        <v>3</v>
      </c>
      <c r="B4392" s="8">
        <v>43599</v>
      </c>
      <c r="C4392" s="9" t="s">
        <v>3</v>
      </c>
      <c r="D4392" s="10">
        <v>232.17599999999999</v>
      </c>
      <c r="E4392" s="10">
        <v>0</v>
      </c>
      <c r="F4392" t="str">
        <f>VLOOKUP(A4392,StoreLookup,2,FALSE)</f>
        <v>Store#3</v>
      </c>
      <c r="G4392">
        <f>INDEX(CalLookUpTable,MATCH($B4392,CalLookUpRow,0),MATCH(G$1,CalLookUpColumn,0))</f>
        <v>2019</v>
      </c>
      <c r="H4392">
        <f>INDEX(CalLookUpTable,MATCH($B4392,CalLookUpRow,0),MATCH(H$1,CalLookUpColumn,0))</f>
        <v>5</v>
      </c>
      <c r="I4392">
        <f>INDEX(CalLookUpTable,MATCH($B4392,CalLookUpRow,0),MATCH(I$1,CalLookUpColumn,0))</f>
        <v>3</v>
      </c>
    </row>
    <row r="4393" spans="1:9" x14ac:dyDescent="0.25">
      <c r="A4393" s="7">
        <v>3</v>
      </c>
      <c r="B4393" s="8">
        <v>43599</v>
      </c>
      <c r="C4393" s="9" t="s">
        <v>5</v>
      </c>
      <c r="D4393" s="10">
        <v>3325.875</v>
      </c>
      <c r="E4393" s="10">
        <v>0</v>
      </c>
      <c r="F4393" t="str">
        <f>VLOOKUP(A4393,StoreLookup,2,FALSE)</f>
        <v>Store#3</v>
      </c>
      <c r="G4393">
        <f>INDEX(CalLookUpTable,MATCH($B4393,CalLookUpRow,0),MATCH(G$1,CalLookUpColumn,0))</f>
        <v>2019</v>
      </c>
      <c r="H4393">
        <f>INDEX(CalLookUpTable,MATCH($B4393,CalLookUpRow,0),MATCH(H$1,CalLookUpColumn,0))</f>
        <v>5</v>
      </c>
      <c r="I4393">
        <f>INDEX(CalLookUpTable,MATCH($B4393,CalLookUpRow,0),MATCH(I$1,CalLookUpColumn,0))</f>
        <v>3</v>
      </c>
    </row>
    <row r="4394" spans="1:9" x14ac:dyDescent="0.25">
      <c r="A4394" s="7">
        <v>3</v>
      </c>
      <c r="B4394" s="8">
        <v>43600</v>
      </c>
      <c r="C4394" s="9" t="s">
        <v>4</v>
      </c>
      <c r="D4394" s="10">
        <v>3287.2839999999997</v>
      </c>
      <c r="E4394" s="10">
        <v>0</v>
      </c>
      <c r="F4394" t="str">
        <f>VLOOKUP(A4394,StoreLookup,2,FALSE)</f>
        <v>Store#3</v>
      </c>
      <c r="G4394">
        <f>INDEX(CalLookUpTable,MATCH($B4394,CalLookUpRow,0),MATCH(G$1,CalLookUpColumn,0))</f>
        <v>2019</v>
      </c>
      <c r="H4394">
        <f>INDEX(CalLookUpTable,MATCH($B4394,CalLookUpRow,0),MATCH(H$1,CalLookUpColumn,0))</f>
        <v>5</v>
      </c>
      <c r="I4394">
        <f>INDEX(CalLookUpTable,MATCH($B4394,CalLookUpRow,0),MATCH(I$1,CalLookUpColumn,0))</f>
        <v>3</v>
      </c>
    </row>
    <row r="4395" spans="1:9" x14ac:dyDescent="0.25">
      <c r="A4395" s="7">
        <v>3</v>
      </c>
      <c r="B4395" s="8">
        <v>43600</v>
      </c>
      <c r="C4395" s="9" t="s">
        <v>3</v>
      </c>
      <c r="D4395" s="10">
        <v>23.085999999999995</v>
      </c>
      <c r="E4395" s="10">
        <v>0</v>
      </c>
      <c r="F4395" t="str">
        <f>VLOOKUP(A4395,StoreLookup,2,FALSE)</f>
        <v>Store#3</v>
      </c>
      <c r="G4395">
        <f>INDEX(CalLookUpTable,MATCH($B4395,CalLookUpRow,0),MATCH(G$1,CalLookUpColumn,0))</f>
        <v>2019</v>
      </c>
      <c r="H4395">
        <f>INDEX(CalLookUpTable,MATCH($B4395,CalLookUpRow,0),MATCH(H$1,CalLookUpColumn,0))</f>
        <v>5</v>
      </c>
      <c r="I4395">
        <f>INDEX(CalLookUpTable,MATCH($B4395,CalLookUpRow,0),MATCH(I$1,CalLookUpColumn,0))</f>
        <v>3</v>
      </c>
    </row>
    <row r="4396" spans="1:9" x14ac:dyDescent="0.25">
      <c r="A4396" s="7">
        <v>3</v>
      </c>
      <c r="B4396" s="8">
        <v>43600</v>
      </c>
      <c r="C4396" s="9" t="s">
        <v>5</v>
      </c>
      <c r="D4396" s="10">
        <v>3529.491</v>
      </c>
      <c r="E4396" s="10">
        <v>0</v>
      </c>
      <c r="F4396" t="str">
        <f>VLOOKUP(A4396,StoreLookup,2,FALSE)</f>
        <v>Store#3</v>
      </c>
      <c r="G4396">
        <f>INDEX(CalLookUpTable,MATCH($B4396,CalLookUpRow,0),MATCH(G$1,CalLookUpColumn,0))</f>
        <v>2019</v>
      </c>
      <c r="H4396">
        <f>INDEX(CalLookUpTable,MATCH($B4396,CalLookUpRow,0),MATCH(H$1,CalLookUpColumn,0))</f>
        <v>5</v>
      </c>
      <c r="I4396">
        <f>INDEX(CalLookUpTable,MATCH($B4396,CalLookUpRow,0),MATCH(I$1,CalLookUpColumn,0))</f>
        <v>3</v>
      </c>
    </row>
    <row r="4397" spans="1:9" x14ac:dyDescent="0.25">
      <c r="A4397" s="7">
        <v>3</v>
      </c>
      <c r="B4397" s="8">
        <v>43600</v>
      </c>
      <c r="C4397" s="9" t="s">
        <v>6</v>
      </c>
      <c r="D4397" s="10">
        <v>567.93100000000004</v>
      </c>
      <c r="E4397" s="10">
        <v>0</v>
      </c>
      <c r="F4397" t="str">
        <f>VLOOKUP(A4397,StoreLookup,2,FALSE)</f>
        <v>Store#3</v>
      </c>
      <c r="G4397">
        <f>INDEX(CalLookUpTable,MATCH($B4397,CalLookUpRow,0),MATCH(G$1,CalLookUpColumn,0))</f>
        <v>2019</v>
      </c>
      <c r="H4397">
        <f>INDEX(CalLookUpTable,MATCH($B4397,CalLookUpRow,0),MATCH(H$1,CalLookUpColumn,0))</f>
        <v>5</v>
      </c>
      <c r="I4397">
        <f>INDEX(CalLookUpTable,MATCH($B4397,CalLookUpRow,0),MATCH(I$1,CalLookUpColumn,0))</f>
        <v>3</v>
      </c>
    </row>
    <row r="4398" spans="1:9" x14ac:dyDescent="0.25">
      <c r="A4398" s="7">
        <v>3</v>
      </c>
      <c r="B4398" s="8">
        <v>43601</v>
      </c>
      <c r="C4398" s="9" t="s">
        <v>6</v>
      </c>
      <c r="D4398" s="10">
        <v>650.01300000000003</v>
      </c>
      <c r="E4398" s="10">
        <v>0</v>
      </c>
      <c r="F4398" t="str">
        <f>VLOOKUP(A4398,StoreLookup,2,FALSE)</f>
        <v>Store#3</v>
      </c>
      <c r="G4398">
        <f>INDEX(CalLookUpTable,MATCH($B4398,CalLookUpRow,0),MATCH(G$1,CalLookUpColumn,0))</f>
        <v>2019</v>
      </c>
      <c r="H4398">
        <f>INDEX(CalLookUpTable,MATCH($B4398,CalLookUpRow,0),MATCH(H$1,CalLookUpColumn,0))</f>
        <v>5</v>
      </c>
      <c r="I4398">
        <f>INDEX(CalLookUpTable,MATCH($B4398,CalLookUpRow,0),MATCH(I$1,CalLookUpColumn,0))</f>
        <v>3</v>
      </c>
    </row>
    <row r="4399" spans="1:9" x14ac:dyDescent="0.25">
      <c r="A4399" s="7">
        <v>3</v>
      </c>
      <c r="B4399" s="8">
        <v>43601</v>
      </c>
      <c r="C4399" s="9" t="s">
        <v>4</v>
      </c>
      <c r="D4399" s="10">
        <v>3179.1759999999999</v>
      </c>
      <c r="E4399" s="10">
        <v>0</v>
      </c>
      <c r="F4399" t="str">
        <f>VLOOKUP(A4399,StoreLookup,2,FALSE)</f>
        <v>Store#3</v>
      </c>
      <c r="G4399">
        <f>INDEX(CalLookUpTable,MATCH($B4399,CalLookUpRow,0),MATCH(G$1,CalLookUpColumn,0))</f>
        <v>2019</v>
      </c>
      <c r="H4399">
        <f>INDEX(CalLookUpTable,MATCH($B4399,CalLookUpRow,0),MATCH(H$1,CalLookUpColumn,0))</f>
        <v>5</v>
      </c>
      <c r="I4399">
        <f>INDEX(CalLookUpTable,MATCH($B4399,CalLookUpRow,0),MATCH(I$1,CalLookUpColumn,0))</f>
        <v>3</v>
      </c>
    </row>
    <row r="4400" spans="1:9" x14ac:dyDescent="0.25">
      <c r="A4400" s="7">
        <v>3</v>
      </c>
      <c r="B4400" s="8">
        <v>43601</v>
      </c>
      <c r="C4400" s="9" t="s">
        <v>3</v>
      </c>
      <c r="D4400" s="10">
        <v>173.43199999999999</v>
      </c>
      <c r="E4400" s="10">
        <v>0</v>
      </c>
      <c r="F4400" t="str">
        <f>VLOOKUP(A4400,StoreLookup,2,FALSE)</f>
        <v>Store#3</v>
      </c>
      <c r="G4400">
        <f>INDEX(CalLookUpTable,MATCH($B4400,CalLookUpRow,0),MATCH(G$1,CalLookUpColumn,0))</f>
        <v>2019</v>
      </c>
      <c r="H4400">
        <f>INDEX(CalLookUpTable,MATCH($B4400,CalLookUpRow,0),MATCH(H$1,CalLookUpColumn,0))</f>
        <v>5</v>
      </c>
      <c r="I4400">
        <f>INDEX(CalLookUpTable,MATCH($B4400,CalLookUpRow,0),MATCH(I$1,CalLookUpColumn,0))</f>
        <v>3</v>
      </c>
    </row>
    <row r="4401" spans="1:9" x14ac:dyDescent="0.25">
      <c r="A4401" s="7">
        <v>3</v>
      </c>
      <c r="B4401" s="8">
        <v>43601</v>
      </c>
      <c r="C4401" s="9" t="s">
        <v>5</v>
      </c>
      <c r="D4401" s="10">
        <v>3690.3510000000001</v>
      </c>
      <c r="E4401" s="10">
        <v>0</v>
      </c>
      <c r="F4401" t="str">
        <f>VLOOKUP(A4401,StoreLookup,2,FALSE)</f>
        <v>Store#3</v>
      </c>
      <c r="G4401">
        <f>INDEX(CalLookUpTable,MATCH($B4401,CalLookUpRow,0),MATCH(G$1,CalLookUpColumn,0))</f>
        <v>2019</v>
      </c>
      <c r="H4401">
        <f>INDEX(CalLookUpTable,MATCH($B4401,CalLookUpRow,0),MATCH(H$1,CalLookUpColumn,0))</f>
        <v>5</v>
      </c>
      <c r="I4401">
        <f>INDEX(CalLookUpTable,MATCH($B4401,CalLookUpRow,0),MATCH(I$1,CalLookUpColumn,0))</f>
        <v>3</v>
      </c>
    </row>
    <row r="4402" spans="1:9" x14ac:dyDescent="0.25">
      <c r="A4402" s="7">
        <v>3</v>
      </c>
      <c r="B4402" s="8">
        <v>43602</v>
      </c>
      <c r="C4402" s="9" t="s">
        <v>6</v>
      </c>
      <c r="D4402" s="10">
        <v>1024.604</v>
      </c>
      <c r="E4402" s="10">
        <v>0</v>
      </c>
      <c r="F4402" t="str">
        <f>VLOOKUP(A4402,StoreLookup,2,FALSE)</f>
        <v>Store#3</v>
      </c>
      <c r="G4402">
        <f>INDEX(CalLookUpTable,MATCH($B4402,CalLookUpRow,0),MATCH(G$1,CalLookUpColumn,0))</f>
        <v>2019</v>
      </c>
      <c r="H4402">
        <f>INDEX(CalLookUpTable,MATCH($B4402,CalLookUpRow,0),MATCH(H$1,CalLookUpColumn,0))</f>
        <v>5</v>
      </c>
      <c r="I4402">
        <f>INDEX(CalLookUpTable,MATCH($B4402,CalLookUpRow,0),MATCH(I$1,CalLookUpColumn,0))</f>
        <v>3</v>
      </c>
    </row>
    <row r="4403" spans="1:9" x14ac:dyDescent="0.25">
      <c r="A4403" s="7">
        <v>3</v>
      </c>
      <c r="B4403" s="8">
        <v>43602</v>
      </c>
      <c r="C4403" s="9" t="s">
        <v>3</v>
      </c>
      <c r="D4403" s="10">
        <v>11.542999999999997</v>
      </c>
      <c r="E4403" s="10">
        <v>0</v>
      </c>
      <c r="F4403" t="str">
        <f>VLOOKUP(A4403,StoreLookup,2,FALSE)</f>
        <v>Store#3</v>
      </c>
      <c r="G4403">
        <f>INDEX(CalLookUpTable,MATCH($B4403,CalLookUpRow,0),MATCH(G$1,CalLookUpColumn,0))</f>
        <v>2019</v>
      </c>
      <c r="H4403">
        <f>INDEX(CalLookUpTable,MATCH($B4403,CalLookUpRow,0),MATCH(H$1,CalLookUpColumn,0))</f>
        <v>5</v>
      </c>
      <c r="I4403">
        <f>INDEX(CalLookUpTable,MATCH($B4403,CalLookUpRow,0),MATCH(I$1,CalLookUpColumn,0))</f>
        <v>3</v>
      </c>
    </row>
    <row r="4404" spans="1:9" x14ac:dyDescent="0.25">
      <c r="A4404" s="7">
        <v>3</v>
      </c>
      <c r="B4404" s="8">
        <v>43602</v>
      </c>
      <c r="C4404" s="9" t="s">
        <v>4</v>
      </c>
      <c r="D4404" s="10">
        <v>3505.7260000000001</v>
      </c>
      <c r="E4404" s="10">
        <v>0</v>
      </c>
      <c r="F4404" t="str">
        <f>VLOOKUP(A4404,StoreLookup,2,FALSE)</f>
        <v>Store#3</v>
      </c>
      <c r="G4404">
        <f>INDEX(CalLookUpTable,MATCH($B4404,CalLookUpRow,0),MATCH(G$1,CalLookUpColumn,0))</f>
        <v>2019</v>
      </c>
      <c r="H4404">
        <f>INDEX(CalLookUpTable,MATCH($B4404,CalLookUpRow,0),MATCH(H$1,CalLookUpColumn,0))</f>
        <v>5</v>
      </c>
      <c r="I4404">
        <f>INDEX(CalLookUpTable,MATCH($B4404,CalLookUpRow,0),MATCH(I$1,CalLookUpColumn,0))</f>
        <v>3</v>
      </c>
    </row>
    <row r="4405" spans="1:9" x14ac:dyDescent="0.25">
      <c r="A4405" s="7">
        <v>3</v>
      </c>
      <c r="B4405" s="8">
        <v>43602</v>
      </c>
      <c r="C4405" s="9" t="s">
        <v>5</v>
      </c>
      <c r="D4405" s="10">
        <v>3482.7519999999995</v>
      </c>
      <c r="E4405" s="10">
        <v>0</v>
      </c>
      <c r="F4405" t="str">
        <f>VLOOKUP(A4405,StoreLookup,2,FALSE)</f>
        <v>Store#3</v>
      </c>
      <c r="G4405">
        <f>INDEX(CalLookUpTable,MATCH($B4405,CalLookUpRow,0),MATCH(G$1,CalLookUpColumn,0))</f>
        <v>2019</v>
      </c>
      <c r="H4405">
        <f>INDEX(CalLookUpTable,MATCH($B4405,CalLookUpRow,0),MATCH(H$1,CalLookUpColumn,0))</f>
        <v>5</v>
      </c>
      <c r="I4405">
        <f>INDEX(CalLookUpTable,MATCH($B4405,CalLookUpRow,0),MATCH(I$1,CalLookUpColumn,0))</f>
        <v>3</v>
      </c>
    </row>
    <row r="4406" spans="1:9" x14ac:dyDescent="0.25">
      <c r="A4406" s="7">
        <v>3</v>
      </c>
      <c r="B4406" s="8">
        <v>43603</v>
      </c>
      <c r="C4406" s="9" t="s">
        <v>6</v>
      </c>
      <c r="D4406" s="10">
        <v>647.72400000000005</v>
      </c>
      <c r="E4406" s="10">
        <v>0</v>
      </c>
      <c r="F4406" t="str">
        <f>VLOOKUP(A4406,StoreLookup,2,FALSE)</f>
        <v>Store#3</v>
      </c>
      <c r="G4406">
        <f>INDEX(CalLookUpTable,MATCH($B4406,CalLookUpRow,0),MATCH(G$1,CalLookUpColumn,0))</f>
        <v>2019</v>
      </c>
      <c r="H4406">
        <f>INDEX(CalLookUpTable,MATCH($B4406,CalLookUpRow,0),MATCH(H$1,CalLookUpColumn,0))</f>
        <v>5</v>
      </c>
      <c r="I4406">
        <f>INDEX(CalLookUpTable,MATCH($B4406,CalLookUpRow,0),MATCH(I$1,CalLookUpColumn,0))</f>
        <v>3</v>
      </c>
    </row>
    <row r="4407" spans="1:9" x14ac:dyDescent="0.25">
      <c r="A4407" s="7">
        <v>3</v>
      </c>
      <c r="B4407" s="8">
        <v>43603</v>
      </c>
      <c r="C4407" s="9" t="s">
        <v>4</v>
      </c>
      <c r="D4407" s="10">
        <v>3505.5790000000002</v>
      </c>
      <c r="E4407" s="10">
        <v>0</v>
      </c>
      <c r="F4407" t="str">
        <f>VLOOKUP(A4407,StoreLookup,2,FALSE)</f>
        <v>Store#3</v>
      </c>
      <c r="G4407">
        <f>INDEX(CalLookUpTable,MATCH($B4407,CalLookUpRow,0),MATCH(G$1,CalLookUpColumn,0))</f>
        <v>2019</v>
      </c>
      <c r="H4407">
        <f>INDEX(CalLookUpTable,MATCH($B4407,CalLookUpRow,0),MATCH(H$1,CalLookUpColumn,0))</f>
        <v>5</v>
      </c>
      <c r="I4407">
        <f>INDEX(CalLookUpTable,MATCH($B4407,CalLookUpRow,0),MATCH(I$1,CalLookUpColumn,0))</f>
        <v>3</v>
      </c>
    </row>
    <row r="4408" spans="1:9" x14ac:dyDescent="0.25">
      <c r="A4408" s="7">
        <v>3</v>
      </c>
      <c r="B4408" s="8">
        <v>43603</v>
      </c>
      <c r="C4408" s="9" t="s">
        <v>5</v>
      </c>
      <c r="D4408" s="10">
        <v>3599.1409999999996</v>
      </c>
      <c r="E4408" s="10">
        <v>0</v>
      </c>
      <c r="F4408" t="str">
        <f>VLOOKUP(A4408,StoreLookup,2,FALSE)</f>
        <v>Store#3</v>
      </c>
      <c r="G4408">
        <f>INDEX(CalLookUpTable,MATCH($B4408,CalLookUpRow,0),MATCH(G$1,CalLookUpColumn,0))</f>
        <v>2019</v>
      </c>
      <c r="H4408">
        <f>INDEX(CalLookUpTable,MATCH($B4408,CalLookUpRow,0),MATCH(H$1,CalLookUpColumn,0))</f>
        <v>5</v>
      </c>
      <c r="I4408">
        <f>INDEX(CalLookUpTable,MATCH($B4408,CalLookUpRow,0),MATCH(I$1,CalLookUpColumn,0))</f>
        <v>3</v>
      </c>
    </row>
    <row r="4409" spans="1:9" x14ac:dyDescent="0.25">
      <c r="A4409" s="7">
        <v>3</v>
      </c>
      <c r="B4409" s="8">
        <v>43603</v>
      </c>
      <c r="C4409" s="9" t="s">
        <v>3</v>
      </c>
      <c r="D4409" s="10">
        <v>8.9459999999999997</v>
      </c>
      <c r="E4409" s="10">
        <v>0</v>
      </c>
      <c r="F4409" t="str">
        <f>VLOOKUP(A4409,StoreLookup,2,FALSE)</f>
        <v>Store#3</v>
      </c>
      <c r="G4409">
        <f>INDEX(CalLookUpTable,MATCH($B4409,CalLookUpRow,0),MATCH(G$1,CalLookUpColumn,0))</f>
        <v>2019</v>
      </c>
      <c r="H4409">
        <f>INDEX(CalLookUpTable,MATCH($B4409,CalLookUpRow,0),MATCH(H$1,CalLookUpColumn,0))</f>
        <v>5</v>
      </c>
      <c r="I4409">
        <f>INDEX(CalLookUpTable,MATCH($B4409,CalLookUpRow,0),MATCH(I$1,CalLookUpColumn,0))</f>
        <v>3</v>
      </c>
    </row>
    <row r="4410" spans="1:9" x14ac:dyDescent="0.25">
      <c r="A4410" s="7">
        <v>3</v>
      </c>
      <c r="B4410" s="8">
        <v>43604</v>
      </c>
      <c r="C4410" s="9" t="s">
        <v>5</v>
      </c>
      <c r="D4410" s="10">
        <v>3046.6029999999996</v>
      </c>
      <c r="E4410" s="10">
        <v>0</v>
      </c>
      <c r="F4410" t="str">
        <f>VLOOKUP(A4410,StoreLookup,2,FALSE)</f>
        <v>Store#3</v>
      </c>
      <c r="G4410">
        <f>INDEX(CalLookUpTable,MATCH($B4410,CalLookUpRow,0),MATCH(G$1,CalLookUpColumn,0))</f>
        <v>2019</v>
      </c>
      <c r="H4410">
        <f>INDEX(CalLookUpTable,MATCH($B4410,CalLookUpRow,0),MATCH(H$1,CalLookUpColumn,0))</f>
        <v>5</v>
      </c>
      <c r="I4410">
        <f>INDEX(CalLookUpTable,MATCH($B4410,CalLookUpRow,0),MATCH(I$1,CalLookUpColumn,0))</f>
        <v>3</v>
      </c>
    </row>
    <row r="4411" spans="1:9" x14ac:dyDescent="0.25">
      <c r="A4411" s="7">
        <v>3</v>
      </c>
      <c r="B4411" s="8">
        <v>43604</v>
      </c>
      <c r="C4411" s="9" t="s">
        <v>6</v>
      </c>
      <c r="D4411" s="10">
        <v>502.20800000000003</v>
      </c>
      <c r="E4411" s="10">
        <v>0</v>
      </c>
      <c r="F4411" t="str">
        <f>VLOOKUP(A4411,StoreLookup,2,FALSE)</f>
        <v>Store#3</v>
      </c>
      <c r="G4411">
        <f>INDEX(CalLookUpTable,MATCH($B4411,CalLookUpRow,0),MATCH(G$1,CalLookUpColumn,0))</f>
        <v>2019</v>
      </c>
      <c r="H4411">
        <f>INDEX(CalLookUpTable,MATCH($B4411,CalLookUpRow,0),MATCH(H$1,CalLookUpColumn,0))</f>
        <v>5</v>
      </c>
      <c r="I4411">
        <f>INDEX(CalLookUpTable,MATCH($B4411,CalLookUpRow,0),MATCH(I$1,CalLookUpColumn,0))</f>
        <v>3</v>
      </c>
    </row>
    <row r="4412" spans="1:9" x14ac:dyDescent="0.25">
      <c r="A4412" s="7">
        <v>3</v>
      </c>
      <c r="B4412" s="8">
        <v>43604</v>
      </c>
      <c r="C4412" s="9" t="s">
        <v>4</v>
      </c>
      <c r="D4412" s="10">
        <v>2852.8779999999997</v>
      </c>
      <c r="E4412" s="10">
        <v>0</v>
      </c>
      <c r="F4412" t="str">
        <f>VLOOKUP(A4412,StoreLookup,2,FALSE)</f>
        <v>Store#3</v>
      </c>
      <c r="G4412">
        <f>INDEX(CalLookUpTable,MATCH($B4412,CalLookUpRow,0),MATCH(G$1,CalLookUpColumn,0))</f>
        <v>2019</v>
      </c>
      <c r="H4412">
        <f>INDEX(CalLookUpTable,MATCH($B4412,CalLookUpRow,0),MATCH(H$1,CalLookUpColumn,0))</f>
        <v>5</v>
      </c>
      <c r="I4412">
        <f>INDEX(CalLookUpTable,MATCH($B4412,CalLookUpRow,0),MATCH(I$1,CalLookUpColumn,0))</f>
        <v>3</v>
      </c>
    </row>
    <row r="4413" spans="1:9" x14ac:dyDescent="0.25">
      <c r="A4413" s="7">
        <v>3</v>
      </c>
      <c r="B4413" s="8">
        <v>43604</v>
      </c>
      <c r="C4413" s="9" t="s">
        <v>3</v>
      </c>
      <c r="D4413" s="10">
        <v>0</v>
      </c>
      <c r="E4413" s="10">
        <v>0</v>
      </c>
      <c r="F4413" t="str">
        <f>VLOOKUP(A4413,StoreLookup,2,FALSE)</f>
        <v>Store#3</v>
      </c>
      <c r="G4413">
        <f>INDEX(CalLookUpTable,MATCH($B4413,CalLookUpRow,0),MATCH(G$1,CalLookUpColumn,0))</f>
        <v>2019</v>
      </c>
      <c r="H4413">
        <f>INDEX(CalLookUpTable,MATCH($B4413,CalLookUpRow,0),MATCH(H$1,CalLookUpColumn,0))</f>
        <v>5</v>
      </c>
      <c r="I4413">
        <f>INDEX(CalLookUpTable,MATCH($B4413,CalLookUpRow,0),MATCH(I$1,CalLookUpColumn,0))</f>
        <v>3</v>
      </c>
    </row>
    <row r="4414" spans="1:9" x14ac:dyDescent="0.25">
      <c r="A4414" s="7">
        <v>3</v>
      </c>
      <c r="B4414" s="8">
        <v>43605</v>
      </c>
      <c r="C4414" s="9" t="s">
        <v>4</v>
      </c>
      <c r="D4414" s="10">
        <v>3250.6809999999996</v>
      </c>
      <c r="E4414" s="10">
        <v>0</v>
      </c>
      <c r="F4414" t="str">
        <f>VLOOKUP(A4414,StoreLookup,2,FALSE)</f>
        <v>Store#3</v>
      </c>
      <c r="G4414">
        <f>INDEX(CalLookUpTable,MATCH($B4414,CalLookUpRow,0),MATCH(G$1,CalLookUpColumn,0))</f>
        <v>2019</v>
      </c>
      <c r="H4414">
        <f>INDEX(CalLookUpTable,MATCH($B4414,CalLookUpRow,0),MATCH(H$1,CalLookUpColumn,0))</f>
        <v>5</v>
      </c>
      <c r="I4414">
        <f>INDEX(CalLookUpTable,MATCH($B4414,CalLookUpRow,0),MATCH(I$1,CalLookUpColumn,0))</f>
        <v>4</v>
      </c>
    </row>
    <row r="4415" spans="1:9" x14ac:dyDescent="0.25">
      <c r="A4415" s="7">
        <v>3</v>
      </c>
      <c r="B4415" s="8">
        <v>43605</v>
      </c>
      <c r="C4415" s="9" t="s">
        <v>3</v>
      </c>
      <c r="D4415" s="10">
        <v>79.715999999999994</v>
      </c>
      <c r="E4415" s="10">
        <v>0</v>
      </c>
      <c r="F4415" t="str">
        <f>VLOOKUP(A4415,StoreLookup,2,FALSE)</f>
        <v>Store#3</v>
      </c>
      <c r="G4415">
        <f>INDEX(CalLookUpTable,MATCH($B4415,CalLookUpRow,0),MATCH(G$1,CalLookUpColumn,0))</f>
        <v>2019</v>
      </c>
      <c r="H4415">
        <f>INDEX(CalLookUpTable,MATCH($B4415,CalLookUpRow,0),MATCH(H$1,CalLookUpColumn,0))</f>
        <v>5</v>
      </c>
      <c r="I4415">
        <f>INDEX(CalLookUpTable,MATCH($B4415,CalLookUpRow,0),MATCH(I$1,CalLookUpColumn,0))</f>
        <v>4</v>
      </c>
    </row>
    <row r="4416" spans="1:9" x14ac:dyDescent="0.25">
      <c r="A4416" s="7">
        <v>3</v>
      </c>
      <c r="B4416" s="8">
        <v>43605</v>
      </c>
      <c r="C4416" s="9" t="s">
        <v>5</v>
      </c>
      <c r="D4416" s="10">
        <v>3341.1349999999998</v>
      </c>
      <c r="E4416" s="10">
        <v>0</v>
      </c>
      <c r="F4416" t="str">
        <f>VLOOKUP(A4416,StoreLookup,2,FALSE)</f>
        <v>Store#3</v>
      </c>
      <c r="G4416">
        <f>INDEX(CalLookUpTable,MATCH($B4416,CalLookUpRow,0),MATCH(G$1,CalLookUpColumn,0))</f>
        <v>2019</v>
      </c>
      <c r="H4416">
        <f>INDEX(CalLookUpTable,MATCH($B4416,CalLookUpRow,0),MATCH(H$1,CalLookUpColumn,0))</f>
        <v>5</v>
      </c>
      <c r="I4416">
        <f>INDEX(CalLookUpTable,MATCH($B4416,CalLookUpRow,0),MATCH(I$1,CalLookUpColumn,0))</f>
        <v>4</v>
      </c>
    </row>
    <row r="4417" spans="1:9" x14ac:dyDescent="0.25">
      <c r="A4417" s="7">
        <v>3</v>
      </c>
      <c r="B4417" s="8">
        <v>43605</v>
      </c>
      <c r="C4417" s="9" t="s">
        <v>6</v>
      </c>
      <c r="D4417" s="10">
        <v>631.78499999999997</v>
      </c>
      <c r="E4417" s="10">
        <v>0</v>
      </c>
      <c r="F4417" t="str">
        <f>VLOOKUP(A4417,StoreLookup,2,FALSE)</f>
        <v>Store#3</v>
      </c>
      <c r="G4417">
        <f>INDEX(CalLookUpTable,MATCH($B4417,CalLookUpRow,0),MATCH(G$1,CalLookUpColumn,0))</f>
        <v>2019</v>
      </c>
      <c r="H4417">
        <f>INDEX(CalLookUpTable,MATCH($B4417,CalLookUpRow,0),MATCH(H$1,CalLookUpColumn,0))</f>
        <v>5</v>
      </c>
      <c r="I4417">
        <f>INDEX(CalLookUpTable,MATCH($B4417,CalLookUpRow,0),MATCH(I$1,CalLookUpColumn,0))</f>
        <v>4</v>
      </c>
    </row>
    <row r="4418" spans="1:9" x14ac:dyDescent="0.25">
      <c r="A4418" s="7">
        <v>3</v>
      </c>
      <c r="B4418" s="8">
        <v>43606</v>
      </c>
      <c r="C4418" s="9" t="s">
        <v>6</v>
      </c>
      <c r="D4418" s="10">
        <v>638.21100000000001</v>
      </c>
      <c r="E4418" s="10">
        <v>0</v>
      </c>
      <c r="F4418" t="str">
        <f>VLOOKUP(A4418,StoreLookup,2,FALSE)</f>
        <v>Store#3</v>
      </c>
      <c r="G4418">
        <f>INDEX(CalLookUpTable,MATCH($B4418,CalLookUpRow,0),MATCH(G$1,CalLookUpColumn,0))</f>
        <v>2019</v>
      </c>
      <c r="H4418">
        <f>INDEX(CalLookUpTable,MATCH($B4418,CalLookUpRow,0),MATCH(H$1,CalLookUpColumn,0))</f>
        <v>5</v>
      </c>
      <c r="I4418">
        <f>INDEX(CalLookUpTable,MATCH($B4418,CalLookUpRow,0),MATCH(I$1,CalLookUpColumn,0))</f>
        <v>4</v>
      </c>
    </row>
    <row r="4419" spans="1:9" x14ac:dyDescent="0.25">
      <c r="A4419" s="7">
        <v>3</v>
      </c>
      <c r="B4419" s="8">
        <v>43606</v>
      </c>
      <c r="C4419" s="9" t="s">
        <v>5</v>
      </c>
      <c r="D4419" s="10">
        <v>3658.739</v>
      </c>
      <c r="E4419" s="10">
        <v>0</v>
      </c>
      <c r="F4419" t="str">
        <f>VLOOKUP(A4419,StoreLookup,2,FALSE)</f>
        <v>Store#3</v>
      </c>
      <c r="G4419">
        <f>INDEX(CalLookUpTable,MATCH($B4419,CalLookUpRow,0),MATCH(G$1,CalLookUpColumn,0))</f>
        <v>2019</v>
      </c>
      <c r="H4419">
        <f>INDEX(CalLookUpTable,MATCH($B4419,CalLookUpRow,0),MATCH(H$1,CalLookUpColumn,0))</f>
        <v>5</v>
      </c>
      <c r="I4419">
        <f>INDEX(CalLookUpTable,MATCH($B4419,CalLookUpRow,0),MATCH(I$1,CalLookUpColumn,0))</f>
        <v>4</v>
      </c>
    </row>
    <row r="4420" spans="1:9" x14ac:dyDescent="0.25">
      <c r="A4420" s="7">
        <v>3</v>
      </c>
      <c r="B4420" s="8">
        <v>43606</v>
      </c>
      <c r="C4420" s="9" t="s">
        <v>4</v>
      </c>
      <c r="D4420" s="10">
        <v>2773.6869999999999</v>
      </c>
      <c r="E4420" s="10">
        <v>0</v>
      </c>
      <c r="F4420" t="str">
        <f>VLOOKUP(A4420,StoreLookup,2,FALSE)</f>
        <v>Store#3</v>
      </c>
      <c r="G4420">
        <f>INDEX(CalLookUpTable,MATCH($B4420,CalLookUpRow,0),MATCH(G$1,CalLookUpColumn,0))</f>
        <v>2019</v>
      </c>
      <c r="H4420">
        <f>INDEX(CalLookUpTable,MATCH($B4420,CalLookUpRow,0),MATCH(H$1,CalLookUpColumn,0))</f>
        <v>5</v>
      </c>
      <c r="I4420">
        <f>INDEX(CalLookUpTable,MATCH($B4420,CalLookUpRow,0),MATCH(I$1,CalLookUpColumn,0))</f>
        <v>4</v>
      </c>
    </row>
    <row r="4421" spans="1:9" x14ac:dyDescent="0.25">
      <c r="A4421" s="7">
        <v>3</v>
      </c>
      <c r="B4421" s="8">
        <v>43606</v>
      </c>
      <c r="C4421" s="9" t="s">
        <v>3</v>
      </c>
      <c r="D4421" s="10">
        <v>0</v>
      </c>
      <c r="E4421" s="10">
        <v>0</v>
      </c>
      <c r="F4421" t="str">
        <f>VLOOKUP(A4421,StoreLookup,2,FALSE)</f>
        <v>Store#3</v>
      </c>
      <c r="G4421">
        <f>INDEX(CalLookUpTable,MATCH($B4421,CalLookUpRow,0),MATCH(G$1,CalLookUpColumn,0))</f>
        <v>2019</v>
      </c>
      <c r="H4421">
        <f>INDEX(CalLookUpTable,MATCH($B4421,CalLookUpRow,0),MATCH(H$1,CalLookUpColumn,0))</f>
        <v>5</v>
      </c>
      <c r="I4421">
        <f>INDEX(CalLookUpTable,MATCH($B4421,CalLookUpRow,0),MATCH(I$1,CalLookUpColumn,0))</f>
        <v>4</v>
      </c>
    </row>
    <row r="4422" spans="1:9" x14ac:dyDescent="0.25">
      <c r="A4422" s="7">
        <v>3</v>
      </c>
      <c r="B4422" s="8">
        <v>43607</v>
      </c>
      <c r="C4422" s="9" t="s">
        <v>5</v>
      </c>
      <c r="D4422" s="10">
        <v>3383.373</v>
      </c>
      <c r="E4422" s="10">
        <v>0</v>
      </c>
      <c r="F4422" t="str">
        <f>VLOOKUP(A4422,StoreLookup,2,FALSE)</f>
        <v>Store#3</v>
      </c>
      <c r="G4422">
        <f>INDEX(CalLookUpTable,MATCH($B4422,CalLookUpRow,0),MATCH(G$1,CalLookUpColumn,0))</f>
        <v>2019</v>
      </c>
      <c r="H4422">
        <f>INDEX(CalLookUpTable,MATCH($B4422,CalLookUpRow,0),MATCH(H$1,CalLookUpColumn,0))</f>
        <v>5</v>
      </c>
      <c r="I4422">
        <f>INDEX(CalLookUpTable,MATCH($B4422,CalLookUpRow,0),MATCH(I$1,CalLookUpColumn,0))</f>
        <v>4</v>
      </c>
    </row>
    <row r="4423" spans="1:9" x14ac:dyDescent="0.25">
      <c r="A4423" s="7">
        <v>3</v>
      </c>
      <c r="B4423" s="8">
        <v>43607</v>
      </c>
      <c r="C4423" s="9" t="s">
        <v>4</v>
      </c>
      <c r="D4423" s="10">
        <v>3518.5359999999996</v>
      </c>
      <c r="E4423" s="10">
        <v>0</v>
      </c>
      <c r="F4423" t="str">
        <f>VLOOKUP(A4423,StoreLookup,2,FALSE)</f>
        <v>Store#3</v>
      </c>
      <c r="G4423">
        <f>INDEX(CalLookUpTable,MATCH($B4423,CalLookUpRow,0),MATCH(G$1,CalLookUpColumn,0))</f>
        <v>2019</v>
      </c>
      <c r="H4423">
        <f>INDEX(CalLookUpTable,MATCH($B4423,CalLookUpRow,0),MATCH(H$1,CalLookUpColumn,0))</f>
        <v>5</v>
      </c>
      <c r="I4423">
        <f>INDEX(CalLookUpTable,MATCH($B4423,CalLookUpRow,0),MATCH(I$1,CalLookUpColumn,0))</f>
        <v>4</v>
      </c>
    </row>
    <row r="4424" spans="1:9" x14ac:dyDescent="0.25">
      <c r="A4424" s="7">
        <v>3</v>
      </c>
      <c r="B4424" s="8">
        <v>43607</v>
      </c>
      <c r="C4424" s="9" t="s">
        <v>6</v>
      </c>
      <c r="D4424" s="10">
        <v>847.07699999999988</v>
      </c>
      <c r="E4424" s="10">
        <v>0</v>
      </c>
      <c r="F4424" t="str">
        <f>VLOOKUP(A4424,StoreLookup,2,FALSE)</f>
        <v>Store#3</v>
      </c>
      <c r="G4424">
        <f>INDEX(CalLookUpTable,MATCH($B4424,CalLookUpRow,0),MATCH(G$1,CalLookUpColumn,0))</f>
        <v>2019</v>
      </c>
      <c r="H4424">
        <f>INDEX(CalLookUpTable,MATCH($B4424,CalLookUpRow,0),MATCH(H$1,CalLookUpColumn,0))</f>
        <v>5</v>
      </c>
      <c r="I4424">
        <f>INDEX(CalLookUpTable,MATCH($B4424,CalLookUpRow,0),MATCH(I$1,CalLookUpColumn,0))</f>
        <v>4</v>
      </c>
    </row>
    <row r="4425" spans="1:9" x14ac:dyDescent="0.25">
      <c r="A4425" s="7">
        <v>3</v>
      </c>
      <c r="B4425" s="8">
        <v>43607</v>
      </c>
      <c r="C4425" s="9" t="s">
        <v>3</v>
      </c>
      <c r="D4425" s="10">
        <v>557.02499999999998</v>
      </c>
      <c r="E4425" s="10">
        <v>0</v>
      </c>
      <c r="F4425" t="str">
        <f>VLOOKUP(A4425,StoreLookup,2,FALSE)</f>
        <v>Store#3</v>
      </c>
      <c r="G4425">
        <f>INDEX(CalLookUpTable,MATCH($B4425,CalLookUpRow,0),MATCH(G$1,CalLookUpColumn,0))</f>
        <v>2019</v>
      </c>
      <c r="H4425">
        <f>INDEX(CalLookUpTable,MATCH($B4425,CalLookUpRow,0),MATCH(H$1,CalLookUpColumn,0))</f>
        <v>5</v>
      </c>
      <c r="I4425">
        <f>INDEX(CalLookUpTable,MATCH($B4425,CalLookUpRow,0),MATCH(I$1,CalLookUpColumn,0))</f>
        <v>4</v>
      </c>
    </row>
    <row r="4426" spans="1:9" x14ac:dyDescent="0.25">
      <c r="A4426" s="7">
        <v>3</v>
      </c>
      <c r="B4426" s="8">
        <v>43608</v>
      </c>
      <c r="C4426" s="9" t="s">
        <v>6</v>
      </c>
      <c r="D4426" s="10">
        <v>711.97699999999998</v>
      </c>
      <c r="E4426" s="10">
        <v>0</v>
      </c>
      <c r="F4426" t="str">
        <f>VLOOKUP(A4426,StoreLookup,2,FALSE)</f>
        <v>Store#3</v>
      </c>
      <c r="G4426">
        <f>INDEX(CalLookUpTable,MATCH($B4426,CalLookUpRow,0),MATCH(G$1,CalLookUpColumn,0))</f>
        <v>2019</v>
      </c>
      <c r="H4426">
        <f>INDEX(CalLookUpTable,MATCH($B4426,CalLookUpRow,0),MATCH(H$1,CalLookUpColumn,0))</f>
        <v>5</v>
      </c>
      <c r="I4426">
        <f>INDEX(CalLookUpTable,MATCH($B4426,CalLookUpRow,0),MATCH(I$1,CalLookUpColumn,0))</f>
        <v>4</v>
      </c>
    </row>
    <row r="4427" spans="1:9" x14ac:dyDescent="0.25">
      <c r="A4427" s="7">
        <v>3</v>
      </c>
      <c r="B4427" s="8">
        <v>43608</v>
      </c>
      <c r="C4427" s="9" t="s">
        <v>4</v>
      </c>
      <c r="D4427" s="10">
        <v>3504.8019999999997</v>
      </c>
      <c r="E4427" s="10">
        <v>0</v>
      </c>
      <c r="F4427" t="str">
        <f>VLOOKUP(A4427,StoreLookup,2,FALSE)</f>
        <v>Store#3</v>
      </c>
      <c r="G4427">
        <f>INDEX(CalLookUpTable,MATCH($B4427,CalLookUpRow,0),MATCH(G$1,CalLookUpColumn,0))</f>
        <v>2019</v>
      </c>
      <c r="H4427">
        <f>INDEX(CalLookUpTable,MATCH($B4427,CalLookUpRow,0),MATCH(H$1,CalLookUpColumn,0))</f>
        <v>5</v>
      </c>
      <c r="I4427">
        <f>INDEX(CalLookUpTable,MATCH($B4427,CalLookUpRow,0),MATCH(I$1,CalLookUpColumn,0))</f>
        <v>4</v>
      </c>
    </row>
    <row r="4428" spans="1:9" x14ac:dyDescent="0.25">
      <c r="A4428" s="7">
        <v>3</v>
      </c>
      <c r="B4428" s="8">
        <v>43608</v>
      </c>
      <c r="C4428" s="9" t="s">
        <v>3</v>
      </c>
      <c r="D4428" s="10">
        <v>207.71799999999999</v>
      </c>
      <c r="E4428" s="10">
        <v>0</v>
      </c>
      <c r="F4428" t="str">
        <f>VLOOKUP(A4428,StoreLookup,2,FALSE)</f>
        <v>Store#3</v>
      </c>
      <c r="G4428">
        <f>INDEX(CalLookUpTable,MATCH($B4428,CalLookUpRow,0),MATCH(G$1,CalLookUpColumn,0))</f>
        <v>2019</v>
      </c>
      <c r="H4428">
        <f>INDEX(CalLookUpTable,MATCH($B4428,CalLookUpRow,0),MATCH(H$1,CalLookUpColumn,0))</f>
        <v>5</v>
      </c>
      <c r="I4428">
        <f>INDEX(CalLookUpTable,MATCH($B4428,CalLookUpRow,0),MATCH(I$1,CalLookUpColumn,0))</f>
        <v>4</v>
      </c>
    </row>
    <row r="4429" spans="1:9" x14ac:dyDescent="0.25">
      <c r="A4429" s="7">
        <v>3</v>
      </c>
      <c r="B4429" s="8">
        <v>43608</v>
      </c>
      <c r="C4429" s="9" t="s">
        <v>5</v>
      </c>
      <c r="D4429" s="10">
        <v>3767.7570000000001</v>
      </c>
      <c r="E4429" s="10">
        <v>0</v>
      </c>
      <c r="F4429" t="str">
        <f>VLOOKUP(A4429,StoreLookup,2,FALSE)</f>
        <v>Store#3</v>
      </c>
      <c r="G4429">
        <f>INDEX(CalLookUpTable,MATCH($B4429,CalLookUpRow,0),MATCH(G$1,CalLookUpColumn,0))</f>
        <v>2019</v>
      </c>
      <c r="H4429">
        <f>INDEX(CalLookUpTable,MATCH($B4429,CalLookUpRow,0),MATCH(H$1,CalLookUpColumn,0))</f>
        <v>5</v>
      </c>
      <c r="I4429">
        <f>INDEX(CalLookUpTable,MATCH($B4429,CalLookUpRow,0),MATCH(I$1,CalLookUpColumn,0))</f>
        <v>4</v>
      </c>
    </row>
    <row r="4430" spans="1:9" x14ac:dyDescent="0.25">
      <c r="A4430" s="7">
        <v>3</v>
      </c>
      <c r="B4430" s="8">
        <v>43609</v>
      </c>
      <c r="C4430" s="9" t="s">
        <v>5</v>
      </c>
      <c r="D4430" s="10">
        <v>3586.4920000000002</v>
      </c>
      <c r="E4430" s="10">
        <v>0</v>
      </c>
      <c r="F4430" t="str">
        <f>VLOOKUP(A4430,StoreLookup,2,FALSE)</f>
        <v>Store#3</v>
      </c>
      <c r="G4430">
        <f>INDEX(CalLookUpTable,MATCH($B4430,CalLookUpRow,0),MATCH(G$1,CalLookUpColumn,0))</f>
        <v>2019</v>
      </c>
      <c r="H4430">
        <f>INDEX(CalLookUpTable,MATCH($B4430,CalLookUpRow,0),MATCH(H$1,CalLookUpColumn,0))</f>
        <v>5</v>
      </c>
      <c r="I4430">
        <f>INDEX(CalLookUpTable,MATCH($B4430,CalLookUpRow,0),MATCH(I$1,CalLookUpColumn,0))</f>
        <v>4</v>
      </c>
    </row>
    <row r="4431" spans="1:9" x14ac:dyDescent="0.25">
      <c r="A4431" s="7">
        <v>3</v>
      </c>
      <c r="B4431" s="8">
        <v>43609</v>
      </c>
      <c r="C4431" s="9" t="s">
        <v>3</v>
      </c>
      <c r="D4431" s="10">
        <v>200.018</v>
      </c>
      <c r="E4431" s="10">
        <v>0</v>
      </c>
      <c r="F4431" t="str">
        <f>VLOOKUP(A4431,StoreLookup,2,FALSE)</f>
        <v>Store#3</v>
      </c>
      <c r="G4431">
        <f>INDEX(CalLookUpTable,MATCH($B4431,CalLookUpRow,0),MATCH(G$1,CalLookUpColumn,0))</f>
        <v>2019</v>
      </c>
      <c r="H4431">
        <f>INDEX(CalLookUpTable,MATCH($B4431,CalLookUpRow,0),MATCH(H$1,CalLookUpColumn,0))</f>
        <v>5</v>
      </c>
      <c r="I4431">
        <f>INDEX(CalLookUpTable,MATCH($B4431,CalLookUpRow,0),MATCH(I$1,CalLookUpColumn,0))</f>
        <v>4</v>
      </c>
    </row>
    <row r="4432" spans="1:9" x14ac:dyDescent="0.25">
      <c r="A4432" s="7">
        <v>3</v>
      </c>
      <c r="B4432" s="8">
        <v>43609</v>
      </c>
      <c r="C4432" s="9" t="s">
        <v>4</v>
      </c>
      <c r="D4432" s="10">
        <v>3901.8839999999996</v>
      </c>
      <c r="E4432" s="10">
        <v>0</v>
      </c>
      <c r="F4432" t="str">
        <f>VLOOKUP(A4432,StoreLookup,2,FALSE)</f>
        <v>Store#3</v>
      </c>
      <c r="G4432">
        <f>INDEX(CalLookUpTable,MATCH($B4432,CalLookUpRow,0),MATCH(G$1,CalLookUpColumn,0))</f>
        <v>2019</v>
      </c>
      <c r="H4432">
        <f>INDEX(CalLookUpTable,MATCH($B4432,CalLookUpRow,0),MATCH(H$1,CalLookUpColumn,0))</f>
        <v>5</v>
      </c>
      <c r="I4432">
        <f>INDEX(CalLookUpTable,MATCH($B4432,CalLookUpRow,0),MATCH(I$1,CalLookUpColumn,0))</f>
        <v>4</v>
      </c>
    </row>
    <row r="4433" spans="1:9" x14ac:dyDescent="0.25">
      <c r="A4433" s="7">
        <v>3</v>
      </c>
      <c r="B4433" s="8">
        <v>43609</v>
      </c>
      <c r="C4433" s="9" t="s">
        <v>6</v>
      </c>
      <c r="D4433" s="10">
        <v>1086.337</v>
      </c>
      <c r="E4433" s="10">
        <v>0</v>
      </c>
      <c r="F4433" t="str">
        <f>VLOOKUP(A4433,StoreLookup,2,FALSE)</f>
        <v>Store#3</v>
      </c>
      <c r="G4433">
        <f>INDEX(CalLookUpTable,MATCH($B4433,CalLookUpRow,0),MATCH(G$1,CalLookUpColumn,0))</f>
        <v>2019</v>
      </c>
      <c r="H4433">
        <f>INDEX(CalLookUpTable,MATCH($B4433,CalLookUpRow,0),MATCH(H$1,CalLookUpColumn,0))</f>
        <v>5</v>
      </c>
      <c r="I4433">
        <f>INDEX(CalLookUpTable,MATCH($B4433,CalLookUpRow,0),MATCH(I$1,CalLookUpColumn,0))</f>
        <v>4</v>
      </c>
    </row>
    <row r="4434" spans="1:9" x14ac:dyDescent="0.25">
      <c r="A4434" s="7">
        <v>3</v>
      </c>
      <c r="B4434" s="8">
        <v>43610</v>
      </c>
      <c r="C4434" s="9" t="s">
        <v>3</v>
      </c>
      <c r="D4434" s="10">
        <v>144.018</v>
      </c>
      <c r="E4434" s="10">
        <v>0</v>
      </c>
      <c r="F4434" t="str">
        <f>VLOOKUP(A4434,StoreLookup,2,FALSE)</f>
        <v>Store#3</v>
      </c>
      <c r="G4434">
        <f>INDEX(CalLookUpTable,MATCH($B4434,CalLookUpRow,0),MATCH(G$1,CalLookUpColumn,0))</f>
        <v>2019</v>
      </c>
      <c r="H4434">
        <f>INDEX(CalLookUpTable,MATCH($B4434,CalLookUpRow,0),MATCH(H$1,CalLookUpColumn,0))</f>
        <v>5</v>
      </c>
      <c r="I4434">
        <f>INDEX(CalLookUpTable,MATCH($B4434,CalLookUpRow,0),MATCH(I$1,CalLookUpColumn,0))</f>
        <v>4</v>
      </c>
    </row>
    <row r="4435" spans="1:9" x14ac:dyDescent="0.25">
      <c r="A4435" s="7">
        <v>3</v>
      </c>
      <c r="B4435" s="8">
        <v>43610</v>
      </c>
      <c r="C4435" s="9" t="s">
        <v>4</v>
      </c>
      <c r="D4435" s="10">
        <v>3098.5429999999997</v>
      </c>
      <c r="E4435" s="10">
        <v>0</v>
      </c>
      <c r="F4435" t="str">
        <f>VLOOKUP(A4435,StoreLookup,2,FALSE)</f>
        <v>Store#3</v>
      </c>
      <c r="G4435">
        <f>INDEX(CalLookUpTable,MATCH($B4435,CalLookUpRow,0),MATCH(G$1,CalLookUpColumn,0))</f>
        <v>2019</v>
      </c>
      <c r="H4435">
        <f>INDEX(CalLookUpTable,MATCH($B4435,CalLookUpRow,0),MATCH(H$1,CalLookUpColumn,0))</f>
        <v>5</v>
      </c>
      <c r="I4435">
        <f>INDEX(CalLookUpTable,MATCH($B4435,CalLookUpRow,0),MATCH(I$1,CalLookUpColumn,0))</f>
        <v>4</v>
      </c>
    </row>
    <row r="4436" spans="1:9" x14ac:dyDescent="0.25">
      <c r="A4436" s="7">
        <v>3</v>
      </c>
      <c r="B4436" s="8">
        <v>43610</v>
      </c>
      <c r="C4436" s="9" t="s">
        <v>5</v>
      </c>
      <c r="D4436" s="10">
        <v>2986.9629999999997</v>
      </c>
      <c r="E4436" s="10">
        <v>0</v>
      </c>
      <c r="F4436" t="str">
        <f>VLOOKUP(A4436,StoreLookup,2,FALSE)</f>
        <v>Store#3</v>
      </c>
      <c r="G4436">
        <f>INDEX(CalLookUpTable,MATCH($B4436,CalLookUpRow,0),MATCH(G$1,CalLookUpColumn,0))</f>
        <v>2019</v>
      </c>
      <c r="H4436">
        <f>INDEX(CalLookUpTable,MATCH($B4436,CalLookUpRow,0),MATCH(H$1,CalLookUpColumn,0))</f>
        <v>5</v>
      </c>
      <c r="I4436">
        <f>INDEX(CalLookUpTable,MATCH($B4436,CalLookUpRow,0),MATCH(I$1,CalLookUpColumn,0))</f>
        <v>4</v>
      </c>
    </row>
    <row r="4437" spans="1:9" x14ac:dyDescent="0.25">
      <c r="A4437" s="7">
        <v>3</v>
      </c>
      <c r="B4437" s="8">
        <v>43610</v>
      </c>
      <c r="C4437" s="9" t="s">
        <v>6</v>
      </c>
      <c r="D4437" s="10">
        <v>606.22799999999995</v>
      </c>
      <c r="E4437" s="10">
        <v>0</v>
      </c>
      <c r="F4437" t="str">
        <f>VLOOKUP(A4437,StoreLookup,2,FALSE)</f>
        <v>Store#3</v>
      </c>
      <c r="G4437">
        <f>INDEX(CalLookUpTable,MATCH($B4437,CalLookUpRow,0),MATCH(G$1,CalLookUpColumn,0))</f>
        <v>2019</v>
      </c>
      <c r="H4437">
        <f>INDEX(CalLookUpTable,MATCH($B4437,CalLookUpRow,0),MATCH(H$1,CalLookUpColumn,0))</f>
        <v>5</v>
      </c>
      <c r="I4437">
        <f>INDEX(CalLookUpTable,MATCH($B4437,CalLookUpRow,0),MATCH(I$1,CalLookUpColumn,0))</f>
        <v>4</v>
      </c>
    </row>
    <row r="4438" spans="1:9" x14ac:dyDescent="0.25">
      <c r="A4438" s="7">
        <v>3</v>
      </c>
      <c r="B4438" s="8">
        <v>43611</v>
      </c>
      <c r="C4438" s="9" t="s">
        <v>6</v>
      </c>
      <c r="D4438" s="10">
        <v>360.47899999999998</v>
      </c>
      <c r="E4438" s="10">
        <v>0</v>
      </c>
      <c r="F4438" t="str">
        <f>VLOOKUP(A4438,StoreLookup,2,FALSE)</f>
        <v>Store#3</v>
      </c>
      <c r="G4438">
        <f>INDEX(CalLookUpTable,MATCH($B4438,CalLookUpRow,0),MATCH(G$1,CalLookUpColumn,0))</f>
        <v>2019</v>
      </c>
      <c r="H4438">
        <f>INDEX(CalLookUpTable,MATCH($B4438,CalLookUpRow,0),MATCH(H$1,CalLookUpColumn,0))</f>
        <v>5</v>
      </c>
      <c r="I4438">
        <f>INDEX(CalLookUpTable,MATCH($B4438,CalLookUpRow,0),MATCH(I$1,CalLookUpColumn,0))</f>
        <v>4</v>
      </c>
    </row>
    <row r="4439" spans="1:9" x14ac:dyDescent="0.25">
      <c r="A4439" s="7">
        <v>3</v>
      </c>
      <c r="B4439" s="8">
        <v>43611</v>
      </c>
      <c r="C4439" s="9" t="s">
        <v>4</v>
      </c>
      <c r="D4439" s="10">
        <v>2765.63</v>
      </c>
      <c r="E4439" s="10">
        <v>0</v>
      </c>
      <c r="F4439" t="str">
        <f>VLOOKUP(A4439,StoreLookup,2,FALSE)</f>
        <v>Store#3</v>
      </c>
      <c r="G4439">
        <f>INDEX(CalLookUpTable,MATCH($B4439,CalLookUpRow,0),MATCH(G$1,CalLookUpColumn,0))</f>
        <v>2019</v>
      </c>
      <c r="H4439">
        <f>INDEX(CalLookUpTable,MATCH($B4439,CalLookUpRow,0),MATCH(H$1,CalLookUpColumn,0))</f>
        <v>5</v>
      </c>
      <c r="I4439">
        <f>INDEX(CalLookUpTable,MATCH($B4439,CalLookUpRow,0),MATCH(I$1,CalLookUpColumn,0))</f>
        <v>4</v>
      </c>
    </row>
    <row r="4440" spans="1:9" x14ac:dyDescent="0.25">
      <c r="A4440" s="7">
        <v>3</v>
      </c>
      <c r="B4440" s="8">
        <v>43611</v>
      </c>
      <c r="C4440" s="9" t="s">
        <v>3</v>
      </c>
      <c r="D4440" s="10">
        <v>0</v>
      </c>
      <c r="E4440" s="10">
        <v>0</v>
      </c>
      <c r="F4440" t="str">
        <f>VLOOKUP(A4440,StoreLookup,2,FALSE)</f>
        <v>Store#3</v>
      </c>
      <c r="G4440">
        <f>INDEX(CalLookUpTable,MATCH($B4440,CalLookUpRow,0),MATCH(G$1,CalLookUpColumn,0))</f>
        <v>2019</v>
      </c>
      <c r="H4440">
        <f>INDEX(CalLookUpTable,MATCH($B4440,CalLookUpRow,0),MATCH(H$1,CalLookUpColumn,0))</f>
        <v>5</v>
      </c>
      <c r="I4440">
        <f>INDEX(CalLookUpTable,MATCH($B4440,CalLookUpRow,0),MATCH(I$1,CalLookUpColumn,0))</f>
        <v>4</v>
      </c>
    </row>
    <row r="4441" spans="1:9" x14ac:dyDescent="0.25">
      <c r="A4441" s="7">
        <v>3</v>
      </c>
      <c r="B4441" s="8">
        <v>43611</v>
      </c>
      <c r="C4441" s="9" t="s">
        <v>5</v>
      </c>
      <c r="D4441" s="10">
        <v>2500.239</v>
      </c>
      <c r="E4441" s="10">
        <v>0</v>
      </c>
      <c r="F4441" t="str">
        <f>VLOOKUP(A4441,StoreLookup,2,FALSE)</f>
        <v>Store#3</v>
      </c>
      <c r="G4441">
        <f>INDEX(CalLookUpTable,MATCH($B4441,CalLookUpRow,0),MATCH(G$1,CalLookUpColumn,0))</f>
        <v>2019</v>
      </c>
      <c r="H4441">
        <f>INDEX(CalLookUpTable,MATCH($B4441,CalLookUpRow,0),MATCH(H$1,CalLookUpColumn,0))</f>
        <v>5</v>
      </c>
      <c r="I4441">
        <f>INDEX(CalLookUpTable,MATCH($B4441,CalLookUpRow,0),MATCH(I$1,CalLookUpColumn,0))</f>
        <v>4</v>
      </c>
    </row>
    <row r="4442" spans="1:9" x14ac:dyDescent="0.25">
      <c r="A4442" s="7">
        <v>3</v>
      </c>
      <c r="B4442" s="8">
        <v>43612</v>
      </c>
      <c r="C4442" s="9" t="s">
        <v>3</v>
      </c>
      <c r="D4442" s="10">
        <v>92.315999999999988</v>
      </c>
      <c r="E4442" s="10">
        <v>0</v>
      </c>
      <c r="F4442" t="str">
        <f>VLOOKUP(A4442,StoreLookup,2,FALSE)</f>
        <v>Store#3</v>
      </c>
      <c r="G4442">
        <f>INDEX(CalLookUpTable,MATCH($B4442,CalLookUpRow,0),MATCH(G$1,CalLookUpColumn,0))</f>
        <v>2019</v>
      </c>
      <c r="H4442">
        <f>INDEX(CalLookUpTable,MATCH($B4442,CalLookUpRow,0),MATCH(H$1,CalLookUpColumn,0))</f>
        <v>6</v>
      </c>
      <c r="I4442">
        <f>INDEX(CalLookUpTable,MATCH($B4442,CalLookUpRow,0),MATCH(I$1,CalLookUpColumn,0))</f>
        <v>1</v>
      </c>
    </row>
    <row r="4443" spans="1:9" x14ac:dyDescent="0.25">
      <c r="A4443" s="7">
        <v>3</v>
      </c>
      <c r="B4443" s="8">
        <v>43612</v>
      </c>
      <c r="C4443" s="9" t="s">
        <v>6</v>
      </c>
      <c r="D4443" s="10">
        <v>826.97300000000007</v>
      </c>
      <c r="E4443" s="10">
        <v>0</v>
      </c>
      <c r="F4443" t="str">
        <f>VLOOKUP(A4443,StoreLookup,2,FALSE)</f>
        <v>Store#3</v>
      </c>
      <c r="G4443">
        <f>INDEX(CalLookUpTable,MATCH($B4443,CalLookUpRow,0),MATCH(G$1,CalLookUpColumn,0))</f>
        <v>2019</v>
      </c>
      <c r="H4443">
        <f>INDEX(CalLookUpTable,MATCH($B4443,CalLookUpRow,0),MATCH(H$1,CalLookUpColumn,0))</f>
        <v>6</v>
      </c>
      <c r="I4443">
        <f>INDEX(CalLookUpTable,MATCH($B4443,CalLookUpRow,0),MATCH(I$1,CalLookUpColumn,0))</f>
        <v>1</v>
      </c>
    </row>
    <row r="4444" spans="1:9" x14ac:dyDescent="0.25">
      <c r="A4444" s="7">
        <v>3</v>
      </c>
      <c r="B4444" s="8">
        <v>43612</v>
      </c>
      <c r="C4444" s="9" t="s">
        <v>4</v>
      </c>
      <c r="D4444" s="10">
        <v>3166.5409999999997</v>
      </c>
      <c r="E4444" s="10">
        <v>0</v>
      </c>
      <c r="F4444" t="str">
        <f>VLOOKUP(A4444,StoreLookup,2,FALSE)</f>
        <v>Store#3</v>
      </c>
      <c r="G4444">
        <f>INDEX(CalLookUpTable,MATCH($B4444,CalLookUpRow,0),MATCH(G$1,CalLookUpColumn,0))</f>
        <v>2019</v>
      </c>
      <c r="H4444">
        <f>INDEX(CalLookUpTable,MATCH($B4444,CalLookUpRow,0),MATCH(H$1,CalLookUpColumn,0))</f>
        <v>6</v>
      </c>
      <c r="I4444">
        <f>INDEX(CalLookUpTable,MATCH($B4444,CalLookUpRow,0),MATCH(I$1,CalLookUpColumn,0))</f>
        <v>1</v>
      </c>
    </row>
    <row r="4445" spans="1:9" x14ac:dyDescent="0.25">
      <c r="A4445" s="7">
        <v>3</v>
      </c>
      <c r="B4445" s="8">
        <v>43612</v>
      </c>
      <c r="C4445" s="9" t="s">
        <v>5</v>
      </c>
      <c r="D4445" s="10">
        <v>3189.585</v>
      </c>
      <c r="E4445" s="10">
        <v>0</v>
      </c>
      <c r="F4445" t="str">
        <f>VLOOKUP(A4445,StoreLookup,2,FALSE)</f>
        <v>Store#3</v>
      </c>
      <c r="G4445">
        <f>INDEX(CalLookUpTable,MATCH($B4445,CalLookUpRow,0),MATCH(G$1,CalLookUpColumn,0))</f>
        <v>2019</v>
      </c>
      <c r="H4445">
        <f>INDEX(CalLookUpTable,MATCH($B4445,CalLookUpRow,0),MATCH(H$1,CalLookUpColumn,0))</f>
        <v>6</v>
      </c>
      <c r="I4445">
        <f>INDEX(CalLookUpTable,MATCH($B4445,CalLookUpRow,0),MATCH(I$1,CalLookUpColumn,0))</f>
        <v>1</v>
      </c>
    </row>
    <row r="4446" spans="1:9" x14ac:dyDescent="0.25">
      <c r="A4446" s="7">
        <v>3</v>
      </c>
      <c r="B4446" s="8">
        <v>43613</v>
      </c>
      <c r="C4446" s="9" t="s">
        <v>6</v>
      </c>
      <c r="D4446" s="10">
        <v>655.774</v>
      </c>
      <c r="E4446" s="10">
        <v>0</v>
      </c>
      <c r="F4446" t="str">
        <f>VLOOKUP(A4446,StoreLookup,2,FALSE)</f>
        <v>Store#3</v>
      </c>
      <c r="G4446">
        <f>INDEX(CalLookUpTable,MATCH($B4446,CalLookUpRow,0),MATCH(G$1,CalLookUpColumn,0))</f>
        <v>2019</v>
      </c>
      <c r="H4446">
        <f>INDEX(CalLookUpTable,MATCH($B4446,CalLookUpRow,0),MATCH(H$1,CalLookUpColumn,0))</f>
        <v>6</v>
      </c>
      <c r="I4446">
        <f>INDEX(CalLookUpTable,MATCH($B4446,CalLookUpRow,0),MATCH(I$1,CalLookUpColumn,0))</f>
        <v>1</v>
      </c>
    </row>
    <row r="4447" spans="1:9" x14ac:dyDescent="0.25">
      <c r="A4447" s="7">
        <v>3</v>
      </c>
      <c r="B4447" s="8">
        <v>43613</v>
      </c>
      <c r="C4447" s="9" t="s">
        <v>5</v>
      </c>
      <c r="D4447" s="10">
        <v>3404.6880000000001</v>
      </c>
      <c r="E4447" s="10">
        <v>0</v>
      </c>
      <c r="F4447" t="str">
        <f>VLOOKUP(A4447,StoreLookup,2,FALSE)</f>
        <v>Store#3</v>
      </c>
      <c r="G4447">
        <f>INDEX(CalLookUpTable,MATCH($B4447,CalLookUpRow,0),MATCH(G$1,CalLookUpColumn,0))</f>
        <v>2019</v>
      </c>
      <c r="H4447">
        <f>INDEX(CalLookUpTable,MATCH($B4447,CalLookUpRow,0),MATCH(H$1,CalLookUpColumn,0))</f>
        <v>6</v>
      </c>
      <c r="I4447">
        <f>INDEX(CalLookUpTable,MATCH($B4447,CalLookUpRow,0),MATCH(I$1,CalLookUpColumn,0))</f>
        <v>1</v>
      </c>
    </row>
    <row r="4448" spans="1:9" x14ac:dyDescent="0.25">
      <c r="A4448" s="7">
        <v>3</v>
      </c>
      <c r="B4448" s="8">
        <v>43613</v>
      </c>
      <c r="C4448" s="9" t="s">
        <v>4</v>
      </c>
      <c r="D4448" s="10">
        <v>2522.5759999999996</v>
      </c>
      <c r="E4448" s="10">
        <v>0</v>
      </c>
      <c r="F4448" t="str">
        <f>VLOOKUP(A4448,StoreLookup,2,FALSE)</f>
        <v>Store#3</v>
      </c>
      <c r="G4448">
        <f>INDEX(CalLookUpTable,MATCH($B4448,CalLookUpRow,0),MATCH(G$1,CalLookUpColumn,0))</f>
        <v>2019</v>
      </c>
      <c r="H4448">
        <f>INDEX(CalLookUpTable,MATCH($B4448,CalLookUpRow,0),MATCH(H$1,CalLookUpColumn,0))</f>
        <v>6</v>
      </c>
      <c r="I4448">
        <f>INDEX(CalLookUpTable,MATCH($B4448,CalLookUpRow,0),MATCH(I$1,CalLookUpColumn,0))</f>
        <v>1</v>
      </c>
    </row>
    <row r="4449" spans="1:9" x14ac:dyDescent="0.25">
      <c r="A4449" s="7">
        <v>3</v>
      </c>
      <c r="B4449" s="8">
        <v>43613</v>
      </c>
      <c r="C4449" s="9" t="s">
        <v>3</v>
      </c>
      <c r="D4449" s="10">
        <v>0</v>
      </c>
      <c r="E4449" s="10">
        <v>0</v>
      </c>
      <c r="F4449" t="str">
        <f>VLOOKUP(A4449,StoreLookup,2,FALSE)</f>
        <v>Store#3</v>
      </c>
      <c r="G4449">
        <f>INDEX(CalLookUpTable,MATCH($B4449,CalLookUpRow,0),MATCH(G$1,CalLookUpColumn,0))</f>
        <v>2019</v>
      </c>
      <c r="H4449">
        <f>INDEX(CalLookUpTable,MATCH($B4449,CalLookUpRow,0),MATCH(H$1,CalLookUpColumn,0))</f>
        <v>6</v>
      </c>
      <c r="I4449">
        <f>INDEX(CalLookUpTable,MATCH($B4449,CalLookUpRow,0),MATCH(I$1,CalLookUpColumn,0))</f>
        <v>1</v>
      </c>
    </row>
    <row r="4450" spans="1:9" x14ac:dyDescent="0.25">
      <c r="A4450" s="7">
        <v>3</v>
      </c>
      <c r="B4450" s="8">
        <v>43614</v>
      </c>
      <c r="C4450" s="9" t="s">
        <v>5</v>
      </c>
      <c r="D4450" s="10">
        <v>3227.6089999999999</v>
      </c>
      <c r="E4450" s="10">
        <v>0</v>
      </c>
      <c r="F4450" t="str">
        <f>VLOOKUP(A4450,StoreLookup,2,FALSE)</f>
        <v>Store#3</v>
      </c>
      <c r="G4450">
        <f>INDEX(CalLookUpTable,MATCH($B4450,CalLookUpRow,0),MATCH(G$1,CalLookUpColumn,0))</f>
        <v>2019</v>
      </c>
      <c r="H4450">
        <f>INDEX(CalLookUpTable,MATCH($B4450,CalLookUpRow,0),MATCH(H$1,CalLookUpColumn,0))</f>
        <v>6</v>
      </c>
      <c r="I4450">
        <f>INDEX(CalLookUpTable,MATCH($B4450,CalLookUpRow,0),MATCH(I$1,CalLookUpColumn,0))</f>
        <v>1</v>
      </c>
    </row>
    <row r="4451" spans="1:9" x14ac:dyDescent="0.25">
      <c r="A4451" s="7">
        <v>3</v>
      </c>
      <c r="B4451" s="8">
        <v>43614</v>
      </c>
      <c r="C4451" s="9" t="s">
        <v>4</v>
      </c>
      <c r="D4451" s="10">
        <v>2748.1229999999996</v>
      </c>
      <c r="E4451" s="10">
        <v>0</v>
      </c>
      <c r="F4451" t="str">
        <f>VLOOKUP(A4451,StoreLookup,2,FALSE)</f>
        <v>Store#3</v>
      </c>
      <c r="G4451">
        <f>INDEX(CalLookUpTable,MATCH($B4451,CalLookUpRow,0),MATCH(G$1,CalLookUpColumn,0))</f>
        <v>2019</v>
      </c>
      <c r="H4451">
        <f>INDEX(CalLookUpTable,MATCH($B4451,CalLookUpRow,0),MATCH(H$1,CalLookUpColumn,0))</f>
        <v>6</v>
      </c>
      <c r="I4451">
        <f>INDEX(CalLookUpTable,MATCH($B4451,CalLookUpRow,0),MATCH(I$1,CalLookUpColumn,0))</f>
        <v>1</v>
      </c>
    </row>
    <row r="4452" spans="1:9" x14ac:dyDescent="0.25">
      <c r="A4452" s="7">
        <v>3</v>
      </c>
      <c r="B4452" s="8">
        <v>43614</v>
      </c>
      <c r="C4452" s="9" t="s">
        <v>3</v>
      </c>
      <c r="D4452" s="10">
        <v>176.946</v>
      </c>
      <c r="E4452" s="10">
        <v>0</v>
      </c>
      <c r="F4452" t="str">
        <f>VLOOKUP(A4452,StoreLookup,2,FALSE)</f>
        <v>Store#3</v>
      </c>
      <c r="G4452">
        <f>INDEX(CalLookUpTable,MATCH($B4452,CalLookUpRow,0),MATCH(G$1,CalLookUpColumn,0))</f>
        <v>2019</v>
      </c>
      <c r="H4452">
        <f>INDEX(CalLookUpTable,MATCH($B4452,CalLookUpRow,0),MATCH(H$1,CalLookUpColumn,0))</f>
        <v>6</v>
      </c>
      <c r="I4452">
        <f>INDEX(CalLookUpTable,MATCH($B4452,CalLookUpRow,0),MATCH(I$1,CalLookUpColumn,0))</f>
        <v>1</v>
      </c>
    </row>
    <row r="4453" spans="1:9" x14ac:dyDescent="0.25">
      <c r="A4453" s="7">
        <v>3</v>
      </c>
      <c r="B4453" s="8">
        <v>43614</v>
      </c>
      <c r="C4453" s="9" t="s">
        <v>6</v>
      </c>
      <c r="D4453" s="10">
        <v>624.92499999999995</v>
      </c>
      <c r="E4453" s="10">
        <v>0</v>
      </c>
      <c r="F4453" t="str">
        <f>VLOOKUP(A4453,StoreLookup,2,FALSE)</f>
        <v>Store#3</v>
      </c>
      <c r="G4453">
        <f>INDEX(CalLookUpTable,MATCH($B4453,CalLookUpRow,0),MATCH(G$1,CalLookUpColumn,0))</f>
        <v>2019</v>
      </c>
      <c r="H4453">
        <f>INDEX(CalLookUpTable,MATCH($B4453,CalLookUpRow,0),MATCH(H$1,CalLookUpColumn,0))</f>
        <v>6</v>
      </c>
      <c r="I4453">
        <f>INDEX(CalLookUpTable,MATCH($B4453,CalLookUpRow,0),MATCH(I$1,CalLookUpColumn,0))</f>
        <v>1</v>
      </c>
    </row>
    <row r="4454" spans="1:9" x14ac:dyDescent="0.25">
      <c r="A4454" s="7">
        <v>3</v>
      </c>
      <c r="B4454" s="8">
        <v>43615</v>
      </c>
      <c r="C4454" s="9" t="s">
        <v>6</v>
      </c>
      <c r="D4454" s="10">
        <v>989.05799999999999</v>
      </c>
      <c r="E4454" s="10">
        <v>0</v>
      </c>
      <c r="F4454" t="str">
        <f>VLOOKUP(A4454,StoreLookup,2,FALSE)</f>
        <v>Store#3</v>
      </c>
      <c r="G4454">
        <f>INDEX(CalLookUpTable,MATCH($B4454,CalLookUpRow,0),MATCH(G$1,CalLookUpColumn,0))</f>
        <v>2019</v>
      </c>
      <c r="H4454">
        <f>INDEX(CalLookUpTable,MATCH($B4454,CalLookUpRow,0),MATCH(H$1,CalLookUpColumn,0))</f>
        <v>6</v>
      </c>
      <c r="I4454">
        <f>INDEX(CalLookUpTable,MATCH($B4454,CalLookUpRow,0),MATCH(I$1,CalLookUpColumn,0))</f>
        <v>1</v>
      </c>
    </row>
    <row r="4455" spans="1:9" x14ac:dyDescent="0.25">
      <c r="A4455" s="7">
        <v>3</v>
      </c>
      <c r="B4455" s="8">
        <v>43615</v>
      </c>
      <c r="C4455" s="9" t="s">
        <v>5</v>
      </c>
      <c r="D4455" s="10">
        <v>3553.3609999999994</v>
      </c>
      <c r="E4455" s="10">
        <v>0</v>
      </c>
      <c r="F4455" t="str">
        <f>VLOOKUP(A4455,StoreLookup,2,FALSE)</f>
        <v>Store#3</v>
      </c>
      <c r="G4455">
        <f>INDEX(CalLookUpTable,MATCH($B4455,CalLookUpRow,0),MATCH(G$1,CalLookUpColumn,0))</f>
        <v>2019</v>
      </c>
      <c r="H4455">
        <f>INDEX(CalLookUpTable,MATCH($B4455,CalLookUpRow,0),MATCH(H$1,CalLookUpColumn,0))</f>
        <v>6</v>
      </c>
      <c r="I4455">
        <f>INDEX(CalLookUpTable,MATCH($B4455,CalLookUpRow,0),MATCH(I$1,CalLookUpColumn,0))</f>
        <v>1</v>
      </c>
    </row>
    <row r="4456" spans="1:9" x14ac:dyDescent="0.25">
      <c r="A4456" s="7">
        <v>3</v>
      </c>
      <c r="B4456" s="8">
        <v>43615</v>
      </c>
      <c r="C4456" s="9" t="s">
        <v>4</v>
      </c>
      <c r="D4456" s="10">
        <v>3538.3459999999995</v>
      </c>
      <c r="E4456" s="10">
        <v>0</v>
      </c>
      <c r="F4456" t="str">
        <f>VLOOKUP(A4456,StoreLookup,2,FALSE)</f>
        <v>Store#3</v>
      </c>
      <c r="G4456">
        <f>INDEX(CalLookUpTable,MATCH($B4456,CalLookUpRow,0),MATCH(G$1,CalLookUpColumn,0))</f>
        <v>2019</v>
      </c>
      <c r="H4456">
        <f>INDEX(CalLookUpTable,MATCH($B4456,CalLookUpRow,0),MATCH(H$1,CalLookUpColumn,0))</f>
        <v>6</v>
      </c>
      <c r="I4456">
        <f>INDEX(CalLookUpTable,MATCH($B4456,CalLookUpRow,0),MATCH(I$1,CalLookUpColumn,0))</f>
        <v>1</v>
      </c>
    </row>
    <row r="4457" spans="1:9" x14ac:dyDescent="0.25">
      <c r="A4457" s="7">
        <v>3</v>
      </c>
      <c r="B4457" s="8">
        <v>43615</v>
      </c>
      <c r="C4457" s="9" t="s">
        <v>3</v>
      </c>
      <c r="D4457" s="10">
        <v>23.841999999999999</v>
      </c>
      <c r="E4457" s="10">
        <v>0</v>
      </c>
      <c r="F4457" t="str">
        <f>VLOOKUP(A4457,StoreLookup,2,FALSE)</f>
        <v>Store#3</v>
      </c>
      <c r="G4457">
        <f>INDEX(CalLookUpTable,MATCH($B4457,CalLookUpRow,0),MATCH(G$1,CalLookUpColumn,0))</f>
        <v>2019</v>
      </c>
      <c r="H4457">
        <f>INDEX(CalLookUpTable,MATCH($B4457,CalLookUpRow,0),MATCH(H$1,CalLookUpColumn,0))</f>
        <v>6</v>
      </c>
      <c r="I4457">
        <f>INDEX(CalLookUpTable,MATCH($B4457,CalLookUpRow,0),MATCH(I$1,CalLookUpColumn,0))</f>
        <v>1</v>
      </c>
    </row>
    <row r="4458" spans="1:9" x14ac:dyDescent="0.25">
      <c r="A4458" s="7">
        <v>3</v>
      </c>
      <c r="B4458" s="8">
        <v>43616</v>
      </c>
      <c r="C4458" s="9" t="s">
        <v>6</v>
      </c>
      <c r="D4458" s="10">
        <v>1046.4580000000001</v>
      </c>
      <c r="E4458" s="10">
        <v>0</v>
      </c>
      <c r="F4458" t="str">
        <f>VLOOKUP(A4458,StoreLookup,2,FALSE)</f>
        <v>Store#3</v>
      </c>
      <c r="G4458">
        <f>INDEX(CalLookUpTable,MATCH($B4458,CalLookUpRow,0),MATCH(G$1,CalLookUpColumn,0))</f>
        <v>2019</v>
      </c>
      <c r="H4458">
        <f>INDEX(CalLookUpTable,MATCH($B4458,CalLookUpRow,0),MATCH(H$1,CalLookUpColumn,0))</f>
        <v>6</v>
      </c>
      <c r="I4458">
        <f>INDEX(CalLookUpTable,MATCH($B4458,CalLookUpRow,0),MATCH(I$1,CalLookUpColumn,0))</f>
        <v>1</v>
      </c>
    </row>
    <row r="4459" spans="1:9" x14ac:dyDescent="0.25">
      <c r="A4459" s="7">
        <v>3</v>
      </c>
      <c r="B4459" s="8">
        <v>43616</v>
      </c>
      <c r="C4459" s="9" t="s">
        <v>5</v>
      </c>
      <c r="D4459" s="10">
        <v>3567.8089999999997</v>
      </c>
      <c r="E4459" s="10">
        <v>0</v>
      </c>
      <c r="F4459" t="str">
        <f>VLOOKUP(A4459,StoreLookup,2,FALSE)</f>
        <v>Store#3</v>
      </c>
      <c r="G4459">
        <f>INDEX(CalLookUpTable,MATCH($B4459,CalLookUpRow,0),MATCH(G$1,CalLookUpColumn,0))</f>
        <v>2019</v>
      </c>
      <c r="H4459">
        <f>INDEX(CalLookUpTable,MATCH($B4459,CalLookUpRow,0),MATCH(H$1,CalLookUpColumn,0))</f>
        <v>6</v>
      </c>
      <c r="I4459">
        <f>INDEX(CalLookUpTable,MATCH($B4459,CalLookUpRow,0),MATCH(I$1,CalLookUpColumn,0))</f>
        <v>1</v>
      </c>
    </row>
    <row r="4460" spans="1:9" x14ac:dyDescent="0.25">
      <c r="A4460" s="7">
        <v>3</v>
      </c>
      <c r="B4460" s="8">
        <v>43616</v>
      </c>
      <c r="C4460" s="9" t="s">
        <v>3</v>
      </c>
      <c r="D4460" s="10">
        <v>13.628999999999998</v>
      </c>
      <c r="E4460" s="10">
        <v>0</v>
      </c>
      <c r="F4460" t="str">
        <f>VLOOKUP(A4460,StoreLookup,2,FALSE)</f>
        <v>Store#3</v>
      </c>
      <c r="G4460">
        <f>INDEX(CalLookUpTable,MATCH($B4460,CalLookUpRow,0),MATCH(G$1,CalLookUpColumn,0))</f>
        <v>2019</v>
      </c>
      <c r="H4460">
        <f>INDEX(CalLookUpTable,MATCH($B4460,CalLookUpRow,0),MATCH(H$1,CalLookUpColumn,0))</f>
        <v>6</v>
      </c>
      <c r="I4460">
        <f>INDEX(CalLookUpTable,MATCH($B4460,CalLookUpRow,0),MATCH(I$1,CalLookUpColumn,0))</f>
        <v>1</v>
      </c>
    </row>
    <row r="4461" spans="1:9" x14ac:dyDescent="0.25">
      <c r="A4461" s="7">
        <v>3</v>
      </c>
      <c r="B4461" s="8">
        <v>43616</v>
      </c>
      <c r="C4461" s="9" t="s">
        <v>4</v>
      </c>
      <c r="D4461" s="10">
        <v>3667.8879999999999</v>
      </c>
      <c r="E4461" s="10">
        <v>0</v>
      </c>
      <c r="F4461" t="str">
        <f>VLOOKUP(A4461,StoreLookup,2,FALSE)</f>
        <v>Store#3</v>
      </c>
      <c r="G4461">
        <f>INDEX(CalLookUpTable,MATCH($B4461,CalLookUpRow,0),MATCH(G$1,CalLookUpColumn,0))</f>
        <v>2019</v>
      </c>
      <c r="H4461">
        <f>INDEX(CalLookUpTable,MATCH($B4461,CalLookUpRow,0),MATCH(H$1,CalLookUpColumn,0))</f>
        <v>6</v>
      </c>
      <c r="I4461">
        <f>INDEX(CalLookUpTable,MATCH($B4461,CalLookUpRow,0),MATCH(I$1,CalLookUpColumn,0))</f>
        <v>1</v>
      </c>
    </row>
    <row r="4462" spans="1:9" x14ac:dyDescent="0.25">
      <c r="A4462" s="7">
        <v>3</v>
      </c>
      <c r="B4462" s="8">
        <v>43617</v>
      </c>
      <c r="C4462" s="9" t="s">
        <v>3</v>
      </c>
      <c r="D4462" s="10">
        <v>253.512</v>
      </c>
      <c r="E4462" s="10">
        <v>0</v>
      </c>
      <c r="F4462" t="str">
        <f>VLOOKUP(A4462,StoreLookup,2,FALSE)</f>
        <v>Store#3</v>
      </c>
      <c r="G4462">
        <f>INDEX(CalLookUpTable,MATCH($B4462,CalLookUpRow,0),MATCH(G$1,CalLookUpColumn,0))</f>
        <v>2019</v>
      </c>
      <c r="H4462">
        <f>INDEX(CalLookUpTable,MATCH($B4462,CalLookUpRow,0),MATCH(H$1,CalLookUpColumn,0))</f>
        <v>6</v>
      </c>
      <c r="I4462">
        <f>INDEX(CalLookUpTable,MATCH($B4462,CalLookUpRow,0),MATCH(I$1,CalLookUpColumn,0))</f>
        <v>1</v>
      </c>
    </row>
    <row r="4463" spans="1:9" x14ac:dyDescent="0.25">
      <c r="A4463" s="7">
        <v>3</v>
      </c>
      <c r="B4463" s="8">
        <v>43617</v>
      </c>
      <c r="C4463" s="9" t="s">
        <v>6</v>
      </c>
      <c r="D4463" s="10">
        <v>631.79899999999998</v>
      </c>
      <c r="E4463" s="10">
        <v>0</v>
      </c>
      <c r="F4463" t="str">
        <f>VLOOKUP(A4463,StoreLookup,2,FALSE)</f>
        <v>Store#3</v>
      </c>
      <c r="G4463">
        <f>INDEX(CalLookUpTable,MATCH($B4463,CalLookUpRow,0),MATCH(G$1,CalLookUpColumn,0))</f>
        <v>2019</v>
      </c>
      <c r="H4463">
        <f>INDEX(CalLookUpTable,MATCH($B4463,CalLookUpRow,0),MATCH(H$1,CalLookUpColumn,0))</f>
        <v>6</v>
      </c>
      <c r="I4463">
        <f>INDEX(CalLookUpTable,MATCH($B4463,CalLookUpRow,0),MATCH(I$1,CalLookUpColumn,0))</f>
        <v>1</v>
      </c>
    </row>
    <row r="4464" spans="1:9" x14ac:dyDescent="0.25">
      <c r="A4464" s="7">
        <v>3</v>
      </c>
      <c r="B4464" s="8">
        <v>43617</v>
      </c>
      <c r="C4464" s="9" t="s">
        <v>4</v>
      </c>
      <c r="D4464" s="10">
        <v>3504.6759999999999</v>
      </c>
      <c r="E4464" s="10">
        <v>0</v>
      </c>
      <c r="F4464" t="str">
        <f>VLOOKUP(A4464,StoreLookup,2,FALSE)</f>
        <v>Store#3</v>
      </c>
      <c r="G4464">
        <f>INDEX(CalLookUpTable,MATCH($B4464,CalLookUpRow,0),MATCH(G$1,CalLookUpColumn,0))</f>
        <v>2019</v>
      </c>
      <c r="H4464">
        <f>INDEX(CalLookUpTable,MATCH($B4464,CalLookUpRow,0),MATCH(H$1,CalLookUpColumn,0))</f>
        <v>6</v>
      </c>
      <c r="I4464">
        <f>INDEX(CalLookUpTable,MATCH($B4464,CalLookUpRow,0),MATCH(I$1,CalLookUpColumn,0))</f>
        <v>1</v>
      </c>
    </row>
    <row r="4465" spans="1:9" x14ac:dyDescent="0.25">
      <c r="A4465" s="7">
        <v>3</v>
      </c>
      <c r="B4465" s="8">
        <v>43617</v>
      </c>
      <c r="C4465" s="9" t="s">
        <v>5</v>
      </c>
      <c r="D4465" s="10">
        <v>3347.5819999999999</v>
      </c>
      <c r="E4465" s="10">
        <v>0</v>
      </c>
      <c r="F4465" t="str">
        <f>VLOOKUP(A4465,StoreLookup,2,FALSE)</f>
        <v>Store#3</v>
      </c>
      <c r="G4465">
        <f>INDEX(CalLookUpTable,MATCH($B4465,CalLookUpRow,0),MATCH(G$1,CalLookUpColumn,0))</f>
        <v>2019</v>
      </c>
      <c r="H4465">
        <f>INDEX(CalLookUpTable,MATCH($B4465,CalLookUpRow,0),MATCH(H$1,CalLookUpColumn,0))</f>
        <v>6</v>
      </c>
      <c r="I4465">
        <f>INDEX(CalLookUpTable,MATCH($B4465,CalLookUpRow,0),MATCH(I$1,CalLookUpColumn,0))</f>
        <v>1</v>
      </c>
    </row>
    <row r="4466" spans="1:9" x14ac:dyDescent="0.25">
      <c r="A4466" s="7">
        <v>3</v>
      </c>
      <c r="B4466" s="8">
        <v>43618</v>
      </c>
      <c r="C4466" s="9" t="s">
        <v>5</v>
      </c>
      <c r="D4466" s="10">
        <v>2995.5029999999997</v>
      </c>
      <c r="E4466" s="10">
        <v>0</v>
      </c>
      <c r="F4466" t="str">
        <f>VLOOKUP(A4466,StoreLookup,2,FALSE)</f>
        <v>Store#3</v>
      </c>
      <c r="G4466">
        <f>INDEX(CalLookUpTable,MATCH($B4466,CalLookUpRow,0),MATCH(G$1,CalLookUpColumn,0))</f>
        <v>2019</v>
      </c>
      <c r="H4466">
        <f>INDEX(CalLookUpTable,MATCH($B4466,CalLookUpRow,0),MATCH(H$1,CalLookUpColumn,0))</f>
        <v>6</v>
      </c>
      <c r="I4466">
        <f>INDEX(CalLookUpTable,MATCH($B4466,CalLookUpRow,0),MATCH(I$1,CalLookUpColumn,0))</f>
        <v>1</v>
      </c>
    </row>
    <row r="4467" spans="1:9" x14ac:dyDescent="0.25">
      <c r="A4467" s="7">
        <v>3</v>
      </c>
      <c r="B4467" s="8">
        <v>43618</v>
      </c>
      <c r="C4467" s="9" t="s">
        <v>6</v>
      </c>
      <c r="D4467" s="10">
        <v>372.63799999999998</v>
      </c>
      <c r="E4467" s="10">
        <v>0</v>
      </c>
      <c r="F4467" t="str">
        <f>VLOOKUP(A4467,StoreLookup,2,FALSE)</f>
        <v>Store#3</v>
      </c>
      <c r="G4467">
        <f>INDEX(CalLookUpTable,MATCH($B4467,CalLookUpRow,0),MATCH(G$1,CalLookUpColumn,0))</f>
        <v>2019</v>
      </c>
      <c r="H4467">
        <f>INDEX(CalLookUpTable,MATCH($B4467,CalLookUpRow,0),MATCH(H$1,CalLookUpColumn,0))</f>
        <v>6</v>
      </c>
      <c r="I4467">
        <f>INDEX(CalLookUpTable,MATCH($B4467,CalLookUpRow,0),MATCH(I$1,CalLookUpColumn,0))</f>
        <v>1</v>
      </c>
    </row>
    <row r="4468" spans="1:9" x14ac:dyDescent="0.25">
      <c r="A4468" s="7">
        <v>3</v>
      </c>
      <c r="B4468" s="8">
        <v>43618</v>
      </c>
      <c r="C4468" s="9" t="s">
        <v>3</v>
      </c>
      <c r="D4468" s="10">
        <v>277.50099999999998</v>
      </c>
      <c r="E4468" s="10">
        <v>0</v>
      </c>
      <c r="F4468" t="str">
        <f>VLOOKUP(A4468,StoreLookup,2,FALSE)</f>
        <v>Store#3</v>
      </c>
      <c r="G4468">
        <f>INDEX(CalLookUpTable,MATCH($B4468,CalLookUpRow,0),MATCH(G$1,CalLookUpColumn,0))</f>
        <v>2019</v>
      </c>
      <c r="H4468">
        <f>INDEX(CalLookUpTable,MATCH($B4468,CalLookUpRow,0),MATCH(H$1,CalLookUpColumn,0))</f>
        <v>6</v>
      </c>
      <c r="I4468">
        <f>INDEX(CalLookUpTable,MATCH($B4468,CalLookUpRow,0),MATCH(I$1,CalLookUpColumn,0))</f>
        <v>1</v>
      </c>
    </row>
    <row r="4469" spans="1:9" x14ac:dyDescent="0.25">
      <c r="A4469" s="7">
        <v>3</v>
      </c>
      <c r="B4469" s="8">
        <v>43618</v>
      </c>
      <c r="C4469" s="9" t="s">
        <v>4</v>
      </c>
      <c r="D4469" s="10">
        <v>3040.9540000000002</v>
      </c>
      <c r="E4469" s="10">
        <v>0</v>
      </c>
      <c r="F4469" t="str">
        <f>VLOOKUP(A4469,StoreLookup,2,FALSE)</f>
        <v>Store#3</v>
      </c>
      <c r="G4469">
        <f>INDEX(CalLookUpTable,MATCH($B4469,CalLookUpRow,0),MATCH(G$1,CalLookUpColumn,0))</f>
        <v>2019</v>
      </c>
      <c r="H4469">
        <f>INDEX(CalLookUpTable,MATCH($B4469,CalLookUpRow,0),MATCH(H$1,CalLookUpColumn,0))</f>
        <v>6</v>
      </c>
      <c r="I4469">
        <f>INDEX(CalLookUpTable,MATCH($B4469,CalLookUpRow,0),MATCH(I$1,CalLookUpColumn,0))</f>
        <v>1</v>
      </c>
    </row>
    <row r="4470" spans="1:9" x14ac:dyDescent="0.25">
      <c r="A4470" s="7">
        <v>3</v>
      </c>
      <c r="B4470" s="8">
        <v>43619</v>
      </c>
      <c r="C4470" s="9" t="s">
        <v>4</v>
      </c>
      <c r="D4470" s="10">
        <v>3059.826</v>
      </c>
      <c r="E4470" s="10">
        <v>0</v>
      </c>
      <c r="F4470" t="str">
        <f>VLOOKUP(A4470,StoreLookup,2,FALSE)</f>
        <v>Store#3</v>
      </c>
      <c r="G4470">
        <f>INDEX(CalLookUpTable,MATCH($B4470,CalLookUpRow,0),MATCH(G$1,CalLookUpColumn,0))</f>
        <v>2019</v>
      </c>
      <c r="H4470">
        <f>INDEX(CalLookUpTable,MATCH($B4470,CalLookUpRow,0),MATCH(H$1,CalLookUpColumn,0))</f>
        <v>6</v>
      </c>
      <c r="I4470">
        <f>INDEX(CalLookUpTable,MATCH($B4470,CalLookUpRow,0),MATCH(I$1,CalLookUpColumn,0))</f>
        <v>2</v>
      </c>
    </row>
    <row r="4471" spans="1:9" x14ac:dyDescent="0.25">
      <c r="A4471" s="7">
        <v>3</v>
      </c>
      <c r="B4471" s="8">
        <v>43619</v>
      </c>
      <c r="C4471" s="9" t="s">
        <v>5</v>
      </c>
      <c r="D4471" s="10">
        <v>3192.0839999999998</v>
      </c>
      <c r="E4471" s="10">
        <v>0</v>
      </c>
      <c r="F4471" t="str">
        <f>VLOOKUP(A4471,StoreLookup,2,FALSE)</f>
        <v>Store#3</v>
      </c>
      <c r="G4471">
        <f>INDEX(CalLookUpTable,MATCH($B4471,CalLookUpRow,0),MATCH(G$1,CalLookUpColumn,0))</f>
        <v>2019</v>
      </c>
      <c r="H4471">
        <f>INDEX(CalLookUpTable,MATCH($B4471,CalLookUpRow,0),MATCH(H$1,CalLookUpColumn,0))</f>
        <v>6</v>
      </c>
      <c r="I4471">
        <f>INDEX(CalLookUpTable,MATCH($B4471,CalLookUpRow,0),MATCH(I$1,CalLookUpColumn,0))</f>
        <v>2</v>
      </c>
    </row>
    <row r="4472" spans="1:9" x14ac:dyDescent="0.25">
      <c r="A4472" s="7">
        <v>3</v>
      </c>
      <c r="B4472" s="8">
        <v>43619</v>
      </c>
      <c r="C4472" s="9" t="s">
        <v>3</v>
      </c>
      <c r="D4472" s="10">
        <v>831.25</v>
      </c>
      <c r="E4472" s="10">
        <v>0</v>
      </c>
      <c r="F4472" t="str">
        <f>VLOOKUP(A4472,StoreLookup,2,FALSE)</f>
        <v>Store#3</v>
      </c>
      <c r="G4472">
        <f>INDEX(CalLookUpTable,MATCH($B4472,CalLookUpRow,0),MATCH(G$1,CalLookUpColumn,0))</f>
        <v>2019</v>
      </c>
      <c r="H4472">
        <f>INDEX(CalLookUpTable,MATCH($B4472,CalLookUpRow,0),MATCH(H$1,CalLookUpColumn,0))</f>
        <v>6</v>
      </c>
      <c r="I4472">
        <f>INDEX(CalLookUpTable,MATCH($B4472,CalLookUpRow,0),MATCH(I$1,CalLookUpColumn,0))</f>
        <v>2</v>
      </c>
    </row>
    <row r="4473" spans="1:9" x14ac:dyDescent="0.25">
      <c r="A4473" s="7">
        <v>3</v>
      </c>
      <c r="B4473" s="8">
        <v>43619</v>
      </c>
      <c r="C4473" s="9" t="s">
        <v>6</v>
      </c>
      <c r="D4473" s="10">
        <v>704.91399999999999</v>
      </c>
      <c r="E4473" s="10">
        <v>0</v>
      </c>
      <c r="F4473" t="str">
        <f>VLOOKUP(A4473,StoreLookup,2,FALSE)</f>
        <v>Store#3</v>
      </c>
      <c r="G4473">
        <f>INDEX(CalLookUpTable,MATCH($B4473,CalLookUpRow,0),MATCH(G$1,CalLookUpColumn,0))</f>
        <v>2019</v>
      </c>
      <c r="H4473">
        <f>INDEX(CalLookUpTable,MATCH($B4473,CalLookUpRow,0),MATCH(H$1,CalLookUpColumn,0))</f>
        <v>6</v>
      </c>
      <c r="I4473">
        <f>INDEX(CalLookUpTable,MATCH($B4473,CalLookUpRow,0),MATCH(I$1,CalLookUpColumn,0))</f>
        <v>2</v>
      </c>
    </row>
    <row r="4474" spans="1:9" x14ac:dyDescent="0.25">
      <c r="A4474" s="7">
        <v>3</v>
      </c>
      <c r="B4474" s="8">
        <v>43620</v>
      </c>
      <c r="C4474" s="9" t="s">
        <v>6</v>
      </c>
      <c r="D4474" s="10">
        <v>615.79</v>
      </c>
      <c r="E4474" s="10">
        <v>0</v>
      </c>
      <c r="F4474" t="str">
        <f>VLOOKUP(A4474,StoreLookup,2,FALSE)</f>
        <v>Store#3</v>
      </c>
      <c r="G4474">
        <f>INDEX(CalLookUpTable,MATCH($B4474,CalLookUpRow,0),MATCH(G$1,CalLookUpColumn,0))</f>
        <v>2019</v>
      </c>
      <c r="H4474">
        <f>INDEX(CalLookUpTable,MATCH($B4474,CalLookUpRow,0),MATCH(H$1,CalLookUpColumn,0))</f>
        <v>6</v>
      </c>
      <c r="I4474">
        <f>INDEX(CalLookUpTable,MATCH($B4474,CalLookUpRow,0),MATCH(I$1,CalLookUpColumn,0))</f>
        <v>2</v>
      </c>
    </row>
    <row r="4475" spans="1:9" x14ac:dyDescent="0.25">
      <c r="A4475" s="7">
        <v>3</v>
      </c>
      <c r="B4475" s="8">
        <v>43620</v>
      </c>
      <c r="C4475" s="9" t="s">
        <v>4</v>
      </c>
      <c r="D4475" s="10">
        <v>3795.498</v>
      </c>
      <c r="E4475" s="10">
        <v>0</v>
      </c>
      <c r="F4475" t="str">
        <f>VLOOKUP(A4475,StoreLookup,2,FALSE)</f>
        <v>Store#3</v>
      </c>
      <c r="G4475">
        <f>INDEX(CalLookUpTable,MATCH($B4475,CalLookUpRow,0),MATCH(G$1,CalLookUpColumn,0))</f>
        <v>2019</v>
      </c>
      <c r="H4475">
        <f>INDEX(CalLookUpTable,MATCH($B4475,CalLookUpRow,0),MATCH(H$1,CalLookUpColumn,0))</f>
        <v>6</v>
      </c>
      <c r="I4475">
        <f>INDEX(CalLookUpTable,MATCH($B4475,CalLookUpRow,0),MATCH(I$1,CalLookUpColumn,0))</f>
        <v>2</v>
      </c>
    </row>
    <row r="4476" spans="1:9" x14ac:dyDescent="0.25">
      <c r="A4476" s="7">
        <v>3</v>
      </c>
      <c r="B4476" s="8">
        <v>43620</v>
      </c>
      <c r="C4476" s="9" t="s">
        <v>3</v>
      </c>
      <c r="D4476" s="10">
        <v>0</v>
      </c>
      <c r="E4476" s="10">
        <v>0</v>
      </c>
      <c r="F4476" t="str">
        <f>VLOOKUP(A4476,StoreLookup,2,FALSE)</f>
        <v>Store#3</v>
      </c>
      <c r="G4476">
        <f>INDEX(CalLookUpTable,MATCH($B4476,CalLookUpRow,0),MATCH(G$1,CalLookUpColumn,0))</f>
        <v>2019</v>
      </c>
      <c r="H4476">
        <f>INDEX(CalLookUpTable,MATCH($B4476,CalLookUpRow,0),MATCH(H$1,CalLookUpColumn,0))</f>
        <v>6</v>
      </c>
      <c r="I4476">
        <f>INDEX(CalLookUpTable,MATCH($B4476,CalLookUpRow,0),MATCH(I$1,CalLookUpColumn,0))</f>
        <v>2</v>
      </c>
    </row>
    <row r="4477" spans="1:9" x14ac:dyDescent="0.25">
      <c r="A4477" s="7">
        <v>3</v>
      </c>
      <c r="B4477" s="8">
        <v>43620</v>
      </c>
      <c r="C4477" s="9" t="s">
        <v>5</v>
      </c>
      <c r="D4477" s="10">
        <v>3410.5679999999998</v>
      </c>
      <c r="E4477" s="10">
        <v>0</v>
      </c>
      <c r="F4477" t="str">
        <f>VLOOKUP(A4477,StoreLookup,2,FALSE)</f>
        <v>Store#3</v>
      </c>
      <c r="G4477">
        <f>INDEX(CalLookUpTable,MATCH($B4477,CalLookUpRow,0),MATCH(G$1,CalLookUpColumn,0))</f>
        <v>2019</v>
      </c>
      <c r="H4477">
        <f>INDEX(CalLookUpTable,MATCH($B4477,CalLookUpRow,0),MATCH(H$1,CalLookUpColumn,0))</f>
        <v>6</v>
      </c>
      <c r="I4477">
        <f>INDEX(CalLookUpTable,MATCH($B4477,CalLookUpRow,0),MATCH(I$1,CalLookUpColumn,0))</f>
        <v>2</v>
      </c>
    </row>
    <row r="4478" spans="1:9" x14ac:dyDescent="0.25">
      <c r="A4478" s="7">
        <v>3</v>
      </c>
      <c r="B4478" s="8">
        <v>43621</v>
      </c>
      <c r="C4478" s="9" t="s">
        <v>3</v>
      </c>
      <c r="D4478" s="10">
        <v>25.172000000000001</v>
      </c>
      <c r="E4478" s="10">
        <v>0</v>
      </c>
      <c r="F4478" t="str">
        <f>VLOOKUP(A4478,StoreLookup,2,FALSE)</f>
        <v>Store#3</v>
      </c>
      <c r="G4478">
        <f>INDEX(CalLookUpTable,MATCH($B4478,CalLookUpRow,0),MATCH(G$1,CalLookUpColumn,0))</f>
        <v>2019</v>
      </c>
      <c r="H4478">
        <f>INDEX(CalLookUpTable,MATCH($B4478,CalLookUpRow,0),MATCH(H$1,CalLookUpColumn,0))</f>
        <v>6</v>
      </c>
      <c r="I4478">
        <f>INDEX(CalLookUpTable,MATCH($B4478,CalLookUpRow,0),MATCH(I$1,CalLookUpColumn,0))</f>
        <v>2</v>
      </c>
    </row>
    <row r="4479" spans="1:9" x14ac:dyDescent="0.25">
      <c r="A4479" s="7">
        <v>3</v>
      </c>
      <c r="B4479" s="8">
        <v>43621</v>
      </c>
      <c r="C4479" s="9" t="s">
        <v>5</v>
      </c>
      <c r="D4479" s="10">
        <v>3150.4969999999998</v>
      </c>
      <c r="E4479" s="10">
        <v>0</v>
      </c>
      <c r="F4479" t="str">
        <f>VLOOKUP(A4479,StoreLookup,2,FALSE)</f>
        <v>Store#3</v>
      </c>
      <c r="G4479">
        <f>INDEX(CalLookUpTable,MATCH($B4479,CalLookUpRow,0),MATCH(G$1,CalLookUpColumn,0))</f>
        <v>2019</v>
      </c>
      <c r="H4479">
        <f>INDEX(CalLookUpTable,MATCH($B4479,CalLookUpRow,0),MATCH(H$1,CalLookUpColumn,0))</f>
        <v>6</v>
      </c>
      <c r="I4479">
        <f>INDEX(CalLookUpTable,MATCH($B4479,CalLookUpRow,0),MATCH(I$1,CalLookUpColumn,0))</f>
        <v>2</v>
      </c>
    </row>
    <row r="4480" spans="1:9" x14ac:dyDescent="0.25">
      <c r="A4480" s="7">
        <v>3</v>
      </c>
      <c r="B4480" s="8">
        <v>43621</v>
      </c>
      <c r="C4480" s="9" t="s">
        <v>6</v>
      </c>
      <c r="D4480" s="10">
        <v>836.94799999999998</v>
      </c>
      <c r="E4480" s="10">
        <v>0</v>
      </c>
      <c r="F4480" t="str">
        <f>VLOOKUP(A4480,StoreLookup,2,FALSE)</f>
        <v>Store#3</v>
      </c>
      <c r="G4480">
        <f>INDEX(CalLookUpTable,MATCH($B4480,CalLookUpRow,0),MATCH(G$1,CalLookUpColumn,0))</f>
        <v>2019</v>
      </c>
      <c r="H4480">
        <f>INDEX(CalLookUpTable,MATCH($B4480,CalLookUpRow,0),MATCH(H$1,CalLookUpColumn,0))</f>
        <v>6</v>
      </c>
      <c r="I4480">
        <f>INDEX(CalLookUpTable,MATCH($B4480,CalLookUpRow,0),MATCH(I$1,CalLookUpColumn,0))</f>
        <v>2</v>
      </c>
    </row>
    <row r="4481" spans="1:9" x14ac:dyDescent="0.25">
      <c r="A4481" s="7">
        <v>3</v>
      </c>
      <c r="B4481" s="8">
        <v>43621</v>
      </c>
      <c r="C4481" s="9" t="s">
        <v>4</v>
      </c>
      <c r="D4481" s="10">
        <v>3534.9089999999997</v>
      </c>
      <c r="E4481" s="10">
        <v>0</v>
      </c>
      <c r="F4481" t="str">
        <f>VLOOKUP(A4481,StoreLookup,2,FALSE)</f>
        <v>Store#3</v>
      </c>
      <c r="G4481">
        <f>INDEX(CalLookUpTable,MATCH($B4481,CalLookUpRow,0),MATCH(G$1,CalLookUpColumn,0))</f>
        <v>2019</v>
      </c>
      <c r="H4481">
        <f>INDEX(CalLookUpTable,MATCH($B4481,CalLookUpRow,0),MATCH(H$1,CalLookUpColumn,0))</f>
        <v>6</v>
      </c>
      <c r="I4481">
        <f>INDEX(CalLookUpTable,MATCH($B4481,CalLookUpRow,0),MATCH(I$1,CalLookUpColumn,0))</f>
        <v>2</v>
      </c>
    </row>
    <row r="4482" spans="1:9" x14ac:dyDescent="0.25">
      <c r="A4482" s="7">
        <v>3</v>
      </c>
      <c r="B4482" s="8">
        <v>43622</v>
      </c>
      <c r="C4482" s="9" t="s">
        <v>4</v>
      </c>
      <c r="D4482" s="10">
        <v>3898.5939999999996</v>
      </c>
      <c r="E4482" s="10">
        <v>0</v>
      </c>
      <c r="F4482" t="str">
        <f>VLOOKUP(A4482,StoreLookup,2,FALSE)</f>
        <v>Store#3</v>
      </c>
      <c r="G4482">
        <f>INDEX(CalLookUpTable,MATCH($B4482,CalLookUpRow,0),MATCH(G$1,CalLookUpColumn,0))</f>
        <v>2019</v>
      </c>
      <c r="H4482">
        <f>INDEX(CalLookUpTable,MATCH($B4482,CalLookUpRow,0),MATCH(H$1,CalLookUpColumn,0))</f>
        <v>6</v>
      </c>
      <c r="I4482">
        <f>INDEX(CalLookUpTable,MATCH($B4482,CalLookUpRow,0),MATCH(I$1,CalLookUpColumn,0))</f>
        <v>2</v>
      </c>
    </row>
    <row r="4483" spans="1:9" x14ac:dyDescent="0.25">
      <c r="A4483" s="7">
        <v>3</v>
      </c>
      <c r="B4483" s="8">
        <v>43622</v>
      </c>
      <c r="C4483" s="9" t="s">
        <v>3</v>
      </c>
      <c r="D4483" s="10">
        <v>329.70699999999999</v>
      </c>
      <c r="E4483" s="10">
        <v>0</v>
      </c>
      <c r="F4483" t="str">
        <f>VLOOKUP(A4483,StoreLookup,2,FALSE)</f>
        <v>Store#3</v>
      </c>
      <c r="G4483">
        <f>INDEX(CalLookUpTable,MATCH($B4483,CalLookUpRow,0),MATCH(G$1,CalLookUpColumn,0))</f>
        <v>2019</v>
      </c>
      <c r="H4483">
        <f>INDEX(CalLookUpTable,MATCH($B4483,CalLookUpRow,0),MATCH(H$1,CalLookUpColumn,0))</f>
        <v>6</v>
      </c>
      <c r="I4483">
        <f>INDEX(CalLookUpTable,MATCH($B4483,CalLookUpRow,0),MATCH(I$1,CalLookUpColumn,0))</f>
        <v>2</v>
      </c>
    </row>
    <row r="4484" spans="1:9" x14ac:dyDescent="0.25">
      <c r="A4484" s="7">
        <v>3</v>
      </c>
      <c r="B4484" s="8">
        <v>43622</v>
      </c>
      <c r="C4484" s="9" t="s">
        <v>6</v>
      </c>
      <c r="D4484" s="10">
        <v>1019.48</v>
      </c>
      <c r="E4484" s="10">
        <v>0</v>
      </c>
      <c r="F4484" t="str">
        <f>VLOOKUP(A4484,StoreLookup,2,FALSE)</f>
        <v>Store#3</v>
      </c>
      <c r="G4484">
        <f>INDEX(CalLookUpTable,MATCH($B4484,CalLookUpRow,0),MATCH(G$1,CalLookUpColumn,0))</f>
        <v>2019</v>
      </c>
      <c r="H4484">
        <f>INDEX(CalLookUpTable,MATCH($B4484,CalLookUpRow,0),MATCH(H$1,CalLookUpColumn,0))</f>
        <v>6</v>
      </c>
      <c r="I4484">
        <f>INDEX(CalLookUpTable,MATCH($B4484,CalLookUpRow,0),MATCH(I$1,CalLookUpColumn,0))</f>
        <v>2</v>
      </c>
    </row>
    <row r="4485" spans="1:9" x14ac:dyDescent="0.25">
      <c r="A4485" s="7">
        <v>3</v>
      </c>
      <c r="B4485" s="8">
        <v>43622</v>
      </c>
      <c r="C4485" s="9" t="s">
        <v>5</v>
      </c>
      <c r="D4485" s="10">
        <v>3284.8409999999999</v>
      </c>
      <c r="E4485" s="10">
        <v>0</v>
      </c>
      <c r="F4485" t="str">
        <f>VLOOKUP(A4485,StoreLookup,2,FALSE)</f>
        <v>Store#3</v>
      </c>
      <c r="G4485">
        <f>INDEX(CalLookUpTable,MATCH($B4485,CalLookUpRow,0),MATCH(G$1,CalLookUpColumn,0))</f>
        <v>2019</v>
      </c>
      <c r="H4485">
        <f>INDEX(CalLookUpTable,MATCH($B4485,CalLookUpRow,0),MATCH(H$1,CalLookUpColumn,0))</f>
        <v>6</v>
      </c>
      <c r="I4485">
        <f>INDEX(CalLookUpTable,MATCH($B4485,CalLookUpRow,0),MATCH(I$1,CalLookUpColumn,0))</f>
        <v>2</v>
      </c>
    </row>
    <row r="4486" spans="1:9" x14ac:dyDescent="0.25">
      <c r="A4486" s="7">
        <v>3</v>
      </c>
      <c r="B4486" s="8">
        <v>43623</v>
      </c>
      <c r="C4486" s="9" t="s">
        <v>6</v>
      </c>
      <c r="D4486" s="10">
        <v>757.505</v>
      </c>
      <c r="E4486" s="10">
        <v>0</v>
      </c>
      <c r="F4486" t="str">
        <f>VLOOKUP(A4486,StoreLookup,2,FALSE)</f>
        <v>Store#3</v>
      </c>
      <c r="G4486">
        <f>INDEX(CalLookUpTable,MATCH($B4486,CalLookUpRow,0),MATCH(G$1,CalLookUpColumn,0))</f>
        <v>2019</v>
      </c>
      <c r="H4486">
        <f>INDEX(CalLookUpTable,MATCH($B4486,CalLookUpRow,0),MATCH(H$1,CalLookUpColumn,0))</f>
        <v>6</v>
      </c>
      <c r="I4486">
        <f>INDEX(CalLookUpTable,MATCH($B4486,CalLookUpRow,0),MATCH(I$1,CalLookUpColumn,0))</f>
        <v>2</v>
      </c>
    </row>
    <row r="4487" spans="1:9" x14ac:dyDescent="0.25">
      <c r="A4487" s="7">
        <v>3</v>
      </c>
      <c r="B4487" s="8">
        <v>43623</v>
      </c>
      <c r="C4487" s="9" t="s">
        <v>3</v>
      </c>
      <c r="D4487" s="10">
        <v>25.857999999999997</v>
      </c>
      <c r="E4487" s="10">
        <v>0</v>
      </c>
      <c r="F4487" t="str">
        <f>VLOOKUP(A4487,StoreLookup,2,FALSE)</f>
        <v>Store#3</v>
      </c>
      <c r="G4487">
        <f>INDEX(CalLookUpTable,MATCH($B4487,CalLookUpRow,0),MATCH(G$1,CalLookUpColumn,0))</f>
        <v>2019</v>
      </c>
      <c r="H4487">
        <f>INDEX(CalLookUpTable,MATCH($B4487,CalLookUpRow,0),MATCH(H$1,CalLookUpColumn,0))</f>
        <v>6</v>
      </c>
      <c r="I4487">
        <f>INDEX(CalLookUpTable,MATCH($B4487,CalLookUpRow,0),MATCH(I$1,CalLookUpColumn,0))</f>
        <v>2</v>
      </c>
    </row>
    <row r="4488" spans="1:9" x14ac:dyDescent="0.25">
      <c r="A4488" s="7">
        <v>3</v>
      </c>
      <c r="B4488" s="8">
        <v>43623</v>
      </c>
      <c r="C4488" s="9" t="s">
        <v>4</v>
      </c>
      <c r="D4488" s="10">
        <v>4001.8719999999998</v>
      </c>
      <c r="E4488" s="10">
        <v>0</v>
      </c>
      <c r="F4488" t="str">
        <f>VLOOKUP(A4488,StoreLookup,2,FALSE)</f>
        <v>Store#3</v>
      </c>
      <c r="G4488">
        <f>INDEX(CalLookUpTable,MATCH($B4488,CalLookUpRow,0),MATCH(G$1,CalLookUpColumn,0))</f>
        <v>2019</v>
      </c>
      <c r="H4488">
        <f>INDEX(CalLookUpTable,MATCH($B4488,CalLookUpRow,0),MATCH(H$1,CalLookUpColumn,0))</f>
        <v>6</v>
      </c>
      <c r="I4488">
        <f>INDEX(CalLookUpTable,MATCH($B4488,CalLookUpRow,0),MATCH(I$1,CalLookUpColumn,0))</f>
        <v>2</v>
      </c>
    </row>
    <row r="4489" spans="1:9" x14ac:dyDescent="0.25">
      <c r="A4489" s="7">
        <v>3</v>
      </c>
      <c r="B4489" s="8">
        <v>43623</v>
      </c>
      <c r="C4489" s="9" t="s">
        <v>5</v>
      </c>
      <c r="D4489" s="10">
        <v>4058.5439999999999</v>
      </c>
      <c r="E4489" s="10">
        <v>0</v>
      </c>
      <c r="F4489" t="str">
        <f>VLOOKUP(A4489,StoreLookup,2,FALSE)</f>
        <v>Store#3</v>
      </c>
      <c r="G4489">
        <f>INDEX(CalLookUpTable,MATCH($B4489,CalLookUpRow,0),MATCH(G$1,CalLookUpColumn,0))</f>
        <v>2019</v>
      </c>
      <c r="H4489">
        <f>INDEX(CalLookUpTable,MATCH($B4489,CalLookUpRow,0),MATCH(H$1,CalLookUpColumn,0))</f>
        <v>6</v>
      </c>
      <c r="I4489">
        <f>INDEX(CalLookUpTable,MATCH($B4489,CalLookUpRow,0),MATCH(I$1,CalLookUpColumn,0))</f>
        <v>2</v>
      </c>
    </row>
    <row r="4490" spans="1:9" x14ac:dyDescent="0.25">
      <c r="A4490" s="7">
        <v>3</v>
      </c>
      <c r="B4490" s="8">
        <v>43624</v>
      </c>
      <c r="C4490" s="9" t="s">
        <v>3</v>
      </c>
      <c r="D4490" s="10">
        <v>311.57</v>
      </c>
      <c r="E4490" s="10">
        <v>0</v>
      </c>
      <c r="F4490" t="str">
        <f>VLOOKUP(A4490,StoreLookup,2,FALSE)</f>
        <v>Store#3</v>
      </c>
      <c r="G4490">
        <f>INDEX(CalLookUpTable,MATCH($B4490,CalLookUpRow,0),MATCH(G$1,CalLookUpColumn,0))</f>
        <v>2019</v>
      </c>
      <c r="H4490">
        <f>INDEX(CalLookUpTable,MATCH($B4490,CalLookUpRow,0),MATCH(H$1,CalLookUpColumn,0))</f>
        <v>6</v>
      </c>
      <c r="I4490">
        <f>INDEX(CalLookUpTable,MATCH($B4490,CalLookUpRow,0),MATCH(I$1,CalLookUpColumn,0))</f>
        <v>2</v>
      </c>
    </row>
    <row r="4491" spans="1:9" x14ac:dyDescent="0.25">
      <c r="A4491" s="7">
        <v>3</v>
      </c>
      <c r="B4491" s="8">
        <v>43624</v>
      </c>
      <c r="C4491" s="9" t="s">
        <v>5</v>
      </c>
      <c r="D4491" s="10">
        <v>2888.8579999999997</v>
      </c>
      <c r="E4491" s="10">
        <v>0</v>
      </c>
      <c r="F4491" t="str">
        <f>VLOOKUP(A4491,StoreLookup,2,FALSE)</f>
        <v>Store#3</v>
      </c>
      <c r="G4491">
        <f>INDEX(CalLookUpTable,MATCH($B4491,CalLookUpRow,0),MATCH(G$1,CalLookUpColumn,0))</f>
        <v>2019</v>
      </c>
      <c r="H4491">
        <f>INDEX(CalLookUpTable,MATCH($B4491,CalLookUpRow,0),MATCH(H$1,CalLookUpColumn,0))</f>
        <v>6</v>
      </c>
      <c r="I4491">
        <f>INDEX(CalLookUpTable,MATCH($B4491,CalLookUpRow,0),MATCH(I$1,CalLookUpColumn,0))</f>
        <v>2</v>
      </c>
    </row>
    <row r="4492" spans="1:9" x14ac:dyDescent="0.25">
      <c r="A4492" s="7">
        <v>3</v>
      </c>
      <c r="B4492" s="8">
        <v>43624</v>
      </c>
      <c r="C4492" s="9" t="s">
        <v>6</v>
      </c>
      <c r="D4492" s="10">
        <v>1040.893</v>
      </c>
      <c r="E4492" s="10">
        <v>0</v>
      </c>
      <c r="F4492" t="str">
        <f>VLOOKUP(A4492,StoreLookup,2,FALSE)</f>
        <v>Store#3</v>
      </c>
      <c r="G4492">
        <f>INDEX(CalLookUpTable,MATCH($B4492,CalLookUpRow,0),MATCH(G$1,CalLookUpColumn,0))</f>
        <v>2019</v>
      </c>
      <c r="H4492">
        <f>INDEX(CalLookUpTable,MATCH($B4492,CalLookUpRow,0),MATCH(H$1,CalLookUpColumn,0))</f>
        <v>6</v>
      </c>
      <c r="I4492">
        <f>INDEX(CalLookUpTable,MATCH($B4492,CalLookUpRow,0),MATCH(I$1,CalLookUpColumn,0))</f>
        <v>2</v>
      </c>
    </row>
    <row r="4493" spans="1:9" x14ac:dyDescent="0.25">
      <c r="A4493" s="7">
        <v>3</v>
      </c>
      <c r="B4493" s="8">
        <v>43624</v>
      </c>
      <c r="C4493" s="9" t="s">
        <v>4</v>
      </c>
      <c r="D4493" s="10">
        <v>3224.7109999999993</v>
      </c>
      <c r="E4493" s="10">
        <v>0</v>
      </c>
      <c r="F4493" t="str">
        <f>VLOOKUP(A4493,StoreLookup,2,FALSE)</f>
        <v>Store#3</v>
      </c>
      <c r="G4493">
        <f>INDEX(CalLookUpTable,MATCH($B4493,CalLookUpRow,0),MATCH(G$1,CalLookUpColumn,0))</f>
        <v>2019</v>
      </c>
      <c r="H4493">
        <f>INDEX(CalLookUpTable,MATCH($B4493,CalLookUpRow,0),MATCH(H$1,CalLookUpColumn,0))</f>
        <v>6</v>
      </c>
      <c r="I4493">
        <f>INDEX(CalLookUpTable,MATCH($B4493,CalLookUpRow,0),MATCH(I$1,CalLookUpColumn,0))</f>
        <v>2</v>
      </c>
    </row>
    <row r="4494" spans="1:9" x14ac:dyDescent="0.25">
      <c r="A4494" s="7">
        <v>3</v>
      </c>
      <c r="B4494" s="8">
        <v>43625</v>
      </c>
      <c r="C4494" s="9" t="s">
        <v>6</v>
      </c>
      <c r="D4494" s="10">
        <v>704.86500000000001</v>
      </c>
      <c r="E4494" s="10">
        <v>0</v>
      </c>
      <c r="F4494" t="str">
        <f>VLOOKUP(A4494,StoreLookup,2,FALSE)</f>
        <v>Store#3</v>
      </c>
      <c r="G4494">
        <f>INDEX(CalLookUpTable,MATCH($B4494,CalLookUpRow,0),MATCH(G$1,CalLookUpColumn,0))</f>
        <v>2019</v>
      </c>
      <c r="H4494">
        <f>INDEX(CalLookUpTable,MATCH($B4494,CalLookUpRow,0),MATCH(H$1,CalLookUpColumn,0))</f>
        <v>6</v>
      </c>
      <c r="I4494">
        <f>INDEX(CalLookUpTable,MATCH($B4494,CalLookUpRow,0),MATCH(I$1,CalLookUpColumn,0))</f>
        <v>2</v>
      </c>
    </row>
    <row r="4495" spans="1:9" x14ac:dyDescent="0.25">
      <c r="A4495" s="7">
        <v>3</v>
      </c>
      <c r="B4495" s="8">
        <v>43625</v>
      </c>
      <c r="C4495" s="9" t="s">
        <v>4</v>
      </c>
      <c r="D4495" s="10">
        <v>3278.4989999999998</v>
      </c>
      <c r="E4495" s="10">
        <v>0</v>
      </c>
      <c r="F4495" t="str">
        <f>VLOOKUP(A4495,StoreLookup,2,FALSE)</f>
        <v>Store#3</v>
      </c>
      <c r="G4495">
        <f>INDEX(CalLookUpTable,MATCH($B4495,CalLookUpRow,0),MATCH(G$1,CalLookUpColumn,0))</f>
        <v>2019</v>
      </c>
      <c r="H4495">
        <f>INDEX(CalLookUpTable,MATCH($B4495,CalLookUpRow,0),MATCH(H$1,CalLookUpColumn,0))</f>
        <v>6</v>
      </c>
      <c r="I4495">
        <f>INDEX(CalLookUpTable,MATCH($B4495,CalLookUpRow,0),MATCH(I$1,CalLookUpColumn,0))</f>
        <v>2</v>
      </c>
    </row>
    <row r="4496" spans="1:9" x14ac:dyDescent="0.25">
      <c r="A4496" s="7">
        <v>3</v>
      </c>
      <c r="B4496" s="8">
        <v>43625</v>
      </c>
      <c r="C4496" s="9" t="s">
        <v>3</v>
      </c>
      <c r="D4496" s="10">
        <v>0</v>
      </c>
      <c r="E4496" s="10">
        <v>0</v>
      </c>
      <c r="F4496" t="str">
        <f>VLOOKUP(A4496,StoreLookup,2,FALSE)</f>
        <v>Store#3</v>
      </c>
      <c r="G4496">
        <f>INDEX(CalLookUpTable,MATCH($B4496,CalLookUpRow,0),MATCH(G$1,CalLookUpColumn,0))</f>
        <v>2019</v>
      </c>
      <c r="H4496">
        <f>INDEX(CalLookUpTable,MATCH($B4496,CalLookUpRow,0),MATCH(H$1,CalLookUpColumn,0))</f>
        <v>6</v>
      </c>
      <c r="I4496">
        <f>INDEX(CalLookUpTable,MATCH($B4496,CalLookUpRow,0),MATCH(I$1,CalLookUpColumn,0))</f>
        <v>2</v>
      </c>
    </row>
    <row r="4497" spans="1:9" x14ac:dyDescent="0.25">
      <c r="A4497" s="7">
        <v>3</v>
      </c>
      <c r="B4497" s="8">
        <v>43625</v>
      </c>
      <c r="C4497" s="9" t="s">
        <v>5</v>
      </c>
      <c r="D4497" s="10">
        <v>1684.7949999999998</v>
      </c>
      <c r="E4497" s="10">
        <v>0</v>
      </c>
      <c r="F4497" t="str">
        <f>VLOOKUP(A4497,StoreLookup,2,FALSE)</f>
        <v>Store#3</v>
      </c>
      <c r="G4497">
        <f>INDEX(CalLookUpTable,MATCH($B4497,CalLookUpRow,0),MATCH(G$1,CalLookUpColumn,0))</f>
        <v>2019</v>
      </c>
      <c r="H4497">
        <f>INDEX(CalLookUpTable,MATCH($B4497,CalLookUpRow,0),MATCH(H$1,CalLookUpColumn,0))</f>
        <v>6</v>
      </c>
      <c r="I4497">
        <f>INDEX(CalLookUpTable,MATCH($B4497,CalLookUpRow,0),MATCH(I$1,CalLookUpColumn,0))</f>
        <v>2</v>
      </c>
    </row>
    <row r="4498" spans="1:9" x14ac:dyDescent="0.25">
      <c r="A4498" s="7">
        <v>3</v>
      </c>
      <c r="B4498" s="8">
        <v>43626</v>
      </c>
      <c r="C4498" s="9" t="s">
        <v>5</v>
      </c>
      <c r="D4498" s="10">
        <v>2816.4989999999998</v>
      </c>
      <c r="E4498" s="10">
        <v>0</v>
      </c>
      <c r="F4498" t="str">
        <f>VLOOKUP(A4498,StoreLookup,2,FALSE)</f>
        <v>Store#3</v>
      </c>
      <c r="G4498">
        <f>INDEX(CalLookUpTable,MATCH($B4498,CalLookUpRow,0),MATCH(G$1,CalLookUpColumn,0))</f>
        <v>2019</v>
      </c>
      <c r="H4498">
        <f>INDEX(CalLookUpTable,MATCH($B4498,CalLookUpRow,0),MATCH(H$1,CalLookUpColumn,0))</f>
        <v>6</v>
      </c>
      <c r="I4498">
        <f>INDEX(CalLookUpTable,MATCH($B4498,CalLookUpRow,0),MATCH(I$1,CalLookUpColumn,0))</f>
        <v>3</v>
      </c>
    </row>
    <row r="4499" spans="1:9" x14ac:dyDescent="0.25">
      <c r="A4499" s="7">
        <v>3</v>
      </c>
      <c r="B4499" s="8">
        <v>43626</v>
      </c>
      <c r="C4499" s="9" t="s">
        <v>6</v>
      </c>
      <c r="D4499" s="10">
        <v>732.38199999999995</v>
      </c>
      <c r="E4499" s="10">
        <v>0</v>
      </c>
      <c r="F4499" t="str">
        <f>VLOOKUP(A4499,StoreLookup,2,FALSE)</f>
        <v>Store#3</v>
      </c>
      <c r="G4499">
        <f>INDEX(CalLookUpTable,MATCH($B4499,CalLookUpRow,0),MATCH(G$1,CalLookUpColumn,0))</f>
        <v>2019</v>
      </c>
      <c r="H4499">
        <f>INDEX(CalLookUpTable,MATCH($B4499,CalLookUpRow,0),MATCH(H$1,CalLookUpColumn,0))</f>
        <v>6</v>
      </c>
      <c r="I4499">
        <f>INDEX(CalLookUpTable,MATCH($B4499,CalLookUpRow,0),MATCH(I$1,CalLookUpColumn,0))</f>
        <v>3</v>
      </c>
    </row>
    <row r="4500" spans="1:9" x14ac:dyDescent="0.25">
      <c r="A4500" s="7">
        <v>3</v>
      </c>
      <c r="B4500" s="8">
        <v>43626</v>
      </c>
      <c r="C4500" s="9" t="s">
        <v>4</v>
      </c>
      <c r="D4500" s="10">
        <v>3533.3760000000002</v>
      </c>
      <c r="E4500" s="10">
        <v>0</v>
      </c>
      <c r="F4500" t="str">
        <f>VLOOKUP(A4500,StoreLookup,2,FALSE)</f>
        <v>Store#3</v>
      </c>
      <c r="G4500">
        <f>INDEX(CalLookUpTable,MATCH($B4500,CalLookUpRow,0),MATCH(G$1,CalLookUpColumn,0))</f>
        <v>2019</v>
      </c>
      <c r="H4500">
        <f>INDEX(CalLookUpTable,MATCH($B4500,CalLookUpRow,0),MATCH(H$1,CalLookUpColumn,0))</f>
        <v>6</v>
      </c>
      <c r="I4500">
        <f>INDEX(CalLookUpTable,MATCH($B4500,CalLookUpRow,0),MATCH(I$1,CalLookUpColumn,0))</f>
        <v>3</v>
      </c>
    </row>
    <row r="4501" spans="1:9" x14ac:dyDescent="0.25">
      <c r="A4501" s="7">
        <v>3</v>
      </c>
      <c r="B4501" s="8">
        <v>43626</v>
      </c>
      <c r="C4501" s="9" t="s">
        <v>3</v>
      </c>
      <c r="D4501" s="10">
        <v>0</v>
      </c>
      <c r="E4501" s="10">
        <v>0</v>
      </c>
      <c r="F4501" t="str">
        <f>VLOOKUP(A4501,StoreLookup,2,FALSE)</f>
        <v>Store#3</v>
      </c>
      <c r="G4501">
        <f>INDEX(CalLookUpTable,MATCH($B4501,CalLookUpRow,0),MATCH(G$1,CalLookUpColumn,0))</f>
        <v>2019</v>
      </c>
      <c r="H4501">
        <f>INDEX(CalLookUpTable,MATCH($B4501,CalLookUpRow,0),MATCH(H$1,CalLookUpColumn,0))</f>
        <v>6</v>
      </c>
      <c r="I4501">
        <f>INDEX(CalLookUpTable,MATCH($B4501,CalLookUpRow,0),MATCH(I$1,CalLookUpColumn,0))</f>
        <v>3</v>
      </c>
    </row>
    <row r="4502" spans="1:9" x14ac:dyDescent="0.25">
      <c r="A4502" s="7">
        <v>3</v>
      </c>
      <c r="B4502" s="8">
        <v>43627</v>
      </c>
      <c r="C4502" s="9" t="s">
        <v>6</v>
      </c>
      <c r="D4502" s="10">
        <v>621.51599999999996</v>
      </c>
      <c r="E4502" s="10">
        <v>0</v>
      </c>
      <c r="F4502" t="str">
        <f>VLOOKUP(A4502,StoreLookup,2,FALSE)</f>
        <v>Store#3</v>
      </c>
      <c r="G4502">
        <f>INDEX(CalLookUpTable,MATCH($B4502,CalLookUpRow,0),MATCH(G$1,CalLookUpColumn,0))</f>
        <v>2019</v>
      </c>
      <c r="H4502">
        <f>INDEX(CalLookUpTable,MATCH($B4502,CalLookUpRow,0),MATCH(H$1,CalLookUpColumn,0))</f>
        <v>6</v>
      </c>
      <c r="I4502">
        <f>INDEX(CalLookUpTable,MATCH($B4502,CalLookUpRow,0),MATCH(I$1,CalLookUpColumn,0))</f>
        <v>3</v>
      </c>
    </row>
    <row r="4503" spans="1:9" x14ac:dyDescent="0.25">
      <c r="A4503" s="7">
        <v>3</v>
      </c>
      <c r="B4503" s="8">
        <v>43627</v>
      </c>
      <c r="C4503" s="9" t="s">
        <v>4</v>
      </c>
      <c r="D4503" s="10">
        <v>3326.9390000000003</v>
      </c>
      <c r="E4503" s="10">
        <v>0</v>
      </c>
      <c r="F4503" t="str">
        <f>VLOOKUP(A4503,StoreLookup,2,FALSE)</f>
        <v>Store#3</v>
      </c>
      <c r="G4503">
        <f>INDEX(CalLookUpTable,MATCH($B4503,CalLookUpRow,0),MATCH(G$1,CalLookUpColumn,0))</f>
        <v>2019</v>
      </c>
      <c r="H4503">
        <f>INDEX(CalLookUpTable,MATCH($B4503,CalLookUpRow,0),MATCH(H$1,CalLookUpColumn,0))</f>
        <v>6</v>
      </c>
      <c r="I4503">
        <f>INDEX(CalLookUpTable,MATCH($B4503,CalLookUpRow,0),MATCH(I$1,CalLookUpColumn,0))</f>
        <v>3</v>
      </c>
    </row>
    <row r="4504" spans="1:9" x14ac:dyDescent="0.25">
      <c r="A4504" s="7">
        <v>3</v>
      </c>
      <c r="B4504" s="8">
        <v>43627</v>
      </c>
      <c r="C4504" s="9" t="s">
        <v>3</v>
      </c>
      <c r="D4504" s="10">
        <v>270.87900000000002</v>
      </c>
      <c r="E4504" s="10">
        <v>0</v>
      </c>
      <c r="F4504" t="str">
        <f>VLOOKUP(A4504,StoreLookup,2,FALSE)</f>
        <v>Store#3</v>
      </c>
      <c r="G4504">
        <f>INDEX(CalLookUpTable,MATCH($B4504,CalLookUpRow,0),MATCH(G$1,CalLookUpColumn,0))</f>
        <v>2019</v>
      </c>
      <c r="H4504">
        <f>INDEX(CalLookUpTable,MATCH($B4504,CalLookUpRow,0),MATCH(H$1,CalLookUpColumn,0))</f>
        <v>6</v>
      </c>
      <c r="I4504">
        <f>INDEX(CalLookUpTable,MATCH($B4504,CalLookUpRow,0),MATCH(I$1,CalLookUpColumn,0))</f>
        <v>3</v>
      </c>
    </row>
    <row r="4505" spans="1:9" x14ac:dyDescent="0.25">
      <c r="A4505" s="7">
        <v>3</v>
      </c>
      <c r="B4505" s="8">
        <v>43627</v>
      </c>
      <c r="C4505" s="9" t="s">
        <v>5</v>
      </c>
      <c r="D4505" s="10">
        <v>3171.413</v>
      </c>
      <c r="E4505" s="10">
        <v>0</v>
      </c>
      <c r="F4505" t="str">
        <f>VLOOKUP(A4505,StoreLookup,2,FALSE)</f>
        <v>Store#3</v>
      </c>
      <c r="G4505">
        <f>INDEX(CalLookUpTable,MATCH($B4505,CalLookUpRow,0),MATCH(G$1,CalLookUpColumn,0))</f>
        <v>2019</v>
      </c>
      <c r="H4505">
        <f>INDEX(CalLookUpTable,MATCH($B4505,CalLookUpRow,0),MATCH(H$1,CalLookUpColumn,0))</f>
        <v>6</v>
      </c>
      <c r="I4505">
        <f>INDEX(CalLookUpTable,MATCH($B4505,CalLookUpRow,0),MATCH(I$1,CalLookUpColumn,0))</f>
        <v>3</v>
      </c>
    </row>
    <row r="4506" spans="1:9" x14ac:dyDescent="0.25">
      <c r="A4506" s="7">
        <v>3</v>
      </c>
      <c r="B4506" s="8">
        <v>43628</v>
      </c>
      <c r="C4506" s="9" t="s">
        <v>5</v>
      </c>
      <c r="D4506" s="10">
        <v>2966.607</v>
      </c>
      <c r="E4506" s="10">
        <v>0</v>
      </c>
      <c r="F4506" t="str">
        <f>VLOOKUP(A4506,StoreLookup,2,FALSE)</f>
        <v>Store#3</v>
      </c>
      <c r="G4506">
        <f>INDEX(CalLookUpTable,MATCH($B4506,CalLookUpRow,0),MATCH(G$1,CalLookUpColumn,0))</f>
        <v>2019</v>
      </c>
      <c r="H4506">
        <f>INDEX(CalLookUpTable,MATCH($B4506,CalLookUpRow,0),MATCH(H$1,CalLookUpColumn,0))</f>
        <v>6</v>
      </c>
      <c r="I4506">
        <f>INDEX(CalLookUpTable,MATCH($B4506,CalLookUpRow,0),MATCH(I$1,CalLookUpColumn,0))</f>
        <v>3</v>
      </c>
    </row>
    <row r="4507" spans="1:9" x14ac:dyDescent="0.25">
      <c r="A4507" s="7">
        <v>3</v>
      </c>
      <c r="B4507" s="8">
        <v>43628</v>
      </c>
      <c r="C4507" s="9" t="s">
        <v>3</v>
      </c>
      <c r="D4507" s="10">
        <v>353.11499999999995</v>
      </c>
      <c r="E4507" s="10">
        <v>0</v>
      </c>
      <c r="F4507" t="str">
        <f>VLOOKUP(A4507,StoreLookup,2,FALSE)</f>
        <v>Store#3</v>
      </c>
      <c r="G4507">
        <f>INDEX(CalLookUpTable,MATCH($B4507,CalLookUpRow,0),MATCH(G$1,CalLookUpColumn,0))</f>
        <v>2019</v>
      </c>
      <c r="H4507">
        <f>INDEX(CalLookUpTable,MATCH($B4507,CalLookUpRow,0),MATCH(H$1,CalLookUpColumn,0))</f>
        <v>6</v>
      </c>
      <c r="I4507">
        <f>INDEX(CalLookUpTable,MATCH($B4507,CalLookUpRow,0),MATCH(I$1,CalLookUpColumn,0))</f>
        <v>3</v>
      </c>
    </row>
    <row r="4508" spans="1:9" x14ac:dyDescent="0.25">
      <c r="A4508" s="7">
        <v>3</v>
      </c>
      <c r="B4508" s="8">
        <v>43628</v>
      </c>
      <c r="C4508" s="9" t="s">
        <v>6</v>
      </c>
      <c r="D4508" s="10">
        <v>973.49699999999996</v>
      </c>
      <c r="E4508" s="10">
        <v>0</v>
      </c>
      <c r="F4508" t="str">
        <f>VLOOKUP(A4508,StoreLookup,2,FALSE)</f>
        <v>Store#3</v>
      </c>
      <c r="G4508">
        <f>INDEX(CalLookUpTable,MATCH($B4508,CalLookUpRow,0),MATCH(G$1,CalLookUpColumn,0))</f>
        <v>2019</v>
      </c>
      <c r="H4508">
        <f>INDEX(CalLookUpTable,MATCH($B4508,CalLookUpRow,0),MATCH(H$1,CalLookUpColumn,0))</f>
        <v>6</v>
      </c>
      <c r="I4508">
        <f>INDEX(CalLookUpTable,MATCH($B4508,CalLookUpRow,0),MATCH(I$1,CalLookUpColumn,0))</f>
        <v>3</v>
      </c>
    </row>
    <row r="4509" spans="1:9" x14ac:dyDescent="0.25">
      <c r="A4509" s="7">
        <v>3</v>
      </c>
      <c r="B4509" s="8">
        <v>43628</v>
      </c>
      <c r="C4509" s="9" t="s">
        <v>4</v>
      </c>
      <c r="D4509" s="10">
        <v>2953.1809999999996</v>
      </c>
      <c r="E4509" s="10">
        <v>0</v>
      </c>
      <c r="F4509" t="str">
        <f>VLOOKUP(A4509,StoreLookup,2,FALSE)</f>
        <v>Store#3</v>
      </c>
      <c r="G4509">
        <f>INDEX(CalLookUpTable,MATCH($B4509,CalLookUpRow,0),MATCH(G$1,CalLookUpColumn,0))</f>
        <v>2019</v>
      </c>
      <c r="H4509">
        <f>INDEX(CalLookUpTable,MATCH($B4509,CalLookUpRow,0),MATCH(H$1,CalLookUpColumn,0))</f>
        <v>6</v>
      </c>
      <c r="I4509">
        <f>INDEX(CalLookUpTable,MATCH($B4509,CalLookUpRow,0),MATCH(I$1,CalLookUpColumn,0))</f>
        <v>3</v>
      </c>
    </row>
    <row r="4510" spans="1:9" x14ac:dyDescent="0.25">
      <c r="A4510" s="7">
        <v>3</v>
      </c>
      <c r="B4510" s="8">
        <v>43629</v>
      </c>
      <c r="C4510" s="9" t="s">
        <v>6</v>
      </c>
      <c r="D4510" s="10">
        <v>916.94399999999996</v>
      </c>
      <c r="E4510" s="10">
        <v>0</v>
      </c>
      <c r="F4510" t="str">
        <f>VLOOKUP(A4510,StoreLookup,2,FALSE)</f>
        <v>Store#3</v>
      </c>
      <c r="G4510">
        <f>INDEX(CalLookUpTable,MATCH($B4510,CalLookUpRow,0),MATCH(G$1,CalLookUpColumn,0))</f>
        <v>2019</v>
      </c>
      <c r="H4510">
        <f>INDEX(CalLookUpTable,MATCH($B4510,CalLookUpRow,0),MATCH(H$1,CalLookUpColumn,0))</f>
        <v>6</v>
      </c>
      <c r="I4510">
        <f>INDEX(CalLookUpTable,MATCH($B4510,CalLookUpRow,0),MATCH(I$1,CalLookUpColumn,0))</f>
        <v>3</v>
      </c>
    </row>
    <row r="4511" spans="1:9" x14ac:dyDescent="0.25">
      <c r="A4511" s="7">
        <v>3</v>
      </c>
      <c r="B4511" s="8">
        <v>43629</v>
      </c>
      <c r="C4511" s="9" t="s">
        <v>4</v>
      </c>
      <c r="D4511" s="10">
        <v>3339.1959999999995</v>
      </c>
      <c r="E4511" s="10">
        <v>0</v>
      </c>
      <c r="F4511" t="str">
        <f>VLOOKUP(A4511,StoreLookup,2,FALSE)</f>
        <v>Store#3</v>
      </c>
      <c r="G4511">
        <f>INDEX(CalLookUpTable,MATCH($B4511,CalLookUpRow,0),MATCH(G$1,CalLookUpColumn,0))</f>
        <v>2019</v>
      </c>
      <c r="H4511">
        <f>INDEX(CalLookUpTable,MATCH($B4511,CalLookUpRow,0),MATCH(H$1,CalLookUpColumn,0))</f>
        <v>6</v>
      </c>
      <c r="I4511">
        <f>INDEX(CalLookUpTable,MATCH($B4511,CalLookUpRow,0),MATCH(I$1,CalLookUpColumn,0))</f>
        <v>3</v>
      </c>
    </row>
    <row r="4512" spans="1:9" x14ac:dyDescent="0.25">
      <c r="A4512" s="7">
        <v>3</v>
      </c>
      <c r="B4512" s="8">
        <v>43629</v>
      </c>
      <c r="C4512" s="9" t="s">
        <v>3</v>
      </c>
      <c r="D4512" s="10">
        <v>47.698</v>
      </c>
      <c r="E4512" s="10">
        <v>0</v>
      </c>
      <c r="F4512" t="str">
        <f>VLOOKUP(A4512,StoreLookup,2,FALSE)</f>
        <v>Store#3</v>
      </c>
      <c r="G4512">
        <f>INDEX(CalLookUpTable,MATCH($B4512,CalLookUpRow,0),MATCH(G$1,CalLookUpColumn,0))</f>
        <v>2019</v>
      </c>
      <c r="H4512">
        <f>INDEX(CalLookUpTable,MATCH($B4512,CalLookUpRow,0),MATCH(H$1,CalLookUpColumn,0))</f>
        <v>6</v>
      </c>
      <c r="I4512">
        <f>INDEX(CalLookUpTable,MATCH($B4512,CalLookUpRow,0),MATCH(I$1,CalLookUpColumn,0))</f>
        <v>3</v>
      </c>
    </row>
    <row r="4513" spans="1:9" x14ac:dyDescent="0.25">
      <c r="A4513" s="7">
        <v>3</v>
      </c>
      <c r="B4513" s="8">
        <v>43629</v>
      </c>
      <c r="C4513" s="9" t="s">
        <v>5</v>
      </c>
      <c r="D4513" s="10">
        <v>3237.395</v>
      </c>
      <c r="E4513" s="10">
        <v>0</v>
      </c>
      <c r="F4513" t="str">
        <f>VLOOKUP(A4513,StoreLookup,2,FALSE)</f>
        <v>Store#3</v>
      </c>
      <c r="G4513">
        <f>INDEX(CalLookUpTable,MATCH($B4513,CalLookUpRow,0),MATCH(G$1,CalLookUpColumn,0))</f>
        <v>2019</v>
      </c>
      <c r="H4513">
        <f>INDEX(CalLookUpTable,MATCH($B4513,CalLookUpRow,0),MATCH(H$1,CalLookUpColumn,0))</f>
        <v>6</v>
      </c>
      <c r="I4513">
        <f>INDEX(CalLookUpTable,MATCH($B4513,CalLookUpRow,0),MATCH(I$1,CalLookUpColumn,0))</f>
        <v>3</v>
      </c>
    </row>
    <row r="4514" spans="1:9" x14ac:dyDescent="0.25">
      <c r="A4514" s="7">
        <v>3</v>
      </c>
      <c r="B4514" s="8">
        <v>43630</v>
      </c>
      <c r="C4514" s="9" t="s">
        <v>3</v>
      </c>
      <c r="D4514" s="10">
        <v>0</v>
      </c>
      <c r="E4514" s="10">
        <v>0</v>
      </c>
      <c r="F4514" t="str">
        <f>VLOOKUP(A4514,StoreLookup,2,FALSE)</f>
        <v>Store#3</v>
      </c>
      <c r="G4514">
        <f>INDEX(CalLookUpTable,MATCH($B4514,CalLookUpRow,0),MATCH(G$1,CalLookUpColumn,0))</f>
        <v>2019</v>
      </c>
      <c r="H4514">
        <f>INDEX(CalLookUpTable,MATCH($B4514,CalLookUpRow,0),MATCH(H$1,CalLookUpColumn,0))</f>
        <v>6</v>
      </c>
      <c r="I4514">
        <f>INDEX(CalLookUpTable,MATCH($B4514,CalLookUpRow,0),MATCH(I$1,CalLookUpColumn,0))</f>
        <v>3</v>
      </c>
    </row>
    <row r="4515" spans="1:9" x14ac:dyDescent="0.25">
      <c r="A4515" s="7">
        <v>3</v>
      </c>
      <c r="B4515" s="8">
        <v>43630</v>
      </c>
      <c r="C4515" s="9" t="s">
        <v>6</v>
      </c>
      <c r="D4515" s="10">
        <v>998.7879999999999</v>
      </c>
      <c r="E4515" s="10">
        <v>0</v>
      </c>
      <c r="F4515" t="str">
        <f>VLOOKUP(A4515,StoreLookup,2,FALSE)</f>
        <v>Store#3</v>
      </c>
      <c r="G4515">
        <f>INDEX(CalLookUpTable,MATCH($B4515,CalLookUpRow,0),MATCH(G$1,CalLookUpColumn,0))</f>
        <v>2019</v>
      </c>
      <c r="H4515">
        <f>INDEX(CalLookUpTable,MATCH($B4515,CalLookUpRow,0),MATCH(H$1,CalLookUpColumn,0))</f>
        <v>6</v>
      </c>
      <c r="I4515">
        <f>INDEX(CalLookUpTable,MATCH($B4515,CalLookUpRow,0),MATCH(I$1,CalLookUpColumn,0))</f>
        <v>3</v>
      </c>
    </row>
    <row r="4516" spans="1:9" x14ac:dyDescent="0.25">
      <c r="A4516" s="7">
        <v>3</v>
      </c>
      <c r="B4516" s="8">
        <v>43630</v>
      </c>
      <c r="C4516" s="9" t="s">
        <v>4</v>
      </c>
      <c r="D4516" s="10">
        <v>3597.2929999999997</v>
      </c>
      <c r="E4516" s="10">
        <v>0</v>
      </c>
      <c r="F4516" t="str">
        <f>VLOOKUP(A4516,StoreLookup,2,FALSE)</f>
        <v>Store#3</v>
      </c>
      <c r="G4516">
        <f>INDEX(CalLookUpTable,MATCH($B4516,CalLookUpRow,0),MATCH(G$1,CalLookUpColumn,0))</f>
        <v>2019</v>
      </c>
      <c r="H4516">
        <f>INDEX(CalLookUpTable,MATCH($B4516,CalLookUpRow,0),MATCH(H$1,CalLookUpColumn,0))</f>
        <v>6</v>
      </c>
      <c r="I4516">
        <f>INDEX(CalLookUpTable,MATCH($B4516,CalLookUpRow,0),MATCH(I$1,CalLookUpColumn,0))</f>
        <v>3</v>
      </c>
    </row>
    <row r="4517" spans="1:9" x14ac:dyDescent="0.25">
      <c r="A4517" s="7">
        <v>3</v>
      </c>
      <c r="B4517" s="8">
        <v>43630</v>
      </c>
      <c r="C4517" s="9" t="s">
        <v>5</v>
      </c>
      <c r="D4517" s="10">
        <v>3446.5129999999999</v>
      </c>
      <c r="E4517" s="10">
        <v>0</v>
      </c>
      <c r="F4517" t="str">
        <f>VLOOKUP(A4517,StoreLookup,2,FALSE)</f>
        <v>Store#3</v>
      </c>
      <c r="G4517">
        <f>INDEX(CalLookUpTable,MATCH($B4517,CalLookUpRow,0),MATCH(G$1,CalLookUpColumn,0))</f>
        <v>2019</v>
      </c>
      <c r="H4517">
        <f>INDEX(CalLookUpTable,MATCH($B4517,CalLookUpRow,0),MATCH(H$1,CalLookUpColumn,0))</f>
        <v>6</v>
      </c>
      <c r="I4517">
        <f>INDEX(CalLookUpTable,MATCH($B4517,CalLookUpRow,0),MATCH(I$1,CalLookUpColumn,0))</f>
        <v>3</v>
      </c>
    </row>
    <row r="4518" spans="1:9" x14ac:dyDescent="0.25">
      <c r="A4518" s="7">
        <v>3</v>
      </c>
      <c r="B4518" s="8">
        <v>43631</v>
      </c>
      <c r="C4518" s="9" t="s">
        <v>6</v>
      </c>
      <c r="D4518" s="10">
        <v>1119.867</v>
      </c>
      <c r="E4518" s="10">
        <v>0</v>
      </c>
      <c r="F4518" t="str">
        <f>VLOOKUP(A4518,StoreLookup,2,FALSE)</f>
        <v>Store#3</v>
      </c>
      <c r="G4518">
        <f>INDEX(CalLookUpTable,MATCH($B4518,CalLookUpRow,0),MATCH(G$1,CalLookUpColumn,0))</f>
        <v>2019</v>
      </c>
      <c r="H4518">
        <f>INDEX(CalLookUpTable,MATCH($B4518,CalLookUpRow,0),MATCH(H$1,CalLookUpColumn,0))</f>
        <v>6</v>
      </c>
      <c r="I4518">
        <f>INDEX(CalLookUpTable,MATCH($B4518,CalLookUpRow,0),MATCH(I$1,CalLookUpColumn,0))</f>
        <v>3</v>
      </c>
    </row>
    <row r="4519" spans="1:9" x14ac:dyDescent="0.25">
      <c r="A4519" s="7">
        <v>3</v>
      </c>
      <c r="B4519" s="8">
        <v>43631</v>
      </c>
      <c r="C4519" s="9" t="s">
        <v>4</v>
      </c>
      <c r="D4519" s="10">
        <v>2785.8739999999998</v>
      </c>
      <c r="E4519" s="10">
        <v>0</v>
      </c>
      <c r="F4519" t="str">
        <f>VLOOKUP(A4519,StoreLookup,2,FALSE)</f>
        <v>Store#3</v>
      </c>
      <c r="G4519">
        <f>INDEX(CalLookUpTable,MATCH($B4519,CalLookUpRow,0),MATCH(G$1,CalLookUpColumn,0))</f>
        <v>2019</v>
      </c>
      <c r="H4519">
        <f>INDEX(CalLookUpTable,MATCH($B4519,CalLookUpRow,0),MATCH(H$1,CalLookUpColumn,0))</f>
        <v>6</v>
      </c>
      <c r="I4519">
        <f>INDEX(CalLookUpTable,MATCH($B4519,CalLookUpRow,0),MATCH(I$1,CalLookUpColumn,0))</f>
        <v>3</v>
      </c>
    </row>
    <row r="4520" spans="1:9" x14ac:dyDescent="0.25">
      <c r="A4520" s="7">
        <v>3</v>
      </c>
      <c r="B4520" s="8">
        <v>43631</v>
      </c>
      <c r="C4520" s="9" t="s">
        <v>3</v>
      </c>
      <c r="D4520" s="10">
        <v>25.003999999999998</v>
      </c>
      <c r="E4520" s="10">
        <v>0</v>
      </c>
      <c r="F4520" t="str">
        <f>VLOOKUP(A4520,StoreLookup,2,FALSE)</f>
        <v>Store#3</v>
      </c>
      <c r="G4520">
        <f>INDEX(CalLookUpTable,MATCH($B4520,CalLookUpRow,0),MATCH(G$1,CalLookUpColumn,0))</f>
        <v>2019</v>
      </c>
      <c r="H4520">
        <f>INDEX(CalLookUpTable,MATCH($B4520,CalLookUpRow,0),MATCH(H$1,CalLookUpColumn,0))</f>
        <v>6</v>
      </c>
      <c r="I4520">
        <f>INDEX(CalLookUpTable,MATCH($B4520,CalLookUpRow,0),MATCH(I$1,CalLookUpColumn,0))</f>
        <v>3</v>
      </c>
    </row>
    <row r="4521" spans="1:9" x14ac:dyDescent="0.25">
      <c r="A4521" s="7">
        <v>3</v>
      </c>
      <c r="B4521" s="8">
        <v>43631</v>
      </c>
      <c r="C4521" s="9" t="s">
        <v>5</v>
      </c>
      <c r="D4521" s="10">
        <v>2762.3539999999998</v>
      </c>
      <c r="E4521" s="10">
        <v>0</v>
      </c>
      <c r="F4521" t="str">
        <f>VLOOKUP(A4521,StoreLookup,2,FALSE)</f>
        <v>Store#3</v>
      </c>
      <c r="G4521">
        <f>INDEX(CalLookUpTable,MATCH($B4521,CalLookUpRow,0),MATCH(G$1,CalLookUpColumn,0))</f>
        <v>2019</v>
      </c>
      <c r="H4521">
        <f>INDEX(CalLookUpTable,MATCH($B4521,CalLookUpRow,0),MATCH(H$1,CalLookUpColumn,0))</f>
        <v>6</v>
      </c>
      <c r="I4521">
        <f>INDEX(CalLookUpTable,MATCH($B4521,CalLookUpRow,0),MATCH(I$1,CalLookUpColumn,0))</f>
        <v>3</v>
      </c>
    </row>
    <row r="4522" spans="1:9" x14ac:dyDescent="0.25">
      <c r="A4522" s="7">
        <v>3</v>
      </c>
      <c r="B4522" s="8">
        <v>43632</v>
      </c>
      <c r="C4522" s="9" t="s">
        <v>4</v>
      </c>
      <c r="D4522" s="10">
        <v>3406.6829999999995</v>
      </c>
      <c r="E4522" s="10">
        <v>0</v>
      </c>
      <c r="F4522" t="str">
        <f>VLOOKUP(A4522,StoreLookup,2,FALSE)</f>
        <v>Store#3</v>
      </c>
      <c r="G4522">
        <f>INDEX(CalLookUpTable,MATCH($B4522,CalLookUpRow,0),MATCH(G$1,CalLookUpColumn,0))</f>
        <v>2019</v>
      </c>
      <c r="H4522">
        <f>INDEX(CalLookUpTable,MATCH($B4522,CalLookUpRow,0),MATCH(H$1,CalLookUpColumn,0))</f>
        <v>6</v>
      </c>
      <c r="I4522">
        <f>INDEX(CalLookUpTable,MATCH($B4522,CalLookUpRow,0),MATCH(I$1,CalLookUpColumn,0))</f>
        <v>3</v>
      </c>
    </row>
    <row r="4523" spans="1:9" x14ac:dyDescent="0.25">
      <c r="A4523" s="7">
        <v>3</v>
      </c>
      <c r="B4523" s="8">
        <v>43632</v>
      </c>
      <c r="C4523" s="9" t="s">
        <v>3</v>
      </c>
      <c r="D4523" s="10">
        <v>10.661</v>
      </c>
      <c r="E4523" s="10">
        <v>0</v>
      </c>
      <c r="F4523" t="str">
        <f>VLOOKUP(A4523,StoreLookup,2,FALSE)</f>
        <v>Store#3</v>
      </c>
      <c r="G4523">
        <f>INDEX(CalLookUpTable,MATCH($B4523,CalLookUpRow,0),MATCH(G$1,CalLookUpColumn,0))</f>
        <v>2019</v>
      </c>
      <c r="H4523">
        <f>INDEX(CalLookUpTable,MATCH($B4523,CalLookUpRow,0),MATCH(H$1,CalLookUpColumn,0))</f>
        <v>6</v>
      </c>
      <c r="I4523">
        <f>INDEX(CalLookUpTable,MATCH($B4523,CalLookUpRow,0),MATCH(I$1,CalLookUpColumn,0))</f>
        <v>3</v>
      </c>
    </row>
    <row r="4524" spans="1:9" x14ac:dyDescent="0.25">
      <c r="A4524" s="7">
        <v>3</v>
      </c>
      <c r="B4524" s="8">
        <v>43632</v>
      </c>
      <c r="C4524" s="9" t="s">
        <v>6</v>
      </c>
      <c r="D4524" s="10">
        <v>314.79699999999997</v>
      </c>
      <c r="E4524" s="10">
        <v>0</v>
      </c>
      <c r="F4524" t="str">
        <f>VLOOKUP(A4524,StoreLookup,2,FALSE)</f>
        <v>Store#3</v>
      </c>
      <c r="G4524">
        <f>INDEX(CalLookUpTable,MATCH($B4524,CalLookUpRow,0),MATCH(G$1,CalLookUpColumn,0))</f>
        <v>2019</v>
      </c>
      <c r="H4524">
        <f>INDEX(CalLookUpTable,MATCH($B4524,CalLookUpRow,0),MATCH(H$1,CalLookUpColumn,0))</f>
        <v>6</v>
      </c>
      <c r="I4524">
        <f>INDEX(CalLookUpTable,MATCH($B4524,CalLookUpRow,0),MATCH(I$1,CalLookUpColumn,0))</f>
        <v>3</v>
      </c>
    </row>
    <row r="4525" spans="1:9" x14ac:dyDescent="0.25">
      <c r="A4525" s="7">
        <v>3</v>
      </c>
      <c r="B4525" s="8">
        <v>43632</v>
      </c>
      <c r="C4525" s="9" t="s">
        <v>5</v>
      </c>
      <c r="D4525" s="10">
        <v>0</v>
      </c>
      <c r="E4525" s="10">
        <v>0</v>
      </c>
      <c r="F4525" t="str">
        <f>VLOOKUP(A4525,StoreLookup,2,FALSE)</f>
        <v>Store#3</v>
      </c>
      <c r="G4525">
        <f>INDEX(CalLookUpTable,MATCH($B4525,CalLookUpRow,0),MATCH(G$1,CalLookUpColumn,0))</f>
        <v>2019</v>
      </c>
      <c r="H4525">
        <f>INDEX(CalLookUpTable,MATCH($B4525,CalLookUpRow,0),MATCH(H$1,CalLookUpColumn,0))</f>
        <v>6</v>
      </c>
      <c r="I4525">
        <f>INDEX(CalLookUpTable,MATCH($B4525,CalLookUpRow,0),MATCH(I$1,CalLookUpColumn,0))</f>
        <v>3</v>
      </c>
    </row>
    <row r="4526" spans="1:9" x14ac:dyDescent="0.25">
      <c r="A4526" s="7">
        <v>3</v>
      </c>
      <c r="B4526" s="8">
        <v>43633</v>
      </c>
      <c r="C4526" s="9" t="s">
        <v>6</v>
      </c>
      <c r="D4526" s="10">
        <v>790.50299999999993</v>
      </c>
      <c r="E4526" s="10">
        <v>0</v>
      </c>
      <c r="F4526" t="str">
        <f>VLOOKUP(A4526,StoreLookup,2,FALSE)</f>
        <v>Store#3</v>
      </c>
      <c r="G4526">
        <f>INDEX(CalLookUpTable,MATCH($B4526,CalLookUpRow,0),MATCH(G$1,CalLookUpColumn,0))</f>
        <v>2019</v>
      </c>
      <c r="H4526">
        <f>INDEX(CalLookUpTable,MATCH($B4526,CalLookUpRow,0),MATCH(H$1,CalLookUpColumn,0))</f>
        <v>6</v>
      </c>
      <c r="I4526">
        <f>INDEX(CalLookUpTable,MATCH($B4526,CalLookUpRow,0),MATCH(I$1,CalLookUpColumn,0))</f>
        <v>4</v>
      </c>
    </row>
    <row r="4527" spans="1:9" x14ac:dyDescent="0.25">
      <c r="A4527" s="7">
        <v>3</v>
      </c>
      <c r="B4527" s="8">
        <v>43633</v>
      </c>
      <c r="C4527" s="9" t="s">
        <v>5</v>
      </c>
      <c r="D4527" s="10">
        <v>2209.7529999999997</v>
      </c>
      <c r="E4527" s="10">
        <v>0</v>
      </c>
      <c r="F4527" t="str">
        <f>VLOOKUP(A4527,StoreLookup,2,FALSE)</f>
        <v>Store#3</v>
      </c>
      <c r="G4527">
        <f>INDEX(CalLookUpTable,MATCH($B4527,CalLookUpRow,0),MATCH(G$1,CalLookUpColumn,0))</f>
        <v>2019</v>
      </c>
      <c r="H4527">
        <f>INDEX(CalLookUpTable,MATCH($B4527,CalLookUpRow,0),MATCH(H$1,CalLookUpColumn,0))</f>
        <v>6</v>
      </c>
      <c r="I4527">
        <f>INDEX(CalLookUpTable,MATCH($B4527,CalLookUpRow,0),MATCH(I$1,CalLookUpColumn,0))</f>
        <v>4</v>
      </c>
    </row>
    <row r="4528" spans="1:9" x14ac:dyDescent="0.25">
      <c r="A4528" s="7">
        <v>3</v>
      </c>
      <c r="B4528" s="8">
        <v>43633</v>
      </c>
      <c r="C4528" s="9" t="s">
        <v>4</v>
      </c>
      <c r="D4528" s="10">
        <v>3380.6429999999996</v>
      </c>
      <c r="E4528" s="10">
        <v>0</v>
      </c>
      <c r="F4528" t="str">
        <f>VLOOKUP(A4528,StoreLookup,2,FALSE)</f>
        <v>Store#3</v>
      </c>
      <c r="G4528">
        <f>INDEX(CalLookUpTable,MATCH($B4528,CalLookUpRow,0),MATCH(G$1,CalLookUpColumn,0))</f>
        <v>2019</v>
      </c>
      <c r="H4528">
        <f>INDEX(CalLookUpTable,MATCH($B4528,CalLookUpRow,0),MATCH(H$1,CalLookUpColumn,0))</f>
        <v>6</v>
      </c>
      <c r="I4528">
        <f>INDEX(CalLookUpTable,MATCH($B4528,CalLookUpRow,0),MATCH(I$1,CalLookUpColumn,0))</f>
        <v>4</v>
      </c>
    </row>
    <row r="4529" spans="1:9" x14ac:dyDescent="0.25">
      <c r="A4529" s="7">
        <v>3</v>
      </c>
      <c r="B4529" s="8">
        <v>43633</v>
      </c>
      <c r="C4529" s="9" t="s">
        <v>3</v>
      </c>
      <c r="D4529" s="10">
        <v>639.55499999999995</v>
      </c>
      <c r="E4529" s="10">
        <v>0</v>
      </c>
      <c r="F4529" t="str">
        <f>VLOOKUP(A4529,StoreLookup,2,FALSE)</f>
        <v>Store#3</v>
      </c>
      <c r="G4529">
        <f>INDEX(CalLookUpTable,MATCH($B4529,CalLookUpRow,0),MATCH(G$1,CalLookUpColumn,0))</f>
        <v>2019</v>
      </c>
      <c r="H4529">
        <f>INDEX(CalLookUpTable,MATCH($B4529,CalLookUpRow,0),MATCH(H$1,CalLookUpColumn,0))</f>
        <v>6</v>
      </c>
      <c r="I4529">
        <f>INDEX(CalLookUpTable,MATCH($B4529,CalLookUpRow,0),MATCH(I$1,CalLookUpColumn,0))</f>
        <v>4</v>
      </c>
    </row>
    <row r="4530" spans="1:9" x14ac:dyDescent="0.25">
      <c r="A4530" s="7">
        <v>3</v>
      </c>
      <c r="B4530" s="8">
        <v>43634</v>
      </c>
      <c r="C4530" s="9" t="s">
        <v>3</v>
      </c>
      <c r="D4530" s="10">
        <v>201.07499999999999</v>
      </c>
      <c r="E4530" s="10">
        <v>0</v>
      </c>
      <c r="F4530" t="str">
        <f>VLOOKUP(A4530,StoreLookup,2,FALSE)</f>
        <v>Store#3</v>
      </c>
      <c r="G4530">
        <f>INDEX(CalLookUpTable,MATCH($B4530,CalLookUpRow,0),MATCH(G$1,CalLookUpColumn,0))</f>
        <v>2019</v>
      </c>
      <c r="H4530">
        <f>INDEX(CalLookUpTable,MATCH($B4530,CalLookUpRow,0),MATCH(H$1,CalLookUpColumn,0))</f>
        <v>6</v>
      </c>
      <c r="I4530">
        <f>INDEX(CalLookUpTable,MATCH($B4530,CalLookUpRow,0),MATCH(I$1,CalLookUpColumn,0))</f>
        <v>4</v>
      </c>
    </row>
    <row r="4531" spans="1:9" x14ac:dyDescent="0.25">
      <c r="A4531" s="7">
        <v>3</v>
      </c>
      <c r="B4531" s="8">
        <v>43634</v>
      </c>
      <c r="C4531" s="9" t="s">
        <v>6</v>
      </c>
      <c r="D4531" s="10">
        <v>638.23899999999992</v>
      </c>
      <c r="E4531" s="10">
        <v>0</v>
      </c>
      <c r="F4531" t="str">
        <f>VLOOKUP(A4531,StoreLookup,2,FALSE)</f>
        <v>Store#3</v>
      </c>
      <c r="G4531">
        <f>INDEX(CalLookUpTable,MATCH($B4531,CalLookUpRow,0),MATCH(G$1,CalLookUpColumn,0))</f>
        <v>2019</v>
      </c>
      <c r="H4531">
        <f>INDEX(CalLookUpTable,MATCH($B4531,CalLookUpRow,0),MATCH(H$1,CalLookUpColumn,0))</f>
        <v>6</v>
      </c>
      <c r="I4531">
        <f>INDEX(CalLookUpTable,MATCH($B4531,CalLookUpRow,0),MATCH(I$1,CalLookUpColumn,0))</f>
        <v>4</v>
      </c>
    </row>
    <row r="4532" spans="1:9" x14ac:dyDescent="0.25">
      <c r="A4532" s="7">
        <v>3</v>
      </c>
      <c r="B4532" s="8">
        <v>43634</v>
      </c>
      <c r="C4532" s="9" t="s">
        <v>4</v>
      </c>
      <c r="D4532" s="10">
        <v>3800.16</v>
      </c>
      <c r="E4532" s="10">
        <v>0</v>
      </c>
      <c r="F4532" t="str">
        <f>VLOOKUP(A4532,StoreLookup,2,FALSE)</f>
        <v>Store#3</v>
      </c>
      <c r="G4532">
        <f>INDEX(CalLookUpTable,MATCH($B4532,CalLookUpRow,0),MATCH(G$1,CalLookUpColumn,0))</f>
        <v>2019</v>
      </c>
      <c r="H4532">
        <f>INDEX(CalLookUpTable,MATCH($B4532,CalLookUpRow,0),MATCH(H$1,CalLookUpColumn,0))</f>
        <v>6</v>
      </c>
      <c r="I4532">
        <f>INDEX(CalLookUpTable,MATCH($B4532,CalLookUpRow,0),MATCH(I$1,CalLookUpColumn,0))</f>
        <v>4</v>
      </c>
    </row>
    <row r="4533" spans="1:9" x14ac:dyDescent="0.25">
      <c r="A4533" s="7">
        <v>3</v>
      </c>
      <c r="B4533" s="8">
        <v>43634</v>
      </c>
      <c r="C4533" s="9" t="s">
        <v>5</v>
      </c>
      <c r="D4533" s="10">
        <v>3200.3019999999997</v>
      </c>
      <c r="E4533" s="10">
        <v>0</v>
      </c>
      <c r="F4533" t="str">
        <f>VLOOKUP(A4533,StoreLookup,2,FALSE)</f>
        <v>Store#3</v>
      </c>
      <c r="G4533">
        <f>INDEX(CalLookUpTable,MATCH($B4533,CalLookUpRow,0),MATCH(G$1,CalLookUpColumn,0))</f>
        <v>2019</v>
      </c>
      <c r="H4533">
        <f>INDEX(CalLookUpTable,MATCH($B4533,CalLookUpRow,0),MATCH(H$1,CalLookUpColumn,0))</f>
        <v>6</v>
      </c>
      <c r="I4533">
        <f>INDEX(CalLookUpTable,MATCH($B4533,CalLookUpRow,0),MATCH(I$1,CalLookUpColumn,0))</f>
        <v>4</v>
      </c>
    </row>
    <row r="4534" spans="1:9" x14ac:dyDescent="0.25">
      <c r="A4534" s="7">
        <v>3</v>
      </c>
      <c r="B4534" s="8">
        <v>43635</v>
      </c>
      <c r="C4534" s="9" t="s">
        <v>5</v>
      </c>
      <c r="D4534" s="10">
        <v>3313.1489999999994</v>
      </c>
      <c r="E4534" s="10">
        <v>0</v>
      </c>
      <c r="F4534" t="str">
        <f>VLOOKUP(A4534,StoreLookup,2,FALSE)</f>
        <v>Store#3</v>
      </c>
      <c r="G4534">
        <f>INDEX(CalLookUpTable,MATCH($B4534,CalLookUpRow,0),MATCH(G$1,CalLookUpColumn,0))</f>
        <v>2019</v>
      </c>
      <c r="H4534">
        <f>INDEX(CalLookUpTable,MATCH($B4534,CalLookUpRow,0),MATCH(H$1,CalLookUpColumn,0))</f>
        <v>6</v>
      </c>
      <c r="I4534">
        <f>INDEX(CalLookUpTable,MATCH($B4534,CalLookUpRow,0),MATCH(I$1,CalLookUpColumn,0))</f>
        <v>4</v>
      </c>
    </row>
    <row r="4535" spans="1:9" x14ac:dyDescent="0.25">
      <c r="A4535" s="7">
        <v>3</v>
      </c>
      <c r="B4535" s="8">
        <v>43635</v>
      </c>
      <c r="C4535" s="9" t="s">
        <v>3</v>
      </c>
      <c r="D4535" s="10">
        <v>0</v>
      </c>
      <c r="E4535" s="10">
        <v>0</v>
      </c>
      <c r="F4535" t="str">
        <f>VLOOKUP(A4535,StoreLookup,2,FALSE)</f>
        <v>Store#3</v>
      </c>
      <c r="G4535">
        <f>INDEX(CalLookUpTable,MATCH($B4535,CalLookUpRow,0),MATCH(G$1,CalLookUpColumn,0))</f>
        <v>2019</v>
      </c>
      <c r="H4535">
        <f>INDEX(CalLookUpTable,MATCH($B4535,CalLookUpRow,0),MATCH(H$1,CalLookUpColumn,0))</f>
        <v>6</v>
      </c>
      <c r="I4535">
        <f>INDEX(CalLookUpTable,MATCH($B4535,CalLookUpRow,0),MATCH(I$1,CalLookUpColumn,0))</f>
        <v>4</v>
      </c>
    </row>
    <row r="4536" spans="1:9" x14ac:dyDescent="0.25">
      <c r="A4536" s="7">
        <v>3</v>
      </c>
      <c r="B4536" s="8">
        <v>43635</v>
      </c>
      <c r="C4536" s="9" t="s">
        <v>6</v>
      </c>
      <c r="D4536" s="10">
        <v>797.96500000000003</v>
      </c>
      <c r="E4536" s="10">
        <v>0</v>
      </c>
      <c r="F4536" t="str">
        <f>VLOOKUP(A4536,StoreLookup,2,FALSE)</f>
        <v>Store#3</v>
      </c>
      <c r="G4536">
        <f>INDEX(CalLookUpTable,MATCH($B4536,CalLookUpRow,0),MATCH(G$1,CalLookUpColumn,0))</f>
        <v>2019</v>
      </c>
      <c r="H4536">
        <f>INDEX(CalLookUpTable,MATCH($B4536,CalLookUpRow,0),MATCH(H$1,CalLookUpColumn,0))</f>
        <v>6</v>
      </c>
      <c r="I4536">
        <f>INDEX(CalLookUpTable,MATCH($B4536,CalLookUpRow,0),MATCH(I$1,CalLookUpColumn,0))</f>
        <v>4</v>
      </c>
    </row>
    <row r="4537" spans="1:9" x14ac:dyDescent="0.25">
      <c r="A4537" s="7">
        <v>3</v>
      </c>
      <c r="B4537" s="8">
        <v>43635</v>
      </c>
      <c r="C4537" s="9" t="s">
        <v>4</v>
      </c>
      <c r="D4537" s="10">
        <v>3304.35</v>
      </c>
      <c r="E4537" s="10">
        <v>0</v>
      </c>
      <c r="F4537" t="str">
        <f>VLOOKUP(A4537,StoreLookup,2,FALSE)</f>
        <v>Store#3</v>
      </c>
      <c r="G4537">
        <f>INDEX(CalLookUpTable,MATCH($B4537,CalLookUpRow,0),MATCH(G$1,CalLookUpColumn,0))</f>
        <v>2019</v>
      </c>
      <c r="H4537">
        <f>INDEX(CalLookUpTable,MATCH($B4537,CalLookUpRow,0),MATCH(H$1,CalLookUpColumn,0))</f>
        <v>6</v>
      </c>
      <c r="I4537">
        <f>INDEX(CalLookUpTable,MATCH($B4537,CalLookUpRow,0),MATCH(I$1,CalLookUpColumn,0))</f>
        <v>4</v>
      </c>
    </row>
    <row r="4538" spans="1:9" x14ac:dyDescent="0.25">
      <c r="A4538" s="7">
        <v>3</v>
      </c>
      <c r="B4538" s="8">
        <v>43636</v>
      </c>
      <c r="C4538" s="9" t="s">
        <v>4</v>
      </c>
      <c r="D4538" s="10">
        <v>3482.7939999999999</v>
      </c>
      <c r="E4538" s="10">
        <v>0</v>
      </c>
      <c r="F4538" t="str">
        <f>VLOOKUP(A4538,StoreLookup,2,FALSE)</f>
        <v>Store#3</v>
      </c>
      <c r="G4538">
        <f>INDEX(CalLookUpTable,MATCH($B4538,CalLookUpRow,0),MATCH(G$1,CalLookUpColumn,0))</f>
        <v>2019</v>
      </c>
      <c r="H4538">
        <f>INDEX(CalLookUpTable,MATCH($B4538,CalLookUpRow,0),MATCH(H$1,CalLookUpColumn,0))</f>
        <v>6</v>
      </c>
      <c r="I4538">
        <f>INDEX(CalLookUpTable,MATCH($B4538,CalLookUpRow,0),MATCH(I$1,CalLookUpColumn,0))</f>
        <v>4</v>
      </c>
    </row>
    <row r="4539" spans="1:9" x14ac:dyDescent="0.25">
      <c r="A4539" s="7">
        <v>3</v>
      </c>
      <c r="B4539" s="8">
        <v>43636</v>
      </c>
      <c r="C4539" s="9" t="s">
        <v>3</v>
      </c>
      <c r="D4539" s="10">
        <v>121.13500000000001</v>
      </c>
      <c r="E4539" s="10">
        <v>0</v>
      </c>
      <c r="F4539" t="str">
        <f>VLOOKUP(A4539,StoreLookup,2,FALSE)</f>
        <v>Store#3</v>
      </c>
      <c r="G4539">
        <f>INDEX(CalLookUpTable,MATCH($B4539,CalLookUpRow,0),MATCH(G$1,CalLookUpColumn,0))</f>
        <v>2019</v>
      </c>
      <c r="H4539">
        <f>INDEX(CalLookUpTable,MATCH($B4539,CalLookUpRow,0),MATCH(H$1,CalLookUpColumn,0))</f>
        <v>6</v>
      </c>
      <c r="I4539">
        <f>INDEX(CalLookUpTable,MATCH($B4539,CalLookUpRow,0),MATCH(I$1,CalLookUpColumn,0))</f>
        <v>4</v>
      </c>
    </row>
    <row r="4540" spans="1:9" x14ac:dyDescent="0.25">
      <c r="A4540" s="7">
        <v>3</v>
      </c>
      <c r="B4540" s="8">
        <v>43636</v>
      </c>
      <c r="C4540" s="9" t="s">
        <v>5</v>
      </c>
      <c r="D4540" s="10">
        <v>3500.9799999999996</v>
      </c>
      <c r="E4540" s="10">
        <v>0</v>
      </c>
      <c r="F4540" t="str">
        <f>VLOOKUP(A4540,StoreLookup,2,FALSE)</f>
        <v>Store#3</v>
      </c>
      <c r="G4540">
        <f>INDEX(CalLookUpTable,MATCH($B4540,CalLookUpRow,0),MATCH(G$1,CalLookUpColumn,0))</f>
        <v>2019</v>
      </c>
      <c r="H4540">
        <f>INDEX(CalLookUpTable,MATCH($B4540,CalLookUpRow,0),MATCH(H$1,CalLookUpColumn,0))</f>
        <v>6</v>
      </c>
      <c r="I4540">
        <f>INDEX(CalLookUpTable,MATCH($B4540,CalLookUpRow,0),MATCH(I$1,CalLookUpColumn,0))</f>
        <v>4</v>
      </c>
    </row>
    <row r="4541" spans="1:9" x14ac:dyDescent="0.25">
      <c r="A4541" s="7">
        <v>3</v>
      </c>
      <c r="B4541" s="8">
        <v>43636</v>
      </c>
      <c r="C4541" s="9" t="s">
        <v>6</v>
      </c>
      <c r="D4541" s="10">
        <v>841.66600000000005</v>
      </c>
      <c r="E4541" s="10">
        <v>0</v>
      </c>
      <c r="F4541" t="str">
        <f>VLOOKUP(A4541,StoreLookup,2,FALSE)</f>
        <v>Store#3</v>
      </c>
      <c r="G4541">
        <f>INDEX(CalLookUpTable,MATCH($B4541,CalLookUpRow,0),MATCH(G$1,CalLookUpColumn,0))</f>
        <v>2019</v>
      </c>
      <c r="H4541">
        <f>INDEX(CalLookUpTable,MATCH($B4541,CalLookUpRow,0),MATCH(H$1,CalLookUpColumn,0))</f>
        <v>6</v>
      </c>
      <c r="I4541">
        <f>INDEX(CalLookUpTable,MATCH($B4541,CalLookUpRow,0),MATCH(I$1,CalLookUpColumn,0))</f>
        <v>4</v>
      </c>
    </row>
    <row r="4542" spans="1:9" x14ac:dyDescent="0.25">
      <c r="A4542" s="7">
        <v>3</v>
      </c>
      <c r="B4542" s="8">
        <v>43637</v>
      </c>
      <c r="C4542" s="9" t="s">
        <v>5</v>
      </c>
      <c r="D4542" s="10">
        <v>3691.31</v>
      </c>
      <c r="E4542" s="10">
        <v>0</v>
      </c>
      <c r="F4542" t="str">
        <f>VLOOKUP(A4542,StoreLookup,2,FALSE)</f>
        <v>Store#3</v>
      </c>
      <c r="G4542">
        <f>INDEX(CalLookUpTable,MATCH($B4542,CalLookUpRow,0),MATCH(G$1,CalLookUpColumn,0))</f>
        <v>2019</v>
      </c>
      <c r="H4542">
        <f>INDEX(CalLookUpTable,MATCH($B4542,CalLookUpRow,0),MATCH(H$1,CalLookUpColumn,0))</f>
        <v>6</v>
      </c>
      <c r="I4542">
        <f>INDEX(CalLookUpTable,MATCH($B4542,CalLookUpRow,0),MATCH(I$1,CalLookUpColumn,0))</f>
        <v>4</v>
      </c>
    </row>
    <row r="4543" spans="1:9" x14ac:dyDescent="0.25">
      <c r="A4543" s="7">
        <v>3</v>
      </c>
      <c r="B4543" s="8">
        <v>43637</v>
      </c>
      <c r="C4543" s="9" t="s">
        <v>6</v>
      </c>
      <c r="D4543" s="10">
        <v>838.92899999999997</v>
      </c>
      <c r="E4543" s="10">
        <v>0</v>
      </c>
      <c r="F4543" t="str">
        <f>VLOOKUP(A4543,StoreLookup,2,FALSE)</f>
        <v>Store#3</v>
      </c>
      <c r="G4543">
        <f>INDEX(CalLookUpTable,MATCH($B4543,CalLookUpRow,0),MATCH(G$1,CalLookUpColumn,0))</f>
        <v>2019</v>
      </c>
      <c r="H4543">
        <f>INDEX(CalLookUpTable,MATCH($B4543,CalLookUpRow,0),MATCH(H$1,CalLookUpColumn,0))</f>
        <v>6</v>
      </c>
      <c r="I4543">
        <f>INDEX(CalLookUpTable,MATCH($B4543,CalLookUpRow,0),MATCH(I$1,CalLookUpColumn,0))</f>
        <v>4</v>
      </c>
    </row>
    <row r="4544" spans="1:9" x14ac:dyDescent="0.25">
      <c r="A4544" s="7">
        <v>3</v>
      </c>
      <c r="B4544" s="8">
        <v>43637</v>
      </c>
      <c r="C4544" s="9" t="s">
        <v>4</v>
      </c>
      <c r="D4544" s="10">
        <v>3373.5659999999998</v>
      </c>
      <c r="E4544" s="10">
        <v>0</v>
      </c>
      <c r="F4544" t="str">
        <f>VLOOKUP(A4544,StoreLookup,2,FALSE)</f>
        <v>Store#3</v>
      </c>
      <c r="G4544">
        <f>INDEX(CalLookUpTable,MATCH($B4544,CalLookUpRow,0),MATCH(G$1,CalLookUpColumn,0))</f>
        <v>2019</v>
      </c>
      <c r="H4544">
        <f>INDEX(CalLookUpTable,MATCH($B4544,CalLookUpRow,0),MATCH(H$1,CalLookUpColumn,0))</f>
        <v>6</v>
      </c>
      <c r="I4544">
        <f>INDEX(CalLookUpTable,MATCH($B4544,CalLookUpRow,0),MATCH(I$1,CalLookUpColumn,0))</f>
        <v>4</v>
      </c>
    </row>
    <row r="4545" spans="1:9" x14ac:dyDescent="0.25">
      <c r="A4545" s="7">
        <v>3</v>
      </c>
      <c r="B4545" s="8">
        <v>43637</v>
      </c>
      <c r="C4545" s="9" t="s">
        <v>3</v>
      </c>
      <c r="D4545" s="10">
        <v>222.90099999999998</v>
      </c>
      <c r="E4545" s="10">
        <v>0</v>
      </c>
      <c r="F4545" t="str">
        <f>VLOOKUP(A4545,StoreLookup,2,FALSE)</f>
        <v>Store#3</v>
      </c>
      <c r="G4545">
        <f>INDEX(CalLookUpTable,MATCH($B4545,CalLookUpRow,0),MATCH(G$1,CalLookUpColumn,0))</f>
        <v>2019</v>
      </c>
      <c r="H4545">
        <f>INDEX(CalLookUpTable,MATCH($B4545,CalLookUpRow,0),MATCH(H$1,CalLookUpColumn,0))</f>
        <v>6</v>
      </c>
      <c r="I4545">
        <f>INDEX(CalLookUpTable,MATCH($B4545,CalLookUpRow,0),MATCH(I$1,CalLookUpColumn,0))</f>
        <v>4</v>
      </c>
    </row>
    <row r="4546" spans="1:9" x14ac:dyDescent="0.25">
      <c r="A4546" s="7">
        <v>3</v>
      </c>
      <c r="B4546" s="8">
        <v>43638</v>
      </c>
      <c r="C4546" s="9" t="s">
        <v>6</v>
      </c>
      <c r="D4546" s="10">
        <v>789.31299999999987</v>
      </c>
      <c r="E4546" s="10">
        <v>0</v>
      </c>
      <c r="F4546" t="str">
        <f>VLOOKUP(A4546,StoreLookup,2,FALSE)</f>
        <v>Store#3</v>
      </c>
      <c r="G4546">
        <f>INDEX(CalLookUpTable,MATCH($B4546,CalLookUpRow,0),MATCH(G$1,CalLookUpColumn,0))</f>
        <v>2019</v>
      </c>
      <c r="H4546">
        <f>INDEX(CalLookUpTable,MATCH($B4546,CalLookUpRow,0),MATCH(H$1,CalLookUpColumn,0))</f>
        <v>6</v>
      </c>
      <c r="I4546">
        <f>INDEX(CalLookUpTable,MATCH($B4546,CalLookUpRow,0),MATCH(I$1,CalLookUpColumn,0))</f>
        <v>4</v>
      </c>
    </row>
    <row r="4547" spans="1:9" x14ac:dyDescent="0.25">
      <c r="A4547" s="7">
        <v>3</v>
      </c>
      <c r="B4547" s="8">
        <v>43638</v>
      </c>
      <c r="C4547" s="9" t="s">
        <v>4</v>
      </c>
      <c r="D4547" s="10">
        <v>3521.3709999999996</v>
      </c>
      <c r="E4547" s="10">
        <v>0</v>
      </c>
      <c r="F4547" t="str">
        <f>VLOOKUP(A4547,StoreLookup,2,FALSE)</f>
        <v>Store#3</v>
      </c>
      <c r="G4547">
        <f>INDEX(CalLookUpTable,MATCH($B4547,CalLookUpRow,0),MATCH(G$1,CalLookUpColumn,0))</f>
        <v>2019</v>
      </c>
      <c r="H4547">
        <f>INDEX(CalLookUpTable,MATCH($B4547,CalLookUpRow,0),MATCH(H$1,CalLookUpColumn,0))</f>
        <v>6</v>
      </c>
      <c r="I4547">
        <f>INDEX(CalLookUpTable,MATCH($B4547,CalLookUpRow,0),MATCH(I$1,CalLookUpColumn,0))</f>
        <v>4</v>
      </c>
    </row>
    <row r="4548" spans="1:9" x14ac:dyDescent="0.25">
      <c r="A4548" s="7">
        <v>3</v>
      </c>
      <c r="B4548" s="8">
        <v>43638</v>
      </c>
      <c r="C4548" s="9" t="s">
        <v>3</v>
      </c>
      <c r="D4548" s="10">
        <v>14.147</v>
      </c>
      <c r="E4548" s="10">
        <v>0</v>
      </c>
      <c r="F4548" t="str">
        <f>VLOOKUP(A4548,StoreLookup,2,FALSE)</f>
        <v>Store#3</v>
      </c>
      <c r="G4548">
        <f>INDEX(CalLookUpTable,MATCH($B4548,CalLookUpRow,0),MATCH(G$1,CalLookUpColumn,0))</f>
        <v>2019</v>
      </c>
      <c r="H4548">
        <f>INDEX(CalLookUpTable,MATCH($B4548,CalLookUpRow,0),MATCH(H$1,CalLookUpColumn,0))</f>
        <v>6</v>
      </c>
      <c r="I4548">
        <f>INDEX(CalLookUpTable,MATCH($B4548,CalLookUpRow,0),MATCH(I$1,CalLookUpColumn,0))</f>
        <v>4</v>
      </c>
    </row>
    <row r="4549" spans="1:9" x14ac:dyDescent="0.25">
      <c r="A4549" s="7">
        <v>3</v>
      </c>
      <c r="B4549" s="8">
        <v>43638</v>
      </c>
      <c r="C4549" s="9" t="s">
        <v>5</v>
      </c>
      <c r="D4549" s="10">
        <v>3406.5149999999999</v>
      </c>
      <c r="E4549" s="10">
        <v>0</v>
      </c>
      <c r="F4549" t="str">
        <f>VLOOKUP(A4549,StoreLookup,2,FALSE)</f>
        <v>Store#3</v>
      </c>
      <c r="G4549">
        <f>INDEX(CalLookUpTable,MATCH($B4549,CalLookUpRow,0),MATCH(G$1,CalLookUpColumn,0))</f>
        <v>2019</v>
      </c>
      <c r="H4549">
        <f>INDEX(CalLookUpTable,MATCH($B4549,CalLookUpRow,0),MATCH(H$1,CalLookUpColumn,0))</f>
        <v>6</v>
      </c>
      <c r="I4549">
        <f>INDEX(CalLookUpTable,MATCH($B4549,CalLookUpRow,0),MATCH(I$1,CalLookUpColumn,0))</f>
        <v>4</v>
      </c>
    </row>
    <row r="4550" spans="1:9" x14ac:dyDescent="0.25">
      <c r="A4550" s="7">
        <v>3</v>
      </c>
      <c r="B4550" s="8">
        <v>43639</v>
      </c>
      <c r="C4550" s="9" t="s">
        <v>6</v>
      </c>
      <c r="D4550" s="10">
        <v>637.952</v>
      </c>
      <c r="E4550" s="10">
        <v>0</v>
      </c>
      <c r="F4550" t="str">
        <f>VLOOKUP(A4550,StoreLookup,2,FALSE)</f>
        <v>Store#3</v>
      </c>
      <c r="G4550">
        <f>INDEX(CalLookUpTable,MATCH($B4550,CalLookUpRow,0),MATCH(G$1,CalLookUpColumn,0))</f>
        <v>2019</v>
      </c>
      <c r="H4550">
        <f>INDEX(CalLookUpTable,MATCH($B4550,CalLookUpRow,0),MATCH(H$1,CalLookUpColumn,0))</f>
        <v>6</v>
      </c>
      <c r="I4550">
        <f>INDEX(CalLookUpTable,MATCH($B4550,CalLookUpRow,0),MATCH(I$1,CalLookUpColumn,0))</f>
        <v>4</v>
      </c>
    </row>
    <row r="4551" spans="1:9" x14ac:dyDescent="0.25">
      <c r="A4551" s="7">
        <v>3</v>
      </c>
      <c r="B4551" s="8">
        <v>43639</v>
      </c>
      <c r="C4551" s="9" t="s">
        <v>4</v>
      </c>
      <c r="D4551" s="10">
        <v>3390.8420000000001</v>
      </c>
      <c r="E4551" s="10">
        <v>0</v>
      </c>
      <c r="F4551" t="str">
        <f>VLOOKUP(A4551,StoreLookup,2,FALSE)</f>
        <v>Store#3</v>
      </c>
      <c r="G4551">
        <f>INDEX(CalLookUpTable,MATCH($B4551,CalLookUpRow,0),MATCH(G$1,CalLookUpColumn,0))</f>
        <v>2019</v>
      </c>
      <c r="H4551">
        <f>INDEX(CalLookUpTable,MATCH($B4551,CalLookUpRow,0),MATCH(H$1,CalLookUpColumn,0))</f>
        <v>6</v>
      </c>
      <c r="I4551">
        <f>INDEX(CalLookUpTable,MATCH($B4551,CalLookUpRow,0),MATCH(I$1,CalLookUpColumn,0))</f>
        <v>4</v>
      </c>
    </row>
    <row r="4552" spans="1:9" x14ac:dyDescent="0.25">
      <c r="A4552" s="7">
        <v>3</v>
      </c>
      <c r="B4552" s="8">
        <v>43639</v>
      </c>
      <c r="C4552" s="9" t="s">
        <v>3</v>
      </c>
      <c r="D4552" s="10">
        <v>0</v>
      </c>
      <c r="E4552" s="10">
        <v>0</v>
      </c>
      <c r="F4552" t="str">
        <f>VLOOKUP(A4552,StoreLookup,2,FALSE)</f>
        <v>Store#3</v>
      </c>
      <c r="G4552">
        <f>INDEX(CalLookUpTable,MATCH($B4552,CalLookUpRow,0),MATCH(G$1,CalLookUpColumn,0))</f>
        <v>2019</v>
      </c>
      <c r="H4552">
        <f>INDEX(CalLookUpTable,MATCH($B4552,CalLookUpRow,0),MATCH(H$1,CalLookUpColumn,0))</f>
        <v>6</v>
      </c>
      <c r="I4552">
        <f>INDEX(CalLookUpTable,MATCH($B4552,CalLookUpRow,0),MATCH(I$1,CalLookUpColumn,0))</f>
        <v>4</v>
      </c>
    </row>
    <row r="4553" spans="1:9" x14ac:dyDescent="0.25">
      <c r="A4553" s="7">
        <v>3</v>
      </c>
      <c r="B4553" s="8">
        <v>43639</v>
      </c>
      <c r="C4553" s="9" t="s">
        <v>5</v>
      </c>
      <c r="D4553" s="10">
        <v>2866.2759999999998</v>
      </c>
      <c r="E4553" s="10">
        <v>0</v>
      </c>
      <c r="F4553" t="str">
        <f>VLOOKUP(A4553,StoreLookup,2,FALSE)</f>
        <v>Store#3</v>
      </c>
      <c r="G4553">
        <f>INDEX(CalLookUpTable,MATCH($B4553,CalLookUpRow,0),MATCH(G$1,CalLookUpColumn,0))</f>
        <v>2019</v>
      </c>
      <c r="H4553">
        <f>INDEX(CalLookUpTable,MATCH($B4553,CalLookUpRow,0),MATCH(H$1,CalLookUpColumn,0))</f>
        <v>6</v>
      </c>
      <c r="I4553">
        <f>INDEX(CalLookUpTable,MATCH($B4553,CalLookUpRow,0),MATCH(I$1,CalLookUpColumn,0))</f>
        <v>4</v>
      </c>
    </row>
    <row r="4554" spans="1:9" x14ac:dyDescent="0.25">
      <c r="A4554" s="7">
        <v>3</v>
      </c>
      <c r="B4554" s="8">
        <v>43640</v>
      </c>
      <c r="C4554" s="9" t="s">
        <v>3</v>
      </c>
      <c r="D4554" s="10">
        <v>0</v>
      </c>
      <c r="E4554" s="10">
        <v>0</v>
      </c>
      <c r="F4554" t="str">
        <f>VLOOKUP(A4554,StoreLookup,2,FALSE)</f>
        <v>Store#3</v>
      </c>
      <c r="G4554">
        <f>INDEX(CalLookUpTable,MATCH($B4554,CalLookUpRow,0),MATCH(G$1,CalLookUpColumn,0))</f>
        <v>2019</v>
      </c>
      <c r="H4554">
        <f>INDEX(CalLookUpTable,MATCH($B4554,CalLookUpRow,0),MATCH(H$1,CalLookUpColumn,0))</f>
        <v>6</v>
      </c>
      <c r="I4554">
        <f>INDEX(CalLookUpTable,MATCH($B4554,CalLookUpRow,0),MATCH(I$1,CalLookUpColumn,0))</f>
        <v>5</v>
      </c>
    </row>
    <row r="4555" spans="1:9" x14ac:dyDescent="0.25">
      <c r="A4555" s="7">
        <v>3</v>
      </c>
      <c r="B4555" s="8">
        <v>43640</v>
      </c>
      <c r="C4555" s="9" t="s">
        <v>6</v>
      </c>
      <c r="D4555" s="10">
        <v>773.40899999999988</v>
      </c>
      <c r="E4555" s="10">
        <v>0</v>
      </c>
      <c r="F4555" t="str">
        <f>VLOOKUP(A4555,StoreLookup,2,FALSE)</f>
        <v>Store#3</v>
      </c>
      <c r="G4555">
        <f>INDEX(CalLookUpTable,MATCH($B4555,CalLookUpRow,0),MATCH(G$1,CalLookUpColumn,0))</f>
        <v>2019</v>
      </c>
      <c r="H4555">
        <f>INDEX(CalLookUpTable,MATCH($B4555,CalLookUpRow,0),MATCH(H$1,CalLookUpColumn,0))</f>
        <v>6</v>
      </c>
      <c r="I4555">
        <f>INDEX(CalLookUpTable,MATCH($B4555,CalLookUpRow,0),MATCH(I$1,CalLookUpColumn,0))</f>
        <v>5</v>
      </c>
    </row>
    <row r="4556" spans="1:9" x14ac:dyDescent="0.25">
      <c r="A4556" s="7">
        <v>3</v>
      </c>
      <c r="B4556" s="8">
        <v>43640</v>
      </c>
      <c r="C4556" s="9" t="s">
        <v>5</v>
      </c>
      <c r="D4556" s="10">
        <v>3251.6959999999995</v>
      </c>
      <c r="E4556" s="10">
        <v>0</v>
      </c>
      <c r="F4556" t="str">
        <f>VLOOKUP(A4556,StoreLookup,2,FALSE)</f>
        <v>Store#3</v>
      </c>
      <c r="G4556">
        <f>INDEX(CalLookUpTable,MATCH($B4556,CalLookUpRow,0),MATCH(G$1,CalLookUpColumn,0))</f>
        <v>2019</v>
      </c>
      <c r="H4556">
        <f>INDEX(CalLookUpTable,MATCH($B4556,CalLookUpRow,0),MATCH(H$1,CalLookUpColumn,0))</f>
        <v>6</v>
      </c>
      <c r="I4556">
        <f>INDEX(CalLookUpTable,MATCH($B4556,CalLookUpRow,0),MATCH(I$1,CalLookUpColumn,0))</f>
        <v>5</v>
      </c>
    </row>
    <row r="4557" spans="1:9" x14ac:dyDescent="0.25">
      <c r="A4557" s="7">
        <v>3</v>
      </c>
      <c r="B4557" s="8">
        <v>43640</v>
      </c>
      <c r="C4557" s="9" t="s">
        <v>4</v>
      </c>
      <c r="D4557" s="10">
        <v>3085.0679999999998</v>
      </c>
      <c r="E4557" s="10">
        <v>0</v>
      </c>
      <c r="F4557" t="str">
        <f>VLOOKUP(A4557,StoreLookup,2,FALSE)</f>
        <v>Store#3</v>
      </c>
      <c r="G4557">
        <f>INDEX(CalLookUpTable,MATCH($B4557,CalLookUpRow,0),MATCH(G$1,CalLookUpColumn,0))</f>
        <v>2019</v>
      </c>
      <c r="H4557">
        <f>INDEX(CalLookUpTable,MATCH($B4557,CalLookUpRow,0),MATCH(H$1,CalLookUpColumn,0))</f>
        <v>6</v>
      </c>
      <c r="I4557">
        <f>INDEX(CalLookUpTable,MATCH($B4557,CalLookUpRow,0),MATCH(I$1,CalLookUpColumn,0))</f>
        <v>5</v>
      </c>
    </row>
    <row r="4558" spans="1:9" x14ac:dyDescent="0.25">
      <c r="A4558" s="7">
        <v>3</v>
      </c>
      <c r="B4558" s="8">
        <v>43641</v>
      </c>
      <c r="C4558" s="9" t="s">
        <v>3</v>
      </c>
      <c r="D4558" s="10">
        <v>135.95399999999998</v>
      </c>
      <c r="E4558" s="10">
        <v>0</v>
      </c>
      <c r="F4558" t="str">
        <f>VLOOKUP(A4558,StoreLookup,2,FALSE)</f>
        <v>Store#3</v>
      </c>
      <c r="G4558">
        <f>INDEX(CalLookUpTable,MATCH($B4558,CalLookUpRow,0),MATCH(G$1,CalLookUpColumn,0))</f>
        <v>2019</v>
      </c>
      <c r="H4558">
        <f>INDEX(CalLookUpTable,MATCH($B4558,CalLookUpRow,0),MATCH(H$1,CalLookUpColumn,0))</f>
        <v>6</v>
      </c>
      <c r="I4558">
        <f>INDEX(CalLookUpTable,MATCH($B4558,CalLookUpRow,0),MATCH(I$1,CalLookUpColumn,0))</f>
        <v>5</v>
      </c>
    </row>
    <row r="4559" spans="1:9" x14ac:dyDescent="0.25">
      <c r="A4559" s="7">
        <v>3</v>
      </c>
      <c r="B4559" s="8">
        <v>43641</v>
      </c>
      <c r="C4559" s="9" t="s">
        <v>4</v>
      </c>
      <c r="D4559" s="10">
        <v>3541.2369999999996</v>
      </c>
      <c r="E4559" s="10">
        <v>0</v>
      </c>
      <c r="F4559" t="str">
        <f>VLOOKUP(A4559,StoreLookup,2,FALSE)</f>
        <v>Store#3</v>
      </c>
      <c r="G4559">
        <f>INDEX(CalLookUpTable,MATCH($B4559,CalLookUpRow,0),MATCH(G$1,CalLookUpColumn,0))</f>
        <v>2019</v>
      </c>
      <c r="H4559">
        <f>INDEX(CalLookUpTable,MATCH($B4559,CalLookUpRow,0),MATCH(H$1,CalLookUpColumn,0))</f>
        <v>6</v>
      </c>
      <c r="I4559">
        <f>INDEX(CalLookUpTable,MATCH($B4559,CalLookUpRow,0),MATCH(I$1,CalLookUpColumn,0))</f>
        <v>5</v>
      </c>
    </row>
    <row r="4560" spans="1:9" x14ac:dyDescent="0.25">
      <c r="A4560" s="7">
        <v>3</v>
      </c>
      <c r="B4560" s="8">
        <v>43641</v>
      </c>
      <c r="C4560" s="9" t="s">
        <v>6</v>
      </c>
      <c r="D4560" s="10">
        <v>673.84799999999996</v>
      </c>
      <c r="E4560" s="10">
        <v>0</v>
      </c>
      <c r="F4560" t="str">
        <f>VLOOKUP(A4560,StoreLookup,2,FALSE)</f>
        <v>Store#3</v>
      </c>
      <c r="G4560">
        <f>INDEX(CalLookUpTable,MATCH($B4560,CalLookUpRow,0),MATCH(G$1,CalLookUpColumn,0))</f>
        <v>2019</v>
      </c>
      <c r="H4560">
        <f>INDEX(CalLookUpTable,MATCH($B4560,CalLookUpRow,0),MATCH(H$1,CalLookUpColumn,0))</f>
        <v>6</v>
      </c>
      <c r="I4560">
        <f>INDEX(CalLookUpTable,MATCH($B4560,CalLookUpRow,0),MATCH(I$1,CalLookUpColumn,0))</f>
        <v>5</v>
      </c>
    </row>
    <row r="4561" spans="1:9" x14ac:dyDescent="0.25">
      <c r="A4561" s="7">
        <v>3</v>
      </c>
      <c r="B4561" s="8">
        <v>43641</v>
      </c>
      <c r="C4561" s="9" t="s">
        <v>5</v>
      </c>
      <c r="D4561" s="10">
        <v>3144.3089999999997</v>
      </c>
      <c r="E4561" s="10">
        <v>0</v>
      </c>
      <c r="F4561" t="str">
        <f>VLOOKUP(A4561,StoreLookup,2,FALSE)</f>
        <v>Store#3</v>
      </c>
      <c r="G4561">
        <f>INDEX(CalLookUpTable,MATCH($B4561,CalLookUpRow,0),MATCH(G$1,CalLookUpColumn,0))</f>
        <v>2019</v>
      </c>
      <c r="H4561">
        <f>INDEX(CalLookUpTable,MATCH($B4561,CalLookUpRow,0),MATCH(H$1,CalLookUpColumn,0))</f>
        <v>6</v>
      </c>
      <c r="I4561">
        <f>INDEX(CalLookUpTable,MATCH($B4561,CalLookUpRow,0),MATCH(I$1,CalLookUpColumn,0))</f>
        <v>5</v>
      </c>
    </row>
    <row r="4562" spans="1:9" x14ac:dyDescent="0.25">
      <c r="A4562" s="7">
        <v>3</v>
      </c>
      <c r="B4562" s="8">
        <v>43642</v>
      </c>
      <c r="C4562" s="9" t="s">
        <v>6</v>
      </c>
      <c r="D4562" s="10">
        <v>784.74899999999991</v>
      </c>
      <c r="E4562" s="10">
        <v>0</v>
      </c>
      <c r="F4562" t="str">
        <f>VLOOKUP(A4562,StoreLookup,2,FALSE)</f>
        <v>Store#3</v>
      </c>
      <c r="G4562">
        <f>INDEX(CalLookUpTable,MATCH($B4562,CalLookUpRow,0),MATCH(G$1,CalLookUpColumn,0))</f>
        <v>2019</v>
      </c>
      <c r="H4562">
        <f>INDEX(CalLookUpTable,MATCH($B4562,CalLookUpRow,0),MATCH(H$1,CalLookUpColumn,0))</f>
        <v>6</v>
      </c>
      <c r="I4562">
        <f>INDEX(CalLookUpTable,MATCH($B4562,CalLookUpRow,0),MATCH(I$1,CalLookUpColumn,0))</f>
        <v>5</v>
      </c>
    </row>
    <row r="4563" spans="1:9" x14ac:dyDescent="0.25">
      <c r="A4563" s="7">
        <v>3</v>
      </c>
      <c r="B4563" s="8">
        <v>43642</v>
      </c>
      <c r="C4563" s="9" t="s">
        <v>4</v>
      </c>
      <c r="D4563" s="10">
        <v>3338.3629999999998</v>
      </c>
      <c r="E4563" s="10">
        <v>0</v>
      </c>
      <c r="F4563" t="str">
        <f>VLOOKUP(A4563,StoreLookup,2,FALSE)</f>
        <v>Store#3</v>
      </c>
      <c r="G4563">
        <f>INDEX(CalLookUpTable,MATCH($B4563,CalLookUpRow,0),MATCH(G$1,CalLookUpColumn,0))</f>
        <v>2019</v>
      </c>
      <c r="H4563">
        <f>INDEX(CalLookUpTable,MATCH($B4563,CalLookUpRow,0),MATCH(H$1,CalLookUpColumn,0))</f>
        <v>6</v>
      </c>
      <c r="I4563">
        <f>INDEX(CalLookUpTable,MATCH($B4563,CalLookUpRow,0),MATCH(I$1,CalLookUpColumn,0))</f>
        <v>5</v>
      </c>
    </row>
    <row r="4564" spans="1:9" x14ac:dyDescent="0.25">
      <c r="A4564" s="7">
        <v>3</v>
      </c>
      <c r="B4564" s="8">
        <v>43642</v>
      </c>
      <c r="C4564" s="9" t="s">
        <v>3</v>
      </c>
      <c r="D4564" s="10">
        <v>42.021000000000001</v>
      </c>
      <c r="E4564" s="10">
        <v>0</v>
      </c>
      <c r="F4564" t="str">
        <f>VLOOKUP(A4564,StoreLookup,2,FALSE)</f>
        <v>Store#3</v>
      </c>
      <c r="G4564">
        <f>INDEX(CalLookUpTable,MATCH($B4564,CalLookUpRow,0),MATCH(G$1,CalLookUpColumn,0))</f>
        <v>2019</v>
      </c>
      <c r="H4564">
        <f>INDEX(CalLookUpTable,MATCH($B4564,CalLookUpRow,0),MATCH(H$1,CalLookUpColumn,0))</f>
        <v>6</v>
      </c>
      <c r="I4564">
        <f>INDEX(CalLookUpTable,MATCH($B4564,CalLookUpRow,0),MATCH(I$1,CalLookUpColumn,0))</f>
        <v>5</v>
      </c>
    </row>
    <row r="4565" spans="1:9" x14ac:dyDescent="0.25">
      <c r="A4565" s="7">
        <v>3</v>
      </c>
      <c r="B4565" s="8">
        <v>43642</v>
      </c>
      <c r="C4565" s="9" t="s">
        <v>5</v>
      </c>
      <c r="D4565" s="10">
        <v>3273.5709999999995</v>
      </c>
      <c r="E4565" s="10">
        <v>0</v>
      </c>
      <c r="F4565" t="str">
        <f>VLOOKUP(A4565,StoreLookup,2,FALSE)</f>
        <v>Store#3</v>
      </c>
      <c r="G4565">
        <f>INDEX(CalLookUpTable,MATCH($B4565,CalLookUpRow,0),MATCH(G$1,CalLookUpColumn,0))</f>
        <v>2019</v>
      </c>
      <c r="H4565">
        <f>INDEX(CalLookUpTable,MATCH($B4565,CalLookUpRow,0),MATCH(H$1,CalLookUpColumn,0))</f>
        <v>6</v>
      </c>
      <c r="I4565">
        <f>INDEX(CalLookUpTable,MATCH($B4565,CalLookUpRow,0),MATCH(I$1,CalLookUpColumn,0))</f>
        <v>5</v>
      </c>
    </row>
    <row r="4566" spans="1:9" x14ac:dyDescent="0.25">
      <c r="A4566" s="7">
        <v>3</v>
      </c>
      <c r="B4566" s="8">
        <v>43643</v>
      </c>
      <c r="C4566" s="9" t="s">
        <v>6</v>
      </c>
      <c r="D4566" s="10">
        <v>663.34100000000001</v>
      </c>
      <c r="E4566" s="10">
        <v>0</v>
      </c>
      <c r="F4566" t="str">
        <f>VLOOKUP(A4566,StoreLookup,2,FALSE)</f>
        <v>Store#3</v>
      </c>
      <c r="G4566">
        <f>INDEX(CalLookUpTable,MATCH($B4566,CalLookUpRow,0),MATCH(G$1,CalLookUpColumn,0))</f>
        <v>2019</v>
      </c>
      <c r="H4566">
        <f>INDEX(CalLookUpTable,MATCH($B4566,CalLookUpRow,0),MATCH(H$1,CalLookUpColumn,0))</f>
        <v>6</v>
      </c>
      <c r="I4566">
        <f>INDEX(CalLookUpTable,MATCH($B4566,CalLookUpRow,0),MATCH(I$1,CalLookUpColumn,0))</f>
        <v>5</v>
      </c>
    </row>
    <row r="4567" spans="1:9" x14ac:dyDescent="0.25">
      <c r="A4567" s="7">
        <v>3</v>
      </c>
      <c r="B4567" s="8">
        <v>43643</v>
      </c>
      <c r="C4567" s="9" t="s">
        <v>3</v>
      </c>
      <c r="D4567" s="10">
        <v>463.029</v>
      </c>
      <c r="E4567" s="10">
        <v>0</v>
      </c>
      <c r="F4567" t="str">
        <f>VLOOKUP(A4567,StoreLookup,2,FALSE)</f>
        <v>Store#3</v>
      </c>
      <c r="G4567">
        <f>INDEX(CalLookUpTable,MATCH($B4567,CalLookUpRow,0),MATCH(G$1,CalLookUpColumn,0))</f>
        <v>2019</v>
      </c>
      <c r="H4567">
        <f>INDEX(CalLookUpTable,MATCH($B4567,CalLookUpRow,0),MATCH(H$1,CalLookUpColumn,0))</f>
        <v>6</v>
      </c>
      <c r="I4567">
        <f>INDEX(CalLookUpTable,MATCH($B4567,CalLookUpRow,0),MATCH(I$1,CalLookUpColumn,0))</f>
        <v>5</v>
      </c>
    </row>
    <row r="4568" spans="1:9" x14ac:dyDescent="0.25">
      <c r="A4568" s="7">
        <v>3</v>
      </c>
      <c r="B4568" s="8">
        <v>43643</v>
      </c>
      <c r="C4568" s="9" t="s">
        <v>5</v>
      </c>
      <c r="D4568" s="10">
        <v>3638.5230000000001</v>
      </c>
      <c r="E4568" s="10">
        <v>0</v>
      </c>
      <c r="F4568" t="str">
        <f>VLOOKUP(A4568,StoreLookup,2,FALSE)</f>
        <v>Store#3</v>
      </c>
      <c r="G4568">
        <f>INDEX(CalLookUpTable,MATCH($B4568,CalLookUpRow,0),MATCH(G$1,CalLookUpColumn,0))</f>
        <v>2019</v>
      </c>
      <c r="H4568">
        <f>INDEX(CalLookUpTable,MATCH($B4568,CalLookUpRow,0),MATCH(H$1,CalLookUpColumn,0))</f>
        <v>6</v>
      </c>
      <c r="I4568">
        <f>INDEX(CalLookUpTable,MATCH($B4568,CalLookUpRow,0),MATCH(I$1,CalLookUpColumn,0))</f>
        <v>5</v>
      </c>
    </row>
    <row r="4569" spans="1:9" x14ac:dyDescent="0.25">
      <c r="A4569" s="7">
        <v>3</v>
      </c>
      <c r="B4569" s="8">
        <v>43643</v>
      </c>
      <c r="C4569" s="9" t="s">
        <v>4</v>
      </c>
      <c r="D4569" s="10">
        <v>3223.1079999999997</v>
      </c>
      <c r="E4569" s="10">
        <v>0</v>
      </c>
      <c r="F4569" t="str">
        <f>VLOOKUP(A4569,StoreLookup,2,FALSE)</f>
        <v>Store#3</v>
      </c>
      <c r="G4569">
        <f>INDEX(CalLookUpTable,MATCH($B4569,CalLookUpRow,0),MATCH(G$1,CalLookUpColumn,0))</f>
        <v>2019</v>
      </c>
      <c r="H4569">
        <f>INDEX(CalLookUpTable,MATCH($B4569,CalLookUpRow,0),MATCH(H$1,CalLookUpColumn,0))</f>
        <v>6</v>
      </c>
      <c r="I4569">
        <f>INDEX(CalLookUpTable,MATCH($B4569,CalLookUpRow,0),MATCH(I$1,CalLookUpColumn,0))</f>
        <v>5</v>
      </c>
    </row>
    <row r="4570" spans="1:9" x14ac:dyDescent="0.25">
      <c r="A4570" s="7">
        <v>3</v>
      </c>
      <c r="B4570" s="8">
        <v>43644</v>
      </c>
      <c r="C4570" s="9" t="s">
        <v>6</v>
      </c>
      <c r="D4570" s="10">
        <v>684.3549999999999</v>
      </c>
      <c r="E4570" s="10">
        <v>0</v>
      </c>
      <c r="F4570" t="str">
        <f>VLOOKUP(A4570,StoreLookup,2,FALSE)</f>
        <v>Store#3</v>
      </c>
      <c r="G4570">
        <f>INDEX(CalLookUpTable,MATCH($B4570,CalLookUpRow,0),MATCH(G$1,CalLookUpColumn,0))</f>
        <v>2019</v>
      </c>
      <c r="H4570">
        <f>INDEX(CalLookUpTable,MATCH($B4570,CalLookUpRow,0),MATCH(H$1,CalLookUpColumn,0))</f>
        <v>6</v>
      </c>
      <c r="I4570">
        <f>INDEX(CalLookUpTable,MATCH($B4570,CalLookUpRow,0),MATCH(I$1,CalLookUpColumn,0))</f>
        <v>5</v>
      </c>
    </row>
    <row r="4571" spans="1:9" x14ac:dyDescent="0.25">
      <c r="A4571" s="7">
        <v>3</v>
      </c>
      <c r="B4571" s="8">
        <v>43644</v>
      </c>
      <c r="C4571" s="9" t="s">
        <v>4</v>
      </c>
      <c r="D4571" s="10">
        <v>3503.7170000000001</v>
      </c>
      <c r="E4571" s="10">
        <v>0</v>
      </c>
      <c r="F4571" t="str">
        <f>VLOOKUP(A4571,StoreLookup,2,FALSE)</f>
        <v>Store#3</v>
      </c>
      <c r="G4571">
        <f>INDEX(CalLookUpTable,MATCH($B4571,CalLookUpRow,0),MATCH(G$1,CalLookUpColumn,0))</f>
        <v>2019</v>
      </c>
      <c r="H4571">
        <f>INDEX(CalLookUpTable,MATCH($B4571,CalLookUpRow,0),MATCH(H$1,CalLookUpColumn,0))</f>
        <v>6</v>
      </c>
      <c r="I4571">
        <f>INDEX(CalLookUpTable,MATCH($B4571,CalLookUpRow,0),MATCH(I$1,CalLookUpColumn,0))</f>
        <v>5</v>
      </c>
    </row>
    <row r="4572" spans="1:9" x14ac:dyDescent="0.25">
      <c r="A4572" s="7">
        <v>3</v>
      </c>
      <c r="B4572" s="8">
        <v>43644</v>
      </c>
      <c r="C4572" s="9" t="s">
        <v>3</v>
      </c>
      <c r="D4572" s="10">
        <v>127.44199999999999</v>
      </c>
      <c r="E4572" s="10">
        <v>0</v>
      </c>
      <c r="F4572" t="str">
        <f>VLOOKUP(A4572,StoreLookup,2,FALSE)</f>
        <v>Store#3</v>
      </c>
      <c r="G4572">
        <f>INDEX(CalLookUpTable,MATCH($B4572,CalLookUpRow,0),MATCH(G$1,CalLookUpColumn,0))</f>
        <v>2019</v>
      </c>
      <c r="H4572">
        <f>INDEX(CalLookUpTable,MATCH($B4572,CalLookUpRow,0),MATCH(H$1,CalLookUpColumn,0))</f>
        <v>6</v>
      </c>
      <c r="I4572">
        <f>INDEX(CalLookUpTable,MATCH($B4572,CalLookUpRow,0),MATCH(I$1,CalLookUpColumn,0))</f>
        <v>5</v>
      </c>
    </row>
    <row r="4573" spans="1:9" x14ac:dyDescent="0.25">
      <c r="A4573" s="7">
        <v>3</v>
      </c>
      <c r="B4573" s="8">
        <v>43644</v>
      </c>
      <c r="C4573" s="9" t="s">
        <v>5</v>
      </c>
      <c r="D4573" s="10">
        <v>3712.1279999999997</v>
      </c>
      <c r="E4573" s="10">
        <v>0</v>
      </c>
      <c r="F4573" t="str">
        <f>VLOOKUP(A4573,StoreLookup,2,FALSE)</f>
        <v>Store#3</v>
      </c>
      <c r="G4573">
        <f>INDEX(CalLookUpTable,MATCH($B4573,CalLookUpRow,0),MATCH(G$1,CalLookUpColumn,0))</f>
        <v>2019</v>
      </c>
      <c r="H4573">
        <f>INDEX(CalLookUpTable,MATCH($B4573,CalLookUpRow,0),MATCH(H$1,CalLookUpColumn,0))</f>
        <v>6</v>
      </c>
      <c r="I4573">
        <f>INDEX(CalLookUpTable,MATCH($B4573,CalLookUpRow,0),MATCH(I$1,CalLookUpColumn,0))</f>
        <v>5</v>
      </c>
    </row>
    <row r="4574" spans="1:9" x14ac:dyDescent="0.25">
      <c r="A4574" s="7">
        <v>3</v>
      </c>
      <c r="B4574" s="8">
        <v>43645</v>
      </c>
      <c r="C4574" s="9" t="s">
        <v>4</v>
      </c>
      <c r="D4574" s="10">
        <v>3166.7439999999997</v>
      </c>
      <c r="E4574" s="10">
        <v>0</v>
      </c>
      <c r="F4574" t="str">
        <f>VLOOKUP(A4574,StoreLookup,2,FALSE)</f>
        <v>Store#3</v>
      </c>
      <c r="G4574">
        <f>INDEX(CalLookUpTable,MATCH($B4574,CalLookUpRow,0),MATCH(G$1,CalLookUpColumn,0))</f>
        <v>2019</v>
      </c>
      <c r="H4574">
        <f>INDEX(CalLookUpTable,MATCH($B4574,CalLookUpRow,0),MATCH(H$1,CalLookUpColumn,0))</f>
        <v>6</v>
      </c>
      <c r="I4574">
        <f>INDEX(CalLookUpTable,MATCH($B4574,CalLookUpRow,0),MATCH(I$1,CalLookUpColumn,0))</f>
        <v>5</v>
      </c>
    </row>
    <row r="4575" spans="1:9" x14ac:dyDescent="0.25">
      <c r="A4575" s="7">
        <v>3</v>
      </c>
      <c r="B4575" s="8">
        <v>43645</v>
      </c>
      <c r="C4575" s="9" t="s">
        <v>5</v>
      </c>
      <c r="D4575" s="10">
        <v>3225.0749999999998</v>
      </c>
      <c r="E4575" s="10">
        <v>0</v>
      </c>
      <c r="F4575" t="str">
        <f>VLOOKUP(A4575,StoreLookup,2,FALSE)</f>
        <v>Store#3</v>
      </c>
      <c r="G4575">
        <f>INDEX(CalLookUpTable,MATCH($B4575,CalLookUpRow,0),MATCH(G$1,CalLookUpColumn,0))</f>
        <v>2019</v>
      </c>
      <c r="H4575">
        <f>INDEX(CalLookUpTable,MATCH($B4575,CalLookUpRow,0),MATCH(H$1,CalLookUpColumn,0))</f>
        <v>6</v>
      </c>
      <c r="I4575">
        <f>INDEX(CalLookUpTable,MATCH($B4575,CalLookUpRow,0),MATCH(I$1,CalLookUpColumn,0))</f>
        <v>5</v>
      </c>
    </row>
    <row r="4576" spans="1:9" x14ac:dyDescent="0.25">
      <c r="A4576" s="7">
        <v>3</v>
      </c>
      <c r="B4576" s="8">
        <v>43645</v>
      </c>
      <c r="C4576" s="9" t="s">
        <v>3</v>
      </c>
      <c r="D4576" s="10">
        <v>206.178</v>
      </c>
      <c r="E4576" s="10">
        <v>0</v>
      </c>
      <c r="F4576" t="str">
        <f>VLOOKUP(A4576,StoreLookup,2,FALSE)</f>
        <v>Store#3</v>
      </c>
      <c r="G4576">
        <f>INDEX(CalLookUpTable,MATCH($B4576,CalLookUpRow,0),MATCH(G$1,CalLookUpColumn,0))</f>
        <v>2019</v>
      </c>
      <c r="H4576">
        <f>INDEX(CalLookUpTable,MATCH($B4576,CalLookUpRow,0),MATCH(H$1,CalLookUpColumn,0))</f>
        <v>6</v>
      </c>
      <c r="I4576">
        <f>INDEX(CalLookUpTable,MATCH($B4576,CalLookUpRow,0),MATCH(I$1,CalLookUpColumn,0))</f>
        <v>5</v>
      </c>
    </row>
    <row r="4577" spans="1:9" x14ac:dyDescent="0.25">
      <c r="A4577" s="7">
        <v>3</v>
      </c>
      <c r="B4577" s="8">
        <v>43645</v>
      </c>
      <c r="C4577" s="9" t="s">
        <v>6</v>
      </c>
      <c r="D4577" s="10">
        <v>844.29100000000005</v>
      </c>
      <c r="E4577" s="10">
        <v>0</v>
      </c>
      <c r="F4577" t="str">
        <f>VLOOKUP(A4577,StoreLookup,2,FALSE)</f>
        <v>Store#3</v>
      </c>
      <c r="G4577">
        <f>INDEX(CalLookUpTable,MATCH($B4577,CalLookUpRow,0),MATCH(G$1,CalLookUpColumn,0))</f>
        <v>2019</v>
      </c>
      <c r="H4577">
        <f>INDEX(CalLookUpTable,MATCH($B4577,CalLookUpRow,0),MATCH(H$1,CalLookUpColumn,0))</f>
        <v>6</v>
      </c>
      <c r="I4577">
        <f>INDEX(CalLookUpTable,MATCH($B4577,CalLookUpRow,0),MATCH(I$1,CalLookUpColumn,0))</f>
        <v>5</v>
      </c>
    </row>
    <row r="4578" spans="1:9" x14ac:dyDescent="0.25">
      <c r="A4578" s="7">
        <v>3</v>
      </c>
      <c r="B4578" s="8">
        <v>43646</v>
      </c>
      <c r="C4578" s="9" t="s">
        <v>6</v>
      </c>
      <c r="D4578" s="10">
        <v>380.51299999999998</v>
      </c>
      <c r="E4578" s="10">
        <v>0</v>
      </c>
      <c r="F4578" t="str">
        <f>VLOOKUP(A4578,StoreLookup,2,FALSE)</f>
        <v>Store#3</v>
      </c>
      <c r="G4578">
        <f>INDEX(CalLookUpTable,MATCH($B4578,CalLookUpRow,0),MATCH(G$1,CalLookUpColumn,0))</f>
        <v>2019</v>
      </c>
      <c r="H4578">
        <f>INDEX(CalLookUpTable,MATCH($B4578,CalLookUpRow,0),MATCH(H$1,CalLookUpColumn,0))</f>
        <v>6</v>
      </c>
      <c r="I4578">
        <f>INDEX(CalLookUpTable,MATCH($B4578,CalLookUpRow,0),MATCH(I$1,CalLookUpColumn,0))</f>
        <v>5</v>
      </c>
    </row>
    <row r="4579" spans="1:9" x14ac:dyDescent="0.25">
      <c r="A4579" s="7">
        <v>3</v>
      </c>
      <c r="B4579" s="8">
        <v>43646</v>
      </c>
      <c r="C4579" s="9" t="s">
        <v>3</v>
      </c>
      <c r="D4579" s="10">
        <v>0</v>
      </c>
      <c r="E4579" s="10">
        <v>0</v>
      </c>
      <c r="F4579" t="str">
        <f>VLOOKUP(A4579,StoreLookup,2,FALSE)</f>
        <v>Store#3</v>
      </c>
      <c r="G4579">
        <f>INDEX(CalLookUpTable,MATCH($B4579,CalLookUpRow,0),MATCH(G$1,CalLookUpColumn,0))</f>
        <v>2019</v>
      </c>
      <c r="H4579">
        <f>INDEX(CalLookUpTable,MATCH($B4579,CalLookUpRow,0),MATCH(H$1,CalLookUpColumn,0))</f>
        <v>6</v>
      </c>
      <c r="I4579">
        <f>INDEX(CalLookUpTable,MATCH($B4579,CalLookUpRow,0),MATCH(I$1,CalLookUpColumn,0))</f>
        <v>5</v>
      </c>
    </row>
    <row r="4580" spans="1:9" x14ac:dyDescent="0.25">
      <c r="A4580" s="7">
        <v>3</v>
      </c>
      <c r="B4580" s="8">
        <v>43646</v>
      </c>
      <c r="C4580" s="9" t="s">
        <v>4</v>
      </c>
      <c r="D4580" s="10">
        <v>3150.6299999999997</v>
      </c>
      <c r="E4580" s="10">
        <v>0</v>
      </c>
      <c r="F4580" t="str">
        <f>VLOOKUP(A4580,StoreLookup,2,FALSE)</f>
        <v>Store#3</v>
      </c>
      <c r="G4580">
        <f>INDEX(CalLookUpTable,MATCH($B4580,CalLookUpRow,0),MATCH(G$1,CalLookUpColumn,0))</f>
        <v>2019</v>
      </c>
      <c r="H4580">
        <f>INDEX(CalLookUpTable,MATCH($B4580,CalLookUpRow,0),MATCH(H$1,CalLookUpColumn,0))</f>
        <v>6</v>
      </c>
      <c r="I4580">
        <f>INDEX(CalLookUpTable,MATCH($B4580,CalLookUpRow,0),MATCH(I$1,CalLookUpColumn,0))</f>
        <v>5</v>
      </c>
    </row>
    <row r="4581" spans="1:9" x14ac:dyDescent="0.25">
      <c r="A4581" s="7">
        <v>3</v>
      </c>
      <c r="B4581" s="8">
        <v>43646</v>
      </c>
      <c r="C4581" s="9" t="s">
        <v>5</v>
      </c>
      <c r="D4581" s="10">
        <v>3125.192</v>
      </c>
      <c r="E4581" s="10">
        <v>0</v>
      </c>
      <c r="F4581" t="str">
        <f>VLOOKUP(A4581,StoreLookup,2,FALSE)</f>
        <v>Store#3</v>
      </c>
      <c r="G4581">
        <f>INDEX(CalLookUpTable,MATCH($B4581,CalLookUpRow,0),MATCH(G$1,CalLookUpColumn,0))</f>
        <v>2019</v>
      </c>
      <c r="H4581">
        <f>INDEX(CalLookUpTable,MATCH($B4581,CalLookUpRow,0),MATCH(H$1,CalLookUpColumn,0))</f>
        <v>6</v>
      </c>
      <c r="I4581">
        <f>INDEX(CalLookUpTable,MATCH($B4581,CalLookUpRow,0),MATCH(I$1,CalLookUpColumn,0))</f>
        <v>5</v>
      </c>
    </row>
    <row r="4582" spans="1:9" x14ac:dyDescent="0.25">
      <c r="A4582" s="7">
        <v>3</v>
      </c>
      <c r="B4582" s="8">
        <v>43647</v>
      </c>
      <c r="C4582" s="9" t="s">
        <v>6</v>
      </c>
      <c r="D4582" s="10">
        <v>690.19299999999998</v>
      </c>
      <c r="E4582" s="10">
        <v>0</v>
      </c>
      <c r="F4582" t="str">
        <f>VLOOKUP(A4582,StoreLookup,2,FALSE)</f>
        <v>Store#3</v>
      </c>
      <c r="G4582">
        <f>INDEX(CalLookUpTable,MATCH($B4582,CalLookUpRow,0),MATCH(G$1,CalLookUpColumn,0))</f>
        <v>2019</v>
      </c>
      <c r="H4582">
        <f>INDEX(CalLookUpTable,MATCH($B4582,CalLookUpRow,0),MATCH(H$1,CalLookUpColumn,0))</f>
        <v>7</v>
      </c>
      <c r="I4582">
        <f>INDEX(CalLookUpTable,MATCH($B4582,CalLookUpRow,0),MATCH(I$1,CalLookUpColumn,0))</f>
        <v>1</v>
      </c>
    </row>
    <row r="4583" spans="1:9" x14ac:dyDescent="0.25">
      <c r="A4583" s="7">
        <v>3</v>
      </c>
      <c r="B4583" s="8">
        <v>43647</v>
      </c>
      <c r="C4583" s="9" t="s">
        <v>4</v>
      </c>
      <c r="D4583" s="10">
        <v>3442.5509999999999</v>
      </c>
      <c r="E4583" s="10">
        <v>0</v>
      </c>
      <c r="F4583" t="str">
        <f>VLOOKUP(A4583,StoreLookup,2,FALSE)</f>
        <v>Store#3</v>
      </c>
      <c r="G4583">
        <f>INDEX(CalLookUpTable,MATCH($B4583,CalLookUpRow,0),MATCH(G$1,CalLookUpColumn,0))</f>
        <v>2019</v>
      </c>
      <c r="H4583">
        <f>INDEX(CalLookUpTable,MATCH($B4583,CalLookUpRow,0),MATCH(H$1,CalLookUpColumn,0))</f>
        <v>7</v>
      </c>
      <c r="I4583">
        <f>INDEX(CalLookUpTable,MATCH($B4583,CalLookUpRow,0),MATCH(I$1,CalLookUpColumn,0))</f>
        <v>1</v>
      </c>
    </row>
    <row r="4584" spans="1:9" x14ac:dyDescent="0.25">
      <c r="A4584" s="7">
        <v>3</v>
      </c>
      <c r="B4584" s="8">
        <v>43647</v>
      </c>
      <c r="C4584" s="9" t="s">
        <v>3</v>
      </c>
      <c r="D4584" s="10">
        <v>17.975999999999999</v>
      </c>
      <c r="E4584" s="10">
        <v>0</v>
      </c>
      <c r="F4584" t="str">
        <f>VLOOKUP(A4584,StoreLookup,2,FALSE)</f>
        <v>Store#3</v>
      </c>
      <c r="G4584">
        <f>INDEX(CalLookUpTable,MATCH($B4584,CalLookUpRow,0),MATCH(G$1,CalLookUpColumn,0))</f>
        <v>2019</v>
      </c>
      <c r="H4584">
        <f>INDEX(CalLookUpTable,MATCH($B4584,CalLookUpRow,0),MATCH(H$1,CalLookUpColumn,0))</f>
        <v>7</v>
      </c>
      <c r="I4584">
        <f>INDEX(CalLookUpTable,MATCH($B4584,CalLookUpRow,0),MATCH(I$1,CalLookUpColumn,0))</f>
        <v>1</v>
      </c>
    </row>
    <row r="4585" spans="1:9" x14ac:dyDescent="0.25">
      <c r="A4585" s="7">
        <v>3</v>
      </c>
      <c r="B4585" s="8">
        <v>43647</v>
      </c>
      <c r="C4585" s="9" t="s">
        <v>5</v>
      </c>
      <c r="D4585" s="10">
        <v>3032.6589999999997</v>
      </c>
      <c r="E4585" s="10">
        <v>0</v>
      </c>
      <c r="F4585" t="str">
        <f>VLOOKUP(A4585,StoreLookup,2,FALSE)</f>
        <v>Store#3</v>
      </c>
      <c r="G4585">
        <f>INDEX(CalLookUpTable,MATCH($B4585,CalLookUpRow,0),MATCH(G$1,CalLookUpColumn,0))</f>
        <v>2019</v>
      </c>
      <c r="H4585">
        <f>INDEX(CalLookUpTable,MATCH($B4585,CalLookUpRow,0),MATCH(H$1,CalLookUpColumn,0))</f>
        <v>7</v>
      </c>
      <c r="I4585">
        <f>INDEX(CalLookUpTable,MATCH($B4585,CalLookUpRow,0),MATCH(I$1,CalLookUpColumn,0))</f>
        <v>1</v>
      </c>
    </row>
    <row r="4586" spans="1:9" x14ac:dyDescent="0.25">
      <c r="A4586" s="7">
        <v>3</v>
      </c>
      <c r="B4586" s="8">
        <v>43648</v>
      </c>
      <c r="C4586" s="9" t="s">
        <v>4</v>
      </c>
      <c r="D4586" s="10">
        <v>3665.2420000000002</v>
      </c>
      <c r="E4586" s="10">
        <v>0</v>
      </c>
      <c r="F4586" t="str">
        <f>VLOOKUP(A4586,StoreLookup,2,FALSE)</f>
        <v>Store#3</v>
      </c>
      <c r="G4586">
        <f>INDEX(CalLookUpTable,MATCH($B4586,CalLookUpRow,0),MATCH(G$1,CalLookUpColumn,0))</f>
        <v>2019</v>
      </c>
      <c r="H4586">
        <f>INDEX(CalLookUpTable,MATCH($B4586,CalLookUpRow,0),MATCH(H$1,CalLookUpColumn,0))</f>
        <v>7</v>
      </c>
      <c r="I4586">
        <f>INDEX(CalLookUpTable,MATCH($B4586,CalLookUpRow,0),MATCH(I$1,CalLookUpColumn,0))</f>
        <v>1</v>
      </c>
    </row>
    <row r="4587" spans="1:9" x14ac:dyDescent="0.25">
      <c r="A4587" s="7">
        <v>3</v>
      </c>
      <c r="B4587" s="8">
        <v>43648</v>
      </c>
      <c r="C4587" s="9" t="s">
        <v>5</v>
      </c>
      <c r="D4587" s="10">
        <v>2996.6089999999999</v>
      </c>
      <c r="E4587" s="10">
        <v>0</v>
      </c>
      <c r="F4587" t="str">
        <f>VLOOKUP(A4587,StoreLookup,2,FALSE)</f>
        <v>Store#3</v>
      </c>
      <c r="G4587">
        <f>INDEX(CalLookUpTable,MATCH($B4587,CalLookUpRow,0),MATCH(G$1,CalLookUpColumn,0))</f>
        <v>2019</v>
      </c>
      <c r="H4587">
        <f>INDEX(CalLookUpTable,MATCH($B4587,CalLookUpRow,0),MATCH(H$1,CalLookUpColumn,0))</f>
        <v>7</v>
      </c>
      <c r="I4587">
        <f>INDEX(CalLookUpTable,MATCH($B4587,CalLookUpRow,0),MATCH(I$1,CalLookUpColumn,0))</f>
        <v>1</v>
      </c>
    </row>
    <row r="4588" spans="1:9" x14ac:dyDescent="0.25">
      <c r="A4588" s="7">
        <v>3</v>
      </c>
      <c r="B4588" s="8">
        <v>43648</v>
      </c>
      <c r="C4588" s="9" t="s">
        <v>6</v>
      </c>
      <c r="D4588" s="10">
        <v>716.66699999999992</v>
      </c>
      <c r="E4588" s="10">
        <v>0</v>
      </c>
      <c r="F4588" t="str">
        <f>VLOOKUP(A4588,StoreLookup,2,FALSE)</f>
        <v>Store#3</v>
      </c>
      <c r="G4588">
        <f>INDEX(CalLookUpTable,MATCH($B4588,CalLookUpRow,0),MATCH(G$1,CalLookUpColumn,0))</f>
        <v>2019</v>
      </c>
      <c r="H4588">
        <f>INDEX(CalLookUpTable,MATCH($B4588,CalLookUpRow,0),MATCH(H$1,CalLookUpColumn,0))</f>
        <v>7</v>
      </c>
      <c r="I4588">
        <f>INDEX(CalLookUpTable,MATCH($B4588,CalLookUpRow,0),MATCH(I$1,CalLookUpColumn,0))</f>
        <v>1</v>
      </c>
    </row>
    <row r="4589" spans="1:9" x14ac:dyDescent="0.25">
      <c r="A4589" s="7">
        <v>3</v>
      </c>
      <c r="B4589" s="8">
        <v>43648</v>
      </c>
      <c r="C4589" s="9" t="s">
        <v>3</v>
      </c>
      <c r="D4589" s="10">
        <v>413.20999999999992</v>
      </c>
      <c r="E4589" s="10">
        <v>0</v>
      </c>
      <c r="F4589" t="str">
        <f>VLOOKUP(A4589,StoreLookup,2,FALSE)</f>
        <v>Store#3</v>
      </c>
      <c r="G4589">
        <f>INDEX(CalLookUpTable,MATCH($B4589,CalLookUpRow,0),MATCH(G$1,CalLookUpColumn,0))</f>
        <v>2019</v>
      </c>
      <c r="H4589">
        <f>INDEX(CalLookUpTable,MATCH($B4589,CalLookUpRow,0),MATCH(H$1,CalLookUpColumn,0))</f>
        <v>7</v>
      </c>
      <c r="I4589">
        <f>INDEX(CalLookUpTable,MATCH($B4589,CalLookUpRow,0),MATCH(I$1,CalLookUpColumn,0))</f>
        <v>1</v>
      </c>
    </row>
    <row r="4590" spans="1:9" x14ac:dyDescent="0.25">
      <c r="A4590" s="7">
        <v>3</v>
      </c>
      <c r="B4590" s="8">
        <v>43649</v>
      </c>
      <c r="C4590" s="9" t="s">
        <v>6</v>
      </c>
      <c r="D4590" s="10">
        <v>608.79</v>
      </c>
      <c r="E4590" s="10">
        <v>0</v>
      </c>
      <c r="F4590" t="str">
        <f>VLOOKUP(A4590,StoreLookup,2,FALSE)</f>
        <v>Store#3</v>
      </c>
      <c r="G4590">
        <f>INDEX(CalLookUpTable,MATCH($B4590,CalLookUpRow,0),MATCH(G$1,CalLookUpColumn,0))</f>
        <v>2019</v>
      </c>
      <c r="H4590">
        <f>INDEX(CalLookUpTable,MATCH($B4590,CalLookUpRow,0),MATCH(H$1,CalLookUpColumn,0))</f>
        <v>7</v>
      </c>
      <c r="I4590">
        <f>INDEX(CalLookUpTable,MATCH($B4590,CalLookUpRow,0),MATCH(I$1,CalLookUpColumn,0))</f>
        <v>1</v>
      </c>
    </row>
    <row r="4591" spans="1:9" x14ac:dyDescent="0.25">
      <c r="A4591" s="7">
        <v>3</v>
      </c>
      <c r="B4591" s="8">
        <v>43649</v>
      </c>
      <c r="C4591" s="9" t="s">
        <v>4</v>
      </c>
      <c r="D4591" s="10">
        <v>3721.8089999999997</v>
      </c>
      <c r="E4591" s="10">
        <v>0</v>
      </c>
      <c r="F4591" t="str">
        <f>VLOOKUP(A4591,StoreLookup,2,FALSE)</f>
        <v>Store#3</v>
      </c>
      <c r="G4591">
        <f>INDEX(CalLookUpTable,MATCH($B4591,CalLookUpRow,0),MATCH(G$1,CalLookUpColumn,0))</f>
        <v>2019</v>
      </c>
      <c r="H4591">
        <f>INDEX(CalLookUpTable,MATCH($B4591,CalLookUpRow,0),MATCH(H$1,CalLookUpColumn,0))</f>
        <v>7</v>
      </c>
      <c r="I4591">
        <f>INDEX(CalLookUpTable,MATCH($B4591,CalLookUpRow,0),MATCH(I$1,CalLookUpColumn,0))</f>
        <v>1</v>
      </c>
    </row>
    <row r="4592" spans="1:9" x14ac:dyDescent="0.25">
      <c r="A4592" s="7">
        <v>3</v>
      </c>
      <c r="B4592" s="8">
        <v>43649</v>
      </c>
      <c r="C4592" s="9" t="s">
        <v>5</v>
      </c>
      <c r="D4592" s="10">
        <v>3042.3329999999996</v>
      </c>
      <c r="E4592" s="10">
        <v>0</v>
      </c>
      <c r="F4592" t="str">
        <f>VLOOKUP(A4592,StoreLookup,2,FALSE)</f>
        <v>Store#3</v>
      </c>
      <c r="G4592">
        <f>INDEX(CalLookUpTable,MATCH($B4592,CalLookUpRow,0),MATCH(G$1,CalLookUpColumn,0))</f>
        <v>2019</v>
      </c>
      <c r="H4592">
        <f>INDEX(CalLookUpTable,MATCH($B4592,CalLookUpRow,0),MATCH(H$1,CalLookUpColumn,0))</f>
        <v>7</v>
      </c>
      <c r="I4592">
        <f>INDEX(CalLookUpTable,MATCH($B4592,CalLookUpRow,0),MATCH(I$1,CalLookUpColumn,0))</f>
        <v>1</v>
      </c>
    </row>
    <row r="4593" spans="1:9" x14ac:dyDescent="0.25">
      <c r="A4593" s="7">
        <v>3</v>
      </c>
      <c r="B4593" s="8">
        <v>43649</v>
      </c>
      <c r="C4593" s="9" t="s">
        <v>3</v>
      </c>
      <c r="D4593" s="10">
        <v>0</v>
      </c>
      <c r="E4593" s="10">
        <v>0</v>
      </c>
      <c r="F4593" t="str">
        <f>VLOOKUP(A4593,StoreLookup,2,FALSE)</f>
        <v>Store#3</v>
      </c>
      <c r="G4593">
        <f>INDEX(CalLookUpTable,MATCH($B4593,CalLookUpRow,0),MATCH(G$1,CalLookUpColumn,0))</f>
        <v>2019</v>
      </c>
      <c r="H4593">
        <f>INDEX(CalLookUpTable,MATCH($B4593,CalLookUpRow,0),MATCH(H$1,CalLookUpColumn,0))</f>
        <v>7</v>
      </c>
      <c r="I4593">
        <f>INDEX(CalLookUpTable,MATCH($B4593,CalLookUpRow,0),MATCH(I$1,CalLookUpColumn,0))</f>
        <v>1</v>
      </c>
    </row>
    <row r="4594" spans="1:9" x14ac:dyDescent="0.25">
      <c r="A4594" s="7">
        <v>3</v>
      </c>
      <c r="B4594" s="8">
        <v>43650</v>
      </c>
      <c r="C4594" s="9" t="s">
        <v>3</v>
      </c>
      <c r="D4594" s="10">
        <v>0</v>
      </c>
      <c r="E4594" s="10">
        <v>0</v>
      </c>
      <c r="F4594" t="str">
        <f>VLOOKUP(A4594,StoreLookup,2,FALSE)</f>
        <v>Store#3</v>
      </c>
      <c r="G4594">
        <f>INDEX(CalLookUpTable,MATCH($B4594,CalLookUpRow,0),MATCH(G$1,CalLookUpColumn,0))</f>
        <v>2019</v>
      </c>
      <c r="H4594">
        <f>INDEX(CalLookUpTable,MATCH($B4594,CalLookUpRow,0),MATCH(H$1,CalLookUpColumn,0))</f>
        <v>7</v>
      </c>
      <c r="I4594">
        <f>INDEX(CalLookUpTable,MATCH($B4594,CalLookUpRow,0),MATCH(I$1,CalLookUpColumn,0))</f>
        <v>1</v>
      </c>
    </row>
    <row r="4595" spans="1:9" x14ac:dyDescent="0.25">
      <c r="A4595" s="7">
        <v>3</v>
      </c>
      <c r="B4595" s="8">
        <v>43650</v>
      </c>
      <c r="C4595" s="9" t="s">
        <v>4</v>
      </c>
      <c r="D4595" s="10">
        <v>2398.1649999999995</v>
      </c>
      <c r="E4595" s="10">
        <v>0</v>
      </c>
      <c r="F4595" t="str">
        <f>VLOOKUP(A4595,StoreLookup,2,FALSE)</f>
        <v>Store#3</v>
      </c>
      <c r="G4595">
        <f>INDEX(CalLookUpTable,MATCH($B4595,CalLookUpRow,0),MATCH(G$1,CalLookUpColumn,0))</f>
        <v>2019</v>
      </c>
      <c r="H4595">
        <f>INDEX(CalLookUpTable,MATCH($B4595,CalLookUpRow,0),MATCH(H$1,CalLookUpColumn,0))</f>
        <v>7</v>
      </c>
      <c r="I4595">
        <f>INDEX(CalLookUpTable,MATCH($B4595,CalLookUpRow,0),MATCH(I$1,CalLookUpColumn,0))</f>
        <v>1</v>
      </c>
    </row>
    <row r="4596" spans="1:9" x14ac:dyDescent="0.25">
      <c r="A4596" s="7">
        <v>3</v>
      </c>
      <c r="B4596" s="8">
        <v>43650</v>
      </c>
      <c r="C4596" s="9" t="s">
        <v>5</v>
      </c>
      <c r="D4596" s="10">
        <v>1841.6369999999997</v>
      </c>
      <c r="E4596" s="10">
        <v>0</v>
      </c>
      <c r="F4596" t="str">
        <f>VLOOKUP(A4596,StoreLookup,2,FALSE)</f>
        <v>Store#3</v>
      </c>
      <c r="G4596">
        <f>INDEX(CalLookUpTable,MATCH($B4596,CalLookUpRow,0),MATCH(G$1,CalLookUpColumn,0))</f>
        <v>2019</v>
      </c>
      <c r="H4596">
        <f>INDEX(CalLookUpTable,MATCH($B4596,CalLookUpRow,0),MATCH(H$1,CalLookUpColumn,0))</f>
        <v>7</v>
      </c>
      <c r="I4596">
        <f>INDEX(CalLookUpTable,MATCH($B4596,CalLookUpRow,0),MATCH(I$1,CalLookUpColumn,0))</f>
        <v>1</v>
      </c>
    </row>
    <row r="4597" spans="1:9" x14ac:dyDescent="0.25">
      <c r="A4597" s="7">
        <v>3</v>
      </c>
      <c r="B4597" s="8">
        <v>43650</v>
      </c>
      <c r="C4597" s="9" t="s">
        <v>6</v>
      </c>
      <c r="D4597" s="10">
        <v>498.52599999999995</v>
      </c>
      <c r="E4597" s="10">
        <v>0</v>
      </c>
      <c r="F4597" t="str">
        <f>VLOOKUP(A4597,StoreLookup,2,FALSE)</f>
        <v>Store#3</v>
      </c>
      <c r="G4597">
        <f>INDEX(CalLookUpTable,MATCH($B4597,CalLookUpRow,0),MATCH(G$1,CalLookUpColumn,0))</f>
        <v>2019</v>
      </c>
      <c r="H4597">
        <f>INDEX(CalLookUpTable,MATCH($B4597,CalLookUpRow,0),MATCH(H$1,CalLookUpColumn,0))</f>
        <v>7</v>
      </c>
      <c r="I4597">
        <f>INDEX(CalLookUpTable,MATCH($B4597,CalLookUpRow,0),MATCH(I$1,CalLookUpColumn,0))</f>
        <v>1</v>
      </c>
    </row>
    <row r="4598" spans="1:9" x14ac:dyDescent="0.25">
      <c r="A4598" s="7">
        <v>3</v>
      </c>
      <c r="B4598" s="8">
        <v>43651</v>
      </c>
      <c r="C4598" s="9" t="s">
        <v>4</v>
      </c>
      <c r="D4598" s="10">
        <v>3434.4239999999995</v>
      </c>
      <c r="E4598" s="10">
        <v>0</v>
      </c>
      <c r="F4598" t="str">
        <f>VLOOKUP(A4598,StoreLookup,2,FALSE)</f>
        <v>Store#3</v>
      </c>
      <c r="G4598">
        <f>INDEX(CalLookUpTable,MATCH($B4598,CalLookUpRow,0),MATCH(G$1,CalLookUpColumn,0))</f>
        <v>2019</v>
      </c>
      <c r="H4598">
        <f>INDEX(CalLookUpTable,MATCH($B4598,CalLookUpRow,0),MATCH(H$1,CalLookUpColumn,0))</f>
        <v>7</v>
      </c>
      <c r="I4598">
        <f>INDEX(CalLookUpTable,MATCH($B4598,CalLookUpRow,0),MATCH(I$1,CalLookUpColumn,0))</f>
        <v>1</v>
      </c>
    </row>
    <row r="4599" spans="1:9" x14ac:dyDescent="0.25">
      <c r="A4599" s="7">
        <v>3</v>
      </c>
      <c r="B4599" s="8">
        <v>43651</v>
      </c>
      <c r="C4599" s="9" t="s">
        <v>3</v>
      </c>
      <c r="D4599" s="10">
        <v>243.37599999999998</v>
      </c>
      <c r="E4599" s="10">
        <v>0</v>
      </c>
      <c r="F4599" t="str">
        <f>VLOOKUP(A4599,StoreLookup,2,FALSE)</f>
        <v>Store#3</v>
      </c>
      <c r="G4599">
        <f>INDEX(CalLookUpTable,MATCH($B4599,CalLookUpRow,0),MATCH(G$1,CalLookUpColumn,0))</f>
        <v>2019</v>
      </c>
      <c r="H4599">
        <f>INDEX(CalLookUpTable,MATCH($B4599,CalLookUpRow,0),MATCH(H$1,CalLookUpColumn,0))</f>
        <v>7</v>
      </c>
      <c r="I4599">
        <f>INDEX(CalLookUpTable,MATCH($B4599,CalLookUpRow,0),MATCH(I$1,CalLookUpColumn,0))</f>
        <v>1</v>
      </c>
    </row>
    <row r="4600" spans="1:9" x14ac:dyDescent="0.25">
      <c r="A4600" s="7">
        <v>3</v>
      </c>
      <c r="B4600" s="8">
        <v>43651</v>
      </c>
      <c r="C4600" s="9" t="s">
        <v>5</v>
      </c>
      <c r="D4600" s="10">
        <v>3258.2200000000003</v>
      </c>
      <c r="E4600" s="10">
        <v>0</v>
      </c>
      <c r="F4600" t="str">
        <f>VLOOKUP(A4600,StoreLookup,2,FALSE)</f>
        <v>Store#3</v>
      </c>
      <c r="G4600">
        <f>INDEX(CalLookUpTable,MATCH($B4600,CalLookUpRow,0),MATCH(G$1,CalLookUpColumn,0))</f>
        <v>2019</v>
      </c>
      <c r="H4600">
        <f>INDEX(CalLookUpTable,MATCH($B4600,CalLookUpRow,0),MATCH(H$1,CalLookUpColumn,0))</f>
        <v>7</v>
      </c>
      <c r="I4600">
        <f>INDEX(CalLookUpTable,MATCH($B4600,CalLookUpRow,0),MATCH(I$1,CalLookUpColumn,0))</f>
        <v>1</v>
      </c>
    </row>
    <row r="4601" spans="1:9" x14ac:dyDescent="0.25">
      <c r="A4601" s="7">
        <v>3</v>
      </c>
      <c r="B4601" s="8">
        <v>43651</v>
      </c>
      <c r="C4601" s="9" t="s">
        <v>6</v>
      </c>
      <c r="D4601" s="10">
        <v>981.59599999999989</v>
      </c>
      <c r="E4601" s="10">
        <v>0</v>
      </c>
      <c r="F4601" t="str">
        <f>VLOOKUP(A4601,StoreLookup,2,FALSE)</f>
        <v>Store#3</v>
      </c>
      <c r="G4601">
        <f>INDEX(CalLookUpTable,MATCH($B4601,CalLookUpRow,0),MATCH(G$1,CalLookUpColumn,0))</f>
        <v>2019</v>
      </c>
      <c r="H4601">
        <f>INDEX(CalLookUpTable,MATCH($B4601,CalLookUpRow,0),MATCH(H$1,CalLookUpColumn,0))</f>
        <v>7</v>
      </c>
      <c r="I4601">
        <f>INDEX(CalLookUpTable,MATCH($B4601,CalLookUpRow,0),MATCH(I$1,CalLookUpColumn,0))</f>
        <v>1</v>
      </c>
    </row>
    <row r="4602" spans="1:9" x14ac:dyDescent="0.25">
      <c r="A4602" s="7">
        <v>3</v>
      </c>
      <c r="B4602" s="8">
        <v>43652</v>
      </c>
      <c r="C4602" s="9" t="s">
        <v>6</v>
      </c>
      <c r="D4602" s="10">
        <v>806.44199999999989</v>
      </c>
      <c r="E4602" s="10">
        <v>0</v>
      </c>
      <c r="F4602" t="str">
        <f>VLOOKUP(A4602,StoreLookup,2,FALSE)</f>
        <v>Store#3</v>
      </c>
      <c r="G4602">
        <f>INDEX(CalLookUpTable,MATCH($B4602,CalLookUpRow,0),MATCH(G$1,CalLookUpColumn,0))</f>
        <v>2019</v>
      </c>
      <c r="H4602">
        <f>INDEX(CalLookUpTable,MATCH($B4602,CalLookUpRow,0),MATCH(H$1,CalLookUpColumn,0))</f>
        <v>7</v>
      </c>
      <c r="I4602">
        <f>INDEX(CalLookUpTable,MATCH($B4602,CalLookUpRow,0),MATCH(I$1,CalLookUpColumn,0))</f>
        <v>1</v>
      </c>
    </row>
    <row r="4603" spans="1:9" x14ac:dyDescent="0.25">
      <c r="A4603" s="7">
        <v>3</v>
      </c>
      <c r="B4603" s="8">
        <v>43652</v>
      </c>
      <c r="C4603" s="9" t="s">
        <v>5</v>
      </c>
      <c r="D4603" s="10">
        <v>3050.5719999999997</v>
      </c>
      <c r="E4603" s="10">
        <v>0</v>
      </c>
      <c r="F4603" t="str">
        <f>VLOOKUP(A4603,StoreLookup,2,FALSE)</f>
        <v>Store#3</v>
      </c>
      <c r="G4603">
        <f>INDEX(CalLookUpTable,MATCH($B4603,CalLookUpRow,0),MATCH(G$1,CalLookUpColumn,0))</f>
        <v>2019</v>
      </c>
      <c r="H4603">
        <f>INDEX(CalLookUpTable,MATCH($B4603,CalLookUpRow,0),MATCH(H$1,CalLookUpColumn,0))</f>
        <v>7</v>
      </c>
      <c r="I4603">
        <f>INDEX(CalLookUpTable,MATCH($B4603,CalLookUpRow,0),MATCH(I$1,CalLookUpColumn,0))</f>
        <v>1</v>
      </c>
    </row>
    <row r="4604" spans="1:9" x14ac:dyDescent="0.25">
      <c r="A4604" s="7">
        <v>3</v>
      </c>
      <c r="B4604" s="8">
        <v>43652</v>
      </c>
      <c r="C4604" s="9" t="s">
        <v>3</v>
      </c>
      <c r="D4604" s="10">
        <v>288.72899999999998</v>
      </c>
      <c r="E4604" s="10">
        <v>0</v>
      </c>
      <c r="F4604" t="str">
        <f>VLOOKUP(A4604,StoreLookup,2,FALSE)</f>
        <v>Store#3</v>
      </c>
      <c r="G4604">
        <f>INDEX(CalLookUpTable,MATCH($B4604,CalLookUpRow,0),MATCH(G$1,CalLookUpColumn,0))</f>
        <v>2019</v>
      </c>
      <c r="H4604">
        <f>INDEX(CalLookUpTable,MATCH($B4604,CalLookUpRow,0),MATCH(H$1,CalLookUpColumn,0))</f>
        <v>7</v>
      </c>
      <c r="I4604">
        <f>INDEX(CalLookUpTable,MATCH($B4604,CalLookUpRow,0),MATCH(I$1,CalLookUpColumn,0))</f>
        <v>1</v>
      </c>
    </row>
    <row r="4605" spans="1:9" x14ac:dyDescent="0.25">
      <c r="A4605" s="7">
        <v>3</v>
      </c>
      <c r="B4605" s="8">
        <v>43652</v>
      </c>
      <c r="C4605" s="9" t="s">
        <v>4</v>
      </c>
      <c r="D4605" s="10">
        <v>3432.422</v>
      </c>
      <c r="E4605" s="10">
        <v>0</v>
      </c>
      <c r="F4605" t="str">
        <f>VLOOKUP(A4605,StoreLookup,2,FALSE)</f>
        <v>Store#3</v>
      </c>
      <c r="G4605">
        <f>INDEX(CalLookUpTable,MATCH($B4605,CalLookUpRow,0),MATCH(G$1,CalLookUpColumn,0))</f>
        <v>2019</v>
      </c>
      <c r="H4605">
        <f>INDEX(CalLookUpTable,MATCH($B4605,CalLookUpRow,0),MATCH(H$1,CalLookUpColumn,0))</f>
        <v>7</v>
      </c>
      <c r="I4605">
        <f>INDEX(CalLookUpTable,MATCH($B4605,CalLookUpRow,0),MATCH(I$1,CalLookUpColumn,0))</f>
        <v>1</v>
      </c>
    </row>
    <row r="4606" spans="1:9" x14ac:dyDescent="0.25">
      <c r="A4606" s="7">
        <v>3</v>
      </c>
      <c r="B4606" s="8">
        <v>43653</v>
      </c>
      <c r="C4606" s="9" t="s">
        <v>5</v>
      </c>
      <c r="D4606" s="10">
        <v>3304.0349999999999</v>
      </c>
      <c r="E4606" s="10">
        <v>0</v>
      </c>
      <c r="F4606" t="str">
        <f>VLOOKUP(A4606,StoreLookup,2,FALSE)</f>
        <v>Store#3</v>
      </c>
      <c r="G4606">
        <f>INDEX(CalLookUpTable,MATCH($B4606,CalLookUpRow,0),MATCH(G$1,CalLookUpColumn,0))</f>
        <v>2019</v>
      </c>
      <c r="H4606">
        <f>INDEX(CalLookUpTable,MATCH($B4606,CalLookUpRow,0),MATCH(H$1,CalLookUpColumn,0))</f>
        <v>7</v>
      </c>
      <c r="I4606">
        <f>INDEX(CalLookUpTable,MATCH($B4606,CalLookUpRow,0),MATCH(I$1,CalLookUpColumn,0))</f>
        <v>1</v>
      </c>
    </row>
    <row r="4607" spans="1:9" x14ac:dyDescent="0.25">
      <c r="A4607" s="7">
        <v>3</v>
      </c>
      <c r="B4607" s="8">
        <v>43653</v>
      </c>
      <c r="C4607" s="9" t="s">
        <v>3</v>
      </c>
      <c r="D4607" s="10">
        <v>0</v>
      </c>
      <c r="E4607" s="10">
        <v>0</v>
      </c>
      <c r="F4607" t="str">
        <f>VLOOKUP(A4607,StoreLookup,2,FALSE)</f>
        <v>Store#3</v>
      </c>
      <c r="G4607">
        <f>INDEX(CalLookUpTable,MATCH($B4607,CalLookUpRow,0),MATCH(G$1,CalLookUpColumn,0))</f>
        <v>2019</v>
      </c>
      <c r="H4607">
        <f>INDEX(CalLookUpTable,MATCH($B4607,CalLookUpRow,0),MATCH(H$1,CalLookUpColumn,0))</f>
        <v>7</v>
      </c>
      <c r="I4607">
        <f>INDEX(CalLookUpTable,MATCH($B4607,CalLookUpRow,0),MATCH(I$1,CalLookUpColumn,0))</f>
        <v>1</v>
      </c>
    </row>
    <row r="4608" spans="1:9" x14ac:dyDescent="0.25">
      <c r="A4608" s="7">
        <v>3</v>
      </c>
      <c r="B4608" s="8">
        <v>43653</v>
      </c>
      <c r="C4608" s="9" t="s">
        <v>4</v>
      </c>
      <c r="D4608" s="10">
        <v>2772.8119999999999</v>
      </c>
      <c r="E4608" s="10">
        <v>0</v>
      </c>
      <c r="F4608" t="str">
        <f>VLOOKUP(A4608,StoreLookup,2,FALSE)</f>
        <v>Store#3</v>
      </c>
      <c r="G4608">
        <f>INDEX(CalLookUpTable,MATCH($B4608,CalLookUpRow,0),MATCH(G$1,CalLookUpColumn,0))</f>
        <v>2019</v>
      </c>
      <c r="H4608">
        <f>INDEX(CalLookUpTable,MATCH($B4608,CalLookUpRow,0),MATCH(H$1,CalLookUpColumn,0))</f>
        <v>7</v>
      </c>
      <c r="I4608">
        <f>INDEX(CalLookUpTable,MATCH($B4608,CalLookUpRow,0),MATCH(I$1,CalLookUpColumn,0))</f>
        <v>1</v>
      </c>
    </row>
    <row r="4609" spans="1:9" x14ac:dyDescent="0.25">
      <c r="A4609" s="7">
        <v>3</v>
      </c>
      <c r="B4609" s="8">
        <v>43653</v>
      </c>
      <c r="C4609" s="9" t="s">
        <v>6</v>
      </c>
      <c r="D4609" s="10">
        <v>640.93399999999997</v>
      </c>
      <c r="E4609" s="10">
        <v>0</v>
      </c>
      <c r="F4609" t="str">
        <f>VLOOKUP(A4609,StoreLookup,2,FALSE)</f>
        <v>Store#3</v>
      </c>
      <c r="G4609">
        <f>INDEX(CalLookUpTable,MATCH($B4609,CalLookUpRow,0),MATCH(G$1,CalLookUpColumn,0))</f>
        <v>2019</v>
      </c>
      <c r="H4609">
        <f>INDEX(CalLookUpTable,MATCH($B4609,CalLookUpRow,0),MATCH(H$1,CalLookUpColumn,0))</f>
        <v>7</v>
      </c>
      <c r="I4609">
        <f>INDEX(CalLookUpTable,MATCH($B4609,CalLookUpRow,0),MATCH(I$1,CalLookUpColumn,0))</f>
        <v>1</v>
      </c>
    </row>
    <row r="4610" spans="1:9" x14ac:dyDescent="0.25">
      <c r="A4610" s="7">
        <v>3</v>
      </c>
      <c r="B4610" s="8">
        <v>43654</v>
      </c>
      <c r="C4610" s="9" t="s">
        <v>4</v>
      </c>
      <c r="D4610" s="10">
        <v>3274.9149999999995</v>
      </c>
      <c r="E4610" s="10">
        <v>0</v>
      </c>
      <c r="F4610" t="str">
        <f>VLOOKUP(A4610,StoreLookup,2,FALSE)</f>
        <v>Store#3</v>
      </c>
      <c r="G4610">
        <f>INDEX(CalLookUpTable,MATCH($B4610,CalLookUpRow,0),MATCH(G$1,CalLookUpColumn,0))</f>
        <v>2019</v>
      </c>
      <c r="H4610">
        <f>INDEX(CalLookUpTable,MATCH($B4610,CalLookUpRow,0),MATCH(H$1,CalLookUpColumn,0))</f>
        <v>7</v>
      </c>
      <c r="I4610">
        <f>INDEX(CalLookUpTable,MATCH($B4610,CalLookUpRow,0),MATCH(I$1,CalLookUpColumn,0))</f>
        <v>2</v>
      </c>
    </row>
    <row r="4611" spans="1:9" x14ac:dyDescent="0.25">
      <c r="A4611" s="7">
        <v>3</v>
      </c>
      <c r="B4611" s="8">
        <v>43654</v>
      </c>
      <c r="C4611" s="9" t="s">
        <v>6</v>
      </c>
      <c r="D4611" s="10">
        <v>611.86299999999994</v>
      </c>
      <c r="E4611" s="10">
        <v>0</v>
      </c>
      <c r="F4611" t="str">
        <f>VLOOKUP(A4611,StoreLookup,2,FALSE)</f>
        <v>Store#3</v>
      </c>
      <c r="G4611">
        <f>INDEX(CalLookUpTable,MATCH($B4611,CalLookUpRow,0),MATCH(G$1,CalLookUpColumn,0))</f>
        <v>2019</v>
      </c>
      <c r="H4611">
        <f>INDEX(CalLookUpTable,MATCH($B4611,CalLookUpRow,0),MATCH(H$1,CalLookUpColumn,0))</f>
        <v>7</v>
      </c>
      <c r="I4611">
        <f>INDEX(CalLookUpTable,MATCH($B4611,CalLookUpRow,0),MATCH(I$1,CalLookUpColumn,0))</f>
        <v>2</v>
      </c>
    </row>
    <row r="4612" spans="1:9" x14ac:dyDescent="0.25">
      <c r="A4612" s="7">
        <v>3</v>
      </c>
      <c r="B4612" s="8">
        <v>43654</v>
      </c>
      <c r="C4612" s="9" t="s">
        <v>3</v>
      </c>
      <c r="D4612" s="10">
        <v>0</v>
      </c>
      <c r="E4612" s="10">
        <v>0</v>
      </c>
      <c r="F4612" t="str">
        <f>VLOOKUP(A4612,StoreLookup,2,FALSE)</f>
        <v>Store#3</v>
      </c>
      <c r="G4612">
        <f>INDEX(CalLookUpTable,MATCH($B4612,CalLookUpRow,0),MATCH(G$1,CalLookUpColumn,0))</f>
        <v>2019</v>
      </c>
      <c r="H4612">
        <f>INDEX(CalLookUpTable,MATCH($B4612,CalLookUpRow,0),MATCH(H$1,CalLookUpColumn,0))</f>
        <v>7</v>
      </c>
      <c r="I4612">
        <f>INDEX(CalLookUpTable,MATCH($B4612,CalLookUpRow,0),MATCH(I$1,CalLookUpColumn,0))</f>
        <v>2</v>
      </c>
    </row>
    <row r="4613" spans="1:9" x14ac:dyDescent="0.25">
      <c r="A4613" s="7">
        <v>3</v>
      </c>
      <c r="B4613" s="8">
        <v>43654</v>
      </c>
      <c r="C4613" s="9" t="s">
        <v>5</v>
      </c>
      <c r="D4613" s="10">
        <v>3617.1309999999999</v>
      </c>
      <c r="E4613" s="10">
        <v>0</v>
      </c>
      <c r="F4613" t="str">
        <f>VLOOKUP(A4613,StoreLookup,2,FALSE)</f>
        <v>Store#3</v>
      </c>
      <c r="G4613">
        <f>INDEX(CalLookUpTable,MATCH($B4613,CalLookUpRow,0),MATCH(G$1,CalLookUpColumn,0))</f>
        <v>2019</v>
      </c>
      <c r="H4613">
        <f>INDEX(CalLookUpTable,MATCH($B4613,CalLookUpRow,0),MATCH(H$1,CalLookUpColumn,0))</f>
        <v>7</v>
      </c>
      <c r="I4613">
        <f>INDEX(CalLookUpTable,MATCH($B4613,CalLookUpRow,0),MATCH(I$1,CalLookUpColumn,0))</f>
        <v>2</v>
      </c>
    </row>
    <row r="4614" spans="1:9" x14ac:dyDescent="0.25">
      <c r="A4614" s="7">
        <v>3</v>
      </c>
      <c r="B4614" s="8">
        <v>43655</v>
      </c>
      <c r="C4614" s="9" t="s">
        <v>3</v>
      </c>
      <c r="D4614" s="10">
        <v>0</v>
      </c>
      <c r="E4614" s="10">
        <v>0</v>
      </c>
      <c r="F4614" t="str">
        <f>VLOOKUP(A4614,StoreLookup,2,FALSE)</f>
        <v>Store#3</v>
      </c>
      <c r="G4614">
        <f>INDEX(CalLookUpTable,MATCH($B4614,CalLookUpRow,0),MATCH(G$1,CalLookUpColumn,0))</f>
        <v>2019</v>
      </c>
      <c r="H4614">
        <f>INDEX(CalLookUpTable,MATCH($B4614,CalLookUpRow,0),MATCH(H$1,CalLookUpColumn,0))</f>
        <v>7</v>
      </c>
      <c r="I4614">
        <f>INDEX(CalLookUpTable,MATCH($B4614,CalLookUpRow,0),MATCH(I$1,CalLookUpColumn,0))</f>
        <v>2</v>
      </c>
    </row>
    <row r="4615" spans="1:9" x14ac:dyDescent="0.25">
      <c r="A4615" s="7">
        <v>3</v>
      </c>
      <c r="B4615" s="8">
        <v>43655</v>
      </c>
      <c r="C4615" s="9" t="s">
        <v>5</v>
      </c>
      <c r="D4615" s="10">
        <v>3192.7279999999996</v>
      </c>
      <c r="E4615" s="10">
        <v>0</v>
      </c>
      <c r="F4615" t="str">
        <f>VLOOKUP(A4615,StoreLookup,2,FALSE)</f>
        <v>Store#3</v>
      </c>
      <c r="G4615">
        <f>INDEX(CalLookUpTable,MATCH($B4615,CalLookUpRow,0),MATCH(G$1,CalLookUpColumn,0))</f>
        <v>2019</v>
      </c>
      <c r="H4615">
        <f>INDEX(CalLookUpTable,MATCH($B4615,CalLookUpRow,0),MATCH(H$1,CalLookUpColumn,0))</f>
        <v>7</v>
      </c>
      <c r="I4615">
        <f>INDEX(CalLookUpTable,MATCH($B4615,CalLookUpRow,0),MATCH(I$1,CalLookUpColumn,0))</f>
        <v>2</v>
      </c>
    </row>
    <row r="4616" spans="1:9" x14ac:dyDescent="0.25">
      <c r="A4616" s="7">
        <v>3</v>
      </c>
      <c r="B4616" s="8">
        <v>43655</v>
      </c>
      <c r="C4616" s="9" t="s">
        <v>6</v>
      </c>
      <c r="D4616" s="10">
        <v>542.01699999999994</v>
      </c>
      <c r="E4616" s="10">
        <v>0</v>
      </c>
      <c r="F4616" t="str">
        <f>VLOOKUP(A4616,StoreLookup,2,FALSE)</f>
        <v>Store#3</v>
      </c>
      <c r="G4616">
        <f>INDEX(CalLookUpTable,MATCH($B4616,CalLookUpRow,0),MATCH(G$1,CalLookUpColumn,0))</f>
        <v>2019</v>
      </c>
      <c r="H4616">
        <f>INDEX(CalLookUpTable,MATCH($B4616,CalLookUpRow,0),MATCH(H$1,CalLookUpColumn,0))</f>
        <v>7</v>
      </c>
      <c r="I4616">
        <f>INDEX(CalLookUpTable,MATCH($B4616,CalLookUpRow,0),MATCH(I$1,CalLookUpColumn,0))</f>
        <v>2</v>
      </c>
    </row>
    <row r="4617" spans="1:9" x14ac:dyDescent="0.25">
      <c r="A4617" s="7">
        <v>3</v>
      </c>
      <c r="B4617" s="8">
        <v>43655</v>
      </c>
      <c r="C4617" s="9" t="s">
        <v>4</v>
      </c>
      <c r="D4617" s="10">
        <v>3629.8709999999996</v>
      </c>
      <c r="E4617" s="10">
        <v>0</v>
      </c>
      <c r="F4617" t="str">
        <f>VLOOKUP(A4617,StoreLookup,2,FALSE)</f>
        <v>Store#3</v>
      </c>
      <c r="G4617">
        <f>INDEX(CalLookUpTable,MATCH($B4617,CalLookUpRow,0),MATCH(G$1,CalLookUpColumn,0))</f>
        <v>2019</v>
      </c>
      <c r="H4617">
        <f>INDEX(CalLookUpTable,MATCH($B4617,CalLookUpRow,0),MATCH(H$1,CalLookUpColumn,0))</f>
        <v>7</v>
      </c>
      <c r="I4617">
        <f>INDEX(CalLookUpTable,MATCH($B4617,CalLookUpRow,0),MATCH(I$1,CalLookUpColumn,0))</f>
        <v>2</v>
      </c>
    </row>
    <row r="4618" spans="1:9" x14ac:dyDescent="0.25">
      <c r="A4618" s="7">
        <v>3</v>
      </c>
      <c r="B4618" s="8">
        <v>43656</v>
      </c>
      <c r="C4618" s="9" t="s">
        <v>4</v>
      </c>
      <c r="D4618" s="10">
        <v>3571.904</v>
      </c>
      <c r="E4618" s="10">
        <v>0</v>
      </c>
      <c r="F4618" t="str">
        <f>VLOOKUP(A4618,StoreLookup,2,FALSE)</f>
        <v>Store#3</v>
      </c>
      <c r="G4618">
        <f>INDEX(CalLookUpTable,MATCH($B4618,CalLookUpRow,0),MATCH(G$1,CalLookUpColumn,0))</f>
        <v>2019</v>
      </c>
      <c r="H4618">
        <f>INDEX(CalLookUpTable,MATCH($B4618,CalLookUpRow,0),MATCH(H$1,CalLookUpColumn,0))</f>
        <v>7</v>
      </c>
      <c r="I4618">
        <f>INDEX(CalLookUpTable,MATCH($B4618,CalLookUpRow,0),MATCH(I$1,CalLookUpColumn,0))</f>
        <v>2</v>
      </c>
    </row>
    <row r="4619" spans="1:9" x14ac:dyDescent="0.25">
      <c r="A4619" s="7">
        <v>3</v>
      </c>
      <c r="B4619" s="8">
        <v>43656</v>
      </c>
      <c r="C4619" s="9" t="s">
        <v>5</v>
      </c>
      <c r="D4619" s="10">
        <v>3181.9969999999998</v>
      </c>
      <c r="E4619" s="10">
        <v>0</v>
      </c>
      <c r="F4619" t="str">
        <f>VLOOKUP(A4619,StoreLookup,2,FALSE)</f>
        <v>Store#3</v>
      </c>
      <c r="G4619">
        <f>INDEX(CalLookUpTable,MATCH($B4619,CalLookUpRow,0),MATCH(G$1,CalLookUpColumn,0))</f>
        <v>2019</v>
      </c>
      <c r="H4619">
        <f>INDEX(CalLookUpTable,MATCH($B4619,CalLookUpRow,0),MATCH(H$1,CalLookUpColumn,0))</f>
        <v>7</v>
      </c>
      <c r="I4619">
        <f>INDEX(CalLookUpTable,MATCH($B4619,CalLookUpRow,0),MATCH(I$1,CalLookUpColumn,0))</f>
        <v>2</v>
      </c>
    </row>
    <row r="4620" spans="1:9" x14ac:dyDescent="0.25">
      <c r="A4620" s="7">
        <v>3</v>
      </c>
      <c r="B4620" s="8">
        <v>43656</v>
      </c>
      <c r="C4620" s="9" t="s">
        <v>6</v>
      </c>
      <c r="D4620" s="10">
        <v>875.12599999999998</v>
      </c>
      <c r="E4620" s="10">
        <v>0</v>
      </c>
      <c r="F4620" t="str">
        <f>VLOOKUP(A4620,StoreLookup,2,FALSE)</f>
        <v>Store#3</v>
      </c>
      <c r="G4620">
        <f>INDEX(CalLookUpTable,MATCH($B4620,CalLookUpRow,0),MATCH(G$1,CalLookUpColumn,0))</f>
        <v>2019</v>
      </c>
      <c r="H4620">
        <f>INDEX(CalLookUpTable,MATCH($B4620,CalLookUpRow,0),MATCH(H$1,CalLookUpColumn,0))</f>
        <v>7</v>
      </c>
      <c r="I4620">
        <f>INDEX(CalLookUpTable,MATCH($B4620,CalLookUpRow,0),MATCH(I$1,CalLookUpColumn,0))</f>
        <v>2</v>
      </c>
    </row>
    <row r="4621" spans="1:9" x14ac:dyDescent="0.25">
      <c r="A4621" s="7">
        <v>3</v>
      </c>
      <c r="B4621" s="8">
        <v>43656</v>
      </c>
      <c r="C4621" s="9" t="s">
        <v>3</v>
      </c>
      <c r="D4621" s="10">
        <v>31.751999999999999</v>
      </c>
      <c r="E4621" s="10">
        <v>0</v>
      </c>
      <c r="F4621" t="str">
        <f>VLOOKUP(A4621,StoreLookup,2,FALSE)</f>
        <v>Store#3</v>
      </c>
      <c r="G4621">
        <f>INDEX(CalLookUpTable,MATCH($B4621,CalLookUpRow,0),MATCH(G$1,CalLookUpColumn,0))</f>
        <v>2019</v>
      </c>
      <c r="H4621">
        <f>INDEX(CalLookUpTable,MATCH($B4621,CalLookUpRow,0),MATCH(H$1,CalLookUpColumn,0))</f>
        <v>7</v>
      </c>
      <c r="I4621">
        <f>INDEX(CalLookUpTable,MATCH($B4621,CalLookUpRow,0),MATCH(I$1,CalLookUpColumn,0))</f>
        <v>2</v>
      </c>
    </row>
    <row r="4622" spans="1:9" x14ac:dyDescent="0.25">
      <c r="A4622" s="7">
        <v>3</v>
      </c>
      <c r="B4622" s="8">
        <v>43657</v>
      </c>
      <c r="C4622" s="9" t="s">
        <v>3</v>
      </c>
      <c r="D4622" s="10">
        <v>8.7359999999999989</v>
      </c>
      <c r="E4622" s="10">
        <v>0</v>
      </c>
      <c r="F4622" t="str">
        <f>VLOOKUP(A4622,StoreLookup,2,FALSE)</f>
        <v>Store#3</v>
      </c>
      <c r="G4622">
        <f>INDEX(CalLookUpTable,MATCH($B4622,CalLookUpRow,0),MATCH(G$1,CalLookUpColumn,0))</f>
        <v>2019</v>
      </c>
      <c r="H4622">
        <f>INDEX(CalLookUpTable,MATCH($B4622,CalLookUpRow,0),MATCH(H$1,CalLookUpColumn,0))</f>
        <v>7</v>
      </c>
      <c r="I4622">
        <f>INDEX(CalLookUpTable,MATCH($B4622,CalLookUpRow,0),MATCH(I$1,CalLookUpColumn,0))</f>
        <v>2</v>
      </c>
    </row>
    <row r="4623" spans="1:9" x14ac:dyDescent="0.25">
      <c r="A4623" s="7">
        <v>3</v>
      </c>
      <c r="B4623" s="8">
        <v>43657</v>
      </c>
      <c r="C4623" s="9" t="s">
        <v>5</v>
      </c>
      <c r="D4623" s="10">
        <v>3452.4769999999994</v>
      </c>
      <c r="E4623" s="10">
        <v>0</v>
      </c>
      <c r="F4623" t="str">
        <f>VLOOKUP(A4623,StoreLookup,2,FALSE)</f>
        <v>Store#3</v>
      </c>
      <c r="G4623">
        <f>INDEX(CalLookUpTable,MATCH($B4623,CalLookUpRow,0),MATCH(G$1,CalLookUpColumn,0))</f>
        <v>2019</v>
      </c>
      <c r="H4623">
        <f>INDEX(CalLookUpTable,MATCH($B4623,CalLookUpRow,0),MATCH(H$1,CalLookUpColumn,0))</f>
        <v>7</v>
      </c>
      <c r="I4623">
        <f>INDEX(CalLookUpTable,MATCH($B4623,CalLookUpRow,0),MATCH(I$1,CalLookUpColumn,0))</f>
        <v>2</v>
      </c>
    </row>
    <row r="4624" spans="1:9" x14ac:dyDescent="0.25">
      <c r="A4624" s="7">
        <v>3</v>
      </c>
      <c r="B4624" s="8">
        <v>43657</v>
      </c>
      <c r="C4624" s="9" t="s">
        <v>6</v>
      </c>
      <c r="D4624" s="10">
        <v>1007.1669999999999</v>
      </c>
      <c r="E4624" s="10">
        <v>0</v>
      </c>
      <c r="F4624" t="str">
        <f>VLOOKUP(A4624,StoreLookup,2,FALSE)</f>
        <v>Store#3</v>
      </c>
      <c r="G4624">
        <f>INDEX(CalLookUpTable,MATCH($B4624,CalLookUpRow,0),MATCH(G$1,CalLookUpColumn,0))</f>
        <v>2019</v>
      </c>
      <c r="H4624">
        <f>INDEX(CalLookUpTable,MATCH($B4624,CalLookUpRow,0),MATCH(H$1,CalLookUpColumn,0))</f>
        <v>7</v>
      </c>
      <c r="I4624">
        <f>INDEX(CalLookUpTable,MATCH($B4624,CalLookUpRow,0),MATCH(I$1,CalLookUpColumn,0))</f>
        <v>2</v>
      </c>
    </row>
    <row r="4625" spans="1:9" x14ac:dyDescent="0.25">
      <c r="A4625" s="7">
        <v>3</v>
      </c>
      <c r="B4625" s="8">
        <v>43657</v>
      </c>
      <c r="C4625" s="9" t="s">
        <v>4</v>
      </c>
      <c r="D4625" s="10">
        <v>3575.8309999999997</v>
      </c>
      <c r="E4625" s="10">
        <v>0</v>
      </c>
      <c r="F4625" t="str">
        <f>VLOOKUP(A4625,StoreLookup,2,FALSE)</f>
        <v>Store#3</v>
      </c>
      <c r="G4625">
        <f>INDEX(CalLookUpTable,MATCH($B4625,CalLookUpRow,0),MATCH(G$1,CalLookUpColumn,0))</f>
        <v>2019</v>
      </c>
      <c r="H4625">
        <f>INDEX(CalLookUpTable,MATCH($B4625,CalLookUpRow,0),MATCH(H$1,CalLookUpColumn,0))</f>
        <v>7</v>
      </c>
      <c r="I4625">
        <f>INDEX(CalLookUpTable,MATCH($B4625,CalLookUpRow,0),MATCH(I$1,CalLookUpColumn,0))</f>
        <v>2</v>
      </c>
    </row>
    <row r="4626" spans="1:9" x14ac:dyDescent="0.25">
      <c r="A4626" s="7">
        <v>3</v>
      </c>
      <c r="B4626" s="8">
        <v>43658</v>
      </c>
      <c r="C4626" s="9" t="s">
        <v>5</v>
      </c>
      <c r="D4626" s="10">
        <v>3707.2139999999999</v>
      </c>
      <c r="E4626" s="10">
        <v>0</v>
      </c>
      <c r="F4626" t="str">
        <f>VLOOKUP(A4626,StoreLookup,2,FALSE)</f>
        <v>Store#3</v>
      </c>
      <c r="G4626">
        <f>INDEX(CalLookUpTable,MATCH($B4626,CalLookUpRow,0),MATCH(G$1,CalLookUpColumn,0))</f>
        <v>2019</v>
      </c>
      <c r="H4626">
        <f>INDEX(CalLookUpTable,MATCH($B4626,CalLookUpRow,0),MATCH(H$1,CalLookUpColumn,0))</f>
        <v>7</v>
      </c>
      <c r="I4626">
        <f>INDEX(CalLookUpTable,MATCH($B4626,CalLookUpRow,0),MATCH(I$1,CalLookUpColumn,0))</f>
        <v>2</v>
      </c>
    </row>
    <row r="4627" spans="1:9" x14ac:dyDescent="0.25">
      <c r="A4627" s="7">
        <v>3</v>
      </c>
      <c r="B4627" s="8">
        <v>43658</v>
      </c>
      <c r="C4627" s="9" t="s">
        <v>4</v>
      </c>
      <c r="D4627" s="10">
        <v>3712.3309999999997</v>
      </c>
      <c r="E4627" s="10">
        <v>0</v>
      </c>
      <c r="F4627" t="str">
        <f>VLOOKUP(A4627,StoreLookup,2,FALSE)</f>
        <v>Store#3</v>
      </c>
      <c r="G4627">
        <f>INDEX(CalLookUpTable,MATCH($B4627,CalLookUpRow,0),MATCH(G$1,CalLookUpColumn,0))</f>
        <v>2019</v>
      </c>
      <c r="H4627">
        <f>INDEX(CalLookUpTable,MATCH($B4627,CalLookUpRow,0),MATCH(H$1,CalLookUpColumn,0))</f>
        <v>7</v>
      </c>
      <c r="I4627">
        <f>INDEX(CalLookUpTable,MATCH($B4627,CalLookUpRow,0),MATCH(I$1,CalLookUpColumn,0))</f>
        <v>2</v>
      </c>
    </row>
    <row r="4628" spans="1:9" x14ac:dyDescent="0.25">
      <c r="A4628" s="7">
        <v>3</v>
      </c>
      <c r="B4628" s="8">
        <v>43658</v>
      </c>
      <c r="C4628" s="9" t="s">
        <v>3</v>
      </c>
      <c r="D4628" s="10">
        <v>0</v>
      </c>
      <c r="E4628" s="10">
        <v>0</v>
      </c>
      <c r="F4628" t="str">
        <f>VLOOKUP(A4628,StoreLookup,2,FALSE)</f>
        <v>Store#3</v>
      </c>
      <c r="G4628">
        <f>INDEX(CalLookUpTable,MATCH($B4628,CalLookUpRow,0),MATCH(G$1,CalLookUpColumn,0))</f>
        <v>2019</v>
      </c>
      <c r="H4628">
        <f>INDEX(CalLookUpTable,MATCH($B4628,CalLookUpRow,0),MATCH(H$1,CalLookUpColumn,0))</f>
        <v>7</v>
      </c>
      <c r="I4628">
        <f>INDEX(CalLookUpTable,MATCH($B4628,CalLookUpRow,0),MATCH(I$1,CalLookUpColumn,0))</f>
        <v>2</v>
      </c>
    </row>
    <row r="4629" spans="1:9" x14ac:dyDescent="0.25">
      <c r="A4629" s="7">
        <v>3</v>
      </c>
      <c r="B4629" s="8">
        <v>43658</v>
      </c>
      <c r="C4629" s="9" t="s">
        <v>6</v>
      </c>
      <c r="D4629" s="10">
        <v>1259.58</v>
      </c>
      <c r="E4629" s="10">
        <v>0</v>
      </c>
      <c r="F4629" t="str">
        <f>VLOOKUP(A4629,StoreLookup,2,FALSE)</f>
        <v>Store#3</v>
      </c>
      <c r="G4629">
        <f>INDEX(CalLookUpTable,MATCH($B4629,CalLookUpRow,0),MATCH(G$1,CalLookUpColumn,0))</f>
        <v>2019</v>
      </c>
      <c r="H4629">
        <f>INDEX(CalLookUpTable,MATCH($B4629,CalLookUpRow,0),MATCH(H$1,CalLookUpColumn,0))</f>
        <v>7</v>
      </c>
      <c r="I4629">
        <f>INDEX(CalLookUpTable,MATCH($B4629,CalLookUpRow,0),MATCH(I$1,CalLookUpColumn,0))</f>
        <v>2</v>
      </c>
    </row>
    <row r="4630" spans="1:9" x14ac:dyDescent="0.25">
      <c r="A4630" s="7">
        <v>3</v>
      </c>
      <c r="B4630" s="8">
        <v>43659</v>
      </c>
      <c r="C4630" s="9" t="s">
        <v>4</v>
      </c>
      <c r="D4630" s="10">
        <v>3227.6299999999997</v>
      </c>
      <c r="E4630" s="10">
        <v>0</v>
      </c>
      <c r="F4630" t="str">
        <f>VLOOKUP(A4630,StoreLookup,2,FALSE)</f>
        <v>Store#3</v>
      </c>
      <c r="G4630">
        <f>INDEX(CalLookUpTable,MATCH($B4630,CalLookUpRow,0),MATCH(G$1,CalLookUpColumn,0))</f>
        <v>2019</v>
      </c>
      <c r="H4630">
        <f>INDEX(CalLookUpTable,MATCH($B4630,CalLookUpRow,0),MATCH(H$1,CalLookUpColumn,0))</f>
        <v>7</v>
      </c>
      <c r="I4630">
        <f>INDEX(CalLookUpTable,MATCH($B4630,CalLookUpRow,0),MATCH(I$1,CalLookUpColumn,0))</f>
        <v>2</v>
      </c>
    </row>
    <row r="4631" spans="1:9" x14ac:dyDescent="0.25">
      <c r="A4631" s="7">
        <v>3</v>
      </c>
      <c r="B4631" s="8">
        <v>43659</v>
      </c>
      <c r="C4631" s="9" t="s">
        <v>5</v>
      </c>
      <c r="D4631" s="10">
        <v>3017.21</v>
      </c>
      <c r="E4631" s="10">
        <v>0</v>
      </c>
      <c r="F4631" t="str">
        <f>VLOOKUP(A4631,StoreLookup,2,FALSE)</f>
        <v>Store#3</v>
      </c>
      <c r="G4631">
        <f>INDEX(CalLookUpTable,MATCH($B4631,CalLookUpRow,0),MATCH(G$1,CalLookUpColumn,0))</f>
        <v>2019</v>
      </c>
      <c r="H4631">
        <f>INDEX(CalLookUpTable,MATCH($B4631,CalLookUpRow,0),MATCH(H$1,CalLookUpColumn,0))</f>
        <v>7</v>
      </c>
      <c r="I4631">
        <f>INDEX(CalLookUpTable,MATCH($B4631,CalLookUpRow,0),MATCH(I$1,CalLookUpColumn,0))</f>
        <v>2</v>
      </c>
    </row>
    <row r="4632" spans="1:9" x14ac:dyDescent="0.25">
      <c r="A4632" s="7">
        <v>3</v>
      </c>
      <c r="B4632" s="8">
        <v>43659</v>
      </c>
      <c r="C4632" s="9" t="s">
        <v>6</v>
      </c>
      <c r="D4632" s="10">
        <v>564.33299999999997</v>
      </c>
      <c r="E4632" s="10">
        <v>0</v>
      </c>
      <c r="F4632" t="str">
        <f>VLOOKUP(A4632,StoreLookup,2,FALSE)</f>
        <v>Store#3</v>
      </c>
      <c r="G4632">
        <f>INDEX(CalLookUpTable,MATCH($B4632,CalLookUpRow,0),MATCH(G$1,CalLookUpColumn,0))</f>
        <v>2019</v>
      </c>
      <c r="H4632">
        <f>INDEX(CalLookUpTable,MATCH($B4632,CalLookUpRow,0),MATCH(H$1,CalLookUpColumn,0))</f>
        <v>7</v>
      </c>
      <c r="I4632">
        <f>INDEX(CalLookUpTable,MATCH($B4632,CalLookUpRow,0),MATCH(I$1,CalLookUpColumn,0))</f>
        <v>2</v>
      </c>
    </row>
    <row r="4633" spans="1:9" x14ac:dyDescent="0.25">
      <c r="A4633" s="7">
        <v>3</v>
      </c>
      <c r="B4633" s="8">
        <v>43659</v>
      </c>
      <c r="C4633" s="9" t="s">
        <v>3</v>
      </c>
      <c r="D4633" s="10">
        <v>763.80500000000006</v>
      </c>
      <c r="E4633" s="10">
        <v>0</v>
      </c>
      <c r="F4633" t="str">
        <f>VLOOKUP(A4633,StoreLookup,2,FALSE)</f>
        <v>Store#3</v>
      </c>
      <c r="G4633">
        <f>INDEX(CalLookUpTable,MATCH($B4633,CalLookUpRow,0),MATCH(G$1,CalLookUpColumn,0))</f>
        <v>2019</v>
      </c>
      <c r="H4633">
        <f>INDEX(CalLookUpTable,MATCH($B4633,CalLookUpRow,0),MATCH(H$1,CalLookUpColumn,0))</f>
        <v>7</v>
      </c>
      <c r="I4633">
        <f>INDEX(CalLookUpTable,MATCH($B4633,CalLookUpRow,0),MATCH(I$1,CalLookUpColumn,0))</f>
        <v>2</v>
      </c>
    </row>
    <row r="4634" spans="1:9" x14ac:dyDescent="0.25">
      <c r="A4634" s="7">
        <v>3</v>
      </c>
      <c r="B4634" s="8">
        <v>43660</v>
      </c>
      <c r="C4634" s="9" t="s">
        <v>6</v>
      </c>
      <c r="D4634" s="10">
        <v>612.15699999999993</v>
      </c>
      <c r="E4634" s="10">
        <v>0</v>
      </c>
      <c r="F4634" t="str">
        <f>VLOOKUP(A4634,StoreLookup,2,FALSE)</f>
        <v>Store#3</v>
      </c>
      <c r="G4634">
        <f>INDEX(CalLookUpTable,MATCH($B4634,CalLookUpRow,0),MATCH(G$1,CalLookUpColumn,0))</f>
        <v>2019</v>
      </c>
      <c r="H4634">
        <f>INDEX(CalLookUpTable,MATCH($B4634,CalLookUpRow,0),MATCH(H$1,CalLookUpColumn,0))</f>
        <v>7</v>
      </c>
      <c r="I4634">
        <f>INDEX(CalLookUpTable,MATCH($B4634,CalLookUpRow,0),MATCH(I$1,CalLookUpColumn,0))</f>
        <v>2</v>
      </c>
    </row>
    <row r="4635" spans="1:9" x14ac:dyDescent="0.25">
      <c r="A4635" s="7">
        <v>3</v>
      </c>
      <c r="B4635" s="8">
        <v>43660</v>
      </c>
      <c r="C4635" s="9" t="s">
        <v>3</v>
      </c>
      <c r="D4635" s="10">
        <v>53.984000000000002</v>
      </c>
      <c r="E4635" s="10">
        <v>0</v>
      </c>
      <c r="F4635" t="str">
        <f>VLOOKUP(A4635,StoreLookup,2,FALSE)</f>
        <v>Store#3</v>
      </c>
      <c r="G4635">
        <f>INDEX(CalLookUpTable,MATCH($B4635,CalLookUpRow,0),MATCH(G$1,CalLookUpColumn,0))</f>
        <v>2019</v>
      </c>
      <c r="H4635">
        <f>INDEX(CalLookUpTable,MATCH($B4635,CalLookUpRow,0),MATCH(H$1,CalLookUpColumn,0))</f>
        <v>7</v>
      </c>
      <c r="I4635">
        <f>INDEX(CalLookUpTable,MATCH($B4635,CalLookUpRow,0),MATCH(I$1,CalLookUpColumn,0))</f>
        <v>2</v>
      </c>
    </row>
    <row r="4636" spans="1:9" x14ac:dyDescent="0.25">
      <c r="A4636" s="7">
        <v>3</v>
      </c>
      <c r="B4636" s="8">
        <v>43660</v>
      </c>
      <c r="C4636" s="9" t="s">
        <v>4</v>
      </c>
      <c r="D4636" s="10">
        <v>3090.444</v>
      </c>
      <c r="E4636" s="10">
        <v>0</v>
      </c>
      <c r="F4636" t="str">
        <f>VLOOKUP(A4636,StoreLookup,2,FALSE)</f>
        <v>Store#3</v>
      </c>
      <c r="G4636">
        <f>INDEX(CalLookUpTable,MATCH($B4636,CalLookUpRow,0),MATCH(G$1,CalLookUpColumn,0))</f>
        <v>2019</v>
      </c>
      <c r="H4636">
        <f>INDEX(CalLookUpTable,MATCH($B4636,CalLookUpRow,0),MATCH(H$1,CalLookUpColumn,0))</f>
        <v>7</v>
      </c>
      <c r="I4636">
        <f>INDEX(CalLookUpTable,MATCH($B4636,CalLookUpRow,0),MATCH(I$1,CalLookUpColumn,0))</f>
        <v>2</v>
      </c>
    </row>
    <row r="4637" spans="1:9" x14ac:dyDescent="0.25">
      <c r="A4637" s="7">
        <v>3</v>
      </c>
      <c r="B4637" s="8">
        <v>43660</v>
      </c>
      <c r="C4637" s="9" t="s">
        <v>5</v>
      </c>
      <c r="D4637" s="10">
        <v>3026.8839999999996</v>
      </c>
      <c r="E4637" s="10">
        <v>0</v>
      </c>
      <c r="F4637" t="str">
        <f>VLOOKUP(A4637,StoreLookup,2,FALSE)</f>
        <v>Store#3</v>
      </c>
      <c r="G4637">
        <f>INDEX(CalLookUpTable,MATCH($B4637,CalLookUpRow,0),MATCH(G$1,CalLookUpColumn,0))</f>
        <v>2019</v>
      </c>
      <c r="H4637">
        <f>INDEX(CalLookUpTable,MATCH($B4637,CalLookUpRow,0),MATCH(H$1,CalLookUpColumn,0))</f>
        <v>7</v>
      </c>
      <c r="I4637">
        <f>INDEX(CalLookUpTable,MATCH($B4637,CalLookUpRow,0),MATCH(I$1,CalLookUpColumn,0))</f>
        <v>2</v>
      </c>
    </row>
    <row r="4638" spans="1:9" x14ac:dyDescent="0.25">
      <c r="A4638" s="7">
        <v>3</v>
      </c>
      <c r="B4638" s="8">
        <v>43661</v>
      </c>
      <c r="C4638" s="9" t="s">
        <v>4</v>
      </c>
      <c r="D4638" s="10">
        <v>3582.0189999999998</v>
      </c>
      <c r="E4638" s="10">
        <v>0</v>
      </c>
      <c r="F4638" t="str">
        <f>VLOOKUP(A4638,StoreLookup,2,FALSE)</f>
        <v>Store#3</v>
      </c>
      <c r="G4638">
        <f>INDEX(CalLookUpTable,MATCH($B4638,CalLookUpRow,0),MATCH(G$1,CalLookUpColumn,0))</f>
        <v>2019</v>
      </c>
      <c r="H4638">
        <f>INDEX(CalLookUpTable,MATCH($B4638,CalLookUpRow,0),MATCH(H$1,CalLookUpColumn,0))</f>
        <v>7</v>
      </c>
      <c r="I4638">
        <f>INDEX(CalLookUpTable,MATCH($B4638,CalLookUpRow,0),MATCH(I$1,CalLookUpColumn,0))</f>
        <v>3</v>
      </c>
    </row>
    <row r="4639" spans="1:9" x14ac:dyDescent="0.25">
      <c r="A4639" s="7">
        <v>3</v>
      </c>
      <c r="B4639" s="8">
        <v>43661</v>
      </c>
      <c r="C4639" s="9" t="s">
        <v>3</v>
      </c>
      <c r="D4639" s="10">
        <v>0</v>
      </c>
      <c r="E4639" s="10">
        <v>0</v>
      </c>
      <c r="F4639" t="str">
        <f>VLOOKUP(A4639,StoreLookup,2,FALSE)</f>
        <v>Store#3</v>
      </c>
      <c r="G4639">
        <f>INDEX(CalLookUpTable,MATCH($B4639,CalLookUpRow,0),MATCH(G$1,CalLookUpColumn,0))</f>
        <v>2019</v>
      </c>
      <c r="H4639">
        <f>INDEX(CalLookUpTable,MATCH($B4639,CalLookUpRow,0),MATCH(H$1,CalLookUpColumn,0))</f>
        <v>7</v>
      </c>
      <c r="I4639">
        <f>INDEX(CalLookUpTable,MATCH($B4639,CalLookUpRow,0),MATCH(I$1,CalLookUpColumn,0))</f>
        <v>3</v>
      </c>
    </row>
    <row r="4640" spans="1:9" x14ac:dyDescent="0.25">
      <c r="A4640" s="7">
        <v>3</v>
      </c>
      <c r="B4640" s="8">
        <v>43661</v>
      </c>
      <c r="C4640" s="9" t="s">
        <v>6</v>
      </c>
      <c r="D4640" s="10">
        <v>780.92699999999991</v>
      </c>
      <c r="E4640" s="10">
        <v>0</v>
      </c>
      <c r="F4640" t="str">
        <f>VLOOKUP(A4640,StoreLookup,2,FALSE)</f>
        <v>Store#3</v>
      </c>
      <c r="G4640">
        <f>INDEX(CalLookUpTable,MATCH($B4640,CalLookUpRow,0),MATCH(G$1,CalLookUpColumn,0))</f>
        <v>2019</v>
      </c>
      <c r="H4640">
        <f>INDEX(CalLookUpTable,MATCH($B4640,CalLookUpRow,0),MATCH(H$1,CalLookUpColumn,0))</f>
        <v>7</v>
      </c>
      <c r="I4640">
        <f>INDEX(CalLookUpTable,MATCH($B4640,CalLookUpRow,0),MATCH(I$1,CalLookUpColumn,0))</f>
        <v>3</v>
      </c>
    </row>
    <row r="4641" spans="1:9" x14ac:dyDescent="0.25">
      <c r="A4641" s="7">
        <v>3</v>
      </c>
      <c r="B4641" s="8">
        <v>43661</v>
      </c>
      <c r="C4641" s="9" t="s">
        <v>5</v>
      </c>
      <c r="D4641" s="10">
        <v>2999.297</v>
      </c>
      <c r="E4641" s="10">
        <v>0</v>
      </c>
      <c r="F4641" t="str">
        <f>VLOOKUP(A4641,StoreLookup,2,FALSE)</f>
        <v>Store#3</v>
      </c>
      <c r="G4641">
        <f>INDEX(CalLookUpTable,MATCH($B4641,CalLookUpRow,0),MATCH(G$1,CalLookUpColumn,0))</f>
        <v>2019</v>
      </c>
      <c r="H4641">
        <f>INDEX(CalLookUpTable,MATCH($B4641,CalLookUpRow,0),MATCH(H$1,CalLookUpColumn,0))</f>
        <v>7</v>
      </c>
      <c r="I4641">
        <f>INDEX(CalLookUpTable,MATCH($B4641,CalLookUpRow,0),MATCH(I$1,CalLookUpColumn,0))</f>
        <v>3</v>
      </c>
    </row>
    <row r="4642" spans="1:9" x14ac:dyDescent="0.25">
      <c r="A4642" s="7">
        <v>3</v>
      </c>
      <c r="B4642" s="8">
        <v>43662</v>
      </c>
      <c r="C4642" s="9" t="s">
        <v>5</v>
      </c>
      <c r="D4642" s="10">
        <v>3284.1899999999996</v>
      </c>
      <c r="E4642" s="10">
        <v>0</v>
      </c>
      <c r="F4642" t="str">
        <f>VLOOKUP(A4642,StoreLookup,2,FALSE)</f>
        <v>Store#3</v>
      </c>
      <c r="G4642">
        <f>INDEX(CalLookUpTable,MATCH($B4642,CalLookUpRow,0),MATCH(G$1,CalLookUpColumn,0))</f>
        <v>2019</v>
      </c>
      <c r="H4642">
        <f>INDEX(CalLookUpTable,MATCH($B4642,CalLookUpRow,0),MATCH(H$1,CalLookUpColumn,0))</f>
        <v>7</v>
      </c>
      <c r="I4642">
        <f>INDEX(CalLookUpTable,MATCH($B4642,CalLookUpRow,0),MATCH(I$1,CalLookUpColumn,0))</f>
        <v>3</v>
      </c>
    </row>
    <row r="4643" spans="1:9" x14ac:dyDescent="0.25">
      <c r="A4643" s="7">
        <v>3</v>
      </c>
      <c r="B4643" s="8">
        <v>43662</v>
      </c>
      <c r="C4643" s="9" t="s">
        <v>6</v>
      </c>
      <c r="D4643" s="10">
        <v>834.37199999999996</v>
      </c>
      <c r="E4643" s="10">
        <v>0</v>
      </c>
      <c r="F4643" t="str">
        <f>VLOOKUP(A4643,StoreLookup,2,FALSE)</f>
        <v>Store#3</v>
      </c>
      <c r="G4643">
        <f>INDEX(CalLookUpTable,MATCH($B4643,CalLookUpRow,0),MATCH(G$1,CalLookUpColumn,0))</f>
        <v>2019</v>
      </c>
      <c r="H4643">
        <f>INDEX(CalLookUpTable,MATCH($B4643,CalLookUpRow,0),MATCH(H$1,CalLookUpColumn,0))</f>
        <v>7</v>
      </c>
      <c r="I4643">
        <f>INDEX(CalLookUpTable,MATCH($B4643,CalLookUpRow,0),MATCH(I$1,CalLookUpColumn,0))</f>
        <v>3</v>
      </c>
    </row>
    <row r="4644" spans="1:9" x14ac:dyDescent="0.25">
      <c r="A4644" s="7">
        <v>3</v>
      </c>
      <c r="B4644" s="8">
        <v>43662</v>
      </c>
      <c r="C4644" s="9" t="s">
        <v>4</v>
      </c>
      <c r="D4644" s="10">
        <v>3055.3389999999999</v>
      </c>
      <c r="E4644" s="10">
        <v>0</v>
      </c>
      <c r="F4644" t="str">
        <f>VLOOKUP(A4644,StoreLookup,2,FALSE)</f>
        <v>Store#3</v>
      </c>
      <c r="G4644">
        <f>INDEX(CalLookUpTable,MATCH($B4644,CalLookUpRow,0),MATCH(G$1,CalLookUpColumn,0))</f>
        <v>2019</v>
      </c>
      <c r="H4644">
        <f>INDEX(CalLookUpTable,MATCH($B4644,CalLookUpRow,0),MATCH(H$1,CalLookUpColumn,0))</f>
        <v>7</v>
      </c>
      <c r="I4644">
        <f>INDEX(CalLookUpTable,MATCH($B4644,CalLookUpRow,0),MATCH(I$1,CalLookUpColumn,0))</f>
        <v>3</v>
      </c>
    </row>
    <row r="4645" spans="1:9" x14ac:dyDescent="0.25">
      <c r="A4645" s="7">
        <v>3</v>
      </c>
      <c r="B4645" s="8">
        <v>43662</v>
      </c>
      <c r="C4645" s="9" t="s">
        <v>3</v>
      </c>
      <c r="D4645" s="10">
        <v>365.75699999999995</v>
      </c>
      <c r="E4645" s="10">
        <v>0</v>
      </c>
      <c r="F4645" t="str">
        <f>VLOOKUP(A4645,StoreLookup,2,FALSE)</f>
        <v>Store#3</v>
      </c>
      <c r="G4645">
        <f>INDEX(CalLookUpTable,MATCH($B4645,CalLookUpRow,0),MATCH(G$1,CalLookUpColumn,0))</f>
        <v>2019</v>
      </c>
      <c r="H4645">
        <f>INDEX(CalLookUpTable,MATCH($B4645,CalLookUpRow,0),MATCH(H$1,CalLookUpColumn,0))</f>
        <v>7</v>
      </c>
      <c r="I4645">
        <f>INDEX(CalLookUpTable,MATCH($B4645,CalLookUpRow,0),MATCH(I$1,CalLookUpColumn,0))</f>
        <v>3</v>
      </c>
    </row>
    <row r="4646" spans="1:9" x14ac:dyDescent="0.25">
      <c r="A4646" s="7">
        <v>3</v>
      </c>
      <c r="B4646" s="8">
        <v>43663</v>
      </c>
      <c r="C4646" s="9" t="s">
        <v>6</v>
      </c>
      <c r="D4646" s="10">
        <v>777.875</v>
      </c>
      <c r="E4646" s="10">
        <v>0</v>
      </c>
      <c r="F4646" t="str">
        <f>VLOOKUP(A4646,StoreLookup,2,FALSE)</f>
        <v>Store#3</v>
      </c>
      <c r="G4646">
        <f>INDEX(CalLookUpTable,MATCH($B4646,CalLookUpRow,0),MATCH(G$1,CalLookUpColumn,0))</f>
        <v>2019</v>
      </c>
      <c r="H4646">
        <f>INDEX(CalLookUpTable,MATCH($B4646,CalLookUpRow,0),MATCH(H$1,CalLookUpColumn,0))</f>
        <v>7</v>
      </c>
      <c r="I4646">
        <f>INDEX(CalLookUpTable,MATCH($B4646,CalLookUpRow,0),MATCH(I$1,CalLookUpColumn,0))</f>
        <v>3</v>
      </c>
    </row>
    <row r="4647" spans="1:9" x14ac:dyDescent="0.25">
      <c r="A4647" s="7">
        <v>3</v>
      </c>
      <c r="B4647" s="8">
        <v>43663</v>
      </c>
      <c r="C4647" s="9" t="s">
        <v>4</v>
      </c>
      <c r="D4647" s="10">
        <v>3626.3289999999997</v>
      </c>
      <c r="E4647" s="10">
        <v>0</v>
      </c>
      <c r="F4647" t="str">
        <f>VLOOKUP(A4647,StoreLookup,2,FALSE)</f>
        <v>Store#3</v>
      </c>
      <c r="G4647">
        <f>INDEX(CalLookUpTable,MATCH($B4647,CalLookUpRow,0),MATCH(G$1,CalLookUpColumn,0))</f>
        <v>2019</v>
      </c>
      <c r="H4647">
        <f>INDEX(CalLookUpTable,MATCH($B4647,CalLookUpRow,0),MATCH(H$1,CalLookUpColumn,0))</f>
        <v>7</v>
      </c>
      <c r="I4647">
        <f>INDEX(CalLookUpTable,MATCH($B4647,CalLookUpRow,0),MATCH(I$1,CalLookUpColumn,0))</f>
        <v>3</v>
      </c>
    </row>
    <row r="4648" spans="1:9" x14ac:dyDescent="0.25">
      <c r="A4648" s="7">
        <v>3</v>
      </c>
      <c r="B4648" s="8">
        <v>43663</v>
      </c>
      <c r="C4648" s="9" t="s">
        <v>5</v>
      </c>
      <c r="D4648" s="10">
        <v>2896.81</v>
      </c>
      <c r="E4648" s="10">
        <v>0</v>
      </c>
      <c r="F4648" t="str">
        <f>VLOOKUP(A4648,StoreLookup,2,FALSE)</f>
        <v>Store#3</v>
      </c>
      <c r="G4648">
        <f>INDEX(CalLookUpTable,MATCH($B4648,CalLookUpRow,0),MATCH(G$1,CalLookUpColumn,0))</f>
        <v>2019</v>
      </c>
      <c r="H4648">
        <f>INDEX(CalLookUpTable,MATCH($B4648,CalLookUpRow,0),MATCH(H$1,CalLookUpColumn,0))</f>
        <v>7</v>
      </c>
      <c r="I4648">
        <f>INDEX(CalLookUpTable,MATCH($B4648,CalLookUpRow,0),MATCH(I$1,CalLookUpColumn,0))</f>
        <v>3</v>
      </c>
    </row>
    <row r="4649" spans="1:9" x14ac:dyDescent="0.25">
      <c r="A4649" s="7">
        <v>3</v>
      </c>
      <c r="B4649" s="8">
        <v>43663</v>
      </c>
      <c r="C4649" s="9" t="s">
        <v>3</v>
      </c>
      <c r="D4649" s="10">
        <v>186.375</v>
      </c>
      <c r="E4649" s="10">
        <v>0</v>
      </c>
      <c r="F4649" t="str">
        <f>VLOOKUP(A4649,StoreLookup,2,FALSE)</f>
        <v>Store#3</v>
      </c>
      <c r="G4649">
        <f>INDEX(CalLookUpTable,MATCH($B4649,CalLookUpRow,0),MATCH(G$1,CalLookUpColumn,0))</f>
        <v>2019</v>
      </c>
      <c r="H4649">
        <f>INDEX(CalLookUpTable,MATCH($B4649,CalLookUpRow,0),MATCH(H$1,CalLookUpColumn,0))</f>
        <v>7</v>
      </c>
      <c r="I4649">
        <f>INDEX(CalLookUpTable,MATCH($B4649,CalLookUpRow,0),MATCH(I$1,CalLookUpColumn,0))</f>
        <v>3</v>
      </c>
    </row>
    <row r="4650" spans="1:9" x14ac:dyDescent="0.25">
      <c r="A4650" s="7">
        <v>3</v>
      </c>
      <c r="B4650" s="8">
        <v>43664</v>
      </c>
      <c r="C4650" s="9" t="s">
        <v>4</v>
      </c>
      <c r="D4650" s="10">
        <v>3790.1149999999998</v>
      </c>
      <c r="E4650" s="10">
        <v>0</v>
      </c>
      <c r="F4650" t="str">
        <f>VLOOKUP(A4650,StoreLookup,2,FALSE)</f>
        <v>Store#3</v>
      </c>
      <c r="G4650">
        <f>INDEX(CalLookUpTable,MATCH($B4650,CalLookUpRow,0),MATCH(G$1,CalLookUpColumn,0))</f>
        <v>2019</v>
      </c>
      <c r="H4650">
        <f>INDEX(CalLookUpTable,MATCH($B4650,CalLookUpRow,0),MATCH(H$1,CalLookUpColumn,0))</f>
        <v>7</v>
      </c>
      <c r="I4650">
        <f>INDEX(CalLookUpTable,MATCH($B4650,CalLookUpRow,0),MATCH(I$1,CalLookUpColumn,0))</f>
        <v>3</v>
      </c>
    </row>
    <row r="4651" spans="1:9" x14ac:dyDescent="0.25">
      <c r="A4651" s="7">
        <v>3</v>
      </c>
      <c r="B4651" s="8">
        <v>43664</v>
      </c>
      <c r="C4651" s="9" t="s">
        <v>6</v>
      </c>
      <c r="D4651" s="10">
        <v>860.48899999999992</v>
      </c>
      <c r="E4651" s="10">
        <v>0</v>
      </c>
      <c r="F4651" t="str">
        <f>VLOOKUP(A4651,StoreLookup,2,FALSE)</f>
        <v>Store#3</v>
      </c>
      <c r="G4651">
        <f>INDEX(CalLookUpTable,MATCH($B4651,CalLookUpRow,0),MATCH(G$1,CalLookUpColumn,0))</f>
        <v>2019</v>
      </c>
      <c r="H4651">
        <f>INDEX(CalLookUpTable,MATCH($B4651,CalLookUpRow,0),MATCH(H$1,CalLookUpColumn,0))</f>
        <v>7</v>
      </c>
      <c r="I4651">
        <f>INDEX(CalLookUpTable,MATCH($B4651,CalLookUpRow,0),MATCH(I$1,CalLookUpColumn,0))</f>
        <v>3</v>
      </c>
    </row>
    <row r="4652" spans="1:9" x14ac:dyDescent="0.25">
      <c r="A4652" s="7">
        <v>3</v>
      </c>
      <c r="B4652" s="8">
        <v>43664</v>
      </c>
      <c r="C4652" s="9" t="s">
        <v>3</v>
      </c>
      <c r="D4652" s="10">
        <v>0</v>
      </c>
      <c r="E4652" s="10">
        <v>0</v>
      </c>
      <c r="F4652" t="str">
        <f>VLOOKUP(A4652,StoreLookup,2,FALSE)</f>
        <v>Store#3</v>
      </c>
      <c r="G4652">
        <f>INDEX(CalLookUpTable,MATCH($B4652,CalLookUpRow,0),MATCH(G$1,CalLookUpColumn,0))</f>
        <v>2019</v>
      </c>
      <c r="H4652">
        <f>INDEX(CalLookUpTable,MATCH($B4652,CalLookUpRow,0),MATCH(H$1,CalLookUpColumn,0))</f>
        <v>7</v>
      </c>
      <c r="I4652">
        <f>INDEX(CalLookUpTable,MATCH($B4652,CalLookUpRow,0),MATCH(I$1,CalLookUpColumn,0))</f>
        <v>3</v>
      </c>
    </row>
    <row r="4653" spans="1:9" x14ac:dyDescent="0.25">
      <c r="A4653" s="7">
        <v>3</v>
      </c>
      <c r="B4653" s="8">
        <v>43664</v>
      </c>
      <c r="C4653" s="9" t="s">
        <v>5</v>
      </c>
      <c r="D4653" s="10">
        <v>3544.6390000000001</v>
      </c>
      <c r="E4653" s="10">
        <v>0</v>
      </c>
      <c r="F4653" t="str">
        <f>VLOOKUP(A4653,StoreLookup,2,FALSE)</f>
        <v>Store#3</v>
      </c>
      <c r="G4653">
        <f>INDEX(CalLookUpTable,MATCH($B4653,CalLookUpRow,0),MATCH(G$1,CalLookUpColumn,0))</f>
        <v>2019</v>
      </c>
      <c r="H4653">
        <f>INDEX(CalLookUpTable,MATCH($B4653,CalLookUpRow,0),MATCH(H$1,CalLookUpColumn,0))</f>
        <v>7</v>
      </c>
      <c r="I4653">
        <f>INDEX(CalLookUpTable,MATCH($B4653,CalLookUpRow,0),MATCH(I$1,CalLookUpColumn,0))</f>
        <v>3</v>
      </c>
    </row>
    <row r="4654" spans="1:9" x14ac:dyDescent="0.25">
      <c r="A4654" s="7">
        <v>3</v>
      </c>
      <c r="B4654" s="8">
        <v>43665</v>
      </c>
      <c r="C4654" s="9" t="s">
        <v>5</v>
      </c>
      <c r="D4654" s="10">
        <v>3535.2519999999995</v>
      </c>
      <c r="E4654" s="10">
        <v>0</v>
      </c>
      <c r="F4654" t="str">
        <f>VLOOKUP(A4654,StoreLookup,2,FALSE)</f>
        <v>Store#3</v>
      </c>
      <c r="G4654">
        <f>INDEX(CalLookUpTable,MATCH($B4654,CalLookUpRow,0),MATCH(G$1,CalLookUpColumn,0))</f>
        <v>2019</v>
      </c>
      <c r="H4654">
        <f>INDEX(CalLookUpTable,MATCH($B4654,CalLookUpRow,0),MATCH(H$1,CalLookUpColumn,0))</f>
        <v>7</v>
      </c>
      <c r="I4654">
        <f>INDEX(CalLookUpTable,MATCH($B4654,CalLookUpRow,0),MATCH(I$1,CalLookUpColumn,0))</f>
        <v>3</v>
      </c>
    </row>
    <row r="4655" spans="1:9" x14ac:dyDescent="0.25">
      <c r="A4655" s="7">
        <v>3</v>
      </c>
      <c r="B4655" s="8">
        <v>43665</v>
      </c>
      <c r="C4655" s="9" t="s">
        <v>3</v>
      </c>
      <c r="D4655" s="10">
        <v>0</v>
      </c>
      <c r="E4655" s="10">
        <v>0</v>
      </c>
      <c r="F4655" t="str">
        <f>VLOOKUP(A4655,StoreLookup,2,FALSE)</f>
        <v>Store#3</v>
      </c>
      <c r="G4655">
        <f>INDEX(CalLookUpTable,MATCH($B4655,CalLookUpRow,0),MATCH(G$1,CalLookUpColumn,0))</f>
        <v>2019</v>
      </c>
      <c r="H4655">
        <f>INDEX(CalLookUpTable,MATCH($B4655,CalLookUpRow,0),MATCH(H$1,CalLookUpColumn,0))</f>
        <v>7</v>
      </c>
      <c r="I4655">
        <f>INDEX(CalLookUpTable,MATCH($B4655,CalLookUpRow,0),MATCH(I$1,CalLookUpColumn,0))</f>
        <v>3</v>
      </c>
    </row>
    <row r="4656" spans="1:9" x14ac:dyDescent="0.25">
      <c r="A4656" s="7">
        <v>3</v>
      </c>
      <c r="B4656" s="8">
        <v>43665</v>
      </c>
      <c r="C4656" s="9" t="s">
        <v>6</v>
      </c>
      <c r="D4656" s="10">
        <v>964.88</v>
      </c>
      <c r="E4656" s="10">
        <v>0</v>
      </c>
      <c r="F4656" t="str">
        <f>VLOOKUP(A4656,StoreLookup,2,FALSE)</f>
        <v>Store#3</v>
      </c>
      <c r="G4656">
        <f>INDEX(CalLookUpTable,MATCH($B4656,CalLookUpRow,0),MATCH(G$1,CalLookUpColumn,0))</f>
        <v>2019</v>
      </c>
      <c r="H4656">
        <f>INDEX(CalLookUpTable,MATCH($B4656,CalLookUpRow,0),MATCH(H$1,CalLookUpColumn,0))</f>
        <v>7</v>
      </c>
      <c r="I4656">
        <f>INDEX(CalLookUpTable,MATCH($B4656,CalLookUpRow,0),MATCH(I$1,CalLookUpColumn,0))</f>
        <v>3</v>
      </c>
    </row>
    <row r="4657" spans="1:9" x14ac:dyDescent="0.25">
      <c r="A4657" s="7">
        <v>3</v>
      </c>
      <c r="B4657" s="8">
        <v>43665</v>
      </c>
      <c r="C4657" s="9" t="s">
        <v>4</v>
      </c>
      <c r="D4657" s="10">
        <v>4062.7299999999996</v>
      </c>
      <c r="E4657" s="10">
        <v>0</v>
      </c>
      <c r="F4657" t="str">
        <f>VLOOKUP(A4657,StoreLookup,2,FALSE)</f>
        <v>Store#3</v>
      </c>
      <c r="G4657">
        <f>INDEX(CalLookUpTable,MATCH($B4657,CalLookUpRow,0),MATCH(G$1,CalLookUpColumn,0))</f>
        <v>2019</v>
      </c>
      <c r="H4657">
        <f>INDEX(CalLookUpTable,MATCH($B4657,CalLookUpRow,0),MATCH(H$1,CalLookUpColumn,0))</f>
        <v>7</v>
      </c>
      <c r="I4657">
        <f>INDEX(CalLookUpTable,MATCH($B4657,CalLookUpRow,0),MATCH(I$1,CalLookUpColumn,0))</f>
        <v>3</v>
      </c>
    </row>
    <row r="4658" spans="1:9" x14ac:dyDescent="0.25">
      <c r="A4658" s="7">
        <v>3</v>
      </c>
      <c r="B4658" s="8">
        <v>43666</v>
      </c>
      <c r="C4658" s="9" t="s">
        <v>5</v>
      </c>
      <c r="D4658" s="10">
        <v>3159.1909999999998</v>
      </c>
      <c r="E4658" s="10">
        <v>0</v>
      </c>
      <c r="F4658" t="str">
        <f>VLOOKUP(A4658,StoreLookup,2,FALSE)</f>
        <v>Store#3</v>
      </c>
      <c r="G4658">
        <f>INDEX(CalLookUpTable,MATCH($B4658,CalLookUpRow,0),MATCH(G$1,CalLookUpColumn,0))</f>
        <v>2019</v>
      </c>
      <c r="H4658">
        <f>INDEX(CalLookUpTable,MATCH($B4658,CalLookUpRow,0),MATCH(H$1,CalLookUpColumn,0))</f>
        <v>7</v>
      </c>
      <c r="I4658">
        <f>INDEX(CalLookUpTable,MATCH($B4658,CalLookUpRow,0),MATCH(I$1,CalLookUpColumn,0))</f>
        <v>3</v>
      </c>
    </row>
    <row r="4659" spans="1:9" x14ac:dyDescent="0.25">
      <c r="A4659" s="7">
        <v>3</v>
      </c>
      <c r="B4659" s="8">
        <v>43666</v>
      </c>
      <c r="C4659" s="9" t="s">
        <v>4</v>
      </c>
      <c r="D4659" s="10">
        <v>3562.5589999999997</v>
      </c>
      <c r="E4659" s="10">
        <v>0</v>
      </c>
      <c r="F4659" t="str">
        <f>VLOOKUP(A4659,StoreLookup,2,FALSE)</f>
        <v>Store#3</v>
      </c>
      <c r="G4659">
        <f>INDEX(CalLookUpTable,MATCH($B4659,CalLookUpRow,0),MATCH(G$1,CalLookUpColumn,0))</f>
        <v>2019</v>
      </c>
      <c r="H4659">
        <f>INDEX(CalLookUpTable,MATCH($B4659,CalLookUpRow,0),MATCH(H$1,CalLookUpColumn,0))</f>
        <v>7</v>
      </c>
      <c r="I4659">
        <f>INDEX(CalLookUpTable,MATCH($B4659,CalLookUpRow,0),MATCH(I$1,CalLookUpColumn,0))</f>
        <v>3</v>
      </c>
    </row>
    <row r="4660" spans="1:9" x14ac:dyDescent="0.25">
      <c r="A4660" s="7">
        <v>3</v>
      </c>
      <c r="B4660" s="8">
        <v>43666</v>
      </c>
      <c r="C4660" s="9" t="s">
        <v>6</v>
      </c>
      <c r="D4660" s="10">
        <v>461.33499999999992</v>
      </c>
      <c r="E4660" s="10">
        <v>0</v>
      </c>
      <c r="F4660" t="str">
        <f>VLOOKUP(A4660,StoreLookup,2,FALSE)</f>
        <v>Store#3</v>
      </c>
      <c r="G4660">
        <f>INDEX(CalLookUpTable,MATCH($B4660,CalLookUpRow,0),MATCH(G$1,CalLookUpColumn,0))</f>
        <v>2019</v>
      </c>
      <c r="H4660">
        <f>INDEX(CalLookUpTable,MATCH($B4660,CalLookUpRow,0),MATCH(H$1,CalLookUpColumn,0))</f>
        <v>7</v>
      </c>
      <c r="I4660">
        <f>INDEX(CalLookUpTable,MATCH($B4660,CalLookUpRow,0),MATCH(I$1,CalLookUpColumn,0))</f>
        <v>3</v>
      </c>
    </row>
    <row r="4661" spans="1:9" x14ac:dyDescent="0.25">
      <c r="A4661" s="7">
        <v>3</v>
      </c>
      <c r="B4661" s="8">
        <v>43666</v>
      </c>
      <c r="C4661" s="9" t="s">
        <v>3</v>
      </c>
      <c r="D4661" s="10">
        <v>48.131999999999998</v>
      </c>
      <c r="E4661" s="10">
        <v>0</v>
      </c>
      <c r="F4661" t="str">
        <f>VLOOKUP(A4661,StoreLookup,2,FALSE)</f>
        <v>Store#3</v>
      </c>
      <c r="G4661">
        <f>INDEX(CalLookUpTable,MATCH($B4661,CalLookUpRow,0),MATCH(G$1,CalLookUpColumn,0))</f>
        <v>2019</v>
      </c>
      <c r="H4661">
        <f>INDEX(CalLookUpTable,MATCH($B4661,CalLookUpRow,0),MATCH(H$1,CalLookUpColumn,0))</f>
        <v>7</v>
      </c>
      <c r="I4661">
        <f>INDEX(CalLookUpTable,MATCH($B4661,CalLookUpRow,0),MATCH(I$1,CalLookUpColumn,0))</f>
        <v>3</v>
      </c>
    </row>
    <row r="4662" spans="1:9" x14ac:dyDescent="0.25">
      <c r="A4662" s="7">
        <v>3</v>
      </c>
      <c r="B4662" s="8">
        <v>43667</v>
      </c>
      <c r="C4662" s="9" t="s">
        <v>5</v>
      </c>
      <c r="D4662" s="10">
        <v>2994.0399999999995</v>
      </c>
      <c r="E4662" s="10">
        <v>0</v>
      </c>
      <c r="F4662" t="str">
        <f>VLOOKUP(A4662,StoreLookup,2,FALSE)</f>
        <v>Store#3</v>
      </c>
      <c r="G4662">
        <f>INDEX(CalLookUpTable,MATCH($B4662,CalLookUpRow,0),MATCH(G$1,CalLookUpColumn,0))</f>
        <v>2019</v>
      </c>
      <c r="H4662">
        <f>INDEX(CalLookUpTable,MATCH($B4662,CalLookUpRow,0),MATCH(H$1,CalLookUpColumn,0))</f>
        <v>7</v>
      </c>
      <c r="I4662">
        <f>INDEX(CalLookUpTable,MATCH($B4662,CalLookUpRow,0),MATCH(I$1,CalLookUpColumn,0))</f>
        <v>3</v>
      </c>
    </row>
    <row r="4663" spans="1:9" x14ac:dyDescent="0.25">
      <c r="A4663" s="7">
        <v>3</v>
      </c>
      <c r="B4663" s="8">
        <v>43667</v>
      </c>
      <c r="C4663" s="9" t="s">
        <v>6</v>
      </c>
      <c r="D4663" s="10">
        <v>857.53499999999997</v>
      </c>
      <c r="E4663" s="10">
        <v>0</v>
      </c>
      <c r="F4663" t="str">
        <f>VLOOKUP(A4663,StoreLookup,2,FALSE)</f>
        <v>Store#3</v>
      </c>
      <c r="G4663">
        <f>INDEX(CalLookUpTable,MATCH($B4663,CalLookUpRow,0),MATCH(G$1,CalLookUpColumn,0))</f>
        <v>2019</v>
      </c>
      <c r="H4663">
        <f>INDEX(CalLookUpTable,MATCH($B4663,CalLookUpRow,0),MATCH(H$1,CalLookUpColumn,0))</f>
        <v>7</v>
      </c>
      <c r="I4663">
        <f>INDEX(CalLookUpTable,MATCH($B4663,CalLookUpRow,0),MATCH(I$1,CalLookUpColumn,0))</f>
        <v>3</v>
      </c>
    </row>
    <row r="4664" spans="1:9" x14ac:dyDescent="0.25">
      <c r="A4664" s="7">
        <v>3</v>
      </c>
      <c r="B4664" s="8">
        <v>43667</v>
      </c>
      <c r="C4664" s="9" t="s">
        <v>3</v>
      </c>
      <c r="D4664" s="10">
        <v>0</v>
      </c>
      <c r="E4664" s="10">
        <v>0</v>
      </c>
      <c r="F4664" t="str">
        <f>VLOOKUP(A4664,StoreLookup,2,FALSE)</f>
        <v>Store#3</v>
      </c>
      <c r="G4664">
        <f>INDEX(CalLookUpTable,MATCH($B4664,CalLookUpRow,0),MATCH(G$1,CalLookUpColumn,0))</f>
        <v>2019</v>
      </c>
      <c r="H4664">
        <f>INDEX(CalLookUpTable,MATCH($B4664,CalLookUpRow,0),MATCH(H$1,CalLookUpColumn,0))</f>
        <v>7</v>
      </c>
      <c r="I4664">
        <f>INDEX(CalLookUpTable,MATCH($B4664,CalLookUpRow,0),MATCH(I$1,CalLookUpColumn,0))</f>
        <v>3</v>
      </c>
    </row>
    <row r="4665" spans="1:9" x14ac:dyDescent="0.25">
      <c r="A4665" s="7">
        <v>3</v>
      </c>
      <c r="B4665" s="8">
        <v>43667</v>
      </c>
      <c r="C4665" s="9" t="s">
        <v>4</v>
      </c>
      <c r="D4665" s="10">
        <v>2855.1039999999998</v>
      </c>
      <c r="E4665" s="10">
        <v>0</v>
      </c>
      <c r="F4665" t="str">
        <f>VLOOKUP(A4665,StoreLookup,2,FALSE)</f>
        <v>Store#3</v>
      </c>
      <c r="G4665">
        <f>INDEX(CalLookUpTable,MATCH($B4665,CalLookUpRow,0),MATCH(G$1,CalLookUpColumn,0))</f>
        <v>2019</v>
      </c>
      <c r="H4665">
        <f>INDEX(CalLookUpTable,MATCH($B4665,CalLookUpRow,0),MATCH(H$1,CalLookUpColumn,0))</f>
        <v>7</v>
      </c>
      <c r="I4665">
        <f>INDEX(CalLookUpTable,MATCH($B4665,CalLookUpRow,0),MATCH(I$1,CalLookUpColumn,0))</f>
        <v>3</v>
      </c>
    </row>
    <row r="4666" spans="1:9" x14ac:dyDescent="0.25">
      <c r="A4666" s="7">
        <v>3</v>
      </c>
      <c r="B4666" s="8">
        <v>43668</v>
      </c>
      <c r="C4666" s="9" t="s">
        <v>5</v>
      </c>
      <c r="D4666" s="10">
        <v>3101.1189999999997</v>
      </c>
      <c r="E4666" s="10">
        <v>0</v>
      </c>
      <c r="F4666" t="str">
        <f>VLOOKUP(A4666,StoreLookup,2,FALSE)</f>
        <v>Store#3</v>
      </c>
      <c r="G4666">
        <f>INDEX(CalLookUpTable,MATCH($B4666,CalLookUpRow,0),MATCH(G$1,CalLookUpColumn,0))</f>
        <v>2019</v>
      </c>
      <c r="H4666">
        <f>INDEX(CalLookUpTable,MATCH($B4666,CalLookUpRow,0),MATCH(H$1,CalLookUpColumn,0))</f>
        <v>7</v>
      </c>
      <c r="I4666">
        <f>INDEX(CalLookUpTable,MATCH($B4666,CalLookUpRow,0),MATCH(I$1,CalLookUpColumn,0))</f>
        <v>4</v>
      </c>
    </row>
    <row r="4667" spans="1:9" x14ac:dyDescent="0.25">
      <c r="A4667" s="7">
        <v>3</v>
      </c>
      <c r="B4667" s="8">
        <v>43668</v>
      </c>
      <c r="C4667" s="9" t="s">
        <v>4</v>
      </c>
      <c r="D4667" s="10">
        <v>3396.4559999999997</v>
      </c>
      <c r="E4667" s="10">
        <v>0</v>
      </c>
      <c r="F4667" t="str">
        <f>VLOOKUP(A4667,StoreLookup,2,FALSE)</f>
        <v>Store#3</v>
      </c>
      <c r="G4667">
        <f>INDEX(CalLookUpTable,MATCH($B4667,CalLookUpRow,0),MATCH(G$1,CalLookUpColumn,0))</f>
        <v>2019</v>
      </c>
      <c r="H4667">
        <f>INDEX(CalLookUpTable,MATCH($B4667,CalLookUpRow,0),MATCH(H$1,CalLookUpColumn,0))</f>
        <v>7</v>
      </c>
      <c r="I4667">
        <f>INDEX(CalLookUpTable,MATCH($B4667,CalLookUpRow,0),MATCH(I$1,CalLookUpColumn,0))</f>
        <v>4</v>
      </c>
    </row>
    <row r="4668" spans="1:9" x14ac:dyDescent="0.25">
      <c r="A4668" s="7">
        <v>3</v>
      </c>
      <c r="B4668" s="8">
        <v>43668</v>
      </c>
      <c r="C4668" s="9" t="s">
        <v>6</v>
      </c>
      <c r="D4668" s="10">
        <v>844.10899999999992</v>
      </c>
      <c r="E4668" s="10">
        <v>0</v>
      </c>
      <c r="F4668" t="str">
        <f>VLOOKUP(A4668,StoreLookup,2,FALSE)</f>
        <v>Store#3</v>
      </c>
      <c r="G4668">
        <f>INDEX(CalLookUpTable,MATCH($B4668,CalLookUpRow,0),MATCH(G$1,CalLookUpColumn,0))</f>
        <v>2019</v>
      </c>
      <c r="H4668">
        <f>INDEX(CalLookUpTable,MATCH($B4668,CalLookUpRow,0),MATCH(H$1,CalLookUpColumn,0))</f>
        <v>7</v>
      </c>
      <c r="I4668">
        <f>INDEX(CalLookUpTable,MATCH($B4668,CalLookUpRow,0),MATCH(I$1,CalLookUpColumn,0))</f>
        <v>4</v>
      </c>
    </row>
    <row r="4669" spans="1:9" x14ac:dyDescent="0.25">
      <c r="A4669" s="7">
        <v>3</v>
      </c>
      <c r="B4669" s="8">
        <v>43668</v>
      </c>
      <c r="C4669" s="9" t="s">
        <v>3</v>
      </c>
      <c r="D4669" s="10">
        <v>26.439</v>
      </c>
      <c r="E4669" s="10">
        <v>0</v>
      </c>
      <c r="F4669" t="str">
        <f>VLOOKUP(A4669,StoreLookup,2,FALSE)</f>
        <v>Store#3</v>
      </c>
      <c r="G4669">
        <f>INDEX(CalLookUpTable,MATCH($B4669,CalLookUpRow,0),MATCH(G$1,CalLookUpColumn,0))</f>
        <v>2019</v>
      </c>
      <c r="H4669">
        <f>INDEX(CalLookUpTable,MATCH($B4669,CalLookUpRow,0),MATCH(H$1,CalLookUpColumn,0))</f>
        <v>7</v>
      </c>
      <c r="I4669">
        <f>INDEX(CalLookUpTable,MATCH($B4669,CalLookUpRow,0),MATCH(I$1,CalLookUpColumn,0))</f>
        <v>4</v>
      </c>
    </row>
    <row r="4670" spans="1:9" x14ac:dyDescent="0.25">
      <c r="A4670" s="7">
        <v>3</v>
      </c>
      <c r="B4670" s="8">
        <v>43669</v>
      </c>
      <c r="C4670" s="9" t="s">
        <v>3</v>
      </c>
      <c r="D4670" s="10">
        <v>0</v>
      </c>
      <c r="E4670" s="10">
        <v>0</v>
      </c>
      <c r="F4670" t="str">
        <f>VLOOKUP(A4670,StoreLookup,2,FALSE)</f>
        <v>Store#3</v>
      </c>
      <c r="G4670">
        <f>INDEX(CalLookUpTable,MATCH($B4670,CalLookUpRow,0),MATCH(G$1,CalLookUpColumn,0))</f>
        <v>2019</v>
      </c>
      <c r="H4670">
        <f>INDEX(CalLookUpTable,MATCH($B4670,CalLookUpRow,0),MATCH(H$1,CalLookUpColumn,0))</f>
        <v>7</v>
      </c>
      <c r="I4670">
        <f>INDEX(CalLookUpTable,MATCH($B4670,CalLookUpRow,0),MATCH(I$1,CalLookUpColumn,0))</f>
        <v>4</v>
      </c>
    </row>
    <row r="4671" spans="1:9" x14ac:dyDescent="0.25">
      <c r="A4671" s="7">
        <v>3</v>
      </c>
      <c r="B4671" s="8">
        <v>43669</v>
      </c>
      <c r="C4671" s="9" t="s">
        <v>5</v>
      </c>
      <c r="D4671" s="10">
        <v>3545.654</v>
      </c>
      <c r="E4671" s="10">
        <v>0</v>
      </c>
      <c r="F4671" t="str">
        <f>VLOOKUP(A4671,StoreLookup,2,FALSE)</f>
        <v>Store#3</v>
      </c>
      <c r="G4671">
        <f>INDEX(CalLookUpTable,MATCH($B4671,CalLookUpRow,0),MATCH(G$1,CalLookUpColumn,0))</f>
        <v>2019</v>
      </c>
      <c r="H4671">
        <f>INDEX(CalLookUpTable,MATCH($B4671,CalLookUpRow,0),MATCH(H$1,CalLookUpColumn,0))</f>
        <v>7</v>
      </c>
      <c r="I4671">
        <f>INDEX(CalLookUpTable,MATCH($B4671,CalLookUpRow,0),MATCH(I$1,CalLookUpColumn,0))</f>
        <v>4</v>
      </c>
    </row>
    <row r="4672" spans="1:9" x14ac:dyDescent="0.25">
      <c r="A4672" s="7">
        <v>3</v>
      </c>
      <c r="B4672" s="8">
        <v>43669</v>
      </c>
      <c r="C4672" s="9" t="s">
        <v>6</v>
      </c>
      <c r="D4672" s="10">
        <v>708.97400000000005</v>
      </c>
      <c r="E4672" s="10">
        <v>0</v>
      </c>
      <c r="F4672" t="str">
        <f>VLOOKUP(A4672,StoreLookup,2,FALSE)</f>
        <v>Store#3</v>
      </c>
      <c r="G4672">
        <f>INDEX(CalLookUpTable,MATCH($B4672,CalLookUpRow,0),MATCH(G$1,CalLookUpColumn,0))</f>
        <v>2019</v>
      </c>
      <c r="H4672">
        <f>INDEX(CalLookUpTable,MATCH($B4672,CalLookUpRow,0),MATCH(H$1,CalLookUpColumn,0))</f>
        <v>7</v>
      </c>
      <c r="I4672">
        <f>INDEX(CalLookUpTable,MATCH($B4672,CalLookUpRow,0),MATCH(I$1,CalLookUpColumn,0))</f>
        <v>4</v>
      </c>
    </row>
    <row r="4673" spans="1:9" x14ac:dyDescent="0.25">
      <c r="A4673" s="7">
        <v>3</v>
      </c>
      <c r="B4673" s="8">
        <v>43669</v>
      </c>
      <c r="C4673" s="9" t="s">
        <v>4</v>
      </c>
      <c r="D4673" s="10">
        <v>3166.422</v>
      </c>
      <c r="E4673" s="10">
        <v>0</v>
      </c>
      <c r="F4673" t="str">
        <f>VLOOKUP(A4673,StoreLookup,2,FALSE)</f>
        <v>Store#3</v>
      </c>
      <c r="G4673">
        <f>INDEX(CalLookUpTable,MATCH($B4673,CalLookUpRow,0),MATCH(G$1,CalLookUpColumn,0))</f>
        <v>2019</v>
      </c>
      <c r="H4673">
        <f>INDEX(CalLookUpTable,MATCH($B4673,CalLookUpRow,0),MATCH(H$1,CalLookUpColumn,0))</f>
        <v>7</v>
      </c>
      <c r="I4673">
        <f>INDEX(CalLookUpTable,MATCH($B4673,CalLookUpRow,0),MATCH(I$1,CalLookUpColumn,0))</f>
        <v>4</v>
      </c>
    </row>
    <row r="4674" spans="1:9" x14ac:dyDescent="0.25">
      <c r="A4674" s="7">
        <v>3</v>
      </c>
      <c r="B4674" s="8">
        <v>43670</v>
      </c>
      <c r="C4674" s="9" t="s">
        <v>3</v>
      </c>
      <c r="D4674" s="10">
        <v>0</v>
      </c>
      <c r="E4674" s="10">
        <v>0</v>
      </c>
      <c r="F4674" t="str">
        <f>VLOOKUP(A4674,StoreLookup,2,FALSE)</f>
        <v>Store#3</v>
      </c>
      <c r="G4674">
        <f>INDEX(CalLookUpTable,MATCH($B4674,CalLookUpRow,0),MATCH(G$1,CalLookUpColumn,0))</f>
        <v>2019</v>
      </c>
      <c r="H4674">
        <f>INDEX(CalLookUpTable,MATCH($B4674,CalLookUpRow,0),MATCH(H$1,CalLookUpColumn,0))</f>
        <v>7</v>
      </c>
      <c r="I4674">
        <f>INDEX(CalLookUpTable,MATCH($B4674,CalLookUpRow,0),MATCH(I$1,CalLookUpColumn,0))</f>
        <v>4</v>
      </c>
    </row>
    <row r="4675" spans="1:9" x14ac:dyDescent="0.25">
      <c r="A4675" s="7">
        <v>3</v>
      </c>
      <c r="B4675" s="8">
        <v>43670</v>
      </c>
      <c r="C4675" s="9" t="s">
        <v>4</v>
      </c>
      <c r="D4675" s="10">
        <v>3730.4959999999996</v>
      </c>
      <c r="E4675" s="10">
        <v>0</v>
      </c>
      <c r="F4675" t="str">
        <f>VLOOKUP(A4675,StoreLookup,2,FALSE)</f>
        <v>Store#3</v>
      </c>
      <c r="G4675">
        <f>INDEX(CalLookUpTable,MATCH($B4675,CalLookUpRow,0),MATCH(G$1,CalLookUpColumn,0))</f>
        <v>2019</v>
      </c>
      <c r="H4675">
        <f>INDEX(CalLookUpTable,MATCH($B4675,CalLookUpRow,0),MATCH(H$1,CalLookUpColumn,0))</f>
        <v>7</v>
      </c>
      <c r="I4675">
        <f>INDEX(CalLookUpTable,MATCH($B4675,CalLookUpRow,0),MATCH(I$1,CalLookUpColumn,0))</f>
        <v>4</v>
      </c>
    </row>
    <row r="4676" spans="1:9" x14ac:dyDescent="0.25">
      <c r="A4676" s="7">
        <v>3</v>
      </c>
      <c r="B4676" s="8">
        <v>43670</v>
      </c>
      <c r="C4676" s="9" t="s">
        <v>5</v>
      </c>
      <c r="D4676" s="10">
        <v>3205.1669999999999</v>
      </c>
      <c r="E4676" s="10">
        <v>0</v>
      </c>
      <c r="F4676" t="str">
        <f>VLOOKUP(A4676,StoreLookup,2,FALSE)</f>
        <v>Store#3</v>
      </c>
      <c r="G4676">
        <f>INDEX(CalLookUpTable,MATCH($B4676,CalLookUpRow,0),MATCH(G$1,CalLookUpColumn,0))</f>
        <v>2019</v>
      </c>
      <c r="H4676">
        <f>INDEX(CalLookUpTable,MATCH($B4676,CalLookUpRow,0),MATCH(H$1,CalLookUpColumn,0))</f>
        <v>7</v>
      </c>
      <c r="I4676">
        <f>INDEX(CalLookUpTable,MATCH($B4676,CalLookUpRow,0),MATCH(I$1,CalLookUpColumn,0))</f>
        <v>4</v>
      </c>
    </row>
    <row r="4677" spans="1:9" x14ac:dyDescent="0.25">
      <c r="A4677" s="7">
        <v>3</v>
      </c>
      <c r="B4677" s="8">
        <v>43670</v>
      </c>
      <c r="C4677" s="9" t="s">
        <v>6</v>
      </c>
      <c r="D4677" s="10">
        <v>1415.8689999999999</v>
      </c>
      <c r="E4677" s="10">
        <v>0</v>
      </c>
      <c r="F4677" t="str">
        <f>VLOOKUP(A4677,StoreLookup,2,FALSE)</f>
        <v>Store#3</v>
      </c>
      <c r="G4677">
        <f>INDEX(CalLookUpTable,MATCH($B4677,CalLookUpRow,0),MATCH(G$1,CalLookUpColumn,0))</f>
        <v>2019</v>
      </c>
      <c r="H4677">
        <f>INDEX(CalLookUpTable,MATCH($B4677,CalLookUpRow,0),MATCH(H$1,CalLookUpColumn,0))</f>
        <v>7</v>
      </c>
      <c r="I4677">
        <f>INDEX(CalLookUpTable,MATCH($B4677,CalLookUpRow,0),MATCH(I$1,CalLookUpColumn,0))</f>
        <v>4</v>
      </c>
    </row>
    <row r="4678" spans="1:9" x14ac:dyDescent="0.25">
      <c r="A4678" s="7">
        <v>3</v>
      </c>
      <c r="B4678" s="8">
        <v>43671</v>
      </c>
      <c r="C4678" s="9" t="s">
        <v>5</v>
      </c>
      <c r="D4678" s="10">
        <v>3436.328</v>
      </c>
      <c r="E4678" s="10">
        <v>0</v>
      </c>
      <c r="F4678" t="str">
        <f>VLOOKUP(A4678,StoreLookup,2,FALSE)</f>
        <v>Store#3</v>
      </c>
      <c r="G4678">
        <f>INDEX(CalLookUpTable,MATCH($B4678,CalLookUpRow,0),MATCH(G$1,CalLookUpColumn,0))</f>
        <v>2019</v>
      </c>
      <c r="H4678">
        <f>INDEX(CalLookUpTable,MATCH($B4678,CalLookUpRow,0),MATCH(H$1,CalLookUpColumn,0))</f>
        <v>7</v>
      </c>
      <c r="I4678">
        <f>INDEX(CalLookUpTable,MATCH($B4678,CalLookUpRow,0),MATCH(I$1,CalLookUpColumn,0))</f>
        <v>4</v>
      </c>
    </row>
    <row r="4679" spans="1:9" x14ac:dyDescent="0.25">
      <c r="A4679" s="7">
        <v>3</v>
      </c>
      <c r="B4679" s="8">
        <v>43671</v>
      </c>
      <c r="C4679" s="9" t="s">
        <v>3</v>
      </c>
      <c r="D4679" s="10">
        <v>40.081999999999994</v>
      </c>
      <c r="E4679" s="10">
        <v>0</v>
      </c>
      <c r="F4679" t="str">
        <f>VLOOKUP(A4679,StoreLookup,2,FALSE)</f>
        <v>Store#3</v>
      </c>
      <c r="G4679">
        <f>INDEX(CalLookUpTable,MATCH($B4679,CalLookUpRow,0),MATCH(G$1,CalLookUpColumn,0))</f>
        <v>2019</v>
      </c>
      <c r="H4679">
        <f>INDEX(CalLookUpTable,MATCH($B4679,CalLookUpRow,0),MATCH(H$1,CalLookUpColumn,0))</f>
        <v>7</v>
      </c>
      <c r="I4679">
        <f>INDEX(CalLookUpTable,MATCH($B4679,CalLookUpRow,0),MATCH(I$1,CalLookUpColumn,0))</f>
        <v>4</v>
      </c>
    </row>
    <row r="4680" spans="1:9" x14ac:dyDescent="0.25">
      <c r="A4680" s="7">
        <v>3</v>
      </c>
      <c r="B4680" s="8">
        <v>43671</v>
      </c>
      <c r="C4680" s="9" t="s">
        <v>4</v>
      </c>
      <c r="D4680" s="10">
        <v>3280.067</v>
      </c>
      <c r="E4680" s="10">
        <v>0</v>
      </c>
      <c r="F4680" t="str">
        <f>VLOOKUP(A4680,StoreLookup,2,FALSE)</f>
        <v>Store#3</v>
      </c>
      <c r="G4680">
        <f>INDEX(CalLookUpTable,MATCH($B4680,CalLookUpRow,0),MATCH(G$1,CalLookUpColumn,0))</f>
        <v>2019</v>
      </c>
      <c r="H4680">
        <f>INDEX(CalLookUpTable,MATCH($B4680,CalLookUpRow,0),MATCH(H$1,CalLookUpColumn,0))</f>
        <v>7</v>
      </c>
      <c r="I4680">
        <f>INDEX(CalLookUpTable,MATCH($B4680,CalLookUpRow,0),MATCH(I$1,CalLookUpColumn,0))</f>
        <v>4</v>
      </c>
    </row>
    <row r="4681" spans="1:9" x14ac:dyDescent="0.25">
      <c r="A4681" s="7">
        <v>3</v>
      </c>
      <c r="B4681" s="8">
        <v>43671</v>
      </c>
      <c r="C4681" s="9" t="s">
        <v>6</v>
      </c>
      <c r="D4681" s="10">
        <v>800.83499999999992</v>
      </c>
      <c r="E4681" s="10">
        <v>0</v>
      </c>
      <c r="F4681" t="str">
        <f>VLOOKUP(A4681,StoreLookup,2,FALSE)</f>
        <v>Store#3</v>
      </c>
      <c r="G4681">
        <f>INDEX(CalLookUpTable,MATCH($B4681,CalLookUpRow,0),MATCH(G$1,CalLookUpColumn,0))</f>
        <v>2019</v>
      </c>
      <c r="H4681">
        <f>INDEX(CalLookUpTable,MATCH($B4681,CalLookUpRow,0),MATCH(H$1,CalLookUpColumn,0))</f>
        <v>7</v>
      </c>
      <c r="I4681">
        <f>INDEX(CalLookUpTable,MATCH($B4681,CalLookUpRow,0),MATCH(I$1,CalLookUpColumn,0))</f>
        <v>4</v>
      </c>
    </row>
    <row r="4682" spans="1:9" x14ac:dyDescent="0.25">
      <c r="A4682" s="7">
        <v>3</v>
      </c>
      <c r="B4682" s="8">
        <v>43672</v>
      </c>
      <c r="C4682" s="9" t="s">
        <v>5</v>
      </c>
      <c r="D4682" s="10">
        <v>3783.4299999999994</v>
      </c>
      <c r="E4682" s="10">
        <v>0</v>
      </c>
      <c r="F4682" t="str">
        <f>VLOOKUP(A4682,StoreLookup,2,FALSE)</f>
        <v>Store#3</v>
      </c>
      <c r="G4682">
        <f>INDEX(CalLookUpTable,MATCH($B4682,CalLookUpRow,0),MATCH(G$1,CalLookUpColumn,0))</f>
        <v>2019</v>
      </c>
      <c r="H4682">
        <f>INDEX(CalLookUpTable,MATCH($B4682,CalLookUpRow,0),MATCH(H$1,CalLookUpColumn,0))</f>
        <v>7</v>
      </c>
      <c r="I4682">
        <f>INDEX(CalLookUpTable,MATCH($B4682,CalLookUpRow,0),MATCH(I$1,CalLookUpColumn,0))</f>
        <v>4</v>
      </c>
    </row>
    <row r="4683" spans="1:9" x14ac:dyDescent="0.25">
      <c r="A4683" s="7">
        <v>3</v>
      </c>
      <c r="B4683" s="8">
        <v>43672</v>
      </c>
      <c r="C4683" s="9" t="s">
        <v>4</v>
      </c>
      <c r="D4683" s="10">
        <v>3755.3599999999997</v>
      </c>
      <c r="E4683" s="10">
        <v>0</v>
      </c>
      <c r="F4683" t="str">
        <f>VLOOKUP(A4683,StoreLookup,2,FALSE)</f>
        <v>Store#3</v>
      </c>
      <c r="G4683">
        <f>INDEX(CalLookUpTable,MATCH($B4683,CalLookUpRow,0),MATCH(G$1,CalLookUpColumn,0))</f>
        <v>2019</v>
      </c>
      <c r="H4683">
        <f>INDEX(CalLookUpTable,MATCH($B4683,CalLookUpRow,0),MATCH(H$1,CalLookUpColumn,0))</f>
        <v>7</v>
      </c>
      <c r="I4683">
        <f>INDEX(CalLookUpTable,MATCH($B4683,CalLookUpRow,0),MATCH(I$1,CalLookUpColumn,0))</f>
        <v>4</v>
      </c>
    </row>
    <row r="4684" spans="1:9" x14ac:dyDescent="0.25">
      <c r="A4684" s="7">
        <v>3</v>
      </c>
      <c r="B4684" s="8">
        <v>43672</v>
      </c>
      <c r="C4684" s="9" t="s">
        <v>6</v>
      </c>
      <c r="D4684" s="10">
        <v>983.38099999999986</v>
      </c>
      <c r="E4684" s="10">
        <v>0</v>
      </c>
      <c r="F4684" t="str">
        <f>VLOOKUP(A4684,StoreLookup,2,FALSE)</f>
        <v>Store#3</v>
      </c>
      <c r="G4684">
        <f>INDEX(CalLookUpTable,MATCH($B4684,CalLookUpRow,0),MATCH(G$1,CalLookUpColumn,0))</f>
        <v>2019</v>
      </c>
      <c r="H4684">
        <f>INDEX(CalLookUpTable,MATCH($B4684,CalLookUpRow,0),MATCH(H$1,CalLookUpColumn,0))</f>
        <v>7</v>
      </c>
      <c r="I4684">
        <f>INDEX(CalLookUpTable,MATCH($B4684,CalLookUpRow,0),MATCH(I$1,CalLookUpColumn,0))</f>
        <v>4</v>
      </c>
    </row>
    <row r="4685" spans="1:9" x14ac:dyDescent="0.25">
      <c r="A4685" s="7">
        <v>3</v>
      </c>
      <c r="B4685" s="8">
        <v>43672</v>
      </c>
      <c r="C4685" s="9" t="s">
        <v>3</v>
      </c>
      <c r="D4685" s="10">
        <v>26.145</v>
      </c>
      <c r="E4685" s="10">
        <v>0</v>
      </c>
      <c r="F4685" t="str">
        <f>VLOOKUP(A4685,StoreLookup,2,FALSE)</f>
        <v>Store#3</v>
      </c>
      <c r="G4685">
        <f>INDEX(CalLookUpTable,MATCH($B4685,CalLookUpRow,0),MATCH(G$1,CalLookUpColumn,0))</f>
        <v>2019</v>
      </c>
      <c r="H4685">
        <f>INDEX(CalLookUpTable,MATCH($B4685,CalLookUpRow,0),MATCH(H$1,CalLookUpColumn,0))</f>
        <v>7</v>
      </c>
      <c r="I4685">
        <f>INDEX(CalLookUpTable,MATCH($B4685,CalLookUpRow,0),MATCH(I$1,CalLookUpColumn,0))</f>
        <v>4</v>
      </c>
    </row>
    <row r="4686" spans="1:9" x14ac:dyDescent="0.25">
      <c r="A4686" s="7">
        <v>3</v>
      </c>
      <c r="B4686" s="8">
        <v>43673</v>
      </c>
      <c r="C4686" s="9" t="s">
        <v>3</v>
      </c>
      <c r="D4686" s="10">
        <v>37.981999999999999</v>
      </c>
      <c r="E4686" s="10">
        <v>0</v>
      </c>
      <c r="F4686" t="str">
        <f>VLOOKUP(A4686,StoreLookup,2,FALSE)</f>
        <v>Store#3</v>
      </c>
      <c r="G4686">
        <f>INDEX(CalLookUpTable,MATCH($B4686,CalLookUpRow,0),MATCH(G$1,CalLookUpColumn,0))</f>
        <v>2019</v>
      </c>
      <c r="H4686">
        <f>INDEX(CalLookUpTable,MATCH($B4686,CalLookUpRow,0),MATCH(H$1,CalLookUpColumn,0))</f>
        <v>7</v>
      </c>
      <c r="I4686">
        <f>INDEX(CalLookUpTable,MATCH($B4686,CalLookUpRow,0),MATCH(I$1,CalLookUpColumn,0))</f>
        <v>4</v>
      </c>
    </row>
    <row r="4687" spans="1:9" x14ac:dyDescent="0.25">
      <c r="A4687" s="7">
        <v>3</v>
      </c>
      <c r="B4687" s="8">
        <v>43673</v>
      </c>
      <c r="C4687" s="9" t="s">
        <v>4</v>
      </c>
      <c r="D4687" s="10">
        <v>3545.6959999999995</v>
      </c>
      <c r="E4687" s="10">
        <v>0</v>
      </c>
      <c r="F4687" t="str">
        <f>VLOOKUP(A4687,StoreLookup,2,FALSE)</f>
        <v>Store#3</v>
      </c>
      <c r="G4687">
        <f>INDEX(CalLookUpTable,MATCH($B4687,CalLookUpRow,0),MATCH(G$1,CalLookUpColumn,0))</f>
        <v>2019</v>
      </c>
      <c r="H4687">
        <f>INDEX(CalLookUpTable,MATCH($B4687,CalLookUpRow,0),MATCH(H$1,CalLookUpColumn,0))</f>
        <v>7</v>
      </c>
      <c r="I4687">
        <f>INDEX(CalLookUpTable,MATCH($B4687,CalLookUpRow,0),MATCH(I$1,CalLookUpColumn,0))</f>
        <v>4</v>
      </c>
    </row>
    <row r="4688" spans="1:9" x14ac:dyDescent="0.25">
      <c r="A4688" s="7">
        <v>3</v>
      </c>
      <c r="B4688" s="8">
        <v>43673</v>
      </c>
      <c r="C4688" s="9" t="s">
        <v>6</v>
      </c>
      <c r="D4688" s="10">
        <v>861.91699999999992</v>
      </c>
      <c r="E4688" s="10">
        <v>0</v>
      </c>
      <c r="F4688" t="str">
        <f>VLOOKUP(A4688,StoreLookup,2,FALSE)</f>
        <v>Store#3</v>
      </c>
      <c r="G4688">
        <f>INDEX(CalLookUpTable,MATCH($B4688,CalLookUpRow,0),MATCH(G$1,CalLookUpColumn,0))</f>
        <v>2019</v>
      </c>
      <c r="H4688">
        <f>INDEX(CalLookUpTable,MATCH($B4688,CalLookUpRow,0),MATCH(H$1,CalLookUpColumn,0))</f>
        <v>7</v>
      </c>
      <c r="I4688">
        <f>INDEX(CalLookUpTable,MATCH($B4688,CalLookUpRow,0),MATCH(I$1,CalLookUpColumn,0))</f>
        <v>4</v>
      </c>
    </row>
    <row r="4689" spans="1:9" x14ac:dyDescent="0.25">
      <c r="A4689" s="7">
        <v>3</v>
      </c>
      <c r="B4689" s="8">
        <v>43673</v>
      </c>
      <c r="C4689" s="9" t="s">
        <v>5</v>
      </c>
      <c r="D4689" s="10">
        <v>3202.9339999999997</v>
      </c>
      <c r="E4689" s="10">
        <v>0</v>
      </c>
      <c r="F4689" t="str">
        <f>VLOOKUP(A4689,StoreLookup,2,FALSE)</f>
        <v>Store#3</v>
      </c>
      <c r="G4689">
        <f>INDEX(CalLookUpTable,MATCH($B4689,CalLookUpRow,0),MATCH(G$1,CalLookUpColumn,0))</f>
        <v>2019</v>
      </c>
      <c r="H4689">
        <f>INDEX(CalLookUpTable,MATCH($B4689,CalLookUpRow,0),MATCH(H$1,CalLookUpColumn,0))</f>
        <v>7</v>
      </c>
      <c r="I4689">
        <f>INDEX(CalLookUpTable,MATCH($B4689,CalLookUpRow,0),MATCH(I$1,CalLookUpColumn,0))</f>
        <v>4</v>
      </c>
    </row>
    <row r="4690" spans="1:9" x14ac:dyDescent="0.25">
      <c r="A4690" s="7">
        <v>3</v>
      </c>
      <c r="B4690" s="8">
        <v>43674</v>
      </c>
      <c r="C4690" s="9" t="s">
        <v>3</v>
      </c>
      <c r="D4690" s="10">
        <v>0</v>
      </c>
      <c r="E4690" s="10">
        <v>0</v>
      </c>
      <c r="F4690" t="str">
        <f>VLOOKUP(A4690,StoreLookup,2,FALSE)</f>
        <v>Store#3</v>
      </c>
      <c r="G4690">
        <f>INDEX(CalLookUpTable,MATCH($B4690,CalLookUpRow,0),MATCH(G$1,CalLookUpColumn,0))</f>
        <v>2019</v>
      </c>
      <c r="H4690">
        <f>INDEX(CalLookUpTable,MATCH($B4690,CalLookUpRow,0),MATCH(H$1,CalLookUpColumn,0))</f>
        <v>7</v>
      </c>
      <c r="I4690">
        <f>INDEX(CalLookUpTable,MATCH($B4690,CalLookUpRow,0),MATCH(I$1,CalLookUpColumn,0))</f>
        <v>4</v>
      </c>
    </row>
    <row r="4691" spans="1:9" x14ac:dyDescent="0.25">
      <c r="A4691" s="7">
        <v>3</v>
      </c>
      <c r="B4691" s="8">
        <v>43674</v>
      </c>
      <c r="C4691" s="9" t="s">
        <v>6</v>
      </c>
      <c r="D4691" s="10">
        <v>733.96399999999994</v>
      </c>
      <c r="E4691" s="10">
        <v>0</v>
      </c>
      <c r="F4691" t="str">
        <f>VLOOKUP(A4691,StoreLookup,2,FALSE)</f>
        <v>Store#3</v>
      </c>
      <c r="G4691">
        <f>INDEX(CalLookUpTable,MATCH($B4691,CalLookUpRow,0),MATCH(G$1,CalLookUpColumn,0))</f>
        <v>2019</v>
      </c>
      <c r="H4691">
        <f>INDEX(CalLookUpTable,MATCH($B4691,CalLookUpRow,0),MATCH(H$1,CalLookUpColumn,0))</f>
        <v>7</v>
      </c>
      <c r="I4691">
        <f>INDEX(CalLookUpTable,MATCH($B4691,CalLookUpRow,0),MATCH(I$1,CalLookUpColumn,0))</f>
        <v>4</v>
      </c>
    </row>
    <row r="4692" spans="1:9" x14ac:dyDescent="0.25">
      <c r="A4692" s="7">
        <v>3</v>
      </c>
      <c r="B4692" s="8">
        <v>43674</v>
      </c>
      <c r="C4692" s="9" t="s">
        <v>4</v>
      </c>
      <c r="D4692" s="10">
        <v>3397.8209999999995</v>
      </c>
      <c r="E4692" s="10">
        <v>0</v>
      </c>
      <c r="F4692" t="str">
        <f>VLOOKUP(A4692,StoreLookup,2,FALSE)</f>
        <v>Store#3</v>
      </c>
      <c r="G4692">
        <f>INDEX(CalLookUpTable,MATCH($B4692,CalLookUpRow,0),MATCH(G$1,CalLookUpColumn,0))</f>
        <v>2019</v>
      </c>
      <c r="H4692">
        <f>INDEX(CalLookUpTable,MATCH($B4692,CalLookUpRow,0),MATCH(H$1,CalLookUpColumn,0))</f>
        <v>7</v>
      </c>
      <c r="I4692">
        <f>INDEX(CalLookUpTable,MATCH($B4692,CalLookUpRow,0),MATCH(I$1,CalLookUpColumn,0))</f>
        <v>4</v>
      </c>
    </row>
    <row r="4693" spans="1:9" x14ac:dyDescent="0.25">
      <c r="A4693" s="7">
        <v>3</v>
      </c>
      <c r="B4693" s="8">
        <v>43674</v>
      </c>
      <c r="C4693" s="9" t="s">
        <v>5</v>
      </c>
      <c r="D4693" s="10">
        <v>2977.1839999999997</v>
      </c>
      <c r="E4693" s="10">
        <v>0</v>
      </c>
      <c r="F4693" t="str">
        <f>VLOOKUP(A4693,StoreLookup,2,FALSE)</f>
        <v>Store#3</v>
      </c>
      <c r="G4693">
        <f>INDEX(CalLookUpTable,MATCH($B4693,CalLookUpRow,0),MATCH(G$1,CalLookUpColumn,0))</f>
        <v>2019</v>
      </c>
      <c r="H4693">
        <f>INDEX(CalLookUpTable,MATCH($B4693,CalLookUpRow,0),MATCH(H$1,CalLookUpColumn,0))</f>
        <v>7</v>
      </c>
      <c r="I4693">
        <f>INDEX(CalLookUpTable,MATCH($B4693,CalLookUpRow,0),MATCH(I$1,CalLookUpColumn,0))</f>
        <v>4</v>
      </c>
    </row>
    <row r="4694" spans="1:9" x14ac:dyDescent="0.25">
      <c r="A4694" s="7">
        <v>3</v>
      </c>
      <c r="B4694" s="8">
        <v>43675</v>
      </c>
      <c r="C4694" s="9" t="s">
        <v>3</v>
      </c>
      <c r="D4694" s="10">
        <v>0</v>
      </c>
      <c r="E4694" s="10">
        <v>0</v>
      </c>
      <c r="F4694" t="str">
        <f>VLOOKUP(A4694,StoreLookup,2,FALSE)</f>
        <v>Store#3</v>
      </c>
      <c r="G4694">
        <f>INDEX(CalLookUpTable,MATCH($B4694,CalLookUpRow,0),MATCH(G$1,CalLookUpColumn,0))</f>
        <v>2019</v>
      </c>
      <c r="H4694">
        <f>INDEX(CalLookUpTable,MATCH($B4694,CalLookUpRow,0),MATCH(H$1,CalLookUpColumn,0))</f>
        <v>8</v>
      </c>
      <c r="I4694">
        <f>INDEX(CalLookUpTable,MATCH($B4694,CalLookUpRow,0),MATCH(I$1,CalLookUpColumn,0))</f>
        <v>1</v>
      </c>
    </row>
    <row r="4695" spans="1:9" x14ac:dyDescent="0.25">
      <c r="A4695" s="7">
        <v>3</v>
      </c>
      <c r="B4695" s="8">
        <v>43675</v>
      </c>
      <c r="C4695" s="9" t="s">
        <v>4</v>
      </c>
      <c r="D4695" s="10">
        <v>3782.8769999999995</v>
      </c>
      <c r="E4695" s="10">
        <v>0</v>
      </c>
      <c r="F4695" t="str">
        <f>VLOOKUP(A4695,StoreLookup,2,FALSE)</f>
        <v>Store#3</v>
      </c>
      <c r="G4695">
        <f>INDEX(CalLookUpTable,MATCH($B4695,CalLookUpRow,0),MATCH(G$1,CalLookUpColumn,0))</f>
        <v>2019</v>
      </c>
      <c r="H4695">
        <f>INDEX(CalLookUpTable,MATCH($B4695,CalLookUpRow,0),MATCH(H$1,CalLookUpColumn,0))</f>
        <v>8</v>
      </c>
      <c r="I4695">
        <f>INDEX(CalLookUpTable,MATCH($B4695,CalLookUpRow,0),MATCH(I$1,CalLookUpColumn,0))</f>
        <v>1</v>
      </c>
    </row>
    <row r="4696" spans="1:9" x14ac:dyDescent="0.25">
      <c r="A4696" s="7">
        <v>3</v>
      </c>
      <c r="B4696" s="8">
        <v>43675</v>
      </c>
      <c r="C4696" s="9" t="s">
        <v>5</v>
      </c>
      <c r="D4696" s="10">
        <v>3300.8989999999994</v>
      </c>
      <c r="E4696" s="10">
        <v>0</v>
      </c>
      <c r="F4696" t="str">
        <f>VLOOKUP(A4696,StoreLookup,2,FALSE)</f>
        <v>Store#3</v>
      </c>
      <c r="G4696">
        <f>INDEX(CalLookUpTable,MATCH($B4696,CalLookUpRow,0),MATCH(G$1,CalLookUpColumn,0))</f>
        <v>2019</v>
      </c>
      <c r="H4696">
        <f>INDEX(CalLookUpTable,MATCH($B4696,CalLookUpRow,0),MATCH(H$1,CalLookUpColumn,0))</f>
        <v>8</v>
      </c>
      <c r="I4696">
        <f>INDEX(CalLookUpTable,MATCH($B4696,CalLookUpRow,0),MATCH(I$1,CalLookUpColumn,0))</f>
        <v>1</v>
      </c>
    </row>
    <row r="4697" spans="1:9" x14ac:dyDescent="0.25">
      <c r="A4697" s="7">
        <v>3</v>
      </c>
      <c r="B4697" s="8">
        <v>43675</v>
      </c>
      <c r="C4697" s="9" t="s">
        <v>6</v>
      </c>
      <c r="D4697" s="10">
        <v>486.31099999999998</v>
      </c>
      <c r="E4697" s="10">
        <v>0</v>
      </c>
      <c r="F4697" t="str">
        <f>VLOOKUP(A4697,StoreLookup,2,FALSE)</f>
        <v>Store#3</v>
      </c>
      <c r="G4697">
        <f>INDEX(CalLookUpTable,MATCH($B4697,CalLookUpRow,0),MATCH(G$1,CalLookUpColumn,0))</f>
        <v>2019</v>
      </c>
      <c r="H4697">
        <f>INDEX(CalLookUpTable,MATCH($B4697,CalLookUpRow,0),MATCH(H$1,CalLookUpColumn,0))</f>
        <v>8</v>
      </c>
      <c r="I4697">
        <f>INDEX(CalLookUpTable,MATCH($B4697,CalLookUpRow,0),MATCH(I$1,CalLookUpColumn,0))</f>
        <v>1</v>
      </c>
    </row>
    <row r="4698" spans="1:9" x14ac:dyDescent="0.25">
      <c r="A4698" s="7">
        <v>3</v>
      </c>
      <c r="B4698" s="8">
        <v>43676</v>
      </c>
      <c r="C4698" s="9" t="s">
        <v>6</v>
      </c>
      <c r="D4698" s="10">
        <v>558.72599999999989</v>
      </c>
      <c r="E4698" s="10">
        <v>0</v>
      </c>
      <c r="F4698" t="str">
        <f>VLOOKUP(A4698,StoreLookup,2,FALSE)</f>
        <v>Store#3</v>
      </c>
      <c r="G4698">
        <f>INDEX(CalLookUpTable,MATCH($B4698,CalLookUpRow,0),MATCH(G$1,CalLookUpColumn,0))</f>
        <v>2019</v>
      </c>
      <c r="H4698">
        <f>INDEX(CalLookUpTable,MATCH($B4698,CalLookUpRow,0),MATCH(H$1,CalLookUpColumn,0))</f>
        <v>8</v>
      </c>
      <c r="I4698">
        <f>INDEX(CalLookUpTable,MATCH($B4698,CalLookUpRow,0),MATCH(I$1,CalLookUpColumn,0))</f>
        <v>1</v>
      </c>
    </row>
    <row r="4699" spans="1:9" x14ac:dyDescent="0.25">
      <c r="A4699" s="7">
        <v>3</v>
      </c>
      <c r="B4699" s="8">
        <v>43676</v>
      </c>
      <c r="C4699" s="9" t="s">
        <v>4</v>
      </c>
      <c r="D4699" s="10">
        <v>3372.6</v>
      </c>
      <c r="E4699" s="10">
        <v>0</v>
      </c>
      <c r="F4699" t="str">
        <f>VLOOKUP(A4699,StoreLookup,2,FALSE)</f>
        <v>Store#3</v>
      </c>
      <c r="G4699">
        <f>INDEX(CalLookUpTable,MATCH($B4699,CalLookUpRow,0),MATCH(G$1,CalLookUpColumn,0))</f>
        <v>2019</v>
      </c>
      <c r="H4699">
        <f>INDEX(CalLookUpTable,MATCH($B4699,CalLookUpRow,0),MATCH(H$1,CalLookUpColumn,0))</f>
        <v>8</v>
      </c>
      <c r="I4699">
        <f>INDEX(CalLookUpTable,MATCH($B4699,CalLookUpRow,0),MATCH(I$1,CalLookUpColumn,0))</f>
        <v>1</v>
      </c>
    </row>
    <row r="4700" spans="1:9" x14ac:dyDescent="0.25">
      <c r="A4700" s="7">
        <v>3</v>
      </c>
      <c r="B4700" s="8">
        <v>43676</v>
      </c>
      <c r="C4700" s="9" t="s">
        <v>5</v>
      </c>
      <c r="D4700" s="10">
        <v>3207.1269999999995</v>
      </c>
      <c r="E4700" s="10">
        <v>0</v>
      </c>
      <c r="F4700" t="str">
        <f>VLOOKUP(A4700,StoreLookup,2,FALSE)</f>
        <v>Store#3</v>
      </c>
      <c r="G4700">
        <f>INDEX(CalLookUpTable,MATCH($B4700,CalLookUpRow,0),MATCH(G$1,CalLookUpColumn,0))</f>
        <v>2019</v>
      </c>
      <c r="H4700">
        <f>INDEX(CalLookUpTable,MATCH($B4700,CalLookUpRow,0),MATCH(H$1,CalLookUpColumn,0))</f>
        <v>8</v>
      </c>
      <c r="I4700">
        <f>INDEX(CalLookUpTable,MATCH($B4700,CalLookUpRow,0),MATCH(I$1,CalLookUpColumn,0))</f>
        <v>1</v>
      </c>
    </row>
    <row r="4701" spans="1:9" x14ac:dyDescent="0.25">
      <c r="A4701" s="7">
        <v>3</v>
      </c>
      <c r="B4701" s="8">
        <v>43676</v>
      </c>
      <c r="C4701" s="9" t="s">
        <v>3</v>
      </c>
      <c r="D4701" s="10">
        <v>0</v>
      </c>
      <c r="E4701" s="10">
        <v>0</v>
      </c>
      <c r="F4701" t="str">
        <f>VLOOKUP(A4701,StoreLookup,2,FALSE)</f>
        <v>Store#3</v>
      </c>
      <c r="G4701">
        <f>INDEX(CalLookUpTable,MATCH($B4701,CalLookUpRow,0),MATCH(G$1,CalLookUpColumn,0))</f>
        <v>2019</v>
      </c>
      <c r="H4701">
        <f>INDEX(CalLookUpTable,MATCH($B4701,CalLookUpRow,0),MATCH(H$1,CalLookUpColumn,0))</f>
        <v>8</v>
      </c>
      <c r="I4701">
        <f>INDEX(CalLookUpTable,MATCH($B4701,CalLookUpRow,0),MATCH(I$1,CalLookUpColumn,0))</f>
        <v>1</v>
      </c>
    </row>
    <row r="4702" spans="1:9" x14ac:dyDescent="0.25">
      <c r="A4702" s="7">
        <v>3</v>
      </c>
      <c r="B4702" s="8">
        <v>43677</v>
      </c>
      <c r="C4702" s="9" t="s">
        <v>3</v>
      </c>
      <c r="D4702" s="10">
        <v>43.372</v>
      </c>
      <c r="E4702" s="10">
        <v>0</v>
      </c>
      <c r="F4702" t="str">
        <f>VLOOKUP(A4702,StoreLookup,2,FALSE)</f>
        <v>Store#3</v>
      </c>
      <c r="G4702">
        <f>INDEX(CalLookUpTable,MATCH($B4702,CalLookUpRow,0),MATCH(G$1,CalLookUpColumn,0))</f>
        <v>2019</v>
      </c>
      <c r="H4702">
        <f>INDEX(CalLookUpTable,MATCH($B4702,CalLookUpRow,0),MATCH(H$1,CalLookUpColumn,0))</f>
        <v>8</v>
      </c>
      <c r="I4702">
        <f>INDEX(CalLookUpTable,MATCH($B4702,CalLookUpRow,0),MATCH(I$1,CalLookUpColumn,0))</f>
        <v>1</v>
      </c>
    </row>
    <row r="4703" spans="1:9" x14ac:dyDescent="0.25">
      <c r="A4703" s="7">
        <v>3</v>
      </c>
      <c r="B4703" s="8">
        <v>43677</v>
      </c>
      <c r="C4703" s="9" t="s">
        <v>6</v>
      </c>
      <c r="D4703" s="10">
        <v>793.07899999999995</v>
      </c>
      <c r="E4703" s="10">
        <v>0</v>
      </c>
      <c r="F4703" t="str">
        <f>VLOOKUP(A4703,StoreLookup,2,FALSE)</f>
        <v>Store#3</v>
      </c>
      <c r="G4703">
        <f>INDEX(CalLookUpTable,MATCH($B4703,CalLookUpRow,0),MATCH(G$1,CalLookUpColumn,0))</f>
        <v>2019</v>
      </c>
      <c r="H4703">
        <f>INDEX(CalLookUpTable,MATCH($B4703,CalLookUpRow,0),MATCH(H$1,CalLookUpColumn,0))</f>
        <v>8</v>
      </c>
      <c r="I4703">
        <f>INDEX(CalLookUpTable,MATCH($B4703,CalLookUpRow,0),MATCH(I$1,CalLookUpColumn,0))</f>
        <v>1</v>
      </c>
    </row>
    <row r="4704" spans="1:9" x14ac:dyDescent="0.25">
      <c r="A4704" s="7">
        <v>3</v>
      </c>
      <c r="B4704" s="8">
        <v>43677</v>
      </c>
      <c r="C4704" s="9" t="s">
        <v>5</v>
      </c>
      <c r="D4704" s="10">
        <v>3301.5920000000001</v>
      </c>
      <c r="E4704" s="10">
        <v>0</v>
      </c>
      <c r="F4704" t="str">
        <f>VLOOKUP(A4704,StoreLookup,2,FALSE)</f>
        <v>Store#3</v>
      </c>
      <c r="G4704">
        <f>INDEX(CalLookUpTable,MATCH($B4704,CalLookUpRow,0),MATCH(G$1,CalLookUpColumn,0))</f>
        <v>2019</v>
      </c>
      <c r="H4704">
        <f>INDEX(CalLookUpTable,MATCH($B4704,CalLookUpRow,0),MATCH(H$1,CalLookUpColumn,0))</f>
        <v>8</v>
      </c>
      <c r="I4704">
        <f>INDEX(CalLookUpTable,MATCH($B4704,CalLookUpRow,0),MATCH(I$1,CalLookUpColumn,0))</f>
        <v>1</v>
      </c>
    </row>
    <row r="4705" spans="1:9" x14ac:dyDescent="0.25">
      <c r="A4705" s="7">
        <v>3</v>
      </c>
      <c r="B4705" s="8">
        <v>43677</v>
      </c>
      <c r="C4705" s="9" t="s">
        <v>4</v>
      </c>
      <c r="D4705" s="10">
        <v>3710.7420000000002</v>
      </c>
      <c r="E4705" s="10">
        <v>0</v>
      </c>
      <c r="F4705" t="str">
        <f>VLOOKUP(A4705,StoreLookup,2,FALSE)</f>
        <v>Store#3</v>
      </c>
      <c r="G4705">
        <f>INDEX(CalLookUpTable,MATCH($B4705,CalLookUpRow,0),MATCH(G$1,CalLookUpColumn,0))</f>
        <v>2019</v>
      </c>
      <c r="H4705">
        <f>INDEX(CalLookUpTable,MATCH($B4705,CalLookUpRow,0),MATCH(H$1,CalLookUpColumn,0))</f>
        <v>8</v>
      </c>
      <c r="I4705">
        <f>INDEX(CalLookUpTable,MATCH($B4705,CalLookUpRow,0),MATCH(I$1,CalLookUpColumn,0))</f>
        <v>1</v>
      </c>
    </row>
    <row r="4706" spans="1:9" x14ac:dyDescent="0.25">
      <c r="A4706" s="7">
        <v>3</v>
      </c>
      <c r="B4706" s="8">
        <v>43678</v>
      </c>
      <c r="C4706" s="9" t="s">
        <v>5</v>
      </c>
      <c r="D4706" s="10">
        <v>3383.4290000000001</v>
      </c>
      <c r="E4706" s="10">
        <v>0</v>
      </c>
      <c r="F4706" t="str">
        <f>VLOOKUP(A4706,StoreLookup,2,FALSE)</f>
        <v>Store#3</v>
      </c>
      <c r="G4706">
        <f>INDEX(CalLookUpTable,MATCH($B4706,CalLookUpRow,0),MATCH(G$1,CalLookUpColumn,0))</f>
        <v>2019</v>
      </c>
      <c r="H4706">
        <f>INDEX(CalLookUpTable,MATCH($B4706,CalLookUpRow,0),MATCH(H$1,CalLookUpColumn,0))</f>
        <v>8</v>
      </c>
      <c r="I4706">
        <f>INDEX(CalLookUpTable,MATCH($B4706,CalLookUpRow,0),MATCH(I$1,CalLookUpColumn,0))</f>
        <v>1</v>
      </c>
    </row>
    <row r="4707" spans="1:9" x14ac:dyDescent="0.25">
      <c r="A4707" s="7">
        <v>3</v>
      </c>
      <c r="B4707" s="8">
        <v>43678</v>
      </c>
      <c r="C4707" s="9" t="s">
        <v>3</v>
      </c>
      <c r="D4707" s="10">
        <v>0</v>
      </c>
      <c r="E4707" s="10">
        <v>0</v>
      </c>
      <c r="F4707" t="str">
        <f>VLOOKUP(A4707,StoreLookup,2,FALSE)</f>
        <v>Store#3</v>
      </c>
      <c r="G4707">
        <f>INDEX(CalLookUpTable,MATCH($B4707,CalLookUpRow,0),MATCH(G$1,CalLookUpColumn,0))</f>
        <v>2019</v>
      </c>
      <c r="H4707">
        <f>INDEX(CalLookUpTable,MATCH($B4707,CalLookUpRow,0),MATCH(H$1,CalLookUpColumn,0))</f>
        <v>8</v>
      </c>
      <c r="I4707">
        <f>INDEX(CalLookUpTable,MATCH($B4707,CalLookUpRow,0),MATCH(I$1,CalLookUpColumn,0))</f>
        <v>1</v>
      </c>
    </row>
    <row r="4708" spans="1:9" x14ac:dyDescent="0.25">
      <c r="A4708" s="7">
        <v>3</v>
      </c>
      <c r="B4708" s="8">
        <v>43678</v>
      </c>
      <c r="C4708" s="9" t="s">
        <v>4</v>
      </c>
      <c r="D4708" s="10">
        <v>3508.3019999999997</v>
      </c>
      <c r="E4708" s="10">
        <v>0</v>
      </c>
      <c r="F4708" t="str">
        <f>VLOOKUP(A4708,StoreLookup,2,FALSE)</f>
        <v>Store#3</v>
      </c>
      <c r="G4708">
        <f>INDEX(CalLookUpTable,MATCH($B4708,CalLookUpRow,0),MATCH(G$1,CalLookUpColumn,0))</f>
        <v>2019</v>
      </c>
      <c r="H4708">
        <f>INDEX(CalLookUpTable,MATCH($B4708,CalLookUpRow,0),MATCH(H$1,CalLookUpColumn,0))</f>
        <v>8</v>
      </c>
      <c r="I4708">
        <f>INDEX(CalLookUpTable,MATCH($B4708,CalLookUpRow,0),MATCH(I$1,CalLookUpColumn,0))</f>
        <v>1</v>
      </c>
    </row>
    <row r="4709" spans="1:9" x14ac:dyDescent="0.25">
      <c r="A4709" s="7">
        <v>3</v>
      </c>
      <c r="B4709" s="8">
        <v>43678</v>
      </c>
      <c r="C4709" s="9" t="s">
        <v>6</v>
      </c>
      <c r="D4709" s="10">
        <v>721.30100000000004</v>
      </c>
      <c r="E4709" s="10">
        <v>0</v>
      </c>
      <c r="F4709" t="str">
        <f>VLOOKUP(A4709,StoreLookup,2,FALSE)</f>
        <v>Store#3</v>
      </c>
      <c r="G4709">
        <f>INDEX(CalLookUpTable,MATCH($B4709,CalLookUpRow,0),MATCH(G$1,CalLookUpColumn,0))</f>
        <v>2019</v>
      </c>
      <c r="H4709">
        <f>INDEX(CalLookUpTable,MATCH($B4709,CalLookUpRow,0),MATCH(H$1,CalLookUpColumn,0))</f>
        <v>8</v>
      </c>
      <c r="I4709">
        <f>INDEX(CalLookUpTable,MATCH($B4709,CalLookUpRow,0),MATCH(I$1,CalLookUpColumn,0))</f>
        <v>1</v>
      </c>
    </row>
    <row r="4710" spans="1:9" x14ac:dyDescent="0.25">
      <c r="A4710" s="7">
        <v>3</v>
      </c>
      <c r="B4710" s="8">
        <v>43679</v>
      </c>
      <c r="C4710" s="9" t="s">
        <v>5</v>
      </c>
      <c r="D4710" s="10">
        <v>3382.0569999999998</v>
      </c>
      <c r="E4710" s="10">
        <v>0</v>
      </c>
      <c r="F4710" t="str">
        <f>VLOOKUP(A4710,StoreLookup,2,FALSE)</f>
        <v>Store#3</v>
      </c>
      <c r="G4710">
        <f>INDEX(CalLookUpTable,MATCH($B4710,CalLookUpRow,0),MATCH(G$1,CalLookUpColumn,0))</f>
        <v>2019</v>
      </c>
      <c r="H4710">
        <f>INDEX(CalLookUpTable,MATCH($B4710,CalLookUpRow,0),MATCH(H$1,CalLookUpColumn,0))</f>
        <v>8</v>
      </c>
      <c r="I4710">
        <f>INDEX(CalLookUpTable,MATCH($B4710,CalLookUpRow,0),MATCH(I$1,CalLookUpColumn,0))</f>
        <v>1</v>
      </c>
    </row>
    <row r="4711" spans="1:9" x14ac:dyDescent="0.25">
      <c r="A4711" s="7">
        <v>3</v>
      </c>
      <c r="B4711" s="8">
        <v>43679</v>
      </c>
      <c r="C4711" s="9" t="s">
        <v>6</v>
      </c>
      <c r="D4711" s="10">
        <v>1106.2729999999999</v>
      </c>
      <c r="E4711" s="10">
        <v>0</v>
      </c>
      <c r="F4711" t="str">
        <f>VLOOKUP(A4711,StoreLookup,2,FALSE)</f>
        <v>Store#3</v>
      </c>
      <c r="G4711">
        <f>INDEX(CalLookUpTable,MATCH($B4711,CalLookUpRow,0),MATCH(G$1,CalLookUpColumn,0))</f>
        <v>2019</v>
      </c>
      <c r="H4711">
        <f>INDEX(CalLookUpTable,MATCH($B4711,CalLookUpRow,0),MATCH(H$1,CalLookUpColumn,0))</f>
        <v>8</v>
      </c>
      <c r="I4711">
        <f>INDEX(CalLookUpTable,MATCH($B4711,CalLookUpRow,0),MATCH(I$1,CalLookUpColumn,0))</f>
        <v>1</v>
      </c>
    </row>
    <row r="4712" spans="1:9" x14ac:dyDescent="0.25">
      <c r="A4712" s="7">
        <v>3</v>
      </c>
      <c r="B4712" s="8">
        <v>43679</v>
      </c>
      <c r="C4712" s="9" t="s">
        <v>4</v>
      </c>
      <c r="D4712" s="10">
        <v>3777.0879999999997</v>
      </c>
      <c r="E4712" s="10">
        <v>0</v>
      </c>
      <c r="F4712" t="str">
        <f>VLOOKUP(A4712,StoreLookup,2,FALSE)</f>
        <v>Store#3</v>
      </c>
      <c r="G4712">
        <f>INDEX(CalLookUpTable,MATCH($B4712,CalLookUpRow,0),MATCH(G$1,CalLookUpColumn,0))</f>
        <v>2019</v>
      </c>
      <c r="H4712">
        <f>INDEX(CalLookUpTable,MATCH($B4712,CalLookUpRow,0),MATCH(H$1,CalLookUpColumn,0))</f>
        <v>8</v>
      </c>
      <c r="I4712">
        <f>INDEX(CalLookUpTable,MATCH($B4712,CalLookUpRow,0),MATCH(I$1,CalLookUpColumn,0))</f>
        <v>1</v>
      </c>
    </row>
    <row r="4713" spans="1:9" x14ac:dyDescent="0.25">
      <c r="A4713" s="7">
        <v>3</v>
      </c>
      <c r="B4713" s="8">
        <v>43679</v>
      </c>
      <c r="C4713" s="9" t="s">
        <v>3</v>
      </c>
      <c r="D4713" s="10">
        <v>0</v>
      </c>
      <c r="E4713" s="10">
        <v>0</v>
      </c>
      <c r="F4713" t="str">
        <f>VLOOKUP(A4713,StoreLookup,2,FALSE)</f>
        <v>Store#3</v>
      </c>
      <c r="G4713">
        <f>INDEX(CalLookUpTable,MATCH($B4713,CalLookUpRow,0),MATCH(G$1,CalLookUpColumn,0))</f>
        <v>2019</v>
      </c>
      <c r="H4713">
        <f>INDEX(CalLookUpTable,MATCH($B4713,CalLookUpRow,0),MATCH(H$1,CalLookUpColumn,0))</f>
        <v>8</v>
      </c>
      <c r="I4713">
        <f>INDEX(CalLookUpTable,MATCH($B4713,CalLookUpRow,0),MATCH(I$1,CalLookUpColumn,0))</f>
        <v>1</v>
      </c>
    </row>
    <row r="4714" spans="1:9" x14ac:dyDescent="0.25">
      <c r="A4714" s="7">
        <v>3</v>
      </c>
      <c r="B4714" s="8">
        <v>43680</v>
      </c>
      <c r="C4714" s="9" t="s">
        <v>6</v>
      </c>
      <c r="D4714" s="10">
        <v>697.11599999999999</v>
      </c>
      <c r="E4714" s="10">
        <v>0</v>
      </c>
      <c r="F4714" t="str">
        <f>VLOOKUP(A4714,StoreLookup,2,FALSE)</f>
        <v>Store#3</v>
      </c>
      <c r="G4714">
        <f>INDEX(CalLookUpTable,MATCH($B4714,CalLookUpRow,0),MATCH(G$1,CalLookUpColumn,0))</f>
        <v>2019</v>
      </c>
      <c r="H4714">
        <f>INDEX(CalLookUpTable,MATCH($B4714,CalLookUpRow,0),MATCH(H$1,CalLookUpColumn,0))</f>
        <v>8</v>
      </c>
      <c r="I4714">
        <f>INDEX(CalLookUpTable,MATCH($B4714,CalLookUpRow,0),MATCH(I$1,CalLookUpColumn,0))</f>
        <v>1</v>
      </c>
    </row>
    <row r="4715" spans="1:9" x14ac:dyDescent="0.25">
      <c r="A4715" s="7">
        <v>3</v>
      </c>
      <c r="B4715" s="8">
        <v>43680</v>
      </c>
      <c r="C4715" s="9" t="s">
        <v>4</v>
      </c>
      <c r="D4715" s="10">
        <v>3447.5070000000001</v>
      </c>
      <c r="E4715" s="10">
        <v>0</v>
      </c>
      <c r="F4715" t="str">
        <f>VLOOKUP(A4715,StoreLookup,2,FALSE)</f>
        <v>Store#3</v>
      </c>
      <c r="G4715">
        <f>INDEX(CalLookUpTable,MATCH($B4715,CalLookUpRow,0),MATCH(G$1,CalLookUpColumn,0))</f>
        <v>2019</v>
      </c>
      <c r="H4715">
        <f>INDEX(CalLookUpTable,MATCH($B4715,CalLookUpRow,0),MATCH(H$1,CalLookUpColumn,0))</f>
        <v>8</v>
      </c>
      <c r="I4715">
        <f>INDEX(CalLookUpTable,MATCH($B4715,CalLookUpRow,0),MATCH(I$1,CalLookUpColumn,0))</f>
        <v>1</v>
      </c>
    </row>
    <row r="4716" spans="1:9" x14ac:dyDescent="0.25">
      <c r="A4716" s="7">
        <v>3</v>
      </c>
      <c r="B4716" s="8">
        <v>43680</v>
      </c>
      <c r="C4716" s="9" t="s">
        <v>5</v>
      </c>
      <c r="D4716" s="10">
        <v>3425.8839999999996</v>
      </c>
      <c r="E4716" s="10">
        <v>0</v>
      </c>
      <c r="F4716" t="str">
        <f>VLOOKUP(A4716,StoreLookup,2,FALSE)</f>
        <v>Store#3</v>
      </c>
      <c r="G4716">
        <f>INDEX(CalLookUpTable,MATCH($B4716,CalLookUpRow,0),MATCH(G$1,CalLookUpColumn,0))</f>
        <v>2019</v>
      </c>
      <c r="H4716">
        <f>INDEX(CalLookUpTable,MATCH($B4716,CalLookUpRow,0),MATCH(H$1,CalLookUpColumn,0))</f>
        <v>8</v>
      </c>
      <c r="I4716">
        <f>INDEX(CalLookUpTable,MATCH($B4716,CalLookUpRow,0),MATCH(I$1,CalLookUpColumn,0))</f>
        <v>1</v>
      </c>
    </row>
    <row r="4717" spans="1:9" x14ac:dyDescent="0.25">
      <c r="A4717" s="7">
        <v>3</v>
      </c>
      <c r="B4717" s="8">
        <v>43680</v>
      </c>
      <c r="C4717" s="9" t="s">
        <v>3</v>
      </c>
      <c r="D4717" s="10">
        <v>0</v>
      </c>
      <c r="E4717" s="10">
        <v>0</v>
      </c>
      <c r="F4717" t="str">
        <f>VLOOKUP(A4717,StoreLookup,2,FALSE)</f>
        <v>Store#3</v>
      </c>
      <c r="G4717">
        <f>INDEX(CalLookUpTable,MATCH($B4717,CalLookUpRow,0),MATCH(G$1,CalLookUpColumn,0))</f>
        <v>2019</v>
      </c>
      <c r="H4717">
        <f>INDEX(CalLookUpTable,MATCH($B4717,CalLookUpRow,0),MATCH(H$1,CalLookUpColumn,0))</f>
        <v>8</v>
      </c>
      <c r="I4717">
        <f>INDEX(CalLookUpTable,MATCH($B4717,CalLookUpRow,0),MATCH(I$1,CalLookUpColumn,0))</f>
        <v>1</v>
      </c>
    </row>
    <row r="4718" spans="1:9" x14ac:dyDescent="0.25">
      <c r="A4718" s="7">
        <v>3</v>
      </c>
      <c r="B4718" s="8">
        <v>43681</v>
      </c>
      <c r="C4718" s="9" t="s">
        <v>4</v>
      </c>
      <c r="D4718" s="10">
        <v>2558.9059999999999</v>
      </c>
      <c r="E4718" s="10">
        <v>0</v>
      </c>
      <c r="F4718" t="str">
        <f>VLOOKUP(A4718,StoreLookup,2,FALSE)</f>
        <v>Store#3</v>
      </c>
      <c r="G4718">
        <f>INDEX(CalLookUpTable,MATCH($B4718,CalLookUpRow,0),MATCH(G$1,CalLookUpColumn,0))</f>
        <v>2019</v>
      </c>
      <c r="H4718">
        <f>INDEX(CalLookUpTable,MATCH($B4718,CalLookUpRow,0),MATCH(H$1,CalLookUpColumn,0))</f>
        <v>8</v>
      </c>
      <c r="I4718">
        <f>INDEX(CalLookUpTable,MATCH($B4718,CalLookUpRow,0),MATCH(I$1,CalLookUpColumn,0))</f>
        <v>1</v>
      </c>
    </row>
    <row r="4719" spans="1:9" x14ac:dyDescent="0.25">
      <c r="A4719" s="7">
        <v>3</v>
      </c>
      <c r="B4719" s="8">
        <v>43681</v>
      </c>
      <c r="C4719" s="9" t="s">
        <v>5</v>
      </c>
      <c r="D4719" s="10">
        <v>3318.5249999999996</v>
      </c>
      <c r="E4719" s="10">
        <v>0</v>
      </c>
      <c r="F4719" t="str">
        <f>VLOOKUP(A4719,StoreLookup,2,FALSE)</f>
        <v>Store#3</v>
      </c>
      <c r="G4719">
        <f>INDEX(CalLookUpTable,MATCH($B4719,CalLookUpRow,0),MATCH(G$1,CalLookUpColumn,0))</f>
        <v>2019</v>
      </c>
      <c r="H4719">
        <f>INDEX(CalLookUpTable,MATCH($B4719,CalLookUpRow,0),MATCH(H$1,CalLookUpColumn,0))</f>
        <v>8</v>
      </c>
      <c r="I4719">
        <f>INDEX(CalLookUpTable,MATCH($B4719,CalLookUpRow,0),MATCH(I$1,CalLookUpColumn,0))</f>
        <v>1</v>
      </c>
    </row>
    <row r="4720" spans="1:9" x14ac:dyDescent="0.25">
      <c r="A4720" s="7">
        <v>3</v>
      </c>
      <c r="B4720" s="8">
        <v>43681</v>
      </c>
      <c r="C4720" s="9" t="s">
        <v>3</v>
      </c>
      <c r="D4720" s="10">
        <v>0</v>
      </c>
      <c r="E4720" s="10">
        <v>0</v>
      </c>
      <c r="F4720" t="str">
        <f>VLOOKUP(A4720,StoreLookup,2,FALSE)</f>
        <v>Store#3</v>
      </c>
      <c r="G4720">
        <f>INDEX(CalLookUpTable,MATCH($B4720,CalLookUpRow,0),MATCH(G$1,CalLookUpColumn,0))</f>
        <v>2019</v>
      </c>
      <c r="H4720">
        <f>INDEX(CalLookUpTable,MATCH($B4720,CalLookUpRow,0),MATCH(H$1,CalLookUpColumn,0))</f>
        <v>8</v>
      </c>
      <c r="I4720">
        <f>INDEX(CalLookUpTable,MATCH($B4720,CalLookUpRow,0),MATCH(I$1,CalLookUpColumn,0))</f>
        <v>1</v>
      </c>
    </row>
    <row r="4721" spans="1:9" x14ac:dyDescent="0.25">
      <c r="A4721" s="7">
        <v>3</v>
      </c>
      <c r="B4721" s="8">
        <v>43681</v>
      </c>
      <c r="C4721" s="9" t="s">
        <v>6</v>
      </c>
      <c r="D4721" s="10">
        <v>401.75800000000004</v>
      </c>
      <c r="E4721" s="10">
        <v>0</v>
      </c>
      <c r="F4721" t="str">
        <f>VLOOKUP(A4721,StoreLookup,2,FALSE)</f>
        <v>Store#3</v>
      </c>
      <c r="G4721">
        <f>INDEX(CalLookUpTable,MATCH($B4721,CalLookUpRow,0),MATCH(G$1,CalLookUpColumn,0))</f>
        <v>2019</v>
      </c>
      <c r="H4721">
        <f>INDEX(CalLookUpTable,MATCH($B4721,CalLookUpRow,0),MATCH(H$1,CalLookUpColumn,0))</f>
        <v>8</v>
      </c>
      <c r="I4721">
        <f>INDEX(CalLookUpTable,MATCH($B4721,CalLookUpRow,0),MATCH(I$1,CalLookUpColumn,0))</f>
        <v>1</v>
      </c>
    </row>
    <row r="4722" spans="1:9" x14ac:dyDescent="0.25">
      <c r="A4722" s="7">
        <v>3</v>
      </c>
      <c r="B4722" s="8">
        <v>43682</v>
      </c>
      <c r="C4722" s="9" t="s">
        <v>5</v>
      </c>
      <c r="D4722" s="10">
        <v>2994.2709999999997</v>
      </c>
      <c r="E4722" s="10">
        <v>0</v>
      </c>
      <c r="F4722" t="str">
        <f>VLOOKUP(A4722,StoreLookup,2,FALSE)</f>
        <v>Store#3</v>
      </c>
      <c r="G4722">
        <f>INDEX(CalLookUpTable,MATCH($B4722,CalLookUpRow,0),MATCH(G$1,CalLookUpColumn,0))</f>
        <v>2019</v>
      </c>
      <c r="H4722">
        <f>INDEX(CalLookUpTable,MATCH($B4722,CalLookUpRow,0),MATCH(H$1,CalLookUpColumn,0))</f>
        <v>8</v>
      </c>
      <c r="I4722">
        <f>INDEX(CalLookUpTable,MATCH($B4722,CalLookUpRow,0),MATCH(I$1,CalLookUpColumn,0))</f>
        <v>2</v>
      </c>
    </row>
    <row r="4723" spans="1:9" x14ac:dyDescent="0.25">
      <c r="A4723" s="7">
        <v>3</v>
      </c>
      <c r="B4723" s="8">
        <v>43682</v>
      </c>
      <c r="C4723" s="9" t="s">
        <v>6</v>
      </c>
      <c r="D4723" s="10">
        <v>808.35299999999995</v>
      </c>
      <c r="E4723" s="10">
        <v>0</v>
      </c>
      <c r="F4723" t="str">
        <f>VLOOKUP(A4723,StoreLookup,2,FALSE)</f>
        <v>Store#3</v>
      </c>
      <c r="G4723">
        <f>INDEX(CalLookUpTable,MATCH($B4723,CalLookUpRow,0),MATCH(G$1,CalLookUpColumn,0))</f>
        <v>2019</v>
      </c>
      <c r="H4723">
        <f>INDEX(CalLookUpTable,MATCH($B4723,CalLookUpRow,0),MATCH(H$1,CalLookUpColumn,0))</f>
        <v>8</v>
      </c>
      <c r="I4723">
        <f>INDEX(CalLookUpTable,MATCH($B4723,CalLookUpRow,0),MATCH(I$1,CalLookUpColumn,0))</f>
        <v>2</v>
      </c>
    </row>
    <row r="4724" spans="1:9" x14ac:dyDescent="0.25">
      <c r="A4724" s="7">
        <v>3</v>
      </c>
      <c r="B4724" s="8">
        <v>43682</v>
      </c>
      <c r="C4724" s="9" t="s">
        <v>3</v>
      </c>
      <c r="D4724" s="10">
        <v>0</v>
      </c>
      <c r="E4724" s="10">
        <v>0</v>
      </c>
      <c r="F4724" t="str">
        <f>VLOOKUP(A4724,StoreLookup,2,FALSE)</f>
        <v>Store#3</v>
      </c>
      <c r="G4724">
        <f>INDEX(CalLookUpTable,MATCH($B4724,CalLookUpRow,0),MATCH(G$1,CalLookUpColumn,0))</f>
        <v>2019</v>
      </c>
      <c r="H4724">
        <f>INDEX(CalLookUpTable,MATCH($B4724,CalLookUpRow,0),MATCH(H$1,CalLookUpColumn,0))</f>
        <v>8</v>
      </c>
      <c r="I4724">
        <f>INDEX(CalLookUpTable,MATCH($B4724,CalLookUpRow,0),MATCH(I$1,CalLookUpColumn,0))</f>
        <v>2</v>
      </c>
    </row>
    <row r="4725" spans="1:9" x14ac:dyDescent="0.25">
      <c r="A4725" s="7">
        <v>3</v>
      </c>
      <c r="B4725" s="8">
        <v>43682</v>
      </c>
      <c r="C4725" s="9" t="s">
        <v>4</v>
      </c>
      <c r="D4725" s="10">
        <v>3539.3049999999994</v>
      </c>
      <c r="E4725" s="10">
        <v>0</v>
      </c>
      <c r="F4725" t="str">
        <f>VLOOKUP(A4725,StoreLookup,2,FALSE)</f>
        <v>Store#3</v>
      </c>
      <c r="G4725">
        <f>INDEX(CalLookUpTable,MATCH($B4725,CalLookUpRow,0),MATCH(G$1,CalLookUpColumn,0))</f>
        <v>2019</v>
      </c>
      <c r="H4725">
        <f>INDEX(CalLookUpTable,MATCH($B4725,CalLookUpRow,0),MATCH(H$1,CalLookUpColumn,0))</f>
        <v>8</v>
      </c>
      <c r="I4725">
        <f>INDEX(CalLookUpTable,MATCH($B4725,CalLookUpRow,0),MATCH(I$1,CalLookUpColumn,0))</f>
        <v>2</v>
      </c>
    </row>
    <row r="4726" spans="1:9" x14ac:dyDescent="0.25">
      <c r="A4726" s="7">
        <v>3</v>
      </c>
      <c r="B4726" s="8">
        <v>43683</v>
      </c>
      <c r="C4726" s="9" t="s">
        <v>4</v>
      </c>
      <c r="D4726" s="10">
        <v>3240.3910000000001</v>
      </c>
      <c r="E4726" s="10">
        <v>0</v>
      </c>
      <c r="F4726" t="str">
        <f>VLOOKUP(A4726,StoreLookup,2,FALSE)</f>
        <v>Store#3</v>
      </c>
      <c r="G4726">
        <f>INDEX(CalLookUpTable,MATCH($B4726,CalLookUpRow,0),MATCH(G$1,CalLookUpColumn,0))</f>
        <v>2019</v>
      </c>
      <c r="H4726">
        <f>INDEX(CalLookUpTable,MATCH($B4726,CalLookUpRow,0),MATCH(H$1,CalLookUpColumn,0))</f>
        <v>8</v>
      </c>
      <c r="I4726">
        <f>INDEX(CalLookUpTable,MATCH($B4726,CalLookUpRow,0),MATCH(I$1,CalLookUpColumn,0))</f>
        <v>2</v>
      </c>
    </row>
    <row r="4727" spans="1:9" x14ac:dyDescent="0.25">
      <c r="A4727" s="7">
        <v>3</v>
      </c>
      <c r="B4727" s="8">
        <v>43683</v>
      </c>
      <c r="C4727" s="9" t="s">
        <v>3</v>
      </c>
      <c r="D4727" s="10">
        <v>178.75899999999999</v>
      </c>
      <c r="E4727" s="10">
        <v>0</v>
      </c>
      <c r="F4727" t="str">
        <f>VLOOKUP(A4727,StoreLookup,2,FALSE)</f>
        <v>Store#3</v>
      </c>
      <c r="G4727">
        <f>INDEX(CalLookUpTable,MATCH($B4727,CalLookUpRow,0),MATCH(G$1,CalLookUpColumn,0))</f>
        <v>2019</v>
      </c>
      <c r="H4727">
        <f>INDEX(CalLookUpTable,MATCH($B4727,CalLookUpRow,0),MATCH(H$1,CalLookUpColumn,0))</f>
        <v>8</v>
      </c>
      <c r="I4727">
        <f>INDEX(CalLookUpTable,MATCH($B4727,CalLookUpRow,0),MATCH(I$1,CalLookUpColumn,0))</f>
        <v>2</v>
      </c>
    </row>
    <row r="4728" spans="1:9" x14ac:dyDescent="0.25">
      <c r="A4728" s="7">
        <v>3</v>
      </c>
      <c r="B4728" s="8">
        <v>43683</v>
      </c>
      <c r="C4728" s="9" t="s">
        <v>5</v>
      </c>
      <c r="D4728" s="10">
        <v>3285.4290000000001</v>
      </c>
      <c r="E4728" s="10">
        <v>0</v>
      </c>
      <c r="F4728" t="str">
        <f>VLOOKUP(A4728,StoreLookup,2,FALSE)</f>
        <v>Store#3</v>
      </c>
      <c r="G4728">
        <f>INDEX(CalLookUpTable,MATCH($B4728,CalLookUpRow,0),MATCH(G$1,CalLookUpColumn,0))</f>
        <v>2019</v>
      </c>
      <c r="H4728">
        <f>INDEX(CalLookUpTable,MATCH($B4728,CalLookUpRow,0),MATCH(H$1,CalLookUpColumn,0))</f>
        <v>8</v>
      </c>
      <c r="I4728">
        <f>INDEX(CalLookUpTable,MATCH($B4728,CalLookUpRow,0),MATCH(I$1,CalLookUpColumn,0))</f>
        <v>2</v>
      </c>
    </row>
    <row r="4729" spans="1:9" x14ac:dyDescent="0.25">
      <c r="A4729" s="7">
        <v>3</v>
      </c>
      <c r="B4729" s="8">
        <v>43683</v>
      </c>
      <c r="C4729" s="9" t="s">
        <v>6</v>
      </c>
      <c r="D4729" s="10">
        <v>969.02399999999989</v>
      </c>
      <c r="E4729" s="10">
        <v>0</v>
      </c>
      <c r="F4729" t="str">
        <f>VLOOKUP(A4729,StoreLookup,2,FALSE)</f>
        <v>Store#3</v>
      </c>
      <c r="G4729">
        <f>INDEX(CalLookUpTable,MATCH($B4729,CalLookUpRow,0),MATCH(G$1,CalLookUpColumn,0))</f>
        <v>2019</v>
      </c>
      <c r="H4729">
        <f>INDEX(CalLookUpTable,MATCH($B4729,CalLookUpRow,0),MATCH(H$1,CalLookUpColumn,0))</f>
        <v>8</v>
      </c>
      <c r="I4729">
        <f>INDEX(CalLookUpTable,MATCH($B4729,CalLookUpRow,0),MATCH(I$1,CalLookUpColumn,0))</f>
        <v>2</v>
      </c>
    </row>
    <row r="4730" spans="1:9" x14ac:dyDescent="0.25">
      <c r="A4730" s="7">
        <v>3</v>
      </c>
      <c r="B4730" s="8">
        <v>43684</v>
      </c>
      <c r="C4730" s="9" t="s">
        <v>4</v>
      </c>
      <c r="D4730" s="10">
        <v>3563.0909999999999</v>
      </c>
      <c r="E4730" s="10">
        <v>0</v>
      </c>
      <c r="F4730" t="str">
        <f>VLOOKUP(A4730,StoreLookup,2,FALSE)</f>
        <v>Store#3</v>
      </c>
      <c r="G4730">
        <f>INDEX(CalLookUpTable,MATCH($B4730,CalLookUpRow,0),MATCH(G$1,CalLookUpColumn,0))</f>
        <v>2019</v>
      </c>
      <c r="H4730">
        <f>INDEX(CalLookUpTable,MATCH($B4730,CalLookUpRow,0),MATCH(H$1,CalLookUpColumn,0))</f>
        <v>8</v>
      </c>
      <c r="I4730">
        <f>INDEX(CalLookUpTable,MATCH($B4730,CalLookUpRow,0),MATCH(I$1,CalLookUpColumn,0))</f>
        <v>2</v>
      </c>
    </row>
    <row r="4731" spans="1:9" x14ac:dyDescent="0.25">
      <c r="A4731" s="7">
        <v>3</v>
      </c>
      <c r="B4731" s="8">
        <v>43684</v>
      </c>
      <c r="C4731" s="9" t="s">
        <v>3</v>
      </c>
      <c r="D4731" s="10">
        <v>301.14</v>
      </c>
      <c r="E4731" s="10">
        <v>0</v>
      </c>
      <c r="F4731" t="str">
        <f>VLOOKUP(A4731,StoreLookup,2,FALSE)</f>
        <v>Store#3</v>
      </c>
      <c r="G4731">
        <f>INDEX(CalLookUpTable,MATCH($B4731,CalLookUpRow,0),MATCH(G$1,CalLookUpColumn,0))</f>
        <v>2019</v>
      </c>
      <c r="H4731">
        <f>INDEX(CalLookUpTable,MATCH($B4731,CalLookUpRow,0),MATCH(H$1,CalLookUpColumn,0))</f>
        <v>8</v>
      </c>
      <c r="I4731">
        <f>INDEX(CalLookUpTable,MATCH($B4731,CalLookUpRow,0),MATCH(I$1,CalLookUpColumn,0))</f>
        <v>2</v>
      </c>
    </row>
    <row r="4732" spans="1:9" x14ac:dyDescent="0.25">
      <c r="A4732" s="7">
        <v>3</v>
      </c>
      <c r="B4732" s="8">
        <v>43684</v>
      </c>
      <c r="C4732" s="9" t="s">
        <v>5</v>
      </c>
      <c r="D4732" s="10">
        <v>3191.1739999999995</v>
      </c>
      <c r="E4732" s="10">
        <v>0</v>
      </c>
      <c r="F4732" t="str">
        <f>VLOOKUP(A4732,StoreLookup,2,FALSE)</f>
        <v>Store#3</v>
      </c>
      <c r="G4732">
        <f>INDEX(CalLookUpTable,MATCH($B4732,CalLookUpRow,0),MATCH(G$1,CalLookUpColumn,0))</f>
        <v>2019</v>
      </c>
      <c r="H4732">
        <f>INDEX(CalLookUpTable,MATCH($B4732,CalLookUpRow,0),MATCH(H$1,CalLookUpColumn,0))</f>
        <v>8</v>
      </c>
      <c r="I4732">
        <f>INDEX(CalLookUpTable,MATCH($B4732,CalLookUpRow,0),MATCH(I$1,CalLookUpColumn,0))</f>
        <v>2</v>
      </c>
    </row>
    <row r="4733" spans="1:9" x14ac:dyDescent="0.25">
      <c r="A4733" s="7">
        <v>3</v>
      </c>
      <c r="B4733" s="8">
        <v>43684</v>
      </c>
      <c r="C4733" s="9" t="s">
        <v>6</v>
      </c>
      <c r="D4733" s="10">
        <v>1006.6559999999998</v>
      </c>
      <c r="E4733" s="10">
        <v>0</v>
      </c>
      <c r="F4733" t="str">
        <f>VLOOKUP(A4733,StoreLookup,2,FALSE)</f>
        <v>Store#3</v>
      </c>
      <c r="G4733">
        <f>INDEX(CalLookUpTable,MATCH($B4733,CalLookUpRow,0),MATCH(G$1,CalLookUpColumn,0))</f>
        <v>2019</v>
      </c>
      <c r="H4733">
        <f>INDEX(CalLookUpTable,MATCH($B4733,CalLookUpRow,0),MATCH(H$1,CalLookUpColumn,0))</f>
        <v>8</v>
      </c>
      <c r="I4733">
        <f>INDEX(CalLookUpTable,MATCH($B4733,CalLookUpRow,0),MATCH(I$1,CalLookUpColumn,0))</f>
        <v>2</v>
      </c>
    </row>
    <row r="4734" spans="1:9" x14ac:dyDescent="0.25">
      <c r="A4734" s="7">
        <v>3</v>
      </c>
      <c r="B4734" s="8">
        <v>43685</v>
      </c>
      <c r="C4734" s="9" t="s">
        <v>6</v>
      </c>
      <c r="D4734" s="10">
        <v>953.95299999999986</v>
      </c>
      <c r="E4734" s="10">
        <v>0</v>
      </c>
      <c r="F4734" t="str">
        <f>VLOOKUP(A4734,StoreLookup,2,FALSE)</f>
        <v>Store#3</v>
      </c>
      <c r="G4734">
        <f>INDEX(CalLookUpTable,MATCH($B4734,CalLookUpRow,0),MATCH(G$1,CalLookUpColumn,0))</f>
        <v>2019</v>
      </c>
      <c r="H4734">
        <f>INDEX(CalLookUpTable,MATCH($B4734,CalLookUpRow,0),MATCH(H$1,CalLookUpColumn,0))</f>
        <v>8</v>
      </c>
      <c r="I4734">
        <f>INDEX(CalLookUpTable,MATCH($B4734,CalLookUpRow,0),MATCH(I$1,CalLookUpColumn,0))</f>
        <v>2</v>
      </c>
    </row>
    <row r="4735" spans="1:9" x14ac:dyDescent="0.25">
      <c r="A4735" s="7">
        <v>3</v>
      </c>
      <c r="B4735" s="8">
        <v>43685</v>
      </c>
      <c r="C4735" s="9" t="s">
        <v>5</v>
      </c>
      <c r="D4735" s="10">
        <v>3298.6239999999998</v>
      </c>
      <c r="E4735" s="10">
        <v>0</v>
      </c>
      <c r="F4735" t="str">
        <f>VLOOKUP(A4735,StoreLookup,2,FALSE)</f>
        <v>Store#3</v>
      </c>
      <c r="G4735">
        <f>INDEX(CalLookUpTable,MATCH($B4735,CalLookUpRow,0),MATCH(G$1,CalLookUpColumn,0))</f>
        <v>2019</v>
      </c>
      <c r="H4735">
        <f>INDEX(CalLookUpTable,MATCH($B4735,CalLookUpRow,0),MATCH(H$1,CalLookUpColumn,0))</f>
        <v>8</v>
      </c>
      <c r="I4735">
        <f>INDEX(CalLookUpTable,MATCH($B4735,CalLookUpRow,0),MATCH(I$1,CalLookUpColumn,0))</f>
        <v>2</v>
      </c>
    </row>
    <row r="4736" spans="1:9" x14ac:dyDescent="0.25">
      <c r="A4736" s="7">
        <v>3</v>
      </c>
      <c r="B4736" s="8">
        <v>43685</v>
      </c>
      <c r="C4736" s="9" t="s">
        <v>3</v>
      </c>
      <c r="D4736" s="10">
        <v>0</v>
      </c>
      <c r="E4736" s="10">
        <v>0</v>
      </c>
      <c r="F4736" t="str">
        <f>VLOOKUP(A4736,StoreLookup,2,FALSE)</f>
        <v>Store#3</v>
      </c>
      <c r="G4736">
        <f>INDEX(CalLookUpTable,MATCH($B4736,CalLookUpRow,0),MATCH(G$1,CalLookUpColumn,0))</f>
        <v>2019</v>
      </c>
      <c r="H4736">
        <f>INDEX(CalLookUpTable,MATCH($B4736,CalLookUpRow,0),MATCH(H$1,CalLookUpColumn,0))</f>
        <v>8</v>
      </c>
      <c r="I4736">
        <f>INDEX(CalLookUpTable,MATCH($B4736,CalLookUpRow,0),MATCH(I$1,CalLookUpColumn,0))</f>
        <v>2</v>
      </c>
    </row>
    <row r="4737" spans="1:9" x14ac:dyDescent="0.25">
      <c r="A4737" s="7">
        <v>3</v>
      </c>
      <c r="B4737" s="8">
        <v>43685</v>
      </c>
      <c r="C4737" s="9" t="s">
        <v>4</v>
      </c>
      <c r="D4737" s="10">
        <v>3288.0749999999998</v>
      </c>
      <c r="E4737" s="10">
        <v>0</v>
      </c>
      <c r="F4737" t="str">
        <f>VLOOKUP(A4737,StoreLookup,2,FALSE)</f>
        <v>Store#3</v>
      </c>
      <c r="G4737">
        <f>INDEX(CalLookUpTable,MATCH($B4737,CalLookUpRow,0),MATCH(G$1,CalLookUpColumn,0))</f>
        <v>2019</v>
      </c>
      <c r="H4737">
        <f>INDEX(CalLookUpTable,MATCH($B4737,CalLookUpRow,0),MATCH(H$1,CalLookUpColumn,0))</f>
        <v>8</v>
      </c>
      <c r="I4737">
        <f>INDEX(CalLookUpTable,MATCH($B4737,CalLookUpRow,0),MATCH(I$1,CalLookUpColumn,0))</f>
        <v>2</v>
      </c>
    </row>
    <row r="4738" spans="1:9" x14ac:dyDescent="0.25">
      <c r="A4738" s="7">
        <v>3</v>
      </c>
      <c r="B4738" s="8">
        <v>43686</v>
      </c>
      <c r="C4738" s="9" t="s">
        <v>6</v>
      </c>
      <c r="D4738" s="10">
        <v>933.23299999999995</v>
      </c>
      <c r="E4738" s="10">
        <v>0</v>
      </c>
      <c r="F4738" t="str">
        <f>VLOOKUP(A4738,StoreLookup,2,FALSE)</f>
        <v>Store#3</v>
      </c>
      <c r="G4738">
        <f>INDEX(CalLookUpTable,MATCH($B4738,CalLookUpRow,0),MATCH(G$1,CalLookUpColumn,0))</f>
        <v>2019</v>
      </c>
      <c r="H4738">
        <f>INDEX(CalLookUpTable,MATCH($B4738,CalLookUpRow,0),MATCH(H$1,CalLookUpColumn,0))</f>
        <v>8</v>
      </c>
      <c r="I4738">
        <f>INDEX(CalLookUpTable,MATCH($B4738,CalLookUpRow,0),MATCH(I$1,CalLookUpColumn,0))</f>
        <v>2</v>
      </c>
    </row>
    <row r="4739" spans="1:9" x14ac:dyDescent="0.25">
      <c r="A4739" s="7">
        <v>3</v>
      </c>
      <c r="B4739" s="8">
        <v>43686</v>
      </c>
      <c r="C4739" s="9" t="s">
        <v>4</v>
      </c>
      <c r="D4739" s="10">
        <v>3390.6039999999998</v>
      </c>
      <c r="E4739" s="10">
        <v>0</v>
      </c>
      <c r="F4739" t="str">
        <f>VLOOKUP(A4739,StoreLookup,2,FALSE)</f>
        <v>Store#3</v>
      </c>
      <c r="G4739">
        <f>INDEX(CalLookUpTable,MATCH($B4739,CalLookUpRow,0),MATCH(G$1,CalLookUpColumn,0))</f>
        <v>2019</v>
      </c>
      <c r="H4739">
        <f>INDEX(CalLookUpTable,MATCH($B4739,CalLookUpRow,0),MATCH(H$1,CalLookUpColumn,0))</f>
        <v>8</v>
      </c>
      <c r="I4739">
        <f>INDEX(CalLookUpTable,MATCH($B4739,CalLookUpRow,0),MATCH(I$1,CalLookUpColumn,0))</f>
        <v>2</v>
      </c>
    </row>
    <row r="4740" spans="1:9" x14ac:dyDescent="0.25">
      <c r="A4740" s="7">
        <v>3</v>
      </c>
      <c r="B4740" s="8">
        <v>43686</v>
      </c>
      <c r="C4740" s="9" t="s">
        <v>3</v>
      </c>
      <c r="D4740" s="10">
        <v>0</v>
      </c>
      <c r="E4740" s="10">
        <v>0</v>
      </c>
      <c r="F4740" t="str">
        <f>VLOOKUP(A4740,StoreLookup,2,FALSE)</f>
        <v>Store#3</v>
      </c>
      <c r="G4740">
        <f>INDEX(CalLookUpTable,MATCH($B4740,CalLookUpRow,0),MATCH(G$1,CalLookUpColumn,0))</f>
        <v>2019</v>
      </c>
      <c r="H4740">
        <f>INDEX(CalLookUpTable,MATCH($B4740,CalLookUpRow,0),MATCH(H$1,CalLookUpColumn,0))</f>
        <v>8</v>
      </c>
      <c r="I4740">
        <f>INDEX(CalLookUpTable,MATCH($B4740,CalLookUpRow,0),MATCH(I$1,CalLookUpColumn,0))</f>
        <v>2</v>
      </c>
    </row>
    <row r="4741" spans="1:9" x14ac:dyDescent="0.25">
      <c r="A4741" s="7">
        <v>3</v>
      </c>
      <c r="B4741" s="8">
        <v>43686</v>
      </c>
      <c r="C4741" s="9" t="s">
        <v>5</v>
      </c>
      <c r="D4741" s="10">
        <v>3484.5929999999998</v>
      </c>
      <c r="E4741" s="10">
        <v>0</v>
      </c>
      <c r="F4741" t="str">
        <f>VLOOKUP(A4741,StoreLookup,2,FALSE)</f>
        <v>Store#3</v>
      </c>
      <c r="G4741">
        <f>INDEX(CalLookUpTable,MATCH($B4741,CalLookUpRow,0),MATCH(G$1,CalLookUpColumn,0))</f>
        <v>2019</v>
      </c>
      <c r="H4741">
        <f>INDEX(CalLookUpTable,MATCH($B4741,CalLookUpRow,0),MATCH(H$1,CalLookUpColumn,0))</f>
        <v>8</v>
      </c>
      <c r="I4741">
        <f>INDEX(CalLookUpTable,MATCH($B4741,CalLookUpRow,0),MATCH(I$1,CalLookUpColumn,0))</f>
        <v>2</v>
      </c>
    </row>
    <row r="4742" spans="1:9" x14ac:dyDescent="0.25">
      <c r="A4742" s="7">
        <v>3</v>
      </c>
      <c r="B4742" s="8">
        <v>43687</v>
      </c>
      <c r="C4742" s="9" t="s">
        <v>6</v>
      </c>
      <c r="D4742" s="10">
        <v>782.11699999999996</v>
      </c>
      <c r="E4742" s="10">
        <v>0</v>
      </c>
      <c r="F4742" t="str">
        <f>VLOOKUP(A4742,StoreLookup,2,FALSE)</f>
        <v>Store#3</v>
      </c>
      <c r="G4742">
        <f>INDEX(CalLookUpTable,MATCH($B4742,CalLookUpRow,0),MATCH(G$1,CalLookUpColumn,0))</f>
        <v>2019</v>
      </c>
      <c r="H4742">
        <f>INDEX(CalLookUpTable,MATCH($B4742,CalLookUpRow,0),MATCH(H$1,CalLookUpColumn,0))</f>
        <v>8</v>
      </c>
      <c r="I4742">
        <f>INDEX(CalLookUpTable,MATCH($B4742,CalLookUpRow,0),MATCH(I$1,CalLookUpColumn,0))</f>
        <v>2</v>
      </c>
    </row>
    <row r="4743" spans="1:9" x14ac:dyDescent="0.25">
      <c r="A4743" s="7">
        <v>3</v>
      </c>
      <c r="B4743" s="8">
        <v>43687</v>
      </c>
      <c r="C4743" s="9" t="s">
        <v>5</v>
      </c>
      <c r="D4743" s="10">
        <v>3311.1749999999997</v>
      </c>
      <c r="E4743" s="10">
        <v>0</v>
      </c>
      <c r="F4743" t="str">
        <f>VLOOKUP(A4743,StoreLookup,2,FALSE)</f>
        <v>Store#3</v>
      </c>
      <c r="G4743">
        <f>INDEX(CalLookUpTable,MATCH($B4743,CalLookUpRow,0),MATCH(G$1,CalLookUpColumn,0))</f>
        <v>2019</v>
      </c>
      <c r="H4743">
        <f>INDEX(CalLookUpTable,MATCH($B4743,CalLookUpRow,0),MATCH(H$1,CalLookUpColumn,0))</f>
        <v>8</v>
      </c>
      <c r="I4743">
        <f>INDEX(CalLookUpTable,MATCH($B4743,CalLookUpRow,0),MATCH(I$1,CalLookUpColumn,0))</f>
        <v>2</v>
      </c>
    </row>
    <row r="4744" spans="1:9" x14ac:dyDescent="0.25">
      <c r="A4744" s="7">
        <v>3</v>
      </c>
      <c r="B4744" s="8">
        <v>43687</v>
      </c>
      <c r="C4744" s="9" t="s">
        <v>4</v>
      </c>
      <c r="D4744" s="10">
        <v>3496.1219999999998</v>
      </c>
      <c r="E4744" s="10">
        <v>0</v>
      </c>
      <c r="F4744" t="str">
        <f>VLOOKUP(A4744,StoreLookup,2,FALSE)</f>
        <v>Store#3</v>
      </c>
      <c r="G4744">
        <f>INDEX(CalLookUpTable,MATCH($B4744,CalLookUpRow,0),MATCH(G$1,CalLookUpColumn,0))</f>
        <v>2019</v>
      </c>
      <c r="H4744">
        <f>INDEX(CalLookUpTable,MATCH($B4744,CalLookUpRow,0),MATCH(H$1,CalLookUpColumn,0))</f>
        <v>8</v>
      </c>
      <c r="I4744">
        <f>INDEX(CalLookUpTable,MATCH($B4744,CalLookUpRow,0),MATCH(I$1,CalLookUpColumn,0))</f>
        <v>2</v>
      </c>
    </row>
    <row r="4745" spans="1:9" x14ac:dyDescent="0.25">
      <c r="A4745" s="7">
        <v>3</v>
      </c>
      <c r="B4745" s="8">
        <v>43687</v>
      </c>
      <c r="C4745" s="9" t="s">
        <v>3</v>
      </c>
      <c r="D4745" s="10">
        <v>0</v>
      </c>
      <c r="E4745" s="10">
        <v>0</v>
      </c>
      <c r="F4745" t="str">
        <f>VLOOKUP(A4745,StoreLookup,2,FALSE)</f>
        <v>Store#3</v>
      </c>
      <c r="G4745">
        <f>INDEX(CalLookUpTable,MATCH($B4745,CalLookUpRow,0),MATCH(G$1,CalLookUpColumn,0))</f>
        <v>2019</v>
      </c>
      <c r="H4745">
        <f>INDEX(CalLookUpTable,MATCH($B4745,CalLookUpRow,0),MATCH(H$1,CalLookUpColumn,0))</f>
        <v>8</v>
      </c>
      <c r="I4745">
        <f>INDEX(CalLookUpTable,MATCH($B4745,CalLookUpRow,0),MATCH(I$1,CalLookUpColumn,0))</f>
        <v>2</v>
      </c>
    </row>
    <row r="4746" spans="1:9" x14ac:dyDescent="0.25">
      <c r="A4746" s="7">
        <v>3</v>
      </c>
      <c r="B4746" s="8">
        <v>43688</v>
      </c>
      <c r="C4746" s="9" t="s">
        <v>6</v>
      </c>
      <c r="D4746" s="10">
        <v>534.37299999999993</v>
      </c>
      <c r="E4746" s="10">
        <v>0</v>
      </c>
      <c r="F4746" t="str">
        <f>VLOOKUP(A4746,StoreLookup,2,FALSE)</f>
        <v>Store#3</v>
      </c>
      <c r="G4746">
        <f>INDEX(CalLookUpTable,MATCH($B4746,CalLookUpRow,0),MATCH(G$1,CalLookUpColumn,0))</f>
        <v>2019</v>
      </c>
      <c r="H4746">
        <f>INDEX(CalLookUpTable,MATCH($B4746,CalLookUpRow,0),MATCH(H$1,CalLookUpColumn,0))</f>
        <v>8</v>
      </c>
      <c r="I4746">
        <f>INDEX(CalLookUpTable,MATCH($B4746,CalLookUpRow,0),MATCH(I$1,CalLookUpColumn,0))</f>
        <v>2</v>
      </c>
    </row>
    <row r="4747" spans="1:9" x14ac:dyDescent="0.25">
      <c r="A4747" s="7">
        <v>3</v>
      </c>
      <c r="B4747" s="8">
        <v>43688</v>
      </c>
      <c r="C4747" s="9" t="s">
        <v>4</v>
      </c>
      <c r="D4747" s="10">
        <v>2692.2559999999999</v>
      </c>
      <c r="E4747" s="10">
        <v>0</v>
      </c>
      <c r="F4747" t="str">
        <f>VLOOKUP(A4747,StoreLookup,2,FALSE)</f>
        <v>Store#3</v>
      </c>
      <c r="G4747">
        <f>INDEX(CalLookUpTable,MATCH($B4747,CalLookUpRow,0),MATCH(G$1,CalLookUpColumn,0))</f>
        <v>2019</v>
      </c>
      <c r="H4747">
        <f>INDEX(CalLookUpTable,MATCH($B4747,CalLookUpRow,0),MATCH(H$1,CalLookUpColumn,0))</f>
        <v>8</v>
      </c>
      <c r="I4747">
        <f>INDEX(CalLookUpTable,MATCH($B4747,CalLookUpRow,0),MATCH(I$1,CalLookUpColumn,0))</f>
        <v>2</v>
      </c>
    </row>
    <row r="4748" spans="1:9" x14ac:dyDescent="0.25">
      <c r="A4748" s="7">
        <v>3</v>
      </c>
      <c r="B4748" s="8">
        <v>43688</v>
      </c>
      <c r="C4748" s="9" t="s">
        <v>5</v>
      </c>
      <c r="D4748" s="10">
        <v>2668.1759999999999</v>
      </c>
      <c r="E4748" s="10">
        <v>0</v>
      </c>
      <c r="F4748" t="str">
        <f>VLOOKUP(A4748,StoreLookup,2,FALSE)</f>
        <v>Store#3</v>
      </c>
      <c r="G4748">
        <f>INDEX(CalLookUpTable,MATCH($B4748,CalLookUpRow,0),MATCH(G$1,CalLookUpColumn,0))</f>
        <v>2019</v>
      </c>
      <c r="H4748">
        <f>INDEX(CalLookUpTable,MATCH($B4748,CalLookUpRow,0),MATCH(H$1,CalLookUpColumn,0))</f>
        <v>8</v>
      </c>
      <c r="I4748">
        <f>INDEX(CalLookUpTable,MATCH($B4748,CalLookUpRow,0),MATCH(I$1,CalLookUpColumn,0))</f>
        <v>2</v>
      </c>
    </row>
    <row r="4749" spans="1:9" x14ac:dyDescent="0.25">
      <c r="A4749" s="7">
        <v>3</v>
      </c>
      <c r="B4749" s="8">
        <v>43688</v>
      </c>
      <c r="C4749" s="9" t="s">
        <v>3</v>
      </c>
      <c r="D4749" s="10">
        <v>79.148999999999987</v>
      </c>
      <c r="E4749" s="10">
        <v>0</v>
      </c>
      <c r="F4749" t="str">
        <f>VLOOKUP(A4749,StoreLookup,2,FALSE)</f>
        <v>Store#3</v>
      </c>
      <c r="G4749">
        <f>INDEX(CalLookUpTable,MATCH($B4749,CalLookUpRow,0),MATCH(G$1,CalLookUpColumn,0))</f>
        <v>2019</v>
      </c>
      <c r="H4749">
        <f>INDEX(CalLookUpTable,MATCH($B4749,CalLookUpRow,0),MATCH(H$1,CalLookUpColumn,0))</f>
        <v>8</v>
      </c>
      <c r="I4749">
        <f>INDEX(CalLookUpTable,MATCH($B4749,CalLookUpRow,0),MATCH(I$1,CalLookUpColumn,0))</f>
        <v>2</v>
      </c>
    </row>
    <row r="4750" spans="1:9" x14ac:dyDescent="0.25">
      <c r="A4750" s="7">
        <v>3</v>
      </c>
      <c r="B4750" s="8">
        <v>43689</v>
      </c>
      <c r="C4750" s="9" t="s">
        <v>5</v>
      </c>
      <c r="D4750" s="10">
        <v>3241.098</v>
      </c>
      <c r="E4750" s="10">
        <v>0</v>
      </c>
      <c r="F4750" t="str">
        <f>VLOOKUP(A4750,StoreLookup,2,FALSE)</f>
        <v>Store#3</v>
      </c>
      <c r="G4750">
        <f>INDEX(CalLookUpTable,MATCH($B4750,CalLookUpRow,0),MATCH(G$1,CalLookUpColumn,0))</f>
        <v>2019</v>
      </c>
      <c r="H4750">
        <f>INDEX(CalLookUpTable,MATCH($B4750,CalLookUpRow,0),MATCH(H$1,CalLookUpColumn,0))</f>
        <v>8</v>
      </c>
      <c r="I4750">
        <f>INDEX(CalLookUpTable,MATCH($B4750,CalLookUpRow,0),MATCH(I$1,CalLookUpColumn,0))</f>
        <v>3</v>
      </c>
    </row>
    <row r="4751" spans="1:9" x14ac:dyDescent="0.25">
      <c r="A4751" s="7">
        <v>3</v>
      </c>
      <c r="B4751" s="8">
        <v>43689</v>
      </c>
      <c r="C4751" s="9" t="s">
        <v>6</v>
      </c>
      <c r="D4751" s="10">
        <v>711.774</v>
      </c>
      <c r="E4751" s="10">
        <v>0</v>
      </c>
      <c r="F4751" t="str">
        <f>VLOOKUP(A4751,StoreLookup,2,FALSE)</f>
        <v>Store#3</v>
      </c>
      <c r="G4751">
        <f>INDEX(CalLookUpTable,MATCH($B4751,CalLookUpRow,0),MATCH(G$1,CalLookUpColumn,0))</f>
        <v>2019</v>
      </c>
      <c r="H4751">
        <f>INDEX(CalLookUpTable,MATCH($B4751,CalLookUpRow,0),MATCH(H$1,CalLookUpColumn,0))</f>
        <v>8</v>
      </c>
      <c r="I4751">
        <f>INDEX(CalLookUpTable,MATCH($B4751,CalLookUpRow,0),MATCH(I$1,CalLookUpColumn,0))</f>
        <v>3</v>
      </c>
    </row>
    <row r="4752" spans="1:9" x14ac:dyDescent="0.25">
      <c r="A4752" s="7">
        <v>3</v>
      </c>
      <c r="B4752" s="8">
        <v>43689</v>
      </c>
      <c r="C4752" s="9" t="s">
        <v>3</v>
      </c>
      <c r="D4752" s="10">
        <v>742.38499999999988</v>
      </c>
      <c r="E4752" s="10">
        <v>0</v>
      </c>
      <c r="F4752" t="str">
        <f>VLOOKUP(A4752,StoreLookup,2,FALSE)</f>
        <v>Store#3</v>
      </c>
      <c r="G4752">
        <f>INDEX(CalLookUpTable,MATCH($B4752,CalLookUpRow,0),MATCH(G$1,CalLookUpColumn,0))</f>
        <v>2019</v>
      </c>
      <c r="H4752">
        <f>INDEX(CalLookUpTable,MATCH($B4752,CalLookUpRow,0),MATCH(H$1,CalLookUpColumn,0))</f>
        <v>8</v>
      </c>
      <c r="I4752">
        <f>INDEX(CalLookUpTable,MATCH($B4752,CalLookUpRow,0),MATCH(I$1,CalLookUpColumn,0))</f>
        <v>3</v>
      </c>
    </row>
    <row r="4753" spans="1:9" x14ac:dyDescent="0.25">
      <c r="A4753" s="7">
        <v>3</v>
      </c>
      <c r="B4753" s="8">
        <v>43689</v>
      </c>
      <c r="C4753" s="9" t="s">
        <v>4</v>
      </c>
      <c r="D4753" s="10">
        <v>3264.5339999999997</v>
      </c>
      <c r="E4753" s="10">
        <v>0</v>
      </c>
      <c r="F4753" t="str">
        <f>VLOOKUP(A4753,StoreLookup,2,FALSE)</f>
        <v>Store#3</v>
      </c>
      <c r="G4753">
        <f>INDEX(CalLookUpTable,MATCH($B4753,CalLookUpRow,0),MATCH(G$1,CalLookUpColumn,0))</f>
        <v>2019</v>
      </c>
      <c r="H4753">
        <f>INDEX(CalLookUpTable,MATCH($B4753,CalLookUpRow,0),MATCH(H$1,CalLookUpColumn,0))</f>
        <v>8</v>
      </c>
      <c r="I4753">
        <f>INDEX(CalLookUpTable,MATCH($B4753,CalLookUpRow,0),MATCH(I$1,CalLookUpColumn,0))</f>
        <v>3</v>
      </c>
    </row>
    <row r="4754" spans="1:9" x14ac:dyDescent="0.25">
      <c r="A4754" s="7">
        <v>3</v>
      </c>
      <c r="B4754" s="8">
        <v>43690</v>
      </c>
      <c r="C4754" s="9" t="s">
        <v>3</v>
      </c>
      <c r="D4754" s="10">
        <v>398.92999999999995</v>
      </c>
      <c r="E4754" s="10">
        <v>0</v>
      </c>
      <c r="F4754" t="str">
        <f>VLOOKUP(A4754,StoreLookup,2,FALSE)</f>
        <v>Store#3</v>
      </c>
      <c r="G4754">
        <f>INDEX(CalLookUpTable,MATCH($B4754,CalLookUpRow,0),MATCH(G$1,CalLookUpColumn,0))</f>
        <v>2019</v>
      </c>
      <c r="H4754">
        <f>INDEX(CalLookUpTable,MATCH($B4754,CalLookUpRow,0),MATCH(H$1,CalLookUpColumn,0))</f>
        <v>8</v>
      </c>
      <c r="I4754">
        <f>INDEX(CalLookUpTable,MATCH($B4754,CalLookUpRow,0),MATCH(I$1,CalLookUpColumn,0))</f>
        <v>3</v>
      </c>
    </row>
    <row r="4755" spans="1:9" x14ac:dyDescent="0.25">
      <c r="A4755" s="7">
        <v>3</v>
      </c>
      <c r="B4755" s="8">
        <v>43690</v>
      </c>
      <c r="C4755" s="9" t="s">
        <v>4</v>
      </c>
      <c r="D4755" s="10">
        <v>3723.9579999999996</v>
      </c>
      <c r="E4755" s="10">
        <v>0</v>
      </c>
      <c r="F4755" t="str">
        <f>VLOOKUP(A4755,StoreLookup,2,FALSE)</f>
        <v>Store#3</v>
      </c>
      <c r="G4755">
        <f>INDEX(CalLookUpTable,MATCH($B4755,CalLookUpRow,0),MATCH(G$1,CalLookUpColumn,0))</f>
        <v>2019</v>
      </c>
      <c r="H4755">
        <f>INDEX(CalLookUpTable,MATCH($B4755,CalLookUpRow,0),MATCH(H$1,CalLookUpColumn,0))</f>
        <v>8</v>
      </c>
      <c r="I4755">
        <f>INDEX(CalLookUpTable,MATCH($B4755,CalLookUpRow,0),MATCH(I$1,CalLookUpColumn,0))</f>
        <v>3</v>
      </c>
    </row>
    <row r="4756" spans="1:9" x14ac:dyDescent="0.25">
      <c r="A4756" s="7">
        <v>3</v>
      </c>
      <c r="B4756" s="8">
        <v>43690</v>
      </c>
      <c r="C4756" s="9" t="s">
        <v>5</v>
      </c>
      <c r="D4756" s="10">
        <v>3322.9629999999997</v>
      </c>
      <c r="E4756" s="10">
        <v>0</v>
      </c>
      <c r="F4756" t="str">
        <f>VLOOKUP(A4756,StoreLookup,2,FALSE)</f>
        <v>Store#3</v>
      </c>
      <c r="G4756">
        <f>INDEX(CalLookUpTable,MATCH($B4756,CalLookUpRow,0),MATCH(G$1,CalLookUpColumn,0))</f>
        <v>2019</v>
      </c>
      <c r="H4756">
        <f>INDEX(CalLookUpTable,MATCH($B4756,CalLookUpRow,0),MATCH(H$1,CalLookUpColumn,0))</f>
        <v>8</v>
      </c>
      <c r="I4756">
        <f>INDEX(CalLookUpTable,MATCH($B4756,CalLookUpRow,0),MATCH(I$1,CalLookUpColumn,0))</f>
        <v>3</v>
      </c>
    </row>
    <row r="4757" spans="1:9" x14ac:dyDescent="0.25">
      <c r="A4757" s="7">
        <v>3</v>
      </c>
      <c r="B4757" s="8">
        <v>43690</v>
      </c>
      <c r="C4757" s="9" t="s">
        <v>6</v>
      </c>
      <c r="D4757" s="10">
        <v>858.71100000000001</v>
      </c>
      <c r="E4757" s="10">
        <v>0</v>
      </c>
      <c r="F4757" t="str">
        <f>VLOOKUP(A4757,StoreLookup,2,FALSE)</f>
        <v>Store#3</v>
      </c>
      <c r="G4757">
        <f>INDEX(CalLookUpTable,MATCH($B4757,CalLookUpRow,0),MATCH(G$1,CalLookUpColumn,0))</f>
        <v>2019</v>
      </c>
      <c r="H4757">
        <f>INDEX(CalLookUpTable,MATCH($B4757,CalLookUpRow,0),MATCH(H$1,CalLookUpColumn,0))</f>
        <v>8</v>
      </c>
      <c r="I4757">
        <f>INDEX(CalLookUpTable,MATCH($B4757,CalLookUpRow,0),MATCH(I$1,CalLookUpColumn,0))</f>
        <v>3</v>
      </c>
    </row>
    <row r="4758" spans="1:9" x14ac:dyDescent="0.25">
      <c r="A4758" s="7">
        <v>3</v>
      </c>
      <c r="B4758" s="8">
        <v>43691</v>
      </c>
      <c r="C4758" s="9" t="s">
        <v>3</v>
      </c>
      <c r="D4758" s="10">
        <v>136.73099999999999</v>
      </c>
      <c r="E4758" s="10">
        <v>0</v>
      </c>
      <c r="F4758" t="str">
        <f>VLOOKUP(A4758,StoreLookup,2,FALSE)</f>
        <v>Store#3</v>
      </c>
      <c r="G4758">
        <f>INDEX(CalLookUpTable,MATCH($B4758,CalLookUpRow,0),MATCH(G$1,CalLookUpColumn,0))</f>
        <v>2019</v>
      </c>
      <c r="H4758">
        <f>INDEX(CalLookUpTable,MATCH($B4758,CalLookUpRow,0),MATCH(H$1,CalLookUpColumn,0))</f>
        <v>8</v>
      </c>
      <c r="I4758">
        <f>INDEX(CalLookUpTable,MATCH($B4758,CalLookUpRow,0),MATCH(I$1,CalLookUpColumn,0))</f>
        <v>3</v>
      </c>
    </row>
    <row r="4759" spans="1:9" x14ac:dyDescent="0.25">
      <c r="A4759" s="7">
        <v>3</v>
      </c>
      <c r="B4759" s="8">
        <v>43691</v>
      </c>
      <c r="C4759" s="9" t="s">
        <v>4</v>
      </c>
      <c r="D4759" s="10">
        <v>3031.6649999999995</v>
      </c>
      <c r="E4759" s="10">
        <v>0</v>
      </c>
      <c r="F4759" t="str">
        <f>VLOOKUP(A4759,StoreLookup,2,FALSE)</f>
        <v>Store#3</v>
      </c>
      <c r="G4759">
        <f>INDEX(CalLookUpTable,MATCH($B4759,CalLookUpRow,0),MATCH(G$1,CalLookUpColumn,0))</f>
        <v>2019</v>
      </c>
      <c r="H4759">
        <f>INDEX(CalLookUpTable,MATCH($B4759,CalLookUpRow,0),MATCH(H$1,CalLookUpColumn,0))</f>
        <v>8</v>
      </c>
      <c r="I4759">
        <f>INDEX(CalLookUpTable,MATCH($B4759,CalLookUpRow,0),MATCH(I$1,CalLookUpColumn,0))</f>
        <v>3</v>
      </c>
    </row>
    <row r="4760" spans="1:9" x14ac:dyDescent="0.25">
      <c r="A4760" s="7">
        <v>3</v>
      </c>
      <c r="B4760" s="8">
        <v>43691</v>
      </c>
      <c r="C4760" s="9" t="s">
        <v>6</v>
      </c>
      <c r="D4760" s="10">
        <v>707.27299999999991</v>
      </c>
      <c r="E4760" s="10">
        <v>0</v>
      </c>
      <c r="F4760" t="str">
        <f>VLOOKUP(A4760,StoreLookup,2,FALSE)</f>
        <v>Store#3</v>
      </c>
      <c r="G4760">
        <f>INDEX(CalLookUpTable,MATCH($B4760,CalLookUpRow,0),MATCH(G$1,CalLookUpColumn,0))</f>
        <v>2019</v>
      </c>
      <c r="H4760">
        <f>INDEX(CalLookUpTable,MATCH($B4760,CalLookUpRow,0),MATCH(H$1,CalLookUpColumn,0))</f>
        <v>8</v>
      </c>
      <c r="I4760">
        <f>INDEX(CalLookUpTable,MATCH($B4760,CalLookUpRow,0),MATCH(I$1,CalLookUpColumn,0))</f>
        <v>3</v>
      </c>
    </row>
    <row r="4761" spans="1:9" x14ac:dyDescent="0.25">
      <c r="A4761" s="7">
        <v>3</v>
      </c>
      <c r="B4761" s="8">
        <v>43691</v>
      </c>
      <c r="C4761" s="9" t="s">
        <v>5</v>
      </c>
      <c r="D4761" s="10">
        <v>3063.0179999999996</v>
      </c>
      <c r="E4761" s="10">
        <v>0</v>
      </c>
      <c r="F4761" t="str">
        <f>VLOOKUP(A4761,StoreLookup,2,FALSE)</f>
        <v>Store#3</v>
      </c>
      <c r="G4761">
        <f>INDEX(CalLookUpTable,MATCH($B4761,CalLookUpRow,0),MATCH(G$1,CalLookUpColumn,0))</f>
        <v>2019</v>
      </c>
      <c r="H4761">
        <f>INDEX(CalLookUpTable,MATCH($B4761,CalLookUpRow,0),MATCH(H$1,CalLookUpColumn,0))</f>
        <v>8</v>
      </c>
      <c r="I4761">
        <f>INDEX(CalLookUpTable,MATCH($B4761,CalLookUpRow,0),MATCH(I$1,CalLookUpColumn,0))</f>
        <v>3</v>
      </c>
    </row>
    <row r="4762" spans="1:9" x14ac:dyDescent="0.25">
      <c r="A4762" s="7">
        <v>3</v>
      </c>
      <c r="B4762" s="8">
        <v>43692</v>
      </c>
      <c r="C4762" s="9" t="s">
        <v>5</v>
      </c>
      <c r="D4762" s="10">
        <v>3323.4390000000003</v>
      </c>
      <c r="E4762" s="10">
        <v>0</v>
      </c>
      <c r="F4762" t="str">
        <f>VLOOKUP(A4762,StoreLookup,2,FALSE)</f>
        <v>Store#3</v>
      </c>
      <c r="G4762">
        <f>INDEX(CalLookUpTable,MATCH($B4762,CalLookUpRow,0),MATCH(G$1,CalLookUpColumn,0))</f>
        <v>2019</v>
      </c>
      <c r="H4762">
        <f>INDEX(CalLookUpTable,MATCH($B4762,CalLookUpRow,0),MATCH(H$1,CalLookUpColumn,0))</f>
        <v>8</v>
      </c>
      <c r="I4762">
        <f>INDEX(CalLookUpTable,MATCH($B4762,CalLookUpRow,0),MATCH(I$1,CalLookUpColumn,0))</f>
        <v>3</v>
      </c>
    </row>
    <row r="4763" spans="1:9" x14ac:dyDescent="0.25">
      <c r="A4763" s="7">
        <v>3</v>
      </c>
      <c r="B4763" s="8">
        <v>43692</v>
      </c>
      <c r="C4763" s="9" t="s">
        <v>6</v>
      </c>
      <c r="D4763" s="10">
        <v>761.97099999999989</v>
      </c>
      <c r="E4763" s="10">
        <v>0</v>
      </c>
      <c r="F4763" t="str">
        <f>VLOOKUP(A4763,StoreLookup,2,FALSE)</f>
        <v>Store#3</v>
      </c>
      <c r="G4763">
        <f>INDEX(CalLookUpTable,MATCH($B4763,CalLookUpRow,0),MATCH(G$1,CalLookUpColumn,0))</f>
        <v>2019</v>
      </c>
      <c r="H4763">
        <f>INDEX(CalLookUpTable,MATCH($B4763,CalLookUpRow,0),MATCH(H$1,CalLookUpColumn,0))</f>
        <v>8</v>
      </c>
      <c r="I4763">
        <f>INDEX(CalLookUpTable,MATCH($B4763,CalLookUpRow,0),MATCH(I$1,CalLookUpColumn,0))</f>
        <v>3</v>
      </c>
    </row>
    <row r="4764" spans="1:9" x14ac:dyDescent="0.25">
      <c r="A4764" s="7">
        <v>3</v>
      </c>
      <c r="B4764" s="8">
        <v>43692</v>
      </c>
      <c r="C4764" s="9" t="s">
        <v>4</v>
      </c>
      <c r="D4764" s="10">
        <v>4000.2339999999995</v>
      </c>
      <c r="E4764" s="10">
        <v>0</v>
      </c>
      <c r="F4764" t="str">
        <f>VLOOKUP(A4764,StoreLookup,2,FALSE)</f>
        <v>Store#3</v>
      </c>
      <c r="G4764">
        <f>INDEX(CalLookUpTable,MATCH($B4764,CalLookUpRow,0),MATCH(G$1,CalLookUpColumn,0))</f>
        <v>2019</v>
      </c>
      <c r="H4764">
        <f>INDEX(CalLookUpTable,MATCH($B4764,CalLookUpRow,0),MATCH(H$1,CalLookUpColumn,0))</f>
        <v>8</v>
      </c>
      <c r="I4764">
        <f>INDEX(CalLookUpTable,MATCH($B4764,CalLookUpRow,0),MATCH(I$1,CalLookUpColumn,0))</f>
        <v>3</v>
      </c>
    </row>
    <row r="4765" spans="1:9" x14ac:dyDescent="0.25">
      <c r="A4765" s="7">
        <v>3</v>
      </c>
      <c r="B4765" s="8">
        <v>43692</v>
      </c>
      <c r="C4765" s="9" t="s">
        <v>3</v>
      </c>
      <c r="D4765" s="10">
        <v>36.098999999999997</v>
      </c>
      <c r="E4765" s="10">
        <v>0</v>
      </c>
      <c r="F4765" t="str">
        <f>VLOOKUP(A4765,StoreLookup,2,FALSE)</f>
        <v>Store#3</v>
      </c>
      <c r="G4765">
        <f>INDEX(CalLookUpTable,MATCH($B4765,CalLookUpRow,0),MATCH(G$1,CalLookUpColumn,0))</f>
        <v>2019</v>
      </c>
      <c r="H4765">
        <f>INDEX(CalLookUpTable,MATCH($B4765,CalLookUpRow,0),MATCH(H$1,CalLookUpColumn,0))</f>
        <v>8</v>
      </c>
      <c r="I4765">
        <f>INDEX(CalLookUpTable,MATCH($B4765,CalLookUpRow,0),MATCH(I$1,CalLookUpColumn,0))</f>
        <v>3</v>
      </c>
    </row>
    <row r="4766" spans="1:9" x14ac:dyDescent="0.25">
      <c r="A4766" s="7">
        <v>3</v>
      </c>
      <c r="B4766" s="8">
        <v>43693</v>
      </c>
      <c r="C4766" s="9" t="s">
        <v>4</v>
      </c>
      <c r="D4766" s="10">
        <v>4284.4690000000001</v>
      </c>
      <c r="E4766" s="10">
        <v>0</v>
      </c>
      <c r="F4766" t="str">
        <f>VLOOKUP(A4766,StoreLookup,2,FALSE)</f>
        <v>Store#3</v>
      </c>
      <c r="G4766">
        <f>INDEX(CalLookUpTable,MATCH($B4766,CalLookUpRow,0),MATCH(G$1,CalLookUpColumn,0))</f>
        <v>2019</v>
      </c>
      <c r="H4766">
        <f>INDEX(CalLookUpTable,MATCH($B4766,CalLookUpRow,0),MATCH(H$1,CalLookUpColumn,0))</f>
        <v>8</v>
      </c>
      <c r="I4766">
        <f>INDEX(CalLookUpTable,MATCH($B4766,CalLookUpRow,0),MATCH(I$1,CalLookUpColumn,0))</f>
        <v>3</v>
      </c>
    </row>
    <row r="4767" spans="1:9" x14ac:dyDescent="0.25">
      <c r="A4767" s="7">
        <v>3</v>
      </c>
      <c r="B4767" s="8">
        <v>43693</v>
      </c>
      <c r="C4767" s="9" t="s">
        <v>6</v>
      </c>
      <c r="D4767" s="10">
        <v>866.2639999999999</v>
      </c>
      <c r="E4767" s="10">
        <v>0</v>
      </c>
      <c r="F4767" t="str">
        <f>VLOOKUP(A4767,StoreLookup,2,FALSE)</f>
        <v>Store#3</v>
      </c>
      <c r="G4767">
        <f>INDEX(CalLookUpTable,MATCH($B4767,CalLookUpRow,0),MATCH(G$1,CalLookUpColumn,0))</f>
        <v>2019</v>
      </c>
      <c r="H4767">
        <f>INDEX(CalLookUpTable,MATCH($B4767,CalLookUpRow,0),MATCH(H$1,CalLookUpColumn,0))</f>
        <v>8</v>
      </c>
      <c r="I4767">
        <f>INDEX(CalLookUpTable,MATCH($B4767,CalLookUpRow,0),MATCH(I$1,CalLookUpColumn,0))</f>
        <v>3</v>
      </c>
    </row>
    <row r="4768" spans="1:9" x14ac:dyDescent="0.25">
      <c r="A4768" s="7">
        <v>3</v>
      </c>
      <c r="B4768" s="8">
        <v>43693</v>
      </c>
      <c r="C4768" s="9" t="s">
        <v>3</v>
      </c>
      <c r="D4768" s="10">
        <v>683.65499999999997</v>
      </c>
      <c r="E4768" s="10">
        <v>0</v>
      </c>
      <c r="F4768" t="str">
        <f>VLOOKUP(A4768,StoreLookup,2,FALSE)</f>
        <v>Store#3</v>
      </c>
      <c r="G4768">
        <f>INDEX(CalLookUpTable,MATCH($B4768,CalLookUpRow,0),MATCH(G$1,CalLookUpColumn,0))</f>
        <v>2019</v>
      </c>
      <c r="H4768">
        <f>INDEX(CalLookUpTable,MATCH($B4768,CalLookUpRow,0),MATCH(H$1,CalLookUpColumn,0))</f>
        <v>8</v>
      </c>
      <c r="I4768">
        <f>INDEX(CalLookUpTable,MATCH($B4768,CalLookUpRow,0),MATCH(I$1,CalLookUpColumn,0))</f>
        <v>3</v>
      </c>
    </row>
    <row r="4769" spans="1:9" x14ac:dyDescent="0.25">
      <c r="A4769" s="7">
        <v>3</v>
      </c>
      <c r="B4769" s="8">
        <v>43693</v>
      </c>
      <c r="C4769" s="9" t="s">
        <v>5</v>
      </c>
      <c r="D4769" s="10">
        <v>3822.4409999999998</v>
      </c>
      <c r="E4769" s="10">
        <v>0</v>
      </c>
      <c r="F4769" t="str">
        <f>VLOOKUP(A4769,StoreLookup,2,FALSE)</f>
        <v>Store#3</v>
      </c>
      <c r="G4769">
        <f>INDEX(CalLookUpTable,MATCH($B4769,CalLookUpRow,0),MATCH(G$1,CalLookUpColumn,0))</f>
        <v>2019</v>
      </c>
      <c r="H4769">
        <f>INDEX(CalLookUpTable,MATCH($B4769,CalLookUpRow,0),MATCH(H$1,CalLookUpColumn,0))</f>
        <v>8</v>
      </c>
      <c r="I4769">
        <f>INDEX(CalLookUpTable,MATCH($B4769,CalLookUpRow,0),MATCH(I$1,CalLookUpColumn,0))</f>
        <v>3</v>
      </c>
    </row>
    <row r="4770" spans="1:9" x14ac:dyDescent="0.25">
      <c r="A4770" s="7">
        <v>3</v>
      </c>
      <c r="B4770" s="8">
        <v>43694</v>
      </c>
      <c r="C4770" s="9" t="s">
        <v>4</v>
      </c>
      <c r="D4770" s="10">
        <v>3612.0209999999997</v>
      </c>
      <c r="E4770" s="10">
        <v>0</v>
      </c>
      <c r="F4770" t="str">
        <f>VLOOKUP(A4770,StoreLookup,2,FALSE)</f>
        <v>Store#3</v>
      </c>
      <c r="G4770">
        <f>INDEX(CalLookUpTable,MATCH($B4770,CalLookUpRow,0),MATCH(G$1,CalLookUpColumn,0))</f>
        <v>2019</v>
      </c>
      <c r="H4770">
        <f>INDEX(CalLookUpTable,MATCH($B4770,CalLookUpRow,0),MATCH(H$1,CalLookUpColumn,0))</f>
        <v>8</v>
      </c>
      <c r="I4770">
        <f>INDEX(CalLookUpTable,MATCH($B4770,CalLookUpRow,0),MATCH(I$1,CalLookUpColumn,0))</f>
        <v>3</v>
      </c>
    </row>
    <row r="4771" spans="1:9" x14ac:dyDescent="0.25">
      <c r="A4771" s="7">
        <v>3</v>
      </c>
      <c r="B4771" s="8">
        <v>43694</v>
      </c>
      <c r="C4771" s="9" t="s">
        <v>3</v>
      </c>
      <c r="D4771" s="10">
        <v>83.950999999999993</v>
      </c>
      <c r="E4771" s="10">
        <v>0</v>
      </c>
      <c r="F4771" t="str">
        <f>VLOOKUP(A4771,StoreLookup,2,FALSE)</f>
        <v>Store#3</v>
      </c>
      <c r="G4771">
        <f>INDEX(CalLookUpTable,MATCH($B4771,CalLookUpRow,0),MATCH(G$1,CalLookUpColumn,0))</f>
        <v>2019</v>
      </c>
      <c r="H4771">
        <f>INDEX(CalLookUpTable,MATCH($B4771,CalLookUpRow,0),MATCH(H$1,CalLookUpColumn,0))</f>
        <v>8</v>
      </c>
      <c r="I4771">
        <f>INDEX(CalLookUpTable,MATCH($B4771,CalLookUpRow,0),MATCH(I$1,CalLookUpColumn,0))</f>
        <v>3</v>
      </c>
    </row>
    <row r="4772" spans="1:9" x14ac:dyDescent="0.25">
      <c r="A4772" s="7">
        <v>3</v>
      </c>
      <c r="B4772" s="8">
        <v>43694</v>
      </c>
      <c r="C4772" s="9" t="s">
        <v>6</v>
      </c>
      <c r="D4772" s="10">
        <v>639.5619999999999</v>
      </c>
      <c r="E4772" s="10">
        <v>0</v>
      </c>
      <c r="F4772" t="str">
        <f>VLOOKUP(A4772,StoreLookup,2,FALSE)</f>
        <v>Store#3</v>
      </c>
      <c r="G4772">
        <f>INDEX(CalLookUpTable,MATCH($B4772,CalLookUpRow,0),MATCH(G$1,CalLookUpColumn,0))</f>
        <v>2019</v>
      </c>
      <c r="H4772">
        <f>INDEX(CalLookUpTable,MATCH($B4772,CalLookUpRow,0),MATCH(H$1,CalLookUpColumn,0))</f>
        <v>8</v>
      </c>
      <c r="I4772">
        <f>INDEX(CalLookUpTable,MATCH($B4772,CalLookUpRow,0),MATCH(I$1,CalLookUpColumn,0))</f>
        <v>3</v>
      </c>
    </row>
    <row r="4773" spans="1:9" x14ac:dyDescent="0.25">
      <c r="A4773" s="7">
        <v>3</v>
      </c>
      <c r="B4773" s="8">
        <v>43694</v>
      </c>
      <c r="C4773" s="9" t="s">
        <v>5</v>
      </c>
      <c r="D4773" s="10">
        <v>3581.9839999999999</v>
      </c>
      <c r="E4773" s="10">
        <v>0</v>
      </c>
      <c r="F4773" t="str">
        <f>VLOOKUP(A4773,StoreLookup,2,FALSE)</f>
        <v>Store#3</v>
      </c>
      <c r="G4773">
        <f>INDEX(CalLookUpTable,MATCH($B4773,CalLookUpRow,0),MATCH(G$1,CalLookUpColumn,0))</f>
        <v>2019</v>
      </c>
      <c r="H4773">
        <f>INDEX(CalLookUpTable,MATCH($B4773,CalLookUpRow,0),MATCH(H$1,CalLookUpColumn,0))</f>
        <v>8</v>
      </c>
      <c r="I4773">
        <f>INDEX(CalLookUpTable,MATCH($B4773,CalLookUpRow,0),MATCH(I$1,CalLookUpColumn,0))</f>
        <v>3</v>
      </c>
    </row>
    <row r="4774" spans="1:9" x14ac:dyDescent="0.25">
      <c r="A4774" s="7">
        <v>3</v>
      </c>
      <c r="B4774" s="8">
        <v>43695</v>
      </c>
      <c r="C4774" s="9" t="s">
        <v>5</v>
      </c>
      <c r="D4774" s="10">
        <v>3194.422</v>
      </c>
      <c r="E4774" s="10">
        <v>0</v>
      </c>
      <c r="F4774" t="str">
        <f>VLOOKUP(A4774,StoreLookup,2,FALSE)</f>
        <v>Store#3</v>
      </c>
      <c r="G4774">
        <f>INDEX(CalLookUpTable,MATCH($B4774,CalLookUpRow,0),MATCH(G$1,CalLookUpColumn,0))</f>
        <v>2019</v>
      </c>
      <c r="H4774">
        <f>INDEX(CalLookUpTable,MATCH($B4774,CalLookUpRow,0),MATCH(H$1,CalLookUpColumn,0))</f>
        <v>8</v>
      </c>
      <c r="I4774">
        <f>INDEX(CalLookUpTable,MATCH($B4774,CalLookUpRow,0),MATCH(I$1,CalLookUpColumn,0))</f>
        <v>3</v>
      </c>
    </row>
    <row r="4775" spans="1:9" x14ac:dyDescent="0.25">
      <c r="A4775" s="7">
        <v>3</v>
      </c>
      <c r="B4775" s="8">
        <v>43695</v>
      </c>
      <c r="C4775" s="9" t="s">
        <v>3</v>
      </c>
      <c r="D4775" s="10">
        <v>0</v>
      </c>
      <c r="E4775" s="10">
        <v>0</v>
      </c>
      <c r="F4775" t="str">
        <f>VLOOKUP(A4775,StoreLookup,2,FALSE)</f>
        <v>Store#3</v>
      </c>
      <c r="G4775">
        <f>INDEX(CalLookUpTable,MATCH($B4775,CalLookUpRow,0),MATCH(G$1,CalLookUpColumn,0))</f>
        <v>2019</v>
      </c>
      <c r="H4775">
        <f>INDEX(CalLookUpTable,MATCH($B4775,CalLookUpRow,0),MATCH(H$1,CalLookUpColumn,0))</f>
        <v>8</v>
      </c>
      <c r="I4775">
        <f>INDEX(CalLookUpTable,MATCH($B4775,CalLookUpRow,0),MATCH(I$1,CalLookUpColumn,0))</f>
        <v>3</v>
      </c>
    </row>
    <row r="4776" spans="1:9" x14ac:dyDescent="0.25">
      <c r="A4776" s="7">
        <v>3</v>
      </c>
      <c r="B4776" s="8">
        <v>43695</v>
      </c>
      <c r="C4776" s="9" t="s">
        <v>6</v>
      </c>
      <c r="D4776" s="10">
        <v>654.31099999999992</v>
      </c>
      <c r="E4776" s="10">
        <v>0</v>
      </c>
      <c r="F4776" t="str">
        <f>VLOOKUP(A4776,StoreLookup,2,FALSE)</f>
        <v>Store#3</v>
      </c>
      <c r="G4776">
        <f>INDEX(CalLookUpTable,MATCH($B4776,CalLookUpRow,0),MATCH(G$1,CalLookUpColumn,0))</f>
        <v>2019</v>
      </c>
      <c r="H4776">
        <f>INDEX(CalLookUpTable,MATCH($B4776,CalLookUpRow,0),MATCH(H$1,CalLookUpColumn,0))</f>
        <v>8</v>
      </c>
      <c r="I4776">
        <f>INDEX(CalLookUpTable,MATCH($B4776,CalLookUpRow,0),MATCH(I$1,CalLookUpColumn,0))</f>
        <v>3</v>
      </c>
    </row>
    <row r="4777" spans="1:9" x14ac:dyDescent="0.25">
      <c r="A4777" s="7">
        <v>3</v>
      </c>
      <c r="B4777" s="8">
        <v>43695</v>
      </c>
      <c r="C4777" s="9" t="s">
        <v>4</v>
      </c>
      <c r="D4777" s="10">
        <v>3328.5489999999995</v>
      </c>
      <c r="E4777" s="10">
        <v>0</v>
      </c>
      <c r="F4777" t="str">
        <f>VLOOKUP(A4777,StoreLookup,2,FALSE)</f>
        <v>Store#3</v>
      </c>
      <c r="G4777">
        <f>INDEX(CalLookUpTable,MATCH($B4777,CalLookUpRow,0),MATCH(G$1,CalLookUpColumn,0))</f>
        <v>2019</v>
      </c>
      <c r="H4777">
        <f>INDEX(CalLookUpTable,MATCH($B4777,CalLookUpRow,0),MATCH(H$1,CalLookUpColumn,0))</f>
        <v>8</v>
      </c>
      <c r="I4777">
        <f>INDEX(CalLookUpTable,MATCH($B4777,CalLookUpRow,0),MATCH(I$1,CalLookUpColumn,0))</f>
        <v>3</v>
      </c>
    </row>
    <row r="4778" spans="1:9" x14ac:dyDescent="0.25">
      <c r="A4778" s="7">
        <v>3</v>
      </c>
      <c r="B4778" s="8">
        <v>43696</v>
      </c>
      <c r="C4778" s="9" t="s">
        <v>5</v>
      </c>
      <c r="D4778" s="10">
        <v>3063.8299999999995</v>
      </c>
      <c r="E4778" s="10">
        <v>0</v>
      </c>
      <c r="F4778" t="str">
        <f>VLOOKUP(A4778,StoreLookup,2,FALSE)</f>
        <v>Store#3</v>
      </c>
      <c r="G4778">
        <f>INDEX(CalLookUpTable,MATCH($B4778,CalLookUpRow,0),MATCH(G$1,CalLookUpColumn,0))</f>
        <v>2019</v>
      </c>
      <c r="H4778">
        <f>INDEX(CalLookUpTable,MATCH($B4778,CalLookUpRow,0),MATCH(H$1,CalLookUpColumn,0))</f>
        <v>8</v>
      </c>
      <c r="I4778">
        <f>INDEX(CalLookUpTable,MATCH($B4778,CalLookUpRow,0),MATCH(I$1,CalLookUpColumn,0))</f>
        <v>4</v>
      </c>
    </row>
    <row r="4779" spans="1:9" x14ac:dyDescent="0.25">
      <c r="A4779" s="7">
        <v>3</v>
      </c>
      <c r="B4779" s="8">
        <v>43696</v>
      </c>
      <c r="C4779" s="9" t="s">
        <v>6</v>
      </c>
      <c r="D4779" s="10">
        <v>882.798</v>
      </c>
      <c r="E4779" s="10">
        <v>0</v>
      </c>
      <c r="F4779" t="str">
        <f>VLOOKUP(A4779,StoreLookup,2,FALSE)</f>
        <v>Store#3</v>
      </c>
      <c r="G4779">
        <f>INDEX(CalLookUpTable,MATCH($B4779,CalLookUpRow,0),MATCH(G$1,CalLookUpColumn,0))</f>
        <v>2019</v>
      </c>
      <c r="H4779">
        <f>INDEX(CalLookUpTable,MATCH($B4779,CalLookUpRow,0),MATCH(H$1,CalLookUpColumn,0))</f>
        <v>8</v>
      </c>
      <c r="I4779">
        <f>INDEX(CalLookUpTable,MATCH($B4779,CalLookUpRow,0),MATCH(I$1,CalLookUpColumn,0))</f>
        <v>4</v>
      </c>
    </row>
    <row r="4780" spans="1:9" x14ac:dyDescent="0.25">
      <c r="A4780" s="7">
        <v>3</v>
      </c>
      <c r="B4780" s="8">
        <v>43696</v>
      </c>
      <c r="C4780" s="9" t="s">
        <v>3</v>
      </c>
      <c r="D4780" s="10">
        <v>0</v>
      </c>
      <c r="E4780" s="10">
        <v>0</v>
      </c>
      <c r="F4780" t="str">
        <f>VLOOKUP(A4780,StoreLookup,2,FALSE)</f>
        <v>Store#3</v>
      </c>
      <c r="G4780">
        <f>INDEX(CalLookUpTable,MATCH($B4780,CalLookUpRow,0),MATCH(G$1,CalLookUpColumn,0))</f>
        <v>2019</v>
      </c>
      <c r="H4780">
        <f>INDEX(CalLookUpTable,MATCH($B4780,CalLookUpRow,0),MATCH(H$1,CalLookUpColumn,0))</f>
        <v>8</v>
      </c>
      <c r="I4780">
        <f>INDEX(CalLookUpTable,MATCH($B4780,CalLookUpRow,0),MATCH(I$1,CalLookUpColumn,0))</f>
        <v>4</v>
      </c>
    </row>
    <row r="4781" spans="1:9" x14ac:dyDescent="0.25">
      <c r="A4781" s="7">
        <v>3</v>
      </c>
      <c r="B4781" s="8">
        <v>43696</v>
      </c>
      <c r="C4781" s="9" t="s">
        <v>4</v>
      </c>
      <c r="D4781" s="10">
        <v>3406.1649999999995</v>
      </c>
      <c r="E4781" s="10">
        <v>0</v>
      </c>
      <c r="F4781" t="str">
        <f>VLOOKUP(A4781,StoreLookup,2,FALSE)</f>
        <v>Store#3</v>
      </c>
      <c r="G4781">
        <f>INDEX(CalLookUpTable,MATCH($B4781,CalLookUpRow,0),MATCH(G$1,CalLookUpColumn,0))</f>
        <v>2019</v>
      </c>
      <c r="H4781">
        <f>INDEX(CalLookUpTable,MATCH($B4781,CalLookUpRow,0),MATCH(H$1,CalLookUpColumn,0))</f>
        <v>8</v>
      </c>
      <c r="I4781">
        <f>INDEX(CalLookUpTable,MATCH($B4781,CalLookUpRow,0),MATCH(I$1,CalLookUpColumn,0))</f>
        <v>4</v>
      </c>
    </row>
    <row r="4782" spans="1:9" x14ac:dyDescent="0.25">
      <c r="A4782" s="7">
        <v>3</v>
      </c>
      <c r="B4782" s="8">
        <v>43697</v>
      </c>
      <c r="C4782" s="9" t="s">
        <v>4</v>
      </c>
      <c r="D4782" s="10">
        <v>2707.355</v>
      </c>
      <c r="E4782" s="10">
        <v>0</v>
      </c>
      <c r="F4782" t="str">
        <f>VLOOKUP(A4782,StoreLookup,2,FALSE)</f>
        <v>Store#3</v>
      </c>
      <c r="G4782">
        <f>INDEX(CalLookUpTable,MATCH($B4782,CalLookUpRow,0),MATCH(G$1,CalLookUpColumn,0))</f>
        <v>2019</v>
      </c>
      <c r="H4782">
        <f>INDEX(CalLookUpTable,MATCH($B4782,CalLookUpRow,0),MATCH(H$1,CalLookUpColumn,0))</f>
        <v>8</v>
      </c>
      <c r="I4782">
        <f>INDEX(CalLookUpTable,MATCH($B4782,CalLookUpRow,0),MATCH(I$1,CalLookUpColumn,0))</f>
        <v>4</v>
      </c>
    </row>
    <row r="4783" spans="1:9" x14ac:dyDescent="0.25">
      <c r="A4783" s="7">
        <v>3</v>
      </c>
      <c r="B4783" s="8">
        <v>43697</v>
      </c>
      <c r="C4783" s="9" t="s">
        <v>3</v>
      </c>
      <c r="D4783" s="10">
        <v>507.64</v>
      </c>
      <c r="E4783" s="10">
        <v>0</v>
      </c>
      <c r="F4783" t="str">
        <f>VLOOKUP(A4783,StoreLookup,2,FALSE)</f>
        <v>Store#3</v>
      </c>
      <c r="G4783">
        <f>INDEX(CalLookUpTable,MATCH($B4783,CalLookUpRow,0),MATCH(G$1,CalLookUpColumn,0))</f>
        <v>2019</v>
      </c>
      <c r="H4783">
        <f>INDEX(CalLookUpTable,MATCH($B4783,CalLookUpRow,0),MATCH(H$1,CalLookUpColumn,0))</f>
        <v>8</v>
      </c>
      <c r="I4783">
        <f>INDEX(CalLookUpTable,MATCH($B4783,CalLookUpRow,0),MATCH(I$1,CalLookUpColumn,0))</f>
        <v>4</v>
      </c>
    </row>
    <row r="4784" spans="1:9" x14ac:dyDescent="0.25">
      <c r="A4784" s="7">
        <v>3</v>
      </c>
      <c r="B4784" s="8">
        <v>43697</v>
      </c>
      <c r="C4784" s="9" t="s">
        <v>6</v>
      </c>
      <c r="D4784" s="10">
        <v>691.01899999999989</v>
      </c>
      <c r="E4784" s="10">
        <v>0</v>
      </c>
      <c r="F4784" t="str">
        <f>VLOOKUP(A4784,StoreLookup,2,FALSE)</f>
        <v>Store#3</v>
      </c>
      <c r="G4784">
        <f>INDEX(CalLookUpTable,MATCH($B4784,CalLookUpRow,0),MATCH(G$1,CalLookUpColumn,0))</f>
        <v>2019</v>
      </c>
      <c r="H4784">
        <f>INDEX(CalLookUpTable,MATCH($B4784,CalLookUpRow,0),MATCH(H$1,CalLookUpColumn,0))</f>
        <v>8</v>
      </c>
      <c r="I4784">
        <f>INDEX(CalLookUpTable,MATCH($B4784,CalLookUpRow,0),MATCH(I$1,CalLookUpColumn,0))</f>
        <v>4</v>
      </c>
    </row>
    <row r="4785" spans="1:9" x14ac:dyDescent="0.25">
      <c r="A4785" s="7">
        <v>3</v>
      </c>
      <c r="B4785" s="8">
        <v>43697</v>
      </c>
      <c r="C4785" s="9" t="s">
        <v>5</v>
      </c>
      <c r="D4785" s="10">
        <v>3161.5920000000001</v>
      </c>
      <c r="E4785" s="10">
        <v>0</v>
      </c>
      <c r="F4785" t="str">
        <f>VLOOKUP(A4785,StoreLookup,2,FALSE)</f>
        <v>Store#3</v>
      </c>
      <c r="G4785">
        <f>INDEX(CalLookUpTable,MATCH($B4785,CalLookUpRow,0),MATCH(G$1,CalLookUpColumn,0))</f>
        <v>2019</v>
      </c>
      <c r="H4785">
        <f>INDEX(CalLookUpTable,MATCH($B4785,CalLookUpRow,0),MATCH(H$1,CalLookUpColumn,0))</f>
        <v>8</v>
      </c>
      <c r="I4785">
        <f>INDEX(CalLookUpTable,MATCH($B4785,CalLookUpRow,0),MATCH(I$1,CalLookUpColumn,0))</f>
        <v>4</v>
      </c>
    </row>
    <row r="4786" spans="1:9" x14ac:dyDescent="0.25">
      <c r="A4786" s="7">
        <v>3</v>
      </c>
      <c r="B4786" s="8">
        <v>43698</v>
      </c>
      <c r="C4786" s="9" t="s">
        <v>6</v>
      </c>
      <c r="D4786" s="10">
        <v>668.71699999999987</v>
      </c>
      <c r="E4786" s="10">
        <v>6.7129999999999992</v>
      </c>
      <c r="F4786" t="str">
        <f>VLOOKUP(A4786,StoreLookup,2,FALSE)</f>
        <v>Store#3</v>
      </c>
      <c r="G4786">
        <f>INDEX(CalLookUpTable,MATCH($B4786,CalLookUpRow,0),MATCH(G$1,CalLookUpColumn,0))</f>
        <v>2019</v>
      </c>
      <c r="H4786">
        <f>INDEX(CalLookUpTable,MATCH($B4786,CalLookUpRow,0),MATCH(H$1,CalLookUpColumn,0))</f>
        <v>8</v>
      </c>
      <c r="I4786">
        <f>INDEX(CalLookUpTable,MATCH($B4786,CalLookUpRow,0),MATCH(I$1,CalLookUpColumn,0))</f>
        <v>4</v>
      </c>
    </row>
    <row r="4787" spans="1:9" x14ac:dyDescent="0.25">
      <c r="A4787" s="7">
        <v>3</v>
      </c>
      <c r="B4787" s="8">
        <v>43698</v>
      </c>
      <c r="C4787" s="9" t="s">
        <v>4</v>
      </c>
      <c r="D4787" s="10">
        <v>3544.1</v>
      </c>
      <c r="E4787" s="10">
        <v>0</v>
      </c>
      <c r="F4787" t="str">
        <f>VLOOKUP(A4787,StoreLookup,2,FALSE)</f>
        <v>Store#3</v>
      </c>
      <c r="G4787">
        <f>INDEX(CalLookUpTable,MATCH($B4787,CalLookUpRow,0),MATCH(G$1,CalLookUpColumn,0))</f>
        <v>2019</v>
      </c>
      <c r="H4787">
        <f>INDEX(CalLookUpTable,MATCH($B4787,CalLookUpRow,0),MATCH(H$1,CalLookUpColumn,0))</f>
        <v>8</v>
      </c>
      <c r="I4787">
        <f>INDEX(CalLookUpTable,MATCH($B4787,CalLookUpRow,0),MATCH(I$1,CalLookUpColumn,0))</f>
        <v>4</v>
      </c>
    </row>
    <row r="4788" spans="1:9" x14ac:dyDescent="0.25">
      <c r="A4788" s="7">
        <v>3</v>
      </c>
      <c r="B4788" s="8">
        <v>43698</v>
      </c>
      <c r="C4788" s="9" t="s">
        <v>3</v>
      </c>
      <c r="D4788" s="10">
        <v>0</v>
      </c>
      <c r="E4788" s="10">
        <v>0</v>
      </c>
      <c r="F4788" t="str">
        <f>VLOOKUP(A4788,StoreLookup,2,FALSE)</f>
        <v>Store#3</v>
      </c>
      <c r="G4788">
        <f>INDEX(CalLookUpTable,MATCH($B4788,CalLookUpRow,0),MATCH(G$1,CalLookUpColumn,0))</f>
        <v>2019</v>
      </c>
      <c r="H4788">
        <f>INDEX(CalLookUpTable,MATCH($B4788,CalLookUpRow,0),MATCH(H$1,CalLookUpColumn,0))</f>
        <v>8</v>
      </c>
      <c r="I4788">
        <f>INDEX(CalLookUpTable,MATCH($B4788,CalLookUpRow,0),MATCH(I$1,CalLookUpColumn,0))</f>
        <v>4</v>
      </c>
    </row>
    <row r="4789" spans="1:9" x14ac:dyDescent="0.25">
      <c r="A4789" s="7">
        <v>3</v>
      </c>
      <c r="B4789" s="8">
        <v>43698</v>
      </c>
      <c r="C4789" s="9" t="s">
        <v>5</v>
      </c>
      <c r="D4789" s="10">
        <v>3252.3539999999998</v>
      </c>
      <c r="E4789" s="10">
        <v>0</v>
      </c>
      <c r="F4789" t="str">
        <f>VLOOKUP(A4789,StoreLookup,2,FALSE)</f>
        <v>Store#3</v>
      </c>
      <c r="G4789">
        <f>INDEX(CalLookUpTable,MATCH($B4789,CalLookUpRow,0),MATCH(G$1,CalLookUpColumn,0))</f>
        <v>2019</v>
      </c>
      <c r="H4789">
        <f>INDEX(CalLookUpTable,MATCH($B4789,CalLookUpRow,0),MATCH(H$1,CalLookUpColumn,0))</f>
        <v>8</v>
      </c>
      <c r="I4789">
        <f>INDEX(CalLookUpTable,MATCH($B4789,CalLookUpRow,0),MATCH(I$1,CalLookUpColumn,0))</f>
        <v>4</v>
      </c>
    </row>
    <row r="4790" spans="1:9" x14ac:dyDescent="0.25">
      <c r="A4790" s="7">
        <v>3</v>
      </c>
      <c r="B4790" s="8">
        <v>43699</v>
      </c>
      <c r="C4790" s="9" t="s">
        <v>4</v>
      </c>
      <c r="D4790" s="10">
        <v>3426.3249999999998</v>
      </c>
      <c r="E4790" s="10">
        <v>0</v>
      </c>
      <c r="F4790" t="str">
        <f>VLOOKUP(A4790,StoreLookup,2,FALSE)</f>
        <v>Store#3</v>
      </c>
      <c r="G4790">
        <f>INDEX(CalLookUpTable,MATCH($B4790,CalLookUpRow,0),MATCH(G$1,CalLookUpColumn,0))</f>
        <v>2019</v>
      </c>
      <c r="H4790">
        <f>INDEX(CalLookUpTable,MATCH($B4790,CalLookUpRow,0),MATCH(H$1,CalLookUpColumn,0))</f>
        <v>8</v>
      </c>
      <c r="I4790">
        <f>INDEX(CalLookUpTable,MATCH($B4790,CalLookUpRow,0),MATCH(I$1,CalLookUpColumn,0))</f>
        <v>4</v>
      </c>
    </row>
    <row r="4791" spans="1:9" x14ac:dyDescent="0.25">
      <c r="A4791" s="7">
        <v>3</v>
      </c>
      <c r="B4791" s="8">
        <v>43699</v>
      </c>
      <c r="C4791" s="9" t="s">
        <v>6</v>
      </c>
      <c r="D4791" s="10">
        <v>763.24499999999989</v>
      </c>
      <c r="E4791" s="10">
        <v>6.7129999999999992</v>
      </c>
      <c r="F4791" t="str">
        <f>VLOOKUP(A4791,StoreLookup,2,FALSE)</f>
        <v>Store#3</v>
      </c>
      <c r="G4791">
        <f>INDEX(CalLookUpTable,MATCH($B4791,CalLookUpRow,0),MATCH(G$1,CalLookUpColumn,0))</f>
        <v>2019</v>
      </c>
      <c r="H4791">
        <f>INDEX(CalLookUpTable,MATCH($B4791,CalLookUpRow,0),MATCH(H$1,CalLookUpColumn,0))</f>
        <v>8</v>
      </c>
      <c r="I4791">
        <f>INDEX(CalLookUpTable,MATCH($B4791,CalLookUpRow,0),MATCH(I$1,CalLookUpColumn,0))</f>
        <v>4</v>
      </c>
    </row>
    <row r="4792" spans="1:9" x14ac:dyDescent="0.25">
      <c r="A4792" s="7">
        <v>3</v>
      </c>
      <c r="B4792" s="8">
        <v>43699</v>
      </c>
      <c r="C4792" s="9" t="s">
        <v>5</v>
      </c>
      <c r="D4792" s="10">
        <v>3552.99</v>
      </c>
      <c r="E4792" s="10">
        <v>0</v>
      </c>
      <c r="F4792" t="str">
        <f>VLOOKUP(A4792,StoreLookup,2,FALSE)</f>
        <v>Store#3</v>
      </c>
      <c r="G4792">
        <f>INDEX(CalLookUpTable,MATCH($B4792,CalLookUpRow,0),MATCH(G$1,CalLookUpColumn,0))</f>
        <v>2019</v>
      </c>
      <c r="H4792">
        <f>INDEX(CalLookUpTable,MATCH($B4792,CalLookUpRow,0),MATCH(H$1,CalLookUpColumn,0))</f>
        <v>8</v>
      </c>
      <c r="I4792">
        <f>INDEX(CalLookUpTable,MATCH($B4792,CalLookUpRow,0),MATCH(I$1,CalLookUpColumn,0))</f>
        <v>4</v>
      </c>
    </row>
    <row r="4793" spans="1:9" x14ac:dyDescent="0.25">
      <c r="A4793" s="7">
        <v>3</v>
      </c>
      <c r="B4793" s="8">
        <v>43699</v>
      </c>
      <c r="C4793" s="9" t="s">
        <v>3</v>
      </c>
      <c r="D4793" s="10">
        <v>147.09099999999998</v>
      </c>
      <c r="E4793" s="10">
        <v>0</v>
      </c>
      <c r="F4793" t="str">
        <f>VLOOKUP(A4793,StoreLookup,2,FALSE)</f>
        <v>Store#3</v>
      </c>
      <c r="G4793">
        <f>INDEX(CalLookUpTable,MATCH($B4793,CalLookUpRow,0),MATCH(G$1,CalLookUpColumn,0))</f>
        <v>2019</v>
      </c>
      <c r="H4793">
        <f>INDEX(CalLookUpTable,MATCH($B4793,CalLookUpRow,0),MATCH(H$1,CalLookUpColumn,0))</f>
        <v>8</v>
      </c>
      <c r="I4793">
        <f>INDEX(CalLookUpTable,MATCH($B4793,CalLookUpRow,0),MATCH(I$1,CalLookUpColumn,0))</f>
        <v>4</v>
      </c>
    </row>
    <row r="4794" spans="1:9" x14ac:dyDescent="0.25">
      <c r="A4794" s="7">
        <v>3</v>
      </c>
      <c r="B4794" s="8">
        <v>43700</v>
      </c>
      <c r="C4794" s="9" t="s">
        <v>3</v>
      </c>
      <c r="D4794" s="10">
        <v>0</v>
      </c>
      <c r="E4794" s="10">
        <v>0</v>
      </c>
      <c r="F4794" t="str">
        <f>VLOOKUP(A4794,StoreLookup,2,FALSE)</f>
        <v>Store#3</v>
      </c>
      <c r="G4794">
        <f>INDEX(CalLookUpTable,MATCH($B4794,CalLookUpRow,0),MATCH(G$1,CalLookUpColumn,0))</f>
        <v>2019</v>
      </c>
      <c r="H4794">
        <f>INDEX(CalLookUpTable,MATCH($B4794,CalLookUpRow,0),MATCH(H$1,CalLookUpColumn,0))</f>
        <v>8</v>
      </c>
      <c r="I4794">
        <f>INDEX(CalLookUpTable,MATCH($B4794,CalLookUpRow,0),MATCH(I$1,CalLookUpColumn,0))</f>
        <v>4</v>
      </c>
    </row>
    <row r="4795" spans="1:9" x14ac:dyDescent="0.25">
      <c r="A4795" s="7">
        <v>3</v>
      </c>
      <c r="B4795" s="8">
        <v>43700</v>
      </c>
      <c r="C4795" s="9" t="s">
        <v>6</v>
      </c>
      <c r="D4795" s="10">
        <v>1167.2359999999999</v>
      </c>
      <c r="E4795" s="10">
        <v>0</v>
      </c>
      <c r="F4795" t="str">
        <f>VLOOKUP(A4795,StoreLookup,2,FALSE)</f>
        <v>Store#3</v>
      </c>
      <c r="G4795">
        <f>INDEX(CalLookUpTable,MATCH($B4795,CalLookUpRow,0),MATCH(G$1,CalLookUpColumn,0))</f>
        <v>2019</v>
      </c>
      <c r="H4795">
        <f>INDEX(CalLookUpTable,MATCH($B4795,CalLookUpRow,0),MATCH(H$1,CalLookUpColumn,0))</f>
        <v>8</v>
      </c>
      <c r="I4795">
        <f>INDEX(CalLookUpTable,MATCH($B4795,CalLookUpRow,0),MATCH(I$1,CalLookUpColumn,0))</f>
        <v>4</v>
      </c>
    </row>
    <row r="4796" spans="1:9" x14ac:dyDescent="0.25">
      <c r="A4796" s="7">
        <v>3</v>
      </c>
      <c r="B4796" s="8">
        <v>43700</v>
      </c>
      <c r="C4796" s="9" t="s">
        <v>4</v>
      </c>
      <c r="D4796" s="10">
        <v>4131.3649999999998</v>
      </c>
      <c r="E4796" s="10">
        <v>0</v>
      </c>
      <c r="F4796" t="str">
        <f>VLOOKUP(A4796,StoreLookup,2,FALSE)</f>
        <v>Store#3</v>
      </c>
      <c r="G4796">
        <f>INDEX(CalLookUpTable,MATCH($B4796,CalLookUpRow,0),MATCH(G$1,CalLookUpColumn,0))</f>
        <v>2019</v>
      </c>
      <c r="H4796">
        <f>INDEX(CalLookUpTable,MATCH($B4796,CalLookUpRow,0),MATCH(H$1,CalLookUpColumn,0))</f>
        <v>8</v>
      </c>
      <c r="I4796">
        <f>INDEX(CalLookUpTable,MATCH($B4796,CalLookUpRow,0),MATCH(I$1,CalLookUpColumn,0))</f>
        <v>4</v>
      </c>
    </row>
    <row r="4797" spans="1:9" x14ac:dyDescent="0.25">
      <c r="A4797" s="7">
        <v>3</v>
      </c>
      <c r="B4797" s="8">
        <v>43700</v>
      </c>
      <c r="C4797" s="9" t="s">
        <v>5</v>
      </c>
      <c r="D4797" s="10">
        <v>3738.0140000000001</v>
      </c>
      <c r="E4797" s="10">
        <v>0</v>
      </c>
      <c r="F4797" t="str">
        <f>VLOOKUP(A4797,StoreLookup,2,FALSE)</f>
        <v>Store#3</v>
      </c>
      <c r="G4797">
        <f>INDEX(CalLookUpTable,MATCH($B4797,CalLookUpRow,0),MATCH(G$1,CalLookUpColumn,0))</f>
        <v>2019</v>
      </c>
      <c r="H4797">
        <f>INDEX(CalLookUpTable,MATCH($B4797,CalLookUpRow,0),MATCH(H$1,CalLookUpColumn,0))</f>
        <v>8</v>
      </c>
      <c r="I4797">
        <f>INDEX(CalLookUpTable,MATCH($B4797,CalLookUpRow,0),MATCH(I$1,CalLookUpColumn,0))</f>
        <v>4</v>
      </c>
    </row>
    <row r="4798" spans="1:9" x14ac:dyDescent="0.25">
      <c r="A4798" s="7">
        <v>3</v>
      </c>
      <c r="B4798" s="8">
        <v>43701</v>
      </c>
      <c r="C4798" s="9" t="s">
        <v>6</v>
      </c>
      <c r="D4798" s="10">
        <v>704.41</v>
      </c>
      <c r="E4798" s="10">
        <v>0</v>
      </c>
      <c r="F4798" t="str">
        <f>VLOOKUP(A4798,StoreLookup,2,FALSE)</f>
        <v>Store#3</v>
      </c>
      <c r="G4798">
        <f>INDEX(CalLookUpTable,MATCH($B4798,CalLookUpRow,0),MATCH(G$1,CalLookUpColumn,0))</f>
        <v>2019</v>
      </c>
      <c r="H4798">
        <f>INDEX(CalLookUpTable,MATCH($B4798,CalLookUpRow,0),MATCH(H$1,CalLookUpColumn,0))</f>
        <v>8</v>
      </c>
      <c r="I4798">
        <f>INDEX(CalLookUpTable,MATCH($B4798,CalLookUpRow,0),MATCH(I$1,CalLookUpColumn,0))</f>
        <v>4</v>
      </c>
    </row>
    <row r="4799" spans="1:9" x14ac:dyDescent="0.25">
      <c r="A4799" s="7">
        <v>3</v>
      </c>
      <c r="B4799" s="8">
        <v>43701</v>
      </c>
      <c r="C4799" s="9" t="s">
        <v>5</v>
      </c>
      <c r="D4799" s="10">
        <v>3620.1059999999998</v>
      </c>
      <c r="E4799" s="10">
        <v>0</v>
      </c>
      <c r="F4799" t="str">
        <f>VLOOKUP(A4799,StoreLookup,2,FALSE)</f>
        <v>Store#3</v>
      </c>
      <c r="G4799">
        <f>INDEX(CalLookUpTable,MATCH($B4799,CalLookUpRow,0),MATCH(G$1,CalLookUpColumn,0))</f>
        <v>2019</v>
      </c>
      <c r="H4799">
        <f>INDEX(CalLookUpTable,MATCH($B4799,CalLookUpRow,0),MATCH(H$1,CalLookUpColumn,0))</f>
        <v>8</v>
      </c>
      <c r="I4799">
        <f>INDEX(CalLookUpTable,MATCH($B4799,CalLookUpRow,0),MATCH(I$1,CalLookUpColumn,0))</f>
        <v>4</v>
      </c>
    </row>
    <row r="4800" spans="1:9" x14ac:dyDescent="0.25">
      <c r="A4800" s="7">
        <v>3</v>
      </c>
      <c r="B4800" s="8">
        <v>43701</v>
      </c>
      <c r="C4800" s="9" t="s">
        <v>3</v>
      </c>
      <c r="D4800" s="10">
        <v>262.36699999999996</v>
      </c>
      <c r="E4800" s="10">
        <v>0</v>
      </c>
      <c r="F4800" t="str">
        <f>VLOOKUP(A4800,StoreLookup,2,FALSE)</f>
        <v>Store#3</v>
      </c>
      <c r="G4800">
        <f>INDEX(CalLookUpTable,MATCH($B4800,CalLookUpRow,0),MATCH(G$1,CalLookUpColumn,0))</f>
        <v>2019</v>
      </c>
      <c r="H4800">
        <f>INDEX(CalLookUpTable,MATCH($B4800,CalLookUpRow,0),MATCH(H$1,CalLookUpColumn,0))</f>
        <v>8</v>
      </c>
      <c r="I4800">
        <f>INDEX(CalLookUpTable,MATCH($B4800,CalLookUpRow,0),MATCH(I$1,CalLookUpColumn,0))</f>
        <v>4</v>
      </c>
    </row>
    <row r="4801" spans="1:9" x14ac:dyDescent="0.25">
      <c r="A4801" s="7">
        <v>3</v>
      </c>
      <c r="B4801" s="8">
        <v>43701</v>
      </c>
      <c r="C4801" s="9" t="s">
        <v>4</v>
      </c>
      <c r="D4801" s="10">
        <v>3370.36</v>
      </c>
      <c r="E4801" s="10">
        <v>0</v>
      </c>
      <c r="F4801" t="str">
        <f>VLOOKUP(A4801,StoreLookup,2,FALSE)</f>
        <v>Store#3</v>
      </c>
      <c r="G4801">
        <f>INDEX(CalLookUpTable,MATCH($B4801,CalLookUpRow,0),MATCH(G$1,CalLookUpColumn,0))</f>
        <v>2019</v>
      </c>
      <c r="H4801">
        <f>INDEX(CalLookUpTable,MATCH($B4801,CalLookUpRow,0),MATCH(H$1,CalLookUpColumn,0))</f>
        <v>8</v>
      </c>
      <c r="I4801">
        <f>INDEX(CalLookUpTable,MATCH($B4801,CalLookUpRow,0),MATCH(I$1,CalLookUpColumn,0))</f>
        <v>4</v>
      </c>
    </row>
    <row r="4802" spans="1:9" x14ac:dyDescent="0.25">
      <c r="A4802" s="7">
        <v>3</v>
      </c>
      <c r="B4802" s="8">
        <v>43702</v>
      </c>
      <c r="C4802" s="9" t="s">
        <v>3</v>
      </c>
      <c r="D4802" s="10">
        <v>0</v>
      </c>
      <c r="E4802" s="10">
        <v>0</v>
      </c>
      <c r="F4802" t="str">
        <f>VLOOKUP(A4802,StoreLookup,2,FALSE)</f>
        <v>Store#3</v>
      </c>
      <c r="G4802">
        <f>INDEX(CalLookUpTable,MATCH($B4802,CalLookUpRow,0),MATCH(G$1,CalLookUpColumn,0))</f>
        <v>2019</v>
      </c>
      <c r="H4802">
        <f>INDEX(CalLookUpTable,MATCH($B4802,CalLookUpRow,0),MATCH(H$1,CalLookUpColumn,0))</f>
        <v>8</v>
      </c>
      <c r="I4802">
        <f>INDEX(CalLookUpTable,MATCH($B4802,CalLookUpRow,0),MATCH(I$1,CalLookUpColumn,0))</f>
        <v>4</v>
      </c>
    </row>
    <row r="4803" spans="1:9" x14ac:dyDescent="0.25">
      <c r="A4803" s="7">
        <v>3</v>
      </c>
      <c r="B4803" s="8">
        <v>43702</v>
      </c>
      <c r="C4803" s="9" t="s">
        <v>5</v>
      </c>
      <c r="D4803" s="10">
        <v>3124.6950000000002</v>
      </c>
      <c r="E4803" s="10">
        <v>0</v>
      </c>
      <c r="F4803" t="str">
        <f>VLOOKUP(A4803,StoreLookup,2,FALSE)</f>
        <v>Store#3</v>
      </c>
      <c r="G4803">
        <f>INDEX(CalLookUpTable,MATCH($B4803,CalLookUpRow,0),MATCH(G$1,CalLookUpColumn,0))</f>
        <v>2019</v>
      </c>
      <c r="H4803">
        <f>INDEX(CalLookUpTable,MATCH($B4803,CalLookUpRow,0),MATCH(H$1,CalLookUpColumn,0))</f>
        <v>8</v>
      </c>
      <c r="I4803">
        <f>INDEX(CalLookUpTable,MATCH($B4803,CalLookUpRow,0),MATCH(I$1,CalLookUpColumn,0))</f>
        <v>4</v>
      </c>
    </row>
    <row r="4804" spans="1:9" x14ac:dyDescent="0.25">
      <c r="A4804" s="7">
        <v>3</v>
      </c>
      <c r="B4804" s="8">
        <v>43702</v>
      </c>
      <c r="C4804" s="9" t="s">
        <v>4</v>
      </c>
      <c r="D4804" s="10">
        <v>3090.5839999999998</v>
      </c>
      <c r="E4804" s="10">
        <v>0</v>
      </c>
      <c r="F4804" t="str">
        <f>VLOOKUP(A4804,StoreLookup,2,FALSE)</f>
        <v>Store#3</v>
      </c>
      <c r="G4804">
        <f>INDEX(CalLookUpTable,MATCH($B4804,CalLookUpRow,0),MATCH(G$1,CalLookUpColumn,0))</f>
        <v>2019</v>
      </c>
      <c r="H4804">
        <f>INDEX(CalLookUpTable,MATCH($B4804,CalLookUpRow,0),MATCH(H$1,CalLookUpColumn,0))</f>
        <v>8</v>
      </c>
      <c r="I4804">
        <f>INDEX(CalLookUpTable,MATCH($B4804,CalLookUpRow,0),MATCH(I$1,CalLookUpColumn,0))</f>
        <v>4</v>
      </c>
    </row>
    <row r="4805" spans="1:9" x14ac:dyDescent="0.25">
      <c r="A4805" s="7">
        <v>3</v>
      </c>
      <c r="B4805" s="8">
        <v>43702</v>
      </c>
      <c r="C4805" s="9" t="s">
        <v>6</v>
      </c>
      <c r="D4805" s="10">
        <v>607.14499999999998</v>
      </c>
      <c r="E4805" s="10">
        <v>0</v>
      </c>
      <c r="F4805" t="str">
        <f>VLOOKUP(A4805,StoreLookup,2,FALSE)</f>
        <v>Store#3</v>
      </c>
      <c r="G4805">
        <f>INDEX(CalLookUpTable,MATCH($B4805,CalLookUpRow,0),MATCH(G$1,CalLookUpColumn,0))</f>
        <v>2019</v>
      </c>
      <c r="H4805">
        <f>INDEX(CalLookUpTable,MATCH($B4805,CalLookUpRow,0),MATCH(H$1,CalLookUpColumn,0))</f>
        <v>8</v>
      </c>
      <c r="I4805">
        <f>INDEX(CalLookUpTable,MATCH($B4805,CalLookUpRow,0),MATCH(I$1,CalLookUpColumn,0))</f>
        <v>4</v>
      </c>
    </row>
    <row r="4806" spans="1:9" x14ac:dyDescent="0.25">
      <c r="A4806" s="7">
        <v>3</v>
      </c>
      <c r="B4806" s="8">
        <v>43703</v>
      </c>
      <c r="C4806" s="9" t="s">
        <v>5</v>
      </c>
      <c r="D4806" s="10">
        <v>3325.0419999999999</v>
      </c>
      <c r="E4806" s="10">
        <v>0</v>
      </c>
      <c r="F4806" t="str">
        <f>VLOOKUP(A4806,StoreLookup,2,FALSE)</f>
        <v>Store#3</v>
      </c>
      <c r="G4806">
        <f>INDEX(CalLookUpTable,MATCH($B4806,CalLookUpRow,0),MATCH(G$1,CalLookUpColumn,0))</f>
        <v>2019</v>
      </c>
      <c r="H4806">
        <f>INDEX(CalLookUpTable,MATCH($B4806,CalLookUpRow,0),MATCH(H$1,CalLookUpColumn,0))</f>
        <v>9</v>
      </c>
      <c r="I4806">
        <f>INDEX(CalLookUpTable,MATCH($B4806,CalLookUpRow,0),MATCH(I$1,CalLookUpColumn,0))</f>
        <v>1</v>
      </c>
    </row>
    <row r="4807" spans="1:9" x14ac:dyDescent="0.25">
      <c r="A4807" s="7">
        <v>3</v>
      </c>
      <c r="B4807" s="8">
        <v>43703</v>
      </c>
      <c r="C4807" s="9" t="s">
        <v>4</v>
      </c>
      <c r="D4807" s="10">
        <v>2977.3309999999997</v>
      </c>
      <c r="E4807" s="10">
        <v>0.69299999999999995</v>
      </c>
      <c r="F4807" t="str">
        <f>VLOOKUP(A4807,StoreLookup,2,FALSE)</f>
        <v>Store#3</v>
      </c>
      <c r="G4807">
        <f>INDEX(CalLookUpTable,MATCH($B4807,CalLookUpRow,0),MATCH(G$1,CalLookUpColumn,0))</f>
        <v>2019</v>
      </c>
      <c r="H4807">
        <f>INDEX(CalLookUpTable,MATCH($B4807,CalLookUpRow,0),MATCH(H$1,CalLookUpColumn,0))</f>
        <v>9</v>
      </c>
      <c r="I4807">
        <f>INDEX(CalLookUpTable,MATCH($B4807,CalLookUpRow,0),MATCH(I$1,CalLookUpColumn,0))</f>
        <v>1</v>
      </c>
    </row>
    <row r="4808" spans="1:9" x14ac:dyDescent="0.25">
      <c r="A4808" s="7">
        <v>3</v>
      </c>
      <c r="B4808" s="8">
        <v>43703</v>
      </c>
      <c r="C4808" s="9" t="s">
        <v>6</v>
      </c>
      <c r="D4808" s="10">
        <v>673.95999999999992</v>
      </c>
      <c r="E4808" s="10">
        <v>0</v>
      </c>
      <c r="F4808" t="str">
        <f>VLOOKUP(A4808,StoreLookup,2,FALSE)</f>
        <v>Store#3</v>
      </c>
      <c r="G4808">
        <f>INDEX(CalLookUpTable,MATCH($B4808,CalLookUpRow,0),MATCH(G$1,CalLookUpColumn,0))</f>
        <v>2019</v>
      </c>
      <c r="H4808">
        <f>INDEX(CalLookUpTable,MATCH($B4808,CalLookUpRow,0),MATCH(H$1,CalLookUpColumn,0))</f>
        <v>9</v>
      </c>
      <c r="I4808">
        <f>INDEX(CalLookUpTable,MATCH($B4808,CalLookUpRow,0),MATCH(I$1,CalLookUpColumn,0))</f>
        <v>1</v>
      </c>
    </row>
    <row r="4809" spans="1:9" x14ac:dyDescent="0.25">
      <c r="A4809" s="7">
        <v>3</v>
      </c>
      <c r="B4809" s="8">
        <v>43703</v>
      </c>
      <c r="C4809" s="9" t="s">
        <v>3</v>
      </c>
      <c r="D4809" s="10">
        <v>0</v>
      </c>
      <c r="E4809" s="10">
        <v>0</v>
      </c>
      <c r="F4809" t="str">
        <f>VLOOKUP(A4809,StoreLookup,2,FALSE)</f>
        <v>Store#3</v>
      </c>
      <c r="G4809">
        <f>INDEX(CalLookUpTable,MATCH($B4809,CalLookUpRow,0),MATCH(G$1,CalLookUpColumn,0))</f>
        <v>2019</v>
      </c>
      <c r="H4809">
        <f>INDEX(CalLookUpTable,MATCH($B4809,CalLookUpRow,0),MATCH(H$1,CalLookUpColumn,0))</f>
        <v>9</v>
      </c>
      <c r="I4809">
        <f>INDEX(CalLookUpTable,MATCH($B4809,CalLookUpRow,0),MATCH(I$1,CalLookUpColumn,0))</f>
        <v>1</v>
      </c>
    </row>
    <row r="4810" spans="1:9" x14ac:dyDescent="0.25">
      <c r="A4810" s="7">
        <v>3</v>
      </c>
      <c r="B4810" s="8">
        <v>43704</v>
      </c>
      <c r="C4810" s="9" t="s">
        <v>4</v>
      </c>
      <c r="D4810" s="10">
        <v>3316.5160000000001</v>
      </c>
      <c r="E4810" s="10">
        <v>0</v>
      </c>
      <c r="F4810" t="str">
        <f>VLOOKUP(A4810,StoreLookup,2,FALSE)</f>
        <v>Store#3</v>
      </c>
      <c r="G4810">
        <f>INDEX(CalLookUpTable,MATCH($B4810,CalLookUpRow,0),MATCH(G$1,CalLookUpColumn,0))</f>
        <v>2019</v>
      </c>
      <c r="H4810">
        <f>INDEX(CalLookUpTable,MATCH($B4810,CalLookUpRow,0),MATCH(H$1,CalLookUpColumn,0))</f>
        <v>9</v>
      </c>
      <c r="I4810">
        <f>INDEX(CalLookUpTable,MATCH($B4810,CalLookUpRow,0),MATCH(I$1,CalLookUpColumn,0))</f>
        <v>1</v>
      </c>
    </row>
    <row r="4811" spans="1:9" x14ac:dyDescent="0.25">
      <c r="A4811" s="7">
        <v>3</v>
      </c>
      <c r="B4811" s="8">
        <v>43704</v>
      </c>
      <c r="C4811" s="9" t="s">
        <v>6</v>
      </c>
      <c r="D4811" s="10">
        <v>580.39799999999991</v>
      </c>
      <c r="E4811" s="10">
        <v>0</v>
      </c>
      <c r="F4811" t="str">
        <f>VLOOKUP(A4811,StoreLookup,2,FALSE)</f>
        <v>Store#3</v>
      </c>
      <c r="G4811">
        <f>INDEX(CalLookUpTable,MATCH($B4811,CalLookUpRow,0),MATCH(G$1,CalLookUpColumn,0))</f>
        <v>2019</v>
      </c>
      <c r="H4811">
        <f>INDEX(CalLookUpTable,MATCH($B4811,CalLookUpRow,0),MATCH(H$1,CalLookUpColumn,0))</f>
        <v>9</v>
      </c>
      <c r="I4811">
        <f>INDEX(CalLookUpTable,MATCH($B4811,CalLookUpRow,0),MATCH(I$1,CalLookUpColumn,0))</f>
        <v>1</v>
      </c>
    </row>
    <row r="4812" spans="1:9" x14ac:dyDescent="0.25">
      <c r="A4812" s="7">
        <v>3</v>
      </c>
      <c r="B4812" s="8">
        <v>43704</v>
      </c>
      <c r="C4812" s="9" t="s">
        <v>3</v>
      </c>
      <c r="D4812" s="10">
        <v>197.29500000000002</v>
      </c>
      <c r="E4812" s="10">
        <v>0</v>
      </c>
      <c r="F4812" t="str">
        <f>VLOOKUP(A4812,StoreLookup,2,FALSE)</f>
        <v>Store#3</v>
      </c>
      <c r="G4812">
        <f>INDEX(CalLookUpTable,MATCH($B4812,CalLookUpRow,0),MATCH(G$1,CalLookUpColumn,0))</f>
        <v>2019</v>
      </c>
      <c r="H4812">
        <f>INDEX(CalLookUpTable,MATCH($B4812,CalLookUpRow,0),MATCH(H$1,CalLookUpColumn,0))</f>
        <v>9</v>
      </c>
      <c r="I4812">
        <f>INDEX(CalLookUpTable,MATCH($B4812,CalLookUpRow,0),MATCH(I$1,CalLookUpColumn,0))</f>
        <v>1</v>
      </c>
    </row>
    <row r="4813" spans="1:9" x14ac:dyDescent="0.25">
      <c r="A4813" s="7">
        <v>3</v>
      </c>
      <c r="B4813" s="8">
        <v>43704</v>
      </c>
      <c r="C4813" s="9" t="s">
        <v>5</v>
      </c>
      <c r="D4813" s="10">
        <v>3084.1929999999998</v>
      </c>
      <c r="E4813" s="10">
        <v>0</v>
      </c>
      <c r="F4813" t="str">
        <f>VLOOKUP(A4813,StoreLookup,2,FALSE)</f>
        <v>Store#3</v>
      </c>
      <c r="G4813">
        <f>INDEX(CalLookUpTable,MATCH($B4813,CalLookUpRow,0),MATCH(G$1,CalLookUpColumn,0))</f>
        <v>2019</v>
      </c>
      <c r="H4813">
        <f>INDEX(CalLookUpTable,MATCH($B4813,CalLookUpRow,0),MATCH(H$1,CalLookUpColumn,0))</f>
        <v>9</v>
      </c>
      <c r="I4813">
        <f>INDEX(CalLookUpTable,MATCH($B4813,CalLookUpRow,0),MATCH(I$1,CalLookUpColumn,0))</f>
        <v>1</v>
      </c>
    </row>
    <row r="4814" spans="1:9" x14ac:dyDescent="0.25">
      <c r="A4814" s="7">
        <v>3</v>
      </c>
      <c r="B4814" s="8">
        <v>43705</v>
      </c>
      <c r="C4814" s="9" t="s">
        <v>6</v>
      </c>
      <c r="D4814" s="10">
        <v>756.11199999999997</v>
      </c>
      <c r="E4814" s="10">
        <v>0</v>
      </c>
      <c r="F4814" t="str">
        <f>VLOOKUP(A4814,StoreLookup,2,FALSE)</f>
        <v>Store#3</v>
      </c>
      <c r="G4814">
        <f>INDEX(CalLookUpTable,MATCH($B4814,CalLookUpRow,0),MATCH(G$1,CalLookUpColumn,0))</f>
        <v>2019</v>
      </c>
      <c r="H4814">
        <f>INDEX(CalLookUpTable,MATCH($B4814,CalLookUpRow,0),MATCH(H$1,CalLookUpColumn,0))</f>
        <v>9</v>
      </c>
      <c r="I4814">
        <f>INDEX(CalLookUpTable,MATCH($B4814,CalLookUpRow,0),MATCH(I$1,CalLookUpColumn,0))</f>
        <v>1</v>
      </c>
    </row>
    <row r="4815" spans="1:9" x14ac:dyDescent="0.25">
      <c r="A4815" s="7">
        <v>3</v>
      </c>
      <c r="B4815" s="8">
        <v>43705</v>
      </c>
      <c r="C4815" s="9" t="s">
        <v>3</v>
      </c>
      <c r="D4815" s="10">
        <v>0</v>
      </c>
      <c r="E4815" s="10">
        <v>0</v>
      </c>
      <c r="F4815" t="str">
        <f>VLOOKUP(A4815,StoreLookup,2,FALSE)</f>
        <v>Store#3</v>
      </c>
      <c r="G4815">
        <f>INDEX(CalLookUpTable,MATCH($B4815,CalLookUpRow,0),MATCH(G$1,CalLookUpColumn,0))</f>
        <v>2019</v>
      </c>
      <c r="H4815">
        <f>INDEX(CalLookUpTable,MATCH($B4815,CalLookUpRow,0),MATCH(H$1,CalLookUpColumn,0))</f>
        <v>9</v>
      </c>
      <c r="I4815">
        <f>INDEX(CalLookUpTable,MATCH($B4815,CalLookUpRow,0),MATCH(I$1,CalLookUpColumn,0))</f>
        <v>1</v>
      </c>
    </row>
    <row r="4816" spans="1:9" x14ac:dyDescent="0.25">
      <c r="A4816" s="7">
        <v>3</v>
      </c>
      <c r="B4816" s="8">
        <v>43705</v>
      </c>
      <c r="C4816" s="9" t="s">
        <v>4</v>
      </c>
      <c r="D4816" s="10">
        <v>3309.0399999999995</v>
      </c>
      <c r="E4816" s="10">
        <v>0</v>
      </c>
      <c r="F4816" t="str">
        <f>VLOOKUP(A4816,StoreLookup,2,FALSE)</f>
        <v>Store#3</v>
      </c>
      <c r="G4816">
        <f>INDEX(CalLookUpTable,MATCH($B4816,CalLookUpRow,0),MATCH(G$1,CalLookUpColumn,0))</f>
        <v>2019</v>
      </c>
      <c r="H4816">
        <f>INDEX(CalLookUpTable,MATCH($B4816,CalLookUpRow,0),MATCH(H$1,CalLookUpColumn,0))</f>
        <v>9</v>
      </c>
      <c r="I4816">
        <f>INDEX(CalLookUpTable,MATCH($B4816,CalLookUpRow,0),MATCH(I$1,CalLookUpColumn,0))</f>
        <v>1</v>
      </c>
    </row>
    <row r="4817" spans="1:9" x14ac:dyDescent="0.25">
      <c r="A4817" s="7">
        <v>3</v>
      </c>
      <c r="B4817" s="8">
        <v>43705</v>
      </c>
      <c r="C4817" s="9" t="s">
        <v>5</v>
      </c>
      <c r="D4817" s="10">
        <v>2948.1899999999996</v>
      </c>
      <c r="E4817" s="10">
        <v>0</v>
      </c>
      <c r="F4817" t="str">
        <f>VLOOKUP(A4817,StoreLookup,2,FALSE)</f>
        <v>Store#3</v>
      </c>
      <c r="G4817">
        <f>INDEX(CalLookUpTable,MATCH($B4817,CalLookUpRow,0),MATCH(G$1,CalLookUpColumn,0))</f>
        <v>2019</v>
      </c>
      <c r="H4817">
        <f>INDEX(CalLookUpTable,MATCH($B4817,CalLookUpRow,0),MATCH(H$1,CalLookUpColumn,0))</f>
        <v>9</v>
      </c>
      <c r="I4817">
        <f>INDEX(CalLookUpTable,MATCH($B4817,CalLookUpRow,0),MATCH(I$1,CalLookUpColumn,0))</f>
        <v>1</v>
      </c>
    </row>
    <row r="4818" spans="1:9" x14ac:dyDescent="0.25">
      <c r="A4818" s="7">
        <v>3</v>
      </c>
      <c r="B4818" s="8">
        <v>43706</v>
      </c>
      <c r="C4818" s="9" t="s">
        <v>6</v>
      </c>
      <c r="D4818" s="10">
        <v>999.45999999999992</v>
      </c>
      <c r="E4818" s="10">
        <v>0</v>
      </c>
      <c r="F4818" t="str">
        <f>VLOOKUP(A4818,StoreLookup,2,FALSE)</f>
        <v>Store#3</v>
      </c>
      <c r="G4818">
        <f>INDEX(CalLookUpTable,MATCH($B4818,CalLookUpRow,0),MATCH(G$1,CalLookUpColumn,0))</f>
        <v>2019</v>
      </c>
      <c r="H4818">
        <f>INDEX(CalLookUpTable,MATCH($B4818,CalLookUpRow,0),MATCH(H$1,CalLookUpColumn,0))</f>
        <v>9</v>
      </c>
      <c r="I4818">
        <f>INDEX(CalLookUpTable,MATCH($B4818,CalLookUpRow,0),MATCH(I$1,CalLookUpColumn,0))</f>
        <v>1</v>
      </c>
    </row>
    <row r="4819" spans="1:9" x14ac:dyDescent="0.25">
      <c r="A4819" s="7">
        <v>3</v>
      </c>
      <c r="B4819" s="8">
        <v>43706</v>
      </c>
      <c r="C4819" s="9" t="s">
        <v>4</v>
      </c>
      <c r="D4819" s="10">
        <v>3565.4569999999999</v>
      </c>
      <c r="E4819" s="10">
        <v>0</v>
      </c>
      <c r="F4819" t="str">
        <f>VLOOKUP(A4819,StoreLookup,2,FALSE)</f>
        <v>Store#3</v>
      </c>
      <c r="G4819">
        <f>INDEX(CalLookUpTable,MATCH($B4819,CalLookUpRow,0),MATCH(G$1,CalLookUpColumn,0))</f>
        <v>2019</v>
      </c>
      <c r="H4819">
        <f>INDEX(CalLookUpTable,MATCH($B4819,CalLookUpRow,0),MATCH(H$1,CalLookUpColumn,0))</f>
        <v>9</v>
      </c>
      <c r="I4819">
        <f>INDEX(CalLookUpTable,MATCH($B4819,CalLookUpRow,0),MATCH(I$1,CalLookUpColumn,0))</f>
        <v>1</v>
      </c>
    </row>
    <row r="4820" spans="1:9" x14ac:dyDescent="0.25">
      <c r="A4820" s="7">
        <v>3</v>
      </c>
      <c r="B4820" s="8">
        <v>43706</v>
      </c>
      <c r="C4820" s="9" t="s">
        <v>3</v>
      </c>
      <c r="D4820" s="10">
        <v>0</v>
      </c>
      <c r="E4820" s="10">
        <v>0</v>
      </c>
      <c r="F4820" t="str">
        <f>VLOOKUP(A4820,StoreLookup,2,FALSE)</f>
        <v>Store#3</v>
      </c>
      <c r="G4820">
        <f>INDEX(CalLookUpTable,MATCH($B4820,CalLookUpRow,0),MATCH(G$1,CalLookUpColumn,0))</f>
        <v>2019</v>
      </c>
      <c r="H4820">
        <f>INDEX(CalLookUpTable,MATCH($B4820,CalLookUpRow,0),MATCH(H$1,CalLookUpColumn,0))</f>
        <v>9</v>
      </c>
      <c r="I4820">
        <f>INDEX(CalLookUpTable,MATCH($B4820,CalLookUpRow,0),MATCH(I$1,CalLookUpColumn,0))</f>
        <v>1</v>
      </c>
    </row>
    <row r="4821" spans="1:9" x14ac:dyDescent="0.25">
      <c r="A4821" s="7">
        <v>3</v>
      </c>
      <c r="B4821" s="8">
        <v>43706</v>
      </c>
      <c r="C4821" s="9" t="s">
        <v>5</v>
      </c>
      <c r="D4821" s="10">
        <v>3100.2579999999994</v>
      </c>
      <c r="E4821" s="10">
        <v>0</v>
      </c>
      <c r="F4821" t="str">
        <f>VLOOKUP(A4821,StoreLookup,2,FALSE)</f>
        <v>Store#3</v>
      </c>
      <c r="G4821">
        <f>INDEX(CalLookUpTable,MATCH($B4821,CalLookUpRow,0),MATCH(G$1,CalLookUpColumn,0))</f>
        <v>2019</v>
      </c>
      <c r="H4821">
        <f>INDEX(CalLookUpTable,MATCH($B4821,CalLookUpRow,0),MATCH(H$1,CalLookUpColumn,0))</f>
        <v>9</v>
      </c>
      <c r="I4821">
        <f>INDEX(CalLookUpTable,MATCH($B4821,CalLookUpRow,0),MATCH(I$1,CalLookUpColumn,0))</f>
        <v>1</v>
      </c>
    </row>
    <row r="4822" spans="1:9" x14ac:dyDescent="0.25">
      <c r="A4822" s="7">
        <v>3</v>
      </c>
      <c r="B4822" s="8">
        <v>43707</v>
      </c>
      <c r="C4822" s="9" t="s">
        <v>6</v>
      </c>
      <c r="D4822" s="10">
        <v>978.34799999999996</v>
      </c>
      <c r="E4822" s="10">
        <v>0</v>
      </c>
      <c r="F4822" t="str">
        <f>VLOOKUP(A4822,StoreLookup,2,FALSE)</f>
        <v>Store#3</v>
      </c>
      <c r="G4822">
        <f>INDEX(CalLookUpTable,MATCH($B4822,CalLookUpRow,0),MATCH(G$1,CalLookUpColumn,0))</f>
        <v>2019</v>
      </c>
      <c r="H4822">
        <f>INDEX(CalLookUpTable,MATCH($B4822,CalLookUpRow,0),MATCH(H$1,CalLookUpColumn,0))</f>
        <v>9</v>
      </c>
      <c r="I4822">
        <f>INDEX(CalLookUpTable,MATCH($B4822,CalLookUpRow,0),MATCH(I$1,CalLookUpColumn,0))</f>
        <v>1</v>
      </c>
    </row>
    <row r="4823" spans="1:9" x14ac:dyDescent="0.25">
      <c r="A4823" s="7">
        <v>3</v>
      </c>
      <c r="B4823" s="8">
        <v>43707</v>
      </c>
      <c r="C4823" s="9" t="s">
        <v>5</v>
      </c>
      <c r="D4823" s="10">
        <v>3476.788</v>
      </c>
      <c r="E4823" s="10">
        <v>0</v>
      </c>
      <c r="F4823" t="str">
        <f>VLOOKUP(A4823,StoreLookup,2,FALSE)</f>
        <v>Store#3</v>
      </c>
      <c r="G4823">
        <f>INDEX(CalLookUpTable,MATCH($B4823,CalLookUpRow,0),MATCH(G$1,CalLookUpColumn,0))</f>
        <v>2019</v>
      </c>
      <c r="H4823">
        <f>INDEX(CalLookUpTable,MATCH($B4823,CalLookUpRow,0),MATCH(H$1,CalLookUpColumn,0))</f>
        <v>9</v>
      </c>
      <c r="I4823">
        <f>INDEX(CalLookUpTable,MATCH($B4823,CalLookUpRow,0),MATCH(I$1,CalLookUpColumn,0))</f>
        <v>1</v>
      </c>
    </row>
    <row r="4824" spans="1:9" x14ac:dyDescent="0.25">
      <c r="A4824" s="7">
        <v>3</v>
      </c>
      <c r="B4824" s="8">
        <v>43707</v>
      </c>
      <c r="C4824" s="9" t="s">
        <v>3</v>
      </c>
      <c r="D4824" s="10">
        <v>21.216999999999999</v>
      </c>
      <c r="E4824" s="10">
        <v>0</v>
      </c>
      <c r="F4824" t="str">
        <f>VLOOKUP(A4824,StoreLookup,2,FALSE)</f>
        <v>Store#3</v>
      </c>
      <c r="G4824">
        <f>INDEX(CalLookUpTable,MATCH($B4824,CalLookUpRow,0),MATCH(G$1,CalLookUpColumn,0))</f>
        <v>2019</v>
      </c>
      <c r="H4824">
        <f>INDEX(CalLookUpTable,MATCH($B4824,CalLookUpRow,0),MATCH(H$1,CalLookUpColumn,0))</f>
        <v>9</v>
      </c>
      <c r="I4824">
        <f>INDEX(CalLookUpTable,MATCH($B4824,CalLookUpRow,0),MATCH(I$1,CalLookUpColumn,0))</f>
        <v>1</v>
      </c>
    </row>
    <row r="4825" spans="1:9" x14ac:dyDescent="0.25">
      <c r="A4825" s="7">
        <v>3</v>
      </c>
      <c r="B4825" s="8">
        <v>43707</v>
      </c>
      <c r="C4825" s="9" t="s">
        <v>4</v>
      </c>
      <c r="D4825" s="10">
        <v>3713.6399999999994</v>
      </c>
      <c r="E4825" s="10">
        <v>0</v>
      </c>
      <c r="F4825" t="str">
        <f>VLOOKUP(A4825,StoreLookup,2,FALSE)</f>
        <v>Store#3</v>
      </c>
      <c r="G4825">
        <f>INDEX(CalLookUpTable,MATCH($B4825,CalLookUpRow,0),MATCH(G$1,CalLookUpColumn,0))</f>
        <v>2019</v>
      </c>
      <c r="H4825">
        <f>INDEX(CalLookUpTable,MATCH($B4825,CalLookUpRow,0),MATCH(H$1,CalLookUpColumn,0))</f>
        <v>9</v>
      </c>
      <c r="I4825">
        <f>INDEX(CalLookUpTable,MATCH($B4825,CalLookUpRow,0),MATCH(I$1,CalLookUpColumn,0))</f>
        <v>1</v>
      </c>
    </row>
    <row r="4826" spans="1:9" x14ac:dyDescent="0.25">
      <c r="A4826" s="7">
        <v>3</v>
      </c>
      <c r="B4826" s="8">
        <v>43708</v>
      </c>
      <c r="C4826" s="9" t="s">
        <v>4</v>
      </c>
      <c r="D4826" s="10">
        <v>3566.64</v>
      </c>
      <c r="E4826" s="10">
        <v>0</v>
      </c>
      <c r="F4826" t="str">
        <f>VLOOKUP(A4826,StoreLookup,2,FALSE)</f>
        <v>Store#3</v>
      </c>
      <c r="G4826">
        <f>INDEX(CalLookUpTable,MATCH($B4826,CalLookUpRow,0),MATCH(G$1,CalLookUpColumn,0))</f>
        <v>2019</v>
      </c>
      <c r="H4826">
        <f>INDEX(CalLookUpTable,MATCH($B4826,CalLookUpRow,0),MATCH(H$1,CalLookUpColumn,0))</f>
        <v>9</v>
      </c>
      <c r="I4826">
        <f>INDEX(CalLookUpTable,MATCH($B4826,CalLookUpRow,0),MATCH(I$1,CalLookUpColumn,0))</f>
        <v>1</v>
      </c>
    </row>
    <row r="4827" spans="1:9" x14ac:dyDescent="0.25">
      <c r="A4827" s="7">
        <v>3</v>
      </c>
      <c r="B4827" s="8">
        <v>43708</v>
      </c>
      <c r="C4827" s="9" t="s">
        <v>3</v>
      </c>
      <c r="D4827" s="10">
        <v>176.946</v>
      </c>
      <c r="E4827" s="10">
        <v>0</v>
      </c>
      <c r="F4827" t="str">
        <f>VLOOKUP(A4827,StoreLookup,2,FALSE)</f>
        <v>Store#3</v>
      </c>
      <c r="G4827">
        <f>INDEX(CalLookUpTable,MATCH($B4827,CalLookUpRow,0),MATCH(G$1,CalLookUpColumn,0))</f>
        <v>2019</v>
      </c>
      <c r="H4827">
        <f>INDEX(CalLookUpTable,MATCH($B4827,CalLookUpRow,0),MATCH(H$1,CalLookUpColumn,0))</f>
        <v>9</v>
      </c>
      <c r="I4827">
        <f>INDEX(CalLookUpTable,MATCH($B4827,CalLookUpRow,0),MATCH(I$1,CalLookUpColumn,0))</f>
        <v>1</v>
      </c>
    </row>
    <row r="4828" spans="1:9" x14ac:dyDescent="0.25">
      <c r="A4828" s="7">
        <v>3</v>
      </c>
      <c r="B4828" s="8">
        <v>43708</v>
      </c>
      <c r="C4828" s="9" t="s">
        <v>5</v>
      </c>
      <c r="D4828" s="10">
        <v>3097.2059999999997</v>
      </c>
      <c r="E4828" s="10">
        <v>0</v>
      </c>
      <c r="F4828" t="str">
        <f>VLOOKUP(A4828,StoreLookup,2,FALSE)</f>
        <v>Store#3</v>
      </c>
      <c r="G4828">
        <f>INDEX(CalLookUpTable,MATCH($B4828,CalLookUpRow,0),MATCH(G$1,CalLookUpColumn,0))</f>
        <v>2019</v>
      </c>
      <c r="H4828">
        <f>INDEX(CalLookUpTable,MATCH($B4828,CalLookUpRow,0),MATCH(H$1,CalLookUpColumn,0))</f>
        <v>9</v>
      </c>
      <c r="I4828">
        <f>INDEX(CalLookUpTable,MATCH($B4828,CalLookUpRow,0),MATCH(I$1,CalLookUpColumn,0))</f>
        <v>1</v>
      </c>
    </row>
    <row r="4829" spans="1:9" x14ac:dyDescent="0.25">
      <c r="A4829" s="7">
        <v>3</v>
      </c>
      <c r="B4829" s="8">
        <v>43708</v>
      </c>
      <c r="C4829" s="9" t="s">
        <v>6</v>
      </c>
      <c r="D4829" s="10">
        <v>669.78800000000001</v>
      </c>
      <c r="E4829" s="10">
        <v>0</v>
      </c>
      <c r="F4829" t="str">
        <f>VLOOKUP(A4829,StoreLookup,2,FALSE)</f>
        <v>Store#3</v>
      </c>
      <c r="G4829">
        <f>INDEX(CalLookUpTable,MATCH($B4829,CalLookUpRow,0),MATCH(G$1,CalLookUpColumn,0))</f>
        <v>2019</v>
      </c>
      <c r="H4829">
        <f>INDEX(CalLookUpTable,MATCH($B4829,CalLookUpRow,0),MATCH(H$1,CalLookUpColumn,0))</f>
        <v>9</v>
      </c>
      <c r="I4829">
        <f>INDEX(CalLookUpTable,MATCH($B4829,CalLookUpRow,0),MATCH(I$1,CalLookUpColumn,0))</f>
        <v>1</v>
      </c>
    </row>
    <row r="4830" spans="1:9" x14ac:dyDescent="0.25">
      <c r="A4830" s="7">
        <v>3</v>
      </c>
      <c r="B4830" s="8">
        <v>43709</v>
      </c>
      <c r="C4830" s="9" t="s">
        <v>4</v>
      </c>
      <c r="D4830" s="10">
        <v>2911.6849999999999</v>
      </c>
      <c r="E4830" s="10">
        <v>0</v>
      </c>
      <c r="F4830" t="str">
        <f>VLOOKUP(A4830,StoreLookup,2,FALSE)</f>
        <v>Store#3</v>
      </c>
      <c r="G4830">
        <f>INDEX(CalLookUpTable,MATCH($B4830,CalLookUpRow,0),MATCH(G$1,CalLookUpColumn,0))</f>
        <v>2019</v>
      </c>
      <c r="H4830">
        <f>INDEX(CalLookUpTable,MATCH($B4830,CalLookUpRow,0),MATCH(H$1,CalLookUpColumn,0))</f>
        <v>9</v>
      </c>
      <c r="I4830">
        <f>INDEX(CalLookUpTable,MATCH($B4830,CalLookUpRow,0),MATCH(I$1,CalLookUpColumn,0))</f>
        <v>1</v>
      </c>
    </row>
    <row r="4831" spans="1:9" x14ac:dyDescent="0.25">
      <c r="A4831" s="7">
        <v>3</v>
      </c>
      <c r="B4831" s="8">
        <v>43709</v>
      </c>
      <c r="C4831" s="9" t="s">
        <v>3</v>
      </c>
      <c r="D4831" s="10">
        <v>0</v>
      </c>
      <c r="E4831" s="10">
        <v>0</v>
      </c>
      <c r="F4831" t="str">
        <f>VLOOKUP(A4831,StoreLookup,2,FALSE)</f>
        <v>Store#3</v>
      </c>
      <c r="G4831">
        <f>INDEX(CalLookUpTable,MATCH($B4831,CalLookUpRow,0),MATCH(G$1,CalLookUpColumn,0))</f>
        <v>2019</v>
      </c>
      <c r="H4831">
        <f>INDEX(CalLookUpTable,MATCH($B4831,CalLookUpRow,0),MATCH(H$1,CalLookUpColumn,0))</f>
        <v>9</v>
      </c>
      <c r="I4831">
        <f>INDEX(CalLookUpTable,MATCH($B4831,CalLookUpRow,0),MATCH(I$1,CalLookUpColumn,0))</f>
        <v>1</v>
      </c>
    </row>
    <row r="4832" spans="1:9" x14ac:dyDescent="0.25">
      <c r="A4832" s="7">
        <v>3</v>
      </c>
      <c r="B4832" s="8">
        <v>43709</v>
      </c>
      <c r="C4832" s="9" t="s">
        <v>6</v>
      </c>
      <c r="D4832" s="10">
        <v>598.07299999999998</v>
      </c>
      <c r="E4832" s="10">
        <v>0</v>
      </c>
      <c r="F4832" t="str">
        <f>VLOOKUP(A4832,StoreLookup,2,FALSE)</f>
        <v>Store#3</v>
      </c>
      <c r="G4832">
        <f>INDEX(CalLookUpTable,MATCH($B4832,CalLookUpRow,0),MATCH(G$1,CalLookUpColumn,0))</f>
        <v>2019</v>
      </c>
      <c r="H4832">
        <f>INDEX(CalLookUpTable,MATCH($B4832,CalLookUpRow,0),MATCH(H$1,CalLookUpColumn,0))</f>
        <v>9</v>
      </c>
      <c r="I4832">
        <f>INDEX(CalLookUpTable,MATCH($B4832,CalLookUpRow,0),MATCH(I$1,CalLookUpColumn,0))</f>
        <v>1</v>
      </c>
    </row>
    <row r="4833" spans="1:9" x14ac:dyDescent="0.25">
      <c r="A4833" s="7">
        <v>3</v>
      </c>
      <c r="B4833" s="8">
        <v>43709</v>
      </c>
      <c r="C4833" s="9" t="s">
        <v>5</v>
      </c>
      <c r="D4833" s="10">
        <v>2676.317</v>
      </c>
      <c r="E4833" s="10">
        <v>0</v>
      </c>
      <c r="F4833" t="str">
        <f>VLOOKUP(A4833,StoreLookup,2,FALSE)</f>
        <v>Store#3</v>
      </c>
      <c r="G4833">
        <f>INDEX(CalLookUpTable,MATCH($B4833,CalLookUpRow,0),MATCH(G$1,CalLookUpColumn,0))</f>
        <v>2019</v>
      </c>
      <c r="H4833">
        <f>INDEX(CalLookUpTable,MATCH($B4833,CalLookUpRow,0),MATCH(H$1,CalLookUpColumn,0))</f>
        <v>9</v>
      </c>
      <c r="I4833">
        <f>INDEX(CalLookUpTable,MATCH($B4833,CalLookUpRow,0),MATCH(I$1,CalLookUpColumn,0))</f>
        <v>1</v>
      </c>
    </row>
    <row r="4834" spans="1:9" x14ac:dyDescent="0.25">
      <c r="A4834" s="7">
        <v>3</v>
      </c>
      <c r="B4834" s="8">
        <v>43710</v>
      </c>
      <c r="C4834" s="9" t="s">
        <v>6</v>
      </c>
      <c r="D4834" s="10">
        <v>740.56499999999994</v>
      </c>
      <c r="E4834" s="10">
        <v>0</v>
      </c>
      <c r="F4834" t="str">
        <f>VLOOKUP(A4834,StoreLookup,2,FALSE)</f>
        <v>Store#3</v>
      </c>
      <c r="G4834">
        <f>INDEX(CalLookUpTable,MATCH($B4834,CalLookUpRow,0),MATCH(G$1,CalLookUpColumn,0))</f>
        <v>2019</v>
      </c>
      <c r="H4834">
        <f>INDEX(CalLookUpTable,MATCH($B4834,CalLookUpRow,0),MATCH(H$1,CalLookUpColumn,0))</f>
        <v>9</v>
      </c>
      <c r="I4834">
        <f>INDEX(CalLookUpTable,MATCH($B4834,CalLookUpRow,0),MATCH(I$1,CalLookUpColumn,0))</f>
        <v>2</v>
      </c>
    </row>
    <row r="4835" spans="1:9" x14ac:dyDescent="0.25">
      <c r="A4835" s="7">
        <v>3</v>
      </c>
      <c r="B4835" s="8">
        <v>43710</v>
      </c>
      <c r="C4835" s="9" t="s">
        <v>4</v>
      </c>
      <c r="D4835" s="10">
        <v>3505.8869999999997</v>
      </c>
      <c r="E4835" s="10">
        <v>0</v>
      </c>
      <c r="F4835" t="str">
        <f>VLOOKUP(A4835,StoreLookup,2,FALSE)</f>
        <v>Store#3</v>
      </c>
      <c r="G4835">
        <f>INDEX(CalLookUpTable,MATCH($B4835,CalLookUpRow,0),MATCH(G$1,CalLookUpColumn,0))</f>
        <v>2019</v>
      </c>
      <c r="H4835">
        <f>INDEX(CalLookUpTable,MATCH($B4835,CalLookUpRow,0),MATCH(H$1,CalLookUpColumn,0))</f>
        <v>9</v>
      </c>
      <c r="I4835">
        <f>INDEX(CalLookUpTable,MATCH($B4835,CalLookUpRow,0),MATCH(I$1,CalLookUpColumn,0))</f>
        <v>2</v>
      </c>
    </row>
    <row r="4836" spans="1:9" x14ac:dyDescent="0.25">
      <c r="A4836" s="7">
        <v>3</v>
      </c>
      <c r="B4836" s="8">
        <v>43710</v>
      </c>
      <c r="C4836" s="9" t="s">
        <v>3</v>
      </c>
      <c r="D4836" s="10">
        <v>0</v>
      </c>
      <c r="E4836" s="10">
        <v>0</v>
      </c>
      <c r="F4836" t="str">
        <f>VLOOKUP(A4836,StoreLookup,2,FALSE)</f>
        <v>Store#3</v>
      </c>
      <c r="G4836">
        <f>INDEX(CalLookUpTable,MATCH($B4836,CalLookUpRow,0),MATCH(G$1,CalLookUpColumn,0))</f>
        <v>2019</v>
      </c>
      <c r="H4836">
        <f>INDEX(CalLookUpTable,MATCH($B4836,CalLookUpRow,0),MATCH(H$1,CalLookUpColumn,0))</f>
        <v>9</v>
      </c>
      <c r="I4836">
        <f>INDEX(CalLookUpTable,MATCH($B4836,CalLookUpRow,0),MATCH(I$1,CalLookUpColumn,0))</f>
        <v>2</v>
      </c>
    </row>
    <row r="4837" spans="1:9" x14ac:dyDescent="0.25">
      <c r="A4837" s="7">
        <v>3</v>
      </c>
      <c r="B4837" s="8">
        <v>43710</v>
      </c>
      <c r="C4837" s="9" t="s">
        <v>5</v>
      </c>
      <c r="D4837" s="10">
        <v>3223.1570000000002</v>
      </c>
      <c r="E4837" s="10">
        <v>0</v>
      </c>
      <c r="F4837" t="str">
        <f>VLOOKUP(A4837,StoreLookup,2,FALSE)</f>
        <v>Store#3</v>
      </c>
      <c r="G4837">
        <f>INDEX(CalLookUpTable,MATCH($B4837,CalLookUpRow,0),MATCH(G$1,CalLookUpColumn,0))</f>
        <v>2019</v>
      </c>
      <c r="H4837">
        <f>INDEX(CalLookUpTable,MATCH($B4837,CalLookUpRow,0),MATCH(H$1,CalLookUpColumn,0))</f>
        <v>9</v>
      </c>
      <c r="I4837">
        <f>INDEX(CalLookUpTable,MATCH($B4837,CalLookUpRow,0),MATCH(I$1,CalLookUpColumn,0))</f>
        <v>2</v>
      </c>
    </row>
    <row r="4838" spans="1:9" x14ac:dyDescent="0.25">
      <c r="A4838" s="7">
        <v>3</v>
      </c>
      <c r="B4838" s="8">
        <v>43711</v>
      </c>
      <c r="C4838" s="9" t="s">
        <v>5</v>
      </c>
      <c r="D4838" s="10">
        <v>3064.5089999999996</v>
      </c>
      <c r="E4838" s="10">
        <v>0</v>
      </c>
      <c r="F4838" t="str">
        <f>VLOOKUP(A4838,StoreLookup,2,FALSE)</f>
        <v>Store#3</v>
      </c>
      <c r="G4838">
        <f>INDEX(CalLookUpTable,MATCH($B4838,CalLookUpRow,0),MATCH(G$1,CalLookUpColumn,0))</f>
        <v>2019</v>
      </c>
      <c r="H4838">
        <f>INDEX(CalLookUpTable,MATCH($B4838,CalLookUpRow,0),MATCH(H$1,CalLookUpColumn,0))</f>
        <v>9</v>
      </c>
      <c r="I4838">
        <f>INDEX(CalLookUpTable,MATCH($B4838,CalLookUpRow,0),MATCH(I$1,CalLookUpColumn,0))</f>
        <v>2</v>
      </c>
    </row>
    <row r="4839" spans="1:9" x14ac:dyDescent="0.25">
      <c r="A4839" s="7">
        <v>3</v>
      </c>
      <c r="B4839" s="8">
        <v>43711</v>
      </c>
      <c r="C4839" s="9" t="s">
        <v>3</v>
      </c>
      <c r="D4839" s="10">
        <v>0</v>
      </c>
      <c r="E4839" s="10">
        <v>0</v>
      </c>
      <c r="F4839" t="str">
        <f>VLOOKUP(A4839,StoreLookup,2,FALSE)</f>
        <v>Store#3</v>
      </c>
      <c r="G4839">
        <f>INDEX(CalLookUpTable,MATCH($B4839,CalLookUpRow,0),MATCH(G$1,CalLookUpColumn,0))</f>
        <v>2019</v>
      </c>
      <c r="H4839">
        <f>INDEX(CalLookUpTable,MATCH($B4839,CalLookUpRow,0),MATCH(H$1,CalLookUpColumn,0))</f>
        <v>9</v>
      </c>
      <c r="I4839">
        <f>INDEX(CalLookUpTable,MATCH($B4839,CalLookUpRow,0),MATCH(I$1,CalLookUpColumn,0))</f>
        <v>2</v>
      </c>
    </row>
    <row r="4840" spans="1:9" x14ac:dyDescent="0.25">
      <c r="A4840" s="7">
        <v>3</v>
      </c>
      <c r="B4840" s="8">
        <v>43711</v>
      </c>
      <c r="C4840" s="9" t="s">
        <v>6</v>
      </c>
      <c r="D4840" s="10">
        <v>554.59599999999989</v>
      </c>
      <c r="E4840" s="10">
        <v>0</v>
      </c>
      <c r="F4840" t="str">
        <f>VLOOKUP(A4840,StoreLookup,2,FALSE)</f>
        <v>Store#3</v>
      </c>
      <c r="G4840">
        <f>INDEX(CalLookUpTable,MATCH($B4840,CalLookUpRow,0),MATCH(G$1,CalLookUpColumn,0))</f>
        <v>2019</v>
      </c>
      <c r="H4840">
        <f>INDEX(CalLookUpTable,MATCH($B4840,CalLookUpRow,0),MATCH(H$1,CalLookUpColumn,0))</f>
        <v>9</v>
      </c>
      <c r="I4840">
        <f>INDEX(CalLookUpTable,MATCH($B4840,CalLookUpRow,0),MATCH(I$1,CalLookUpColumn,0))</f>
        <v>2</v>
      </c>
    </row>
    <row r="4841" spans="1:9" x14ac:dyDescent="0.25">
      <c r="A4841" s="7">
        <v>3</v>
      </c>
      <c r="B4841" s="8">
        <v>43711</v>
      </c>
      <c r="C4841" s="9" t="s">
        <v>4</v>
      </c>
      <c r="D4841" s="10">
        <v>2686.607</v>
      </c>
      <c r="E4841" s="10">
        <v>0</v>
      </c>
      <c r="F4841" t="str">
        <f>VLOOKUP(A4841,StoreLookup,2,FALSE)</f>
        <v>Store#3</v>
      </c>
      <c r="G4841">
        <f>INDEX(CalLookUpTable,MATCH($B4841,CalLookUpRow,0),MATCH(G$1,CalLookUpColumn,0))</f>
        <v>2019</v>
      </c>
      <c r="H4841">
        <f>INDEX(CalLookUpTable,MATCH($B4841,CalLookUpRow,0),MATCH(H$1,CalLookUpColumn,0))</f>
        <v>9</v>
      </c>
      <c r="I4841">
        <f>INDEX(CalLookUpTable,MATCH($B4841,CalLookUpRow,0),MATCH(I$1,CalLookUpColumn,0))</f>
        <v>2</v>
      </c>
    </row>
    <row r="4842" spans="1:9" x14ac:dyDescent="0.25">
      <c r="A4842" s="7">
        <v>3</v>
      </c>
      <c r="B4842" s="8">
        <v>43712</v>
      </c>
      <c r="C4842" s="9" t="s">
        <v>6</v>
      </c>
      <c r="D4842" s="10">
        <v>541.35899999999992</v>
      </c>
      <c r="E4842" s="10">
        <v>0</v>
      </c>
      <c r="F4842" t="str">
        <f>VLOOKUP(A4842,StoreLookup,2,FALSE)</f>
        <v>Store#3</v>
      </c>
      <c r="G4842">
        <f>INDEX(CalLookUpTable,MATCH($B4842,CalLookUpRow,0),MATCH(G$1,CalLookUpColumn,0))</f>
        <v>2019</v>
      </c>
      <c r="H4842">
        <f>INDEX(CalLookUpTable,MATCH($B4842,CalLookUpRow,0),MATCH(H$1,CalLookUpColumn,0))</f>
        <v>9</v>
      </c>
      <c r="I4842">
        <f>INDEX(CalLookUpTable,MATCH($B4842,CalLookUpRow,0),MATCH(I$1,CalLookUpColumn,0))</f>
        <v>2</v>
      </c>
    </row>
    <row r="4843" spans="1:9" x14ac:dyDescent="0.25">
      <c r="A4843" s="7">
        <v>3</v>
      </c>
      <c r="B4843" s="8">
        <v>43712</v>
      </c>
      <c r="C4843" s="9" t="s">
        <v>3</v>
      </c>
      <c r="D4843" s="10">
        <v>76.173999999999992</v>
      </c>
      <c r="E4843" s="10">
        <v>0</v>
      </c>
      <c r="F4843" t="str">
        <f>VLOOKUP(A4843,StoreLookup,2,FALSE)</f>
        <v>Store#3</v>
      </c>
      <c r="G4843">
        <f>INDEX(CalLookUpTable,MATCH($B4843,CalLookUpRow,0),MATCH(G$1,CalLookUpColumn,0))</f>
        <v>2019</v>
      </c>
      <c r="H4843">
        <f>INDEX(CalLookUpTable,MATCH($B4843,CalLookUpRow,0),MATCH(H$1,CalLookUpColumn,0))</f>
        <v>9</v>
      </c>
      <c r="I4843">
        <f>INDEX(CalLookUpTable,MATCH($B4843,CalLookUpRow,0),MATCH(I$1,CalLookUpColumn,0))</f>
        <v>2</v>
      </c>
    </row>
    <row r="4844" spans="1:9" x14ac:dyDescent="0.25">
      <c r="A4844" s="7">
        <v>3</v>
      </c>
      <c r="B4844" s="8">
        <v>43712</v>
      </c>
      <c r="C4844" s="9" t="s">
        <v>5</v>
      </c>
      <c r="D4844" s="10">
        <v>3180.4989999999998</v>
      </c>
      <c r="E4844" s="10">
        <v>0</v>
      </c>
      <c r="F4844" t="str">
        <f>VLOOKUP(A4844,StoreLookup,2,FALSE)</f>
        <v>Store#3</v>
      </c>
      <c r="G4844">
        <f>INDEX(CalLookUpTable,MATCH($B4844,CalLookUpRow,0),MATCH(G$1,CalLookUpColumn,0))</f>
        <v>2019</v>
      </c>
      <c r="H4844">
        <f>INDEX(CalLookUpTable,MATCH($B4844,CalLookUpRow,0),MATCH(H$1,CalLookUpColumn,0))</f>
        <v>9</v>
      </c>
      <c r="I4844">
        <f>INDEX(CalLookUpTable,MATCH($B4844,CalLookUpRow,0),MATCH(I$1,CalLookUpColumn,0))</f>
        <v>2</v>
      </c>
    </row>
    <row r="4845" spans="1:9" x14ac:dyDescent="0.25">
      <c r="A4845" s="7">
        <v>3</v>
      </c>
      <c r="B4845" s="8">
        <v>43712</v>
      </c>
      <c r="C4845" s="9" t="s">
        <v>4</v>
      </c>
      <c r="D4845" s="10">
        <v>2934.2179999999998</v>
      </c>
      <c r="E4845" s="10">
        <v>0</v>
      </c>
      <c r="F4845" t="str">
        <f>VLOOKUP(A4845,StoreLookup,2,FALSE)</f>
        <v>Store#3</v>
      </c>
      <c r="G4845">
        <f>INDEX(CalLookUpTable,MATCH($B4845,CalLookUpRow,0),MATCH(G$1,CalLookUpColumn,0))</f>
        <v>2019</v>
      </c>
      <c r="H4845">
        <f>INDEX(CalLookUpTable,MATCH($B4845,CalLookUpRow,0),MATCH(H$1,CalLookUpColumn,0))</f>
        <v>9</v>
      </c>
      <c r="I4845">
        <f>INDEX(CalLookUpTable,MATCH($B4845,CalLookUpRow,0),MATCH(I$1,CalLookUpColumn,0))</f>
        <v>2</v>
      </c>
    </row>
    <row r="4846" spans="1:9" x14ac:dyDescent="0.25">
      <c r="A4846" s="7">
        <v>3</v>
      </c>
      <c r="B4846" s="8">
        <v>43713</v>
      </c>
      <c r="C4846" s="9" t="s">
        <v>5</v>
      </c>
      <c r="D4846" s="10">
        <v>3568.2989999999995</v>
      </c>
      <c r="E4846" s="10">
        <v>0</v>
      </c>
      <c r="F4846" t="str">
        <f>VLOOKUP(A4846,StoreLookup,2,FALSE)</f>
        <v>Store#3</v>
      </c>
      <c r="G4846">
        <f>INDEX(CalLookUpTable,MATCH($B4846,CalLookUpRow,0),MATCH(G$1,CalLookUpColumn,0))</f>
        <v>2019</v>
      </c>
      <c r="H4846">
        <f>INDEX(CalLookUpTable,MATCH($B4846,CalLookUpRow,0),MATCH(H$1,CalLookUpColumn,0))</f>
        <v>9</v>
      </c>
      <c r="I4846">
        <f>INDEX(CalLookUpTable,MATCH($B4846,CalLookUpRow,0),MATCH(I$1,CalLookUpColumn,0))</f>
        <v>2</v>
      </c>
    </row>
    <row r="4847" spans="1:9" x14ac:dyDescent="0.25">
      <c r="A4847" s="7">
        <v>3</v>
      </c>
      <c r="B4847" s="8">
        <v>43713</v>
      </c>
      <c r="C4847" s="9" t="s">
        <v>4</v>
      </c>
      <c r="D4847" s="10">
        <v>3195.5559999999996</v>
      </c>
      <c r="E4847" s="10">
        <v>0</v>
      </c>
      <c r="F4847" t="str">
        <f>VLOOKUP(A4847,StoreLookup,2,FALSE)</f>
        <v>Store#3</v>
      </c>
      <c r="G4847">
        <f>INDEX(CalLookUpTable,MATCH($B4847,CalLookUpRow,0),MATCH(G$1,CalLookUpColumn,0))</f>
        <v>2019</v>
      </c>
      <c r="H4847">
        <f>INDEX(CalLookUpTable,MATCH($B4847,CalLookUpRow,0),MATCH(H$1,CalLookUpColumn,0))</f>
        <v>9</v>
      </c>
      <c r="I4847">
        <f>INDEX(CalLookUpTable,MATCH($B4847,CalLookUpRow,0),MATCH(I$1,CalLookUpColumn,0))</f>
        <v>2</v>
      </c>
    </row>
    <row r="4848" spans="1:9" x14ac:dyDescent="0.25">
      <c r="A4848" s="7">
        <v>3</v>
      </c>
      <c r="B4848" s="8">
        <v>43713</v>
      </c>
      <c r="C4848" s="9" t="s">
        <v>6</v>
      </c>
      <c r="D4848" s="10">
        <v>732.32600000000002</v>
      </c>
      <c r="E4848" s="10">
        <v>0</v>
      </c>
      <c r="F4848" t="str">
        <f>VLOOKUP(A4848,StoreLookup,2,FALSE)</f>
        <v>Store#3</v>
      </c>
      <c r="G4848">
        <f>INDEX(CalLookUpTable,MATCH($B4848,CalLookUpRow,0),MATCH(G$1,CalLookUpColumn,0))</f>
        <v>2019</v>
      </c>
      <c r="H4848">
        <f>INDEX(CalLookUpTable,MATCH($B4848,CalLookUpRow,0),MATCH(H$1,CalLookUpColumn,0))</f>
        <v>9</v>
      </c>
      <c r="I4848">
        <f>INDEX(CalLookUpTable,MATCH($B4848,CalLookUpRow,0),MATCH(I$1,CalLookUpColumn,0))</f>
        <v>2</v>
      </c>
    </row>
    <row r="4849" spans="1:9" x14ac:dyDescent="0.25">
      <c r="A4849" s="7">
        <v>3</v>
      </c>
      <c r="B4849" s="8">
        <v>43713</v>
      </c>
      <c r="C4849" s="9" t="s">
        <v>3</v>
      </c>
      <c r="D4849" s="10">
        <v>0</v>
      </c>
      <c r="E4849" s="10">
        <v>0</v>
      </c>
      <c r="F4849" t="str">
        <f>VLOOKUP(A4849,StoreLookup,2,FALSE)</f>
        <v>Store#3</v>
      </c>
      <c r="G4849">
        <f>INDEX(CalLookUpTable,MATCH($B4849,CalLookUpRow,0),MATCH(G$1,CalLookUpColumn,0))</f>
        <v>2019</v>
      </c>
      <c r="H4849">
        <f>INDEX(CalLookUpTable,MATCH($B4849,CalLookUpRow,0),MATCH(H$1,CalLookUpColumn,0))</f>
        <v>9</v>
      </c>
      <c r="I4849">
        <f>INDEX(CalLookUpTable,MATCH($B4849,CalLookUpRow,0),MATCH(I$1,CalLookUpColumn,0))</f>
        <v>2</v>
      </c>
    </row>
    <row r="4850" spans="1:9" x14ac:dyDescent="0.25">
      <c r="A4850" s="7">
        <v>3</v>
      </c>
      <c r="B4850" s="8">
        <v>43714</v>
      </c>
      <c r="C4850" s="9" t="s">
        <v>6</v>
      </c>
      <c r="D4850" s="10">
        <v>1027.194</v>
      </c>
      <c r="E4850" s="10">
        <v>0</v>
      </c>
      <c r="F4850" t="str">
        <f>VLOOKUP(A4850,StoreLookup,2,FALSE)</f>
        <v>Store#3</v>
      </c>
      <c r="G4850">
        <f>INDEX(CalLookUpTable,MATCH($B4850,CalLookUpRow,0),MATCH(G$1,CalLookUpColumn,0))</f>
        <v>2019</v>
      </c>
      <c r="H4850">
        <f>INDEX(CalLookUpTable,MATCH($B4850,CalLookUpRow,0),MATCH(H$1,CalLookUpColumn,0))</f>
        <v>9</v>
      </c>
      <c r="I4850">
        <f>INDEX(CalLookUpTable,MATCH($B4850,CalLookUpRow,0),MATCH(I$1,CalLookUpColumn,0))</f>
        <v>2</v>
      </c>
    </row>
    <row r="4851" spans="1:9" x14ac:dyDescent="0.25">
      <c r="A4851" s="7">
        <v>3</v>
      </c>
      <c r="B4851" s="8">
        <v>43714</v>
      </c>
      <c r="C4851" s="9" t="s">
        <v>4</v>
      </c>
      <c r="D4851" s="10">
        <v>3706.9409999999998</v>
      </c>
      <c r="E4851" s="10">
        <v>0</v>
      </c>
      <c r="F4851" t="str">
        <f>VLOOKUP(A4851,StoreLookup,2,FALSE)</f>
        <v>Store#3</v>
      </c>
      <c r="G4851">
        <f>INDEX(CalLookUpTable,MATCH($B4851,CalLookUpRow,0),MATCH(G$1,CalLookUpColumn,0))</f>
        <v>2019</v>
      </c>
      <c r="H4851">
        <f>INDEX(CalLookUpTable,MATCH($B4851,CalLookUpRow,0),MATCH(H$1,CalLookUpColumn,0))</f>
        <v>9</v>
      </c>
      <c r="I4851">
        <f>INDEX(CalLookUpTable,MATCH($B4851,CalLookUpRow,0),MATCH(I$1,CalLookUpColumn,0))</f>
        <v>2</v>
      </c>
    </row>
    <row r="4852" spans="1:9" x14ac:dyDescent="0.25">
      <c r="A4852" s="7">
        <v>3</v>
      </c>
      <c r="B4852" s="8">
        <v>43714</v>
      </c>
      <c r="C4852" s="9" t="s">
        <v>3</v>
      </c>
      <c r="D4852" s="10">
        <v>321.71999999999997</v>
      </c>
      <c r="E4852" s="10">
        <v>0</v>
      </c>
      <c r="F4852" t="str">
        <f>VLOOKUP(A4852,StoreLookup,2,FALSE)</f>
        <v>Store#3</v>
      </c>
      <c r="G4852">
        <f>INDEX(CalLookUpTable,MATCH($B4852,CalLookUpRow,0),MATCH(G$1,CalLookUpColumn,0))</f>
        <v>2019</v>
      </c>
      <c r="H4852">
        <f>INDEX(CalLookUpTable,MATCH($B4852,CalLookUpRow,0),MATCH(H$1,CalLookUpColumn,0))</f>
        <v>9</v>
      </c>
      <c r="I4852">
        <f>INDEX(CalLookUpTable,MATCH($B4852,CalLookUpRow,0),MATCH(I$1,CalLookUpColumn,0))</f>
        <v>2</v>
      </c>
    </row>
    <row r="4853" spans="1:9" x14ac:dyDescent="0.25">
      <c r="A4853" s="7">
        <v>3</v>
      </c>
      <c r="B4853" s="8">
        <v>43714</v>
      </c>
      <c r="C4853" s="9" t="s">
        <v>5</v>
      </c>
      <c r="D4853" s="10">
        <v>3483.4169999999999</v>
      </c>
      <c r="E4853" s="10">
        <v>0</v>
      </c>
      <c r="F4853" t="str">
        <f>VLOOKUP(A4853,StoreLookup,2,FALSE)</f>
        <v>Store#3</v>
      </c>
      <c r="G4853">
        <f>INDEX(CalLookUpTable,MATCH($B4853,CalLookUpRow,0),MATCH(G$1,CalLookUpColumn,0))</f>
        <v>2019</v>
      </c>
      <c r="H4853">
        <f>INDEX(CalLookUpTable,MATCH($B4853,CalLookUpRow,0),MATCH(H$1,CalLookUpColumn,0))</f>
        <v>9</v>
      </c>
      <c r="I4853">
        <f>INDEX(CalLookUpTable,MATCH($B4853,CalLookUpRow,0),MATCH(I$1,CalLookUpColumn,0))</f>
        <v>2</v>
      </c>
    </row>
    <row r="4854" spans="1:9" x14ac:dyDescent="0.25">
      <c r="A4854" s="7">
        <v>3</v>
      </c>
      <c r="B4854" s="8">
        <v>43715</v>
      </c>
      <c r="C4854" s="9" t="s">
        <v>6</v>
      </c>
      <c r="D4854" s="10">
        <v>806.14100000000008</v>
      </c>
      <c r="E4854" s="10">
        <v>0</v>
      </c>
      <c r="F4854" t="str">
        <f>VLOOKUP(A4854,StoreLookup,2,FALSE)</f>
        <v>Store#3</v>
      </c>
      <c r="G4854">
        <f>INDEX(CalLookUpTable,MATCH($B4854,CalLookUpRow,0),MATCH(G$1,CalLookUpColumn,0))</f>
        <v>2019</v>
      </c>
      <c r="H4854">
        <f>INDEX(CalLookUpTable,MATCH($B4854,CalLookUpRow,0),MATCH(H$1,CalLookUpColumn,0))</f>
        <v>9</v>
      </c>
      <c r="I4854">
        <f>INDEX(CalLookUpTable,MATCH($B4854,CalLookUpRow,0),MATCH(I$1,CalLookUpColumn,0))</f>
        <v>2</v>
      </c>
    </row>
    <row r="4855" spans="1:9" x14ac:dyDescent="0.25">
      <c r="A4855" s="7">
        <v>3</v>
      </c>
      <c r="B4855" s="8">
        <v>43715</v>
      </c>
      <c r="C4855" s="9" t="s">
        <v>4</v>
      </c>
      <c r="D4855" s="10">
        <v>3148.1869999999999</v>
      </c>
      <c r="E4855" s="10">
        <v>0</v>
      </c>
      <c r="F4855" t="str">
        <f>VLOOKUP(A4855,StoreLookup,2,FALSE)</f>
        <v>Store#3</v>
      </c>
      <c r="G4855">
        <f>INDEX(CalLookUpTable,MATCH($B4855,CalLookUpRow,0),MATCH(G$1,CalLookUpColumn,0))</f>
        <v>2019</v>
      </c>
      <c r="H4855">
        <f>INDEX(CalLookUpTable,MATCH($B4855,CalLookUpRow,0),MATCH(H$1,CalLookUpColumn,0))</f>
        <v>9</v>
      </c>
      <c r="I4855">
        <f>INDEX(CalLookUpTable,MATCH($B4855,CalLookUpRow,0),MATCH(I$1,CalLookUpColumn,0))</f>
        <v>2</v>
      </c>
    </row>
    <row r="4856" spans="1:9" x14ac:dyDescent="0.25">
      <c r="A4856" s="7">
        <v>3</v>
      </c>
      <c r="B4856" s="8">
        <v>43715</v>
      </c>
      <c r="C4856" s="9" t="s">
        <v>3</v>
      </c>
      <c r="D4856" s="10">
        <v>0</v>
      </c>
      <c r="E4856" s="10">
        <v>0</v>
      </c>
      <c r="F4856" t="str">
        <f>VLOOKUP(A4856,StoreLookup,2,FALSE)</f>
        <v>Store#3</v>
      </c>
      <c r="G4856">
        <f>INDEX(CalLookUpTable,MATCH($B4856,CalLookUpRow,0),MATCH(G$1,CalLookUpColumn,0))</f>
        <v>2019</v>
      </c>
      <c r="H4856">
        <f>INDEX(CalLookUpTable,MATCH($B4856,CalLookUpRow,0),MATCH(H$1,CalLookUpColumn,0))</f>
        <v>9</v>
      </c>
      <c r="I4856">
        <f>INDEX(CalLookUpTable,MATCH($B4856,CalLookUpRow,0),MATCH(I$1,CalLookUpColumn,0))</f>
        <v>2</v>
      </c>
    </row>
    <row r="4857" spans="1:9" x14ac:dyDescent="0.25">
      <c r="A4857" s="7">
        <v>3</v>
      </c>
      <c r="B4857" s="8">
        <v>43715</v>
      </c>
      <c r="C4857" s="9" t="s">
        <v>5</v>
      </c>
      <c r="D4857" s="10">
        <v>3412.5140000000001</v>
      </c>
      <c r="E4857" s="10">
        <v>0</v>
      </c>
      <c r="F4857" t="str">
        <f>VLOOKUP(A4857,StoreLookup,2,FALSE)</f>
        <v>Store#3</v>
      </c>
      <c r="G4857">
        <f>INDEX(CalLookUpTable,MATCH($B4857,CalLookUpRow,0),MATCH(G$1,CalLookUpColumn,0))</f>
        <v>2019</v>
      </c>
      <c r="H4857">
        <f>INDEX(CalLookUpTable,MATCH($B4857,CalLookUpRow,0),MATCH(H$1,CalLookUpColumn,0))</f>
        <v>9</v>
      </c>
      <c r="I4857">
        <f>INDEX(CalLookUpTable,MATCH($B4857,CalLookUpRow,0),MATCH(I$1,CalLookUpColumn,0))</f>
        <v>2</v>
      </c>
    </row>
    <row r="4858" spans="1:9" x14ac:dyDescent="0.25">
      <c r="A4858" s="7">
        <v>3</v>
      </c>
      <c r="B4858" s="8">
        <v>43716</v>
      </c>
      <c r="C4858" s="9" t="s">
        <v>4</v>
      </c>
      <c r="D4858" s="10">
        <v>2509.3179999999998</v>
      </c>
      <c r="E4858" s="10">
        <v>0</v>
      </c>
      <c r="F4858" t="str">
        <f>VLOOKUP(A4858,StoreLookup,2,FALSE)</f>
        <v>Store#3</v>
      </c>
      <c r="G4858">
        <f>INDEX(CalLookUpTable,MATCH($B4858,CalLookUpRow,0),MATCH(G$1,CalLookUpColumn,0))</f>
        <v>2019</v>
      </c>
      <c r="H4858">
        <f>INDEX(CalLookUpTable,MATCH($B4858,CalLookUpRow,0),MATCH(H$1,CalLookUpColumn,0))</f>
        <v>9</v>
      </c>
      <c r="I4858">
        <f>INDEX(CalLookUpTable,MATCH($B4858,CalLookUpRow,0),MATCH(I$1,CalLookUpColumn,0))</f>
        <v>2</v>
      </c>
    </row>
    <row r="4859" spans="1:9" x14ac:dyDescent="0.25">
      <c r="A4859" s="7">
        <v>3</v>
      </c>
      <c r="B4859" s="8">
        <v>43716</v>
      </c>
      <c r="C4859" s="9" t="s">
        <v>5</v>
      </c>
      <c r="D4859" s="10">
        <v>3339.1959999999995</v>
      </c>
      <c r="E4859" s="10">
        <v>0</v>
      </c>
      <c r="F4859" t="str">
        <f>VLOOKUP(A4859,StoreLookup,2,FALSE)</f>
        <v>Store#3</v>
      </c>
      <c r="G4859">
        <f>INDEX(CalLookUpTable,MATCH($B4859,CalLookUpRow,0),MATCH(G$1,CalLookUpColumn,0))</f>
        <v>2019</v>
      </c>
      <c r="H4859">
        <f>INDEX(CalLookUpTable,MATCH($B4859,CalLookUpRow,0),MATCH(H$1,CalLookUpColumn,0))</f>
        <v>9</v>
      </c>
      <c r="I4859">
        <f>INDEX(CalLookUpTable,MATCH($B4859,CalLookUpRow,0),MATCH(I$1,CalLookUpColumn,0))</f>
        <v>2</v>
      </c>
    </row>
    <row r="4860" spans="1:9" x14ac:dyDescent="0.25">
      <c r="A4860" s="7">
        <v>3</v>
      </c>
      <c r="B4860" s="8">
        <v>43716</v>
      </c>
      <c r="C4860" s="9" t="s">
        <v>3</v>
      </c>
      <c r="D4860" s="10">
        <v>0</v>
      </c>
      <c r="E4860" s="10">
        <v>0</v>
      </c>
      <c r="F4860" t="str">
        <f>VLOOKUP(A4860,StoreLookup,2,FALSE)</f>
        <v>Store#3</v>
      </c>
      <c r="G4860">
        <f>INDEX(CalLookUpTable,MATCH($B4860,CalLookUpRow,0),MATCH(G$1,CalLookUpColumn,0))</f>
        <v>2019</v>
      </c>
      <c r="H4860">
        <f>INDEX(CalLookUpTable,MATCH($B4860,CalLookUpRow,0),MATCH(H$1,CalLookUpColumn,0))</f>
        <v>9</v>
      </c>
      <c r="I4860">
        <f>INDEX(CalLookUpTable,MATCH($B4860,CalLookUpRow,0),MATCH(I$1,CalLookUpColumn,0))</f>
        <v>2</v>
      </c>
    </row>
    <row r="4861" spans="1:9" x14ac:dyDescent="0.25">
      <c r="A4861" s="7">
        <v>3</v>
      </c>
      <c r="B4861" s="8">
        <v>43716</v>
      </c>
      <c r="C4861" s="9" t="s">
        <v>6</v>
      </c>
      <c r="D4861" s="10">
        <v>563.91300000000001</v>
      </c>
      <c r="E4861" s="10">
        <v>0</v>
      </c>
      <c r="F4861" t="str">
        <f>VLOOKUP(A4861,StoreLookup,2,FALSE)</f>
        <v>Store#3</v>
      </c>
      <c r="G4861">
        <f>INDEX(CalLookUpTable,MATCH($B4861,CalLookUpRow,0),MATCH(G$1,CalLookUpColumn,0))</f>
        <v>2019</v>
      </c>
      <c r="H4861">
        <f>INDEX(CalLookUpTable,MATCH($B4861,CalLookUpRow,0),MATCH(H$1,CalLookUpColumn,0))</f>
        <v>9</v>
      </c>
      <c r="I4861">
        <f>INDEX(CalLookUpTable,MATCH($B4861,CalLookUpRow,0),MATCH(I$1,CalLookUpColumn,0))</f>
        <v>2</v>
      </c>
    </row>
    <row r="4862" spans="1:9" x14ac:dyDescent="0.25">
      <c r="A4862" s="7">
        <v>3</v>
      </c>
      <c r="B4862" s="8">
        <v>43717</v>
      </c>
      <c r="C4862" s="9" t="s">
        <v>5</v>
      </c>
      <c r="D4862" s="10">
        <v>3265.8920000000003</v>
      </c>
      <c r="E4862" s="10">
        <v>0</v>
      </c>
      <c r="F4862" t="str">
        <f>VLOOKUP(A4862,StoreLookup,2,FALSE)</f>
        <v>Store#3</v>
      </c>
      <c r="G4862">
        <f>INDEX(CalLookUpTable,MATCH($B4862,CalLookUpRow,0),MATCH(G$1,CalLookUpColumn,0))</f>
        <v>2019</v>
      </c>
      <c r="H4862">
        <f>INDEX(CalLookUpTable,MATCH($B4862,CalLookUpRow,0),MATCH(H$1,CalLookUpColumn,0))</f>
        <v>9</v>
      </c>
      <c r="I4862">
        <f>INDEX(CalLookUpTable,MATCH($B4862,CalLookUpRow,0),MATCH(I$1,CalLookUpColumn,0))</f>
        <v>3</v>
      </c>
    </row>
    <row r="4863" spans="1:9" x14ac:dyDescent="0.25">
      <c r="A4863" s="7">
        <v>3</v>
      </c>
      <c r="B4863" s="8">
        <v>43717</v>
      </c>
      <c r="C4863" s="9" t="s">
        <v>3</v>
      </c>
      <c r="D4863" s="10">
        <v>206.178</v>
      </c>
      <c r="E4863" s="10">
        <v>0</v>
      </c>
      <c r="F4863" t="str">
        <f>VLOOKUP(A4863,StoreLookup,2,FALSE)</f>
        <v>Store#3</v>
      </c>
      <c r="G4863">
        <f>INDEX(CalLookUpTable,MATCH($B4863,CalLookUpRow,0),MATCH(G$1,CalLookUpColumn,0))</f>
        <v>2019</v>
      </c>
      <c r="H4863">
        <f>INDEX(CalLookUpTable,MATCH($B4863,CalLookUpRow,0),MATCH(H$1,CalLookUpColumn,0))</f>
        <v>9</v>
      </c>
      <c r="I4863">
        <f>INDEX(CalLookUpTable,MATCH($B4863,CalLookUpRow,0),MATCH(I$1,CalLookUpColumn,0))</f>
        <v>3</v>
      </c>
    </row>
    <row r="4864" spans="1:9" x14ac:dyDescent="0.25">
      <c r="A4864" s="7">
        <v>3</v>
      </c>
      <c r="B4864" s="8">
        <v>43717</v>
      </c>
      <c r="C4864" s="9" t="s">
        <v>4</v>
      </c>
      <c r="D4864" s="10">
        <v>2449.1949999999997</v>
      </c>
      <c r="E4864" s="10">
        <v>0</v>
      </c>
      <c r="F4864" t="str">
        <f>VLOOKUP(A4864,StoreLookup,2,FALSE)</f>
        <v>Store#3</v>
      </c>
      <c r="G4864">
        <f>INDEX(CalLookUpTable,MATCH($B4864,CalLookUpRow,0),MATCH(G$1,CalLookUpColumn,0))</f>
        <v>2019</v>
      </c>
      <c r="H4864">
        <f>INDEX(CalLookUpTable,MATCH($B4864,CalLookUpRow,0),MATCH(H$1,CalLookUpColumn,0))</f>
        <v>9</v>
      </c>
      <c r="I4864">
        <f>INDEX(CalLookUpTable,MATCH($B4864,CalLookUpRow,0),MATCH(I$1,CalLookUpColumn,0))</f>
        <v>3</v>
      </c>
    </row>
    <row r="4865" spans="1:9" x14ac:dyDescent="0.25">
      <c r="A4865" s="7">
        <v>3</v>
      </c>
      <c r="B4865" s="8">
        <v>43717</v>
      </c>
      <c r="C4865" s="9" t="s">
        <v>6</v>
      </c>
      <c r="D4865" s="10">
        <v>646.75800000000004</v>
      </c>
      <c r="E4865" s="10">
        <v>0</v>
      </c>
      <c r="F4865" t="str">
        <f>VLOOKUP(A4865,StoreLookup,2,FALSE)</f>
        <v>Store#3</v>
      </c>
      <c r="G4865">
        <f>INDEX(CalLookUpTable,MATCH($B4865,CalLookUpRow,0),MATCH(G$1,CalLookUpColumn,0))</f>
        <v>2019</v>
      </c>
      <c r="H4865">
        <f>INDEX(CalLookUpTable,MATCH($B4865,CalLookUpRow,0),MATCH(H$1,CalLookUpColumn,0))</f>
        <v>9</v>
      </c>
      <c r="I4865">
        <f>INDEX(CalLookUpTable,MATCH($B4865,CalLookUpRow,0),MATCH(I$1,CalLookUpColumn,0))</f>
        <v>3</v>
      </c>
    </row>
    <row r="4866" spans="1:9" x14ac:dyDescent="0.25">
      <c r="A4866" s="7">
        <v>3</v>
      </c>
      <c r="B4866" s="8">
        <v>43718</v>
      </c>
      <c r="C4866" s="9" t="s">
        <v>6</v>
      </c>
      <c r="D4866" s="10">
        <v>725.51499999999999</v>
      </c>
      <c r="E4866" s="10">
        <v>0</v>
      </c>
      <c r="F4866" t="str">
        <f>VLOOKUP(A4866,StoreLookup,2,FALSE)</f>
        <v>Store#3</v>
      </c>
      <c r="G4866">
        <f>INDEX(CalLookUpTable,MATCH($B4866,CalLookUpRow,0),MATCH(G$1,CalLookUpColumn,0))</f>
        <v>2019</v>
      </c>
      <c r="H4866">
        <f>INDEX(CalLookUpTable,MATCH($B4866,CalLookUpRow,0),MATCH(H$1,CalLookUpColumn,0))</f>
        <v>9</v>
      </c>
      <c r="I4866">
        <f>INDEX(CalLookUpTable,MATCH($B4866,CalLookUpRow,0),MATCH(I$1,CalLookUpColumn,0))</f>
        <v>3</v>
      </c>
    </row>
    <row r="4867" spans="1:9" x14ac:dyDescent="0.25">
      <c r="A4867" s="7">
        <v>3</v>
      </c>
      <c r="B4867" s="8">
        <v>43718</v>
      </c>
      <c r="C4867" s="9" t="s">
        <v>4</v>
      </c>
      <c r="D4867" s="10">
        <v>2913.1410000000001</v>
      </c>
      <c r="E4867" s="10">
        <v>0</v>
      </c>
      <c r="F4867" t="str">
        <f>VLOOKUP(A4867,StoreLookup,2,FALSE)</f>
        <v>Store#3</v>
      </c>
      <c r="G4867">
        <f>INDEX(CalLookUpTable,MATCH($B4867,CalLookUpRow,0),MATCH(G$1,CalLookUpColumn,0))</f>
        <v>2019</v>
      </c>
      <c r="H4867">
        <f>INDEX(CalLookUpTable,MATCH($B4867,CalLookUpRow,0),MATCH(H$1,CalLookUpColumn,0))</f>
        <v>9</v>
      </c>
      <c r="I4867">
        <f>INDEX(CalLookUpTable,MATCH($B4867,CalLookUpRow,0),MATCH(I$1,CalLookUpColumn,0))</f>
        <v>3</v>
      </c>
    </row>
    <row r="4868" spans="1:9" x14ac:dyDescent="0.25">
      <c r="A4868" s="7">
        <v>3</v>
      </c>
      <c r="B4868" s="8">
        <v>43718</v>
      </c>
      <c r="C4868" s="9" t="s">
        <v>3</v>
      </c>
      <c r="D4868" s="10">
        <v>305.63399999999996</v>
      </c>
      <c r="E4868" s="10">
        <v>0</v>
      </c>
      <c r="F4868" t="str">
        <f>VLOOKUP(A4868,StoreLookup,2,FALSE)</f>
        <v>Store#3</v>
      </c>
      <c r="G4868">
        <f>INDEX(CalLookUpTable,MATCH($B4868,CalLookUpRow,0),MATCH(G$1,CalLookUpColumn,0))</f>
        <v>2019</v>
      </c>
      <c r="H4868">
        <f>INDEX(CalLookUpTable,MATCH($B4868,CalLookUpRow,0),MATCH(H$1,CalLookUpColumn,0))</f>
        <v>9</v>
      </c>
      <c r="I4868">
        <f>INDEX(CalLookUpTable,MATCH($B4868,CalLookUpRow,0),MATCH(I$1,CalLookUpColumn,0))</f>
        <v>3</v>
      </c>
    </row>
    <row r="4869" spans="1:9" x14ac:dyDescent="0.25">
      <c r="A4869" s="7">
        <v>3</v>
      </c>
      <c r="B4869" s="8">
        <v>43718</v>
      </c>
      <c r="C4869" s="9" t="s">
        <v>5</v>
      </c>
      <c r="D4869" s="10">
        <v>3197.3059999999996</v>
      </c>
      <c r="E4869" s="10">
        <v>0</v>
      </c>
      <c r="F4869" t="str">
        <f>VLOOKUP(A4869,StoreLookup,2,FALSE)</f>
        <v>Store#3</v>
      </c>
      <c r="G4869">
        <f>INDEX(CalLookUpTable,MATCH($B4869,CalLookUpRow,0),MATCH(G$1,CalLookUpColumn,0))</f>
        <v>2019</v>
      </c>
      <c r="H4869">
        <f>INDEX(CalLookUpTable,MATCH($B4869,CalLookUpRow,0),MATCH(H$1,CalLookUpColumn,0))</f>
        <v>9</v>
      </c>
      <c r="I4869">
        <f>INDEX(CalLookUpTable,MATCH($B4869,CalLookUpRow,0),MATCH(I$1,CalLookUpColumn,0))</f>
        <v>3</v>
      </c>
    </row>
    <row r="4870" spans="1:9" x14ac:dyDescent="0.25">
      <c r="A4870" s="7">
        <v>3</v>
      </c>
      <c r="B4870" s="8">
        <v>43719</v>
      </c>
      <c r="C4870" s="9" t="s">
        <v>4</v>
      </c>
      <c r="D4870" s="10">
        <v>2943.4299999999994</v>
      </c>
      <c r="E4870" s="10">
        <v>0.69299999999999995</v>
      </c>
      <c r="F4870" t="str">
        <f>VLOOKUP(A4870,StoreLookup,2,FALSE)</f>
        <v>Store#3</v>
      </c>
      <c r="G4870">
        <f>INDEX(CalLookUpTable,MATCH($B4870,CalLookUpRow,0),MATCH(G$1,CalLookUpColumn,0))</f>
        <v>2019</v>
      </c>
      <c r="H4870">
        <f>INDEX(CalLookUpTable,MATCH($B4870,CalLookUpRow,0),MATCH(H$1,CalLookUpColumn,0))</f>
        <v>9</v>
      </c>
      <c r="I4870">
        <f>INDEX(CalLookUpTable,MATCH($B4870,CalLookUpRow,0),MATCH(I$1,CalLookUpColumn,0))</f>
        <v>3</v>
      </c>
    </row>
    <row r="4871" spans="1:9" x14ac:dyDescent="0.25">
      <c r="A4871" s="7">
        <v>3</v>
      </c>
      <c r="B4871" s="8">
        <v>43719</v>
      </c>
      <c r="C4871" s="9" t="s">
        <v>5</v>
      </c>
      <c r="D4871" s="10">
        <v>3096.31</v>
      </c>
      <c r="E4871" s="10">
        <v>0</v>
      </c>
      <c r="F4871" t="str">
        <f>VLOOKUP(A4871,StoreLookup,2,FALSE)</f>
        <v>Store#3</v>
      </c>
      <c r="G4871">
        <f>INDEX(CalLookUpTable,MATCH($B4871,CalLookUpRow,0),MATCH(G$1,CalLookUpColumn,0))</f>
        <v>2019</v>
      </c>
      <c r="H4871">
        <f>INDEX(CalLookUpTable,MATCH($B4871,CalLookUpRow,0),MATCH(H$1,CalLookUpColumn,0))</f>
        <v>9</v>
      </c>
      <c r="I4871">
        <f>INDEX(CalLookUpTable,MATCH($B4871,CalLookUpRow,0),MATCH(I$1,CalLookUpColumn,0))</f>
        <v>3</v>
      </c>
    </row>
    <row r="4872" spans="1:9" x14ac:dyDescent="0.25">
      <c r="A4872" s="7">
        <v>3</v>
      </c>
      <c r="B4872" s="8">
        <v>43719</v>
      </c>
      <c r="C4872" s="9" t="s">
        <v>3</v>
      </c>
      <c r="D4872" s="10">
        <v>0</v>
      </c>
      <c r="E4872" s="10">
        <v>0</v>
      </c>
      <c r="F4872" t="str">
        <f>VLOOKUP(A4872,StoreLookup,2,FALSE)</f>
        <v>Store#3</v>
      </c>
      <c r="G4872">
        <f>INDEX(CalLookUpTable,MATCH($B4872,CalLookUpRow,0),MATCH(G$1,CalLookUpColumn,0))</f>
        <v>2019</v>
      </c>
      <c r="H4872">
        <f>INDEX(CalLookUpTable,MATCH($B4872,CalLookUpRow,0),MATCH(H$1,CalLookUpColumn,0))</f>
        <v>9</v>
      </c>
      <c r="I4872">
        <f>INDEX(CalLookUpTable,MATCH($B4872,CalLookUpRow,0),MATCH(I$1,CalLookUpColumn,0))</f>
        <v>3</v>
      </c>
    </row>
    <row r="4873" spans="1:9" x14ac:dyDescent="0.25">
      <c r="A4873" s="7">
        <v>3</v>
      </c>
      <c r="B4873" s="8">
        <v>43719</v>
      </c>
      <c r="C4873" s="9" t="s">
        <v>6</v>
      </c>
      <c r="D4873" s="10">
        <v>666.15499999999997</v>
      </c>
      <c r="E4873" s="10">
        <v>0</v>
      </c>
      <c r="F4873" t="str">
        <f>VLOOKUP(A4873,StoreLookup,2,FALSE)</f>
        <v>Store#3</v>
      </c>
      <c r="G4873">
        <f>INDEX(CalLookUpTable,MATCH($B4873,CalLookUpRow,0),MATCH(G$1,CalLookUpColumn,0))</f>
        <v>2019</v>
      </c>
      <c r="H4873">
        <f>INDEX(CalLookUpTable,MATCH($B4873,CalLookUpRow,0),MATCH(H$1,CalLookUpColumn,0))</f>
        <v>9</v>
      </c>
      <c r="I4873">
        <f>INDEX(CalLookUpTable,MATCH($B4873,CalLookUpRow,0),MATCH(I$1,CalLookUpColumn,0))</f>
        <v>3</v>
      </c>
    </row>
    <row r="4874" spans="1:9" x14ac:dyDescent="0.25">
      <c r="A4874" s="7">
        <v>3</v>
      </c>
      <c r="B4874" s="8">
        <v>43720</v>
      </c>
      <c r="C4874" s="9" t="s">
        <v>3</v>
      </c>
      <c r="D4874" s="10">
        <v>181.90899999999999</v>
      </c>
      <c r="E4874" s="10">
        <v>0</v>
      </c>
      <c r="F4874" t="str">
        <f>VLOOKUP(A4874,StoreLookup,2,FALSE)</f>
        <v>Store#3</v>
      </c>
      <c r="G4874">
        <f>INDEX(CalLookUpTable,MATCH($B4874,CalLookUpRow,0),MATCH(G$1,CalLookUpColumn,0))</f>
        <v>2019</v>
      </c>
      <c r="H4874">
        <f>INDEX(CalLookUpTable,MATCH($B4874,CalLookUpRow,0),MATCH(H$1,CalLookUpColumn,0))</f>
        <v>9</v>
      </c>
      <c r="I4874">
        <f>INDEX(CalLookUpTable,MATCH($B4874,CalLookUpRow,0),MATCH(I$1,CalLookUpColumn,0))</f>
        <v>3</v>
      </c>
    </row>
    <row r="4875" spans="1:9" x14ac:dyDescent="0.25">
      <c r="A4875" s="7">
        <v>3</v>
      </c>
      <c r="B4875" s="8">
        <v>43720</v>
      </c>
      <c r="C4875" s="9" t="s">
        <v>5</v>
      </c>
      <c r="D4875" s="10">
        <v>3530.3939999999998</v>
      </c>
      <c r="E4875" s="10">
        <v>0</v>
      </c>
      <c r="F4875" t="str">
        <f>VLOOKUP(A4875,StoreLookup,2,FALSE)</f>
        <v>Store#3</v>
      </c>
      <c r="G4875">
        <f>INDEX(CalLookUpTable,MATCH($B4875,CalLookUpRow,0),MATCH(G$1,CalLookUpColumn,0))</f>
        <v>2019</v>
      </c>
      <c r="H4875">
        <f>INDEX(CalLookUpTable,MATCH($B4875,CalLookUpRow,0),MATCH(H$1,CalLookUpColumn,0))</f>
        <v>9</v>
      </c>
      <c r="I4875">
        <f>INDEX(CalLookUpTable,MATCH($B4875,CalLookUpRow,0),MATCH(I$1,CalLookUpColumn,0))</f>
        <v>3</v>
      </c>
    </row>
    <row r="4876" spans="1:9" x14ac:dyDescent="0.25">
      <c r="A4876" s="7">
        <v>3</v>
      </c>
      <c r="B4876" s="8">
        <v>43720</v>
      </c>
      <c r="C4876" s="9" t="s">
        <v>6</v>
      </c>
      <c r="D4876" s="10">
        <v>577.96899999999994</v>
      </c>
      <c r="E4876" s="10">
        <v>0</v>
      </c>
      <c r="F4876" t="str">
        <f>VLOOKUP(A4876,StoreLookup,2,FALSE)</f>
        <v>Store#3</v>
      </c>
      <c r="G4876">
        <f>INDEX(CalLookUpTable,MATCH($B4876,CalLookUpRow,0),MATCH(G$1,CalLookUpColumn,0))</f>
        <v>2019</v>
      </c>
      <c r="H4876">
        <f>INDEX(CalLookUpTable,MATCH($B4876,CalLookUpRow,0),MATCH(H$1,CalLookUpColumn,0))</f>
        <v>9</v>
      </c>
      <c r="I4876">
        <f>INDEX(CalLookUpTable,MATCH($B4876,CalLookUpRow,0),MATCH(I$1,CalLookUpColumn,0))</f>
        <v>3</v>
      </c>
    </row>
    <row r="4877" spans="1:9" x14ac:dyDescent="0.25">
      <c r="A4877" s="7">
        <v>3</v>
      </c>
      <c r="B4877" s="8">
        <v>43720</v>
      </c>
      <c r="C4877" s="9" t="s">
        <v>4</v>
      </c>
      <c r="D4877" s="10">
        <v>3624.145</v>
      </c>
      <c r="E4877" s="10">
        <v>0</v>
      </c>
      <c r="F4877" t="str">
        <f>VLOOKUP(A4877,StoreLookup,2,FALSE)</f>
        <v>Store#3</v>
      </c>
      <c r="G4877">
        <f>INDEX(CalLookUpTable,MATCH($B4877,CalLookUpRow,0),MATCH(G$1,CalLookUpColumn,0))</f>
        <v>2019</v>
      </c>
      <c r="H4877">
        <f>INDEX(CalLookUpTable,MATCH($B4877,CalLookUpRow,0),MATCH(H$1,CalLookUpColumn,0))</f>
        <v>9</v>
      </c>
      <c r="I4877">
        <f>INDEX(CalLookUpTable,MATCH($B4877,CalLookUpRow,0),MATCH(I$1,CalLookUpColumn,0))</f>
        <v>3</v>
      </c>
    </row>
    <row r="4878" spans="1:9" x14ac:dyDescent="0.25">
      <c r="A4878" s="7">
        <v>3</v>
      </c>
      <c r="B4878" s="8">
        <v>43721</v>
      </c>
      <c r="C4878" s="9" t="s">
        <v>3</v>
      </c>
      <c r="D4878" s="10">
        <v>520.21199999999999</v>
      </c>
      <c r="E4878" s="10">
        <v>0</v>
      </c>
      <c r="F4878" t="str">
        <f>VLOOKUP(A4878,StoreLookup,2,FALSE)</f>
        <v>Store#3</v>
      </c>
      <c r="G4878">
        <f>INDEX(CalLookUpTable,MATCH($B4878,CalLookUpRow,0),MATCH(G$1,CalLookUpColumn,0))</f>
        <v>2019</v>
      </c>
      <c r="H4878">
        <f>INDEX(CalLookUpTable,MATCH($B4878,CalLookUpRow,0),MATCH(H$1,CalLookUpColumn,0))</f>
        <v>9</v>
      </c>
      <c r="I4878">
        <f>INDEX(CalLookUpTable,MATCH($B4878,CalLookUpRow,0),MATCH(I$1,CalLookUpColumn,0))</f>
        <v>3</v>
      </c>
    </row>
    <row r="4879" spans="1:9" x14ac:dyDescent="0.25">
      <c r="A4879" s="7">
        <v>3</v>
      </c>
      <c r="B4879" s="8">
        <v>43721</v>
      </c>
      <c r="C4879" s="9" t="s">
        <v>5</v>
      </c>
      <c r="D4879" s="10">
        <v>3425.9259999999999</v>
      </c>
      <c r="E4879" s="10">
        <v>8.4559999999999995</v>
      </c>
      <c r="F4879" t="str">
        <f>VLOOKUP(A4879,StoreLookup,2,FALSE)</f>
        <v>Store#3</v>
      </c>
      <c r="G4879">
        <f>INDEX(CalLookUpTable,MATCH($B4879,CalLookUpRow,0),MATCH(G$1,CalLookUpColumn,0))</f>
        <v>2019</v>
      </c>
      <c r="H4879">
        <f>INDEX(CalLookUpTable,MATCH($B4879,CalLookUpRow,0),MATCH(H$1,CalLookUpColumn,0))</f>
        <v>9</v>
      </c>
      <c r="I4879">
        <f>INDEX(CalLookUpTable,MATCH($B4879,CalLookUpRow,0),MATCH(I$1,CalLookUpColumn,0))</f>
        <v>3</v>
      </c>
    </row>
    <row r="4880" spans="1:9" x14ac:dyDescent="0.25">
      <c r="A4880" s="7">
        <v>3</v>
      </c>
      <c r="B4880" s="8">
        <v>43721</v>
      </c>
      <c r="C4880" s="9" t="s">
        <v>6</v>
      </c>
      <c r="D4880" s="10">
        <v>999.55099999999993</v>
      </c>
      <c r="E4880" s="10">
        <v>13.425999999999998</v>
      </c>
      <c r="F4880" t="str">
        <f>VLOOKUP(A4880,StoreLookup,2,FALSE)</f>
        <v>Store#3</v>
      </c>
      <c r="G4880">
        <f>INDEX(CalLookUpTable,MATCH($B4880,CalLookUpRow,0),MATCH(G$1,CalLookUpColumn,0))</f>
        <v>2019</v>
      </c>
      <c r="H4880">
        <f>INDEX(CalLookUpTable,MATCH($B4880,CalLookUpRow,0),MATCH(H$1,CalLookUpColumn,0))</f>
        <v>9</v>
      </c>
      <c r="I4880">
        <f>INDEX(CalLookUpTable,MATCH($B4880,CalLookUpRow,0),MATCH(I$1,CalLookUpColumn,0))</f>
        <v>3</v>
      </c>
    </row>
    <row r="4881" spans="1:9" x14ac:dyDescent="0.25">
      <c r="A4881" s="7">
        <v>3</v>
      </c>
      <c r="B4881" s="8">
        <v>43721</v>
      </c>
      <c r="C4881" s="9" t="s">
        <v>4</v>
      </c>
      <c r="D4881" s="10">
        <v>3506.0129999999999</v>
      </c>
      <c r="E4881" s="10">
        <v>0</v>
      </c>
      <c r="F4881" t="str">
        <f>VLOOKUP(A4881,StoreLookup,2,FALSE)</f>
        <v>Store#3</v>
      </c>
      <c r="G4881">
        <f>INDEX(CalLookUpTable,MATCH($B4881,CalLookUpRow,0),MATCH(G$1,CalLookUpColumn,0))</f>
        <v>2019</v>
      </c>
      <c r="H4881">
        <f>INDEX(CalLookUpTable,MATCH($B4881,CalLookUpRow,0),MATCH(H$1,CalLookUpColumn,0))</f>
        <v>9</v>
      </c>
      <c r="I4881">
        <f>INDEX(CalLookUpTable,MATCH($B4881,CalLookUpRow,0),MATCH(I$1,CalLookUpColumn,0))</f>
        <v>3</v>
      </c>
    </row>
    <row r="4882" spans="1:9" x14ac:dyDescent="0.25">
      <c r="A4882" s="7">
        <v>3</v>
      </c>
      <c r="B4882" s="8">
        <v>43722</v>
      </c>
      <c r="C4882" s="9" t="s">
        <v>6</v>
      </c>
      <c r="D4882" s="10">
        <v>541.15599999999995</v>
      </c>
      <c r="E4882" s="10">
        <v>0</v>
      </c>
      <c r="F4882" t="str">
        <f>VLOOKUP(A4882,StoreLookup,2,FALSE)</f>
        <v>Store#3</v>
      </c>
      <c r="G4882">
        <f>INDEX(CalLookUpTable,MATCH($B4882,CalLookUpRow,0),MATCH(G$1,CalLookUpColumn,0))</f>
        <v>2019</v>
      </c>
      <c r="H4882">
        <f>INDEX(CalLookUpTable,MATCH($B4882,CalLookUpRow,0),MATCH(H$1,CalLookUpColumn,0))</f>
        <v>9</v>
      </c>
      <c r="I4882">
        <f>INDEX(CalLookUpTable,MATCH($B4882,CalLookUpRow,0),MATCH(I$1,CalLookUpColumn,0))</f>
        <v>3</v>
      </c>
    </row>
    <row r="4883" spans="1:9" x14ac:dyDescent="0.25">
      <c r="A4883" s="7">
        <v>3</v>
      </c>
      <c r="B4883" s="8">
        <v>43722</v>
      </c>
      <c r="C4883" s="9" t="s">
        <v>3</v>
      </c>
      <c r="D4883" s="10">
        <v>14.259</v>
      </c>
      <c r="E4883" s="10">
        <v>0</v>
      </c>
      <c r="F4883" t="str">
        <f>VLOOKUP(A4883,StoreLookup,2,FALSE)</f>
        <v>Store#3</v>
      </c>
      <c r="G4883">
        <f>INDEX(CalLookUpTable,MATCH($B4883,CalLookUpRow,0),MATCH(G$1,CalLookUpColumn,0))</f>
        <v>2019</v>
      </c>
      <c r="H4883">
        <f>INDEX(CalLookUpTable,MATCH($B4883,CalLookUpRow,0),MATCH(H$1,CalLookUpColumn,0))</f>
        <v>9</v>
      </c>
      <c r="I4883">
        <f>INDEX(CalLookUpTable,MATCH($B4883,CalLookUpRow,0),MATCH(I$1,CalLookUpColumn,0))</f>
        <v>3</v>
      </c>
    </row>
    <row r="4884" spans="1:9" x14ac:dyDescent="0.25">
      <c r="A4884" s="7">
        <v>3</v>
      </c>
      <c r="B4884" s="8">
        <v>43722</v>
      </c>
      <c r="C4884" s="9" t="s">
        <v>5</v>
      </c>
      <c r="D4884" s="10">
        <v>3804.7449999999999</v>
      </c>
      <c r="E4884" s="10">
        <v>0</v>
      </c>
      <c r="F4884" t="str">
        <f>VLOOKUP(A4884,StoreLookup,2,FALSE)</f>
        <v>Store#3</v>
      </c>
      <c r="G4884">
        <f>INDEX(CalLookUpTable,MATCH($B4884,CalLookUpRow,0),MATCH(G$1,CalLookUpColumn,0))</f>
        <v>2019</v>
      </c>
      <c r="H4884">
        <f>INDEX(CalLookUpTable,MATCH($B4884,CalLookUpRow,0),MATCH(H$1,CalLookUpColumn,0))</f>
        <v>9</v>
      </c>
      <c r="I4884">
        <f>INDEX(CalLookUpTable,MATCH($B4884,CalLookUpRow,0),MATCH(I$1,CalLookUpColumn,0))</f>
        <v>3</v>
      </c>
    </row>
    <row r="4885" spans="1:9" x14ac:dyDescent="0.25">
      <c r="A4885" s="7">
        <v>3</v>
      </c>
      <c r="B4885" s="8">
        <v>43722</v>
      </c>
      <c r="C4885" s="9" t="s">
        <v>4</v>
      </c>
      <c r="D4885" s="10">
        <v>3338.3069999999998</v>
      </c>
      <c r="E4885" s="10">
        <v>0</v>
      </c>
      <c r="F4885" t="str">
        <f>VLOOKUP(A4885,StoreLookup,2,FALSE)</f>
        <v>Store#3</v>
      </c>
      <c r="G4885">
        <f>INDEX(CalLookUpTable,MATCH($B4885,CalLookUpRow,0),MATCH(G$1,CalLookUpColumn,0))</f>
        <v>2019</v>
      </c>
      <c r="H4885">
        <f>INDEX(CalLookUpTable,MATCH($B4885,CalLookUpRow,0),MATCH(H$1,CalLookUpColumn,0))</f>
        <v>9</v>
      </c>
      <c r="I4885">
        <f>INDEX(CalLookUpTable,MATCH($B4885,CalLookUpRow,0),MATCH(I$1,CalLookUpColumn,0))</f>
        <v>3</v>
      </c>
    </row>
    <row r="4886" spans="1:9" x14ac:dyDescent="0.25">
      <c r="A4886" s="7">
        <v>3</v>
      </c>
      <c r="B4886" s="8">
        <v>43723</v>
      </c>
      <c r="C4886" s="9" t="s">
        <v>4</v>
      </c>
      <c r="D4886" s="10">
        <v>2591.3719999999998</v>
      </c>
      <c r="E4886" s="10">
        <v>0</v>
      </c>
      <c r="F4886" t="str">
        <f>VLOOKUP(A4886,StoreLookup,2,FALSE)</f>
        <v>Store#3</v>
      </c>
      <c r="G4886">
        <f>INDEX(CalLookUpTable,MATCH($B4886,CalLookUpRow,0),MATCH(G$1,CalLookUpColumn,0))</f>
        <v>2019</v>
      </c>
      <c r="H4886">
        <f>INDEX(CalLookUpTable,MATCH($B4886,CalLookUpRow,0),MATCH(H$1,CalLookUpColumn,0))</f>
        <v>9</v>
      </c>
      <c r="I4886">
        <f>INDEX(CalLookUpTable,MATCH($B4886,CalLookUpRow,0),MATCH(I$1,CalLookUpColumn,0))</f>
        <v>3</v>
      </c>
    </row>
    <row r="4887" spans="1:9" x14ac:dyDescent="0.25">
      <c r="A4887" s="7">
        <v>3</v>
      </c>
      <c r="B4887" s="8">
        <v>43723</v>
      </c>
      <c r="C4887" s="9" t="s">
        <v>6</v>
      </c>
      <c r="D4887" s="10">
        <v>555.84900000000005</v>
      </c>
      <c r="E4887" s="10">
        <v>0</v>
      </c>
      <c r="F4887" t="str">
        <f>VLOOKUP(A4887,StoreLookup,2,FALSE)</f>
        <v>Store#3</v>
      </c>
      <c r="G4887">
        <f>INDEX(CalLookUpTable,MATCH($B4887,CalLookUpRow,0),MATCH(G$1,CalLookUpColumn,0))</f>
        <v>2019</v>
      </c>
      <c r="H4887">
        <f>INDEX(CalLookUpTable,MATCH($B4887,CalLookUpRow,0),MATCH(H$1,CalLookUpColumn,0))</f>
        <v>9</v>
      </c>
      <c r="I4887">
        <f>INDEX(CalLookUpTable,MATCH($B4887,CalLookUpRow,0),MATCH(I$1,CalLookUpColumn,0))</f>
        <v>3</v>
      </c>
    </row>
    <row r="4888" spans="1:9" x14ac:dyDescent="0.25">
      <c r="A4888" s="7">
        <v>3</v>
      </c>
      <c r="B4888" s="8">
        <v>43723</v>
      </c>
      <c r="C4888" s="9" t="s">
        <v>5</v>
      </c>
      <c r="D4888" s="10">
        <v>2826.3269999999998</v>
      </c>
      <c r="E4888" s="10">
        <v>0</v>
      </c>
      <c r="F4888" t="str">
        <f>VLOOKUP(A4888,StoreLookup,2,FALSE)</f>
        <v>Store#3</v>
      </c>
      <c r="G4888">
        <f>INDEX(CalLookUpTable,MATCH($B4888,CalLookUpRow,0),MATCH(G$1,CalLookUpColumn,0))</f>
        <v>2019</v>
      </c>
      <c r="H4888">
        <f>INDEX(CalLookUpTable,MATCH($B4888,CalLookUpRow,0),MATCH(H$1,CalLookUpColumn,0))</f>
        <v>9</v>
      </c>
      <c r="I4888">
        <f>INDEX(CalLookUpTable,MATCH($B4888,CalLookUpRow,0),MATCH(I$1,CalLookUpColumn,0))</f>
        <v>3</v>
      </c>
    </row>
    <row r="4889" spans="1:9" x14ac:dyDescent="0.25">
      <c r="A4889" s="7">
        <v>3</v>
      </c>
      <c r="B4889" s="8">
        <v>43723</v>
      </c>
      <c r="C4889" s="9" t="s">
        <v>3</v>
      </c>
      <c r="D4889" s="10">
        <v>32.605999999999995</v>
      </c>
      <c r="E4889" s="10">
        <v>0</v>
      </c>
      <c r="F4889" t="str">
        <f>VLOOKUP(A4889,StoreLookup,2,FALSE)</f>
        <v>Store#3</v>
      </c>
      <c r="G4889">
        <f>INDEX(CalLookUpTable,MATCH($B4889,CalLookUpRow,0),MATCH(G$1,CalLookUpColumn,0))</f>
        <v>2019</v>
      </c>
      <c r="H4889">
        <f>INDEX(CalLookUpTable,MATCH($B4889,CalLookUpRow,0),MATCH(H$1,CalLookUpColumn,0))</f>
        <v>9</v>
      </c>
      <c r="I4889">
        <f>INDEX(CalLookUpTable,MATCH($B4889,CalLookUpRow,0),MATCH(I$1,CalLookUpColumn,0))</f>
        <v>3</v>
      </c>
    </row>
    <row r="4890" spans="1:9" x14ac:dyDescent="0.25">
      <c r="A4890" s="7">
        <v>3</v>
      </c>
      <c r="B4890" s="8">
        <v>43724</v>
      </c>
      <c r="C4890" s="9" t="s">
        <v>4</v>
      </c>
      <c r="D4890" s="10">
        <v>3135.3069999999998</v>
      </c>
      <c r="E4890" s="10">
        <v>0</v>
      </c>
      <c r="F4890" t="str">
        <f>VLOOKUP(A4890,StoreLookup,2,FALSE)</f>
        <v>Store#3</v>
      </c>
      <c r="G4890">
        <f>INDEX(CalLookUpTable,MATCH($B4890,CalLookUpRow,0),MATCH(G$1,CalLookUpColumn,0))</f>
        <v>2019</v>
      </c>
      <c r="H4890">
        <f>INDEX(CalLookUpTable,MATCH($B4890,CalLookUpRow,0),MATCH(H$1,CalLookUpColumn,0))</f>
        <v>9</v>
      </c>
      <c r="I4890">
        <f>INDEX(CalLookUpTable,MATCH($B4890,CalLookUpRow,0),MATCH(I$1,CalLookUpColumn,0))</f>
        <v>4</v>
      </c>
    </row>
    <row r="4891" spans="1:9" x14ac:dyDescent="0.25">
      <c r="A4891" s="7">
        <v>3</v>
      </c>
      <c r="B4891" s="8">
        <v>43724</v>
      </c>
      <c r="C4891" s="9" t="s">
        <v>5</v>
      </c>
      <c r="D4891" s="10">
        <v>3122.623</v>
      </c>
      <c r="E4891" s="10">
        <v>13.425999999999998</v>
      </c>
      <c r="F4891" t="str">
        <f>VLOOKUP(A4891,StoreLookup,2,FALSE)</f>
        <v>Store#3</v>
      </c>
      <c r="G4891">
        <f>INDEX(CalLookUpTable,MATCH($B4891,CalLookUpRow,0),MATCH(G$1,CalLookUpColumn,0))</f>
        <v>2019</v>
      </c>
      <c r="H4891">
        <f>INDEX(CalLookUpTable,MATCH($B4891,CalLookUpRow,0),MATCH(H$1,CalLookUpColumn,0))</f>
        <v>9</v>
      </c>
      <c r="I4891">
        <f>INDEX(CalLookUpTable,MATCH($B4891,CalLookUpRow,0),MATCH(I$1,CalLookUpColumn,0))</f>
        <v>4</v>
      </c>
    </row>
    <row r="4892" spans="1:9" x14ac:dyDescent="0.25">
      <c r="A4892" s="7">
        <v>3</v>
      </c>
      <c r="B4892" s="8">
        <v>43724</v>
      </c>
      <c r="C4892" s="9" t="s">
        <v>6</v>
      </c>
      <c r="D4892" s="10">
        <v>624.32299999999998</v>
      </c>
      <c r="E4892" s="10">
        <v>6.7129999999999992</v>
      </c>
      <c r="F4892" t="str">
        <f>VLOOKUP(A4892,StoreLookup,2,FALSE)</f>
        <v>Store#3</v>
      </c>
      <c r="G4892">
        <f>INDEX(CalLookUpTable,MATCH($B4892,CalLookUpRow,0),MATCH(G$1,CalLookUpColumn,0))</f>
        <v>2019</v>
      </c>
      <c r="H4892">
        <f>INDEX(CalLookUpTable,MATCH($B4892,CalLookUpRow,0),MATCH(H$1,CalLookUpColumn,0))</f>
        <v>9</v>
      </c>
      <c r="I4892">
        <f>INDEX(CalLookUpTable,MATCH($B4892,CalLookUpRow,0),MATCH(I$1,CalLookUpColumn,0))</f>
        <v>4</v>
      </c>
    </row>
    <row r="4893" spans="1:9" x14ac:dyDescent="0.25">
      <c r="A4893" s="7">
        <v>3</v>
      </c>
      <c r="B4893" s="8">
        <v>43724</v>
      </c>
      <c r="C4893" s="9" t="s">
        <v>3</v>
      </c>
      <c r="D4893" s="10">
        <v>0</v>
      </c>
      <c r="E4893" s="10">
        <v>0</v>
      </c>
      <c r="F4893" t="str">
        <f>VLOOKUP(A4893,StoreLookup,2,FALSE)</f>
        <v>Store#3</v>
      </c>
      <c r="G4893">
        <f>INDEX(CalLookUpTable,MATCH($B4893,CalLookUpRow,0),MATCH(G$1,CalLookUpColumn,0))</f>
        <v>2019</v>
      </c>
      <c r="H4893">
        <f>INDEX(CalLookUpTable,MATCH($B4893,CalLookUpRow,0),MATCH(H$1,CalLookUpColumn,0))</f>
        <v>9</v>
      </c>
      <c r="I4893">
        <f>INDEX(CalLookUpTable,MATCH($B4893,CalLookUpRow,0),MATCH(I$1,CalLookUpColumn,0))</f>
        <v>4</v>
      </c>
    </row>
    <row r="4894" spans="1:9" x14ac:dyDescent="0.25">
      <c r="A4894" s="7">
        <v>3</v>
      </c>
      <c r="B4894" s="8">
        <v>43725</v>
      </c>
      <c r="C4894" s="9" t="s">
        <v>6</v>
      </c>
      <c r="D4894" s="10">
        <v>477.09899999999999</v>
      </c>
      <c r="E4894" s="10">
        <v>0</v>
      </c>
      <c r="F4894" t="str">
        <f>VLOOKUP(A4894,StoreLookup,2,FALSE)</f>
        <v>Store#3</v>
      </c>
      <c r="G4894">
        <f>INDEX(CalLookUpTable,MATCH($B4894,CalLookUpRow,0),MATCH(G$1,CalLookUpColumn,0))</f>
        <v>2019</v>
      </c>
      <c r="H4894">
        <f>INDEX(CalLookUpTable,MATCH($B4894,CalLookUpRow,0),MATCH(H$1,CalLookUpColumn,0))</f>
        <v>9</v>
      </c>
      <c r="I4894">
        <f>INDEX(CalLookUpTable,MATCH($B4894,CalLookUpRow,0),MATCH(I$1,CalLookUpColumn,0))</f>
        <v>4</v>
      </c>
    </row>
    <row r="4895" spans="1:9" x14ac:dyDescent="0.25">
      <c r="A4895" s="7">
        <v>3</v>
      </c>
      <c r="B4895" s="8">
        <v>43725</v>
      </c>
      <c r="C4895" s="9" t="s">
        <v>4</v>
      </c>
      <c r="D4895" s="10">
        <v>2943.1640000000002</v>
      </c>
      <c r="E4895" s="10">
        <v>0</v>
      </c>
      <c r="F4895" t="str">
        <f>VLOOKUP(A4895,StoreLookup,2,FALSE)</f>
        <v>Store#3</v>
      </c>
      <c r="G4895">
        <f>INDEX(CalLookUpTable,MATCH($B4895,CalLookUpRow,0),MATCH(G$1,CalLookUpColumn,0))</f>
        <v>2019</v>
      </c>
      <c r="H4895">
        <f>INDEX(CalLookUpTable,MATCH($B4895,CalLookUpRow,0),MATCH(H$1,CalLookUpColumn,0))</f>
        <v>9</v>
      </c>
      <c r="I4895">
        <f>INDEX(CalLookUpTable,MATCH($B4895,CalLookUpRow,0),MATCH(I$1,CalLookUpColumn,0))</f>
        <v>4</v>
      </c>
    </row>
    <row r="4896" spans="1:9" x14ac:dyDescent="0.25">
      <c r="A4896" s="7">
        <v>3</v>
      </c>
      <c r="B4896" s="8">
        <v>43725</v>
      </c>
      <c r="C4896" s="9" t="s">
        <v>3</v>
      </c>
      <c r="D4896" s="10">
        <v>0</v>
      </c>
      <c r="E4896" s="10">
        <v>0</v>
      </c>
      <c r="F4896" t="str">
        <f>VLOOKUP(A4896,StoreLookup,2,FALSE)</f>
        <v>Store#3</v>
      </c>
      <c r="G4896">
        <f>INDEX(CalLookUpTable,MATCH($B4896,CalLookUpRow,0),MATCH(G$1,CalLookUpColumn,0))</f>
        <v>2019</v>
      </c>
      <c r="H4896">
        <f>INDEX(CalLookUpTable,MATCH($B4896,CalLookUpRow,0),MATCH(H$1,CalLookUpColumn,0))</f>
        <v>9</v>
      </c>
      <c r="I4896">
        <f>INDEX(CalLookUpTable,MATCH($B4896,CalLookUpRow,0),MATCH(I$1,CalLookUpColumn,0))</f>
        <v>4</v>
      </c>
    </row>
    <row r="4897" spans="1:9" x14ac:dyDescent="0.25">
      <c r="A4897" s="7">
        <v>3</v>
      </c>
      <c r="B4897" s="8">
        <v>43725</v>
      </c>
      <c r="C4897" s="9" t="s">
        <v>5</v>
      </c>
      <c r="D4897" s="10">
        <v>2766.6239999999998</v>
      </c>
      <c r="E4897" s="10">
        <v>22.861999999999995</v>
      </c>
      <c r="F4897" t="str">
        <f>VLOOKUP(A4897,StoreLookup,2,FALSE)</f>
        <v>Store#3</v>
      </c>
      <c r="G4897">
        <f>INDEX(CalLookUpTable,MATCH($B4897,CalLookUpRow,0),MATCH(G$1,CalLookUpColumn,0))</f>
        <v>2019</v>
      </c>
      <c r="H4897">
        <f>INDEX(CalLookUpTable,MATCH($B4897,CalLookUpRow,0),MATCH(H$1,CalLookUpColumn,0))</f>
        <v>9</v>
      </c>
      <c r="I4897">
        <f>INDEX(CalLookUpTable,MATCH($B4897,CalLookUpRow,0),MATCH(I$1,CalLookUpColumn,0))</f>
        <v>4</v>
      </c>
    </row>
    <row r="4898" spans="1:9" x14ac:dyDescent="0.25">
      <c r="A4898" s="7">
        <v>3</v>
      </c>
      <c r="B4898" s="8">
        <v>43726</v>
      </c>
      <c r="C4898" s="9" t="s">
        <v>6</v>
      </c>
      <c r="D4898" s="10">
        <v>1335.32</v>
      </c>
      <c r="E4898" s="10">
        <v>1326.885</v>
      </c>
      <c r="F4898" t="str">
        <f>VLOOKUP(A4898,StoreLookup,2,FALSE)</f>
        <v>Store#3</v>
      </c>
      <c r="G4898">
        <f>INDEX(CalLookUpTable,MATCH($B4898,CalLookUpRow,0),MATCH(G$1,CalLookUpColumn,0))</f>
        <v>2019</v>
      </c>
      <c r="H4898">
        <f>INDEX(CalLookUpTable,MATCH($B4898,CalLookUpRow,0),MATCH(H$1,CalLookUpColumn,0))</f>
        <v>9</v>
      </c>
      <c r="I4898">
        <f>INDEX(CalLookUpTable,MATCH($B4898,CalLookUpRow,0),MATCH(I$1,CalLookUpColumn,0))</f>
        <v>4</v>
      </c>
    </row>
    <row r="4899" spans="1:9" x14ac:dyDescent="0.25">
      <c r="A4899" s="7">
        <v>3</v>
      </c>
      <c r="B4899" s="8">
        <v>43726</v>
      </c>
      <c r="C4899" s="9" t="s">
        <v>4</v>
      </c>
      <c r="D4899" s="10">
        <v>2803.7449999999999</v>
      </c>
      <c r="E4899" s="10">
        <v>3543.0709999999995</v>
      </c>
      <c r="F4899" t="str">
        <f>VLOOKUP(A4899,StoreLookup,2,FALSE)</f>
        <v>Store#3</v>
      </c>
      <c r="G4899">
        <f>INDEX(CalLookUpTable,MATCH($B4899,CalLookUpRow,0),MATCH(G$1,CalLookUpColumn,0))</f>
        <v>2019</v>
      </c>
      <c r="H4899">
        <f>INDEX(CalLookUpTable,MATCH($B4899,CalLookUpRow,0),MATCH(H$1,CalLookUpColumn,0))</f>
        <v>9</v>
      </c>
      <c r="I4899">
        <f>INDEX(CalLookUpTable,MATCH($B4899,CalLookUpRow,0),MATCH(I$1,CalLookUpColumn,0))</f>
        <v>4</v>
      </c>
    </row>
    <row r="4900" spans="1:9" x14ac:dyDescent="0.25">
      <c r="A4900" s="7">
        <v>3</v>
      </c>
      <c r="B4900" s="8">
        <v>43726</v>
      </c>
      <c r="C4900" s="9" t="s">
        <v>3</v>
      </c>
      <c r="D4900" s="10">
        <v>600.92200000000003</v>
      </c>
      <c r="E4900" s="10">
        <v>132.321</v>
      </c>
      <c r="F4900" t="str">
        <f>VLOOKUP(A4900,StoreLookup,2,FALSE)</f>
        <v>Store#3</v>
      </c>
      <c r="G4900">
        <f>INDEX(CalLookUpTable,MATCH($B4900,CalLookUpRow,0),MATCH(G$1,CalLookUpColumn,0))</f>
        <v>2019</v>
      </c>
      <c r="H4900">
        <f>INDEX(CalLookUpTable,MATCH($B4900,CalLookUpRow,0),MATCH(H$1,CalLookUpColumn,0))</f>
        <v>9</v>
      </c>
      <c r="I4900">
        <f>INDEX(CalLookUpTable,MATCH($B4900,CalLookUpRow,0),MATCH(I$1,CalLookUpColumn,0))</f>
        <v>4</v>
      </c>
    </row>
    <row r="4901" spans="1:9" x14ac:dyDescent="0.25">
      <c r="A4901" s="7">
        <v>3</v>
      </c>
      <c r="B4901" s="8">
        <v>43726</v>
      </c>
      <c r="C4901" s="9" t="s">
        <v>5</v>
      </c>
      <c r="D4901" s="10">
        <v>2721.663</v>
      </c>
      <c r="E4901" s="10">
        <v>1502.0669999999998</v>
      </c>
      <c r="F4901" t="str">
        <f>VLOOKUP(A4901,StoreLookup,2,FALSE)</f>
        <v>Store#3</v>
      </c>
      <c r="G4901">
        <f>INDEX(CalLookUpTable,MATCH($B4901,CalLookUpRow,0),MATCH(G$1,CalLookUpColumn,0))</f>
        <v>2019</v>
      </c>
      <c r="H4901">
        <f>INDEX(CalLookUpTable,MATCH($B4901,CalLookUpRow,0),MATCH(H$1,CalLookUpColumn,0))</f>
        <v>9</v>
      </c>
      <c r="I4901">
        <f>INDEX(CalLookUpTable,MATCH($B4901,CalLookUpRow,0),MATCH(I$1,CalLookUpColumn,0))</f>
        <v>4</v>
      </c>
    </row>
    <row r="4902" spans="1:9" x14ac:dyDescent="0.25">
      <c r="A4902" s="7">
        <v>3</v>
      </c>
      <c r="B4902" s="8">
        <v>43727</v>
      </c>
      <c r="C4902" s="9" t="s">
        <v>4</v>
      </c>
      <c r="D4902" s="10">
        <v>3547.5790000000002</v>
      </c>
      <c r="E4902" s="10">
        <v>4127.4309999999996</v>
      </c>
      <c r="F4902" t="str">
        <f>VLOOKUP(A4902,StoreLookup,2,FALSE)</f>
        <v>Store#3</v>
      </c>
      <c r="G4902">
        <f>INDEX(CalLookUpTable,MATCH($B4902,CalLookUpRow,0),MATCH(G$1,CalLookUpColumn,0))</f>
        <v>2019</v>
      </c>
      <c r="H4902">
        <f>INDEX(CalLookUpTable,MATCH($B4902,CalLookUpRow,0),MATCH(H$1,CalLookUpColumn,0))</f>
        <v>9</v>
      </c>
      <c r="I4902">
        <f>INDEX(CalLookUpTable,MATCH($B4902,CalLookUpRow,0),MATCH(I$1,CalLookUpColumn,0))</f>
        <v>4</v>
      </c>
    </row>
    <row r="4903" spans="1:9" x14ac:dyDescent="0.25">
      <c r="A4903" s="7">
        <v>3</v>
      </c>
      <c r="B4903" s="8">
        <v>43727</v>
      </c>
      <c r="C4903" s="9" t="s">
        <v>6</v>
      </c>
      <c r="D4903" s="10">
        <v>1182.7760000000001</v>
      </c>
      <c r="E4903" s="10">
        <v>1523.3889999999999</v>
      </c>
      <c r="F4903" t="str">
        <f>VLOOKUP(A4903,StoreLookup,2,FALSE)</f>
        <v>Store#3</v>
      </c>
      <c r="G4903">
        <f>INDEX(CalLookUpTable,MATCH($B4903,CalLookUpRow,0),MATCH(G$1,CalLookUpColumn,0))</f>
        <v>2019</v>
      </c>
      <c r="H4903">
        <f>INDEX(CalLookUpTable,MATCH($B4903,CalLookUpRow,0),MATCH(H$1,CalLookUpColumn,0))</f>
        <v>9</v>
      </c>
      <c r="I4903">
        <f>INDEX(CalLookUpTable,MATCH($B4903,CalLookUpRow,0),MATCH(I$1,CalLookUpColumn,0))</f>
        <v>4</v>
      </c>
    </row>
    <row r="4904" spans="1:9" x14ac:dyDescent="0.25">
      <c r="A4904" s="7">
        <v>3</v>
      </c>
      <c r="B4904" s="8">
        <v>43727</v>
      </c>
      <c r="C4904" s="9" t="s">
        <v>5</v>
      </c>
      <c r="D4904" s="10">
        <v>3189.8229999999999</v>
      </c>
      <c r="E4904" s="10">
        <v>2373.3009999999999</v>
      </c>
      <c r="F4904" t="str">
        <f>VLOOKUP(A4904,StoreLookup,2,FALSE)</f>
        <v>Store#3</v>
      </c>
      <c r="G4904">
        <f>INDEX(CalLookUpTable,MATCH($B4904,CalLookUpRow,0),MATCH(G$1,CalLookUpColumn,0))</f>
        <v>2019</v>
      </c>
      <c r="H4904">
        <f>INDEX(CalLookUpTable,MATCH($B4904,CalLookUpRow,0),MATCH(H$1,CalLookUpColumn,0))</f>
        <v>9</v>
      </c>
      <c r="I4904">
        <f>INDEX(CalLookUpTable,MATCH($B4904,CalLookUpRow,0),MATCH(I$1,CalLookUpColumn,0))</f>
        <v>4</v>
      </c>
    </row>
    <row r="4905" spans="1:9" x14ac:dyDescent="0.25">
      <c r="A4905" s="7">
        <v>3</v>
      </c>
      <c r="B4905" s="8">
        <v>43727</v>
      </c>
      <c r="C4905" s="9" t="s">
        <v>3</v>
      </c>
      <c r="D4905" s="10">
        <v>90.02</v>
      </c>
      <c r="E4905" s="10">
        <v>0</v>
      </c>
      <c r="F4905" t="str">
        <f>VLOOKUP(A4905,StoreLookup,2,FALSE)</f>
        <v>Store#3</v>
      </c>
      <c r="G4905">
        <f>INDEX(CalLookUpTable,MATCH($B4905,CalLookUpRow,0),MATCH(G$1,CalLookUpColumn,0))</f>
        <v>2019</v>
      </c>
      <c r="H4905">
        <f>INDEX(CalLookUpTable,MATCH($B4905,CalLookUpRow,0),MATCH(H$1,CalLookUpColumn,0))</f>
        <v>9</v>
      </c>
      <c r="I4905">
        <f>INDEX(CalLookUpTable,MATCH($B4905,CalLookUpRow,0),MATCH(I$1,CalLookUpColumn,0))</f>
        <v>4</v>
      </c>
    </row>
    <row r="4906" spans="1:9" x14ac:dyDescent="0.25">
      <c r="A4906" s="7">
        <v>3</v>
      </c>
      <c r="B4906" s="8">
        <v>43728</v>
      </c>
      <c r="C4906" s="9" t="s">
        <v>4</v>
      </c>
      <c r="D4906" s="10">
        <v>3558.9329999999995</v>
      </c>
      <c r="E4906" s="10">
        <v>5191.0950000000003</v>
      </c>
      <c r="F4906" t="str">
        <f>VLOOKUP(A4906,StoreLookup,2,FALSE)</f>
        <v>Store#3</v>
      </c>
      <c r="G4906">
        <f>INDEX(CalLookUpTable,MATCH($B4906,CalLookUpRow,0),MATCH(G$1,CalLookUpColumn,0))</f>
        <v>2019</v>
      </c>
      <c r="H4906">
        <f>INDEX(CalLookUpTable,MATCH($B4906,CalLookUpRow,0),MATCH(H$1,CalLookUpColumn,0))</f>
        <v>9</v>
      </c>
      <c r="I4906">
        <f>INDEX(CalLookUpTable,MATCH($B4906,CalLookUpRow,0),MATCH(I$1,CalLookUpColumn,0))</f>
        <v>4</v>
      </c>
    </row>
    <row r="4907" spans="1:9" x14ac:dyDescent="0.25">
      <c r="A4907" s="7">
        <v>3</v>
      </c>
      <c r="B4907" s="8">
        <v>43728</v>
      </c>
      <c r="C4907" s="9" t="s">
        <v>5</v>
      </c>
      <c r="D4907" s="10">
        <v>3660.5659999999998</v>
      </c>
      <c r="E4907" s="10">
        <v>3014.1579999999994</v>
      </c>
      <c r="F4907" t="str">
        <f>VLOOKUP(A4907,StoreLookup,2,FALSE)</f>
        <v>Store#3</v>
      </c>
      <c r="G4907">
        <f>INDEX(CalLookUpTable,MATCH($B4907,CalLookUpRow,0),MATCH(G$1,CalLookUpColumn,0))</f>
        <v>2019</v>
      </c>
      <c r="H4907">
        <f>INDEX(CalLookUpTable,MATCH($B4907,CalLookUpRow,0),MATCH(H$1,CalLookUpColumn,0))</f>
        <v>9</v>
      </c>
      <c r="I4907">
        <f>INDEX(CalLookUpTable,MATCH($B4907,CalLookUpRow,0),MATCH(I$1,CalLookUpColumn,0))</f>
        <v>4</v>
      </c>
    </row>
    <row r="4908" spans="1:9" x14ac:dyDescent="0.25">
      <c r="A4908" s="7">
        <v>3</v>
      </c>
      <c r="B4908" s="8">
        <v>43728</v>
      </c>
      <c r="C4908" s="9" t="s">
        <v>3</v>
      </c>
      <c r="D4908" s="10">
        <v>205.261</v>
      </c>
      <c r="E4908" s="10">
        <v>0</v>
      </c>
      <c r="F4908" t="str">
        <f>VLOOKUP(A4908,StoreLookup,2,FALSE)</f>
        <v>Store#3</v>
      </c>
      <c r="G4908">
        <f>INDEX(CalLookUpTable,MATCH($B4908,CalLookUpRow,0),MATCH(G$1,CalLookUpColumn,0))</f>
        <v>2019</v>
      </c>
      <c r="H4908">
        <f>INDEX(CalLookUpTable,MATCH($B4908,CalLookUpRow,0),MATCH(H$1,CalLookUpColumn,0))</f>
        <v>9</v>
      </c>
      <c r="I4908">
        <f>INDEX(CalLookUpTable,MATCH($B4908,CalLookUpRow,0),MATCH(I$1,CalLookUpColumn,0))</f>
        <v>4</v>
      </c>
    </row>
    <row r="4909" spans="1:9" x14ac:dyDescent="0.25">
      <c r="A4909" s="7">
        <v>3</v>
      </c>
      <c r="B4909" s="8">
        <v>43728</v>
      </c>
      <c r="C4909" s="9" t="s">
        <v>6</v>
      </c>
      <c r="D4909" s="10">
        <v>1486.4149999999997</v>
      </c>
      <c r="E4909" s="10">
        <v>2464.9380000000001</v>
      </c>
      <c r="F4909" t="str">
        <f>VLOOKUP(A4909,StoreLookup,2,FALSE)</f>
        <v>Store#3</v>
      </c>
      <c r="G4909">
        <f>INDEX(CalLookUpTable,MATCH($B4909,CalLookUpRow,0),MATCH(G$1,CalLookUpColumn,0))</f>
        <v>2019</v>
      </c>
      <c r="H4909">
        <f>INDEX(CalLookUpTable,MATCH($B4909,CalLookUpRow,0),MATCH(H$1,CalLookUpColumn,0))</f>
        <v>9</v>
      </c>
      <c r="I4909">
        <f>INDEX(CalLookUpTable,MATCH($B4909,CalLookUpRow,0),MATCH(I$1,CalLookUpColumn,0))</f>
        <v>4</v>
      </c>
    </row>
    <row r="4910" spans="1:9" x14ac:dyDescent="0.25">
      <c r="A4910" s="7">
        <v>3</v>
      </c>
      <c r="B4910" s="8">
        <v>43729</v>
      </c>
      <c r="C4910" s="9" t="s">
        <v>5</v>
      </c>
      <c r="D4910" s="10">
        <v>3358.873</v>
      </c>
      <c r="E4910" s="10">
        <v>2868.5929999999998</v>
      </c>
      <c r="F4910" t="str">
        <f>VLOOKUP(A4910,StoreLookup,2,FALSE)</f>
        <v>Store#3</v>
      </c>
      <c r="G4910">
        <f>INDEX(CalLookUpTable,MATCH($B4910,CalLookUpRow,0),MATCH(G$1,CalLookUpColumn,0))</f>
        <v>2019</v>
      </c>
      <c r="H4910">
        <f>INDEX(CalLookUpTable,MATCH($B4910,CalLookUpRow,0),MATCH(H$1,CalLookUpColumn,0))</f>
        <v>9</v>
      </c>
      <c r="I4910">
        <f>INDEX(CalLookUpTable,MATCH($B4910,CalLookUpRow,0),MATCH(I$1,CalLookUpColumn,0))</f>
        <v>4</v>
      </c>
    </row>
    <row r="4911" spans="1:9" x14ac:dyDescent="0.25">
      <c r="A4911" s="7">
        <v>3</v>
      </c>
      <c r="B4911" s="8">
        <v>43729</v>
      </c>
      <c r="C4911" s="9" t="s">
        <v>3</v>
      </c>
      <c r="D4911" s="10">
        <v>49.238</v>
      </c>
      <c r="E4911" s="10">
        <v>146.85999999999999</v>
      </c>
      <c r="F4911" t="str">
        <f>VLOOKUP(A4911,StoreLookup,2,FALSE)</f>
        <v>Store#3</v>
      </c>
      <c r="G4911">
        <f>INDEX(CalLookUpTable,MATCH($B4911,CalLookUpRow,0),MATCH(G$1,CalLookUpColumn,0))</f>
        <v>2019</v>
      </c>
      <c r="H4911">
        <f>INDEX(CalLookUpTable,MATCH($B4911,CalLookUpRow,0),MATCH(H$1,CalLookUpColumn,0))</f>
        <v>9</v>
      </c>
      <c r="I4911">
        <f>INDEX(CalLookUpTable,MATCH($B4911,CalLookUpRow,0),MATCH(I$1,CalLookUpColumn,0))</f>
        <v>4</v>
      </c>
    </row>
    <row r="4912" spans="1:9" x14ac:dyDescent="0.25">
      <c r="A4912" s="7">
        <v>3</v>
      </c>
      <c r="B4912" s="8">
        <v>43729</v>
      </c>
      <c r="C4912" s="9" t="s">
        <v>4</v>
      </c>
      <c r="D4912" s="10">
        <v>3270.8339999999998</v>
      </c>
      <c r="E4912" s="10">
        <v>5184.8789999999999</v>
      </c>
      <c r="F4912" t="str">
        <f>VLOOKUP(A4912,StoreLookup,2,FALSE)</f>
        <v>Store#3</v>
      </c>
      <c r="G4912">
        <f>INDEX(CalLookUpTable,MATCH($B4912,CalLookUpRow,0),MATCH(G$1,CalLookUpColumn,0))</f>
        <v>2019</v>
      </c>
      <c r="H4912">
        <f>INDEX(CalLookUpTable,MATCH($B4912,CalLookUpRow,0),MATCH(H$1,CalLookUpColumn,0))</f>
        <v>9</v>
      </c>
      <c r="I4912">
        <f>INDEX(CalLookUpTable,MATCH($B4912,CalLookUpRow,0),MATCH(I$1,CalLookUpColumn,0))</f>
        <v>4</v>
      </c>
    </row>
    <row r="4913" spans="1:9" x14ac:dyDescent="0.25">
      <c r="A4913" s="7">
        <v>3</v>
      </c>
      <c r="B4913" s="8">
        <v>43729</v>
      </c>
      <c r="C4913" s="9" t="s">
        <v>6</v>
      </c>
      <c r="D4913" s="10">
        <v>1370.222</v>
      </c>
      <c r="E4913" s="10">
        <v>1309.357</v>
      </c>
      <c r="F4913" t="str">
        <f>VLOOKUP(A4913,StoreLookup,2,FALSE)</f>
        <v>Store#3</v>
      </c>
      <c r="G4913">
        <f>INDEX(CalLookUpTable,MATCH($B4913,CalLookUpRow,0),MATCH(G$1,CalLookUpColumn,0))</f>
        <v>2019</v>
      </c>
      <c r="H4913">
        <f>INDEX(CalLookUpTable,MATCH($B4913,CalLookUpRow,0),MATCH(H$1,CalLookUpColumn,0))</f>
        <v>9</v>
      </c>
      <c r="I4913">
        <f>INDEX(CalLookUpTable,MATCH($B4913,CalLookUpRow,0),MATCH(I$1,CalLookUpColumn,0))</f>
        <v>4</v>
      </c>
    </row>
    <row r="4914" spans="1:9" x14ac:dyDescent="0.25">
      <c r="A4914" s="7">
        <v>3</v>
      </c>
      <c r="B4914" s="8">
        <v>43730</v>
      </c>
      <c r="C4914" s="9" t="s">
        <v>6</v>
      </c>
      <c r="D4914" s="10">
        <v>964.89400000000001</v>
      </c>
      <c r="E4914" s="10">
        <v>1193.9129999999998</v>
      </c>
      <c r="F4914" t="str">
        <f>VLOOKUP(A4914,StoreLookup,2,FALSE)</f>
        <v>Store#3</v>
      </c>
      <c r="G4914">
        <f>INDEX(CalLookUpTable,MATCH($B4914,CalLookUpRow,0),MATCH(G$1,CalLookUpColumn,0))</f>
        <v>2019</v>
      </c>
      <c r="H4914">
        <f>INDEX(CalLookUpTable,MATCH($B4914,CalLookUpRow,0),MATCH(H$1,CalLookUpColumn,0))</f>
        <v>9</v>
      </c>
      <c r="I4914">
        <f>INDEX(CalLookUpTable,MATCH($B4914,CalLookUpRow,0),MATCH(I$1,CalLookUpColumn,0))</f>
        <v>4</v>
      </c>
    </row>
    <row r="4915" spans="1:9" x14ac:dyDescent="0.25">
      <c r="A4915" s="7">
        <v>3</v>
      </c>
      <c r="B4915" s="8">
        <v>43730</v>
      </c>
      <c r="C4915" s="9" t="s">
        <v>4</v>
      </c>
      <c r="D4915" s="10">
        <v>2936.654</v>
      </c>
      <c r="E4915" s="10">
        <v>3973.8369999999995</v>
      </c>
      <c r="F4915" t="str">
        <f>VLOOKUP(A4915,StoreLookup,2,FALSE)</f>
        <v>Store#3</v>
      </c>
      <c r="G4915">
        <f>INDEX(CalLookUpTable,MATCH($B4915,CalLookUpRow,0),MATCH(G$1,CalLookUpColumn,0))</f>
        <v>2019</v>
      </c>
      <c r="H4915">
        <f>INDEX(CalLookUpTable,MATCH($B4915,CalLookUpRow,0),MATCH(H$1,CalLookUpColumn,0))</f>
        <v>9</v>
      </c>
      <c r="I4915">
        <f>INDEX(CalLookUpTable,MATCH($B4915,CalLookUpRow,0),MATCH(I$1,CalLookUpColumn,0))</f>
        <v>4</v>
      </c>
    </row>
    <row r="4916" spans="1:9" x14ac:dyDescent="0.25">
      <c r="A4916" s="7">
        <v>3</v>
      </c>
      <c r="B4916" s="8">
        <v>43730</v>
      </c>
      <c r="C4916" s="9" t="s">
        <v>3</v>
      </c>
      <c r="D4916" s="10">
        <v>0</v>
      </c>
      <c r="E4916" s="10">
        <v>0</v>
      </c>
      <c r="F4916" t="str">
        <f>VLOOKUP(A4916,StoreLookup,2,FALSE)</f>
        <v>Store#3</v>
      </c>
      <c r="G4916">
        <f>INDEX(CalLookUpTable,MATCH($B4916,CalLookUpRow,0),MATCH(G$1,CalLookUpColumn,0))</f>
        <v>2019</v>
      </c>
      <c r="H4916">
        <f>INDEX(CalLookUpTable,MATCH($B4916,CalLookUpRow,0),MATCH(H$1,CalLookUpColumn,0))</f>
        <v>9</v>
      </c>
      <c r="I4916">
        <f>INDEX(CalLookUpTable,MATCH($B4916,CalLookUpRow,0),MATCH(I$1,CalLookUpColumn,0))</f>
        <v>4</v>
      </c>
    </row>
    <row r="4917" spans="1:9" x14ac:dyDescent="0.25">
      <c r="A4917" s="7">
        <v>3</v>
      </c>
      <c r="B4917" s="8">
        <v>43730</v>
      </c>
      <c r="C4917" s="9" t="s">
        <v>5</v>
      </c>
      <c r="D4917" s="10">
        <v>2772.2379999999998</v>
      </c>
      <c r="E4917" s="10">
        <v>2183.8809999999999</v>
      </c>
      <c r="F4917" t="str">
        <f>VLOOKUP(A4917,StoreLookup,2,FALSE)</f>
        <v>Store#3</v>
      </c>
      <c r="G4917">
        <f>INDEX(CalLookUpTable,MATCH($B4917,CalLookUpRow,0),MATCH(G$1,CalLookUpColumn,0))</f>
        <v>2019</v>
      </c>
      <c r="H4917">
        <f>INDEX(CalLookUpTable,MATCH($B4917,CalLookUpRow,0),MATCH(H$1,CalLookUpColumn,0))</f>
        <v>9</v>
      </c>
      <c r="I4917">
        <f>INDEX(CalLookUpTable,MATCH($B4917,CalLookUpRow,0),MATCH(I$1,CalLookUpColumn,0))</f>
        <v>4</v>
      </c>
    </row>
    <row r="4918" spans="1:9" x14ac:dyDescent="0.25">
      <c r="A4918" s="7">
        <v>3</v>
      </c>
      <c r="B4918" s="8">
        <v>43731</v>
      </c>
      <c r="C4918" s="9" t="s">
        <v>5</v>
      </c>
      <c r="D4918" s="10">
        <v>2563.8269999999998</v>
      </c>
      <c r="E4918" s="10">
        <v>2665.096</v>
      </c>
      <c r="F4918" t="str">
        <f>VLOOKUP(A4918,StoreLookup,2,FALSE)</f>
        <v>Store#3</v>
      </c>
      <c r="G4918">
        <f>INDEX(CalLookUpTable,MATCH($B4918,CalLookUpRow,0),MATCH(G$1,CalLookUpColumn,0))</f>
        <v>2019</v>
      </c>
      <c r="H4918">
        <f>INDEX(CalLookUpTable,MATCH($B4918,CalLookUpRow,0),MATCH(H$1,CalLookUpColumn,0))</f>
        <v>9</v>
      </c>
      <c r="I4918">
        <f>INDEX(CalLookUpTable,MATCH($B4918,CalLookUpRow,0),MATCH(I$1,CalLookUpColumn,0))</f>
        <v>5</v>
      </c>
    </row>
    <row r="4919" spans="1:9" x14ac:dyDescent="0.25">
      <c r="A4919" s="7">
        <v>3</v>
      </c>
      <c r="B4919" s="8">
        <v>43731</v>
      </c>
      <c r="C4919" s="9" t="s">
        <v>6</v>
      </c>
      <c r="D4919" s="10">
        <v>1054.0459999999998</v>
      </c>
      <c r="E4919" s="10">
        <v>1388.6879999999999</v>
      </c>
      <c r="F4919" t="str">
        <f>VLOOKUP(A4919,StoreLookup,2,FALSE)</f>
        <v>Store#3</v>
      </c>
      <c r="G4919">
        <f>INDEX(CalLookUpTable,MATCH($B4919,CalLookUpRow,0),MATCH(G$1,CalLookUpColumn,0))</f>
        <v>2019</v>
      </c>
      <c r="H4919">
        <f>INDEX(CalLookUpTable,MATCH($B4919,CalLookUpRow,0),MATCH(H$1,CalLookUpColumn,0))</f>
        <v>9</v>
      </c>
      <c r="I4919">
        <f>INDEX(CalLookUpTable,MATCH($B4919,CalLookUpRow,0),MATCH(I$1,CalLookUpColumn,0))</f>
        <v>5</v>
      </c>
    </row>
    <row r="4920" spans="1:9" x14ac:dyDescent="0.25">
      <c r="A4920" s="7">
        <v>3</v>
      </c>
      <c r="B4920" s="8">
        <v>43731</v>
      </c>
      <c r="C4920" s="9" t="s">
        <v>4</v>
      </c>
      <c r="D4920" s="10">
        <v>2942.1979999999999</v>
      </c>
      <c r="E4920" s="10">
        <v>4407.067</v>
      </c>
      <c r="F4920" t="str">
        <f>VLOOKUP(A4920,StoreLookup,2,FALSE)</f>
        <v>Store#3</v>
      </c>
      <c r="G4920">
        <f>INDEX(CalLookUpTable,MATCH($B4920,CalLookUpRow,0),MATCH(G$1,CalLookUpColumn,0))</f>
        <v>2019</v>
      </c>
      <c r="H4920">
        <f>INDEX(CalLookUpTable,MATCH($B4920,CalLookUpRow,0),MATCH(H$1,CalLookUpColumn,0))</f>
        <v>9</v>
      </c>
      <c r="I4920">
        <f>INDEX(CalLookUpTable,MATCH($B4920,CalLookUpRow,0),MATCH(I$1,CalLookUpColumn,0))</f>
        <v>5</v>
      </c>
    </row>
    <row r="4921" spans="1:9" x14ac:dyDescent="0.25">
      <c r="A4921" s="7">
        <v>3</v>
      </c>
      <c r="B4921" s="8">
        <v>43731</v>
      </c>
      <c r="C4921" s="9" t="s">
        <v>3</v>
      </c>
      <c r="D4921" s="10">
        <v>160.85999999999999</v>
      </c>
      <c r="E4921" s="10">
        <v>33.585999999999999</v>
      </c>
      <c r="F4921" t="str">
        <f>VLOOKUP(A4921,StoreLookup,2,FALSE)</f>
        <v>Store#3</v>
      </c>
      <c r="G4921">
        <f>INDEX(CalLookUpTable,MATCH($B4921,CalLookUpRow,0),MATCH(G$1,CalLookUpColumn,0))</f>
        <v>2019</v>
      </c>
      <c r="H4921">
        <f>INDEX(CalLookUpTable,MATCH($B4921,CalLookUpRow,0),MATCH(H$1,CalLookUpColumn,0))</f>
        <v>9</v>
      </c>
      <c r="I4921">
        <f>INDEX(CalLookUpTable,MATCH($B4921,CalLookUpRow,0),MATCH(I$1,CalLookUpColumn,0))</f>
        <v>5</v>
      </c>
    </row>
    <row r="4922" spans="1:9" x14ac:dyDescent="0.25">
      <c r="A4922" s="7">
        <v>3</v>
      </c>
      <c r="B4922" s="8">
        <v>43732</v>
      </c>
      <c r="C4922" s="9" t="s">
        <v>6</v>
      </c>
      <c r="D4922" s="10">
        <v>896.27300000000002</v>
      </c>
      <c r="E4922" s="10">
        <v>1655.6609999999998</v>
      </c>
      <c r="F4922" t="str">
        <f>VLOOKUP(A4922,StoreLookup,2,FALSE)</f>
        <v>Store#3</v>
      </c>
      <c r="G4922">
        <f>INDEX(CalLookUpTable,MATCH($B4922,CalLookUpRow,0),MATCH(G$1,CalLookUpColumn,0))</f>
        <v>2019</v>
      </c>
      <c r="H4922">
        <f>INDEX(CalLookUpTable,MATCH($B4922,CalLookUpRow,0),MATCH(H$1,CalLookUpColumn,0))</f>
        <v>9</v>
      </c>
      <c r="I4922">
        <f>INDEX(CalLookUpTable,MATCH($B4922,CalLookUpRow,0),MATCH(I$1,CalLookUpColumn,0))</f>
        <v>5</v>
      </c>
    </row>
    <row r="4923" spans="1:9" x14ac:dyDescent="0.25">
      <c r="A4923" s="7">
        <v>3</v>
      </c>
      <c r="B4923" s="8">
        <v>43732</v>
      </c>
      <c r="C4923" s="9" t="s">
        <v>4</v>
      </c>
      <c r="D4923" s="10">
        <v>3491.8309999999997</v>
      </c>
      <c r="E4923" s="10">
        <v>3995.3129999999996</v>
      </c>
      <c r="F4923" t="str">
        <f>VLOOKUP(A4923,StoreLookup,2,FALSE)</f>
        <v>Store#3</v>
      </c>
      <c r="G4923">
        <f>INDEX(CalLookUpTable,MATCH($B4923,CalLookUpRow,0),MATCH(G$1,CalLookUpColumn,0))</f>
        <v>2019</v>
      </c>
      <c r="H4923">
        <f>INDEX(CalLookUpTable,MATCH($B4923,CalLookUpRow,0),MATCH(H$1,CalLookUpColumn,0))</f>
        <v>9</v>
      </c>
      <c r="I4923">
        <f>INDEX(CalLookUpTable,MATCH($B4923,CalLookUpRow,0),MATCH(I$1,CalLookUpColumn,0))</f>
        <v>5</v>
      </c>
    </row>
    <row r="4924" spans="1:9" x14ac:dyDescent="0.25">
      <c r="A4924" s="7">
        <v>3</v>
      </c>
      <c r="B4924" s="8">
        <v>43732</v>
      </c>
      <c r="C4924" s="9" t="s">
        <v>5</v>
      </c>
      <c r="D4924" s="10">
        <v>2988.2579999999994</v>
      </c>
      <c r="E4924" s="10">
        <v>2290.3089999999997</v>
      </c>
      <c r="F4924" t="str">
        <f>VLOOKUP(A4924,StoreLookup,2,FALSE)</f>
        <v>Store#3</v>
      </c>
      <c r="G4924">
        <f>INDEX(CalLookUpTable,MATCH($B4924,CalLookUpRow,0),MATCH(G$1,CalLookUpColumn,0))</f>
        <v>2019</v>
      </c>
      <c r="H4924">
        <f>INDEX(CalLookUpTable,MATCH($B4924,CalLookUpRow,0),MATCH(H$1,CalLookUpColumn,0))</f>
        <v>9</v>
      </c>
      <c r="I4924">
        <f>INDEX(CalLookUpTable,MATCH($B4924,CalLookUpRow,0),MATCH(I$1,CalLookUpColumn,0))</f>
        <v>5</v>
      </c>
    </row>
    <row r="4925" spans="1:9" x14ac:dyDescent="0.25">
      <c r="A4925" s="7">
        <v>3</v>
      </c>
      <c r="B4925" s="8">
        <v>43732</v>
      </c>
      <c r="C4925" s="9" t="s">
        <v>3</v>
      </c>
      <c r="D4925" s="10">
        <v>522.79499999999996</v>
      </c>
      <c r="E4925" s="10">
        <v>0</v>
      </c>
      <c r="F4925" t="str">
        <f>VLOOKUP(A4925,StoreLookup,2,FALSE)</f>
        <v>Store#3</v>
      </c>
      <c r="G4925">
        <f>INDEX(CalLookUpTable,MATCH($B4925,CalLookUpRow,0),MATCH(G$1,CalLookUpColumn,0))</f>
        <v>2019</v>
      </c>
      <c r="H4925">
        <f>INDEX(CalLookUpTable,MATCH($B4925,CalLookUpRow,0),MATCH(H$1,CalLookUpColumn,0))</f>
        <v>9</v>
      </c>
      <c r="I4925">
        <f>INDEX(CalLookUpTable,MATCH($B4925,CalLookUpRow,0),MATCH(I$1,CalLookUpColumn,0))</f>
        <v>5</v>
      </c>
    </row>
    <row r="4926" spans="1:9" x14ac:dyDescent="0.25">
      <c r="A4926" s="7">
        <v>3</v>
      </c>
      <c r="B4926" s="8">
        <v>43733</v>
      </c>
      <c r="C4926" s="9" t="s">
        <v>5</v>
      </c>
      <c r="D4926" s="10">
        <v>2493.9740000000002</v>
      </c>
      <c r="E4926" s="10">
        <v>2735.5719999999997</v>
      </c>
      <c r="F4926" t="str">
        <f>VLOOKUP(A4926,StoreLookup,2,FALSE)</f>
        <v>Store#3</v>
      </c>
      <c r="G4926">
        <f>INDEX(CalLookUpTable,MATCH($B4926,CalLookUpRow,0),MATCH(G$1,CalLookUpColumn,0))</f>
        <v>2019</v>
      </c>
      <c r="H4926">
        <f>INDEX(CalLookUpTable,MATCH($B4926,CalLookUpRow,0),MATCH(H$1,CalLookUpColumn,0))</f>
        <v>9</v>
      </c>
      <c r="I4926">
        <f>INDEX(CalLookUpTable,MATCH($B4926,CalLookUpRow,0),MATCH(I$1,CalLookUpColumn,0))</f>
        <v>5</v>
      </c>
    </row>
    <row r="4927" spans="1:9" x14ac:dyDescent="0.25">
      <c r="A4927" s="7">
        <v>3</v>
      </c>
      <c r="B4927" s="8">
        <v>43733</v>
      </c>
      <c r="C4927" s="9" t="s">
        <v>6</v>
      </c>
      <c r="D4927" s="10">
        <v>1106.4129999999998</v>
      </c>
      <c r="E4927" s="10">
        <v>1945.3979999999997</v>
      </c>
      <c r="F4927" t="str">
        <f>VLOOKUP(A4927,StoreLookup,2,FALSE)</f>
        <v>Store#3</v>
      </c>
      <c r="G4927">
        <f>INDEX(CalLookUpTable,MATCH($B4927,CalLookUpRow,0),MATCH(G$1,CalLookUpColumn,0))</f>
        <v>2019</v>
      </c>
      <c r="H4927">
        <f>INDEX(CalLookUpTable,MATCH($B4927,CalLookUpRow,0),MATCH(H$1,CalLookUpColumn,0))</f>
        <v>9</v>
      </c>
      <c r="I4927">
        <f>INDEX(CalLookUpTable,MATCH($B4927,CalLookUpRow,0),MATCH(I$1,CalLookUpColumn,0))</f>
        <v>5</v>
      </c>
    </row>
    <row r="4928" spans="1:9" x14ac:dyDescent="0.25">
      <c r="A4928" s="7">
        <v>3</v>
      </c>
      <c r="B4928" s="8">
        <v>43733</v>
      </c>
      <c r="C4928" s="9" t="s">
        <v>4</v>
      </c>
      <c r="D4928" s="10">
        <v>3196.1579999999994</v>
      </c>
      <c r="E4928" s="10">
        <v>4747.2179999999998</v>
      </c>
      <c r="F4928" t="str">
        <f>VLOOKUP(A4928,StoreLookup,2,FALSE)</f>
        <v>Store#3</v>
      </c>
      <c r="G4928">
        <f>INDEX(CalLookUpTable,MATCH($B4928,CalLookUpRow,0),MATCH(G$1,CalLookUpColumn,0))</f>
        <v>2019</v>
      </c>
      <c r="H4928">
        <f>INDEX(CalLookUpTable,MATCH($B4928,CalLookUpRow,0),MATCH(H$1,CalLookUpColumn,0))</f>
        <v>9</v>
      </c>
      <c r="I4928">
        <f>INDEX(CalLookUpTable,MATCH($B4928,CalLookUpRow,0),MATCH(I$1,CalLookUpColumn,0))</f>
        <v>5</v>
      </c>
    </row>
    <row r="4929" spans="1:9" x14ac:dyDescent="0.25">
      <c r="A4929" s="7">
        <v>3</v>
      </c>
      <c r="B4929" s="8">
        <v>43733</v>
      </c>
      <c r="C4929" s="9" t="s">
        <v>3</v>
      </c>
      <c r="D4929" s="10">
        <v>358.07799999999997</v>
      </c>
      <c r="E4929" s="10">
        <v>227.95499999999996</v>
      </c>
      <c r="F4929" t="str">
        <f>VLOOKUP(A4929,StoreLookup,2,FALSE)</f>
        <v>Store#3</v>
      </c>
      <c r="G4929">
        <f>INDEX(CalLookUpTable,MATCH($B4929,CalLookUpRow,0),MATCH(G$1,CalLookUpColumn,0))</f>
        <v>2019</v>
      </c>
      <c r="H4929">
        <f>INDEX(CalLookUpTable,MATCH($B4929,CalLookUpRow,0),MATCH(H$1,CalLookUpColumn,0))</f>
        <v>9</v>
      </c>
      <c r="I4929">
        <f>INDEX(CalLookUpTable,MATCH($B4929,CalLookUpRow,0),MATCH(I$1,CalLookUpColumn,0))</f>
        <v>5</v>
      </c>
    </row>
    <row r="4930" spans="1:9" x14ac:dyDescent="0.25">
      <c r="A4930" s="7">
        <v>3</v>
      </c>
      <c r="B4930" s="8">
        <v>43734</v>
      </c>
      <c r="C4930" s="9" t="s">
        <v>6</v>
      </c>
      <c r="D4930" s="10">
        <v>1426.11</v>
      </c>
      <c r="E4930" s="10">
        <v>1668.31</v>
      </c>
      <c r="F4930" t="str">
        <f>VLOOKUP(A4930,StoreLookup,2,FALSE)</f>
        <v>Store#3</v>
      </c>
      <c r="G4930">
        <f>INDEX(CalLookUpTable,MATCH($B4930,CalLookUpRow,0),MATCH(G$1,CalLookUpColumn,0))</f>
        <v>2019</v>
      </c>
      <c r="H4930">
        <f>INDEX(CalLookUpTable,MATCH($B4930,CalLookUpRow,0),MATCH(H$1,CalLookUpColumn,0))</f>
        <v>9</v>
      </c>
      <c r="I4930">
        <f>INDEX(CalLookUpTable,MATCH($B4930,CalLookUpRow,0),MATCH(I$1,CalLookUpColumn,0))</f>
        <v>5</v>
      </c>
    </row>
    <row r="4931" spans="1:9" x14ac:dyDescent="0.25">
      <c r="A4931" s="7">
        <v>3</v>
      </c>
      <c r="B4931" s="8">
        <v>43734</v>
      </c>
      <c r="C4931" s="9" t="s">
        <v>5</v>
      </c>
      <c r="D4931" s="10">
        <v>2823.2679999999996</v>
      </c>
      <c r="E4931" s="10">
        <v>2930.1019999999994</v>
      </c>
      <c r="F4931" t="str">
        <f>VLOOKUP(A4931,StoreLookup,2,FALSE)</f>
        <v>Store#3</v>
      </c>
      <c r="G4931">
        <f>INDEX(CalLookUpTable,MATCH($B4931,CalLookUpRow,0),MATCH(G$1,CalLookUpColumn,0))</f>
        <v>2019</v>
      </c>
      <c r="H4931">
        <f>INDEX(CalLookUpTable,MATCH($B4931,CalLookUpRow,0),MATCH(H$1,CalLookUpColumn,0))</f>
        <v>9</v>
      </c>
      <c r="I4931">
        <f>INDEX(CalLookUpTable,MATCH($B4931,CalLookUpRow,0),MATCH(I$1,CalLookUpColumn,0))</f>
        <v>5</v>
      </c>
    </row>
    <row r="4932" spans="1:9" x14ac:dyDescent="0.25">
      <c r="A4932" s="7">
        <v>3</v>
      </c>
      <c r="B4932" s="8">
        <v>43734</v>
      </c>
      <c r="C4932" s="9" t="s">
        <v>4</v>
      </c>
      <c r="D4932" s="10">
        <v>3489.9969999999998</v>
      </c>
      <c r="E4932" s="10">
        <v>4827.0179999999991</v>
      </c>
      <c r="F4932" t="str">
        <f>VLOOKUP(A4932,StoreLookup,2,FALSE)</f>
        <v>Store#3</v>
      </c>
      <c r="G4932">
        <f>INDEX(CalLookUpTable,MATCH($B4932,CalLookUpRow,0),MATCH(G$1,CalLookUpColumn,0))</f>
        <v>2019</v>
      </c>
      <c r="H4932">
        <f>INDEX(CalLookUpTable,MATCH($B4932,CalLookUpRow,0),MATCH(H$1,CalLookUpColumn,0))</f>
        <v>9</v>
      </c>
      <c r="I4932">
        <f>INDEX(CalLookUpTable,MATCH($B4932,CalLookUpRow,0),MATCH(I$1,CalLookUpColumn,0))</f>
        <v>5</v>
      </c>
    </row>
    <row r="4933" spans="1:9" x14ac:dyDescent="0.25">
      <c r="A4933" s="7">
        <v>3</v>
      </c>
      <c r="B4933" s="8">
        <v>43734</v>
      </c>
      <c r="C4933" s="9" t="s">
        <v>3</v>
      </c>
      <c r="D4933" s="10">
        <v>34.880999999999993</v>
      </c>
      <c r="E4933" s="10">
        <v>0</v>
      </c>
      <c r="F4933" t="str">
        <f>VLOOKUP(A4933,StoreLookup,2,FALSE)</f>
        <v>Store#3</v>
      </c>
      <c r="G4933">
        <f>INDEX(CalLookUpTable,MATCH($B4933,CalLookUpRow,0),MATCH(G$1,CalLookUpColumn,0))</f>
        <v>2019</v>
      </c>
      <c r="H4933">
        <f>INDEX(CalLookUpTable,MATCH($B4933,CalLookUpRow,0),MATCH(H$1,CalLookUpColumn,0))</f>
        <v>9</v>
      </c>
      <c r="I4933">
        <f>INDEX(CalLookUpTable,MATCH($B4933,CalLookUpRow,0),MATCH(I$1,CalLookUpColumn,0))</f>
        <v>5</v>
      </c>
    </row>
    <row r="4934" spans="1:9" x14ac:dyDescent="0.25">
      <c r="A4934" s="7">
        <v>3</v>
      </c>
      <c r="B4934" s="8">
        <v>43735</v>
      </c>
      <c r="C4934" s="9" t="s">
        <v>4</v>
      </c>
      <c r="D4934" s="10">
        <v>3913.3359999999993</v>
      </c>
      <c r="E4934" s="10">
        <v>6078.1559999999999</v>
      </c>
      <c r="F4934" t="str">
        <f>VLOOKUP(A4934,StoreLookup,2,FALSE)</f>
        <v>Store#3</v>
      </c>
      <c r="G4934">
        <f>INDEX(CalLookUpTable,MATCH($B4934,CalLookUpRow,0),MATCH(G$1,CalLookUpColumn,0))</f>
        <v>2019</v>
      </c>
      <c r="H4934">
        <f>INDEX(CalLookUpTable,MATCH($B4934,CalLookUpRow,0),MATCH(H$1,CalLookUpColumn,0))</f>
        <v>9</v>
      </c>
      <c r="I4934">
        <f>INDEX(CalLookUpTable,MATCH($B4934,CalLookUpRow,0),MATCH(I$1,CalLookUpColumn,0))</f>
        <v>5</v>
      </c>
    </row>
    <row r="4935" spans="1:9" x14ac:dyDescent="0.25">
      <c r="A4935" s="7">
        <v>3</v>
      </c>
      <c r="B4935" s="8">
        <v>43735</v>
      </c>
      <c r="C4935" s="9" t="s">
        <v>5</v>
      </c>
      <c r="D4935" s="10">
        <v>3406.0809999999997</v>
      </c>
      <c r="E4935" s="10">
        <v>3577.1329999999994</v>
      </c>
      <c r="F4935" t="str">
        <f>VLOOKUP(A4935,StoreLookup,2,FALSE)</f>
        <v>Store#3</v>
      </c>
      <c r="G4935">
        <f>INDEX(CalLookUpTable,MATCH($B4935,CalLookUpRow,0),MATCH(G$1,CalLookUpColumn,0))</f>
        <v>2019</v>
      </c>
      <c r="H4935">
        <f>INDEX(CalLookUpTable,MATCH($B4935,CalLookUpRow,0),MATCH(H$1,CalLookUpColumn,0))</f>
        <v>9</v>
      </c>
      <c r="I4935">
        <f>INDEX(CalLookUpTable,MATCH($B4935,CalLookUpRow,0),MATCH(I$1,CalLookUpColumn,0))</f>
        <v>5</v>
      </c>
    </row>
    <row r="4936" spans="1:9" x14ac:dyDescent="0.25">
      <c r="A4936" s="7">
        <v>3</v>
      </c>
      <c r="B4936" s="8">
        <v>43735</v>
      </c>
      <c r="C4936" s="9" t="s">
        <v>3</v>
      </c>
      <c r="D4936" s="10">
        <v>189.66499999999999</v>
      </c>
      <c r="E4936" s="10">
        <v>295.19699999999995</v>
      </c>
      <c r="F4936" t="str">
        <f>VLOOKUP(A4936,StoreLookup,2,FALSE)</f>
        <v>Store#3</v>
      </c>
      <c r="G4936">
        <f>INDEX(CalLookUpTable,MATCH($B4936,CalLookUpRow,0),MATCH(G$1,CalLookUpColumn,0))</f>
        <v>2019</v>
      </c>
      <c r="H4936">
        <f>INDEX(CalLookUpTable,MATCH($B4936,CalLookUpRow,0),MATCH(H$1,CalLookUpColumn,0))</f>
        <v>9</v>
      </c>
      <c r="I4936">
        <f>INDEX(CalLookUpTable,MATCH($B4936,CalLookUpRow,0),MATCH(I$1,CalLookUpColumn,0))</f>
        <v>5</v>
      </c>
    </row>
    <row r="4937" spans="1:9" x14ac:dyDescent="0.25">
      <c r="A4937" s="7">
        <v>3</v>
      </c>
      <c r="B4937" s="8">
        <v>43735</v>
      </c>
      <c r="C4937" s="9" t="s">
        <v>6</v>
      </c>
      <c r="D4937" s="10">
        <v>1868.8879999999999</v>
      </c>
      <c r="E4937" s="10">
        <v>2349.1929999999998</v>
      </c>
      <c r="F4937" t="str">
        <f>VLOOKUP(A4937,StoreLookup,2,FALSE)</f>
        <v>Store#3</v>
      </c>
      <c r="G4937">
        <f>INDEX(CalLookUpTable,MATCH($B4937,CalLookUpRow,0),MATCH(G$1,CalLookUpColumn,0))</f>
        <v>2019</v>
      </c>
      <c r="H4937">
        <f>INDEX(CalLookUpTable,MATCH($B4937,CalLookUpRow,0),MATCH(H$1,CalLookUpColumn,0))</f>
        <v>9</v>
      </c>
      <c r="I4937">
        <f>INDEX(CalLookUpTable,MATCH($B4937,CalLookUpRow,0),MATCH(I$1,CalLookUpColumn,0))</f>
        <v>5</v>
      </c>
    </row>
    <row r="4938" spans="1:9" x14ac:dyDescent="0.25">
      <c r="A4938" s="7">
        <v>3</v>
      </c>
      <c r="B4938" s="8">
        <v>43736</v>
      </c>
      <c r="C4938" s="9" t="s">
        <v>5</v>
      </c>
      <c r="D4938" s="10">
        <v>2846.1649999999995</v>
      </c>
      <c r="E4938" s="10">
        <v>3219.4119999999998</v>
      </c>
      <c r="F4938" t="str">
        <f>VLOOKUP(A4938,StoreLookup,2,FALSE)</f>
        <v>Store#3</v>
      </c>
      <c r="G4938">
        <f>INDEX(CalLookUpTable,MATCH($B4938,CalLookUpRow,0),MATCH(G$1,CalLookUpColumn,0))</f>
        <v>2019</v>
      </c>
      <c r="H4938">
        <f>INDEX(CalLookUpTable,MATCH($B4938,CalLookUpRow,0),MATCH(H$1,CalLookUpColumn,0))</f>
        <v>9</v>
      </c>
      <c r="I4938">
        <f>INDEX(CalLookUpTable,MATCH($B4938,CalLookUpRow,0),MATCH(I$1,CalLookUpColumn,0))</f>
        <v>5</v>
      </c>
    </row>
    <row r="4939" spans="1:9" x14ac:dyDescent="0.25">
      <c r="A4939" s="7">
        <v>3</v>
      </c>
      <c r="B4939" s="8">
        <v>43736</v>
      </c>
      <c r="C4939" s="9" t="s">
        <v>6</v>
      </c>
      <c r="D4939" s="10">
        <v>1135.4489999999998</v>
      </c>
      <c r="E4939" s="10">
        <v>1677.655</v>
      </c>
      <c r="F4939" t="str">
        <f>VLOOKUP(A4939,StoreLookup,2,FALSE)</f>
        <v>Store#3</v>
      </c>
      <c r="G4939">
        <f>INDEX(CalLookUpTable,MATCH($B4939,CalLookUpRow,0),MATCH(G$1,CalLookUpColumn,0))</f>
        <v>2019</v>
      </c>
      <c r="H4939">
        <f>INDEX(CalLookUpTable,MATCH($B4939,CalLookUpRow,0),MATCH(H$1,CalLookUpColumn,0))</f>
        <v>9</v>
      </c>
      <c r="I4939">
        <f>INDEX(CalLookUpTable,MATCH($B4939,CalLookUpRow,0),MATCH(I$1,CalLookUpColumn,0))</f>
        <v>5</v>
      </c>
    </row>
    <row r="4940" spans="1:9" x14ac:dyDescent="0.25">
      <c r="A4940" s="7">
        <v>3</v>
      </c>
      <c r="B4940" s="8">
        <v>43736</v>
      </c>
      <c r="C4940" s="9" t="s">
        <v>4</v>
      </c>
      <c r="D4940" s="10">
        <v>3220.9869999999996</v>
      </c>
      <c r="E4940" s="10">
        <v>5046.6849999999995</v>
      </c>
      <c r="F4940" t="str">
        <f>VLOOKUP(A4940,StoreLookup,2,FALSE)</f>
        <v>Store#3</v>
      </c>
      <c r="G4940">
        <f>INDEX(CalLookUpTable,MATCH($B4940,CalLookUpRow,0),MATCH(G$1,CalLookUpColumn,0))</f>
        <v>2019</v>
      </c>
      <c r="H4940">
        <f>INDEX(CalLookUpTable,MATCH($B4940,CalLookUpRow,0),MATCH(H$1,CalLookUpColumn,0))</f>
        <v>9</v>
      </c>
      <c r="I4940">
        <f>INDEX(CalLookUpTable,MATCH($B4940,CalLookUpRow,0),MATCH(I$1,CalLookUpColumn,0))</f>
        <v>5</v>
      </c>
    </row>
    <row r="4941" spans="1:9" x14ac:dyDescent="0.25">
      <c r="A4941" s="7">
        <v>3</v>
      </c>
      <c r="B4941" s="8">
        <v>43736</v>
      </c>
      <c r="C4941" s="9" t="s">
        <v>3</v>
      </c>
      <c r="D4941" s="10">
        <v>169.25299999999999</v>
      </c>
      <c r="E4941" s="10">
        <v>410.08100000000002</v>
      </c>
      <c r="F4941" t="str">
        <f>VLOOKUP(A4941,StoreLookup,2,FALSE)</f>
        <v>Store#3</v>
      </c>
      <c r="G4941">
        <f>INDEX(CalLookUpTable,MATCH($B4941,CalLookUpRow,0),MATCH(G$1,CalLookUpColumn,0))</f>
        <v>2019</v>
      </c>
      <c r="H4941">
        <f>INDEX(CalLookUpTable,MATCH($B4941,CalLookUpRow,0),MATCH(H$1,CalLookUpColumn,0))</f>
        <v>9</v>
      </c>
      <c r="I4941">
        <f>INDEX(CalLookUpTable,MATCH($B4941,CalLookUpRow,0),MATCH(I$1,CalLookUpColumn,0))</f>
        <v>5</v>
      </c>
    </row>
    <row r="4942" spans="1:9" x14ac:dyDescent="0.25">
      <c r="A4942" s="7">
        <v>3</v>
      </c>
      <c r="B4942" s="8">
        <v>43737</v>
      </c>
      <c r="C4942" s="9" t="s">
        <v>3</v>
      </c>
      <c r="D4942" s="10">
        <v>39.136999999999993</v>
      </c>
      <c r="E4942" s="10">
        <v>0</v>
      </c>
      <c r="F4942" t="str">
        <f>VLOOKUP(A4942,StoreLookup,2,FALSE)</f>
        <v>Store#3</v>
      </c>
      <c r="G4942">
        <f>INDEX(CalLookUpTable,MATCH($B4942,CalLookUpRow,0),MATCH(G$1,CalLookUpColumn,0))</f>
        <v>2019</v>
      </c>
      <c r="H4942">
        <f>INDEX(CalLookUpTable,MATCH($B4942,CalLookUpRow,0),MATCH(H$1,CalLookUpColumn,0))</f>
        <v>9</v>
      </c>
      <c r="I4942">
        <f>INDEX(CalLookUpTable,MATCH($B4942,CalLookUpRow,0),MATCH(I$1,CalLookUpColumn,0))</f>
        <v>5</v>
      </c>
    </row>
    <row r="4943" spans="1:9" x14ac:dyDescent="0.25">
      <c r="A4943" s="7">
        <v>3</v>
      </c>
      <c r="B4943" s="8">
        <v>43737</v>
      </c>
      <c r="C4943" s="9" t="s">
        <v>5</v>
      </c>
      <c r="D4943" s="10">
        <v>2512.2649999999999</v>
      </c>
      <c r="E4943" s="10">
        <v>2691.22</v>
      </c>
      <c r="F4943" t="str">
        <f>VLOOKUP(A4943,StoreLookup,2,FALSE)</f>
        <v>Store#3</v>
      </c>
      <c r="G4943">
        <f>INDEX(CalLookUpTable,MATCH($B4943,CalLookUpRow,0),MATCH(G$1,CalLookUpColumn,0))</f>
        <v>2019</v>
      </c>
      <c r="H4943">
        <f>INDEX(CalLookUpTable,MATCH($B4943,CalLookUpRow,0),MATCH(H$1,CalLookUpColumn,0))</f>
        <v>9</v>
      </c>
      <c r="I4943">
        <f>INDEX(CalLookUpTable,MATCH($B4943,CalLookUpRow,0),MATCH(I$1,CalLookUpColumn,0))</f>
        <v>5</v>
      </c>
    </row>
    <row r="4944" spans="1:9" x14ac:dyDescent="0.25">
      <c r="A4944" s="7">
        <v>3</v>
      </c>
      <c r="B4944" s="8">
        <v>43737</v>
      </c>
      <c r="C4944" s="9" t="s">
        <v>6</v>
      </c>
      <c r="D4944" s="10">
        <v>1363.3409999999999</v>
      </c>
      <c r="E4944" s="10">
        <v>1281.5249999999999</v>
      </c>
      <c r="F4944" t="str">
        <f>VLOOKUP(A4944,StoreLookup,2,FALSE)</f>
        <v>Store#3</v>
      </c>
      <c r="G4944">
        <f>INDEX(CalLookUpTable,MATCH($B4944,CalLookUpRow,0),MATCH(G$1,CalLookUpColumn,0))</f>
        <v>2019</v>
      </c>
      <c r="H4944">
        <f>INDEX(CalLookUpTable,MATCH($B4944,CalLookUpRow,0),MATCH(H$1,CalLookUpColumn,0))</f>
        <v>9</v>
      </c>
      <c r="I4944">
        <f>INDEX(CalLookUpTable,MATCH($B4944,CalLookUpRow,0),MATCH(I$1,CalLookUpColumn,0))</f>
        <v>5</v>
      </c>
    </row>
    <row r="4945" spans="1:9" x14ac:dyDescent="0.25">
      <c r="A4945" s="7">
        <v>3</v>
      </c>
      <c r="B4945" s="8">
        <v>43737</v>
      </c>
      <c r="C4945" s="9" t="s">
        <v>4</v>
      </c>
      <c r="D4945" s="10">
        <v>2365.1529999999998</v>
      </c>
      <c r="E4945" s="10">
        <v>3899.3919999999998</v>
      </c>
      <c r="F4945" t="str">
        <f>VLOOKUP(A4945,StoreLookup,2,FALSE)</f>
        <v>Store#3</v>
      </c>
      <c r="G4945">
        <f>INDEX(CalLookUpTable,MATCH($B4945,CalLookUpRow,0),MATCH(G$1,CalLookUpColumn,0))</f>
        <v>2019</v>
      </c>
      <c r="H4945">
        <f>INDEX(CalLookUpTable,MATCH($B4945,CalLookUpRow,0),MATCH(H$1,CalLookUpColumn,0))</f>
        <v>9</v>
      </c>
      <c r="I4945">
        <f>INDEX(CalLookUpTable,MATCH($B4945,CalLookUpRow,0),MATCH(I$1,CalLookUpColumn,0))</f>
        <v>5</v>
      </c>
    </row>
    <row r="4946" spans="1:9" x14ac:dyDescent="0.25">
      <c r="A4946" s="7">
        <v>3</v>
      </c>
      <c r="B4946" s="8">
        <v>43738</v>
      </c>
      <c r="C4946" s="9" t="s">
        <v>6</v>
      </c>
      <c r="D4946" s="10">
        <v>1170.4069999999999</v>
      </c>
      <c r="E4946" s="10">
        <v>1531.7539999999997</v>
      </c>
      <c r="F4946" t="str">
        <f>VLOOKUP(A4946,StoreLookup,2,FALSE)</f>
        <v>Store#3</v>
      </c>
      <c r="G4946">
        <f>INDEX(CalLookUpTable,MATCH($B4946,CalLookUpRow,0),MATCH(G$1,CalLookUpColumn,0))</f>
        <v>2019</v>
      </c>
      <c r="H4946">
        <f>INDEX(CalLookUpTable,MATCH($B4946,CalLookUpRow,0),MATCH(H$1,CalLookUpColumn,0))</f>
        <v>10</v>
      </c>
      <c r="I4946">
        <f>INDEX(CalLookUpTable,MATCH($B4946,CalLookUpRow,0),MATCH(I$1,CalLookUpColumn,0))</f>
        <v>1</v>
      </c>
    </row>
    <row r="4947" spans="1:9" x14ac:dyDescent="0.25">
      <c r="A4947" s="7">
        <v>3</v>
      </c>
      <c r="B4947" s="8">
        <v>43738</v>
      </c>
      <c r="C4947" s="9" t="s">
        <v>3</v>
      </c>
      <c r="D4947" s="10">
        <v>0</v>
      </c>
      <c r="E4947" s="10">
        <v>340.9</v>
      </c>
      <c r="F4947" t="str">
        <f>VLOOKUP(A4947,StoreLookup,2,FALSE)</f>
        <v>Store#3</v>
      </c>
      <c r="G4947">
        <f>INDEX(CalLookUpTable,MATCH($B4947,CalLookUpRow,0),MATCH(G$1,CalLookUpColumn,0))</f>
        <v>2019</v>
      </c>
      <c r="H4947">
        <f>INDEX(CalLookUpTable,MATCH($B4947,CalLookUpRow,0),MATCH(H$1,CalLookUpColumn,0))</f>
        <v>10</v>
      </c>
      <c r="I4947">
        <f>INDEX(CalLookUpTable,MATCH($B4947,CalLookUpRow,0),MATCH(I$1,CalLookUpColumn,0))</f>
        <v>1</v>
      </c>
    </row>
    <row r="4948" spans="1:9" x14ac:dyDescent="0.25">
      <c r="A4948" s="7">
        <v>3</v>
      </c>
      <c r="B4948" s="8">
        <v>43738</v>
      </c>
      <c r="C4948" s="9" t="s">
        <v>4</v>
      </c>
      <c r="D4948" s="10">
        <v>2860.4659999999999</v>
      </c>
      <c r="E4948" s="10">
        <v>4397.7219999999998</v>
      </c>
      <c r="F4948" t="str">
        <f>VLOOKUP(A4948,StoreLookup,2,FALSE)</f>
        <v>Store#3</v>
      </c>
      <c r="G4948">
        <f>INDEX(CalLookUpTable,MATCH($B4948,CalLookUpRow,0),MATCH(G$1,CalLookUpColumn,0))</f>
        <v>2019</v>
      </c>
      <c r="H4948">
        <f>INDEX(CalLookUpTable,MATCH($B4948,CalLookUpRow,0),MATCH(H$1,CalLookUpColumn,0))</f>
        <v>10</v>
      </c>
      <c r="I4948">
        <f>INDEX(CalLookUpTable,MATCH($B4948,CalLookUpRow,0),MATCH(I$1,CalLookUpColumn,0))</f>
        <v>1</v>
      </c>
    </row>
    <row r="4949" spans="1:9" x14ac:dyDescent="0.25">
      <c r="A4949" s="7">
        <v>3</v>
      </c>
      <c r="B4949" s="8">
        <v>43738</v>
      </c>
      <c r="C4949" s="9" t="s">
        <v>5</v>
      </c>
      <c r="D4949" s="10">
        <v>2726.6469999999999</v>
      </c>
      <c r="E4949" s="10">
        <v>2538.6410000000001</v>
      </c>
      <c r="F4949" t="str">
        <f>VLOOKUP(A4949,StoreLookup,2,FALSE)</f>
        <v>Store#3</v>
      </c>
      <c r="G4949">
        <f>INDEX(CalLookUpTable,MATCH($B4949,CalLookUpRow,0),MATCH(G$1,CalLookUpColumn,0))</f>
        <v>2019</v>
      </c>
      <c r="H4949">
        <f>INDEX(CalLookUpTable,MATCH($B4949,CalLookUpRow,0),MATCH(H$1,CalLookUpColumn,0))</f>
        <v>10</v>
      </c>
      <c r="I4949">
        <f>INDEX(CalLookUpTable,MATCH($B4949,CalLookUpRow,0),MATCH(I$1,CalLookUpColumn,0))</f>
        <v>1</v>
      </c>
    </row>
    <row r="4950" spans="1:9" x14ac:dyDescent="0.25">
      <c r="A4950" s="7">
        <v>3</v>
      </c>
      <c r="B4950" s="8">
        <v>43739</v>
      </c>
      <c r="C4950" s="9" t="s">
        <v>6</v>
      </c>
      <c r="D4950" s="10">
        <v>1395.366</v>
      </c>
      <c r="E4950" s="10">
        <v>1300.2849999999999</v>
      </c>
      <c r="F4950" t="str">
        <f>VLOOKUP(A4950,StoreLookup,2,FALSE)</f>
        <v>Store#3</v>
      </c>
      <c r="G4950">
        <f>INDEX(CalLookUpTable,MATCH($B4950,CalLookUpRow,0),MATCH(G$1,CalLookUpColumn,0))</f>
        <v>2019</v>
      </c>
      <c r="H4950">
        <f>INDEX(CalLookUpTable,MATCH($B4950,CalLookUpRow,0),MATCH(H$1,CalLookUpColumn,0))</f>
        <v>10</v>
      </c>
      <c r="I4950">
        <f>INDEX(CalLookUpTable,MATCH($B4950,CalLookUpRow,0),MATCH(I$1,CalLookUpColumn,0))</f>
        <v>1</v>
      </c>
    </row>
    <row r="4951" spans="1:9" x14ac:dyDescent="0.25">
      <c r="A4951" s="7">
        <v>3</v>
      </c>
      <c r="B4951" s="8">
        <v>43739</v>
      </c>
      <c r="C4951" s="9" t="s">
        <v>4</v>
      </c>
      <c r="D4951" s="10">
        <v>2990.4629999999997</v>
      </c>
      <c r="E4951" s="10">
        <v>4223.2329999999993</v>
      </c>
      <c r="F4951" t="str">
        <f>VLOOKUP(A4951,StoreLookup,2,FALSE)</f>
        <v>Store#3</v>
      </c>
      <c r="G4951">
        <f>INDEX(CalLookUpTable,MATCH($B4951,CalLookUpRow,0),MATCH(G$1,CalLookUpColumn,0))</f>
        <v>2019</v>
      </c>
      <c r="H4951">
        <f>INDEX(CalLookUpTable,MATCH($B4951,CalLookUpRow,0),MATCH(H$1,CalLookUpColumn,0))</f>
        <v>10</v>
      </c>
      <c r="I4951">
        <f>INDEX(CalLookUpTable,MATCH($B4951,CalLookUpRow,0),MATCH(I$1,CalLookUpColumn,0))</f>
        <v>1</v>
      </c>
    </row>
    <row r="4952" spans="1:9" x14ac:dyDescent="0.25">
      <c r="A4952" s="7">
        <v>3</v>
      </c>
      <c r="B4952" s="8">
        <v>43739</v>
      </c>
      <c r="C4952" s="9" t="s">
        <v>5</v>
      </c>
      <c r="D4952" s="10">
        <v>2946.9789999999998</v>
      </c>
      <c r="E4952" s="10">
        <v>2631.4609999999998</v>
      </c>
      <c r="F4952" t="str">
        <f>VLOOKUP(A4952,StoreLookup,2,FALSE)</f>
        <v>Store#3</v>
      </c>
      <c r="G4952">
        <f>INDEX(CalLookUpTable,MATCH($B4952,CalLookUpRow,0),MATCH(G$1,CalLookUpColumn,0))</f>
        <v>2019</v>
      </c>
      <c r="H4952">
        <f>INDEX(CalLookUpTable,MATCH($B4952,CalLookUpRow,0),MATCH(H$1,CalLookUpColumn,0))</f>
        <v>10</v>
      </c>
      <c r="I4952">
        <f>INDEX(CalLookUpTable,MATCH($B4952,CalLookUpRow,0),MATCH(I$1,CalLookUpColumn,0))</f>
        <v>1</v>
      </c>
    </row>
    <row r="4953" spans="1:9" x14ac:dyDescent="0.25">
      <c r="A4953" s="7">
        <v>3</v>
      </c>
      <c r="B4953" s="8">
        <v>43739</v>
      </c>
      <c r="C4953" s="9" t="s">
        <v>3</v>
      </c>
      <c r="D4953" s="10">
        <v>0</v>
      </c>
      <c r="E4953" s="10">
        <v>387.09299999999996</v>
      </c>
      <c r="F4953" t="str">
        <f>VLOOKUP(A4953,StoreLookup,2,FALSE)</f>
        <v>Store#3</v>
      </c>
      <c r="G4953">
        <f>INDEX(CalLookUpTable,MATCH($B4953,CalLookUpRow,0),MATCH(G$1,CalLookUpColumn,0))</f>
        <v>2019</v>
      </c>
      <c r="H4953">
        <f>INDEX(CalLookUpTable,MATCH($B4953,CalLookUpRow,0),MATCH(H$1,CalLookUpColumn,0))</f>
        <v>10</v>
      </c>
      <c r="I4953">
        <f>INDEX(CalLookUpTable,MATCH($B4953,CalLookUpRow,0),MATCH(I$1,CalLookUpColumn,0))</f>
        <v>1</v>
      </c>
    </row>
    <row r="4954" spans="1:9" x14ac:dyDescent="0.25">
      <c r="A4954" s="7">
        <v>3</v>
      </c>
      <c r="B4954" s="8">
        <v>43740</v>
      </c>
      <c r="C4954" s="9" t="s">
        <v>4</v>
      </c>
      <c r="D4954" s="10">
        <v>3214.288</v>
      </c>
      <c r="E4954" s="10">
        <v>4751.8939999999993</v>
      </c>
      <c r="F4954" t="str">
        <f>VLOOKUP(A4954,StoreLookup,2,FALSE)</f>
        <v>Store#3</v>
      </c>
      <c r="G4954">
        <f>INDEX(CalLookUpTable,MATCH($B4954,CalLookUpRow,0),MATCH(G$1,CalLookUpColumn,0))</f>
        <v>2019</v>
      </c>
      <c r="H4954">
        <f>INDEX(CalLookUpTable,MATCH($B4954,CalLookUpRow,0),MATCH(H$1,CalLookUpColumn,0))</f>
        <v>10</v>
      </c>
      <c r="I4954">
        <f>INDEX(CalLookUpTable,MATCH($B4954,CalLookUpRow,0),MATCH(I$1,CalLookUpColumn,0))</f>
        <v>1</v>
      </c>
    </row>
    <row r="4955" spans="1:9" x14ac:dyDescent="0.25">
      <c r="A4955" s="7">
        <v>3</v>
      </c>
      <c r="B4955" s="8">
        <v>43740</v>
      </c>
      <c r="C4955" s="9" t="s">
        <v>6</v>
      </c>
      <c r="D4955" s="10">
        <v>926.83499999999992</v>
      </c>
      <c r="E4955" s="10">
        <v>1684.1579999999999</v>
      </c>
      <c r="F4955" t="str">
        <f>VLOOKUP(A4955,StoreLookup,2,FALSE)</f>
        <v>Store#3</v>
      </c>
      <c r="G4955">
        <f>INDEX(CalLookUpTable,MATCH($B4955,CalLookUpRow,0),MATCH(G$1,CalLookUpColumn,0))</f>
        <v>2019</v>
      </c>
      <c r="H4955">
        <f>INDEX(CalLookUpTable,MATCH($B4955,CalLookUpRow,0),MATCH(H$1,CalLookUpColumn,0))</f>
        <v>10</v>
      </c>
      <c r="I4955">
        <f>INDEX(CalLookUpTable,MATCH($B4955,CalLookUpRow,0),MATCH(I$1,CalLookUpColumn,0))</f>
        <v>1</v>
      </c>
    </row>
    <row r="4956" spans="1:9" x14ac:dyDescent="0.25">
      <c r="A4956" s="7">
        <v>3</v>
      </c>
      <c r="B4956" s="8">
        <v>43740</v>
      </c>
      <c r="C4956" s="9" t="s">
        <v>3</v>
      </c>
      <c r="D4956" s="10">
        <v>0</v>
      </c>
      <c r="E4956" s="10">
        <v>123.77399999999999</v>
      </c>
      <c r="F4956" t="str">
        <f>VLOOKUP(A4956,StoreLookup,2,FALSE)</f>
        <v>Store#3</v>
      </c>
      <c r="G4956">
        <f>INDEX(CalLookUpTable,MATCH($B4956,CalLookUpRow,0),MATCH(G$1,CalLookUpColumn,0))</f>
        <v>2019</v>
      </c>
      <c r="H4956">
        <f>INDEX(CalLookUpTable,MATCH($B4956,CalLookUpRow,0),MATCH(H$1,CalLookUpColumn,0))</f>
        <v>10</v>
      </c>
      <c r="I4956">
        <f>INDEX(CalLookUpTable,MATCH($B4956,CalLookUpRow,0),MATCH(I$1,CalLookUpColumn,0))</f>
        <v>1</v>
      </c>
    </row>
    <row r="4957" spans="1:9" x14ac:dyDescent="0.25">
      <c r="A4957" s="7">
        <v>3</v>
      </c>
      <c r="B4957" s="8">
        <v>43740</v>
      </c>
      <c r="C4957" s="9" t="s">
        <v>5</v>
      </c>
      <c r="D4957" s="10">
        <v>3050.4459999999995</v>
      </c>
      <c r="E4957" s="10">
        <v>2757.4679999999998</v>
      </c>
      <c r="F4957" t="str">
        <f>VLOOKUP(A4957,StoreLookup,2,FALSE)</f>
        <v>Store#3</v>
      </c>
      <c r="G4957">
        <f>INDEX(CalLookUpTable,MATCH($B4957,CalLookUpRow,0),MATCH(G$1,CalLookUpColumn,0))</f>
        <v>2019</v>
      </c>
      <c r="H4957">
        <f>INDEX(CalLookUpTable,MATCH($B4957,CalLookUpRow,0),MATCH(H$1,CalLookUpColumn,0))</f>
        <v>10</v>
      </c>
      <c r="I4957">
        <f>INDEX(CalLookUpTable,MATCH($B4957,CalLookUpRow,0),MATCH(I$1,CalLookUpColumn,0))</f>
        <v>1</v>
      </c>
    </row>
    <row r="4958" spans="1:9" x14ac:dyDescent="0.25">
      <c r="A4958" s="7">
        <v>3</v>
      </c>
      <c r="B4958" s="8">
        <v>43741</v>
      </c>
      <c r="C4958" s="9" t="s">
        <v>4</v>
      </c>
      <c r="D4958" s="10">
        <v>3218.7469999999998</v>
      </c>
      <c r="E4958" s="10">
        <v>4990.6429999999991</v>
      </c>
      <c r="F4958" t="str">
        <f>VLOOKUP(A4958,StoreLookup,2,FALSE)</f>
        <v>Store#3</v>
      </c>
      <c r="G4958">
        <f>INDEX(CalLookUpTable,MATCH($B4958,CalLookUpRow,0),MATCH(G$1,CalLookUpColumn,0))</f>
        <v>2019</v>
      </c>
      <c r="H4958">
        <f>INDEX(CalLookUpTable,MATCH($B4958,CalLookUpRow,0),MATCH(H$1,CalLookUpColumn,0))</f>
        <v>10</v>
      </c>
      <c r="I4958">
        <f>INDEX(CalLookUpTable,MATCH($B4958,CalLookUpRow,0),MATCH(I$1,CalLookUpColumn,0))</f>
        <v>1</v>
      </c>
    </row>
    <row r="4959" spans="1:9" x14ac:dyDescent="0.25">
      <c r="A4959" s="7">
        <v>3</v>
      </c>
      <c r="B4959" s="8">
        <v>43741</v>
      </c>
      <c r="C4959" s="9" t="s">
        <v>6</v>
      </c>
      <c r="D4959" s="10">
        <v>1665.027</v>
      </c>
      <c r="E4959" s="10">
        <v>1872.5070000000001</v>
      </c>
      <c r="F4959" t="str">
        <f>VLOOKUP(A4959,StoreLookup,2,FALSE)</f>
        <v>Store#3</v>
      </c>
      <c r="G4959">
        <f>INDEX(CalLookUpTable,MATCH($B4959,CalLookUpRow,0),MATCH(G$1,CalLookUpColumn,0))</f>
        <v>2019</v>
      </c>
      <c r="H4959">
        <f>INDEX(CalLookUpTable,MATCH($B4959,CalLookUpRow,0),MATCH(H$1,CalLookUpColumn,0))</f>
        <v>10</v>
      </c>
      <c r="I4959">
        <f>INDEX(CalLookUpTable,MATCH($B4959,CalLookUpRow,0),MATCH(I$1,CalLookUpColumn,0))</f>
        <v>1</v>
      </c>
    </row>
    <row r="4960" spans="1:9" x14ac:dyDescent="0.25">
      <c r="A4960" s="7">
        <v>3</v>
      </c>
      <c r="B4960" s="8">
        <v>43741</v>
      </c>
      <c r="C4960" s="9" t="s">
        <v>3</v>
      </c>
      <c r="D4960" s="10">
        <v>0</v>
      </c>
      <c r="E4960" s="10">
        <v>307.44</v>
      </c>
      <c r="F4960" t="str">
        <f>VLOOKUP(A4960,StoreLookup,2,FALSE)</f>
        <v>Store#3</v>
      </c>
      <c r="G4960">
        <f>INDEX(CalLookUpTable,MATCH($B4960,CalLookUpRow,0),MATCH(G$1,CalLookUpColumn,0))</f>
        <v>2019</v>
      </c>
      <c r="H4960">
        <f>INDEX(CalLookUpTable,MATCH($B4960,CalLookUpRow,0),MATCH(H$1,CalLookUpColumn,0))</f>
        <v>10</v>
      </c>
      <c r="I4960">
        <f>INDEX(CalLookUpTable,MATCH($B4960,CalLookUpRow,0),MATCH(I$1,CalLookUpColumn,0))</f>
        <v>1</v>
      </c>
    </row>
    <row r="4961" spans="1:9" x14ac:dyDescent="0.25">
      <c r="A4961" s="7">
        <v>3</v>
      </c>
      <c r="B4961" s="8">
        <v>43741</v>
      </c>
      <c r="C4961" s="9" t="s">
        <v>5</v>
      </c>
      <c r="D4961" s="10">
        <v>3263.9390000000003</v>
      </c>
      <c r="E4961" s="10">
        <v>3421.0959999999995</v>
      </c>
      <c r="F4961" t="str">
        <f>VLOOKUP(A4961,StoreLookup,2,FALSE)</f>
        <v>Store#3</v>
      </c>
      <c r="G4961">
        <f>INDEX(CalLookUpTable,MATCH($B4961,CalLookUpRow,0),MATCH(G$1,CalLookUpColumn,0))</f>
        <v>2019</v>
      </c>
      <c r="H4961">
        <f>INDEX(CalLookUpTable,MATCH($B4961,CalLookUpRow,0),MATCH(H$1,CalLookUpColumn,0))</f>
        <v>10</v>
      </c>
      <c r="I4961">
        <f>INDEX(CalLookUpTable,MATCH($B4961,CalLookUpRow,0),MATCH(I$1,CalLookUpColumn,0))</f>
        <v>1</v>
      </c>
    </row>
    <row r="4962" spans="1:9" x14ac:dyDescent="0.25">
      <c r="A4962" s="7">
        <v>3</v>
      </c>
      <c r="B4962" s="8">
        <v>43742</v>
      </c>
      <c r="C4962" s="9" t="s">
        <v>6</v>
      </c>
      <c r="D4962" s="10">
        <v>1919.6589999999999</v>
      </c>
      <c r="E4962" s="10">
        <v>1821.0429999999997</v>
      </c>
      <c r="F4962" t="str">
        <f>VLOOKUP(A4962,StoreLookup,2,FALSE)</f>
        <v>Store#3</v>
      </c>
      <c r="G4962">
        <f>INDEX(CalLookUpTable,MATCH($B4962,CalLookUpRow,0),MATCH(G$1,CalLookUpColumn,0))</f>
        <v>2019</v>
      </c>
      <c r="H4962">
        <f>INDEX(CalLookUpTable,MATCH($B4962,CalLookUpRow,0),MATCH(H$1,CalLookUpColumn,0))</f>
        <v>10</v>
      </c>
      <c r="I4962">
        <f>INDEX(CalLookUpTable,MATCH($B4962,CalLookUpRow,0),MATCH(I$1,CalLookUpColumn,0))</f>
        <v>1</v>
      </c>
    </row>
    <row r="4963" spans="1:9" x14ac:dyDescent="0.25">
      <c r="A4963" s="7">
        <v>3</v>
      </c>
      <c r="B4963" s="8">
        <v>43742</v>
      </c>
      <c r="C4963" s="9" t="s">
        <v>4</v>
      </c>
      <c r="D4963" s="10">
        <v>4278.5609999999997</v>
      </c>
      <c r="E4963" s="10">
        <v>5229.4269999999997</v>
      </c>
      <c r="F4963" t="str">
        <f>VLOOKUP(A4963,StoreLookup,2,FALSE)</f>
        <v>Store#3</v>
      </c>
      <c r="G4963">
        <f>INDEX(CalLookUpTable,MATCH($B4963,CalLookUpRow,0),MATCH(G$1,CalLookUpColumn,0))</f>
        <v>2019</v>
      </c>
      <c r="H4963">
        <f>INDEX(CalLookUpTable,MATCH($B4963,CalLookUpRow,0),MATCH(H$1,CalLookUpColumn,0))</f>
        <v>10</v>
      </c>
      <c r="I4963">
        <f>INDEX(CalLookUpTable,MATCH($B4963,CalLookUpRow,0),MATCH(I$1,CalLookUpColumn,0))</f>
        <v>1</v>
      </c>
    </row>
    <row r="4964" spans="1:9" x14ac:dyDescent="0.25">
      <c r="A4964" s="7">
        <v>3</v>
      </c>
      <c r="B4964" s="8">
        <v>43742</v>
      </c>
      <c r="C4964" s="9" t="s">
        <v>5</v>
      </c>
      <c r="D4964" s="10">
        <v>2935.3519999999994</v>
      </c>
      <c r="E4964" s="10">
        <v>3428.9850000000001</v>
      </c>
      <c r="F4964" t="str">
        <f>VLOOKUP(A4964,StoreLookup,2,FALSE)</f>
        <v>Store#3</v>
      </c>
      <c r="G4964">
        <f>INDEX(CalLookUpTable,MATCH($B4964,CalLookUpRow,0),MATCH(G$1,CalLookUpColumn,0))</f>
        <v>2019</v>
      </c>
      <c r="H4964">
        <f>INDEX(CalLookUpTable,MATCH($B4964,CalLookUpRow,0),MATCH(H$1,CalLookUpColumn,0))</f>
        <v>10</v>
      </c>
      <c r="I4964">
        <f>INDEX(CalLookUpTable,MATCH($B4964,CalLookUpRow,0),MATCH(I$1,CalLookUpColumn,0))</f>
        <v>1</v>
      </c>
    </row>
    <row r="4965" spans="1:9" x14ac:dyDescent="0.25">
      <c r="A4965" s="7">
        <v>3</v>
      </c>
      <c r="B4965" s="8">
        <v>43742</v>
      </c>
      <c r="C4965" s="9" t="s">
        <v>3</v>
      </c>
      <c r="D4965" s="10">
        <v>0</v>
      </c>
      <c r="E4965" s="10">
        <v>444.14299999999997</v>
      </c>
      <c r="F4965" t="str">
        <f>VLOOKUP(A4965,StoreLookup,2,FALSE)</f>
        <v>Store#3</v>
      </c>
      <c r="G4965">
        <f>INDEX(CalLookUpTable,MATCH($B4965,CalLookUpRow,0),MATCH(G$1,CalLookUpColumn,0))</f>
        <v>2019</v>
      </c>
      <c r="H4965">
        <f>INDEX(CalLookUpTable,MATCH($B4965,CalLookUpRow,0),MATCH(H$1,CalLookUpColumn,0))</f>
        <v>10</v>
      </c>
      <c r="I4965">
        <f>INDEX(CalLookUpTable,MATCH($B4965,CalLookUpRow,0),MATCH(I$1,CalLookUpColumn,0))</f>
        <v>1</v>
      </c>
    </row>
    <row r="4966" spans="1:9" x14ac:dyDescent="0.25">
      <c r="A4966" s="7">
        <v>3</v>
      </c>
      <c r="B4966" s="8">
        <v>43743</v>
      </c>
      <c r="C4966" s="9" t="s">
        <v>5</v>
      </c>
      <c r="D4966" s="10">
        <v>3478.069</v>
      </c>
      <c r="E4966" s="10">
        <v>3274.145</v>
      </c>
      <c r="F4966" t="str">
        <f>VLOOKUP(A4966,StoreLookup,2,FALSE)</f>
        <v>Store#3</v>
      </c>
      <c r="G4966">
        <f>INDEX(CalLookUpTable,MATCH($B4966,CalLookUpRow,0),MATCH(G$1,CalLookUpColumn,0))</f>
        <v>2019</v>
      </c>
      <c r="H4966">
        <f>INDEX(CalLookUpTable,MATCH($B4966,CalLookUpRow,0),MATCH(H$1,CalLookUpColumn,0))</f>
        <v>10</v>
      </c>
      <c r="I4966">
        <f>INDEX(CalLookUpTable,MATCH($B4966,CalLookUpRow,0),MATCH(I$1,CalLookUpColumn,0))</f>
        <v>1</v>
      </c>
    </row>
    <row r="4967" spans="1:9" x14ac:dyDescent="0.25">
      <c r="A4967" s="7">
        <v>3</v>
      </c>
      <c r="B4967" s="8">
        <v>43743</v>
      </c>
      <c r="C4967" s="9" t="s">
        <v>6</v>
      </c>
      <c r="D4967" s="10">
        <v>1346.4079999999999</v>
      </c>
      <c r="E4967" s="10">
        <v>1889.3139999999999</v>
      </c>
      <c r="F4967" t="str">
        <f>VLOOKUP(A4967,StoreLookup,2,FALSE)</f>
        <v>Store#3</v>
      </c>
      <c r="G4967">
        <f>INDEX(CalLookUpTable,MATCH($B4967,CalLookUpRow,0),MATCH(G$1,CalLookUpColumn,0))</f>
        <v>2019</v>
      </c>
      <c r="H4967">
        <f>INDEX(CalLookUpTable,MATCH($B4967,CalLookUpRow,0),MATCH(H$1,CalLookUpColumn,0))</f>
        <v>10</v>
      </c>
      <c r="I4967">
        <f>INDEX(CalLookUpTable,MATCH($B4967,CalLookUpRow,0),MATCH(I$1,CalLookUpColumn,0))</f>
        <v>1</v>
      </c>
    </row>
    <row r="4968" spans="1:9" x14ac:dyDescent="0.25">
      <c r="A4968" s="7">
        <v>3</v>
      </c>
      <c r="B4968" s="8">
        <v>43743</v>
      </c>
      <c r="C4968" s="9" t="s">
        <v>4</v>
      </c>
      <c r="D4968" s="10">
        <v>3421.0959999999995</v>
      </c>
      <c r="E4968" s="10">
        <v>5406.9329999999991</v>
      </c>
      <c r="F4968" t="str">
        <f>VLOOKUP(A4968,StoreLookup,2,FALSE)</f>
        <v>Store#3</v>
      </c>
      <c r="G4968">
        <f>INDEX(CalLookUpTable,MATCH($B4968,CalLookUpRow,0),MATCH(G$1,CalLookUpColumn,0))</f>
        <v>2019</v>
      </c>
      <c r="H4968">
        <f>INDEX(CalLookUpTable,MATCH($B4968,CalLookUpRow,0),MATCH(H$1,CalLookUpColumn,0))</f>
        <v>10</v>
      </c>
      <c r="I4968">
        <f>INDEX(CalLookUpTable,MATCH($B4968,CalLookUpRow,0),MATCH(I$1,CalLookUpColumn,0))</f>
        <v>1</v>
      </c>
    </row>
    <row r="4969" spans="1:9" x14ac:dyDescent="0.25">
      <c r="A4969" s="7">
        <v>3</v>
      </c>
      <c r="B4969" s="8">
        <v>43743</v>
      </c>
      <c r="C4969" s="9" t="s">
        <v>3</v>
      </c>
      <c r="D4969" s="10">
        <v>0</v>
      </c>
      <c r="E4969" s="10">
        <v>0</v>
      </c>
      <c r="F4969" t="str">
        <f>VLOOKUP(A4969,StoreLookup,2,FALSE)</f>
        <v>Store#3</v>
      </c>
      <c r="G4969">
        <f>INDEX(CalLookUpTable,MATCH($B4969,CalLookUpRow,0),MATCH(G$1,CalLookUpColumn,0))</f>
        <v>2019</v>
      </c>
      <c r="H4969">
        <f>INDEX(CalLookUpTable,MATCH($B4969,CalLookUpRow,0),MATCH(H$1,CalLookUpColumn,0))</f>
        <v>10</v>
      </c>
      <c r="I4969">
        <f>INDEX(CalLookUpTable,MATCH($B4969,CalLookUpRow,0),MATCH(I$1,CalLookUpColumn,0))</f>
        <v>1</v>
      </c>
    </row>
    <row r="4970" spans="1:9" x14ac:dyDescent="0.25">
      <c r="A4970" s="7">
        <v>3</v>
      </c>
      <c r="B4970" s="8">
        <v>43744</v>
      </c>
      <c r="C4970" s="9" t="s">
        <v>6</v>
      </c>
      <c r="D4970" s="10">
        <v>1194.0809999999999</v>
      </c>
      <c r="E4970" s="10">
        <v>1175.3559999999998</v>
      </c>
      <c r="F4970" t="str">
        <f>VLOOKUP(A4970,StoreLookup,2,FALSE)</f>
        <v>Store#3</v>
      </c>
      <c r="G4970">
        <f>INDEX(CalLookUpTable,MATCH($B4970,CalLookUpRow,0),MATCH(G$1,CalLookUpColumn,0))</f>
        <v>2019</v>
      </c>
      <c r="H4970">
        <f>INDEX(CalLookUpTable,MATCH($B4970,CalLookUpRow,0),MATCH(H$1,CalLookUpColumn,0))</f>
        <v>10</v>
      </c>
      <c r="I4970">
        <f>INDEX(CalLookUpTable,MATCH($B4970,CalLookUpRow,0),MATCH(I$1,CalLookUpColumn,0))</f>
        <v>1</v>
      </c>
    </row>
    <row r="4971" spans="1:9" x14ac:dyDescent="0.25">
      <c r="A4971" s="7">
        <v>3</v>
      </c>
      <c r="B4971" s="8">
        <v>43744</v>
      </c>
      <c r="C4971" s="9" t="s">
        <v>4</v>
      </c>
      <c r="D4971" s="10">
        <v>2881.991</v>
      </c>
      <c r="E4971" s="10">
        <v>4233.8450000000003</v>
      </c>
      <c r="F4971" t="str">
        <f>VLOOKUP(A4971,StoreLookup,2,FALSE)</f>
        <v>Store#3</v>
      </c>
      <c r="G4971">
        <f>INDEX(CalLookUpTable,MATCH($B4971,CalLookUpRow,0),MATCH(G$1,CalLookUpColumn,0))</f>
        <v>2019</v>
      </c>
      <c r="H4971">
        <f>INDEX(CalLookUpTable,MATCH($B4971,CalLookUpRow,0),MATCH(H$1,CalLookUpColumn,0))</f>
        <v>10</v>
      </c>
      <c r="I4971">
        <f>INDEX(CalLookUpTable,MATCH($B4971,CalLookUpRow,0),MATCH(I$1,CalLookUpColumn,0))</f>
        <v>1</v>
      </c>
    </row>
    <row r="4972" spans="1:9" x14ac:dyDescent="0.25">
      <c r="A4972" s="7">
        <v>3</v>
      </c>
      <c r="B4972" s="8">
        <v>43744</v>
      </c>
      <c r="C4972" s="9" t="s">
        <v>5</v>
      </c>
      <c r="D4972" s="10">
        <v>2652.4189999999999</v>
      </c>
      <c r="E4972" s="10">
        <v>2774.8419999999996</v>
      </c>
      <c r="F4972" t="str">
        <f>VLOOKUP(A4972,StoreLookup,2,FALSE)</f>
        <v>Store#3</v>
      </c>
      <c r="G4972">
        <f>INDEX(CalLookUpTable,MATCH($B4972,CalLookUpRow,0),MATCH(G$1,CalLookUpColumn,0))</f>
        <v>2019</v>
      </c>
      <c r="H4972">
        <f>INDEX(CalLookUpTable,MATCH($B4972,CalLookUpRow,0),MATCH(H$1,CalLookUpColumn,0))</f>
        <v>10</v>
      </c>
      <c r="I4972">
        <f>INDEX(CalLookUpTable,MATCH($B4972,CalLookUpRow,0),MATCH(I$1,CalLookUpColumn,0))</f>
        <v>1</v>
      </c>
    </row>
    <row r="4973" spans="1:9" x14ac:dyDescent="0.25">
      <c r="A4973" s="7">
        <v>3</v>
      </c>
      <c r="B4973" s="8">
        <v>43744</v>
      </c>
      <c r="C4973" s="9" t="s">
        <v>3</v>
      </c>
      <c r="D4973" s="10">
        <v>0</v>
      </c>
      <c r="E4973" s="10">
        <v>183.57499999999999</v>
      </c>
      <c r="F4973" t="str">
        <f>VLOOKUP(A4973,StoreLookup,2,FALSE)</f>
        <v>Store#3</v>
      </c>
      <c r="G4973">
        <f>INDEX(CalLookUpTable,MATCH($B4973,CalLookUpRow,0),MATCH(G$1,CalLookUpColumn,0))</f>
        <v>2019</v>
      </c>
      <c r="H4973">
        <f>INDEX(CalLookUpTable,MATCH($B4973,CalLookUpRow,0),MATCH(H$1,CalLookUpColumn,0))</f>
        <v>10</v>
      </c>
      <c r="I4973">
        <f>INDEX(CalLookUpTable,MATCH($B4973,CalLookUpRow,0),MATCH(I$1,CalLookUpColumn,0))</f>
        <v>1</v>
      </c>
    </row>
    <row r="4974" spans="1:9" x14ac:dyDescent="0.25">
      <c r="A4974" s="7">
        <v>3</v>
      </c>
      <c r="B4974" s="8">
        <v>43745</v>
      </c>
      <c r="C4974" s="9" t="s">
        <v>5</v>
      </c>
      <c r="D4974" s="10">
        <v>2625.6369999999997</v>
      </c>
      <c r="E4974" s="10">
        <v>3110.4009999999998</v>
      </c>
      <c r="F4974" t="str">
        <f>VLOOKUP(A4974,StoreLookup,2,FALSE)</f>
        <v>Store#3</v>
      </c>
      <c r="G4974">
        <f>INDEX(CalLookUpTable,MATCH($B4974,CalLookUpRow,0),MATCH(G$1,CalLookUpColumn,0))</f>
        <v>2019</v>
      </c>
      <c r="H4974">
        <f>INDEX(CalLookUpTable,MATCH($B4974,CalLookUpRow,0),MATCH(H$1,CalLookUpColumn,0))</f>
        <v>10</v>
      </c>
      <c r="I4974">
        <f>INDEX(CalLookUpTable,MATCH($B4974,CalLookUpRow,0),MATCH(I$1,CalLookUpColumn,0))</f>
        <v>2</v>
      </c>
    </row>
    <row r="4975" spans="1:9" x14ac:dyDescent="0.25">
      <c r="A4975" s="7">
        <v>3</v>
      </c>
      <c r="B4975" s="8">
        <v>43745</v>
      </c>
      <c r="C4975" s="9" t="s">
        <v>6</v>
      </c>
      <c r="D4975" s="10">
        <v>631.36500000000001</v>
      </c>
      <c r="E4975" s="10">
        <v>869.6099999999999</v>
      </c>
      <c r="F4975" t="str">
        <f>VLOOKUP(A4975,StoreLookup,2,FALSE)</f>
        <v>Store#3</v>
      </c>
      <c r="G4975">
        <f>INDEX(CalLookUpTable,MATCH($B4975,CalLookUpRow,0),MATCH(G$1,CalLookUpColumn,0))</f>
        <v>2019</v>
      </c>
      <c r="H4975">
        <f>INDEX(CalLookUpTable,MATCH($B4975,CalLookUpRow,0),MATCH(H$1,CalLookUpColumn,0))</f>
        <v>10</v>
      </c>
      <c r="I4975">
        <f>INDEX(CalLookUpTable,MATCH($B4975,CalLookUpRow,0),MATCH(I$1,CalLookUpColumn,0))</f>
        <v>2</v>
      </c>
    </row>
    <row r="4976" spans="1:9" x14ac:dyDescent="0.25">
      <c r="A4976" s="7">
        <v>3</v>
      </c>
      <c r="B4976" s="8">
        <v>43745</v>
      </c>
      <c r="C4976" s="9" t="s">
        <v>4</v>
      </c>
      <c r="D4976" s="10">
        <v>2644.3269999999998</v>
      </c>
      <c r="E4976" s="10">
        <v>4071.3329999999996</v>
      </c>
      <c r="F4976" t="str">
        <f>VLOOKUP(A4976,StoreLookup,2,FALSE)</f>
        <v>Store#3</v>
      </c>
      <c r="G4976">
        <f>INDEX(CalLookUpTable,MATCH($B4976,CalLookUpRow,0),MATCH(G$1,CalLookUpColumn,0))</f>
        <v>2019</v>
      </c>
      <c r="H4976">
        <f>INDEX(CalLookUpTable,MATCH($B4976,CalLookUpRow,0),MATCH(H$1,CalLookUpColumn,0))</f>
        <v>10</v>
      </c>
      <c r="I4976">
        <f>INDEX(CalLookUpTable,MATCH($B4976,CalLookUpRow,0),MATCH(I$1,CalLookUpColumn,0))</f>
        <v>2</v>
      </c>
    </row>
    <row r="4977" spans="1:9" x14ac:dyDescent="0.25">
      <c r="A4977" s="7">
        <v>3</v>
      </c>
      <c r="B4977" s="8">
        <v>43745</v>
      </c>
      <c r="C4977" s="9" t="s">
        <v>3</v>
      </c>
      <c r="D4977" s="10">
        <v>0</v>
      </c>
      <c r="E4977" s="10">
        <v>155.946</v>
      </c>
      <c r="F4977" t="str">
        <f>VLOOKUP(A4977,StoreLookup,2,FALSE)</f>
        <v>Store#3</v>
      </c>
      <c r="G4977">
        <f>INDEX(CalLookUpTable,MATCH($B4977,CalLookUpRow,0),MATCH(G$1,CalLookUpColumn,0))</f>
        <v>2019</v>
      </c>
      <c r="H4977">
        <f>INDEX(CalLookUpTable,MATCH($B4977,CalLookUpRow,0),MATCH(H$1,CalLookUpColumn,0))</f>
        <v>10</v>
      </c>
      <c r="I4977">
        <f>INDEX(CalLookUpTable,MATCH($B4977,CalLookUpRow,0),MATCH(I$1,CalLookUpColumn,0))</f>
        <v>2</v>
      </c>
    </row>
    <row r="4978" spans="1:9" x14ac:dyDescent="0.25">
      <c r="A4978" s="7">
        <v>3</v>
      </c>
      <c r="B4978" s="8">
        <v>43746</v>
      </c>
      <c r="C4978" s="9" t="s">
        <v>6</v>
      </c>
      <c r="D4978" s="10">
        <v>1153.9989999999998</v>
      </c>
      <c r="E4978" s="10">
        <v>640.58399999999995</v>
      </c>
      <c r="F4978" t="str">
        <f>VLOOKUP(A4978,StoreLookup,2,FALSE)</f>
        <v>Store#3</v>
      </c>
      <c r="G4978">
        <f>INDEX(CalLookUpTable,MATCH($B4978,CalLookUpRow,0),MATCH(G$1,CalLookUpColumn,0))</f>
        <v>2019</v>
      </c>
      <c r="H4978">
        <f>INDEX(CalLookUpTable,MATCH($B4978,CalLookUpRow,0),MATCH(H$1,CalLookUpColumn,0))</f>
        <v>10</v>
      </c>
      <c r="I4978">
        <f>INDEX(CalLookUpTable,MATCH($B4978,CalLookUpRow,0),MATCH(I$1,CalLookUpColumn,0))</f>
        <v>2</v>
      </c>
    </row>
    <row r="4979" spans="1:9" x14ac:dyDescent="0.25">
      <c r="A4979" s="7">
        <v>3</v>
      </c>
      <c r="B4979" s="8">
        <v>43746</v>
      </c>
      <c r="C4979" s="9" t="s">
        <v>3</v>
      </c>
      <c r="D4979" s="10">
        <v>0</v>
      </c>
      <c r="E4979" s="10">
        <v>383.166</v>
      </c>
      <c r="F4979" t="str">
        <f>VLOOKUP(A4979,StoreLookup,2,FALSE)</f>
        <v>Store#3</v>
      </c>
      <c r="G4979">
        <f>INDEX(CalLookUpTable,MATCH($B4979,CalLookUpRow,0),MATCH(G$1,CalLookUpColumn,0))</f>
        <v>2019</v>
      </c>
      <c r="H4979">
        <f>INDEX(CalLookUpTable,MATCH($B4979,CalLookUpRow,0),MATCH(H$1,CalLookUpColumn,0))</f>
        <v>10</v>
      </c>
      <c r="I4979">
        <f>INDEX(CalLookUpTable,MATCH($B4979,CalLookUpRow,0),MATCH(I$1,CalLookUpColumn,0))</f>
        <v>2</v>
      </c>
    </row>
    <row r="4980" spans="1:9" x14ac:dyDescent="0.25">
      <c r="A4980" s="7">
        <v>3</v>
      </c>
      <c r="B4980" s="8">
        <v>43746</v>
      </c>
      <c r="C4980" s="9" t="s">
        <v>4</v>
      </c>
      <c r="D4980" s="10">
        <v>2701.8879999999999</v>
      </c>
      <c r="E4980" s="10">
        <v>3600.31</v>
      </c>
      <c r="F4980" t="str">
        <f>VLOOKUP(A4980,StoreLookup,2,FALSE)</f>
        <v>Store#3</v>
      </c>
      <c r="G4980">
        <f>INDEX(CalLookUpTable,MATCH($B4980,CalLookUpRow,0),MATCH(G$1,CalLookUpColumn,0))</f>
        <v>2019</v>
      </c>
      <c r="H4980">
        <f>INDEX(CalLookUpTable,MATCH($B4980,CalLookUpRow,0),MATCH(H$1,CalLookUpColumn,0))</f>
        <v>10</v>
      </c>
      <c r="I4980">
        <f>INDEX(CalLookUpTable,MATCH($B4980,CalLookUpRow,0),MATCH(I$1,CalLookUpColumn,0))</f>
        <v>2</v>
      </c>
    </row>
    <row r="4981" spans="1:9" x14ac:dyDescent="0.25">
      <c r="A4981" s="7">
        <v>3</v>
      </c>
      <c r="B4981" s="8">
        <v>43746</v>
      </c>
      <c r="C4981" s="9" t="s">
        <v>5</v>
      </c>
      <c r="D4981" s="10">
        <v>3015.3339999999998</v>
      </c>
      <c r="E4981" s="10">
        <v>2828.6929999999998</v>
      </c>
      <c r="F4981" t="str">
        <f>VLOOKUP(A4981,StoreLookup,2,FALSE)</f>
        <v>Store#3</v>
      </c>
      <c r="G4981">
        <f>INDEX(CalLookUpTable,MATCH($B4981,CalLookUpRow,0),MATCH(G$1,CalLookUpColumn,0))</f>
        <v>2019</v>
      </c>
      <c r="H4981">
        <f>INDEX(CalLookUpTable,MATCH($B4981,CalLookUpRow,0),MATCH(H$1,CalLookUpColumn,0))</f>
        <v>10</v>
      </c>
      <c r="I4981">
        <f>INDEX(CalLookUpTable,MATCH($B4981,CalLookUpRow,0),MATCH(I$1,CalLookUpColumn,0))</f>
        <v>2</v>
      </c>
    </row>
    <row r="4982" spans="1:9" x14ac:dyDescent="0.25">
      <c r="A4982" s="7">
        <v>3</v>
      </c>
      <c r="B4982" s="8">
        <v>43747</v>
      </c>
      <c r="C4982" s="9" t="s">
        <v>6</v>
      </c>
      <c r="D4982" s="10">
        <v>668.92</v>
      </c>
      <c r="E4982" s="10">
        <v>897.77099999999996</v>
      </c>
      <c r="F4982" t="str">
        <f>VLOOKUP(A4982,StoreLookup,2,FALSE)</f>
        <v>Store#3</v>
      </c>
      <c r="G4982">
        <f>INDEX(CalLookUpTable,MATCH($B4982,CalLookUpRow,0),MATCH(G$1,CalLookUpColumn,0))</f>
        <v>2019</v>
      </c>
      <c r="H4982">
        <f>INDEX(CalLookUpTable,MATCH($B4982,CalLookUpRow,0),MATCH(H$1,CalLookUpColumn,0))</f>
        <v>10</v>
      </c>
      <c r="I4982">
        <f>INDEX(CalLookUpTable,MATCH($B4982,CalLookUpRow,0),MATCH(I$1,CalLookUpColumn,0))</f>
        <v>2</v>
      </c>
    </row>
    <row r="4983" spans="1:9" x14ac:dyDescent="0.25">
      <c r="A4983" s="7">
        <v>3</v>
      </c>
      <c r="B4983" s="8">
        <v>43747</v>
      </c>
      <c r="C4983" s="9" t="s">
        <v>4</v>
      </c>
      <c r="D4983" s="10">
        <v>3005.9609999999993</v>
      </c>
      <c r="E4983" s="10">
        <v>3930.4929999999995</v>
      </c>
      <c r="F4983" t="str">
        <f>VLOOKUP(A4983,StoreLookup,2,FALSE)</f>
        <v>Store#3</v>
      </c>
      <c r="G4983">
        <f>INDEX(CalLookUpTable,MATCH($B4983,CalLookUpRow,0),MATCH(G$1,CalLookUpColumn,0))</f>
        <v>2019</v>
      </c>
      <c r="H4983">
        <f>INDEX(CalLookUpTable,MATCH($B4983,CalLookUpRow,0),MATCH(H$1,CalLookUpColumn,0))</f>
        <v>10</v>
      </c>
      <c r="I4983">
        <f>INDEX(CalLookUpTable,MATCH($B4983,CalLookUpRow,0),MATCH(I$1,CalLookUpColumn,0))</f>
        <v>2</v>
      </c>
    </row>
    <row r="4984" spans="1:9" x14ac:dyDescent="0.25">
      <c r="A4984" s="7">
        <v>3</v>
      </c>
      <c r="B4984" s="8">
        <v>43747</v>
      </c>
      <c r="C4984" s="9" t="s">
        <v>3</v>
      </c>
      <c r="D4984" s="10">
        <v>0</v>
      </c>
      <c r="E4984" s="10">
        <v>0</v>
      </c>
      <c r="F4984" t="str">
        <f>VLOOKUP(A4984,StoreLookup,2,FALSE)</f>
        <v>Store#3</v>
      </c>
      <c r="G4984">
        <f>INDEX(CalLookUpTable,MATCH($B4984,CalLookUpRow,0),MATCH(G$1,CalLookUpColumn,0))</f>
        <v>2019</v>
      </c>
      <c r="H4984">
        <f>INDEX(CalLookUpTable,MATCH($B4984,CalLookUpRow,0),MATCH(H$1,CalLookUpColumn,0))</f>
        <v>10</v>
      </c>
      <c r="I4984">
        <f>INDEX(CalLookUpTable,MATCH($B4984,CalLookUpRow,0),MATCH(I$1,CalLookUpColumn,0))</f>
        <v>2</v>
      </c>
    </row>
    <row r="4985" spans="1:9" x14ac:dyDescent="0.25">
      <c r="A4985" s="7">
        <v>3</v>
      </c>
      <c r="B4985" s="8">
        <v>43747</v>
      </c>
      <c r="C4985" s="9" t="s">
        <v>5</v>
      </c>
      <c r="D4985" s="10">
        <v>2916.7950000000001</v>
      </c>
      <c r="E4985" s="10">
        <v>2935.9189999999999</v>
      </c>
      <c r="F4985" t="str">
        <f>VLOOKUP(A4985,StoreLookup,2,FALSE)</f>
        <v>Store#3</v>
      </c>
      <c r="G4985">
        <f>INDEX(CalLookUpTable,MATCH($B4985,CalLookUpRow,0),MATCH(G$1,CalLookUpColumn,0))</f>
        <v>2019</v>
      </c>
      <c r="H4985">
        <f>INDEX(CalLookUpTable,MATCH($B4985,CalLookUpRow,0),MATCH(H$1,CalLookUpColumn,0))</f>
        <v>10</v>
      </c>
      <c r="I4985">
        <f>INDEX(CalLookUpTable,MATCH($B4985,CalLookUpRow,0),MATCH(I$1,CalLookUpColumn,0))</f>
        <v>2</v>
      </c>
    </row>
    <row r="4986" spans="1:9" x14ac:dyDescent="0.25">
      <c r="A4986" s="7">
        <v>3</v>
      </c>
      <c r="B4986" s="8">
        <v>43748</v>
      </c>
      <c r="C4986" s="9" t="s">
        <v>3</v>
      </c>
      <c r="D4986" s="10">
        <v>101.61899999999999</v>
      </c>
      <c r="E4986" s="10">
        <v>249.66200000000001</v>
      </c>
      <c r="F4986" t="str">
        <f>VLOOKUP(A4986,StoreLookup,2,FALSE)</f>
        <v>Store#3</v>
      </c>
      <c r="G4986">
        <f>INDEX(CalLookUpTable,MATCH($B4986,CalLookUpRow,0),MATCH(G$1,CalLookUpColumn,0))</f>
        <v>2019</v>
      </c>
      <c r="H4986">
        <f>INDEX(CalLookUpTable,MATCH($B4986,CalLookUpRow,0),MATCH(H$1,CalLookUpColumn,0))</f>
        <v>10</v>
      </c>
      <c r="I4986">
        <f>INDEX(CalLookUpTable,MATCH($B4986,CalLookUpRow,0),MATCH(I$1,CalLookUpColumn,0))</f>
        <v>2</v>
      </c>
    </row>
    <row r="4987" spans="1:9" x14ac:dyDescent="0.25">
      <c r="A4987" s="7">
        <v>3</v>
      </c>
      <c r="B4987" s="8">
        <v>43748</v>
      </c>
      <c r="C4987" s="9" t="s">
        <v>5</v>
      </c>
      <c r="D4987" s="10">
        <v>3345.9019999999996</v>
      </c>
      <c r="E4987" s="10">
        <v>3116.029</v>
      </c>
      <c r="F4987" t="str">
        <f>VLOOKUP(A4987,StoreLookup,2,FALSE)</f>
        <v>Store#3</v>
      </c>
      <c r="G4987">
        <f>INDEX(CalLookUpTable,MATCH($B4987,CalLookUpRow,0),MATCH(G$1,CalLookUpColumn,0))</f>
        <v>2019</v>
      </c>
      <c r="H4987">
        <f>INDEX(CalLookUpTable,MATCH($B4987,CalLookUpRow,0),MATCH(H$1,CalLookUpColumn,0))</f>
        <v>10</v>
      </c>
      <c r="I4987">
        <f>INDEX(CalLookUpTable,MATCH($B4987,CalLookUpRow,0),MATCH(I$1,CalLookUpColumn,0))</f>
        <v>2</v>
      </c>
    </row>
    <row r="4988" spans="1:9" x14ac:dyDescent="0.25">
      <c r="A4988" s="7">
        <v>3</v>
      </c>
      <c r="B4988" s="8">
        <v>43748</v>
      </c>
      <c r="C4988" s="9" t="s">
        <v>6</v>
      </c>
      <c r="D4988" s="10">
        <v>1515.6609999999998</v>
      </c>
      <c r="E4988" s="10">
        <v>1178.079</v>
      </c>
      <c r="F4988" t="str">
        <f>VLOOKUP(A4988,StoreLookup,2,FALSE)</f>
        <v>Store#3</v>
      </c>
      <c r="G4988">
        <f>INDEX(CalLookUpTable,MATCH($B4988,CalLookUpRow,0),MATCH(G$1,CalLookUpColumn,0))</f>
        <v>2019</v>
      </c>
      <c r="H4988">
        <f>INDEX(CalLookUpTable,MATCH($B4988,CalLookUpRow,0),MATCH(H$1,CalLookUpColumn,0))</f>
        <v>10</v>
      </c>
      <c r="I4988">
        <f>INDEX(CalLookUpTable,MATCH($B4988,CalLookUpRow,0),MATCH(I$1,CalLookUpColumn,0))</f>
        <v>2</v>
      </c>
    </row>
    <row r="4989" spans="1:9" x14ac:dyDescent="0.25">
      <c r="A4989" s="7">
        <v>3</v>
      </c>
      <c r="B4989" s="8">
        <v>43748</v>
      </c>
      <c r="C4989" s="9" t="s">
        <v>4</v>
      </c>
      <c r="D4989" s="10">
        <v>2889.7539999999999</v>
      </c>
      <c r="E4989" s="10">
        <v>3636.2549999999997</v>
      </c>
      <c r="F4989" t="str">
        <f>VLOOKUP(A4989,StoreLookup,2,FALSE)</f>
        <v>Store#3</v>
      </c>
      <c r="G4989">
        <f>INDEX(CalLookUpTable,MATCH($B4989,CalLookUpRow,0),MATCH(G$1,CalLookUpColumn,0))</f>
        <v>2019</v>
      </c>
      <c r="H4989">
        <f>INDEX(CalLookUpTable,MATCH($B4989,CalLookUpRow,0),MATCH(H$1,CalLookUpColumn,0))</f>
        <v>10</v>
      </c>
      <c r="I4989">
        <f>INDEX(CalLookUpTable,MATCH($B4989,CalLookUpRow,0),MATCH(I$1,CalLookUpColumn,0))</f>
        <v>2</v>
      </c>
    </row>
    <row r="4990" spans="1:9" x14ac:dyDescent="0.25">
      <c r="A4990" s="7">
        <v>3</v>
      </c>
      <c r="B4990" s="8">
        <v>43749</v>
      </c>
      <c r="C4990" s="9" t="s">
        <v>4</v>
      </c>
      <c r="D4990" s="10">
        <v>3502.366</v>
      </c>
      <c r="E4990" s="10">
        <v>5323.6329999999998</v>
      </c>
      <c r="F4990" t="str">
        <f>VLOOKUP(A4990,StoreLookup,2,FALSE)</f>
        <v>Store#3</v>
      </c>
      <c r="G4990">
        <f>INDEX(CalLookUpTable,MATCH($B4990,CalLookUpRow,0),MATCH(G$1,CalLookUpColumn,0))</f>
        <v>2019</v>
      </c>
      <c r="H4990">
        <f>INDEX(CalLookUpTable,MATCH($B4990,CalLookUpRow,0),MATCH(H$1,CalLookUpColumn,0))</f>
        <v>10</v>
      </c>
      <c r="I4990">
        <f>INDEX(CalLookUpTable,MATCH($B4990,CalLookUpRow,0),MATCH(I$1,CalLookUpColumn,0))</f>
        <v>2</v>
      </c>
    </row>
    <row r="4991" spans="1:9" x14ac:dyDescent="0.25">
      <c r="A4991" s="7">
        <v>3</v>
      </c>
      <c r="B4991" s="8">
        <v>43749</v>
      </c>
      <c r="C4991" s="9" t="s">
        <v>5</v>
      </c>
      <c r="D4991" s="10">
        <v>3361.82</v>
      </c>
      <c r="E4991" s="10">
        <v>3482.0659999999998</v>
      </c>
      <c r="F4991" t="str">
        <f>VLOOKUP(A4991,StoreLookup,2,FALSE)</f>
        <v>Store#3</v>
      </c>
      <c r="G4991">
        <f>INDEX(CalLookUpTable,MATCH($B4991,CalLookUpRow,0),MATCH(G$1,CalLookUpColumn,0))</f>
        <v>2019</v>
      </c>
      <c r="H4991">
        <f>INDEX(CalLookUpTable,MATCH($B4991,CalLookUpRow,0),MATCH(H$1,CalLookUpColumn,0))</f>
        <v>10</v>
      </c>
      <c r="I4991">
        <f>INDEX(CalLookUpTable,MATCH($B4991,CalLookUpRow,0),MATCH(I$1,CalLookUpColumn,0))</f>
        <v>2</v>
      </c>
    </row>
    <row r="4992" spans="1:9" x14ac:dyDescent="0.25">
      <c r="A4992" s="7">
        <v>3</v>
      </c>
      <c r="B4992" s="8">
        <v>43749</v>
      </c>
      <c r="C4992" s="9" t="s">
        <v>6</v>
      </c>
      <c r="D4992" s="10">
        <v>1614.0529999999999</v>
      </c>
      <c r="E4992" s="10">
        <v>1446.655</v>
      </c>
      <c r="F4992" t="str">
        <f>VLOOKUP(A4992,StoreLookup,2,FALSE)</f>
        <v>Store#3</v>
      </c>
      <c r="G4992">
        <f>INDEX(CalLookUpTable,MATCH($B4992,CalLookUpRow,0),MATCH(G$1,CalLookUpColumn,0))</f>
        <v>2019</v>
      </c>
      <c r="H4992">
        <f>INDEX(CalLookUpTable,MATCH($B4992,CalLookUpRow,0),MATCH(H$1,CalLookUpColumn,0))</f>
        <v>10</v>
      </c>
      <c r="I4992">
        <f>INDEX(CalLookUpTable,MATCH($B4992,CalLookUpRow,0),MATCH(I$1,CalLookUpColumn,0))</f>
        <v>2</v>
      </c>
    </row>
    <row r="4993" spans="1:9" x14ac:dyDescent="0.25">
      <c r="A4993" s="7">
        <v>3</v>
      </c>
      <c r="B4993" s="8">
        <v>43749</v>
      </c>
      <c r="C4993" s="9" t="s">
        <v>3</v>
      </c>
      <c r="D4993" s="10">
        <v>46.591999999999999</v>
      </c>
      <c r="E4993" s="10">
        <v>155.946</v>
      </c>
      <c r="F4993" t="str">
        <f>VLOOKUP(A4993,StoreLookup,2,FALSE)</f>
        <v>Store#3</v>
      </c>
      <c r="G4993">
        <f>INDEX(CalLookUpTable,MATCH($B4993,CalLookUpRow,0),MATCH(G$1,CalLookUpColumn,0))</f>
        <v>2019</v>
      </c>
      <c r="H4993">
        <f>INDEX(CalLookUpTable,MATCH($B4993,CalLookUpRow,0),MATCH(H$1,CalLookUpColumn,0))</f>
        <v>10</v>
      </c>
      <c r="I4993">
        <f>INDEX(CalLookUpTable,MATCH($B4993,CalLookUpRow,0),MATCH(I$1,CalLookUpColumn,0))</f>
        <v>2</v>
      </c>
    </row>
    <row r="4994" spans="1:9" x14ac:dyDescent="0.25">
      <c r="A4994" s="7">
        <v>3</v>
      </c>
      <c r="B4994" s="8">
        <v>43750</v>
      </c>
      <c r="C4994" s="9" t="s">
        <v>6</v>
      </c>
      <c r="D4994" s="10">
        <v>1627.0940000000001</v>
      </c>
      <c r="E4994" s="10">
        <v>1256.549</v>
      </c>
      <c r="F4994" t="str">
        <f>VLOOKUP(A4994,StoreLookup,2,FALSE)</f>
        <v>Store#3</v>
      </c>
      <c r="G4994">
        <f>INDEX(CalLookUpTable,MATCH($B4994,CalLookUpRow,0),MATCH(G$1,CalLookUpColumn,0))</f>
        <v>2019</v>
      </c>
      <c r="H4994">
        <f>INDEX(CalLookUpTable,MATCH($B4994,CalLookUpRow,0),MATCH(H$1,CalLookUpColumn,0))</f>
        <v>10</v>
      </c>
      <c r="I4994">
        <f>INDEX(CalLookUpTable,MATCH($B4994,CalLookUpRow,0),MATCH(I$1,CalLookUpColumn,0))</f>
        <v>2</v>
      </c>
    </row>
    <row r="4995" spans="1:9" x14ac:dyDescent="0.25">
      <c r="A4995" s="7">
        <v>3</v>
      </c>
      <c r="B4995" s="8">
        <v>43750</v>
      </c>
      <c r="C4995" s="9" t="s">
        <v>3</v>
      </c>
      <c r="D4995" s="10">
        <v>222.208</v>
      </c>
      <c r="E4995" s="10">
        <v>0</v>
      </c>
      <c r="F4995" t="str">
        <f>VLOOKUP(A4995,StoreLookup,2,FALSE)</f>
        <v>Store#3</v>
      </c>
      <c r="G4995">
        <f>INDEX(CalLookUpTable,MATCH($B4995,CalLookUpRow,0),MATCH(G$1,CalLookUpColumn,0))</f>
        <v>2019</v>
      </c>
      <c r="H4995">
        <f>INDEX(CalLookUpTable,MATCH($B4995,CalLookUpRow,0),MATCH(H$1,CalLookUpColumn,0))</f>
        <v>10</v>
      </c>
      <c r="I4995">
        <f>INDEX(CalLookUpTable,MATCH($B4995,CalLookUpRow,0),MATCH(I$1,CalLookUpColumn,0))</f>
        <v>2</v>
      </c>
    </row>
    <row r="4996" spans="1:9" x14ac:dyDescent="0.25">
      <c r="A4996" s="7">
        <v>3</v>
      </c>
      <c r="B4996" s="8">
        <v>43750</v>
      </c>
      <c r="C4996" s="9" t="s">
        <v>4</v>
      </c>
      <c r="D4996" s="10">
        <v>3952.9839999999995</v>
      </c>
      <c r="E4996" s="10">
        <v>4548.8450000000003</v>
      </c>
      <c r="F4996" t="str">
        <f>VLOOKUP(A4996,StoreLookup,2,FALSE)</f>
        <v>Store#3</v>
      </c>
      <c r="G4996">
        <f>INDEX(CalLookUpTable,MATCH($B4996,CalLookUpRow,0),MATCH(G$1,CalLookUpColumn,0))</f>
        <v>2019</v>
      </c>
      <c r="H4996">
        <f>INDEX(CalLookUpTable,MATCH($B4996,CalLookUpRow,0),MATCH(H$1,CalLookUpColumn,0))</f>
        <v>10</v>
      </c>
      <c r="I4996">
        <f>INDEX(CalLookUpTable,MATCH($B4996,CalLookUpRow,0),MATCH(I$1,CalLookUpColumn,0))</f>
        <v>2</v>
      </c>
    </row>
    <row r="4997" spans="1:9" x14ac:dyDescent="0.25">
      <c r="A4997" s="7">
        <v>3</v>
      </c>
      <c r="B4997" s="8">
        <v>43750</v>
      </c>
      <c r="C4997" s="9" t="s">
        <v>5</v>
      </c>
      <c r="D4997" s="10">
        <v>3112.3119999999999</v>
      </c>
      <c r="E4997" s="10">
        <v>3523.2890000000002</v>
      </c>
      <c r="F4997" t="str">
        <f>VLOOKUP(A4997,StoreLookup,2,FALSE)</f>
        <v>Store#3</v>
      </c>
      <c r="G4997">
        <f>INDEX(CalLookUpTable,MATCH($B4997,CalLookUpRow,0),MATCH(G$1,CalLookUpColumn,0))</f>
        <v>2019</v>
      </c>
      <c r="H4997">
        <f>INDEX(CalLookUpTable,MATCH($B4997,CalLookUpRow,0),MATCH(H$1,CalLookUpColumn,0))</f>
        <v>10</v>
      </c>
      <c r="I4997">
        <f>INDEX(CalLookUpTable,MATCH($B4997,CalLookUpRow,0),MATCH(I$1,CalLookUpColumn,0))</f>
        <v>2</v>
      </c>
    </row>
    <row r="4998" spans="1:9" x14ac:dyDescent="0.25">
      <c r="A4998" s="7">
        <v>3</v>
      </c>
      <c r="B4998" s="8">
        <v>43751</v>
      </c>
      <c r="C4998" s="9" t="s">
        <v>6</v>
      </c>
      <c r="D4998" s="10">
        <v>1111.04</v>
      </c>
      <c r="E4998" s="10">
        <v>686.14699999999993</v>
      </c>
      <c r="F4998" t="str">
        <f>VLOOKUP(A4998,StoreLookup,2,FALSE)</f>
        <v>Store#3</v>
      </c>
      <c r="G4998">
        <f>INDEX(CalLookUpTable,MATCH($B4998,CalLookUpRow,0),MATCH(G$1,CalLookUpColumn,0))</f>
        <v>2019</v>
      </c>
      <c r="H4998">
        <f>INDEX(CalLookUpTable,MATCH($B4998,CalLookUpRow,0),MATCH(H$1,CalLookUpColumn,0))</f>
        <v>10</v>
      </c>
      <c r="I4998">
        <f>INDEX(CalLookUpTable,MATCH($B4998,CalLookUpRow,0),MATCH(I$1,CalLookUpColumn,0))</f>
        <v>2</v>
      </c>
    </row>
    <row r="4999" spans="1:9" x14ac:dyDescent="0.25">
      <c r="A4999" s="7">
        <v>3</v>
      </c>
      <c r="B4999" s="8">
        <v>43751</v>
      </c>
      <c r="C4999" s="9" t="s">
        <v>4</v>
      </c>
      <c r="D4999" s="10">
        <v>2243.0029999999997</v>
      </c>
      <c r="E4999" s="10">
        <v>2865.9960000000001</v>
      </c>
      <c r="F4999" t="str">
        <f>VLOOKUP(A4999,StoreLookup,2,FALSE)</f>
        <v>Store#3</v>
      </c>
      <c r="G4999">
        <f>INDEX(CalLookUpTable,MATCH($B4999,CalLookUpRow,0),MATCH(G$1,CalLookUpColumn,0))</f>
        <v>2019</v>
      </c>
      <c r="H4999">
        <f>INDEX(CalLookUpTable,MATCH($B4999,CalLookUpRow,0),MATCH(H$1,CalLookUpColumn,0))</f>
        <v>10</v>
      </c>
      <c r="I4999">
        <f>INDEX(CalLookUpTable,MATCH($B4999,CalLookUpRow,0),MATCH(I$1,CalLookUpColumn,0))</f>
        <v>2</v>
      </c>
    </row>
    <row r="5000" spans="1:9" x14ac:dyDescent="0.25">
      <c r="A5000" s="7">
        <v>3</v>
      </c>
      <c r="B5000" s="8">
        <v>43751</v>
      </c>
      <c r="C5000" s="9" t="s">
        <v>3</v>
      </c>
      <c r="D5000" s="10">
        <v>0</v>
      </c>
      <c r="E5000" s="10">
        <v>166.096</v>
      </c>
      <c r="F5000" t="str">
        <f>VLOOKUP(A5000,StoreLookup,2,FALSE)</f>
        <v>Store#3</v>
      </c>
      <c r="G5000">
        <f>INDEX(CalLookUpTable,MATCH($B5000,CalLookUpRow,0),MATCH(G$1,CalLookUpColumn,0))</f>
        <v>2019</v>
      </c>
      <c r="H5000">
        <f>INDEX(CalLookUpTable,MATCH($B5000,CalLookUpRow,0),MATCH(H$1,CalLookUpColumn,0))</f>
        <v>10</v>
      </c>
      <c r="I5000">
        <f>INDEX(CalLookUpTable,MATCH($B5000,CalLookUpRow,0),MATCH(I$1,CalLookUpColumn,0))</f>
        <v>2</v>
      </c>
    </row>
    <row r="5001" spans="1:9" x14ac:dyDescent="0.25">
      <c r="A5001" s="7">
        <v>3</v>
      </c>
      <c r="B5001" s="8">
        <v>43751</v>
      </c>
      <c r="C5001" s="9" t="s">
        <v>5</v>
      </c>
      <c r="D5001" s="10">
        <v>2412.732</v>
      </c>
      <c r="E5001" s="10">
        <v>2442.8809999999999</v>
      </c>
      <c r="F5001" t="str">
        <f>VLOOKUP(A5001,StoreLookup,2,FALSE)</f>
        <v>Store#3</v>
      </c>
      <c r="G5001">
        <f>INDEX(CalLookUpTable,MATCH($B5001,CalLookUpRow,0),MATCH(G$1,CalLookUpColumn,0))</f>
        <v>2019</v>
      </c>
      <c r="H5001">
        <f>INDEX(CalLookUpTable,MATCH($B5001,CalLookUpRow,0),MATCH(H$1,CalLookUpColumn,0))</f>
        <v>10</v>
      </c>
      <c r="I5001">
        <f>INDEX(CalLookUpTable,MATCH($B5001,CalLookUpRow,0),MATCH(I$1,CalLookUpColumn,0))</f>
        <v>2</v>
      </c>
    </row>
    <row r="5002" spans="1:9" x14ac:dyDescent="0.25">
      <c r="A5002" s="7">
        <v>3</v>
      </c>
      <c r="B5002" s="8">
        <v>43752</v>
      </c>
      <c r="C5002" s="9" t="s">
        <v>3</v>
      </c>
      <c r="D5002" s="10">
        <v>0</v>
      </c>
      <c r="E5002" s="10">
        <v>171.297</v>
      </c>
      <c r="F5002" t="str">
        <f>VLOOKUP(A5002,StoreLookup,2,FALSE)</f>
        <v>Store#3</v>
      </c>
      <c r="G5002">
        <f>INDEX(CalLookUpTable,MATCH($B5002,CalLookUpRow,0),MATCH(G$1,CalLookUpColumn,0))</f>
        <v>2019</v>
      </c>
      <c r="H5002">
        <f>INDEX(CalLookUpTable,MATCH($B5002,CalLookUpRow,0),MATCH(H$1,CalLookUpColumn,0))</f>
        <v>10</v>
      </c>
      <c r="I5002">
        <f>INDEX(CalLookUpTable,MATCH($B5002,CalLookUpRow,0),MATCH(I$1,CalLookUpColumn,0))</f>
        <v>3</v>
      </c>
    </row>
    <row r="5003" spans="1:9" x14ac:dyDescent="0.25">
      <c r="A5003" s="7">
        <v>3</v>
      </c>
      <c r="B5003" s="8">
        <v>43752</v>
      </c>
      <c r="C5003" s="9" t="s">
        <v>5</v>
      </c>
      <c r="D5003" s="10">
        <v>2947.2309999999998</v>
      </c>
      <c r="E5003" s="10">
        <v>3014.3329999999996</v>
      </c>
      <c r="F5003" t="str">
        <f>VLOOKUP(A5003,StoreLookup,2,FALSE)</f>
        <v>Store#3</v>
      </c>
      <c r="G5003">
        <f>INDEX(CalLookUpTable,MATCH($B5003,CalLookUpRow,0),MATCH(G$1,CalLookUpColumn,0))</f>
        <v>2019</v>
      </c>
      <c r="H5003">
        <f>INDEX(CalLookUpTable,MATCH($B5003,CalLookUpRow,0),MATCH(H$1,CalLookUpColumn,0))</f>
        <v>10</v>
      </c>
      <c r="I5003">
        <f>INDEX(CalLookUpTable,MATCH($B5003,CalLookUpRow,0),MATCH(I$1,CalLookUpColumn,0))</f>
        <v>3</v>
      </c>
    </row>
    <row r="5004" spans="1:9" x14ac:dyDescent="0.25">
      <c r="A5004" s="7">
        <v>3</v>
      </c>
      <c r="B5004" s="8">
        <v>43752</v>
      </c>
      <c r="C5004" s="9" t="s">
        <v>6</v>
      </c>
      <c r="D5004" s="10">
        <v>1292.55</v>
      </c>
      <c r="E5004" s="10">
        <v>1109.5139999999999</v>
      </c>
      <c r="F5004" t="str">
        <f>VLOOKUP(A5004,StoreLookup,2,FALSE)</f>
        <v>Store#3</v>
      </c>
      <c r="G5004">
        <f>INDEX(CalLookUpTable,MATCH($B5004,CalLookUpRow,0),MATCH(G$1,CalLookUpColumn,0))</f>
        <v>2019</v>
      </c>
      <c r="H5004">
        <f>INDEX(CalLookUpTable,MATCH($B5004,CalLookUpRow,0),MATCH(H$1,CalLookUpColumn,0))</f>
        <v>10</v>
      </c>
      <c r="I5004">
        <f>INDEX(CalLookUpTable,MATCH($B5004,CalLookUpRow,0),MATCH(I$1,CalLookUpColumn,0))</f>
        <v>3</v>
      </c>
    </row>
    <row r="5005" spans="1:9" x14ac:dyDescent="0.25">
      <c r="A5005" s="7">
        <v>3</v>
      </c>
      <c r="B5005" s="8">
        <v>43752</v>
      </c>
      <c r="C5005" s="9" t="s">
        <v>4</v>
      </c>
      <c r="D5005" s="10">
        <v>2888.578</v>
      </c>
      <c r="E5005" s="10">
        <v>3687.201</v>
      </c>
      <c r="F5005" t="str">
        <f>VLOOKUP(A5005,StoreLookup,2,FALSE)</f>
        <v>Store#3</v>
      </c>
      <c r="G5005">
        <f>INDEX(CalLookUpTable,MATCH($B5005,CalLookUpRow,0),MATCH(G$1,CalLookUpColumn,0))</f>
        <v>2019</v>
      </c>
      <c r="H5005">
        <f>INDEX(CalLookUpTable,MATCH($B5005,CalLookUpRow,0),MATCH(H$1,CalLookUpColumn,0))</f>
        <v>10</v>
      </c>
      <c r="I5005">
        <f>INDEX(CalLookUpTable,MATCH($B5005,CalLookUpRow,0),MATCH(I$1,CalLookUpColumn,0))</f>
        <v>3</v>
      </c>
    </row>
    <row r="5006" spans="1:9" x14ac:dyDescent="0.25">
      <c r="A5006" s="7">
        <v>3</v>
      </c>
      <c r="B5006" s="8">
        <v>43753</v>
      </c>
      <c r="C5006" s="9" t="s">
        <v>6</v>
      </c>
      <c r="D5006" s="10">
        <v>711.91399999999999</v>
      </c>
      <c r="E5006" s="10">
        <v>1020.9639999999999</v>
      </c>
      <c r="F5006" t="str">
        <f>VLOOKUP(A5006,StoreLookup,2,FALSE)</f>
        <v>Store#3</v>
      </c>
      <c r="G5006">
        <f>INDEX(CalLookUpTable,MATCH($B5006,CalLookUpRow,0),MATCH(G$1,CalLookUpColumn,0))</f>
        <v>2019</v>
      </c>
      <c r="H5006">
        <f>INDEX(CalLookUpTable,MATCH($B5006,CalLookUpRow,0),MATCH(H$1,CalLookUpColumn,0))</f>
        <v>10</v>
      </c>
      <c r="I5006">
        <f>INDEX(CalLookUpTable,MATCH($B5006,CalLookUpRow,0),MATCH(I$1,CalLookUpColumn,0))</f>
        <v>3</v>
      </c>
    </row>
    <row r="5007" spans="1:9" x14ac:dyDescent="0.25">
      <c r="A5007" s="7">
        <v>3</v>
      </c>
      <c r="B5007" s="8">
        <v>43753</v>
      </c>
      <c r="C5007" s="9" t="s">
        <v>4</v>
      </c>
      <c r="D5007" s="10">
        <v>2927.442</v>
      </c>
      <c r="E5007" s="10">
        <v>3645.0119999999997</v>
      </c>
      <c r="F5007" t="str">
        <f>VLOOKUP(A5007,StoreLookup,2,FALSE)</f>
        <v>Store#3</v>
      </c>
      <c r="G5007">
        <f>INDEX(CalLookUpTable,MATCH($B5007,CalLookUpRow,0),MATCH(G$1,CalLookUpColumn,0))</f>
        <v>2019</v>
      </c>
      <c r="H5007">
        <f>INDEX(CalLookUpTable,MATCH($B5007,CalLookUpRow,0),MATCH(H$1,CalLookUpColumn,0))</f>
        <v>10</v>
      </c>
      <c r="I5007">
        <f>INDEX(CalLookUpTable,MATCH($B5007,CalLookUpRow,0),MATCH(I$1,CalLookUpColumn,0))</f>
        <v>3</v>
      </c>
    </row>
    <row r="5008" spans="1:9" x14ac:dyDescent="0.25">
      <c r="A5008" s="7">
        <v>3</v>
      </c>
      <c r="B5008" s="8">
        <v>43753</v>
      </c>
      <c r="C5008" s="9" t="s">
        <v>3</v>
      </c>
      <c r="D5008" s="10">
        <v>0</v>
      </c>
      <c r="E5008" s="10">
        <v>0</v>
      </c>
      <c r="F5008" t="str">
        <f>VLOOKUP(A5008,StoreLookup,2,FALSE)</f>
        <v>Store#3</v>
      </c>
      <c r="G5008">
        <f>INDEX(CalLookUpTable,MATCH($B5008,CalLookUpRow,0),MATCH(G$1,CalLookUpColumn,0))</f>
        <v>2019</v>
      </c>
      <c r="H5008">
        <f>INDEX(CalLookUpTable,MATCH($B5008,CalLookUpRow,0),MATCH(H$1,CalLookUpColumn,0))</f>
        <v>10</v>
      </c>
      <c r="I5008">
        <f>INDEX(CalLookUpTable,MATCH($B5008,CalLookUpRow,0),MATCH(I$1,CalLookUpColumn,0))</f>
        <v>3</v>
      </c>
    </row>
    <row r="5009" spans="1:9" x14ac:dyDescent="0.25">
      <c r="A5009" s="7">
        <v>3</v>
      </c>
      <c r="B5009" s="8">
        <v>43753</v>
      </c>
      <c r="C5009" s="9" t="s">
        <v>5</v>
      </c>
      <c r="D5009" s="10">
        <v>2804.5219999999999</v>
      </c>
      <c r="E5009" s="10">
        <v>3107.692</v>
      </c>
      <c r="F5009" t="str">
        <f>VLOOKUP(A5009,StoreLookup,2,FALSE)</f>
        <v>Store#3</v>
      </c>
      <c r="G5009">
        <f>INDEX(CalLookUpTable,MATCH($B5009,CalLookUpRow,0),MATCH(G$1,CalLookUpColumn,0))</f>
        <v>2019</v>
      </c>
      <c r="H5009">
        <f>INDEX(CalLookUpTable,MATCH($B5009,CalLookUpRow,0),MATCH(H$1,CalLookUpColumn,0))</f>
        <v>10</v>
      </c>
      <c r="I5009">
        <f>INDEX(CalLookUpTable,MATCH($B5009,CalLookUpRow,0),MATCH(I$1,CalLookUpColumn,0))</f>
        <v>3</v>
      </c>
    </row>
    <row r="5010" spans="1:9" x14ac:dyDescent="0.25">
      <c r="A5010" s="7">
        <v>3</v>
      </c>
      <c r="B5010" s="8">
        <v>43754</v>
      </c>
      <c r="C5010" s="9" t="s">
        <v>4</v>
      </c>
      <c r="D5010" s="10">
        <v>2856.6019999999999</v>
      </c>
      <c r="E5010" s="10">
        <v>4088.21</v>
      </c>
      <c r="F5010" t="str">
        <f>VLOOKUP(A5010,StoreLookup,2,FALSE)</f>
        <v>Store#3</v>
      </c>
      <c r="G5010">
        <f>INDEX(CalLookUpTable,MATCH($B5010,CalLookUpRow,0),MATCH(G$1,CalLookUpColumn,0))</f>
        <v>2019</v>
      </c>
      <c r="H5010">
        <f>INDEX(CalLookUpTable,MATCH($B5010,CalLookUpRow,0),MATCH(H$1,CalLookUpColumn,0))</f>
        <v>10</v>
      </c>
      <c r="I5010">
        <f>INDEX(CalLookUpTable,MATCH($B5010,CalLookUpRow,0),MATCH(I$1,CalLookUpColumn,0))</f>
        <v>3</v>
      </c>
    </row>
    <row r="5011" spans="1:9" x14ac:dyDescent="0.25">
      <c r="A5011" s="7">
        <v>3</v>
      </c>
      <c r="B5011" s="8">
        <v>43754</v>
      </c>
      <c r="C5011" s="9" t="s">
        <v>3</v>
      </c>
      <c r="D5011" s="10">
        <v>0</v>
      </c>
      <c r="E5011" s="10">
        <v>123.77399999999999</v>
      </c>
      <c r="F5011" t="str">
        <f>VLOOKUP(A5011,StoreLookup,2,FALSE)</f>
        <v>Store#3</v>
      </c>
      <c r="G5011">
        <f>INDEX(CalLookUpTable,MATCH($B5011,CalLookUpRow,0),MATCH(G$1,CalLookUpColumn,0))</f>
        <v>2019</v>
      </c>
      <c r="H5011">
        <f>INDEX(CalLookUpTable,MATCH($B5011,CalLookUpRow,0),MATCH(H$1,CalLookUpColumn,0))</f>
        <v>10</v>
      </c>
      <c r="I5011">
        <f>INDEX(CalLookUpTable,MATCH($B5011,CalLookUpRow,0),MATCH(I$1,CalLookUpColumn,0))</f>
        <v>3</v>
      </c>
    </row>
    <row r="5012" spans="1:9" x14ac:dyDescent="0.25">
      <c r="A5012" s="7">
        <v>3</v>
      </c>
      <c r="B5012" s="8">
        <v>43754</v>
      </c>
      <c r="C5012" s="9" t="s">
        <v>5</v>
      </c>
      <c r="D5012" s="10">
        <v>3027.5209999999997</v>
      </c>
      <c r="E5012" s="10">
        <v>3245.0809999999997</v>
      </c>
      <c r="F5012" t="str">
        <f>VLOOKUP(A5012,StoreLookup,2,FALSE)</f>
        <v>Store#3</v>
      </c>
      <c r="G5012">
        <f>INDEX(CalLookUpTable,MATCH($B5012,CalLookUpRow,0),MATCH(G$1,CalLookUpColumn,0))</f>
        <v>2019</v>
      </c>
      <c r="H5012">
        <f>INDEX(CalLookUpTable,MATCH($B5012,CalLookUpRow,0),MATCH(H$1,CalLookUpColumn,0))</f>
        <v>10</v>
      </c>
      <c r="I5012">
        <f>INDEX(CalLookUpTable,MATCH($B5012,CalLookUpRow,0),MATCH(I$1,CalLookUpColumn,0))</f>
        <v>3</v>
      </c>
    </row>
    <row r="5013" spans="1:9" x14ac:dyDescent="0.25">
      <c r="A5013" s="7">
        <v>3</v>
      </c>
      <c r="B5013" s="8">
        <v>43754</v>
      </c>
      <c r="C5013" s="9" t="s">
        <v>6</v>
      </c>
      <c r="D5013" s="10">
        <v>1013.9639999999999</v>
      </c>
      <c r="E5013" s="10">
        <v>1451.1210000000001</v>
      </c>
      <c r="F5013" t="str">
        <f>VLOOKUP(A5013,StoreLookup,2,FALSE)</f>
        <v>Store#3</v>
      </c>
      <c r="G5013">
        <f>INDEX(CalLookUpTable,MATCH($B5013,CalLookUpRow,0),MATCH(G$1,CalLookUpColumn,0))</f>
        <v>2019</v>
      </c>
      <c r="H5013">
        <f>INDEX(CalLookUpTable,MATCH($B5013,CalLookUpRow,0),MATCH(H$1,CalLookUpColumn,0))</f>
        <v>10</v>
      </c>
      <c r="I5013">
        <f>INDEX(CalLookUpTable,MATCH($B5013,CalLookUpRow,0),MATCH(I$1,CalLookUpColumn,0))</f>
        <v>3</v>
      </c>
    </row>
    <row r="5014" spans="1:9" x14ac:dyDescent="0.25">
      <c r="A5014" s="7">
        <v>3</v>
      </c>
      <c r="B5014" s="8">
        <v>43755</v>
      </c>
      <c r="C5014" s="9" t="s">
        <v>6</v>
      </c>
      <c r="D5014" s="10">
        <v>1629.8589999999999</v>
      </c>
      <c r="E5014" s="10">
        <v>1265.9639999999999</v>
      </c>
      <c r="F5014" t="str">
        <f>VLOOKUP(A5014,StoreLookup,2,FALSE)</f>
        <v>Store#3</v>
      </c>
      <c r="G5014">
        <f>INDEX(CalLookUpTable,MATCH($B5014,CalLookUpRow,0),MATCH(G$1,CalLookUpColumn,0))</f>
        <v>2019</v>
      </c>
      <c r="H5014">
        <f>INDEX(CalLookUpTable,MATCH($B5014,CalLookUpRow,0),MATCH(H$1,CalLookUpColumn,0))</f>
        <v>10</v>
      </c>
      <c r="I5014">
        <f>INDEX(CalLookUpTable,MATCH($B5014,CalLookUpRow,0),MATCH(I$1,CalLookUpColumn,0))</f>
        <v>3</v>
      </c>
    </row>
    <row r="5015" spans="1:9" x14ac:dyDescent="0.25">
      <c r="A5015" s="7">
        <v>3</v>
      </c>
      <c r="B5015" s="8">
        <v>43755</v>
      </c>
      <c r="C5015" s="9" t="s">
        <v>4</v>
      </c>
      <c r="D5015" s="10">
        <v>2851.5129999999999</v>
      </c>
      <c r="E5015" s="10">
        <v>4609.9759999999997</v>
      </c>
      <c r="F5015" t="str">
        <f>VLOOKUP(A5015,StoreLookup,2,FALSE)</f>
        <v>Store#3</v>
      </c>
      <c r="G5015">
        <f>INDEX(CalLookUpTable,MATCH($B5015,CalLookUpRow,0),MATCH(G$1,CalLookUpColumn,0))</f>
        <v>2019</v>
      </c>
      <c r="H5015">
        <f>INDEX(CalLookUpTable,MATCH($B5015,CalLookUpRow,0),MATCH(H$1,CalLookUpColumn,0))</f>
        <v>10</v>
      </c>
      <c r="I5015">
        <f>INDEX(CalLookUpTable,MATCH($B5015,CalLookUpRow,0),MATCH(I$1,CalLookUpColumn,0))</f>
        <v>3</v>
      </c>
    </row>
    <row r="5016" spans="1:9" x14ac:dyDescent="0.25">
      <c r="A5016" s="7">
        <v>3</v>
      </c>
      <c r="B5016" s="8">
        <v>43755</v>
      </c>
      <c r="C5016" s="9" t="s">
        <v>3</v>
      </c>
      <c r="D5016" s="10">
        <v>107.072</v>
      </c>
      <c r="E5016" s="10">
        <v>257.005</v>
      </c>
      <c r="F5016" t="str">
        <f>VLOOKUP(A5016,StoreLookup,2,FALSE)</f>
        <v>Store#3</v>
      </c>
      <c r="G5016">
        <f>INDEX(CalLookUpTable,MATCH($B5016,CalLookUpRow,0),MATCH(G$1,CalLookUpColumn,0))</f>
        <v>2019</v>
      </c>
      <c r="H5016">
        <f>INDEX(CalLookUpTable,MATCH($B5016,CalLookUpRow,0),MATCH(H$1,CalLookUpColumn,0))</f>
        <v>10</v>
      </c>
      <c r="I5016">
        <f>INDEX(CalLookUpTable,MATCH($B5016,CalLookUpRow,0),MATCH(I$1,CalLookUpColumn,0))</f>
        <v>3</v>
      </c>
    </row>
    <row r="5017" spans="1:9" x14ac:dyDescent="0.25">
      <c r="A5017" s="7">
        <v>3</v>
      </c>
      <c r="B5017" s="8">
        <v>43755</v>
      </c>
      <c r="C5017" s="9" t="s">
        <v>5</v>
      </c>
      <c r="D5017" s="10">
        <v>3218.3130000000001</v>
      </c>
      <c r="E5017" s="10">
        <v>3379.81</v>
      </c>
      <c r="F5017" t="str">
        <f>VLOOKUP(A5017,StoreLookup,2,FALSE)</f>
        <v>Store#3</v>
      </c>
      <c r="G5017">
        <f>INDEX(CalLookUpTable,MATCH($B5017,CalLookUpRow,0),MATCH(G$1,CalLookUpColumn,0))</f>
        <v>2019</v>
      </c>
      <c r="H5017">
        <f>INDEX(CalLookUpTable,MATCH($B5017,CalLookUpRow,0),MATCH(H$1,CalLookUpColumn,0))</f>
        <v>10</v>
      </c>
      <c r="I5017">
        <f>INDEX(CalLookUpTable,MATCH($B5017,CalLookUpRow,0),MATCH(I$1,CalLookUpColumn,0))</f>
        <v>3</v>
      </c>
    </row>
    <row r="5018" spans="1:9" x14ac:dyDescent="0.25">
      <c r="A5018" s="7">
        <v>3</v>
      </c>
      <c r="B5018" s="8">
        <v>43756</v>
      </c>
      <c r="C5018" s="9" t="s">
        <v>6</v>
      </c>
      <c r="D5018" s="10">
        <v>1660.3719999999998</v>
      </c>
      <c r="E5018" s="10">
        <v>1190.2169999999999</v>
      </c>
      <c r="F5018" t="str">
        <f>VLOOKUP(A5018,StoreLookup,2,FALSE)</f>
        <v>Store#3</v>
      </c>
      <c r="G5018">
        <f>INDEX(CalLookUpTable,MATCH($B5018,CalLookUpRow,0),MATCH(G$1,CalLookUpColumn,0))</f>
        <v>2019</v>
      </c>
      <c r="H5018">
        <f>INDEX(CalLookUpTable,MATCH($B5018,CalLookUpRow,0),MATCH(H$1,CalLookUpColumn,0))</f>
        <v>10</v>
      </c>
      <c r="I5018">
        <f>INDEX(CalLookUpTable,MATCH($B5018,CalLookUpRow,0),MATCH(I$1,CalLookUpColumn,0))</f>
        <v>3</v>
      </c>
    </row>
    <row r="5019" spans="1:9" x14ac:dyDescent="0.25">
      <c r="A5019" s="7">
        <v>3</v>
      </c>
      <c r="B5019" s="8">
        <v>43756</v>
      </c>
      <c r="C5019" s="9" t="s">
        <v>4</v>
      </c>
      <c r="D5019" s="10">
        <v>3414.2709999999997</v>
      </c>
      <c r="E5019" s="10">
        <v>3883.1309999999999</v>
      </c>
      <c r="F5019" t="str">
        <f>VLOOKUP(A5019,StoreLookup,2,FALSE)</f>
        <v>Store#3</v>
      </c>
      <c r="G5019">
        <f>INDEX(CalLookUpTable,MATCH($B5019,CalLookUpRow,0),MATCH(G$1,CalLookUpColumn,0))</f>
        <v>2019</v>
      </c>
      <c r="H5019">
        <f>INDEX(CalLookUpTable,MATCH($B5019,CalLookUpRow,0),MATCH(H$1,CalLookUpColumn,0))</f>
        <v>10</v>
      </c>
      <c r="I5019">
        <f>INDEX(CalLookUpTable,MATCH($B5019,CalLookUpRow,0),MATCH(I$1,CalLookUpColumn,0))</f>
        <v>3</v>
      </c>
    </row>
    <row r="5020" spans="1:9" x14ac:dyDescent="0.25">
      <c r="A5020" s="7">
        <v>3</v>
      </c>
      <c r="B5020" s="8">
        <v>43756</v>
      </c>
      <c r="C5020" s="9" t="s">
        <v>3</v>
      </c>
      <c r="D5020" s="10">
        <v>0</v>
      </c>
      <c r="E5020" s="10">
        <v>0</v>
      </c>
      <c r="F5020" t="str">
        <f>VLOOKUP(A5020,StoreLookup,2,FALSE)</f>
        <v>Store#3</v>
      </c>
      <c r="G5020">
        <f>INDEX(CalLookUpTable,MATCH($B5020,CalLookUpRow,0),MATCH(G$1,CalLookUpColumn,0))</f>
        <v>2019</v>
      </c>
      <c r="H5020">
        <f>INDEX(CalLookUpTable,MATCH($B5020,CalLookUpRow,0),MATCH(H$1,CalLookUpColumn,0))</f>
        <v>10</v>
      </c>
      <c r="I5020">
        <f>INDEX(CalLookUpTable,MATCH($B5020,CalLookUpRow,0),MATCH(I$1,CalLookUpColumn,0))</f>
        <v>3</v>
      </c>
    </row>
    <row r="5021" spans="1:9" x14ac:dyDescent="0.25">
      <c r="A5021" s="7">
        <v>3</v>
      </c>
      <c r="B5021" s="8">
        <v>43756</v>
      </c>
      <c r="C5021" s="9" t="s">
        <v>5</v>
      </c>
      <c r="D5021" s="10">
        <v>2955.4559999999997</v>
      </c>
      <c r="E5021" s="10">
        <v>3368.8339999999998</v>
      </c>
      <c r="F5021" t="str">
        <f>VLOOKUP(A5021,StoreLookup,2,FALSE)</f>
        <v>Store#3</v>
      </c>
      <c r="G5021">
        <f>INDEX(CalLookUpTable,MATCH($B5021,CalLookUpRow,0),MATCH(G$1,CalLookUpColumn,0))</f>
        <v>2019</v>
      </c>
      <c r="H5021">
        <f>INDEX(CalLookUpTable,MATCH($B5021,CalLookUpRow,0),MATCH(H$1,CalLookUpColumn,0))</f>
        <v>10</v>
      </c>
      <c r="I5021">
        <f>INDEX(CalLookUpTable,MATCH($B5021,CalLookUpRow,0),MATCH(I$1,CalLookUpColumn,0))</f>
        <v>3</v>
      </c>
    </row>
    <row r="5022" spans="1:9" x14ac:dyDescent="0.25">
      <c r="A5022" s="7">
        <v>3</v>
      </c>
      <c r="B5022" s="8">
        <v>43757</v>
      </c>
      <c r="C5022" s="9" t="s">
        <v>4</v>
      </c>
      <c r="D5022" s="10">
        <v>2366.2729999999997</v>
      </c>
      <c r="E5022" s="10">
        <v>3768.9749999999999</v>
      </c>
      <c r="F5022" t="str">
        <f>VLOOKUP(A5022,StoreLookup,2,FALSE)</f>
        <v>Store#3</v>
      </c>
      <c r="G5022">
        <f>INDEX(CalLookUpTable,MATCH($B5022,CalLookUpRow,0),MATCH(G$1,CalLookUpColumn,0))</f>
        <v>2019</v>
      </c>
      <c r="H5022">
        <f>INDEX(CalLookUpTable,MATCH($B5022,CalLookUpRow,0),MATCH(H$1,CalLookUpColumn,0))</f>
        <v>10</v>
      </c>
      <c r="I5022">
        <f>INDEX(CalLookUpTable,MATCH($B5022,CalLookUpRow,0),MATCH(I$1,CalLookUpColumn,0))</f>
        <v>3</v>
      </c>
    </row>
    <row r="5023" spans="1:9" x14ac:dyDescent="0.25">
      <c r="A5023" s="7">
        <v>3</v>
      </c>
      <c r="B5023" s="8">
        <v>43757</v>
      </c>
      <c r="C5023" s="9" t="s">
        <v>3</v>
      </c>
      <c r="D5023" s="10">
        <v>0</v>
      </c>
      <c r="E5023" s="10">
        <v>0</v>
      </c>
      <c r="F5023" t="str">
        <f>VLOOKUP(A5023,StoreLookup,2,FALSE)</f>
        <v>Store#3</v>
      </c>
      <c r="G5023">
        <f>INDEX(CalLookUpTable,MATCH($B5023,CalLookUpRow,0),MATCH(G$1,CalLookUpColumn,0))</f>
        <v>2019</v>
      </c>
      <c r="H5023">
        <f>INDEX(CalLookUpTable,MATCH($B5023,CalLookUpRow,0),MATCH(H$1,CalLookUpColumn,0))</f>
        <v>10</v>
      </c>
      <c r="I5023">
        <f>INDEX(CalLookUpTable,MATCH($B5023,CalLookUpRow,0),MATCH(I$1,CalLookUpColumn,0))</f>
        <v>3</v>
      </c>
    </row>
    <row r="5024" spans="1:9" x14ac:dyDescent="0.25">
      <c r="A5024" s="7">
        <v>3</v>
      </c>
      <c r="B5024" s="8">
        <v>43757</v>
      </c>
      <c r="C5024" s="9" t="s">
        <v>5</v>
      </c>
      <c r="D5024" s="10">
        <v>3088.2599999999998</v>
      </c>
      <c r="E5024" s="10">
        <v>3261.489</v>
      </c>
      <c r="F5024" t="str">
        <f>VLOOKUP(A5024,StoreLookup,2,FALSE)</f>
        <v>Store#3</v>
      </c>
      <c r="G5024">
        <f>INDEX(CalLookUpTable,MATCH($B5024,CalLookUpRow,0),MATCH(G$1,CalLookUpColumn,0))</f>
        <v>2019</v>
      </c>
      <c r="H5024">
        <f>INDEX(CalLookUpTable,MATCH($B5024,CalLookUpRow,0),MATCH(H$1,CalLookUpColumn,0))</f>
        <v>10</v>
      </c>
      <c r="I5024">
        <f>INDEX(CalLookUpTable,MATCH($B5024,CalLookUpRow,0),MATCH(I$1,CalLookUpColumn,0))</f>
        <v>3</v>
      </c>
    </row>
    <row r="5025" spans="1:9" x14ac:dyDescent="0.25">
      <c r="A5025" s="7">
        <v>3</v>
      </c>
      <c r="B5025" s="8">
        <v>43757</v>
      </c>
      <c r="C5025" s="9" t="s">
        <v>6</v>
      </c>
      <c r="D5025" s="10">
        <v>1254.5260000000001</v>
      </c>
      <c r="E5025" s="10">
        <v>985.404</v>
      </c>
      <c r="F5025" t="str">
        <f>VLOOKUP(A5025,StoreLookup,2,FALSE)</f>
        <v>Store#3</v>
      </c>
      <c r="G5025">
        <f>INDEX(CalLookUpTable,MATCH($B5025,CalLookUpRow,0),MATCH(G$1,CalLookUpColumn,0))</f>
        <v>2019</v>
      </c>
      <c r="H5025">
        <f>INDEX(CalLookUpTable,MATCH($B5025,CalLookUpRow,0),MATCH(H$1,CalLookUpColumn,0))</f>
        <v>10</v>
      </c>
      <c r="I5025">
        <f>INDEX(CalLookUpTable,MATCH($B5025,CalLookUpRow,0),MATCH(I$1,CalLookUpColumn,0))</f>
        <v>3</v>
      </c>
    </row>
    <row r="5026" spans="1:9" x14ac:dyDescent="0.25">
      <c r="A5026" s="7">
        <v>3</v>
      </c>
      <c r="B5026" s="8">
        <v>43758</v>
      </c>
      <c r="C5026" s="9" t="s">
        <v>6</v>
      </c>
      <c r="D5026" s="10">
        <v>1489.0539999999999</v>
      </c>
      <c r="E5026" s="10">
        <v>3277.5889999999999</v>
      </c>
      <c r="F5026" t="str">
        <f>VLOOKUP(A5026,StoreLookup,2,FALSE)</f>
        <v>Store#3</v>
      </c>
      <c r="G5026">
        <f>INDEX(CalLookUpTable,MATCH($B5026,CalLookUpRow,0),MATCH(G$1,CalLookUpColumn,0))</f>
        <v>2019</v>
      </c>
      <c r="H5026">
        <f>INDEX(CalLookUpTable,MATCH($B5026,CalLookUpRow,0),MATCH(H$1,CalLookUpColumn,0))</f>
        <v>10</v>
      </c>
      <c r="I5026">
        <f>INDEX(CalLookUpTable,MATCH($B5026,CalLookUpRow,0),MATCH(I$1,CalLookUpColumn,0))</f>
        <v>3</v>
      </c>
    </row>
    <row r="5027" spans="1:9" x14ac:dyDescent="0.25">
      <c r="A5027" s="7">
        <v>3</v>
      </c>
      <c r="B5027" s="8">
        <v>43758</v>
      </c>
      <c r="C5027" s="9" t="s">
        <v>4</v>
      </c>
      <c r="D5027" s="10">
        <v>2466.0509999999999</v>
      </c>
      <c r="E5027" s="10">
        <v>623.71399999999994</v>
      </c>
      <c r="F5027" t="str">
        <f>VLOOKUP(A5027,StoreLookup,2,FALSE)</f>
        <v>Store#3</v>
      </c>
      <c r="G5027">
        <f>INDEX(CalLookUpTable,MATCH($B5027,CalLookUpRow,0),MATCH(G$1,CalLookUpColumn,0))</f>
        <v>2019</v>
      </c>
      <c r="H5027">
        <f>INDEX(CalLookUpTable,MATCH($B5027,CalLookUpRow,0),MATCH(H$1,CalLookUpColumn,0))</f>
        <v>10</v>
      </c>
      <c r="I5027">
        <f>INDEX(CalLookUpTable,MATCH($B5027,CalLookUpRow,0),MATCH(I$1,CalLookUpColumn,0))</f>
        <v>3</v>
      </c>
    </row>
    <row r="5028" spans="1:9" x14ac:dyDescent="0.25">
      <c r="A5028" s="7">
        <v>3</v>
      </c>
      <c r="B5028" s="8">
        <v>43758</v>
      </c>
      <c r="C5028" s="9" t="s">
        <v>3</v>
      </c>
      <c r="D5028" s="10">
        <v>0</v>
      </c>
      <c r="E5028" s="10">
        <v>0</v>
      </c>
      <c r="F5028" t="str">
        <f>VLOOKUP(A5028,StoreLookup,2,FALSE)</f>
        <v>Store#3</v>
      </c>
      <c r="G5028">
        <f>INDEX(CalLookUpTable,MATCH($B5028,CalLookUpRow,0),MATCH(G$1,CalLookUpColumn,0))</f>
        <v>2019</v>
      </c>
      <c r="H5028">
        <f>INDEX(CalLookUpTable,MATCH($B5028,CalLookUpRow,0),MATCH(H$1,CalLookUpColumn,0))</f>
        <v>10</v>
      </c>
      <c r="I5028">
        <f>INDEX(CalLookUpTable,MATCH($B5028,CalLookUpRow,0),MATCH(I$1,CalLookUpColumn,0))</f>
        <v>3</v>
      </c>
    </row>
    <row r="5029" spans="1:9" x14ac:dyDescent="0.25">
      <c r="A5029" s="7">
        <v>3</v>
      </c>
      <c r="B5029" s="8">
        <v>43758</v>
      </c>
      <c r="C5029" s="9" t="s">
        <v>5</v>
      </c>
      <c r="D5029" s="10">
        <v>2527.8049999999998</v>
      </c>
      <c r="E5029" s="10">
        <v>2625.63</v>
      </c>
      <c r="F5029" t="str">
        <f>VLOOKUP(A5029,StoreLookup,2,FALSE)</f>
        <v>Store#3</v>
      </c>
      <c r="G5029">
        <f>INDEX(CalLookUpTable,MATCH($B5029,CalLookUpRow,0),MATCH(G$1,CalLookUpColumn,0))</f>
        <v>2019</v>
      </c>
      <c r="H5029">
        <f>INDEX(CalLookUpTable,MATCH($B5029,CalLookUpRow,0),MATCH(H$1,CalLookUpColumn,0))</f>
        <v>10</v>
      </c>
      <c r="I5029">
        <f>INDEX(CalLookUpTable,MATCH($B5029,CalLookUpRow,0),MATCH(I$1,CalLookUpColumn,0))</f>
        <v>3</v>
      </c>
    </row>
    <row r="5030" spans="1:9" x14ac:dyDescent="0.25">
      <c r="A5030" s="7">
        <v>3</v>
      </c>
      <c r="B5030" s="8">
        <v>43759</v>
      </c>
      <c r="C5030" s="9" t="s">
        <v>6</v>
      </c>
      <c r="D5030" s="10">
        <v>1019.2839999999999</v>
      </c>
      <c r="E5030" s="10">
        <v>998.36799999999994</v>
      </c>
      <c r="F5030" t="str">
        <f>VLOOKUP(A5030,StoreLookup,2,FALSE)</f>
        <v>Store#3</v>
      </c>
      <c r="G5030">
        <f>INDEX(CalLookUpTable,MATCH($B5030,CalLookUpRow,0),MATCH(G$1,CalLookUpColumn,0))</f>
        <v>2019</v>
      </c>
      <c r="H5030">
        <f>INDEX(CalLookUpTable,MATCH($B5030,CalLookUpRow,0),MATCH(H$1,CalLookUpColumn,0))</f>
        <v>10</v>
      </c>
      <c r="I5030">
        <f>INDEX(CalLookUpTable,MATCH($B5030,CalLookUpRow,0),MATCH(I$1,CalLookUpColumn,0))</f>
        <v>4</v>
      </c>
    </row>
    <row r="5031" spans="1:9" x14ac:dyDescent="0.25">
      <c r="A5031" s="7">
        <v>3</v>
      </c>
      <c r="B5031" s="8">
        <v>43759</v>
      </c>
      <c r="C5031" s="9" t="s">
        <v>3</v>
      </c>
      <c r="D5031" s="10">
        <v>0</v>
      </c>
      <c r="E5031" s="10">
        <v>0</v>
      </c>
      <c r="F5031" t="str">
        <f>VLOOKUP(A5031,StoreLookup,2,FALSE)</f>
        <v>Store#3</v>
      </c>
      <c r="G5031">
        <f>INDEX(CalLookUpTable,MATCH($B5031,CalLookUpRow,0),MATCH(G$1,CalLookUpColumn,0))</f>
        <v>2019</v>
      </c>
      <c r="H5031">
        <f>INDEX(CalLookUpTable,MATCH($B5031,CalLookUpRow,0),MATCH(H$1,CalLookUpColumn,0))</f>
        <v>10</v>
      </c>
      <c r="I5031">
        <f>INDEX(CalLookUpTable,MATCH($B5031,CalLookUpRow,0),MATCH(I$1,CalLookUpColumn,0))</f>
        <v>4</v>
      </c>
    </row>
    <row r="5032" spans="1:9" x14ac:dyDescent="0.25">
      <c r="A5032" s="7">
        <v>3</v>
      </c>
      <c r="B5032" s="8">
        <v>43759</v>
      </c>
      <c r="C5032" s="9" t="s">
        <v>4</v>
      </c>
      <c r="D5032" s="10">
        <v>2852.6539999999995</v>
      </c>
      <c r="E5032" s="10">
        <v>3459.4489999999996</v>
      </c>
      <c r="F5032" t="str">
        <f>VLOOKUP(A5032,StoreLookup,2,FALSE)</f>
        <v>Store#3</v>
      </c>
      <c r="G5032">
        <f>INDEX(CalLookUpTable,MATCH($B5032,CalLookUpRow,0),MATCH(G$1,CalLookUpColumn,0))</f>
        <v>2019</v>
      </c>
      <c r="H5032">
        <f>INDEX(CalLookUpTable,MATCH($B5032,CalLookUpRow,0),MATCH(H$1,CalLookUpColumn,0))</f>
        <v>10</v>
      </c>
      <c r="I5032">
        <f>INDEX(CalLookUpTable,MATCH($B5032,CalLookUpRow,0),MATCH(I$1,CalLookUpColumn,0))</f>
        <v>4</v>
      </c>
    </row>
    <row r="5033" spans="1:9" x14ac:dyDescent="0.25">
      <c r="A5033" s="7">
        <v>3</v>
      </c>
      <c r="B5033" s="8">
        <v>43759</v>
      </c>
      <c r="C5033" s="9" t="s">
        <v>5</v>
      </c>
      <c r="D5033" s="10">
        <v>2595.7469999999998</v>
      </c>
      <c r="E5033" s="10">
        <v>3268.5729999999999</v>
      </c>
      <c r="F5033" t="str">
        <f>VLOOKUP(A5033,StoreLookup,2,FALSE)</f>
        <v>Store#3</v>
      </c>
      <c r="G5033">
        <f>INDEX(CalLookUpTable,MATCH($B5033,CalLookUpRow,0),MATCH(G$1,CalLookUpColumn,0))</f>
        <v>2019</v>
      </c>
      <c r="H5033">
        <f>INDEX(CalLookUpTable,MATCH($B5033,CalLookUpRow,0),MATCH(H$1,CalLookUpColumn,0))</f>
        <v>10</v>
      </c>
      <c r="I5033">
        <f>INDEX(CalLookUpTable,MATCH($B5033,CalLookUpRow,0),MATCH(I$1,CalLookUpColumn,0))</f>
        <v>4</v>
      </c>
    </row>
    <row r="5034" spans="1:9" x14ac:dyDescent="0.25">
      <c r="A5034" s="7">
        <v>3</v>
      </c>
      <c r="B5034" s="8">
        <v>43760</v>
      </c>
      <c r="C5034" s="9" t="s">
        <v>6</v>
      </c>
      <c r="D5034" s="10">
        <v>938.80499999999995</v>
      </c>
      <c r="E5034" s="10">
        <v>809.81600000000003</v>
      </c>
      <c r="F5034" t="str">
        <f>VLOOKUP(A5034,StoreLookup,2,FALSE)</f>
        <v>Store#3</v>
      </c>
      <c r="G5034">
        <f>INDEX(CalLookUpTable,MATCH($B5034,CalLookUpRow,0),MATCH(G$1,CalLookUpColumn,0))</f>
        <v>2019</v>
      </c>
      <c r="H5034">
        <f>INDEX(CalLookUpTable,MATCH($B5034,CalLookUpRow,0),MATCH(H$1,CalLookUpColumn,0))</f>
        <v>10</v>
      </c>
      <c r="I5034">
        <f>INDEX(CalLookUpTable,MATCH($B5034,CalLookUpRow,0),MATCH(I$1,CalLookUpColumn,0))</f>
        <v>4</v>
      </c>
    </row>
    <row r="5035" spans="1:9" x14ac:dyDescent="0.25">
      <c r="A5035" s="7">
        <v>3</v>
      </c>
      <c r="B5035" s="8">
        <v>43760</v>
      </c>
      <c r="C5035" s="9" t="s">
        <v>4</v>
      </c>
      <c r="D5035" s="10">
        <v>2914.5619999999999</v>
      </c>
      <c r="E5035" s="10">
        <v>3681.7829999999994</v>
      </c>
      <c r="F5035" t="str">
        <f>VLOOKUP(A5035,StoreLookup,2,FALSE)</f>
        <v>Store#3</v>
      </c>
      <c r="G5035">
        <f>INDEX(CalLookUpTable,MATCH($B5035,CalLookUpRow,0),MATCH(G$1,CalLookUpColumn,0))</f>
        <v>2019</v>
      </c>
      <c r="H5035">
        <f>INDEX(CalLookUpTable,MATCH($B5035,CalLookUpRow,0),MATCH(H$1,CalLookUpColumn,0))</f>
        <v>10</v>
      </c>
      <c r="I5035">
        <f>INDEX(CalLookUpTable,MATCH($B5035,CalLookUpRow,0),MATCH(I$1,CalLookUpColumn,0))</f>
        <v>4</v>
      </c>
    </row>
    <row r="5036" spans="1:9" x14ac:dyDescent="0.25">
      <c r="A5036" s="7">
        <v>3</v>
      </c>
      <c r="B5036" s="8">
        <v>43760</v>
      </c>
      <c r="C5036" s="9" t="s">
        <v>5</v>
      </c>
      <c r="D5036" s="10">
        <v>2967.9299999999994</v>
      </c>
      <c r="E5036" s="10">
        <v>3088.701</v>
      </c>
      <c r="F5036" t="str">
        <f>VLOOKUP(A5036,StoreLookup,2,FALSE)</f>
        <v>Store#3</v>
      </c>
      <c r="G5036">
        <f>INDEX(CalLookUpTable,MATCH($B5036,CalLookUpRow,0),MATCH(G$1,CalLookUpColumn,0))</f>
        <v>2019</v>
      </c>
      <c r="H5036">
        <f>INDEX(CalLookUpTable,MATCH($B5036,CalLookUpRow,0),MATCH(H$1,CalLookUpColumn,0))</f>
        <v>10</v>
      </c>
      <c r="I5036">
        <f>INDEX(CalLookUpTable,MATCH($B5036,CalLookUpRow,0),MATCH(I$1,CalLookUpColumn,0))</f>
        <v>4</v>
      </c>
    </row>
    <row r="5037" spans="1:9" x14ac:dyDescent="0.25">
      <c r="A5037" s="7">
        <v>3</v>
      </c>
      <c r="B5037" s="8">
        <v>43760</v>
      </c>
      <c r="C5037" s="9" t="s">
        <v>3</v>
      </c>
      <c r="D5037" s="10">
        <v>0</v>
      </c>
      <c r="E5037" s="10">
        <v>267.49799999999999</v>
      </c>
      <c r="F5037" t="str">
        <f>VLOOKUP(A5037,StoreLookup,2,FALSE)</f>
        <v>Store#3</v>
      </c>
      <c r="G5037">
        <f>INDEX(CalLookUpTable,MATCH($B5037,CalLookUpRow,0),MATCH(G$1,CalLookUpColumn,0))</f>
        <v>2019</v>
      </c>
      <c r="H5037">
        <f>INDEX(CalLookUpTable,MATCH($B5037,CalLookUpRow,0),MATCH(H$1,CalLookUpColumn,0))</f>
        <v>10</v>
      </c>
      <c r="I5037">
        <f>INDEX(CalLookUpTable,MATCH($B5037,CalLookUpRow,0),MATCH(I$1,CalLookUpColumn,0))</f>
        <v>4</v>
      </c>
    </row>
    <row r="5038" spans="1:9" x14ac:dyDescent="0.25">
      <c r="A5038" s="7">
        <v>3</v>
      </c>
      <c r="B5038" s="8">
        <v>43761</v>
      </c>
      <c r="C5038" s="9" t="s">
        <v>4</v>
      </c>
      <c r="D5038" s="10">
        <v>3270.6659999999997</v>
      </c>
      <c r="E5038" s="10">
        <v>3444.6299999999997</v>
      </c>
      <c r="F5038" t="str">
        <f>VLOOKUP(A5038,StoreLookup,2,FALSE)</f>
        <v>Store#3</v>
      </c>
      <c r="G5038">
        <f>INDEX(CalLookUpTable,MATCH($B5038,CalLookUpRow,0),MATCH(G$1,CalLookUpColumn,0))</f>
        <v>2019</v>
      </c>
      <c r="H5038">
        <f>INDEX(CalLookUpTable,MATCH($B5038,CalLookUpRow,0),MATCH(H$1,CalLookUpColumn,0))</f>
        <v>10</v>
      </c>
      <c r="I5038">
        <f>INDEX(CalLookUpTable,MATCH($B5038,CalLookUpRow,0),MATCH(I$1,CalLookUpColumn,0))</f>
        <v>4</v>
      </c>
    </row>
    <row r="5039" spans="1:9" x14ac:dyDescent="0.25">
      <c r="A5039" s="7">
        <v>3</v>
      </c>
      <c r="B5039" s="8">
        <v>43761</v>
      </c>
      <c r="C5039" s="9" t="s">
        <v>5</v>
      </c>
      <c r="D5039" s="10">
        <v>2972.732</v>
      </c>
      <c r="E5039" s="10">
        <v>2899.6869999999999</v>
      </c>
      <c r="F5039" t="str">
        <f>VLOOKUP(A5039,StoreLookup,2,FALSE)</f>
        <v>Store#3</v>
      </c>
      <c r="G5039">
        <f>INDEX(CalLookUpTable,MATCH($B5039,CalLookUpRow,0),MATCH(G$1,CalLookUpColumn,0))</f>
        <v>2019</v>
      </c>
      <c r="H5039">
        <f>INDEX(CalLookUpTable,MATCH($B5039,CalLookUpRow,0),MATCH(H$1,CalLookUpColumn,0))</f>
        <v>10</v>
      </c>
      <c r="I5039">
        <f>INDEX(CalLookUpTable,MATCH($B5039,CalLookUpRow,0),MATCH(I$1,CalLookUpColumn,0))</f>
        <v>4</v>
      </c>
    </row>
    <row r="5040" spans="1:9" x14ac:dyDescent="0.25">
      <c r="A5040" s="7">
        <v>3</v>
      </c>
      <c r="B5040" s="8">
        <v>43761</v>
      </c>
      <c r="C5040" s="9" t="s">
        <v>3</v>
      </c>
      <c r="D5040" s="10">
        <v>289.54799999999994</v>
      </c>
      <c r="E5040" s="10">
        <v>0</v>
      </c>
      <c r="F5040" t="str">
        <f>VLOOKUP(A5040,StoreLookup,2,FALSE)</f>
        <v>Store#3</v>
      </c>
      <c r="G5040">
        <f>INDEX(CalLookUpTable,MATCH($B5040,CalLookUpRow,0),MATCH(G$1,CalLookUpColumn,0))</f>
        <v>2019</v>
      </c>
      <c r="H5040">
        <f>INDEX(CalLookUpTable,MATCH($B5040,CalLookUpRow,0),MATCH(H$1,CalLookUpColumn,0))</f>
        <v>10</v>
      </c>
      <c r="I5040">
        <f>INDEX(CalLookUpTable,MATCH($B5040,CalLookUpRow,0),MATCH(I$1,CalLookUpColumn,0))</f>
        <v>4</v>
      </c>
    </row>
    <row r="5041" spans="1:9" x14ac:dyDescent="0.25">
      <c r="A5041" s="7">
        <v>3</v>
      </c>
      <c r="B5041" s="8">
        <v>43761</v>
      </c>
      <c r="C5041" s="9" t="s">
        <v>6</v>
      </c>
      <c r="D5041" s="10">
        <v>1246.308</v>
      </c>
      <c r="E5041" s="10">
        <v>985.173</v>
      </c>
      <c r="F5041" t="str">
        <f>VLOOKUP(A5041,StoreLookup,2,FALSE)</f>
        <v>Store#3</v>
      </c>
      <c r="G5041">
        <f>INDEX(CalLookUpTable,MATCH($B5041,CalLookUpRow,0),MATCH(G$1,CalLookUpColumn,0))</f>
        <v>2019</v>
      </c>
      <c r="H5041">
        <f>INDEX(CalLookUpTable,MATCH($B5041,CalLookUpRow,0),MATCH(H$1,CalLookUpColumn,0))</f>
        <v>10</v>
      </c>
      <c r="I5041">
        <f>INDEX(CalLookUpTable,MATCH($B5041,CalLookUpRow,0),MATCH(I$1,CalLookUpColumn,0))</f>
        <v>4</v>
      </c>
    </row>
    <row r="5042" spans="1:9" x14ac:dyDescent="0.25">
      <c r="A5042" s="7">
        <v>3</v>
      </c>
      <c r="B5042" s="8">
        <v>43762</v>
      </c>
      <c r="C5042" s="9" t="s">
        <v>6</v>
      </c>
      <c r="D5042" s="10">
        <v>1403.6120000000001</v>
      </c>
      <c r="E5042" s="10">
        <v>1178.7159999999999</v>
      </c>
      <c r="F5042" t="str">
        <f>VLOOKUP(A5042,StoreLookup,2,FALSE)</f>
        <v>Store#3</v>
      </c>
      <c r="G5042">
        <f>INDEX(CalLookUpTable,MATCH($B5042,CalLookUpRow,0),MATCH(G$1,CalLookUpColumn,0))</f>
        <v>2019</v>
      </c>
      <c r="H5042">
        <f>INDEX(CalLookUpTable,MATCH($B5042,CalLookUpRow,0),MATCH(H$1,CalLookUpColumn,0))</f>
        <v>10</v>
      </c>
      <c r="I5042">
        <f>INDEX(CalLookUpTable,MATCH($B5042,CalLookUpRow,0),MATCH(I$1,CalLookUpColumn,0))</f>
        <v>4</v>
      </c>
    </row>
    <row r="5043" spans="1:9" x14ac:dyDescent="0.25">
      <c r="A5043" s="7">
        <v>3</v>
      </c>
      <c r="B5043" s="8">
        <v>43762</v>
      </c>
      <c r="C5043" s="9" t="s">
        <v>3</v>
      </c>
      <c r="D5043" s="10">
        <v>0</v>
      </c>
      <c r="E5043" s="10">
        <v>221.36099999999999</v>
      </c>
      <c r="F5043" t="str">
        <f>VLOOKUP(A5043,StoreLookup,2,FALSE)</f>
        <v>Store#3</v>
      </c>
      <c r="G5043">
        <f>INDEX(CalLookUpTable,MATCH($B5043,CalLookUpRow,0),MATCH(G$1,CalLookUpColumn,0))</f>
        <v>2019</v>
      </c>
      <c r="H5043">
        <f>INDEX(CalLookUpTable,MATCH($B5043,CalLookUpRow,0),MATCH(H$1,CalLookUpColumn,0))</f>
        <v>10</v>
      </c>
      <c r="I5043">
        <f>INDEX(CalLookUpTable,MATCH($B5043,CalLookUpRow,0),MATCH(I$1,CalLookUpColumn,0))</f>
        <v>4</v>
      </c>
    </row>
    <row r="5044" spans="1:9" x14ac:dyDescent="0.25">
      <c r="A5044" s="7">
        <v>3</v>
      </c>
      <c r="B5044" s="8">
        <v>43762</v>
      </c>
      <c r="C5044" s="9" t="s">
        <v>5</v>
      </c>
      <c r="D5044" s="10">
        <v>3466.3299999999995</v>
      </c>
      <c r="E5044" s="10">
        <v>3387.4399999999996</v>
      </c>
      <c r="F5044" t="str">
        <f>VLOOKUP(A5044,StoreLookup,2,FALSE)</f>
        <v>Store#3</v>
      </c>
      <c r="G5044">
        <f>INDEX(CalLookUpTable,MATCH($B5044,CalLookUpRow,0),MATCH(G$1,CalLookUpColumn,0))</f>
        <v>2019</v>
      </c>
      <c r="H5044">
        <f>INDEX(CalLookUpTable,MATCH($B5044,CalLookUpRow,0),MATCH(H$1,CalLookUpColumn,0))</f>
        <v>10</v>
      </c>
      <c r="I5044">
        <f>INDEX(CalLookUpTable,MATCH($B5044,CalLookUpRow,0),MATCH(I$1,CalLookUpColumn,0))</f>
        <v>4</v>
      </c>
    </row>
    <row r="5045" spans="1:9" x14ac:dyDescent="0.25">
      <c r="A5045" s="7">
        <v>3</v>
      </c>
      <c r="B5045" s="8">
        <v>43762</v>
      </c>
      <c r="C5045" s="9" t="s">
        <v>4</v>
      </c>
      <c r="D5045" s="10">
        <v>2820.538</v>
      </c>
      <c r="E5045" s="10">
        <v>3810.576</v>
      </c>
      <c r="F5045" t="str">
        <f>VLOOKUP(A5045,StoreLookup,2,FALSE)</f>
        <v>Store#3</v>
      </c>
      <c r="G5045">
        <f>INDEX(CalLookUpTable,MATCH($B5045,CalLookUpRow,0),MATCH(G$1,CalLookUpColumn,0))</f>
        <v>2019</v>
      </c>
      <c r="H5045">
        <f>INDEX(CalLookUpTable,MATCH($B5045,CalLookUpRow,0),MATCH(H$1,CalLookUpColumn,0))</f>
        <v>10</v>
      </c>
      <c r="I5045">
        <f>INDEX(CalLookUpTable,MATCH($B5045,CalLookUpRow,0),MATCH(I$1,CalLookUpColumn,0))</f>
        <v>4</v>
      </c>
    </row>
    <row r="5046" spans="1:9" x14ac:dyDescent="0.25">
      <c r="A5046" s="7">
        <v>3</v>
      </c>
      <c r="B5046" s="8">
        <v>43763</v>
      </c>
      <c r="C5046" s="9" t="s">
        <v>3</v>
      </c>
      <c r="D5046" s="10">
        <v>366.21899999999994</v>
      </c>
      <c r="E5046" s="10">
        <v>0</v>
      </c>
      <c r="F5046" t="str">
        <f>VLOOKUP(A5046,StoreLookup,2,FALSE)</f>
        <v>Store#3</v>
      </c>
      <c r="G5046">
        <f>INDEX(CalLookUpTable,MATCH($B5046,CalLookUpRow,0),MATCH(G$1,CalLookUpColumn,0))</f>
        <v>2019</v>
      </c>
      <c r="H5046">
        <f>INDEX(CalLookUpTable,MATCH($B5046,CalLookUpRow,0),MATCH(H$1,CalLookUpColumn,0))</f>
        <v>10</v>
      </c>
      <c r="I5046">
        <f>INDEX(CalLookUpTable,MATCH($B5046,CalLookUpRow,0),MATCH(I$1,CalLookUpColumn,0))</f>
        <v>4</v>
      </c>
    </row>
    <row r="5047" spans="1:9" x14ac:dyDescent="0.25">
      <c r="A5047" s="7">
        <v>3</v>
      </c>
      <c r="B5047" s="8">
        <v>43763</v>
      </c>
      <c r="C5047" s="9" t="s">
        <v>4</v>
      </c>
      <c r="D5047" s="10">
        <v>3514.8539999999998</v>
      </c>
      <c r="E5047" s="10">
        <v>4555.235999999999</v>
      </c>
      <c r="F5047" t="str">
        <f>VLOOKUP(A5047,StoreLookup,2,FALSE)</f>
        <v>Store#3</v>
      </c>
      <c r="G5047">
        <f>INDEX(CalLookUpTable,MATCH($B5047,CalLookUpRow,0),MATCH(G$1,CalLookUpColumn,0))</f>
        <v>2019</v>
      </c>
      <c r="H5047">
        <f>INDEX(CalLookUpTable,MATCH($B5047,CalLookUpRow,0),MATCH(H$1,CalLookUpColumn,0))</f>
        <v>10</v>
      </c>
      <c r="I5047">
        <f>INDEX(CalLookUpTable,MATCH($B5047,CalLookUpRow,0),MATCH(I$1,CalLookUpColumn,0))</f>
        <v>4</v>
      </c>
    </row>
    <row r="5048" spans="1:9" x14ac:dyDescent="0.25">
      <c r="A5048" s="7">
        <v>3</v>
      </c>
      <c r="B5048" s="8">
        <v>43763</v>
      </c>
      <c r="C5048" s="9" t="s">
        <v>6</v>
      </c>
      <c r="D5048" s="10">
        <v>1646.6029999999998</v>
      </c>
      <c r="E5048" s="10">
        <v>1295.9169999999999</v>
      </c>
      <c r="F5048" t="str">
        <f>VLOOKUP(A5048,StoreLookup,2,FALSE)</f>
        <v>Store#3</v>
      </c>
      <c r="G5048">
        <f>INDEX(CalLookUpTable,MATCH($B5048,CalLookUpRow,0),MATCH(G$1,CalLookUpColumn,0))</f>
        <v>2019</v>
      </c>
      <c r="H5048">
        <f>INDEX(CalLookUpTable,MATCH($B5048,CalLookUpRow,0),MATCH(H$1,CalLookUpColumn,0))</f>
        <v>10</v>
      </c>
      <c r="I5048">
        <f>INDEX(CalLookUpTable,MATCH($B5048,CalLookUpRow,0),MATCH(I$1,CalLookUpColumn,0))</f>
        <v>4</v>
      </c>
    </row>
    <row r="5049" spans="1:9" x14ac:dyDescent="0.25">
      <c r="A5049" s="7">
        <v>3</v>
      </c>
      <c r="B5049" s="8">
        <v>43763</v>
      </c>
      <c r="C5049" s="9" t="s">
        <v>5</v>
      </c>
      <c r="D5049" s="10">
        <v>3237.8079999999995</v>
      </c>
      <c r="E5049" s="10">
        <v>3388.0559999999996</v>
      </c>
      <c r="F5049" t="str">
        <f>VLOOKUP(A5049,StoreLookup,2,FALSE)</f>
        <v>Store#3</v>
      </c>
      <c r="G5049">
        <f>INDEX(CalLookUpTable,MATCH($B5049,CalLookUpRow,0),MATCH(G$1,CalLookUpColumn,0))</f>
        <v>2019</v>
      </c>
      <c r="H5049">
        <f>INDEX(CalLookUpTable,MATCH($B5049,CalLookUpRow,0),MATCH(H$1,CalLookUpColumn,0))</f>
        <v>10</v>
      </c>
      <c r="I5049">
        <f>INDEX(CalLookUpTable,MATCH($B5049,CalLookUpRow,0),MATCH(I$1,CalLookUpColumn,0))</f>
        <v>4</v>
      </c>
    </row>
    <row r="5050" spans="1:9" x14ac:dyDescent="0.25">
      <c r="A5050" s="7">
        <v>3</v>
      </c>
      <c r="B5050" s="8">
        <v>43764</v>
      </c>
      <c r="C5050" s="9" t="s">
        <v>4</v>
      </c>
      <c r="D5050" s="10">
        <v>3684.7859999999996</v>
      </c>
      <c r="E5050" s="10">
        <v>3380.4959999999996</v>
      </c>
      <c r="F5050" t="str">
        <f>VLOOKUP(A5050,StoreLookup,2,FALSE)</f>
        <v>Store#3</v>
      </c>
      <c r="G5050">
        <f>INDEX(CalLookUpTable,MATCH($B5050,CalLookUpRow,0),MATCH(G$1,CalLookUpColumn,0))</f>
        <v>2019</v>
      </c>
      <c r="H5050">
        <f>INDEX(CalLookUpTable,MATCH($B5050,CalLookUpRow,0),MATCH(H$1,CalLookUpColumn,0))</f>
        <v>10</v>
      </c>
      <c r="I5050">
        <f>INDEX(CalLookUpTable,MATCH($B5050,CalLookUpRow,0),MATCH(I$1,CalLookUpColumn,0))</f>
        <v>4</v>
      </c>
    </row>
    <row r="5051" spans="1:9" x14ac:dyDescent="0.25">
      <c r="A5051" s="7">
        <v>3</v>
      </c>
      <c r="B5051" s="8">
        <v>43764</v>
      </c>
      <c r="C5051" s="9" t="s">
        <v>5</v>
      </c>
      <c r="D5051" s="10">
        <v>3437.2869999999998</v>
      </c>
      <c r="E5051" s="10">
        <v>3553.9279999999999</v>
      </c>
      <c r="F5051" t="str">
        <f>VLOOKUP(A5051,StoreLookup,2,FALSE)</f>
        <v>Store#3</v>
      </c>
      <c r="G5051">
        <f>INDEX(CalLookUpTable,MATCH($B5051,CalLookUpRow,0),MATCH(G$1,CalLookUpColumn,0))</f>
        <v>2019</v>
      </c>
      <c r="H5051">
        <f>INDEX(CalLookUpTable,MATCH($B5051,CalLookUpRow,0),MATCH(H$1,CalLookUpColumn,0))</f>
        <v>10</v>
      </c>
      <c r="I5051">
        <f>INDEX(CalLookUpTable,MATCH($B5051,CalLookUpRow,0),MATCH(I$1,CalLookUpColumn,0))</f>
        <v>4</v>
      </c>
    </row>
    <row r="5052" spans="1:9" x14ac:dyDescent="0.25">
      <c r="A5052" s="7">
        <v>3</v>
      </c>
      <c r="B5052" s="8">
        <v>43764</v>
      </c>
      <c r="C5052" s="9" t="s">
        <v>3</v>
      </c>
      <c r="D5052" s="10">
        <v>254.31</v>
      </c>
      <c r="E5052" s="10">
        <v>0</v>
      </c>
      <c r="F5052" t="str">
        <f>VLOOKUP(A5052,StoreLookup,2,FALSE)</f>
        <v>Store#3</v>
      </c>
      <c r="G5052">
        <f>INDEX(CalLookUpTable,MATCH($B5052,CalLookUpRow,0),MATCH(G$1,CalLookUpColumn,0))</f>
        <v>2019</v>
      </c>
      <c r="H5052">
        <f>INDEX(CalLookUpTable,MATCH($B5052,CalLookUpRow,0),MATCH(H$1,CalLookUpColumn,0))</f>
        <v>10</v>
      </c>
      <c r="I5052">
        <f>INDEX(CalLookUpTable,MATCH($B5052,CalLookUpRow,0),MATCH(I$1,CalLookUpColumn,0))</f>
        <v>4</v>
      </c>
    </row>
    <row r="5053" spans="1:9" x14ac:dyDescent="0.25">
      <c r="A5053" s="7">
        <v>3</v>
      </c>
      <c r="B5053" s="8">
        <v>43764</v>
      </c>
      <c r="C5053" s="9" t="s">
        <v>6</v>
      </c>
      <c r="D5053" s="10">
        <v>1606.9549999999999</v>
      </c>
      <c r="E5053" s="10">
        <v>1713.8729999999998</v>
      </c>
      <c r="F5053" t="str">
        <f>VLOOKUP(A5053,StoreLookup,2,FALSE)</f>
        <v>Store#3</v>
      </c>
      <c r="G5053">
        <f>INDEX(CalLookUpTable,MATCH($B5053,CalLookUpRow,0),MATCH(G$1,CalLookUpColumn,0))</f>
        <v>2019</v>
      </c>
      <c r="H5053">
        <f>INDEX(CalLookUpTable,MATCH($B5053,CalLookUpRow,0),MATCH(H$1,CalLookUpColumn,0))</f>
        <v>10</v>
      </c>
      <c r="I5053">
        <f>INDEX(CalLookUpTable,MATCH($B5053,CalLookUpRow,0),MATCH(I$1,CalLookUpColumn,0))</f>
        <v>4</v>
      </c>
    </row>
    <row r="5054" spans="1:9" x14ac:dyDescent="0.25">
      <c r="A5054" s="7">
        <v>3</v>
      </c>
      <c r="B5054" s="8">
        <v>43765</v>
      </c>
      <c r="C5054" s="9" t="s">
        <v>6</v>
      </c>
      <c r="D5054" s="10">
        <v>1629.0889999999999</v>
      </c>
      <c r="E5054" s="10">
        <v>799.32299999999998</v>
      </c>
      <c r="F5054" t="str">
        <f>VLOOKUP(A5054,StoreLookup,2,FALSE)</f>
        <v>Store#3</v>
      </c>
      <c r="G5054">
        <f>INDEX(CalLookUpTable,MATCH($B5054,CalLookUpRow,0),MATCH(G$1,CalLookUpColumn,0))</f>
        <v>2019</v>
      </c>
      <c r="H5054">
        <f>INDEX(CalLookUpTable,MATCH($B5054,CalLookUpRow,0),MATCH(H$1,CalLookUpColumn,0))</f>
        <v>10</v>
      </c>
      <c r="I5054">
        <f>INDEX(CalLookUpTable,MATCH($B5054,CalLookUpRow,0),MATCH(I$1,CalLookUpColumn,0))</f>
        <v>4</v>
      </c>
    </row>
    <row r="5055" spans="1:9" x14ac:dyDescent="0.25">
      <c r="A5055" s="7">
        <v>3</v>
      </c>
      <c r="B5055" s="8">
        <v>43765</v>
      </c>
      <c r="C5055" s="9" t="s">
        <v>3</v>
      </c>
      <c r="D5055" s="10">
        <v>281.86899999999997</v>
      </c>
      <c r="E5055" s="10">
        <v>0</v>
      </c>
      <c r="F5055" t="str">
        <f>VLOOKUP(A5055,StoreLookup,2,FALSE)</f>
        <v>Store#3</v>
      </c>
      <c r="G5055">
        <f>INDEX(CalLookUpTable,MATCH($B5055,CalLookUpRow,0),MATCH(G$1,CalLookUpColumn,0))</f>
        <v>2019</v>
      </c>
      <c r="H5055">
        <f>INDEX(CalLookUpTable,MATCH($B5055,CalLookUpRow,0),MATCH(H$1,CalLookUpColumn,0))</f>
        <v>10</v>
      </c>
      <c r="I5055">
        <f>INDEX(CalLookUpTable,MATCH($B5055,CalLookUpRow,0),MATCH(I$1,CalLookUpColumn,0))</f>
        <v>4</v>
      </c>
    </row>
    <row r="5056" spans="1:9" x14ac:dyDescent="0.25">
      <c r="A5056" s="7">
        <v>3</v>
      </c>
      <c r="B5056" s="8">
        <v>43765</v>
      </c>
      <c r="C5056" s="9" t="s">
        <v>4</v>
      </c>
      <c r="D5056" s="10">
        <v>1964.8789999999997</v>
      </c>
      <c r="E5056" s="10">
        <v>3014.585</v>
      </c>
      <c r="F5056" t="str">
        <f>VLOOKUP(A5056,StoreLookup,2,FALSE)</f>
        <v>Store#3</v>
      </c>
      <c r="G5056">
        <f>INDEX(CalLookUpTable,MATCH($B5056,CalLookUpRow,0),MATCH(G$1,CalLookUpColumn,0))</f>
        <v>2019</v>
      </c>
      <c r="H5056">
        <f>INDEX(CalLookUpTable,MATCH($B5056,CalLookUpRow,0),MATCH(H$1,CalLookUpColumn,0))</f>
        <v>10</v>
      </c>
      <c r="I5056">
        <f>INDEX(CalLookUpTable,MATCH($B5056,CalLookUpRow,0),MATCH(I$1,CalLookUpColumn,0))</f>
        <v>4</v>
      </c>
    </row>
    <row r="5057" spans="1:9" x14ac:dyDescent="0.25">
      <c r="A5057" s="7">
        <v>3</v>
      </c>
      <c r="B5057" s="8">
        <v>43765</v>
      </c>
      <c r="C5057" s="9" t="s">
        <v>5</v>
      </c>
      <c r="D5057" s="10">
        <v>2378.8869999999997</v>
      </c>
      <c r="E5057" s="10">
        <v>2657.2559999999999</v>
      </c>
      <c r="F5057" t="str">
        <f>VLOOKUP(A5057,StoreLookup,2,FALSE)</f>
        <v>Store#3</v>
      </c>
      <c r="G5057">
        <f>INDEX(CalLookUpTable,MATCH($B5057,CalLookUpRow,0),MATCH(G$1,CalLookUpColumn,0))</f>
        <v>2019</v>
      </c>
      <c r="H5057">
        <f>INDEX(CalLookUpTable,MATCH($B5057,CalLookUpRow,0),MATCH(H$1,CalLookUpColumn,0))</f>
        <v>10</v>
      </c>
      <c r="I5057">
        <f>INDEX(CalLookUpTable,MATCH($B5057,CalLookUpRow,0),MATCH(I$1,CalLookUpColumn,0))</f>
        <v>4</v>
      </c>
    </row>
    <row r="5058" spans="1:9" x14ac:dyDescent="0.25">
      <c r="A5058" s="7">
        <v>3</v>
      </c>
      <c r="B5058" s="8">
        <v>43766</v>
      </c>
      <c r="C5058" s="9" t="s">
        <v>6</v>
      </c>
      <c r="D5058" s="10">
        <v>1064</v>
      </c>
      <c r="E5058" s="10">
        <v>817.31299999999987</v>
      </c>
      <c r="F5058" t="str">
        <f>VLOOKUP(A5058,StoreLookup,2,FALSE)</f>
        <v>Store#3</v>
      </c>
      <c r="G5058">
        <f>INDEX(CalLookUpTable,MATCH($B5058,CalLookUpRow,0),MATCH(G$1,CalLookUpColumn,0))</f>
        <v>2019</v>
      </c>
      <c r="H5058">
        <f>INDEX(CalLookUpTable,MATCH($B5058,CalLookUpRow,0),MATCH(H$1,CalLookUpColumn,0))</f>
        <v>11</v>
      </c>
      <c r="I5058">
        <f>INDEX(CalLookUpTable,MATCH($B5058,CalLookUpRow,0),MATCH(I$1,CalLookUpColumn,0))</f>
        <v>1</v>
      </c>
    </row>
    <row r="5059" spans="1:9" x14ac:dyDescent="0.25">
      <c r="A5059" s="7">
        <v>3</v>
      </c>
      <c r="B5059" s="8">
        <v>43766</v>
      </c>
      <c r="C5059" s="9" t="s">
        <v>3</v>
      </c>
      <c r="D5059" s="10">
        <v>0</v>
      </c>
      <c r="E5059" s="10">
        <v>10.493</v>
      </c>
      <c r="F5059" t="str">
        <f>VLOOKUP(A5059,StoreLookup,2,FALSE)</f>
        <v>Store#3</v>
      </c>
      <c r="G5059">
        <f>INDEX(CalLookUpTable,MATCH($B5059,CalLookUpRow,0),MATCH(G$1,CalLookUpColumn,0))</f>
        <v>2019</v>
      </c>
      <c r="H5059">
        <f>INDEX(CalLookUpTable,MATCH($B5059,CalLookUpRow,0),MATCH(H$1,CalLookUpColumn,0))</f>
        <v>11</v>
      </c>
      <c r="I5059">
        <f>INDEX(CalLookUpTable,MATCH($B5059,CalLookUpRow,0),MATCH(I$1,CalLookUpColumn,0))</f>
        <v>1</v>
      </c>
    </row>
    <row r="5060" spans="1:9" x14ac:dyDescent="0.25">
      <c r="A5060" s="7">
        <v>3</v>
      </c>
      <c r="B5060" s="8">
        <v>43766</v>
      </c>
      <c r="C5060" s="9" t="s">
        <v>5</v>
      </c>
      <c r="D5060" s="10">
        <v>2524.0249999999996</v>
      </c>
      <c r="E5060" s="10">
        <v>2842.6579999999999</v>
      </c>
      <c r="F5060" t="str">
        <f>VLOOKUP(A5060,StoreLookup,2,FALSE)</f>
        <v>Store#3</v>
      </c>
      <c r="G5060">
        <f>INDEX(CalLookUpTable,MATCH($B5060,CalLookUpRow,0),MATCH(G$1,CalLookUpColumn,0))</f>
        <v>2019</v>
      </c>
      <c r="H5060">
        <f>INDEX(CalLookUpTable,MATCH($B5060,CalLookUpRow,0),MATCH(H$1,CalLookUpColumn,0))</f>
        <v>11</v>
      </c>
      <c r="I5060">
        <f>INDEX(CalLookUpTable,MATCH($B5060,CalLookUpRow,0),MATCH(I$1,CalLookUpColumn,0))</f>
        <v>1</v>
      </c>
    </row>
    <row r="5061" spans="1:9" x14ac:dyDescent="0.25">
      <c r="A5061" s="7">
        <v>3</v>
      </c>
      <c r="B5061" s="8">
        <v>43766</v>
      </c>
      <c r="C5061" s="9" t="s">
        <v>4</v>
      </c>
      <c r="D5061" s="10">
        <v>2719.6959999999999</v>
      </c>
      <c r="E5061" s="10">
        <v>3291.5609999999997</v>
      </c>
      <c r="F5061" t="str">
        <f>VLOOKUP(A5061,StoreLookup,2,FALSE)</f>
        <v>Store#3</v>
      </c>
      <c r="G5061">
        <f>INDEX(CalLookUpTable,MATCH($B5061,CalLookUpRow,0),MATCH(G$1,CalLookUpColumn,0))</f>
        <v>2019</v>
      </c>
      <c r="H5061">
        <f>INDEX(CalLookUpTable,MATCH($B5061,CalLookUpRow,0),MATCH(H$1,CalLookUpColumn,0))</f>
        <v>11</v>
      </c>
      <c r="I5061">
        <f>INDEX(CalLookUpTable,MATCH($B5061,CalLookUpRow,0),MATCH(I$1,CalLookUpColumn,0))</f>
        <v>1</v>
      </c>
    </row>
    <row r="5062" spans="1:9" x14ac:dyDescent="0.25">
      <c r="A5062" s="7">
        <v>3</v>
      </c>
      <c r="B5062" s="8">
        <v>43767</v>
      </c>
      <c r="C5062" s="9" t="s">
        <v>6</v>
      </c>
      <c r="D5062" s="10">
        <v>1058.4279999999999</v>
      </c>
      <c r="E5062" s="10">
        <v>835.779</v>
      </c>
      <c r="F5062" t="str">
        <f>VLOOKUP(A5062,StoreLookup,2,FALSE)</f>
        <v>Store#3</v>
      </c>
      <c r="G5062">
        <f>INDEX(CalLookUpTable,MATCH($B5062,CalLookUpRow,0),MATCH(G$1,CalLookUpColumn,0))</f>
        <v>2019</v>
      </c>
      <c r="H5062">
        <f>INDEX(CalLookUpTable,MATCH($B5062,CalLookUpRow,0),MATCH(H$1,CalLookUpColumn,0))</f>
        <v>11</v>
      </c>
      <c r="I5062">
        <f>INDEX(CalLookUpTable,MATCH($B5062,CalLookUpRow,0),MATCH(I$1,CalLookUpColumn,0))</f>
        <v>1</v>
      </c>
    </row>
    <row r="5063" spans="1:9" x14ac:dyDescent="0.25">
      <c r="A5063" s="7">
        <v>3</v>
      </c>
      <c r="B5063" s="8">
        <v>43767</v>
      </c>
      <c r="C5063" s="9" t="s">
        <v>3</v>
      </c>
      <c r="D5063" s="10">
        <v>289.54799999999994</v>
      </c>
      <c r="E5063" s="10">
        <v>3.4929999999999999</v>
      </c>
      <c r="F5063" t="str">
        <f>VLOOKUP(A5063,StoreLookup,2,FALSE)</f>
        <v>Store#3</v>
      </c>
      <c r="G5063">
        <f>INDEX(CalLookUpTable,MATCH($B5063,CalLookUpRow,0),MATCH(G$1,CalLookUpColumn,0))</f>
        <v>2019</v>
      </c>
      <c r="H5063">
        <f>INDEX(CalLookUpTable,MATCH($B5063,CalLookUpRow,0),MATCH(H$1,CalLookUpColumn,0))</f>
        <v>11</v>
      </c>
      <c r="I5063">
        <f>INDEX(CalLookUpTable,MATCH($B5063,CalLookUpRow,0),MATCH(I$1,CalLookUpColumn,0))</f>
        <v>1</v>
      </c>
    </row>
    <row r="5064" spans="1:9" x14ac:dyDescent="0.25">
      <c r="A5064" s="7">
        <v>3</v>
      </c>
      <c r="B5064" s="8">
        <v>43767</v>
      </c>
      <c r="C5064" s="9" t="s">
        <v>4</v>
      </c>
      <c r="D5064" s="10">
        <v>2845.64</v>
      </c>
      <c r="E5064" s="10">
        <v>3076.1779999999999</v>
      </c>
      <c r="F5064" t="str">
        <f>VLOOKUP(A5064,StoreLookup,2,FALSE)</f>
        <v>Store#3</v>
      </c>
      <c r="G5064">
        <f>INDEX(CalLookUpTable,MATCH($B5064,CalLookUpRow,0),MATCH(G$1,CalLookUpColumn,0))</f>
        <v>2019</v>
      </c>
      <c r="H5064">
        <f>INDEX(CalLookUpTable,MATCH($B5064,CalLookUpRow,0),MATCH(H$1,CalLookUpColumn,0))</f>
        <v>11</v>
      </c>
      <c r="I5064">
        <f>INDEX(CalLookUpTable,MATCH($B5064,CalLookUpRow,0),MATCH(I$1,CalLookUpColumn,0))</f>
        <v>1</v>
      </c>
    </row>
    <row r="5065" spans="1:9" x14ac:dyDescent="0.25">
      <c r="A5065" s="7">
        <v>3</v>
      </c>
      <c r="B5065" s="8">
        <v>43767</v>
      </c>
      <c r="C5065" s="9" t="s">
        <v>5</v>
      </c>
      <c r="D5065" s="10">
        <v>2993.942</v>
      </c>
      <c r="E5065" s="10">
        <v>3179.2179999999998</v>
      </c>
      <c r="F5065" t="str">
        <f>VLOOKUP(A5065,StoreLookup,2,FALSE)</f>
        <v>Store#3</v>
      </c>
      <c r="G5065">
        <f>INDEX(CalLookUpTable,MATCH($B5065,CalLookUpRow,0),MATCH(G$1,CalLookUpColumn,0))</f>
        <v>2019</v>
      </c>
      <c r="H5065">
        <f>INDEX(CalLookUpTable,MATCH($B5065,CalLookUpRow,0),MATCH(H$1,CalLookUpColumn,0))</f>
        <v>11</v>
      </c>
      <c r="I5065">
        <f>INDEX(CalLookUpTable,MATCH($B5065,CalLookUpRow,0),MATCH(I$1,CalLookUpColumn,0))</f>
        <v>1</v>
      </c>
    </row>
    <row r="5066" spans="1:9" x14ac:dyDescent="0.25">
      <c r="A5066" s="7">
        <v>3</v>
      </c>
      <c r="B5066" s="8">
        <v>43768</v>
      </c>
      <c r="C5066" s="9" t="s">
        <v>4</v>
      </c>
      <c r="D5066" s="10">
        <v>2358.8039999999996</v>
      </c>
      <c r="E5066" s="10">
        <v>2937.732</v>
      </c>
      <c r="F5066" t="str">
        <f>VLOOKUP(A5066,StoreLookup,2,FALSE)</f>
        <v>Store#3</v>
      </c>
      <c r="G5066">
        <f>INDEX(CalLookUpTable,MATCH($B5066,CalLookUpRow,0),MATCH(G$1,CalLookUpColumn,0))</f>
        <v>2019</v>
      </c>
      <c r="H5066">
        <f>INDEX(CalLookUpTable,MATCH($B5066,CalLookUpRow,0),MATCH(H$1,CalLookUpColumn,0))</f>
        <v>11</v>
      </c>
      <c r="I5066">
        <f>INDEX(CalLookUpTable,MATCH($B5066,CalLookUpRow,0),MATCH(I$1,CalLookUpColumn,0))</f>
        <v>1</v>
      </c>
    </row>
    <row r="5067" spans="1:9" x14ac:dyDescent="0.25">
      <c r="A5067" s="7">
        <v>3</v>
      </c>
      <c r="B5067" s="8">
        <v>43768</v>
      </c>
      <c r="C5067" s="9" t="s">
        <v>5</v>
      </c>
      <c r="D5067" s="10">
        <v>2688.308</v>
      </c>
      <c r="E5067" s="10">
        <v>2929.4929999999995</v>
      </c>
      <c r="F5067" t="str">
        <f>VLOOKUP(A5067,StoreLookup,2,FALSE)</f>
        <v>Store#3</v>
      </c>
      <c r="G5067">
        <f>INDEX(CalLookUpTable,MATCH($B5067,CalLookUpRow,0),MATCH(G$1,CalLookUpColumn,0))</f>
        <v>2019</v>
      </c>
      <c r="H5067">
        <f>INDEX(CalLookUpTable,MATCH($B5067,CalLookUpRow,0),MATCH(H$1,CalLookUpColumn,0))</f>
        <v>11</v>
      </c>
      <c r="I5067">
        <f>INDEX(CalLookUpTable,MATCH($B5067,CalLookUpRow,0),MATCH(I$1,CalLookUpColumn,0))</f>
        <v>1</v>
      </c>
    </row>
    <row r="5068" spans="1:9" x14ac:dyDescent="0.25">
      <c r="A5068" s="7">
        <v>3</v>
      </c>
      <c r="B5068" s="8">
        <v>43768</v>
      </c>
      <c r="C5068" s="9" t="s">
        <v>6</v>
      </c>
      <c r="D5068" s="10">
        <v>1341.5219999999999</v>
      </c>
      <c r="E5068" s="10">
        <v>737.61099999999999</v>
      </c>
      <c r="F5068" t="str">
        <f>VLOOKUP(A5068,StoreLookup,2,FALSE)</f>
        <v>Store#3</v>
      </c>
      <c r="G5068">
        <f>INDEX(CalLookUpTable,MATCH($B5068,CalLookUpRow,0),MATCH(G$1,CalLookUpColumn,0))</f>
        <v>2019</v>
      </c>
      <c r="H5068">
        <f>INDEX(CalLookUpTable,MATCH($B5068,CalLookUpRow,0),MATCH(H$1,CalLookUpColumn,0))</f>
        <v>11</v>
      </c>
      <c r="I5068">
        <f>INDEX(CalLookUpTable,MATCH($B5068,CalLookUpRow,0),MATCH(I$1,CalLookUpColumn,0))</f>
        <v>1</v>
      </c>
    </row>
    <row r="5069" spans="1:9" x14ac:dyDescent="0.25">
      <c r="A5069" s="7">
        <v>3</v>
      </c>
      <c r="B5069" s="8">
        <v>43768</v>
      </c>
      <c r="C5069" s="9" t="s">
        <v>3</v>
      </c>
      <c r="D5069" s="10">
        <v>241.28999999999996</v>
      </c>
      <c r="E5069" s="10">
        <v>206.99699999999999</v>
      </c>
      <c r="F5069" t="str">
        <f>VLOOKUP(A5069,StoreLookup,2,FALSE)</f>
        <v>Store#3</v>
      </c>
      <c r="G5069">
        <f>INDEX(CalLookUpTable,MATCH($B5069,CalLookUpRow,0),MATCH(G$1,CalLookUpColumn,0))</f>
        <v>2019</v>
      </c>
      <c r="H5069">
        <f>INDEX(CalLookUpTable,MATCH($B5069,CalLookUpRow,0),MATCH(H$1,CalLookUpColumn,0))</f>
        <v>11</v>
      </c>
      <c r="I5069">
        <f>INDEX(CalLookUpTable,MATCH($B5069,CalLookUpRow,0),MATCH(I$1,CalLookUpColumn,0))</f>
        <v>1</v>
      </c>
    </row>
    <row r="5070" spans="1:9" x14ac:dyDescent="0.25">
      <c r="A5070" s="7">
        <v>3</v>
      </c>
      <c r="B5070" s="8">
        <v>43769</v>
      </c>
      <c r="C5070" s="9" t="s">
        <v>3</v>
      </c>
      <c r="D5070" s="10">
        <v>242.27699999999999</v>
      </c>
      <c r="E5070" s="10">
        <v>0</v>
      </c>
      <c r="F5070" t="str">
        <f>VLOOKUP(A5070,StoreLookup,2,FALSE)</f>
        <v>Store#3</v>
      </c>
      <c r="G5070">
        <f>INDEX(CalLookUpTable,MATCH($B5070,CalLookUpRow,0),MATCH(G$1,CalLookUpColumn,0))</f>
        <v>2019</v>
      </c>
      <c r="H5070">
        <f>INDEX(CalLookUpTable,MATCH($B5070,CalLookUpRow,0),MATCH(H$1,CalLookUpColumn,0))</f>
        <v>11</v>
      </c>
      <c r="I5070">
        <f>INDEX(CalLookUpTable,MATCH($B5070,CalLookUpRow,0),MATCH(I$1,CalLookUpColumn,0))</f>
        <v>1</v>
      </c>
    </row>
    <row r="5071" spans="1:9" x14ac:dyDescent="0.25">
      <c r="A5071" s="7">
        <v>3</v>
      </c>
      <c r="B5071" s="8">
        <v>43769</v>
      </c>
      <c r="C5071" s="9" t="s">
        <v>6</v>
      </c>
      <c r="D5071" s="10">
        <v>1588.1109999999999</v>
      </c>
      <c r="E5071" s="10">
        <v>1010.394</v>
      </c>
      <c r="F5071" t="str">
        <f>VLOOKUP(A5071,StoreLookup,2,FALSE)</f>
        <v>Store#3</v>
      </c>
      <c r="G5071">
        <f>INDEX(CalLookUpTable,MATCH($B5071,CalLookUpRow,0),MATCH(G$1,CalLookUpColumn,0))</f>
        <v>2019</v>
      </c>
      <c r="H5071">
        <f>INDEX(CalLookUpTable,MATCH($B5071,CalLookUpRow,0),MATCH(H$1,CalLookUpColumn,0))</f>
        <v>11</v>
      </c>
      <c r="I5071">
        <f>INDEX(CalLookUpTable,MATCH($B5071,CalLookUpRow,0),MATCH(I$1,CalLookUpColumn,0))</f>
        <v>1</v>
      </c>
    </row>
    <row r="5072" spans="1:9" x14ac:dyDescent="0.25">
      <c r="A5072" s="7">
        <v>3</v>
      </c>
      <c r="B5072" s="8">
        <v>43769</v>
      </c>
      <c r="C5072" s="9" t="s">
        <v>4</v>
      </c>
      <c r="D5072" s="10">
        <v>2917.6489999999994</v>
      </c>
      <c r="E5072" s="10">
        <v>3075.1420000000003</v>
      </c>
      <c r="F5072" t="str">
        <f>VLOOKUP(A5072,StoreLookup,2,FALSE)</f>
        <v>Store#3</v>
      </c>
      <c r="G5072">
        <f>INDEX(CalLookUpTable,MATCH($B5072,CalLookUpRow,0),MATCH(G$1,CalLookUpColumn,0))</f>
        <v>2019</v>
      </c>
      <c r="H5072">
        <f>INDEX(CalLookUpTable,MATCH($B5072,CalLookUpRow,0),MATCH(H$1,CalLookUpColumn,0))</f>
        <v>11</v>
      </c>
      <c r="I5072">
        <f>INDEX(CalLookUpTable,MATCH($B5072,CalLookUpRow,0),MATCH(I$1,CalLookUpColumn,0))</f>
        <v>1</v>
      </c>
    </row>
    <row r="5073" spans="1:9" x14ac:dyDescent="0.25">
      <c r="A5073" s="7">
        <v>3</v>
      </c>
      <c r="B5073" s="8">
        <v>43769</v>
      </c>
      <c r="C5073" s="9" t="s">
        <v>5</v>
      </c>
      <c r="D5073" s="10">
        <v>2730.9309999999996</v>
      </c>
      <c r="E5073" s="10">
        <v>3776.9829999999993</v>
      </c>
      <c r="F5073" t="str">
        <f>VLOOKUP(A5073,StoreLookup,2,FALSE)</f>
        <v>Store#3</v>
      </c>
      <c r="G5073">
        <f>INDEX(CalLookUpTable,MATCH($B5073,CalLookUpRow,0),MATCH(G$1,CalLookUpColumn,0))</f>
        <v>2019</v>
      </c>
      <c r="H5073">
        <f>INDEX(CalLookUpTable,MATCH($B5073,CalLookUpRow,0),MATCH(H$1,CalLookUpColumn,0))</f>
        <v>11</v>
      </c>
      <c r="I5073">
        <f>INDEX(CalLookUpTable,MATCH($B5073,CalLookUpRow,0),MATCH(I$1,CalLookUpColumn,0))</f>
        <v>1</v>
      </c>
    </row>
    <row r="5074" spans="1:9" x14ac:dyDescent="0.25">
      <c r="A5074" s="7">
        <v>3</v>
      </c>
      <c r="B5074" s="8">
        <v>43770</v>
      </c>
      <c r="C5074" s="9" t="s">
        <v>6</v>
      </c>
      <c r="D5074" s="10">
        <v>1749.069</v>
      </c>
      <c r="E5074" s="10">
        <v>1633.4009999999998</v>
      </c>
      <c r="F5074" t="str">
        <f>VLOOKUP(A5074,StoreLookup,2,FALSE)</f>
        <v>Store#3</v>
      </c>
      <c r="G5074">
        <f>INDEX(CalLookUpTable,MATCH($B5074,CalLookUpRow,0),MATCH(G$1,CalLookUpColumn,0))</f>
        <v>2019</v>
      </c>
      <c r="H5074">
        <f>INDEX(CalLookUpTable,MATCH($B5074,CalLookUpRow,0),MATCH(H$1,CalLookUpColumn,0))</f>
        <v>11</v>
      </c>
      <c r="I5074">
        <f>INDEX(CalLookUpTable,MATCH($B5074,CalLookUpRow,0),MATCH(I$1,CalLookUpColumn,0))</f>
        <v>1</v>
      </c>
    </row>
    <row r="5075" spans="1:9" x14ac:dyDescent="0.25">
      <c r="A5075" s="7">
        <v>3</v>
      </c>
      <c r="B5075" s="8">
        <v>43770</v>
      </c>
      <c r="C5075" s="9" t="s">
        <v>4</v>
      </c>
      <c r="D5075" s="10">
        <v>3688.3769999999995</v>
      </c>
      <c r="E5075" s="10">
        <v>4159.8059999999996</v>
      </c>
      <c r="F5075" t="str">
        <f>VLOOKUP(A5075,StoreLookup,2,FALSE)</f>
        <v>Store#3</v>
      </c>
      <c r="G5075">
        <f>INDEX(CalLookUpTable,MATCH($B5075,CalLookUpRow,0),MATCH(G$1,CalLookUpColumn,0))</f>
        <v>2019</v>
      </c>
      <c r="H5075">
        <f>INDEX(CalLookUpTable,MATCH($B5075,CalLookUpRow,0),MATCH(H$1,CalLookUpColumn,0))</f>
        <v>11</v>
      </c>
      <c r="I5075">
        <f>INDEX(CalLookUpTable,MATCH($B5075,CalLookUpRow,0),MATCH(I$1,CalLookUpColumn,0))</f>
        <v>1</v>
      </c>
    </row>
    <row r="5076" spans="1:9" x14ac:dyDescent="0.25">
      <c r="A5076" s="7">
        <v>3</v>
      </c>
      <c r="B5076" s="8">
        <v>43770</v>
      </c>
      <c r="C5076" s="9" t="s">
        <v>3</v>
      </c>
      <c r="D5076" s="10">
        <v>0</v>
      </c>
      <c r="E5076" s="10">
        <v>159.005</v>
      </c>
      <c r="F5076" t="str">
        <f>VLOOKUP(A5076,StoreLookup,2,FALSE)</f>
        <v>Store#3</v>
      </c>
      <c r="G5076">
        <f>INDEX(CalLookUpTable,MATCH($B5076,CalLookUpRow,0),MATCH(G$1,CalLookUpColumn,0))</f>
        <v>2019</v>
      </c>
      <c r="H5076">
        <f>INDEX(CalLookUpTable,MATCH($B5076,CalLookUpRow,0),MATCH(H$1,CalLookUpColumn,0))</f>
        <v>11</v>
      </c>
      <c r="I5076">
        <f>INDEX(CalLookUpTable,MATCH($B5076,CalLookUpRow,0),MATCH(I$1,CalLookUpColumn,0))</f>
        <v>1</v>
      </c>
    </row>
    <row r="5077" spans="1:9" x14ac:dyDescent="0.25">
      <c r="A5077" s="7">
        <v>3</v>
      </c>
      <c r="B5077" s="8">
        <v>43770</v>
      </c>
      <c r="C5077" s="9" t="s">
        <v>5</v>
      </c>
      <c r="D5077" s="10">
        <v>3115.1959999999995</v>
      </c>
      <c r="E5077" s="10">
        <v>3810.6739999999995</v>
      </c>
      <c r="F5077" t="str">
        <f>VLOOKUP(A5077,StoreLookup,2,FALSE)</f>
        <v>Store#3</v>
      </c>
      <c r="G5077">
        <f>INDEX(CalLookUpTable,MATCH($B5077,CalLookUpRow,0),MATCH(G$1,CalLookUpColumn,0))</f>
        <v>2019</v>
      </c>
      <c r="H5077">
        <f>INDEX(CalLookUpTable,MATCH($B5077,CalLookUpRow,0),MATCH(H$1,CalLookUpColumn,0))</f>
        <v>11</v>
      </c>
      <c r="I5077">
        <f>INDEX(CalLookUpTable,MATCH($B5077,CalLookUpRow,0),MATCH(I$1,CalLookUpColumn,0))</f>
        <v>1</v>
      </c>
    </row>
    <row r="5078" spans="1:9" x14ac:dyDescent="0.25">
      <c r="A5078" s="7">
        <v>3</v>
      </c>
      <c r="B5078" s="8">
        <v>43771</v>
      </c>
      <c r="C5078" s="9" t="s">
        <v>6</v>
      </c>
      <c r="D5078" s="10">
        <v>1771.4619999999998</v>
      </c>
      <c r="E5078" s="10">
        <v>1103.221</v>
      </c>
      <c r="F5078" t="str">
        <f>VLOOKUP(A5078,StoreLookup,2,FALSE)</f>
        <v>Store#3</v>
      </c>
      <c r="G5078">
        <f>INDEX(CalLookUpTable,MATCH($B5078,CalLookUpRow,0),MATCH(G$1,CalLookUpColumn,0))</f>
        <v>2019</v>
      </c>
      <c r="H5078">
        <f>INDEX(CalLookUpTable,MATCH($B5078,CalLookUpRow,0),MATCH(H$1,CalLookUpColumn,0))</f>
        <v>11</v>
      </c>
      <c r="I5078">
        <f>INDEX(CalLookUpTable,MATCH($B5078,CalLookUpRow,0),MATCH(I$1,CalLookUpColumn,0))</f>
        <v>1</v>
      </c>
    </row>
    <row r="5079" spans="1:9" x14ac:dyDescent="0.25">
      <c r="A5079" s="7">
        <v>3</v>
      </c>
      <c r="B5079" s="8">
        <v>43771</v>
      </c>
      <c r="C5079" s="9" t="s">
        <v>5</v>
      </c>
      <c r="D5079" s="10">
        <v>2987.9149999999995</v>
      </c>
      <c r="E5079" s="10">
        <v>3535.6790000000001</v>
      </c>
      <c r="F5079" t="str">
        <f>VLOOKUP(A5079,StoreLookup,2,FALSE)</f>
        <v>Store#3</v>
      </c>
      <c r="G5079">
        <f>INDEX(CalLookUpTable,MATCH($B5079,CalLookUpRow,0),MATCH(G$1,CalLookUpColumn,0))</f>
        <v>2019</v>
      </c>
      <c r="H5079">
        <f>INDEX(CalLookUpTable,MATCH($B5079,CalLookUpRow,0),MATCH(H$1,CalLookUpColumn,0))</f>
        <v>11</v>
      </c>
      <c r="I5079">
        <f>INDEX(CalLookUpTable,MATCH($B5079,CalLookUpRow,0),MATCH(I$1,CalLookUpColumn,0))</f>
        <v>1</v>
      </c>
    </row>
    <row r="5080" spans="1:9" x14ac:dyDescent="0.25">
      <c r="A5080" s="7">
        <v>3</v>
      </c>
      <c r="B5080" s="8">
        <v>43771</v>
      </c>
      <c r="C5080" s="9" t="s">
        <v>4</v>
      </c>
      <c r="D5080" s="10">
        <v>2964.7589999999996</v>
      </c>
      <c r="E5080" s="10">
        <v>4246.5429999999997</v>
      </c>
      <c r="F5080" t="str">
        <f>VLOOKUP(A5080,StoreLookup,2,FALSE)</f>
        <v>Store#3</v>
      </c>
      <c r="G5080">
        <f>INDEX(CalLookUpTable,MATCH($B5080,CalLookUpRow,0),MATCH(G$1,CalLookUpColumn,0))</f>
        <v>2019</v>
      </c>
      <c r="H5080">
        <f>INDEX(CalLookUpTable,MATCH($B5080,CalLookUpRow,0),MATCH(H$1,CalLookUpColumn,0))</f>
        <v>11</v>
      </c>
      <c r="I5080">
        <f>INDEX(CalLookUpTable,MATCH($B5080,CalLookUpRow,0),MATCH(I$1,CalLookUpColumn,0))</f>
        <v>1</v>
      </c>
    </row>
    <row r="5081" spans="1:9" x14ac:dyDescent="0.25">
      <c r="A5081" s="7">
        <v>3</v>
      </c>
      <c r="B5081" s="8">
        <v>43771</v>
      </c>
      <c r="C5081" s="9" t="s">
        <v>3</v>
      </c>
      <c r="D5081" s="10">
        <v>161.553</v>
      </c>
      <c r="E5081" s="10">
        <v>357.00699999999995</v>
      </c>
      <c r="F5081" t="str">
        <f>VLOOKUP(A5081,StoreLookup,2,FALSE)</f>
        <v>Store#3</v>
      </c>
      <c r="G5081">
        <f>INDEX(CalLookUpTable,MATCH($B5081,CalLookUpRow,0),MATCH(G$1,CalLookUpColumn,0))</f>
        <v>2019</v>
      </c>
      <c r="H5081">
        <f>INDEX(CalLookUpTable,MATCH($B5081,CalLookUpRow,0),MATCH(H$1,CalLookUpColumn,0))</f>
        <v>11</v>
      </c>
      <c r="I5081">
        <f>INDEX(CalLookUpTable,MATCH($B5081,CalLookUpRow,0),MATCH(I$1,CalLookUpColumn,0))</f>
        <v>1</v>
      </c>
    </row>
    <row r="5082" spans="1:9" x14ac:dyDescent="0.25">
      <c r="A5082" s="7">
        <v>3</v>
      </c>
      <c r="B5082" s="8">
        <v>43772</v>
      </c>
      <c r="C5082" s="9" t="s">
        <v>4</v>
      </c>
      <c r="D5082" s="10">
        <v>2227.239</v>
      </c>
      <c r="E5082" s="10">
        <v>2109.625</v>
      </c>
      <c r="F5082" t="str">
        <f>VLOOKUP(A5082,StoreLookup,2,FALSE)</f>
        <v>Store#3</v>
      </c>
      <c r="G5082">
        <f>INDEX(CalLookUpTable,MATCH($B5082,CalLookUpRow,0),MATCH(G$1,CalLookUpColumn,0))</f>
        <v>2019</v>
      </c>
      <c r="H5082">
        <f>INDEX(CalLookUpTable,MATCH($B5082,CalLookUpRow,0),MATCH(H$1,CalLookUpColumn,0))</f>
        <v>11</v>
      </c>
      <c r="I5082">
        <f>INDEX(CalLookUpTable,MATCH($B5082,CalLookUpRow,0),MATCH(I$1,CalLookUpColumn,0))</f>
        <v>1</v>
      </c>
    </row>
    <row r="5083" spans="1:9" x14ac:dyDescent="0.25">
      <c r="A5083" s="7">
        <v>3</v>
      </c>
      <c r="B5083" s="8">
        <v>43772</v>
      </c>
      <c r="C5083" s="9" t="s">
        <v>6</v>
      </c>
      <c r="D5083" s="10">
        <v>1255.9749999999999</v>
      </c>
      <c r="E5083" s="10">
        <v>770.53199999999993</v>
      </c>
      <c r="F5083" t="str">
        <f>VLOOKUP(A5083,StoreLookup,2,FALSE)</f>
        <v>Store#3</v>
      </c>
      <c r="G5083">
        <f>INDEX(CalLookUpTable,MATCH($B5083,CalLookUpRow,0),MATCH(G$1,CalLookUpColumn,0))</f>
        <v>2019</v>
      </c>
      <c r="H5083">
        <f>INDEX(CalLookUpTable,MATCH($B5083,CalLookUpRow,0),MATCH(H$1,CalLookUpColumn,0))</f>
        <v>11</v>
      </c>
      <c r="I5083">
        <f>INDEX(CalLookUpTable,MATCH($B5083,CalLookUpRow,0),MATCH(I$1,CalLookUpColumn,0))</f>
        <v>1</v>
      </c>
    </row>
    <row r="5084" spans="1:9" x14ac:dyDescent="0.25">
      <c r="A5084" s="7">
        <v>3</v>
      </c>
      <c r="B5084" s="8">
        <v>43772</v>
      </c>
      <c r="C5084" s="9" t="s">
        <v>5</v>
      </c>
      <c r="D5084" s="10">
        <v>2654.9949999999999</v>
      </c>
      <c r="E5084" s="10">
        <v>2811.2069999999999</v>
      </c>
      <c r="F5084" t="str">
        <f>VLOOKUP(A5084,StoreLookup,2,FALSE)</f>
        <v>Store#3</v>
      </c>
      <c r="G5084">
        <f>INDEX(CalLookUpTable,MATCH($B5084,CalLookUpRow,0),MATCH(G$1,CalLookUpColumn,0))</f>
        <v>2019</v>
      </c>
      <c r="H5084">
        <f>INDEX(CalLookUpTable,MATCH($B5084,CalLookUpRow,0),MATCH(H$1,CalLookUpColumn,0))</f>
        <v>11</v>
      </c>
      <c r="I5084">
        <f>INDEX(CalLookUpTable,MATCH($B5084,CalLookUpRow,0),MATCH(I$1,CalLookUpColumn,0))</f>
        <v>1</v>
      </c>
    </row>
    <row r="5085" spans="1:9" x14ac:dyDescent="0.25">
      <c r="A5085" s="7">
        <v>3</v>
      </c>
      <c r="B5085" s="8">
        <v>43772</v>
      </c>
      <c r="C5085" s="9" t="s">
        <v>3</v>
      </c>
      <c r="D5085" s="10">
        <v>0</v>
      </c>
      <c r="E5085" s="10">
        <v>15.714999999999998</v>
      </c>
      <c r="F5085" t="str">
        <f>VLOOKUP(A5085,StoreLookup,2,FALSE)</f>
        <v>Store#3</v>
      </c>
      <c r="G5085">
        <f>INDEX(CalLookUpTable,MATCH($B5085,CalLookUpRow,0),MATCH(G$1,CalLookUpColumn,0))</f>
        <v>2019</v>
      </c>
      <c r="H5085">
        <f>INDEX(CalLookUpTable,MATCH($B5085,CalLookUpRow,0),MATCH(H$1,CalLookUpColumn,0))</f>
        <v>11</v>
      </c>
      <c r="I5085">
        <f>INDEX(CalLookUpTable,MATCH($B5085,CalLookUpRow,0),MATCH(I$1,CalLookUpColumn,0))</f>
        <v>1</v>
      </c>
    </row>
    <row r="5086" spans="1:9" x14ac:dyDescent="0.25">
      <c r="A5086" s="7">
        <v>3</v>
      </c>
      <c r="B5086" s="8">
        <v>43773</v>
      </c>
      <c r="C5086" s="9" t="s">
        <v>4</v>
      </c>
      <c r="D5086" s="10">
        <v>2335.0039999999999</v>
      </c>
      <c r="E5086" s="10">
        <v>3258.0659999999998</v>
      </c>
      <c r="F5086" t="str">
        <f>VLOOKUP(A5086,StoreLookup,2,FALSE)</f>
        <v>Store#3</v>
      </c>
      <c r="G5086">
        <f>INDEX(CalLookUpTable,MATCH($B5086,CalLookUpRow,0),MATCH(G$1,CalLookUpColumn,0))</f>
        <v>2019</v>
      </c>
      <c r="H5086">
        <f>INDEX(CalLookUpTable,MATCH($B5086,CalLookUpRow,0),MATCH(H$1,CalLookUpColumn,0))</f>
        <v>11</v>
      </c>
      <c r="I5086">
        <f>INDEX(CalLookUpTable,MATCH($B5086,CalLookUpRow,0),MATCH(I$1,CalLookUpColumn,0))</f>
        <v>2</v>
      </c>
    </row>
    <row r="5087" spans="1:9" x14ac:dyDescent="0.25">
      <c r="A5087" s="7">
        <v>3</v>
      </c>
      <c r="B5087" s="8">
        <v>43773</v>
      </c>
      <c r="C5087" s="9" t="s">
        <v>3</v>
      </c>
      <c r="D5087" s="10">
        <v>18.809000000000001</v>
      </c>
      <c r="E5087" s="10">
        <v>81.794999999999987</v>
      </c>
      <c r="F5087" t="str">
        <f>VLOOKUP(A5087,StoreLookup,2,FALSE)</f>
        <v>Store#3</v>
      </c>
      <c r="G5087">
        <f>INDEX(CalLookUpTable,MATCH($B5087,CalLookUpRow,0),MATCH(G$1,CalLookUpColumn,0))</f>
        <v>2019</v>
      </c>
      <c r="H5087">
        <f>INDEX(CalLookUpTable,MATCH($B5087,CalLookUpRow,0),MATCH(H$1,CalLookUpColumn,0))</f>
        <v>11</v>
      </c>
      <c r="I5087">
        <f>INDEX(CalLookUpTable,MATCH($B5087,CalLookUpRow,0),MATCH(I$1,CalLookUpColumn,0))</f>
        <v>2</v>
      </c>
    </row>
    <row r="5088" spans="1:9" x14ac:dyDescent="0.25">
      <c r="A5088" s="7">
        <v>3</v>
      </c>
      <c r="B5088" s="8">
        <v>43773</v>
      </c>
      <c r="C5088" s="9" t="s">
        <v>6</v>
      </c>
      <c r="D5088" s="10">
        <v>1098.9579999999999</v>
      </c>
      <c r="E5088" s="10">
        <v>1172.7239999999999</v>
      </c>
      <c r="F5088" t="str">
        <f>VLOOKUP(A5088,StoreLookup,2,FALSE)</f>
        <v>Store#3</v>
      </c>
      <c r="G5088">
        <f>INDEX(CalLookUpTable,MATCH($B5088,CalLookUpRow,0),MATCH(G$1,CalLookUpColumn,0))</f>
        <v>2019</v>
      </c>
      <c r="H5088">
        <f>INDEX(CalLookUpTable,MATCH($B5088,CalLookUpRow,0),MATCH(H$1,CalLookUpColumn,0))</f>
        <v>11</v>
      </c>
      <c r="I5088">
        <f>INDEX(CalLookUpTable,MATCH($B5088,CalLookUpRow,0),MATCH(I$1,CalLookUpColumn,0))</f>
        <v>2</v>
      </c>
    </row>
    <row r="5089" spans="1:9" x14ac:dyDescent="0.25">
      <c r="A5089" s="7">
        <v>3</v>
      </c>
      <c r="B5089" s="8">
        <v>43773</v>
      </c>
      <c r="C5089" s="9" t="s">
        <v>5</v>
      </c>
      <c r="D5089" s="10">
        <v>2675.491</v>
      </c>
      <c r="E5089" s="10">
        <v>3302.614</v>
      </c>
      <c r="F5089" t="str">
        <f>VLOOKUP(A5089,StoreLookup,2,FALSE)</f>
        <v>Store#3</v>
      </c>
      <c r="G5089">
        <f>INDEX(CalLookUpTable,MATCH($B5089,CalLookUpRow,0),MATCH(G$1,CalLookUpColumn,0))</f>
        <v>2019</v>
      </c>
      <c r="H5089">
        <f>INDEX(CalLookUpTable,MATCH($B5089,CalLookUpRow,0),MATCH(H$1,CalLookUpColumn,0))</f>
        <v>11</v>
      </c>
      <c r="I5089">
        <f>INDEX(CalLookUpTable,MATCH($B5089,CalLookUpRow,0),MATCH(I$1,CalLookUpColumn,0))</f>
        <v>2</v>
      </c>
    </row>
    <row r="5090" spans="1:9" x14ac:dyDescent="0.25">
      <c r="A5090" s="7">
        <v>3</v>
      </c>
      <c r="B5090" s="8">
        <v>43774</v>
      </c>
      <c r="C5090" s="9" t="s">
        <v>4</v>
      </c>
      <c r="D5090" s="10">
        <v>2866.6259999999997</v>
      </c>
      <c r="E5090" s="10">
        <v>3097.6819999999998</v>
      </c>
      <c r="F5090" t="str">
        <f>VLOOKUP(A5090,StoreLookup,2,FALSE)</f>
        <v>Store#3</v>
      </c>
      <c r="G5090">
        <f>INDEX(CalLookUpTable,MATCH($B5090,CalLookUpRow,0),MATCH(G$1,CalLookUpColumn,0))</f>
        <v>2019</v>
      </c>
      <c r="H5090">
        <f>INDEX(CalLookUpTable,MATCH($B5090,CalLookUpRow,0),MATCH(H$1,CalLookUpColumn,0))</f>
        <v>11</v>
      </c>
      <c r="I5090">
        <f>INDEX(CalLookUpTable,MATCH($B5090,CalLookUpRow,0),MATCH(I$1,CalLookUpColumn,0))</f>
        <v>2</v>
      </c>
    </row>
    <row r="5091" spans="1:9" x14ac:dyDescent="0.25">
      <c r="A5091" s="7">
        <v>3</v>
      </c>
      <c r="B5091" s="8">
        <v>43774</v>
      </c>
      <c r="C5091" s="9" t="s">
        <v>6</v>
      </c>
      <c r="D5091" s="10">
        <v>1121.701</v>
      </c>
      <c r="E5091" s="10">
        <v>889.94499999999994</v>
      </c>
      <c r="F5091" t="str">
        <f>VLOOKUP(A5091,StoreLookup,2,FALSE)</f>
        <v>Store#3</v>
      </c>
      <c r="G5091">
        <f>INDEX(CalLookUpTable,MATCH($B5091,CalLookUpRow,0),MATCH(G$1,CalLookUpColumn,0))</f>
        <v>2019</v>
      </c>
      <c r="H5091">
        <f>INDEX(CalLookUpTable,MATCH($B5091,CalLookUpRow,0),MATCH(H$1,CalLookUpColumn,0))</f>
        <v>11</v>
      </c>
      <c r="I5091">
        <f>INDEX(CalLookUpTable,MATCH($B5091,CalLookUpRow,0),MATCH(I$1,CalLookUpColumn,0))</f>
        <v>2</v>
      </c>
    </row>
    <row r="5092" spans="1:9" x14ac:dyDescent="0.25">
      <c r="A5092" s="7">
        <v>3</v>
      </c>
      <c r="B5092" s="8">
        <v>43774</v>
      </c>
      <c r="C5092" s="9" t="s">
        <v>5</v>
      </c>
      <c r="D5092" s="10">
        <v>2899.1410000000001</v>
      </c>
      <c r="E5092" s="10">
        <v>3196.2489999999998</v>
      </c>
      <c r="F5092" t="str">
        <f>VLOOKUP(A5092,StoreLookup,2,FALSE)</f>
        <v>Store#3</v>
      </c>
      <c r="G5092">
        <f>INDEX(CalLookUpTable,MATCH($B5092,CalLookUpRow,0),MATCH(G$1,CalLookUpColumn,0))</f>
        <v>2019</v>
      </c>
      <c r="H5092">
        <f>INDEX(CalLookUpTable,MATCH($B5092,CalLookUpRow,0),MATCH(H$1,CalLookUpColumn,0))</f>
        <v>11</v>
      </c>
      <c r="I5092">
        <f>INDEX(CalLookUpTable,MATCH($B5092,CalLookUpRow,0),MATCH(I$1,CalLookUpColumn,0))</f>
        <v>2</v>
      </c>
    </row>
    <row r="5093" spans="1:9" x14ac:dyDescent="0.25">
      <c r="A5093" s="7">
        <v>3</v>
      </c>
      <c r="B5093" s="8">
        <v>43774</v>
      </c>
      <c r="C5093" s="9" t="s">
        <v>3</v>
      </c>
      <c r="D5093" s="10">
        <v>106.72199999999999</v>
      </c>
      <c r="E5093" s="10">
        <v>114.30299999999998</v>
      </c>
      <c r="F5093" t="str">
        <f>VLOOKUP(A5093,StoreLookup,2,FALSE)</f>
        <v>Store#3</v>
      </c>
      <c r="G5093">
        <f>INDEX(CalLookUpTable,MATCH($B5093,CalLookUpRow,0),MATCH(G$1,CalLookUpColumn,0))</f>
        <v>2019</v>
      </c>
      <c r="H5093">
        <f>INDEX(CalLookUpTable,MATCH($B5093,CalLookUpRow,0),MATCH(H$1,CalLookUpColumn,0))</f>
        <v>11</v>
      </c>
      <c r="I5093">
        <f>INDEX(CalLookUpTable,MATCH($B5093,CalLookUpRow,0),MATCH(I$1,CalLookUpColumn,0))</f>
        <v>2</v>
      </c>
    </row>
    <row r="5094" spans="1:9" x14ac:dyDescent="0.25">
      <c r="A5094" s="7">
        <v>3</v>
      </c>
      <c r="B5094" s="8">
        <v>43775</v>
      </c>
      <c r="C5094" s="9" t="s">
        <v>6</v>
      </c>
      <c r="D5094" s="10">
        <v>1240.3999999999999</v>
      </c>
      <c r="E5094" s="10">
        <v>961.66699999999992</v>
      </c>
      <c r="F5094" t="str">
        <f>VLOOKUP(A5094,StoreLookup,2,FALSE)</f>
        <v>Store#3</v>
      </c>
      <c r="G5094">
        <f>INDEX(CalLookUpTable,MATCH($B5094,CalLookUpRow,0),MATCH(G$1,CalLookUpColumn,0))</f>
        <v>2019</v>
      </c>
      <c r="H5094">
        <f>INDEX(CalLookUpTable,MATCH($B5094,CalLookUpRow,0),MATCH(H$1,CalLookUpColumn,0))</f>
        <v>11</v>
      </c>
      <c r="I5094">
        <f>INDEX(CalLookUpTable,MATCH($B5094,CalLookUpRow,0),MATCH(I$1,CalLookUpColumn,0))</f>
        <v>2</v>
      </c>
    </row>
    <row r="5095" spans="1:9" x14ac:dyDescent="0.25">
      <c r="A5095" s="7">
        <v>3</v>
      </c>
      <c r="B5095" s="8">
        <v>43775</v>
      </c>
      <c r="C5095" s="9" t="s">
        <v>4</v>
      </c>
      <c r="D5095" s="10">
        <v>2991.2190000000001</v>
      </c>
      <c r="E5095" s="10">
        <v>3351.5719999999997</v>
      </c>
      <c r="F5095" t="str">
        <f>VLOOKUP(A5095,StoreLookup,2,FALSE)</f>
        <v>Store#3</v>
      </c>
      <c r="G5095">
        <f>INDEX(CalLookUpTable,MATCH($B5095,CalLookUpRow,0),MATCH(G$1,CalLookUpColumn,0))</f>
        <v>2019</v>
      </c>
      <c r="H5095">
        <f>INDEX(CalLookUpTable,MATCH($B5095,CalLookUpRow,0),MATCH(H$1,CalLookUpColumn,0))</f>
        <v>11</v>
      </c>
      <c r="I5095">
        <f>INDEX(CalLookUpTable,MATCH($B5095,CalLookUpRow,0),MATCH(I$1,CalLookUpColumn,0))</f>
        <v>2</v>
      </c>
    </row>
    <row r="5096" spans="1:9" x14ac:dyDescent="0.25">
      <c r="A5096" s="7">
        <v>3</v>
      </c>
      <c r="B5096" s="8">
        <v>43775</v>
      </c>
      <c r="C5096" s="9" t="s">
        <v>5</v>
      </c>
      <c r="D5096" s="10">
        <v>2725.4359999999997</v>
      </c>
      <c r="E5096" s="10">
        <v>2908.1709999999998</v>
      </c>
      <c r="F5096" t="str">
        <f>VLOOKUP(A5096,StoreLookup,2,FALSE)</f>
        <v>Store#3</v>
      </c>
      <c r="G5096">
        <f>INDEX(CalLookUpTable,MATCH($B5096,CalLookUpRow,0),MATCH(G$1,CalLookUpColumn,0))</f>
        <v>2019</v>
      </c>
      <c r="H5096">
        <f>INDEX(CalLookUpTable,MATCH($B5096,CalLookUpRow,0),MATCH(H$1,CalLookUpColumn,0))</f>
        <v>11</v>
      </c>
      <c r="I5096">
        <f>INDEX(CalLookUpTable,MATCH($B5096,CalLookUpRow,0),MATCH(I$1,CalLookUpColumn,0))</f>
        <v>2</v>
      </c>
    </row>
    <row r="5097" spans="1:9" x14ac:dyDescent="0.25">
      <c r="A5097" s="7">
        <v>3</v>
      </c>
      <c r="B5097" s="8">
        <v>43775</v>
      </c>
      <c r="C5097" s="9" t="s">
        <v>3</v>
      </c>
      <c r="D5097" s="10">
        <v>0</v>
      </c>
      <c r="E5097" s="10">
        <v>198.261</v>
      </c>
      <c r="F5097" t="str">
        <f>VLOOKUP(A5097,StoreLookup,2,FALSE)</f>
        <v>Store#3</v>
      </c>
      <c r="G5097">
        <f>INDEX(CalLookUpTable,MATCH($B5097,CalLookUpRow,0),MATCH(G$1,CalLookUpColumn,0))</f>
        <v>2019</v>
      </c>
      <c r="H5097">
        <f>INDEX(CalLookUpTable,MATCH($B5097,CalLookUpRow,0),MATCH(H$1,CalLookUpColumn,0))</f>
        <v>11</v>
      </c>
      <c r="I5097">
        <f>INDEX(CalLookUpTable,MATCH($B5097,CalLookUpRow,0),MATCH(I$1,CalLookUpColumn,0))</f>
        <v>2</v>
      </c>
    </row>
    <row r="5098" spans="1:9" x14ac:dyDescent="0.25">
      <c r="A5098" s="7">
        <v>3</v>
      </c>
      <c r="B5098" s="8">
        <v>43776</v>
      </c>
      <c r="C5098" s="9" t="s">
        <v>5</v>
      </c>
      <c r="D5098" s="10">
        <v>2906.6170000000002</v>
      </c>
      <c r="E5098" s="10">
        <v>3739.442</v>
      </c>
      <c r="F5098" t="str">
        <f>VLOOKUP(A5098,StoreLookup,2,FALSE)</f>
        <v>Store#3</v>
      </c>
      <c r="G5098">
        <f>INDEX(CalLookUpTable,MATCH($B5098,CalLookUpRow,0),MATCH(G$1,CalLookUpColumn,0))</f>
        <v>2019</v>
      </c>
      <c r="H5098">
        <f>INDEX(CalLookUpTable,MATCH($B5098,CalLookUpRow,0),MATCH(H$1,CalLookUpColumn,0))</f>
        <v>11</v>
      </c>
      <c r="I5098">
        <f>INDEX(CalLookUpTable,MATCH($B5098,CalLookUpRow,0),MATCH(I$1,CalLookUpColumn,0))</f>
        <v>2</v>
      </c>
    </row>
    <row r="5099" spans="1:9" x14ac:dyDescent="0.25">
      <c r="A5099" s="7">
        <v>3</v>
      </c>
      <c r="B5099" s="8">
        <v>43776</v>
      </c>
      <c r="C5099" s="9" t="s">
        <v>6</v>
      </c>
      <c r="D5099" s="10">
        <v>1104.04</v>
      </c>
      <c r="E5099" s="10">
        <v>844.30500000000006</v>
      </c>
      <c r="F5099" t="str">
        <f>VLOOKUP(A5099,StoreLookup,2,FALSE)</f>
        <v>Store#3</v>
      </c>
      <c r="G5099">
        <f>INDEX(CalLookUpTable,MATCH($B5099,CalLookUpRow,0),MATCH(G$1,CalLookUpColumn,0))</f>
        <v>2019</v>
      </c>
      <c r="H5099">
        <f>INDEX(CalLookUpTable,MATCH($B5099,CalLookUpRow,0),MATCH(H$1,CalLookUpColumn,0))</f>
        <v>11</v>
      </c>
      <c r="I5099">
        <f>INDEX(CalLookUpTable,MATCH($B5099,CalLookUpRow,0),MATCH(I$1,CalLookUpColumn,0))</f>
        <v>2</v>
      </c>
    </row>
    <row r="5100" spans="1:9" x14ac:dyDescent="0.25">
      <c r="A5100" s="7">
        <v>3</v>
      </c>
      <c r="B5100" s="8">
        <v>43776</v>
      </c>
      <c r="C5100" s="9" t="s">
        <v>4</v>
      </c>
      <c r="D5100" s="10">
        <v>3134.7890000000002</v>
      </c>
      <c r="E5100" s="10">
        <v>4184.3829999999998</v>
      </c>
      <c r="F5100" t="str">
        <f>VLOOKUP(A5100,StoreLookup,2,FALSE)</f>
        <v>Store#3</v>
      </c>
      <c r="G5100">
        <f>INDEX(CalLookUpTable,MATCH($B5100,CalLookUpRow,0),MATCH(G$1,CalLookUpColumn,0))</f>
        <v>2019</v>
      </c>
      <c r="H5100">
        <f>INDEX(CalLookUpTable,MATCH($B5100,CalLookUpRow,0),MATCH(H$1,CalLookUpColumn,0))</f>
        <v>11</v>
      </c>
      <c r="I5100">
        <f>INDEX(CalLookUpTable,MATCH($B5100,CalLookUpRow,0),MATCH(I$1,CalLookUpColumn,0))</f>
        <v>2</v>
      </c>
    </row>
    <row r="5101" spans="1:9" x14ac:dyDescent="0.25">
      <c r="A5101" s="7">
        <v>3</v>
      </c>
      <c r="B5101" s="8">
        <v>43776</v>
      </c>
      <c r="C5101" s="9" t="s">
        <v>3</v>
      </c>
      <c r="D5101" s="10">
        <v>240.66</v>
      </c>
      <c r="E5101" s="10">
        <v>168.88900000000001</v>
      </c>
      <c r="F5101" t="str">
        <f>VLOOKUP(A5101,StoreLookup,2,FALSE)</f>
        <v>Store#3</v>
      </c>
      <c r="G5101">
        <f>INDEX(CalLookUpTable,MATCH($B5101,CalLookUpRow,0),MATCH(G$1,CalLookUpColumn,0))</f>
        <v>2019</v>
      </c>
      <c r="H5101">
        <f>INDEX(CalLookUpTable,MATCH($B5101,CalLookUpRow,0),MATCH(H$1,CalLookUpColumn,0))</f>
        <v>11</v>
      </c>
      <c r="I5101">
        <f>INDEX(CalLookUpTable,MATCH($B5101,CalLookUpRow,0),MATCH(I$1,CalLookUpColumn,0))</f>
        <v>2</v>
      </c>
    </row>
    <row r="5102" spans="1:9" x14ac:dyDescent="0.25">
      <c r="A5102" s="7">
        <v>3</v>
      </c>
      <c r="B5102" s="8">
        <v>43777</v>
      </c>
      <c r="C5102" s="9" t="s">
        <v>6</v>
      </c>
      <c r="D5102" s="10">
        <v>1417.5</v>
      </c>
      <c r="E5102" s="10">
        <v>1002.0779999999999</v>
      </c>
      <c r="F5102" t="str">
        <f>VLOOKUP(A5102,StoreLookup,2,FALSE)</f>
        <v>Store#3</v>
      </c>
      <c r="G5102">
        <f>INDEX(CalLookUpTable,MATCH($B5102,CalLookUpRow,0),MATCH(G$1,CalLookUpColumn,0))</f>
        <v>2019</v>
      </c>
      <c r="H5102">
        <f>INDEX(CalLookUpTable,MATCH($B5102,CalLookUpRow,0),MATCH(H$1,CalLookUpColumn,0))</f>
        <v>11</v>
      </c>
      <c r="I5102">
        <f>INDEX(CalLookUpTable,MATCH($B5102,CalLookUpRow,0),MATCH(I$1,CalLookUpColumn,0))</f>
        <v>2</v>
      </c>
    </row>
    <row r="5103" spans="1:9" x14ac:dyDescent="0.25">
      <c r="A5103" s="7">
        <v>3</v>
      </c>
      <c r="B5103" s="8">
        <v>43777</v>
      </c>
      <c r="C5103" s="9" t="s">
        <v>4</v>
      </c>
      <c r="D5103" s="10">
        <v>3714.1719999999996</v>
      </c>
      <c r="E5103" s="10">
        <v>4509.5540000000001</v>
      </c>
      <c r="F5103" t="str">
        <f>VLOOKUP(A5103,StoreLookup,2,FALSE)</f>
        <v>Store#3</v>
      </c>
      <c r="G5103">
        <f>INDEX(CalLookUpTable,MATCH($B5103,CalLookUpRow,0),MATCH(G$1,CalLookUpColumn,0))</f>
        <v>2019</v>
      </c>
      <c r="H5103">
        <f>INDEX(CalLookUpTable,MATCH($B5103,CalLookUpRow,0),MATCH(H$1,CalLookUpColumn,0))</f>
        <v>11</v>
      </c>
      <c r="I5103">
        <f>INDEX(CalLookUpTable,MATCH($B5103,CalLookUpRow,0),MATCH(I$1,CalLookUpColumn,0))</f>
        <v>2</v>
      </c>
    </row>
    <row r="5104" spans="1:9" x14ac:dyDescent="0.25">
      <c r="A5104" s="7">
        <v>3</v>
      </c>
      <c r="B5104" s="8">
        <v>43777</v>
      </c>
      <c r="C5104" s="9" t="s">
        <v>3</v>
      </c>
      <c r="D5104" s="10">
        <v>0</v>
      </c>
      <c r="E5104" s="10">
        <v>0</v>
      </c>
      <c r="F5104" t="str">
        <f>VLOOKUP(A5104,StoreLookup,2,FALSE)</f>
        <v>Store#3</v>
      </c>
      <c r="G5104">
        <f>INDEX(CalLookUpTable,MATCH($B5104,CalLookUpRow,0),MATCH(G$1,CalLookUpColumn,0))</f>
        <v>2019</v>
      </c>
      <c r="H5104">
        <f>INDEX(CalLookUpTable,MATCH($B5104,CalLookUpRow,0),MATCH(H$1,CalLookUpColumn,0))</f>
        <v>11</v>
      </c>
      <c r="I5104">
        <f>INDEX(CalLookUpTable,MATCH($B5104,CalLookUpRow,0),MATCH(I$1,CalLookUpColumn,0))</f>
        <v>2</v>
      </c>
    </row>
    <row r="5105" spans="1:9" x14ac:dyDescent="0.25">
      <c r="A5105" s="7">
        <v>3</v>
      </c>
      <c r="B5105" s="8">
        <v>43777</v>
      </c>
      <c r="C5105" s="9" t="s">
        <v>5</v>
      </c>
      <c r="D5105" s="10">
        <v>3051.0619999999999</v>
      </c>
      <c r="E5105" s="10">
        <v>3548.1039999999998</v>
      </c>
      <c r="F5105" t="str">
        <f>VLOOKUP(A5105,StoreLookup,2,FALSE)</f>
        <v>Store#3</v>
      </c>
      <c r="G5105">
        <f>INDEX(CalLookUpTable,MATCH($B5105,CalLookUpRow,0),MATCH(G$1,CalLookUpColumn,0))</f>
        <v>2019</v>
      </c>
      <c r="H5105">
        <f>INDEX(CalLookUpTable,MATCH($B5105,CalLookUpRow,0),MATCH(H$1,CalLookUpColumn,0))</f>
        <v>11</v>
      </c>
      <c r="I5105">
        <f>INDEX(CalLookUpTable,MATCH($B5105,CalLookUpRow,0),MATCH(I$1,CalLookUpColumn,0))</f>
        <v>2</v>
      </c>
    </row>
    <row r="5106" spans="1:9" x14ac:dyDescent="0.25">
      <c r="A5106" s="7">
        <v>3</v>
      </c>
      <c r="B5106" s="8">
        <v>43778</v>
      </c>
      <c r="C5106" s="9" t="s">
        <v>4</v>
      </c>
      <c r="D5106" s="10">
        <v>3695.0899999999997</v>
      </c>
      <c r="E5106" s="10">
        <v>4482.5969999999998</v>
      </c>
      <c r="F5106" t="str">
        <f>VLOOKUP(A5106,StoreLookup,2,FALSE)</f>
        <v>Store#3</v>
      </c>
      <c r="G5106">
        <f>INDEX(CalLookUpTable,MATCH($B5106,CalLookUpRow,0),MATCH(G$1,CalLookUpColumn,0))</f>
        <v>2019</v>
      </c>
      <c r="H5106">
        <f>INDEX(CalLookUpTable,MATCH($B5106,CalLookUpRow,0),MATCH(H$1,CalLookUpColumn,0))</f>
        <v>11</v>
      </c>
      <c r="I5106">
        <f>INDEX(CalLookUpTable,MATCH($B5106,CalLookUpRow,0),MATCH(I$1,CalLookUpColumn,0))</f>
        <v>2</v>
      </c>
    </row>
    <row r="5107" spans="1:9" x14ac:dyDescent="0.25">
      <c r="A5107" s="7">
        <v>3</v>
      </c>
      <c r="B5107" s="8">
        <v>43778</v>
      </c>
      <c r="C5107" s="9" t="s">
        <v>3</v>
      </c>
      <c r="D5107" s="10">
        <v>0</v>
      </c>
      <c r="E5107" s="10">
        <v>247.12799999999999</v>
      </c>
      <c r="F5107" t="str">
        <f>VLOOKUP(A5107,StoreLookup,2,FALSE)</f>
        <v>Store#3</v>
      </c>
      <c r="G5107">
        <f>INDEX(CalLookUpTable,MATCH($B5107,CalLookUpRow,0),MATCH(G$1,CalLookUpColumn,0))</f>
        <v>2019</v>
      </c>
      <c r="H5107">
        <f>INDEX(CalLookUpTable,MATCH($B5107,CalLookUpRow,0),MATCH(H$1,CalLookUpColumn,0))</f>
        <v>11</v>
      </c>
      <c r="I5107">
        <f>INDEX(CalLookUpTable,MATCH($B5107,CalLookUpRow,0),MATCH(I$1,CalLookUpColumn,0))</f>
        <v>2</v>
      </c>
    </row>
    <row r="5108" spans="1:9" x14ac:dyDescent="0.25">
      <c r="A5108" s="7">
        <v>3</v>
      </c>
      <c r="B5108" s="8">
        <v>43778</v>
      </c>
      <c r="C5108" s="9" t="s">
        <v>6</v>
      </c>
      <c r="D5108" s="10">
        <v>1079.0359999999998</v>
      </c>
      <c r="E5108" s="10">
        <v>839.46799999999996</v>
      </c>
      <c r="F5108" t="str">
        <f>VLOOKUP(A5108,StoreLookup,2,FALSE)</f>
        <v>Store#3</v>
      </c>
      <c r="G5108">
        <f>INDEX(CalLookUpTable,MATCH($B5108,CalLookUpRow,0),MATCH(G$1,CalLookUpColumn,0))</f>
        <v>2019</v>
      </c>
      <c r="H5108">
        <f>INDEX(CalLookUpTable,MATCH($B5108,CalLookUpRow,0),MATCH(H$1,CalLookUpColumn,0))</f>
        <v>11</v>
      </c>
      <c r="I5108">
        <f>INDEX(CalLookUpTable,MATCH($B5108,CalLookUpRow,0),MATCH(I$1,CalLookUpColumn,0))</f>
        <v>2</v>
      </c>
    </row>
    <row r="5109" spans="1:9" x14ac:dyDescent="0.25">
      <c r="A5109" s="7">
        <v>3</v>
      </c>
      <c r="B5109" s="8">
        <v>43778</v>
      </c>
      <c r="C5109" s="9" t="s">
        <v>5</v>
      </c>
      <c r="D5109" s="10">
        <v>3233.2859999999996</v>
      </c>
      <c r="E5109" s="10">
        <v>3883.3549999999996</v>
      </c>
      <c r="F5109" t="str">
        <f>VLOOKUP(A5109,StoreLookup,2,FALSE)</f>
        <v>Store#3</v>
      </c>
      <c r="G5109">
        <f>INDEX(CalLookUpTable,MATCH($B5109,CalLookUpRow,0),MATCH(G$1,CalLookUpColumn,0))</f>
        <v>2019</v>
      </c>
      <c r="H5109">
        <f>INDEX(CalLookUpTable,MATCH($B5109,CalLookUpRow,0),MATCH(H$1,CalLookUpColumn,0))</f>
        <v>11</v>
      </c>
      <c r="I5109">
        <f>INDEX(CalLookUpTable,MATCH($B5109,CalLookUpRow,0),MATCH(I$1,CalLookUpColumn,0))</f>
        <v>2</v>
      </c>
    </row>
    <row r="5110" spans="1:9" x14ac:dyDescent="0.25">
      <c r="A5110" s="7">
        <v>3</v>
      </c>
      <c r="B5110" s="8">
        <v>43779</v>
      </c>
      <c r="C5110" s="9" t="s">
        <v>4</v>
      </c>
      <c r="D5110" s="10">
        <v>2621.7589999999996</v>
      </c>
      <c r="E5110" s="10">
        <v>2698.1289999999999</v>
      </c>
      <c r="F5110" t="str">
        <f>VLOOKUP(A5110,StoreLookup,2,FALSE)</f>
        <v>Store#3</v>
      </c>
      <c r="G5110">
        <f>INDEX(CalLookUpTable,MATCH($B5110,CalLookUpRow,0),MATCH(G$1,CalLookUpColumn,0))</f>
        <v>2019</v>
      </c>
      <c r="H5110">
        <f>INDEX(CalLookUpTable,MATCH($B5110,CalLookUpRow,0),MATCH(H$1,CalLookUpColumn,0))</f>
        <v>11</v>
      </c>
      <c r="I5110">
        <f>INDEX(CalLookUpTable,MATCH($B5110,CalLookUpRow,0),MATCH(I$1,CalLookUpColumn,0))</f>
        <v>2</v>
      </c>
    </row>
    <row r="5111" spans="1:9" x14ac:dyDescent="0.25">
      <c r="A5111" s="7">
        <v>3</v>
      </c>
      <c r="B5111" s="8">
        <v>43779</v>
      </c>
      <c r="C5111" s="9" t="s">
        <v>3</v>
      </c>
      <c r="D5111" s="10">
        <v>0</v>
      </c>
      <c r="E5111" s="10">
        <v>0</v>
      </c>
      <c r="F5111" t="str">
        <f>VLOOKUP(A5111,StoreLookup,2,FALSE)</f>
        <v>Store#3</v>
      </c>
      <c r="G5111">
        <f>INDEX(CalLookUpTable,MATCH($B5111,CalLookUpRow,0),MATCH(G$1,CalLookUpColumn,0))</f>
        <v>2019</v>
      </c>
      <c r="H5111">
        <f>INDEX(CalLookUpTable,MATCH($B5111,CalLookUpRow,0),MATCH(H$1,CalLookUpColumn,0))</f>
        <v>11</v>
      </c>
      <c r="I5111">
        <f>INDEX(CalLookUpTable,MATCH($B5111,CalLookUpRow,0),MATCH(I$1,CalLookUpColumn,0))</f>
        <v>2</v>
      </c>
    </row>
    <row r="5112" spans="1:9" x14ac:dyDescent="0.25">
      <c r="A5112" s="7">
        <v>3</v>
      </c>
      <c r="B5112" s="8">
        <v>43779</v>
      </c>
      <c r="C5112" s="9" t="s">
        <v>6</v>
      </c>
      <c r="D5112" s="10">
        <v>1151.6889999999999</v>
      </c>
      <c r="E5112" s="10">
        <v>872.6339999999999</v>
      </c>
      <c r="F5112" t="str">
        <f>VLOOKUP(A5112,StoreLookup,2,FALSE)</f>
        <v>Store#3</v>
      </c>
      <c r="G5112">
        <f>INDEX(CalLookUpTable,MATCH($B5112,CalLookUpRow,0),MATCH(G$1,CalLookUpColumn,0))</f>
        <v>2019</v>
      </c>
      <c r="H5112">
        <f>INDEX(CalLookUpTable,MATCH($B5112,CalLookUpRow,0),MATCH(H$1,CalLookUpColumn,0))</f>
        <v>11</v>
      </c>
      <c r="I5112">
        <f>INDEX(CalLookUpTable,MATCH($B5112,CalLookUpRow,0),MATCH(I$1,CalLookUpColumn,0))</f>
        <v>2</v>
      </c>
    </row>
    <row r="5113" spans="1:9" x14ac:dyDescent="0.25">
      <c r="A5113" s="7">
        <v>3</v>
      </c>
      <c r="B5113" s="8">
        <v>43779</v>
      </c>
      <c r="C5113" s="9" t="s">
        <v>5</v>
      </c>
      <c r="D5113" s="10">
        <v>2678.4169999999999</v>
      </c>
      <c r="E5113" s="10">
        <v>2661.2039999999997</v>
      </c>
      <c r="F5113" t="str">
        <f>VLOOKUP(A5113,StoreLookup,2,FALSE)</f>
        <v>Store#3</v>
      </c>
      <c r="G5113">
        <f>INDEX(CalLookUpTable,MATCH($B5113,CalLookUpRow,0),MATCH(G$1,CalLookUpColumn,0))</f>
        <v>2019</v>
      </c>
      <c r="H5113">
        <f>INDEX(CalLookUpTable,MATCH($B5113,CalLookUpRow,0),MATCH(H$1,CalLookUpColumn,0))</f>
        <v>11</v>
      </c>
      <c r="I5113">
        <f>INDEX(CalLookUpTable,MATCH($B5113,CalLookUpRow,0),MATCH(I$1,CalLookUpColumn,0))</f>
        <v>2</v>
      </c>
    </row>
    <row r="5114" spans="1:9" x14ac:dyDescent="0.25">
      <c r="A5114" s="7">
        <v>3</v>
      </c>
      <c r="B5114" s="8">
        <v>43780</v>
      </c>
      <c r="C5114" s="9" t="s">
        <v>6</v>
      </c>
      <c r="D5114" s="10">
        <v>1655.1289999999997</v>
      </c>
      <c r="E5114" s="10">
        <v>891.17699999999991</v>
      </c>
      <c r="F5114" t="str">
        <f>VLOOKUP(A5114,StoreLookup,2,FALSE)</f>
        <v>Store#3</v>
      </c>
      <c r="G5114">
        <f>INDEX(CalLookUpTable,MATCH($B5114,CalLookUpRow,0),MATCH(G$1,CalLookUpColumn,0))</f>
        <v>2019</v>
      </c>
      <c r="H5114">
        <f>INDEX(CalLookUpTable,MATCH($B5114,CalLookUpRow,0),MATCH(H$1,CalLookUpColumn,0))</f>
        <v>11</v>
      </c>
      <c r="I5114">
        <f>INDEX(CalLookUpTable,MATCH($B5114,CalLookUpRow,0),MATCH(I$1,CalLookUpColumn,0))</f>
        <v>3</v>
      </c>
    </row>
    <row r="5115" spans="1:9" x14ac:dyDescent="0.25">
      <c r="A5115" s="7">
        <v>3</v>
      </c>
      <c r="B5115" s="8">
        <v>43780</v>
      </c>
      <c r="C5115" s="9" t="s">
        <v>4</v>
      </c>
      <c r="D5115" s="10">
        <v>2870.2449999999999</v>
      </c>
      <c r="E5115" s="10">
        <v>3117.4079999999994</v>
      </c>
      <c r="F5115" t="str">
        <f>VLOOKUP(A5115,StoreLookup,2,FALSE)</f>
        <v>Store#3</v>
      </c>
      <c r="G5115">
        <f>INDEX(CalLookUpTable,MATCH($B5115,CalLookUpRow,0),MATCH(G$1,CalLookUpColumn,0))</f>
        <v>2019</v>
      </c>
      <c r="H5115">
        <f>INDEX(CalLookUpTable,MATCH($B5115,CalLookUpRow,0),MATCH(H$1,CalLookUpColumn,0))</f>
        <v>11</v>
      </c>
      <c r="I5115">
        <f>INDEX(CalLookUpTable,MATCH($B5115,CalLookUpRow,0),MATCH(I$1,CalLookUpColumn,0))</f>
        <v>3</v>
      </c>
    </row>
    <row r="5116" spans="1:9" x14ac:dyDescent="0.25">
      <c r="A5116" s="7">
        <v>3</v>
      </c>
      <c r="B5116" s="8">
        <v>43780</v>
      </c>
      <c r="C5116" s="9" t="s">
        <v>5</v>
      </c>
      <c r="D5116" s="10">
        <v>2563.0919999999996</v>
      </c>
      <c r="E5116" s="10">
        <v>3000.1369999999997</v>
      </c>
      <c r="F5116" t="str">
        <f>VLOOKUP(A5116,StoreLookup,2,FALSE)</f>
        <v>Store#3</v>
      </c>
      <c r="G5116">
        <f>INDEX(CalLookUpTable,MATCH($B5116,CalLookUpRow,0),MATCH(G$1,CalLookUpColumn,0))</f>
        <v>2019</v>
      </c>
      <c r="H5116">
        <f>INDEX(CalLookUpTable,MATCH($B5116,CalLookUpRow,0),MATCH(H$1,CalLookUpColumn,0))</f>
        <v>11</v>
      </c>
      <c r="I5116">
        <f>INDEX(CalLookUpTable,MATCH($B5116,CalLookUpRow,0),MATCH(I$1,CalLookUpColumn,0))</f>
        <v>3</v>
      </c>
    </row>
    <row r="5117" spans="1:9" x14ac:dyDescent="0.25">
      <c r="A5117" s="7">
        <v>3</v>
      </c>
      <c r="B5117" s="8">
        <v>43780</v>
      </c>
      <c r="C5117" s="9" t="s">
        <v>3</v>
      </c>
      <c r="D5117" s="10">
        <v>0</v>
      </c>
      <c r="E5117" s="10">
        <v>0</v>
      </c>
      <c r="F5117" t="str">
        <f>VLOOKUP(A5117,StoreLookup,2,FALSE)</f>
        <v>Store#3</v>
      </c>
      <c r="G5117">
        <f>INDEX(CalLookUpTable,MATCH($B5117,CalLookUpRow,0),MATCH(G$1,CalLookUpColumn,0))</f>
        <v>2019</v>
      </c>
      <c r="H5117">
        <f>INDEX(CalLookUpTable,MATCH($B5117,CalLookUpRow,0),MATCH(H$1,CalLookUpColumn,0))</f>
        <v>11</v>
      </c>
      <c r="I5117">
        <f>INDEX(CalLookUpTable,MATCH($B5117,CalLookUpRow,0),MATCH(I$1,CalLookUpColumn,0))</f>
        <v>3</v>
      </c>
    </row>
    <row r="5118" spans="1:9" x14ac:dyDescent="0.25">
      <c r="A5118" s="7">
        <v>3</v>
      </c>
      <c r="B5118" s="8">
        <v>43781</v>
      </c>
      <c r="C5118" s="9" t="s">
        <v>6</v>
      </c>
      <c r="D5118" s="10">
        <v>980.71399999999994</v>
      </c>
      <c r="E5118" s="10">
        <v>772.91899999999998</v>
      </c>
      <c r="F5118" t="str">
        <f>VLOOKUP(A5118,StoreLookup,2,FALSE)</f>
        <v>Store#3</v>
      </c>
      <c r="G5118">
        <f>INDEX(CalLookUpTable,MATCH($B5118,CalLookUpRow,0),MATCH(G$1,CalLookUpColumn,0))</f>
        <v>2019</v>
      </c>
      <c r="H5118">
        <f>INDEX(CalLookUpTable,MATCH($B5118,CalLookUpRow,0),MATCH(H$1,CalLookUpColumn,0))</f>
        <v>11</v>
      </c>
      <c r="I5118">
        <f>INDEX(CalLookUpTable,MATCH($B5118,CalLookUpRow,0),MATCH(I$1,CalLookUpColumn,0))</f>
        <v>3</v>
      </c>
    </row>
    <row r="5119" spans="1:9" x14ac:dyDescent="0.25">
      <c r="A5119" s="7">
        <v>3</v>
      </c>
      <c r="B5119" s="8">
        <v>43781</v>
      </c>
      <c r="C5119" s="9" t="s">
        <v>4</v>
      </c>
      <c r="D5119" s="10">
        <v>2959.8379999999997</v>
      </c>
      <c r="E5119" s="10">
        <v>2840.2359999999999</v>
      </c>
      <c r="F5119" t="str">
        <f>VLOOKUP(A5119,StoreLookup,2,FALSE)</f>
        <v>Store#3</v>
      </c>
      <c r="G5119">
        <f>INDEX(CalLookUpTable,MATCH($B5119,CalLookUpRow,0),MATCH(G$1,CalLookUpColumn,0))</f>
        <v>2019</v>
      </c>
      <c r="H5119">
        <f>INDEX(CalLookUpTable,MATCH($B5119,CalLookUpRow,0),MATCH(H$1,CalLookUpColumn,0))</f>
        <v>11</v>
      </c>
      <c r="I5119">
        <f>INDEX(CalLookUpTable,MATCH($B5119,CalLookUpRow,0),MATCH(I$1,CalLookUpColumn,0))</f>
        <v>3</v>
      </c>
    </row>
    <row r="5120" spans="1:9" x14ac:dyDescent="0.25">
      <c r="A5120" s="7">
        <v>3</v>
      </c>
      <c r="B5120" s="8">
        <v>43781</v>
      </c>
      <c r="C5120" s="9" t="s">
        <v>3</v>
      </c>
      <c r="D5120" s="10">
        <v>0</v>
      </c>
      <c r="E5120" s="10">
        <v>13.699</v>
      </c>
      <c r="F5120" t="str">
        <f>VLOOKUP(A5120,StoreLookup,2,FALSE)</f>
        <v>Store#3</v>
      </c>
      <c r="G5120">
        <f>INDEX(CalLookUpTable,MATCH($B5120,CalLookUpRow,0),MATCH(G$1,CalLookUpColumn,0))</f>
        <v>2019</v>
      </c>
      <c r="H5120">
        <f>INDEX(CalLookUpTable,MATCH($B5120,CalLookUpRow,0),MATCH(H$1,CalLookUpColumn,0))</f>
        <v>11</v>
      </c>
      <c r="I5120">
        <f>INDEX(CalLookUpTable,MATCH($B5120,CalLookUpRow,0),MATCH(I$1,CalLookUpColumn,0))</f>
        <v>3</v>
      </c>
    </row>
    <row r="5121" spans="1:9" x14ac:dyDescent="0.25">
      <c r="A5121" s="7">
        <v>3</v>
      </c>
      <c r="B5121" s="8">
        <v>43781</v>
      </c>
      <c r="C5121" s="9" t="s">
        <v>5</v>
      </c>
      <c r="D5121" s="10">
        <v>2786.2589999999996</v>
      </c>
      <c r="E5121" s="10">
        <v>3363.3109999999997</v>
      </c>
      <c r="F5121" t="str">
        <f>VLOOKUP(A5121,StoreLookup,2,FALSE)</f>
        <v>Store#3</v>
      </c>
      <c r="G5121">
        <f>INDEX(CalLookUpTable,MATCH($B5121,CalLookUpRow,0),MATCH(G$1,CalLookUpColumn,0))</f>
        <v>2019</v>
      </c>
      <c r="H5121">
        <f>INDEX(CalLookUpTable,MATCH($B5121,CalLookUpRow,0),MATCH(H$1,CalLookUpColumn,0))</f>
        <v>11</v>
      </c>
      <c r="I5121">
        <f>INDEX(CalLookUpTable,MATCH($B5121,CalLookUpRow,0),MATCH(I$1,CalLookUpColumn,0))</f>
        <v>3</v>
      </c>
    </row>
    <row r="5122" spans="1:9" x14ac:dyDescent="0.25">
      <c r="A5122" s="7">
        <v>3</v>
      </c>
      <c r="B5122" s="8">
        <v>43782</v>
      </c>
      <c r="C5122" s="9" t="s">
        <v>3</v>
      </c>
      <c r="D5122" s="10">
        <v>295.20400000000001</v>
      </c>
      <c r="E5122" s="10">
        <v>0</v>
      </c>
      <c r="F5122" t="str">
        <f>VLOOKUP(A5122,StoreLookup,2,FALSE)</f>
        <v>Store#3</v>
      </c>
      <c r="G5122">
        <f>INDEX(CalLookUpTable,MATCH($B5122,CalLookUpRow,0),MATCH(G$1,CalLookUpColumn,0))</f>
        <v>2019</v>
      </c>
      <c r="H5122">
        <f>INDEX(CalLookUpTable,MATCH($B5122,CalLookUpRow,0),MATCH(H$1,CalLookUpColumn,0))</f>
        <v>11</v>
      </c>
      <c r="I5122">
        <f>INDEX(CalLookUpTable,MATCH($B5122,CalLookUpRow,0),MATCH(I$1,CalLookUpColumn,0))</f>
        <v>3</v>
      </c>
    </row>
    <row r="5123" spans="1:9" x14ac:dyDescent="0.25">
      <c r="A5123" s="7">
        <v>3</v>
      </c>
      <c r="B5123" s="8">
        <v>43782</v>
      </c>
      <c r="C5123" s="9" t="s">
        <v>6</v>
      </c>
      <c r="D5123" s="10">
        <v>1222.7249999999999</v>
      </c>
      <c r="E5123" s="10">
        <v>1093.8339999999998</v>
      </c>
      <c r="F5123" t="str">
        <f>VLOOKUP(A5123,StoreLookup,2,FALSE)</f>
        <v>Store#3</v>
      </c>
      <c r="G5123">
        <f>INDEX(CalLookUpTable,MATCH($B5123,CalLookUpRow,0),MATCH(G$1,CalLookUpColumn,0))</f>
        <v>2019</v>
      </c>
      <c r="H5123">
        <f>INDEX(CalLookUpTable,MATCH($B5123,CalLookUpRow,0),MATCH(H$1,CalLookUpColumn,0))</f>
        <v>11</v>
      </c>
      <c r="I5123">
        <f>INDEX(CalLookUpTable,MATCH($B5123,CalLookUpRow,0),MATCH(I$1,CalLookUpColumn,0))</f>
        <v>3</v>
      </c>
    </row>
    <row r="5124" spans="1:9" x14ac:dyDescent="0.25">
      <c r="A5124" s="7">
        <v>3</v>
      </c>
      <c r="B5124" s="8">
        <v>43782</v>
      </c>
      <c r="C5124" s="9" t="s">
        <v>4</v>
      </c>
      <c r="D5124" s="10">
        <v>2847.2009999999996</v>
      </c>
      <c r="E5124" s="10">
        <v>2895.6410000000001</v>
      </c>
      <c r="F5124" t="str">
        <f>VLOOKUP(A5124,StoreLookup,2,FALSE)</f>
        <v>Store#3</v>
      </c>
      <c r="G5124">
        <f>INDEX(CalLookUpTable,MATCH($B5124,CalLookUpRow,0),MATCH(G$1,CalLookUpColumn,0))</f>
        <v>2019</v>
      </c>
      <c r="H5124">
        <f>INDEX(CalLookUpTable,MATCH($B5124,CalLookUpRow,0),MATCH(H$1,CalLookUpColumn,0))</f>
        <v>11</v>
      </c>
      <c r="I5124">
        <f>INDEX(CalLookUpTable,MATCH($B5124,CalLookUpRow,0),MATCH(I$1,CalLookUpColumn,0))</f>
        <v>3</v>
      </c>
    </row>
    <row r="5125" spans="1:9" x14ac:dyDescent="0.25">
      <c r="A5125" s="7">
        <v>3</v>
      </c>
      <c r="B5125" s="8">
        <v>43782</v>
      </c>
      <c r="C5125" s="9" t="s">
        <v>5</v>
      </c>
      <c r="D5125" s="10">
        <v>2968.4479999999999</v>
      </c>
      <c r="E5125" s="10">
        <v>3072.9929999999995</v>
      </c>
      <c r="F5125" t="str">
        <f>VLOOKUP(A5125,StoreLookup,2,FALSE)</f>
        <v>Store#3</v>
      </c>
      <c r="G5125">
        <f>INDEX(CalLookUpTable,MATCH($B5125,CalLookUpRow,0),MATCH(G$1,CalLookUpColumn,0))</f>
        <v>2019</v>
      </c>
      <c r="H5125">
        <f>INDEX(CalLookUpTable,MATCH($B5125,CalLookUpRow,0),MATCH(H$1,CalLookUpColumn,0))</f>
        <v>11</v>
      </c>
      <c r="I5125">
        <f>INDEX(CalLookUpTable,MATCH($B5125,CalLookUpRow,0),MATCH(I$1,CalLookUpColumn,0))</f>
        <v>3</v>
      </c>
    </row>
    <row r="5126" spans="1:9" x14ac:dyDescent="0.25">
      <c r="A5126" s="7">
        <v>3</v>
      </c>
      <c r="B5126" s="8">
        <v>43783</v>
      </c>
      <c r="C5126" s="9" t="s">
        <v>5</v>
      </c>
      <c r="D5126" s="10">
        <v>2997.6239999999998</v>
      </c>
      <c r="E5126" s="10">
        <v>3342.3179999999998</v>
      </c>
      <c r="F5126" t="str">
        <f>VLOOKUP(A5126,StoreLookup,2,FALSE)</f>
        <v>Store#3</v>
      </c>
      <c r="G5126">
        <f>INDEX(CalLookUpTable,MATCH($B5126,CalLookUpRow,0),MATCH(G$1,CalLookUpColumn,0))</f>
        <v>2019</v>
      </c>
      <c r="H5126">
        <f>INDEX(CalLookUpTable,MATCH($B5126,CalLookUpRow,0),MATCH(H$1,CalLookUpColumn,0))</f>
        <v>11</v>
      </c>
      <c r="I5126">
        <f>INDEX(CalLookUpTable,MATCH($B5126,CalLookUpRow,0),MATCH(I$1,CalLookUpColumn,0))</f>
        <v>3</v>
      </c>
    </row>
    <row r="5127" spans="1:9" x14ac:dyDescent="0.25">
      <c r="A5127" s="7">
        <v>3</v>
      </c>
      <c r="B5127" s="8">
        <v>43783</v>
      </c>
      <c r="C5127" s="9" t="s">
        <v>3</v>
      </c>
      <c r="D5127" s="10">
        <v>0</v>
      </c>
      <c r="E5127" s="10">
        <v>160.85999999999999</v>
      </c>
      <c r="F5127" t="str">
        <f>VLOOKUP(A5127,StoreLookup,2,FALSE)</f>
        <v>Store#3</v>
      </c>
      <c r="G5127">
        <f>INDEX(CalLookUpTable,MATCH($B5127,CalLookUpRow,0),MATCH(G$1,CalLookUpColumn,0))</f>
        <v>2019</v>
      </c>
      <c r="H5127">
        <f>INDEX(CalLookUpTable,MATCH($B5127,CalLookUpRow,0),MATCH(H$1,CalLookUpColumn,0))</f>
        <v>11</v>
      </c>
      <c r="I5127">
        <f>INDEX(CalLookUpTable,MATCH($B5127,CalLookUpRow,0),MATCH(I$1,CalLookUpColumn,0))</f>
        <v>3</v>
      </c>
    </row>
    <row r="5128" spans="1:9" x14ac:dyDescent="0.25">
      <c r="A5128" s="7">
        <v>3</v>
      </c>
      <c r="B5128" s="8">
        <v>43783</v>
      </c>
      <c r="C5128" s="9" t="s">
        <v>6</v>
      </c>
      <c r="D5128" s="10">
        <v>1533.672</v>
      </c>
      <c r="E5128" s="10">
        <v>1098.8879999999999</v>
      </c>
      <c r="F5128" t="str">
        <f>VLOOKUP(A5128,StoreLookup,2,FALSE)</f>
        <v>Store#3</v>
      </c>
      <c r="G5128">
        <f>INDEX(CalLookUpTable,MATCH($B5128,CalLookUpRow,0),MATCH(G$1,CalLookUpColumn,0))</f>
        <v>2019</v>
      </c>
      <c r="H5128">
        <f>INDEX(CalLookUpTable,MATCH($B5128,CalLookUpRow,0),MATCH(H$1,CalLookUpColumn,0))</f>
        <v>11</v>
      </c>
      <c r="I5128">
        <f>INDEX(CalLookUpTable,MATCH($B5128,CalLookUpRow,0),MATCH(I$1,CalLookUpColumn,0))</f>
        <v>3</v>
      </c>
    </row>
    <row r="5129" spans="1:9" x14ac:dyDescent="0.25">
      <c r="A5129" s="7">
        <v>3</v>
      </c>
      <c r="B5129" s="8">
        <v>43783</v>
      </c>
      <c r="C5129" s="9" t="s">
        <v>4</v>
      </c>
      <c r="D5129" s="10">
        <v>2969.2670000000003</v>
      </c>
      <c r="E5129" s="10">
        <v>3876.1659999999997</v>
      </c>
      <c r="F5129" t="str">
        <f>VLOOKUP(A5129,StoreLookup,2,FALSE)</f>
        <v>Store#3</v>
      </c>
      <c r="G5129">
        <f>INDEX(CalLookUpTable,MATCH($B5129,CalLookUpRow,0),MATCH(G$1,CalLookUpColumn,0))</f>
        <v>2019</v>
      </c>
      <c r="H5129">
        <f>INDEX(CalLookUpTable,MATCH($B5129,CalLookUpRow,0),MATCH(H$1,CalLookUpColumn,0))</f>
        <v>11</v>
      </c>
      <c r="I5129">
        <f>INDEX(CalLookUpTable,MATCH($B5129,CalLookUpRow,0),MATCH(I$1,CalLookUpColumn,0))</f>
        <v>3</v>
      </c>
    </row>
    <row r="5130" spans="1:9" x14ac:dyDescent="0.25">
      <c r="A5130" s="7">
        <v>3</v>
      </c>
      <c r="B5130" s="8">
        <v>43784</v>
      </c>
      <c r="C5130" s="9" t="s">
        <v>3</v>
      </c>
      <c r="D5130" s="10">
        <v>111.82499999999999</v>
      </c>
      <c r="E5130" s="10">
        <v>146.85999999999999</v>
      </c>
      <c r="F5130" t="str">
        <f>VLOOKUP(A5130,StoreLookup,2,FALSE)</f>
        <v>Store#3</v>
      </c>
      <c r="G5130">
        <f>INDEX(CalLookUpTable,MATCH($B5130,CalLookUpRow,0),MATCH(G$1,CalLookUpColumn,0))</f>
        <v>2019</v>
      </c>
      <c r="H5130">
        <f>INDEX(CalLookUpTable,MATCH($B5130,CalLookUpRow,0),MATCH(H$1,CalLookUpColumn,0))</f>
        <v>11</v>
      </c>
      <c r="I5130">
        <f>INDEX(CalLookUpTable,MATCH($B5130,CalLookUpRow,0),MATCH(I$1,CalLookUpColumn,0))</f>
        <v>3</v>
      </c>
    </row>
    <row r="5131" spans="1:9" x14ac:dyDescent="0.25">
      <c r="A5131" s="7">
        <v>3</v>
      </c>
      <c r="B5131" s="8">
        <v>43784</v>
      </c>
      <c r="C5131" s="9" t="s">
        <v>6</v>
      </c>
      <c r="D5131" s="10">
        <v>1676.4369999999999</v>
      </c>
      <c r="E5131" s="10">
        <v>1167.5650000000001</v>
      </c>
      <c r="F5131" t="str">
        <f>VLOOKUP(A5131,StoreLookup,2,FALSE)</f>
        <v>Store#3</v>
      </c>
      <c r="G5131">
        <f>INDEX(CalLookUpTable,MATCH($B5131,CalLookUpRow,0),MATCH(G$1,CalLookUpColumn,0))</f>
        <v>2019</v>
      </c>
      <c r="H5131">
        <f>INDEX(CalLookUpTable,MATCH($B5131,CalLookUpRow,0),MATCH(H$1,CalLookUpColumn,0))</f>
        <v>11</v>
      </c>
      <c r="I5131">
        <f>INDEX(CalLookUpTable,MATCH($B5131,CalLookUpRow,0),MATCH(I$1,CalLookUpColumn,0))</f>
        <v>3</v>
      </c>
    </row>
    <row r="5132" spans="1:9" x14ac:dyDescent="0.25">
      <c r="A5132" s="7">
        <v>3</v>
      </c>
      <c r="B5132" s="8">
        <v>43784</v>
      </c>
      <c r="C5132" s="9" t="s">
        <v>4</v>
      </c>
      <c r="D5132" s="10">
        <v>3785.6419999999998</v>
      </c>
      <c r="E5132" s="10">
        <v>4401.7679999999991</v>
      </c>
      <c r="F5132" t="str">
        <f>VLOOKUP(A5132,StoreLookup,2,FALSE)</f>
        <v>Store#3</v>
      </c>
      <c r="G5132">
        <f>INDEX(CalLookUpTable,MATCH($B5132,CalLookUpRow,0),MATCH(G$1,CalLookUpColumn,0))</f>
        <v>2019</v>
      </c>
      <c r="H5132">
        <f>INDEX(CalLookUpTable,MATCH($B5132,CalLookUpRow,0),MATCH(H$1,CalLookUpColumn,0))</f>
        <v>11</v>
      </c>
      <c r="I5132">
        <f>INDEX(CalLookUpTable,MATCH($B5132,CalLookUpRow,0),MATCH(I$1,CalLookUpColumn,0))</f>
        <v>3</v>
      </c>
    </row>
    <row r="5133" spans="1:9" x14ac:dyDescent="0.25">
      <c r="A5133" s="7">
        <v>3</v>
      </c>
      <c r="B5133" s="8">
        <v>43784</v>
      </c>
      <c r="C5133" s="9" t="s">
        <v>5</v>
      </c>
      <c r="D5133" s="10">
        <v>3389.288</v>
      </c>
      <c r="E5133" s="10">
        <v>3364.4659999999999</v>
      </c>
      <c r="F5133" t="str">
        <f>VLOOKUP(A5133,StoreLookup,2,FALSE)</f>
        <v>Store#3</v>
      </c>
      <c r="G5133">
        <f>INDEX(CalLookUpTable,MATCH($B5133,CalLookUpRow,0),MATCH(G$1,CalLookUpColumn,0))</f>
        <v>2019</v>
      </c>
      <c r="H5133">
        <f>INDEX(CalLookUpTable,MATCH($B5133,CalLookUpRow,0),MATCH(H$1,CalLookUpColumn,0))</f>
        <v>11</v>
      </c>
      <c r="I5133">
        <f>INDEX(CalLookUpTable,MATCH($B5133,CalLookUpRow,0),MATCH(I$1,CalLookUpColumn,0))</f>
        <v>3</v>
      </c>
    </row>
    <row r="5134" spans="1:9" x14ac:dyDescent="0.25">
      <c r="A5134" s="7">
        <v>3</v>
      </c>
      <c r="B5134" s="8">
        <v>43785</v>
      </c>
      <c r="C5134" s="9" t="s">
        <v>6</v>
      </c>
      <c r="D5134" s="10">
        <v>1825.6</v>
      </c>
      <c r="E5134" s="10">
        <v>1131.06</v>
      </c>
      <c r="F5134" t="str">
        <f>VLOOKUP(A5134,StoreLookup,2,FALSE)</f>
        <v>Store#3</v>
      </c>
      <c r="G5134">
        <f>INDEX(CalLookUpTable,MATCH($B5134,CalLookUpRow,0),MATCH(G$1,CalLookUpColumn,0))</f>
        <v>2019</v>
      </c>
      <c r="H5134">
        <f>INDEX(CalLookUpTable,MATCH($B5134,CalLookUpRow,0),MATCH(H$1,CalLookUpColumn,0))</f>
        <v>11</v>
      </c>
      <c r="I5134">
        <f>INDEX(CalLookUpTable,MATCH($B5134,CalLookUpRow,0),MATCH(I$1,CalLookUpColumn,0))</f>
        <v>3</v>
      </c>
    </row>
    <row r="5135" spans="1:9" x14ac:dyDescent="0.25">
      <c r="A5135" s="7">
        <v>3</v>
      </c>
      <c r="B5135" s="8">
        <v>43785</v>
      </c>
      <c r="C5135" s="9" t="s">
        <v>3</v>
      </c>
      <c r="D5135" s="10">
        <v>195.958</v>
      </c>
      <c r="E5135" s="10">
        <v>273.57399999999996</v>
      </c>
      <c r="F5135" t="str">
        <f>VLOOKUP(A5135,StoreLookup,2,FALSE)</f>
        <v>Store#3</v>
      </c>
      <c r="G5135">
        <f>INDEX(CalLookUpTable,MATCH($B5135,CalLookUpRow,0),MATCH(G$1,CalLookUpColumn,0))</f>
        <v>2019</v>
      </c>
      <c r="H5135">
        <f>INDEX(CalLookUpTable,MATCH($B5135,CalLookUpRow,0),MATCH(H$1,CalLookUpColumn,0))</f>
        <v>11</v>
      </c>
      <c r="I5135">
        <f>INDEX(CalLookUpTable,MATCH($B5135,CalLookUpRow,0),MATCH(I$1,CalLookUpColumn,0))</f>
        <v>3</v>
      </c>
    </row>
    <row r="5136" spans="1:9" x14ac:dyDescent="0.25">
      <c r="A5136" s="7">
        <v>3</v>
      </c>
      <c r="B5136" s="8">
        <v>43785</v>
      </c>
      <c r="C5136" s="9" t="s">
        <v>4</v>
      </c>
      <c r="D5136" s="10">
        <v>3152.2749999999996</v>
      </c>
      <c r="E5136" s="10">
        <v>3527.3839999999996</v>
      </c>
      <c r="F5136" t="str">
        <f>VLOOKUP(A5136,StoreLookup,2,FALSE)</f>
        <v>Store#3</v>
      </c>
      <c r="G5136">
        <f>INDEX(CalLookUpTable,MATCH($B5136,CalLookUpRow,0),MATCH(G$1,CalLookUpColumn,0))</f>
        <v>2019</v>
      </c>
      <c r="H5136">
        <f>INDEX(CalLookUpTable,MATCH($B5136,CalLookUpRow,0),MATCH(H$1,CalLookUpColumn,0))</f>
        <v>11</v>
      </c>
      <c r="I5136">
        <f>INDEX(CalLookUpTable,MATCH($B5136,CalLookUpRow,0),MATCH(I$1,CalLookUpColumn,0))</f>
        <v>3</v>
      </c>
    </row>
    <row r="5137" spans="1:9" x14ac:dyDescent="0.25">
      <c r="A5137" s="7">
        <v>3</v>
      </c>
      <c r="B5137" s="8">
        <v>43785</v>
      </c>
      <c r="C5137" s="9" t="s">
        <v>5</v>
      </c>
      <c r="D5137" s="10">
        <v>3299.625</v>
      </c>
      <c r="E5137" s="10">
        <v>3466.9390000000003</v>
      </c>
      <c r="F5137" t="str">
        <f>VLOOKUP(A5137,StoreLookup,2,FALSE)</f>
        <v>Store#3</v>
      </c>
      <c r="G5137">
        <f>INDEX(CalLookUpTable,MATCH($B5137,CalLookUpRow,0),MATCH(G$1,CalLookUpColumn,0))</f>
        <v>2019</v>
      </c>
      <c r="H5137">
        <f>INDEX(CalLookUpTable,MATCH($B5137,CalLookUpRow,0),MATCH(H$1,CalLookUpColumn,0))</f>
        <v>11</v>
      </c>
      <c r="I5137">
        <f>INDEX(CalLookUpTable,MATCH($B5137,CalLookUpRow,0),MATCH(I$1,CalLookUpColumn,0))</f>
        <v>3</v>
      </c>
    </row>
    <row r="5138" spans="1:9" x14ac:dyDescent="0.25">
      <c r="A5138" s="7">
        <v>3</v>
      </c>
      <c r="B5138" s="8">
        <v>43786</v>
      </c>
      <c r="C5138" s="9" t="s">
        <v>4</v>
      </c>
      <c r="D5138" s="10">
        <v>1998.8639999999998</v>
      </c>
      <c r="E5138" s="10">
        <v>2873.6609999999996</v>
      </c>
      <c r="F5138" t="str">
        <f>VLOOKUP(A5138,StoreLookup,2,FALSE)</f>
        <v>Store#3</v>
      </c>
      <c r="G5138">
        <f>INDEX(CalLookUpTable,MATCH($B5138,CalLookUpRow,0),MATCH(G$1,CalLookUpColumn,0))</f>
        <v>2019</v>
      </c>
      <c r="H5138">
        <f>INDEX(CalLookUpTable,MATCH($B5138,CalLookUpRow,0),MATCH(H$1,CalLookUpColumn,0))</f>
        <v>11</v>
      </c>
      <c r="I5138">
        <f>INDEX(CalLookUpTable,MATCH($B5138,CalLookUpRow,0),MATCH(I$1,CalLookUpColumn,0))</f>
        <v>3</v>
      </c>
    </row>
    <row r="5139" spans="1:9" x14ac:dyDescent="0.25">
      <c r="A5139" s="7">
        <v>3</v>
      </c>
      <c r="B5139" s="8">
        <v>43786</v>
      </c>
      <c r="C5139" s="9" t="s">
        <v>5</v>
      </c>
      <c r="D5139" s="10">
        <v>2495.9690000000001</v>
      </c>
      <c r="E5139" s="10">
        <v>2663.5839999999998</v>
      </c>
      <c r="F5139" t="str">
        <f>VLOOKUP(A5139,StoreLookup,2,FALSE)</f>
        <v>Store#3</v>
      </c>
      <c r="G5139">
        <f>INDEX(CalLookUpTable,MATCH($B5139,CalLookUpRow,0),MATCH(G$1,CalLookUpColumn,0))</f>
        <v>2019</v>
      </c>
      <c r="H5139">
        <f>INDEX(CalLookUpTable,MATCH($B5139,CalLookUpRow,0),MATCH(H$1,CalLookUpColumn,0))</f>
        <v>11</v>
      </c>
      <c r="I5139">
        <f>INDEX(CalLookUpTable,MATCH($B5139,CalLookUpRow,0),MATCH(I$1,CalLookUpColumn,0))</f>
        <v>3</v>
      </c>
    </row>
    <row r="5140" spans="1:9" x14ac:dyDescent="0.25">
      <c r="A5140" s="7">
        <v>3</v>
      </c>
      <c r="B5140" s="8">
        <v>43786</v>
      </c>
      <c r="C5140" s="9" t="s">
        <v>6</v>
      </c>
      <c r="D5140" s="10">
        <v>1229.3329999999999</v>
      </c>
      <c r="E5140" s="10">
        <v>777.7349999999999</v>
      </c>
      <c r="F5140" t="str">
        <f>VLOOKUP(A5140,StoreLookup,2,FALSE)</f>
        <v>Store#3</v>
      </c>
      <c r="G5140">
        <f>INDEX(CalLookUpTable,MATCH($B5140,CalLookUpRow,0),MATCH(G$1,CalLookUpColumn,0))</f>
        <v>2019</v>
      </c>
      <c r="H5140">
        <f>INDEX(CalLookUpTable,MATCH($B5140,CalLookUpRow,0),MATCH(H$1,CalLookUpColumn,0))</f>
        <v>11</v>
      </c>
      <c r="I5140">
        <f>INDEX(CalLookUpTable,MATCH($B5140,CalLookUpRow,0),MATCH(I$1,CalLookUpColumn,0))</f>
        <v>3</v>
      </c>
    </row>
    <row r="5141" spans="1:9" x14ac:dyDescent="0.25">
      <c r="A5141" s="7">
        <v>3</v>
      </c>
      <c r="B5141" s="8">
        <v>43786</v>
      </c>
      <c r="C5141" s="9" t="s">
        <v>3</v>
      </c>
      <c r="D5141" s="10">
        <v>182.39899999999997</v>
      </c>
      <c r="E5141" s="10">
        <v>702.12799999999993</v>
      </c>
      <c r="F5141" t="str">
        <f>VLOOKUP(A5141,StoreLookup,2,FALSE)</f>
        <v>Store#3</v>
      </c>
      <c r="G5141">
        <f>INDEX(CalLookUpTable,MATCH($B5141,CalLookUpRow,0),MATCH(G$1,CalLookUpColumn,0))</f>
        <v>2019</v>
      </c>
      <c r="H5141">
        <f>INDEX(CalLookUpTable,MATCH($B5141,CalLookUpRow,0),MATCH(H$1,CalLookUpColumn,0))</f>
        <v>11</v>
      </c>
      <c r="I5141">
        <f>INDEX(CalLookUpTable,MATCH($B5141,CalLookUpRow,0),MATCH(I$1,CalLookUpColumn,0))</f>
        <v>3</v>
      </c>
    </row>
    <row r="5142" spans="1:9" x14ac:dyDescent="0.25">
      <c r="A5142" s="7">
        <v>3</v>
      </c>
      <c r="B5142" s="8">
        <v>43787</v>
      </c>
      <c r="C5142" s="9" t="s">
        <v>4</v>
      </c>
      <c r="D5142" s="10">
        <v>2215.136</v>
      </c>
      <c r="E5142" s="10">
        <v>3024.4969999999998</v>
      </c>
      <c r="F5142" t="str">
        <f>VLOOKUP(A5142,StoreLookup,2,FALSE)</f>
        <v>Store#3</v>
      </c>
      <c r="G5142">
        <f>INDEX(CalLookUpTable,MATCH($B5142,CalLookUpRow,0),MATCH(G$1,CalLookUpColumn,0))</f>
        <v>2019</v>
      </c>
      <c r="H5142">
        <f>INDEX(CalLookUpTable,MATCH($B5142,CalLookUpRow,0),MATCH(H$1,CalLookUpColumn,0))</f>
        <v>11</v>
      </c>
      <c r="I5142">
        <f>INDEX(CalLookUpTable,MATCH($B5142,CalLookUpRow,0),MATCH(I$1,CalLookUpColumn,0))</f>
        <v>4</v>
      </c>
    </row>
    <row r="5143" spans="1:9" x14ac:dyDescent="0.25">
      <c r="A5143" s="7">
        <v>3</v>
      </c>
      <c r="B5143" s="8">
        <v>43787</v>
      </c>
      <c r="C5143" s="9" t="s">
        <v>6</v>
      </c>
      <c r="D5143" s="10">
        <v>1485.2949999999998</v>
      </c>
      <c r="E5143" s="10">
        <v>988.16899999999998</v>
      </c>
      <c r="F5143" t="str">
        <f>VLOOKUP(A5143,StoreLookup,2,FALSE)</f>
        <v>Store#3</v>
      </c>
      <c r="G5143">
        <f>INDEX(CalLookUpTable,MATCH($B5143,CalLookUpRow,0),MATCH(G$1,CalLookUpColumn,0))</f>
        <v>2019</v>
      </c>
      <c r="H5143">
        <f>INDEX(CalLookUpTable,MATCH($B5143,CalLookUpRow,0),MATCH(H$1,CalLookUpColumn,0))</f>
        <v>11</v>
      </c>
      <c r="I5143">
        <f>INDEX(CalLookUpTable,MATCH($B5143,CalLookUpRow,0),MATCH(I$1,CalLookUpColumn,0))</f>
        <v>4</v>
      </c>
    </row>
    <row r="5144" spans="1:9" x14ac:dyDescent="0.25">
      <c r="A5144" s="7">
        <v>3</v>
      </c>
      <c r="B5144" s="8">
        <v>43787</v>
      </c>
      <c r="C5144" s="9" t="s">
        <v>3</v>
      </c>
      <c r="D5144" s="10">
        <v>0</v>
      </c>
      <c r="E5144" s="10">
        <v>0</v>
      </c>
      <c r="F5144" t="str">
        <f>VLOOKUP(A5144,StoreLookup,2,FALSE)</f>
        <v>Store#3</v>
      </c>
      <c r="G5144">
        <f>INDEX(CalLookUpTable,MATCH($B5144,CalLookUpRow,0),MATCH(G$1,CalLookUpColumn,0))</f>
        <v>2019</v>
      </c>
      <c r="H5144">
        <f>INDEX(CalLookUpTable,MATCH($B5144,CalLookUpRow,0),MATCH(H$1,CalLookUpColumn,0))</f>
        <v>11</v>
      </c>
      <c r="I5144">
        <f>INDEX(CalLookUpTable,MATCH($B5144,CalLookUpRow,0),MATCH(I$1,CalLookUpColumn,0))</f>
        <v>4</v>
      </c>
    </row>
    <row r="5145" spans="1:9" x14ac:dyDescent="0.25">
      <c r="A5145" s="7">
        <v>3</v>
      </c>
      <c r="B5145" s="8">
        <v>43787</v>
      </c>
      <c r="C5145" s="9" t="s">
        <v>5</v>
      </c>
      <c r="D5145" s="10">
        <v>2506.4619999999995</v>
      </c>
      <c r="E5145" s="10">
        <v>3038.2730000000001</v>
      </c>
      <c r="F5145" t="str">
        <f>VLOOKUP(A5145,StoreLookup,2,FALSE)</f>
        <v>Store#3</v>
      </c>
      <c r="G5145">
        <f>INDEX(CalLookUpTable,MATCH($B5145,CalLookUpRow,0),MATCH(G$1,CalLookUpColumn,0))</f>
        <v>2019</v>
      </c>
      <c r="H5145">
        <f>INDEX(CalLookUpTable,MATCH($B5145,CalLookUpRow,0),MATCH(H$1,CalLookUpColumn,0))</f>
        <v>11</v>
      </c>
      <c r="I5145">
        <f>INDEX(CalLookUpTable,MATCH($B5145,CalLookUpRow,0),MATCH(I$1,CalLookUpColumn,0))</f>
        <v>4</v>
      </c>
    </row>
    <row r="5146" spans="1:9" x14ac:dyDescent="0.25">
      <c r="A5146" s="7">
        <v>3</v>
      </c>
      <c r="B5146" s="8">
        <v>43788</v>
      </c>
      <c r="C5146" s="9" t="s">
        <v>3</v>
      </c>
      <c r="D5146" s="10">
        <v>349.71999999999997</v>
      </c>
      <c r="E5146" s="10">
        <v>0</v>
      </c>
      <c r="F5146" t="str">
        <f>VLOOKUP(A5146,StoreLookup,2,FALSE)</f>
        <v>Store#3</v>
      </c>
      <c r="G5146">
        <f>INDEX(CalLookUpTable,MATCH($B5146,CalLookUpRow,0),MATCH(G$1,CalLookUpColumn,0))</f>
        <v>2019</v>
      </c>
      <c r="H5146">
        <f>INDEX(CalLookUpTable,MATCH($B5146,CalLookUpRow,0),MATCH(H$1,CalLookUpColumn,0))</f>
        <v>11</v>
      </c>
      <c r="I5146">
        <f>INDEX(CalLookUpTable,MATCH($B5146,CalLookUpRow,0),MATCH(I$1,CalLookUpColumn,0))</f>
        <v>4</v>
      </c>
    </row>
    <row r="5147" spans="1:9" x14ac:dyDescent="0.25">
      <c r="A5147" s="7">
        <v>3</v>
      </c>
      <c r="B5147" s="8">
        <v>43788</v>
      </c>
      <c r="C5147" s="9" t="s">
        <v>6</v>
      </c>
      <c r="D5147" s="10">
        <v>1325.59</v>
      </c>
      <c r="E5147" s="10">
        <v>1166.6759999999999</v>
      </c>
      <c r="F5147" t="str">
        <f>VLOOKUP(A5147,StoreLookup,2,FALSE)</f>
        <v>Store#3</v>
      </c>
      <c r="G5147">
        <f>INDEX(CalLookUpTable,MATCH($B5147,CalLookUpRow,0),MATCH(G$1,CalLookUpColumn,0))</f>
        <v>2019</v>
      </c>
      <c r="H5147">
        <f>INDEX(CalLookUpTable,MATCH($B5147,CalLookUpRow,0),MATCH(H$1,CalLookUpColumn,0))</f>
        <v>11</v>
      </c>
      <c r="I5147">
        <f>INDEX(CalLookUpTable,MATCH($B5147,CalLookUpRow,0),MATCH(I$1,CalLookUpColumn,0))</f>
        <v>4</v>
      </c>
    </row>
    <row r="5148" spans="1:9" x14ac:dyDescent="0.25">
      <c r="A5148" s="7">
        <v>3</v>
      </c>
      <c r="B5148" s="8">
        <v>43788</v>
      </c>
      <c r="C5148" s="9" t="s">
        <v>4</v>
      </c>
      <c r="D5148" s="10">
        <v>2759.6869999999999</v>
      </c>
      <c r="E5148" s="10">
        <v>3502.9049999999997</v>
      </c>
      <c r="F5148" t="str">
        <f>VLOOKUP(A5148,StoreLookup,2,FALSE)</f>
        <v>Store#3</v>
      </c>
      <c r="G5148">
        <f>INDEX(CalLookUpTable,MATCH($B5148,CalLookUpRow,0),MATCH(G$1,CalLookUpColumn,0))</f>
        <v>2019</v>
      </c>
      <c r="H5148">
        <f>INDEX(CalLookUpTable,MATCH($B5148,CalLookUpRow,0),MATCH(H$1,CalLookUpColumn,0))</f>
        <v>11</v>
      </c>
      <c r="I5148">
        <f>INDEX(CalLookUpTable,MATCH($B5148,CalLookUpRow,0),MATCH(I$1,CalLookUpColumn,0))</f>
        <v>4</v>
      </c>
    </row>
    <row r="5149" spans="1:9" x14ac:dyDescent="0.25">
      <c r="A5149" s="7">
        <v>3</v>
      </c>
      <c r="B5149" s="8">
        <v>43788</v>
      </c>
      <c r="C5149" s="9" t="s">
        <v>5</v>
      </c>
      <c r="D5149" s="10">
        <v>2987.11</v>
      </c>
      <c r="E5149" s="10">
        <v>3078.8869999999997</v>
      </c>
      <c r="F5149" t="str">
        <f>VLOOKUP(A5149,StoreLookup,2,FALSE)</f>
        <v>Store#3</v>
      </c>
      <c r="G5149">
        <f>INDEX(CalLookUpTable,MATCH($B5149,CalLookUpRow,0),MATCH(G$1,CalLookUpColumn,0))</f>
        <v>2019</v>
      </c>
      <c r="H5149">
        <f>INDEX(CalLookUpTable,MATCH($B5149,CalLookUpRow,0),MATCH(H$1,CalLookUpColumn,0))</f>
        <v>11</v>
      </c>
      <c r="I5149">
        <f>INDEX(CalLookUpTable,MATCH($B5149,CalLookUpRow,0),MATCH(I$1,CalLookUpColumn,0))</f>
        <v>4</v>
      </c>
    </row>
    <row r="5150" spans="1:9" x14ac:dyDescent="0.25">
      <c r="A5150" s="7">
        <v>3</v>
      </c>
      <c r="B5150" s="8">
        <v>43789</v>
      </c>
      <c r="C5150" s="9" t="s">
        <v>4</v>
      </c>
      <c r="D5150" s="10">
        <v>2842.4759999999997</v>
      </c>
      <c r="E5150" s="10">
        <v>3332.623</v>
      </c>
      <c r="F5150" t="str">
        <f>VLOOKUP(A5150,StoreLookup,2,FALSE)</f>
        <v>Store#3</v>
      </c>
      <c r="G5150">
        <f>INDEX(CalLookUpTable,MATCH($B5150,CalLookUpRow,0),MATCH(G$1,CalLookUpColumn,0))</f>
        <v>2019</v>
      </c>
      <c r="H5150">
        <f>INDEX(CalLookUpTable,MATCH($B5150,CalLookUpRow,0),MATCH(H$1,CalLookUpColumn,0))</f>
        <v>11</v>
      </c>
      <c r="I5150">
        <f>INDEX(CalLookUpTable,MATCH($B5150,CalLookUpRow,0),MATCH(I$1,CalLookUpColumn,0))</f>
        <v>4</v>
      </c>
    </row>
    <row r="5151" spans="1:9" x14ac:dyDescent="0.25">
      <c r="A5151" s="7">
        <v>3</v>
      </c>
      <c r="B5151" s="8">
        <v>43789</v>
      </c>
      <c r="C5151" s="9" t="s">
        <v>5</v>
      </c>
      <c r="D5151" s="10">
        <v>2698.0239999999999</v>
      </c>
      <c r="E5151" s="10">
        <v>2916.067</v>
      </c>
      <c r="F5151" t="str">
        <f>VLOOKUP(A5151,StoreLookup,2,FALSE)</f>
        <v>Store#3</v>
      </c>
      <c r="G5151">
        <f>INDEX(CalLookUpTable,MATCH($B5151,CalLookUpRow,0),MATCH(G$1,CalLookUpColumn,0))</f>
        <v>2019</v>
      </c>
      <c r="H5151">
        <f>INDEX(CalLookUpTable,MATCH($B5151,CalLookUpRow,0),MATCH(H$1,CalLookUpColumn,0))</f>
        <v>11</v>
      </c>
      <c r="I5151">
        <f>INDEX(CalLookUpTable,MATCH($B5151,CalLookUpRow,0),MATCH(I$1,CalLookUpColumn,0))</f>
        <v>4</v>
      </c>
    </row>
    <row r="5152" spans="1:9" x14ac:dyDescent="0.25">
      <c r="A5152" s="7">
        <v>3</v>
      </c>
      <c r="B5152" s="8">
        <v>43789</v>
      </c>
      <c r="C5152" s="9" t="s">
        <v>6</v>
      </c>
      <c r="D5152" s="10">
        <v>1395.8979999999999</v>
      </c>
      <c r="E5152" s="10">
        <v>1066.4989999999998</v>
      </c>
      <c r="F5152" t="str">
        <f>VLOOKUP(A5152,StoreLookup,2,FALSE)</f>
        <v>Store#3</v>
      </c>
      <c r="G5152">
        <f>INDEX(CalLookUpTable,MATCH($B5152,CalLookUpRow,0),MATCH(G$1,CalLookUpColumn,0))</f>
        <v>2019</v>
      </c>
      <c r="H5152">
        <f>INDEX(CalLookUpTable,MATCH($B5152,CalLookUpRow,0),MATCH(H$1,CalLookUpColumn,0))</f>
        <v>11</v>
      </c>
      <c r="I5152">
        <f>INDEX(CalLookUpTable,MATCH($B5152,CalLookUpRow,0),MATCH(I$1,CalLookUpColumn,0))</f>
        <v>4</v>
      </c>
    </row>
    <row r="5153" spans="1:9" x14ac:dyDescent="0.25">
      <c r="A5153" s="7">
        <v>3</v>
      </c>
      <c r="B5153" s="8">
        <v>43789</v>
      </c>
      <c r="C5153" s="9" t="s">
        <v>3</v>
      </c>
      <c r="D5153" s="10">
        <v>0</v>
      </c>
      <c r="E5153" s="10">
        <v>20.978999999999999</v>
      </c>
      <c r="F5153" t="str">
        <f>VLOOKUP(A5153,StoreLookup,2,FALSE)</f>
        <v>Store#3</v>
      </c>
      <c r="G5153">
        <f>INDEX(CalLookUpTable,MATCH($B5153,CalLookUpRow,0),MATCH(G$1,CalLookUpColumn,0))</f>
        <v>2019</v>
      </c>
      <c r="H5153">
        <f>INDEX(CalLookUpTable,MATCH($B5153,CalLookUpRow,0),MATCH(H$1,CalLookUpColumn,0))</f>
        <v>11</v>
      </c>
      <c r="I5153">
        <f>INDEX(CalLookUpTable,MATCH($B5153,CalLookUpRow,0),MATCH(I$1,CalLookUpColumn,0))</f>
        <v>4</v>
      </c>
    </row>
    <row r="5154" spans="1:9" x14ac:dyDescent="0.25">
      <c r="A5154" s="7">
        <v>3</v>
      </c>
      <c r="B5154" s="8">
        <v>43790</v>
      </c>
      <c r="C5154" s="9" t="s">
        <v>6</v>
      </c>
      <c r="D5154" s="10">
        <v>1256.9969999999998</v>
      </c>
      <c r="E5154" s="10">
        <v>0</v>
      </c>
      <c r="F5154" t="str">
        <f>VLOOKUP(A5154,StoreLookup,2,FALSE)</f>
        <v>Store#3</v>
      </c>
      <c r="G5154">
        <f>INDEX(CalLookUpTable,MATCH($B5154,CalLookUpRow,0),MATCH(G$1,CalLookUpColumn,0))</f>
        <v>2019</v>
      </c>
      <c r="H5154">
        <f>INDEX(CalLookUpTable,MATCH($B5154,CalLookUpRow,0),MATCH(H$1,CalLookUpColumn,0))</f>
        <v>11</v>
      </c>
      <c r="I5154">
        <f>INDEX(CalLookUpTable,MATCH($B5154,CalLookUpRow,0),MATCH(I$1,CalLookUpColumn,0))</f>
        <v>4</v>
      </c>
    </row>
    <row r="5155" spans="1:9" x14ac:dyDescent="0.25">
      <c r="A5155" s="7">
        <v>3</v>
      </c>
      <c r="B5155" s="8">
        <v>43790</v>
      </c>
      <c r="C5155" s="9" t="s">
        <v>4</v>
      </c>
      <c r="D5155" s="10">
        <v>3271.3379999999997</v>
      </c>
      <c r="E5155" s="10">
        <v>0</v>
      </c>
      <c r="F5155" t="str">
        <f>VLOOKUP(A5155,StoreLookup,2,FALSE)</f>
        <v>Store#3</v>
      </c>
      <c r="G5155">
        <f>INDEX(CalLookUpTable,MATCH($B5155,CalLookUpRow,0),MATCH(G$1,CalLookUpColumn,0))</f>
        <v>2019</v>
      </c>
      <c r="H5155">
        <f>INDEX(CalLookUpTable,MATCH($B5155,CalLookUpRow,0),MATCH(H$1,CalLookUpColumn,0))</f>
        <v>11</v>
      </c>
      <c r="I5155">
        <f>INDEX(CalLookUpTable,MATCH($B5155,CalLookUpRow,0),MATCH(I$1,CalLookUpColumn,0))</f>
        <v>4</v>
      </c>
    </row>
    <row r="5156" spans="1:9" x14ac:dyDescent="0.25">
      <c r="A5156" s="7">
        <v>3</v>
      </c>
      <c r="B5156" s="8">
        <v>43790</v>
      </c>
      <c r="C5156" s="9" t="s">
        <v>3</v>
      </c>
      <c r="D5156" s="10">
        <v>220.542</v>
      </c>
      <c r="E5156" s="10">
        <v>0</v>
      </c>
      <c r="F5156" t="str">
        <f>VLOOKUP(A5156,StoreLookup,2,FALSE)</f>
        <v>Store#3</v>
      </c>
      <c r="G5156">
        <f>INDEX(CalLookUpTable,MATCH($B5156,CalLookUpRow,0),MATCH(G$1,CalLookUpColumn,0))</f>
        <v>2019</v>
      </c>
      <c r="H5156">
        <f>INDEX(CalLookUpTable,MATCH($B5156,CalLookUpRow,0),MATCH(H$1,CalLookUpColumn,0))</f>
        <v>11</v>
      </c>
      <c r="I5156">
        <f>INDEX(CalLookUpTable,MATCH($B5156,CalLookUpRow,0),MATCH(I$1,CalLookUpColumn,0))</f>
        <v>4</v>
      </c>
    </row>
    <row r="5157" spans="1:9" x14ac:dyDescent="0.25">
      <c r="A5157" s="7">
        <v>3</v>
      </c>
      <c r="B5157" s="8">
        <v>43790</v>
      </c>
      <c r="C5157" s="9" t="s">
        <v>5</v>
      </c>
      <c r="D5157" s="10">
        <v>3272.6959999999995</v>
      </c>
      <c r="E5157" s="10">
        <v>0</v>
      </c>
      <c r="F5157" t="str">
        <f>VLOOKUP(A5157,StoreLookup,2,FALSE)</f>
        <v>Store#3</v>
      </c>
      <c r="G5157">
        <f>INDEX(CalLookUpTable,MATCH($B5157,CalLookUpRow,0),MATCH(G$1,CalLookUpColumn,0))</f>
        <v>2019</v>
      </c>
      <c r="H5157">
        <f>INDEX(CalLookUpTable,MATCH($B5157,CalLookUpRow,0),MATCH(H$1,CalLookUpColumn,0))</f>
        <v>11</v>
      </c>
      <c r="I5157">
        <f>INDEX(CalLookUpTable,MATCH($B5157,CalLookUpRow,0),MATCH(I$1,CalLookUpColumn,0))</f>
        <v>4</v>
      </c>
    </row>
    <row r="5158" spans="1:9" x14ac:dyDescent="0.25">
      <c r="A5158" s="7">
        <v>3</v>
      </c>
      <c r="B5158" s="8">
        <v>43791</v>
      </c>
      <c r="C5158" s="9" t="s">
        <v>5</v>
      </c>
      <c r="D5158" s="10">
        <v>3110.3519999999994</v>
      </c>
      <c r="E5158" s="10">
        <v>2619.0990000000002</v>
      </c>
      <c r="F5158" t="str">
        <f>VLOOKUP(A5158,StoreLookup,2,FALSE)</f>
        <v>Store#3</v>
      </c>
      <c r="G5158">
        <f>INDEX(CalLookUpTable,MATCH($B5158,CalLookUpRow,0),MATCH(G$1,CalLookUpColumn,0))</f>
        <v>2019</v>
      </c>
      <c r="H5158">
        <f>INDEX(CalLookUpTable,MATCH($B5158,CalLookUpRow,0),MATCH(H$1,CalLookUpColumn,0))</f>
        <v>11</v>
      </c>
      <c r="I5158">
        <f>INDEX(CalLookUpTable,MATCH($B5158,CalLookUpRow,0),MATCH(I$1,CalLookUpColumn,0))</f>
        <v>4</v>
      </c>
    </row>
    <row r="5159" spans="1:9" x14ac:dyDescent="0.25">
      <c r="A5159" s="7">
        <v>3</v>
      </c>
      <c r="B5159" s="8">
        <v>43791</v>
      </c>
      <c r="C5159" s="9" t="s">
        <v>4</v>
      </c>
      <c r="D5159" s="10">
        <v>3661.1469999999999</v>
      </c>
      <c r="E5159" s="10">
        <v>3652.1309999999999</v>
      </c>
      <c r="F5159" t="str">
        <f>VLOOKUP(A5159,StoreLookup,2,FALSE)</f>
        <v>Store#3</v>
      </c>
      <c r="G5159">
        <f>INDEX(CalLookUpTable,MATCH($B5159,CalLookUpRow,0),MATCH(G$1,CalLookUpColumn,0))</f>
        <v>2019</v>
      </c>
      <c r="H5159">
        <f>INDEX(CalLookUpTable,MATCH($B5159,CalLookUpRow,0),MATCH(H$1,CalLookUpColumn,0))</f>
        <v>11</v>
      </c>
      <c r="I5159">
        <f>INDEX(CalLookUpTable,MATCH($B5159,CalLookUpRow,0),MATCH(I$1,CalLookUpColumn,0))</f>
        <v>4</v>
      </c>
    </row>
    <row r="5160" spans="1:9" x14ac:dyDescent="0.25">
      <c r="A5160" s="7">
        <v>3</v>
      </c>
      <c r="B5160" s="8">
        <v>43791</v>
      </c>
      <c r="C5160" s="9" t="s">
        <v>6</v>
      </c>
      <c r="D5160" s="10">
        <v>1573.9499999999998</v>
      </c>
      <c r="E5160" s="10">
        <v>726.08899999999994</v>
      </c>
      <c r="F5160" t="str">
        <f>VLOOKUP(A5160,StoreLookup,2,FALSE)</f>
        <v>Store#3</v>
      </c>
      <c r="G5160">
        <f>INDEX(CalLookUpTable,MATCH($B5160,CalLookUpRow,0),MATCH(G$1,CalLookUpColumn,0))</f>
        <v>2019</v>
      </c>
      <c r="H5160">
        <f>INDEX(CalLookUpTable,MATCH($B5160,CalLookUpRow,0),MATCH(H$1,CalLookUpColumn,0))</f>
        <v>11</v>
      </c>
      <c r="I5160">
        <f>INDEX(CalLookUpTable,MATCH($B5160,CalLookUpRow,0),MATCH(I$1,CalLookUpColumn,0))</f>
        <v>4</v>
      </c>
    </row>
    <row r="5161" spans="1:9" x14ac:dyDescent="0.25">
      <c r="A5161" s="7">
        <v>3</v>
      </c>
      <c r="B5161" s="8">
        <v>43791</v>
      </c>
      <c r="C5161" s="9" t="s">
        <v>3</v>
      </c>
      <c r="D5161" s="10">
        <v>244.44699999999997</v>
      </c>
      <c r="E5161" s="10">
        <v>0</v>
      </c>
      <c r="F5161" t="str">
        <f>VLOOKUP(A5161,StoreLookup,2,FALSE)</f>
        <v>Store#3</v>
      </c>
      <c r="G5161">
        <f>INDEX(CalLookUpTable,MATCH($B5161,CalLookUpRow,0),MATCH(G$1,CalLookUpColumn,0))</f>
        <v>2019</v>
      </c>
      <c r="H5161">
        <f>INDEX(CalLookUpTable,MATCH($B5161,CalLookUpRow,0),MATCH(H$1,CalLookUpColumn,0))</f>
        <v>11</v>
      </c>
      <c r="I5161">
        <f>INDEX(CalLookUpTable,MATCH($B5161,CalLookUpRow,0),MATCH(I$1,CalLookUpColumn,0))</f>
        <v>4</v>
      </c>
    </row>
    <row r="5162" spans="1:9" x14ac:dyDescent="0.25">
      <c r="A5162" s="7">
        <v>3</v>
      </c>
      <c r="B5162" s="8">
        <v>43792</v>
      </c>
      <c r="C5162" s="9" t="s">
        <v>4</v>
      </c>
      <c r="D5162" s="10">
        <v>3408.7619999999997</v>
      </c>
      <c r="E5162" s="10">
        <v>2650.3960000000002</v>
      </c>
      <c r="F5162" t="str">
        <f>VLOOKUP(A5162,StoreLookup,2,FALSE)</f>
        <v>Store#3</v>
      </c>
      <c r="G5162">
        <f>INDEX(CalLookUpTable,MATCH($B5162,CalLookUpRow,0),MATCH(G$1,CalLookUpColumn,0))</f>
        <v>2019</v>
      </c>
      <c r="H5162">
        <f>INDEX(CalLookUpTable,MATCH($B5162,CalLookUpRow,0),MATCH(H$1,CalLookUpColumn,0))</f>
        <v>11</v>
      </c>
      <c r="I5162">
        <f>INDEX(CalLookUpTable,MATCH($B5162,CalLookUpRow,0),MATCH(I$1,CalLookUpColumn,0))</f>
        <v>4</v>
      </c>
    </row>
    <row r="5163" spans="1:9" x14ac:dyDescent="0.25">
      <c r="A5163" s="7">
        <v>3</v>
      </c>
      <c r="B5163" s="8">
        <v>43792</v>
      </c>
      <c r="C5163" s="9" t="s">
        <v>6</v>
      </c>
      <c r="D5163" s="10">
        <v>1398.5160000000001</v>
      </c>
      <c r="E5163" s="10">
        <v>554.63099999999997</v>
      </c>
      <c r="F5163" t="str">
        <f>VLOOKUP(A5163,StoreLookup,2,FALSE)</f>
        <v>Store#3</v>
      </c>
      <c r="G5163">
        <f>INDEX(CalLookUpTable,MATCH($B5163,CalLookUpRow,0),MATCH(G$1,CalLookUpColumn,0))</f>
        <v>2019</v>
      </c>
      <c r="H5163">
        <f>INDEX(CalLookUpTable,MATCH($B5163,CalLookUpRow,0),MATCH(H$1,CalLookUpColumn,0))</f>
        <v>11</v>
      </c>
      <c r="I5163">
        <f>INDEX(CalLookUpTable,MATCH($B5163,CalLookUpRow,0),MATCH(I$1,CalLookUpColumn,0))</f>
        <v>4</v>
      </c>
    </row>
    <row r="5164" spans="1:9" x14ac:dyDescent="0.25">
      <c r="A5164" s="7">
        <v>3</v>
      </c>
      <c r="B5164" s="8">
        <v>43792</v>
      </c>
      <c r="C5164" s="9" t="s">
        <v>3</v>
      </c>
      <c r="D5164" s="10">
        <v>0</v>
      </c>
      <c r="E5164" s="10">
        <v>0</v>
      </c>
      <c r="F5164" t="str">
        <f>VLOOKUP(A5164,StoreLookup,2,FALSE)</f>
        <v>Store#3</v>
      </c>
      <c r="G5164">
        <f>INDEX(CalLookUpTable,MATCH($B5164,CalLookUpRow,0),MATCH(G$1,CalLookUpColumn,0))</f>
        <v>2019</v>
      </c>
      <c r="H5164">
        <f>INDEX(CalLookUpTable,MATCH($B5164,CalLookUpRow,0),MATCH(H$1,CalLookUpColumn,0))</f>
        <v>11</v>
      </c>
      <c r="I5164">
        <f>INDEX(CalLookUpTable,MATCH($B5164,CalLookUpRow,0),MATCH(I$1,CalLookUpColumn,0))</f>
        <v>4</v>
      </c>
    </row>
    <row r="5165" spans="1:9" x14ac:dyDescent="0.25">
      <c r="A5165" s="7">
        <v>3</v>
      </c>
      <c r="B5165" s="8">
        <v>43792</v>
      </c>
      <c r="C5165" s="9" t="s">
        <v>5</v>
      </c>
      <c r="D5165" s="10">
        <v>2957.9269999999997</v>
      </c>
      <c r="E5165" s="10">
        <v>2866.0309999999999</v>
      </c>
      <c r="F5165" t="str">
        <f>VLOOKUP(A5165,StoreLookup,2,FALSE)</f>
        <v>Store#3</v>
      </c>
      <c r="G5165">
        <f>INDEX(CalLookUpTable,MATCH($B5165,CalLookUpRow,0),MATCH(G$1,CalLookUpColumn,0))</f>
        <v>2019</v>
      </c>
      <c r="H5165">
        <f>INDEX(CalLookUpTable,MATCH($B5165,CalLookUpRow,0),MATCH(H$1,CalLookUpColumn,0))</f>
        <v>11</v>
      </c>
      <c r="I5165">
        <f>INDEX(CalLookUpTable,MATCH($B5165,CalLookUpRow,0),MATCH(I$1,CalLookUpColumn,0))</f>
        <v>4</v>
      </c>
    </row>
    <row r="5166" spans="1:9" x14ac:dyDescent="0.25">
      <c r="A5166" s="7">
        <v>3</v>
      </c>
      <c r="B5166" s="8">
        <v>43793</v>
      </c>
      <c r="C5166" s="9" t="s">
        <v>4</v>
      </c>
      <c r="D5166" s="10">
        <v>2526.5029999999997</v>
      </c>
      <c r="E5166" s="10">
        <v>2515.2469999999998</v>
      </c>
      <c r="F5166" t="str">
        <f>VLOOKUP(A5166,StoreLookup,2,FALSE)</f>
        <v>Store#3</v>
      </c>
      <c r="G5166">
        <f>INDEX(CalLookUpTable,MATCH($B5166,CalLookUpRow,0),MATCH(G$1,CalLookUpColumn,0))</f>
        <v>2019</v>
      </c>
      <c r="H5166">
        <f>INDEX(CalLookUpTable,MATCH($B5166,CalLookUpRow,0),MATCH(H$1,CalLookUpColumn,0))</f>
        <v>11</v>
      </c>
      <c r="I5166">
        <f>INDEX(CalLookUpTable,MATCH($B5166,CalLookUpRow,0),MATCH(I$1,CalLookUpColumn,0))</f>
        <v>4</v>
      </c>
    </row>
    <row r="5167" spans="1:9" x14ac:dyDescent="0.25">
      <c r="A5167" s="7">
        <v>3</v>
      </c>
      <c r="B5167" s="8">
        <v>43793</v>
      </c>
      <c r="C5167" s="9" t="s">
        <v>3</v>
      </c>
      <c r="D5167" s="10">
        <v>6.5029999999999992</v>
      </c>
      <c r="E5167" s="10">
        <v>163.64599999999999</v>
      </c>
      <c r="F5167" t="str">
        <f>VLOOKUP(A5167,StoreLookup,2,FALSE)</f>
        <v>Store#3</v>
      </c>
      <c r="G5167">
        <f>INDEX(CalLookUpTable,MATCH($B5167,CalLookUpRow,0),MATCH(G$1,CalLookUpColumn,0))</f>
        <v>2019</v>
      </c>
      <c r="H5167">
        <f>INDEX(CalLookUpTable,MATCH($B5167,CalLookUpRow,0),MATCH(H$1,CalLookUpColumn,0))</f>
        <v>11</v>
      </c>
      <c r="I5167">
        <f>INDEX(CalLookUpTable,MATCH($B5167,CalLookUpRow,0),MATCH(I$1,CalLookUpColumn,0))</f>
        <v>4</v>
      </c>
    </row>
    <row r="5168" spans="1:9" x14ac:dyDescent="0.25">
      <c r="A5168" s="7">
        <v>3</v>
      </c>
      <c r="B5168" s="8">
        <v>43793</v>
      </c>
      <c r="C5168" s="9" t="s">
        <v>5</v>
      </c>
      <c r="D5168" s="10">
        <v>2568.0549999999998</v>
      </c>
      <c r="E5168" s="10">
        <v>2705.0309999999999</v>
      </c>
      <c r="F5168" t="str">
        <f>VLOOKUP(A5168,StoreLookup,2,FALSE)</f>
        <v>Store#3</v>
      </c>
      <c r="G5168">
        <f>INDEX(CalLookUpTable,MATCH($B5168,CalLookUpRow,0),MATCH(G$1,CalLookUpColumn,0))</f>
        <v>2019</v>
      </c>
      <c r="H5168">
        <f>INDEX(CalLookUpTable,MATCH($B5168,CalLookUpRow,0),MATCH(H$1,CalLookUpColumn,0))</f>
        <v>11</v>
      </c>
      <c r="I5168">
        <f>INDEX(CalLookUpTable,MATCH($B5168,CalLookUpRow,0),MATCH(I$1,CalLookUpColumn,0))</f>
        <v>4</v>
      </c>
    </row>
    <row r="5169" spans="1:9" x14ac:dyDescent="0.25">
      <c r="A5169" s="7">
        <v>3</v>
      </c>
      <c r="B5169" s="8">
        <v>43793</v>
      </c>
      <c r="C5169" s="9" t="s">
        <v>6</v>
      </c>
      <c r="D5169" s="10">
        <v>1454.453</v>
      </c>
      <c r="E5169" s="10">
        <v>836.91999999999985</v>
      </c>
      <c r="F5169" t="str">
        <f>VLOOKUP(A5169,StoreLookup,2,FALSE)</f>
        <v>Store#3</v>
      </c>
      <c r="G5169">
        <f>INDEX(CalLookUpTable,MATCH($B5169,CalLookUpRow,0),MATCH(G$1,CalLookUpColumn,0))</f>
        <v>2019</v>
      </c>
      <c r="H5169">
        <f>INDEX(CalLookUpTable,MATCH($B5169,CalLookUpRow,0),MATCH(H$1,CalLookUpColumn,0))</f>
        <v>11</v>
      </c>
      <c r="I5169">
        <f>INDEX(CalLookUpTable,MATCH($B5169,CalLookUpRow,0),MATCH(I$1,CalLookUpColumn,0))</f>
        <v>4</v>
      </c>
    </row>
    <row r="5170" spans="1:9" x14ac:dyDescent="0.25">
      <c r="A5170" s="7">
        <v>3</v>
      </c>
      <c r="B5170" s="8">
        <v>43794</v>
      </c>
      <c r="C5170" s="9" t="s">
        <v>3</v>
      </c>
      <c r="D5170" s="10">
        <v>44.470999999999997</v>
      </c>
      <c r="E5170" s="10">
        <v>206.29</v>
      </c>
      <c r="F5170" t="str">
        <f>VLOOKUP(A5170,StoreLookup,2,FALSE)</f>
        <v>Store#3</v>
      </c>
      <c r="G5170">
        <f>INDEX(CalLookUpTable,MATCH($B5170,CalLookUpRow,0),MATCH(G$1,CalLookUpColumn,0))</f>
        <v>2019</v>
      </c>
      <c r="H5170">
        <f>INDEX(CalLookUpTable,MATCH($B5170,CalLookUpRow,0),MATCH(H$1,CalLookUpColumn,0))</f>
        <v>12</v>
      </c>
      <c r="I5170">
        <f>INDEX(CalLookUpTable,MATCH($B5170,CalLookUpRow,0),MATCH(I$1,CalLookUpColumn,0))</f>
        <v>1</v>
      </c>
    </row>
    <row r="5171" spans="1:9" x14ac:dyDescent="0.25">
      <c r="A5171" s="7">
        <v>3</v>
      </c>
      <c r="B5171" s="8">
        <v>43794</v>
      </c>
      <c r="C5171" s="9" t="s">
        <v>4</v>
      </c>
      <c r="D5171" s="10">
        <v>2574.2710000000002</v>
      </c>
      <c r="E5171" s="10">
        <v>2941.8969999999999</v>
      </c>
      <c r="F5171" t="str">
        <f>VLOOKUP(A5171,StoreLookup,2,FALSE)</f>
        <v>Store#3</v>
      </c>
      <c r="G5171">
        <f>INDEX(CalLookUpTable,MATCH($B5171,CalLookUpRow,0),MATCH(G$1,CalLookUpColumn,0))</f>
        <v>2019</v>
      </c>
      <c r="H5171">
        <f>INDEX(CalLookUpTable,MATCH($B5171,CalLookUpRow,0),MATCH(H$1,CalLookUpColumn,0))</f>
        <v>12</v>
      </c>
      <c r="I5171">
        <f>INDEX(CalLookUpTable,MATCH($B5171,CalLookUpRow,0),MATCH(I$1,CalLookUpColumn,0))</f>
        <v>1</v>
      </c>
    </row>
    <row r="5172" spans="1:9" x14ac:dyDescent="0.25">
      <c r="A5172" s="7">
        <v>3</v>
      </c>
      <c r="B5172" s="8">
        <v>43794</v>
      </c>
      <c r="C5172" s="9" t="s">
        <v>6</v>
      </c>
      <c r="D5172" s="10">
        <v>1030.078</v>
      </c>
      <c r="E5172" s="10">
        <v>826.05599999999993</v>
      </c>
      <c r="F5172" t="str">
        <f>VLOOKUP(A5172,StoreLookup,2,FALSE)</f>
        <v>Store#3</v>
      </c>
      <c r="G5172">
        <f>INDEX(CalLookUpTable,MATCH($B5172,CalLookUpRow,0),MATCH(G$1,CalLookUpColumn,0))</f>
        <v>2019</v>
      </c>
      <c r="H5172">
        <f>INDEX(CalLookUpTable,MATCH($B5172,CalLookUpRow,0),MATCH(H$1,CalLookUpColumn,0))</f>
        <v>12</v>
      </c>
      <c r="I5172">
        <f>INDEX(CalLookUpTable,MATCH($B5172,CalLookUpRow,0),MATCH(I$1,CalLookUpColumn,0))</f>
        <v>1</v>
      </c>
    </row>
    <row r="5173" spans="1:9" x14ac:dyDescent="0.25">
      <c r="A5173" s="7">
        <v>3</v>
      </c>
      <c r="B5173" s="8">
        <v>43794</v>
      </c>
      <c r="C5173" s="9" t="s">
        <v>5</v>
      </c>
      <c r="D5173" s="10">
        <v>2719.6539999999995</v>
      </c>
      <c r="E5173" s="10">
        <v>2773.078</v>
      </c>
      <c r="F5173" t="str">
        <f>VLOOKUP(A5173,StoreLookup,2,FALSE)</f>
        <v>Store#3</v>
      </c>
      <c r="G5173">
        <f>INDEX(CalLookUpTable,MATCH($B5173,CalLookUpRow,0),MATCH(G$1,CalLookUpColumn,0))</f>
        <v>2019</v>
      </c>
      <c r="H5173">
        <f>INDEX(CalLookUpTable,MATCH($B5173,CalLookUpRow,0),MATCH(H$1,CalLookUpColumn,0))</f>
        <v>12</v>
      </c>
      <c r="I5173">
        <f>INDEX(CalLookUpTable,MATCH($B5173,CalLookUpRow,0),MATCH(I$1,CalLookUpColumn,0))</f>
        <v>1</v>
      </c>
    </row>
    <row r="5174" spans="1:9" x14ac:dyDescent="0.25">
      <c r="A5174" s="7">
        <v>3</v>
      </c>
      <c r="B5174" s="8">
        <v>43795</v>
      </c>
      <c r="C5174" s="9" t="s">
        <v>4</v>
      </c>
      <c r="D5174" s="10">
        <v>3435.1799999999994</v>
      </c>
      <c r="E5174" s="10">
        <v>3211.8799999999997</v>
      </c>
      <c r="F5174" t="str">
        <f>VLOOKUP(A5174,StoreLookup,2,FALSE)</f>
        <v>Store#3</v>
      </c>
      <c r="G5174">
        <f>INDEX(CalLookUpTable,MATCH($B5174,CalLookUpRow,0),MATCH(G$1,CalLookUpColumn,0))</f>
        <v>2019</v>
      </c>
      <c r="H5174">
        <f>INDEX(CalLookUpTable,MATCH($B5174,CalLookUpRow,0),MATCH(H$1,CalLookUpColumn,0))</f>
        <v>12</v>
      </c>
      <c r="I5174">
        <f>INDEX(CalLookUpTable,MATCH($B5174,CalLookUpRow,0),MATCH(I$1,CalLookUpColumn,0))</f>
        <v>1</v>
      </c>
    </row>
    <row r="5175" spans="1:9" x14ac:dyDescent="0.25">
      <c r="A5175" s="7">
        <v>3</v>
      </c>
      <c r="B5175" s="8">
        <v>43795</v>
      </c>
      <c r="C5175" s="9" t="s">
        <v>6</v>
      </c>
      <c r="D5175" s="10">
        <v>1516.732</v>
      </c>
      <c r="E5175" s="10">
        <v>1081.3809999999999</v>
      </c>
      <c r="F5175" t="str">
        <f>VLOOKUP(A5175,StoreLookup,2,FALSE)</f>
        <v>Store#3</v>
      </c>
      <c r="G5175">
        <f>INDEX(CalLookUpTable,MATCH($B5175,CalLookUpRow,0),MATCH(G$1,CalLookUpColumn,0))</f>
        <v>2019</v>
      </c>
      <c r="H5175">
        <f>INDEX(CalLookUpTable,MATCH($B5175,CalLookUpRow,0),MATCH(H$1,CalLookUpColumn,0))</f>
        <v>12</v>
      </c>
      <c r="I5175">
        <f>INDEX(CalLookUpTable,MATCH($B5175,CalLookUpRow,0),MATCH(I$1,CalLookUpColumn,0))</f>
        <v>1</v>
      </c>
    </row>
    <row r="5176" spans="1:9" x14ac:dyDescent="0.25">
      <c r="A5176" s="7">
        <v>3</v>
      </c>
      <c r="B5176" s="8">
        <v>43795</v>
      </c>
      <c r="C5176" s="9" t="s">
        <v>5</v>
      </c>
      <c r="D5176" s="10">
        <v>3195.2059999999997</v>
      </c>
      <c r="E5176" s="10">
        <v>3212.6289999999999</v>
      </c>
      <c r="F5176" t="str">
        <f>VLOOKUP(A5176,StoreLookup,2,FALSE)</f>
        <v>Store#3</v>
      </c>
      <c r="G5176">
        <f>INDEX(CalLookUpTable,MATCH($B5176,CalLookUpRow,0),MATCH(G$1,CalLookUpColumn,0))</f>
        <v>2019</v>
      </c>
      <c r="H5176">
        <f>INDEX(CalLookUpTable,MATCH($B5176,CalLookUpRow,0),MATCH(H$1,CalLookUpColumn,0))</f>
        <v>12</v>
      </c>
      <c r="I5176">
        <f>INDEX(CalLookUpTable,MATCH($B5176,CalLookUpRow,0),MATCH(I$1,CalLookUpColumn,0))</f>
        <v>1</v>
      </c>
    </row>
    <row r="5177" spans="1:9" x14ac:dyDescent="0.25">
      <c r="A5177" s="7">
        <v>3</v>
      </c>
      <c r="B5177" s="8">
        <v>43795</v>
      </c>
      <c r="C5177" s="9" t="s">
        <v>3</v>
      </c>
      <c r="D5177" s="10">
        <v>36.098999999999997</v>
      </c>
      <c r="E5177" s="10">
        <v>142.68100000000001</v>
      </c>
      <c r="F5177" t="str">
        <f>VLOOKUP(A5177,StoreLookup,2,FALSE)</f>
        <v>Store#3</v>
      </c>
      <c r="G5177">
        <f>INDEX(CalLookUpTable,MATCH($B5177,CalLookUpRow,0),MATCH(G$1,CalLookUpColumn,0))</f>
        <v>2019</v>
      </c>
      <c r="H5177">
        <f>INDEX(CalLookUpTable,MATCH($B5177,CalLookUpRow,0),MATCH(H$1,CalLookUpColumn,0))</f>
        <v>12</v>
      </c>
      <c r="I5177">
        <f>INDEX(CalLookUpTable,MATCH($B5177,CalLookUpRow,0),MATCH(I$1,CalLookUpColumn,0))</f>
        <v>1</v>
      </c>
    </row>
    <row r="5178" spans="1:9" x14ac:dyDescent="0.25">
      <c r="A5178" s="7">
        <v>3</v>
      </c>
      <c r="B5178" s="8">
        <v>43796</v>
      </c>
      <c r="C5178" s="9" t="s">
        <v>6</v>
      </c>
      <c r="D5178" s="10">
        <v>1833.7269999999999</v>
      </c>
      <c r="E5178" s="10">
        <v>801.87099999999998</v>
      </c>
      <c r="F5178" t="str">
        <f>VLOOKUP(A5178,StoreLookup,2,FALSE)</f>
        <v>Store#3</v>
      </c>
      <c r="G5178">
        <f>INDEX(CalLookUpTable,MATCH($B5178,CalLookUpRow,0),MATCH(G$1,CalLookUpColumn,0))</f>
        <v>2019</v>
      </c>
      <c r="H5178">
        <f>INDEX(CalLookUpTable,MATCH($B5178,CalLookUpRow,0),MATCH(H$1,CalLookUpColumn,0))</f>
        <v>12</v>
      </c>
      <c r="I5178">
        <f>INDEX(CalLookUpTable,MATCH($B5178,CalLookUpRow,0),MATCH(I$1,CalLookUpColumn,0))</f>
        <v>1</v>
      </c>
    </row>
    <row r="5179" spans="1:9" x14ac:dyDescent="0.25">
      <c r="A5179" s="7">
        <v>3</v>
      </c>
      <c r="B5179" s="8">
        <v>43796</v>
      </c>
      <c r="C5179" s="9" t="s">
        <v>5</v>
      </c>
      <c r="D5179" s="10">
        <v>2763.0259999999998</v>
      </c>
      <c r="E5179" s="10">
        <v>3380.5450000000001</v>
      </c>
      <c r="F5179" t="str">
        <f>VLOOKUP(A5179,StoreLookup,2,FALSE)</f>
        <v>Store#3</v>
      </c>
      <c r="G5179">
        <f>INDEX(CalLookUpTable,MATCH($B5179,CalLookUpRow,0),MATCH(G$1,CalLookUpColumn,0))</f>
        <v>2019</v>
      </c>
      <c r="H5179">
        <f>INDEX(CalLookUpTable,MATCH($B5179,CalLookUpRow,0),MATCH(H$1,CalLookUpColumn,0))</f>
        <v>12</v>
      </c>
      <c r="I5179">
        <f>INDEX(CalLookUpTable,MATCH($B5179,CalLookUpRow,0),MATCH(I$1,CalLookUpColumn,0))</f>
        <v>1</v>
      </c>
    </row>
    <row r="5180" spans="1:9" x14ac:dyDescent="0.25">
      <c r="A5180" s="7">
        <v>3</v>
      </c>
      <c r="B5180" s="8">
        <v>43796</v>
      </c>
      <c r="C5180" s="9" t="s">
        <v>4</v>
      </c>
      <c r="D5180" s="10">
        <v>2859.5139999999997</v>
      </c>
      <c r="E5180" s="10">
        <v>3191.944</v>
      </c>
      <c r="F5180" t="str">
        <f>VLOOKUP(A5180,StoreLookup,2,FALSE)</f>
        <v>Store#3</v>
      </c>
      <c r="G5180">
        <f>INDEX(CalLookUpTable,MATCH($B5180,CalLookUpRow,0),MATCH(G$1,CalLookUpColumn,0))</f>
        <v>2019</v>
      </c>
      <c r="H5180">
        <f>INDEX(CalLookUpTable,MATCH($B5180,CalLookUpRow,0),MATCH(H$1,CalLookUpColumn,0))</f>
        <v>12</v>
      </c>
      <c r="I5180">
        <f>INDEX(CalLookUpTable,MATCH($B5180,CalLookUpRow,0),MATCH(I$1,CalLookUpColumn,0))</f>
        <v>1</v>
      </c>
    </row>
    <row r="5181" spans="1:9" x14ac:dyDescent="0.25">
      <c r="A5181" s="7">
        <v>3</v>
      </c>
      <c r="B5181" s="8">
        <v>43796</v>
      </c>
      <c r="C5181" s="9" t="s">
        <v>3</v>
      </c>
      <c r="D5181" s="10">
        <v>190.512</v>
      </c>
      <c r="E5181" s="10">
        <v>0</v>
      </c>
      <c r="F5181" t="str">
        <f>VLOOKUP(A5181,StoreLookup,2,FALSE)</f>
        <v>Store#3</v>
      </c>
      <c r="G5181">
        <f>INDEX(CalLookUpTable,MATCH($B5181,CalLookUpRow,0),MATCH(G$1,CalLookUpColumn,0))</f>
        <v>2019</v>
      </c>
      <c r="H5181">
        <f>INDEX(CalLookUpTable,MATCH($B5181,CalLookUpRow,0),MATCH(H$1,CalLookUpColumn,0))</f>
        <v>12</v>
      </c>
      <c r="I5181">
        <f>INDEX(CalLookUpTable,MATCH($B5181,CalLookUpRow,0),MATCH(I$1,CalLookUpColumn,0))</f>
        <v>1</v>
      </c>
    </row>
    <row r="5182" spans="1:9" x14ac:dyDescent="0.25">
      <c r="A5182" s="7">
        <v>3</v>
      </c>
      <c r="B5182" s="8">
        <v>43797</v>
      </c>
      <c r="C5182" s="9" t="s">
        <v>5</v>
      </c>
      <c r="D5182" s="10">
        <v>0</v>
      </c>
      <c r="E5182" s="10">
        <v>3416.672</v>
      </c>
      <c r="F5182" t="str">
        <f>VLOOKUP(A5182,StoreLookup,2,FALSE)</f>
        <v>Store#3</v>
      </c>
      <c r="G5182">
        <f>INDEX(CalLookUpTable,MATCH($B5182,CalLookUpRow,0),MATCH(G$1,CalLookUpColumn,0))</f>
        <v>2019</v>
      </c>
      <c r="H5182">
        <f>INDEX(CalLookUpTable,MATCH($B5182,CalLookUpRow,0),MATCH(H$1,CalLookUpColumn,0))</f>
        <v>12</v>
      </c>
      <c r="I5182">
        <f>INDEX(CalLookUpTable,MATCH($B5182,CalLookUpRow,0),MATCH(I$1,CalLookUpColumn,0))</f>
        <v>1</v>
      </c>
    </row>
    <row r="5183" spans="1:9" x14ac:dyDescent="0.25">
      <c r="A5183" s="7">
        <v>3</v>
      </c>
      <c r="B5183" s="8">
        <v>43797</v>
      </c>
      <c r="C5183" s="9" t="s">
        <v>6</v>
      </c>
      <c r="D5183" s="10">
        <v>0</v>
      </c>
      <c r="E5183" s="10">
        <v>1745.6039999999998</v>
      </c>
      <c r="F5183" t="str">
        <f>VLOOKUP(A5183,StoreLookup,2,FALSE)</f>
        <v>Store#3</v>
      </c>
      <c r="G5183">
        <f>INDEX(CalLookUpTable,MATCH($B5183,CalLookUpRow,0),MATCH(G$1,CalLookUpColumn,0))</f>
        <v>2019</v>
      </c>
      <c r="H5183">
        <f>INDEX(CalLookUpTable,MATCH($B5183,CalLookUpRow,0),MATCH(H$1,CalLookUpColumn,0))</f>
        <v>12</v>
      </c>
      <c r="I5183">
        <f>INDEX(CalLookUpTable,MATCH($B5183,CalLookUpRow,0),MATCH(I$1,CalLookUpColumn,0))</f>
        <v>1</v>
      </c>
    </row>
    <row r="5184" spans="1:9" x14ac:dyDescent="0.25">
      <c r="A5184" s="7">
        <v>3</v>
      </c>
      <c r="B5184" s="8">
        <v>43797</v>
      </c>
      <c r="C5184" s="9" t="s">
        <v>3</v>
      </c>
      <c r="D5184" s="10">
        <v>0</v>
      </c>
      <c r="E5184" s="10">
        <v>173.43199999999999</v>
      </c>
      <c r="F5184" t="str">
        <f>VLOOKUP(A5184,StoreLookup,2,FALSE)</f>
        <v>Store#3</v>
      </c>
      <c r="G5184">
        <f>INDEX(CalLookUpTable,MATCH($B5184,CalLookUpRow,0),MATCH(G$1,CalLookUpColumn,0))</f>
        <v>2019</v>
      </c>
      <c r="H5184">
        <f>INDEX(CalLookUpTable,MATCH($B5184,CalLookUpRow,0),MATCH(H$1,CalLookUpColumn,0))</f>
        <v>12</v>
      </c>
      <c r="I5184">
        <f>INDEX(CalLookUpTable,MATCH($B5184,CalLookUpRow,0),MATCH(I$1,CalLookUpColumn,0))</f>
        <v>1</v>
      </c>
    </row>
    <row r="5185" spans="1:9" x14ac:dyDescent="0.25">
      <c r="A5185" s="7">
        <v>3</v>
      </c>
      <c r="B5185" s="8">
        <v>43797</v>
      </c>
      <c r="C5185" s="9" t="s">
        <v>4</v>
      </c>
      <c r="D5185" s="10">
        <v>0</v>
      </c>
      <c r="E5185" s="10">
        <v>4803.2179999999998</v>
      </c>
      <c r="F5185" t="str">
        <f>VLOOKUP(A5185,StoreLookup,2,FALSE)</f>
        <v>Store#3</v>
      </c>
      <c r="G5185">
        <f>INDEX(CalLookUpTable,MATCH($B5185,CalLookUpRow,0),MATCH(G$1,CalLookUpColumn,0))</f>
        <v>2019</v>
      </c>
      <c r="H5185">
        <f>INDEX(CalLookUpTable,MATCH($B5185,CalLookUpRow,0),MATCH(H$1,CalLookUpColumn,0))</f>
        <v>12</v>
      </c>
      <c r="I5185">
        <f>INDEX(CalLookUpTable,MATCH($B5185,CalLookUpRow,0),MATCH(I$1,CalLookUpColumn,0))</f>
        <v>1</v>
      </c>
    </row>
    <row r="5186" spans="1:9" x14ac:dyDescent="0.25">
      <c r="A5186" s="7">
        <v>3</v>
      </c>
      <c r="B5186" s="8">
        <v>43798</v>
      </c>
      <c r="C5186" s="9" t="s">
        <v>6</v>
      </c>
      <c r="D5186" s="10">
        <v>1674.2179999999998</v>
      </c>
      <c r="E5186" s="10">
        <v>1729.546</v>
      </c>
      <c r="F5186" t="str">
        <f>VLOOKUP(A5186,StoreLookup,2,FALSE)</f>
        <v>Store#3</v>
      </c>
      <c r="G5186">
        <f>INDEX(CalLookUpTable,MATCH($B5186,CalLookUpRow,0),MATCH(G$1,CalLookUpColumn,0))</f>
        <v>2019</v>
      </c>
      <c r="H5186">
        <f>INDEX(CalLookUpTable,MATCH($B5186,CalLookUpRow,0),MATCH(H$1,CalLookUpColumn,0))</f>
        <v>12</v>
      </c>
      <c r="I5186">
        <f>INDEX(CalLookUpTable,MATCH($B5186,CalLookUpRow,0),MATCH(I$1,CalLookUpColumn,0))</f>
        <v>1</v>
      </c>
    </row>
    <row r="5187" spans="1:9" x14ac:dyDescent="0.25">
      <c r="A5187" s="7">
        <v>3</v>
      </c>
      <c r="B5187" s="8">
        <v>43798</v>
      </c>
      <c r="C5187" s="9" t="s">
        <v>4</v>
      </c>
      <c r="D5187" s="10">
        <v>2808.1549999999997</v>
      </c>
      <c r="E5187" s="10">
        <v>4196.192</v>
      </c>
      <c r="F5187" t="str">
        <f>VLOOKUP(A5187,StoreLookup,2,FALSE)</f>
        <v>Store#3</v>
      </c>
      <c r="G5187">
        <f>INDEX(CalLookUpTable,MATCH($B5187,CalLookUpRow,0),MATCH(G$1,CalLookUpColumn,0))</f>
        <v>2019</v>
      </c>
      <c r="H5187">
        <f>INDEX(CalLookUpTable,MATCH($B5187,CalLookUpRow,0),MATCH(H$1,CalLookUpColumn,0))</f>
        <v>12</v>
      </c>
      <c r="I5187">
        <f>INDEX(CalLookUpTable,MATCH($B5187,CalLookUpRow,0),MATCH(I$1,CalLookUpColumn,0))</f>
        <v>1</v>
      </c>
    </row>
    <row r="5188" spans="1:9" x14ac:dyDescent="0.25">
      <c r="A5188" s="7">
        <v>3</v>
      </c>
      <c r="B5188" s="8">
        <v>43798</v>
      </c>
      <c r="C5188" s="9" t="s">
        <v>5</v>
      </c>
      <c r="D5188" s="10">
        <v>2266.2429999999995</v>
      </c>
      <c r="E5188" s="10">
        <v>3626.8399999999997</v>
      </c>
      <c r="F5188" t="str">
        <f>VLOOKUP(A5188,StoreLookup,2,FALSE)</f>
        <v>Store#3</v>
      </c>
      <c r="G5188">
        <f>INDEX(CalLookUpTable,MATCH($B5188,CalLookUpRow,0),MATCH(G$1,CalLookUpColumn,0))</f>
        <v>2019</v>
      </c>
      <c r="H5188">
        <f>INDEX(CalLookUpTable,MATCH($B5188,CalLookUpRow,0),MATCH(H$1,CalLookUpColumn,0))</f>
        <v>12</v>
      </c>
      <c r="I5188">
        <f>INDEX(CalLookUpTable,MATCH($B5188,CalLookUpRow,0),MATCH(I$1,CalLookUpColumn,0))</f>
        <v>1</v>
      </c>
    </row>
    <row r="5189" spans="1:9" x14ac:dyDescent="0.25">
      <c r="A5189" s="7">
        <v>3</v>
      </c>
      <c r="B5189" s="8">
        <v>43798</v>
      </c>
      <c r="C5189" s="9" t="s">
        <v>3</v>
      </c>
      <c r="D5189" s="10">
        <v>0</v>
      </c>
      <c r="E5189" s="10">
        <v>406.42</v>
      </c>
      <c r="F5189" t="str">
        <f>VLOOKUP(A5189,StoreLookup,2,FALSE)</f>
        <v>Store#3</v>
      </c>
      <c r="G5189">
        <f>INDEX(CalLookUpTable,MATCH($B5189,CalLookUpRow,0),MATCH(G$1,CalLookUpColumn,0))</f>
        <v>2019</v>
      </c>
      <c r="H5189">
        <f>INDEX(CalLookUpTable,MATCH($B5189,CalLookUpRow,0),MATCH(H$1,CalLookUpColumn,0))</f>
        <v>12</v>
      </c>
      <c r="I5189">
        <f>INDEX(CalLookUpTable,MATCH($B5189,CalLookUpRow,0),MATCH(I$1,CalLookUpColumn,0))</f>
        <v>1</v>
      </c>
    </row>
    <row r="5190" spans="1:9" x14ac:dyDescent="0.25">
      <c r="A5190" s="7">
        <v>3</v>
      </c>
      <c r="B5190" s="8">
        <v>43799</v>
      </c>
      <c r="C5190" s="9" t="s">
        <v>6</v>
      </c>
      <c r="D5190" s="10">
        <v>1471.8759999999997</v>
      </c>
      <c r="E5190" s="10">
        <v>878.34599999999989</v>
      </c>
      <c r="F5190" t="str">
        <f>VLOOKUP(A5190,StoreLookup,2,FALSE)</f>
        <v>Store#3</v>
      </c>
      <c r="G5190">
        <f>INDEX(CalLookUpTable,MATCH($B5190,CalLookUpRow,0),MATCH(G$1,CalLookUpColumn,0))</f>
        <v>2019</v>
      </c>
      <c r="H5190">
        <f>INDEX(CalLookUpTable,MATCH($B5190,CalLookUpRow,0),MATCH(H$1,CalLookUpColumn,0))</f>
        <v>12</v>
      </c>
      <c r="I5190">
        <f>INDEX(CalLookUpTable,MATCH($B5190,CalLookUpRow,0),MATCH(I$1,CalLookUpColumn,0))</f>
        <v>1</v>
      </c>
    </row>
    <row r="5191" spans="1:9" x14ac:dyDescent="0.25">
      <c r="A5191" s="7">
        <v>3</v>
      </c>
      <c r="B5191" s="8">
        <v>43799</v>
      </c>
      <c r="C5191" s="9" t="s">
        <v>4</v>
      </c>
      <c r="D5191" s="10">
        <v>3349.3879999999999</v>
      </c>
      <c r="E5191" s="10">
        <v>3849.8809999999999</v>
      </c>
      <c r="F5191" t="str">
        <f>VLOOKUP(A5191,StoreLookup,2,FALSE)</f>
        <v>Store#3</v>
      </c>
      <c r="G5191">
        <f>INDEX(CalLookUpTable,MATCH($B5191,CalLookUpRow,0),MATCH(G$1,CalLookUpColumn,0))</f>
        <v>2019</v>
      </c>
      <c r="H5191">
        <f>INDEX(CalLookUpTable,MATCH($B5191,CalLookUpRow,0),MATCH(H$1,CalLookUpColumn,0))</f>
        <v>12</v>
      </c>
      <c r="I5191">
        <f>INDEX(CalLookUpTable,MATCH($B5191,CalLookUpRow,0),MATCH(I$1,CalLookUpColumn,0))</f>
        <v>1</v>
      </c>
    </row>
    <row r="5192" spans="1:9" x14ac:dyDescent="0.25">
      <c r="A5192" s="7">
        <v>3</v>
      </c>
      <c r="B5192" s="8">
        <v>43799</v>
      </c>
      <c r="C5192" s="9" t="s">
        <v>3</v>
      </c>
      <c r="D5192" s="10">
        <v>56.531999999999996</v>
      </c>
      <c r="E5192" s="10">
        <v>17.268999999999998</v>
      </c>
      <c r="F5192" t="str">
        <f>VLOOKUP(A5192,StoreLookup,2,FALSE)</f>
        <v>Store#3</v>
      </c>
      <c r="G5192">
        <f>INDEX(CalLookUpTable,MATCH($B5192,CalLookUpRow,0),MATCH(G$1,CalLookUpColumn,0))</f>
        <v>2019</v>
      </c>
      <c r="H5192">
        <f>INDEX(CalLookUpTable,MATCH($B5192,CalLookUpRow,0),MATCH(H$1,CalLookUpColumn,0))</f>
        <v>12</v>
      </c>
      <c r="I5192">
        <f>INDEX(CalLookUpTable,MATCH($B5192,CalLookUpRow,0),MATCH(I$1,CalLookUpColumn,0))</f>
        <v>1</v>
      </c>
    </row>
    <row r="5193" spans="1:9" x14ac:dyDescent="0.25">
      <c r="A5193" s="7">
        <v>3</v>
      </c>
      <c r="B5193" s="8">
        <v>43799</v>
      </c>
      <c r="C5193" s="9" t="s">
        <v>5</v>
      </c>
      <c r="D5193" s="10">
        <v>2872.3589999999999</v>
      </c>
      <c r="E5193" s="10">
        <v>3458.2589999999996</v>
      </c>
      <c r="F5193" t="str">
        <f>VLOOKUP(A5193,StoreLookup,2,FALSE)</f>
        <v>Store#3</v>
      </c>
      <c r="G5193">
        <f>INDEX(CalLookUpTable,MATCH($B5193,CalLookUpRow,0),MATCH(G$1,CalLookUpColumn,0))</f>
        <v>2019</v>
      </c>
      <c r="H5193">
        <f>INDEX(CalLookUpTable,MATCH($B5193,CalLookUpRow,0),MATCH(H$1,CalLookUpColumn,0))</f>
        <v>12</v>
      </c>
      <c r="I5193">
        <f>INDEX(CalLookUpTable,MATCH($B5193,CalLookUpRow,0),MATCH(I$1,CalLookUpColumn,0))</f>
        <v>1</v>
      </c>
    </row>
    <row r="5194" spans="1:9" x14ac:dyDescent="0.25">
      <c r="A5194" s="7">
        <v>3</v>
      </c>
      <c r="B5194" s="8">
        <v>43800</v>
      </c>
      <c r="C5194" s="9" t="s">
        <v>6</v>
      </c>
      <c r="D5194" s="10">
        <v>1721.58</v>
      </c>
      <c r="E5194" s="10">
        <v>572.16599999999994</v>
      </c>
      <c r="F5194" t="str">
        <f>VLOOKUP(A5194,StoreLookup,2,FALSE)</f>
        <v>Store#3</v>
      </c>
      <c r="G5194">
        <f>INDEX(CalLookUpTable,MATCH($B5194,CalLookUpRow,0),MATCH(G$1,CalLookUpColumn,0))</f>
        <v>2019</v>
      </c>
      <c r="H5194">
        <f>INDEX(CalLookUpTable,MATCH($B5194,CalLookUpRow,0),MATCH(H$1,CalLookUpColumn,0))</f>
        <v>12</v>
      </c>
      <c r="I5194">
        <f>INDEX(CalLookUpTable,MATCH($B5194,CalLookUpRow,0),MATCH(I$1,CalLookUpColumn,0))</f>
        <v>1</v>
      </c>
    </row>
    <row r="5195" spans="1:9" x14ac:dyDescent="0.25">
      <c r="A5195" s="7">
        <v>3</v>
      </c>
      <c r="B5195" s="8">
        <v>43800</v>
      </c>
      <c r="C5195" s="9" t="s">
        <v>4</v>
      </c>
      <c r="D5195" s="10">
        <v>2640.7080000000001</v>
      </c>
      <c r="E5195" s="10">
        <v>2190.7059999999997</v>
      </c>
      <c r="F5195" t="str">
        <f>VLOOKUP(A5195,StoreLookup,2,FALSE)</f>
        <v>Store#3</v>
      </c>
      <c r="G5195">
        <f>INDEX(CalLookUpTable,MATCH($B5195,CalLookUpRow,0),MATCH(G$1,CalLookUpColumn,0))</f>
        <v>2019</v>
      </c>
      <c r="H5195">
        <f>INDEX(CalLookUpTable,MATCH($B5195,CalLookUpRow,0),MATCH(H$1,CalLookUpColumn,0))</f>
        <v>12</v>
      </c>
      <c r="I5195">
        <f>INDEX(CalLookUpTable,MATCH($B5195,CalLookUpRow,0),MATCH(I$1,CalLookUpColumn,0))</f>
        <v>1</v>
      </c>
    </row>
    <row r="5196" spans="1:9" x14ac:dyDescent="0.25">
      <c r="A5196" s="7">
        <v>3</v>
      </c>
      <c r="B5196" s="8">
        <v>43800</v>
      </c>
      <c r="C5196" s="9" t="s">
        <v>5</v>
      </c>
      <c r="D5196" s="10">
        <v>3067.8619999999996</v>
      </c>
      <c r="E5196" s="10">
        <v>2718.107</v>
      </c>
      <c r="F5196" t="str">
        <f>VLOOKUP(A5196,StoreLookup,2,FALSE)</f>
        <v>Store#3</v>
      </c>
      <c r="G5196">
        <f>INDEX(CalLookUpTable,MATCH($B5196,CalLookUpRow,0),MATCH(G$1,CalLookUpColumn,0))</f>
        <v>2019</v>
      </c>
      <c r="H5196">
        <f>INDEX(CalLookUpTable,MATCH($B5196,CalLookUpRow,0),MATCH(H$1,CalLookUpColumn,0))</f>
        <v>12</v>
      </c>
      <c r="I5196">
        <f>INDEX(CalLookUpTable,MATCH($B5196,CalLookUpRow,0),MATCH(I$1,CalLookUpColumn,0))</f>
        <v>1</v>
      </c>
    </row>
    <row r="5197" spans="1:9" x14ac:dyDescent="0.25">
      <c r="A5197" s="7">
        <v>3</v>
      </c>
      <c r="B5197" s="8">
        <v>43800</v>
      </c>
      <c r="C5197" s="9" t="s">
        <v>3</v>
      </c>
      <c r="D5197" s="10">
        <v>0</v>
      </c>
      <c r="E5197" s="10">
        <v>483.65800000000002</v>
      </c>
      <c r="F5197" t="str">
        <f>VLOOKUP(A5197,StoreLookup,2,FALSE)</f>
        <v>Store#3</v>
      </c>
      <c r="G5197">
        <f>INDEX(CalLookUpTable,MATCH($B5197,CalLookUpRow,0),MATCH(G$1,CalLookUpColumn,0))</f>
        <v>2019</v>
      </c>
      <c r="H5197">
        <f>INDEX(CalLookUpTable,MATCH($B5197,CalLookUpRow,0),MATCH(H$1,CalLookUpColumn,0))</f>
        <v>12</v>
      </c>
      <c r="I5197">
        <f>INDEX(CalLookUpTable,MATCH($B5197,CalLookUpRow,0),MATCH(I$1,CalLookUpColumn,0))</f>
        <v>1</v>
      </c>
    </row>
    <row r="5198" spans="1:9" x14ac:dyDescent="0.25">
      <c r="A5198" s="7">
        <v>3</v>
      </c>
      <c r="B5198" s="8">
        <v>43801</v>
      </c>
      <c r="C5198" s="9" t="s">
        <v>6</v>
      </c>
      <c r="D5198" s="10">
        <v>1066.0999999999999</v>
      </c>
      <c r="E5198" s="10">
        <v>637.46899999999994</v>
      </c>
      <c r="F5198" t="str">
        <f>VLOOKUP(A5198,StoreLookup,2,FALSE)</f>
        <v>Store#3</v>
      </c>
      <c r="G5198">
        <f>INDEX(CalLookUpTable,MATCH($B5198,CalLookUpRow,0),MATCH(G$1,CalLookUpColumn,0))</f>
        <v>2019</v>
      </c>
      <c r="H5198">
        <f>INDEX(CalLookUpTable,MATCH($B5198,CalLookUpRow,0),MATCH(H$1,CalLookUpColumn,0))</f>
        <v>12</v>
      </c>
      <c r="I5198">
        <f>INDEX(CalLookUpTable,MATCH($B5198,CalLookUpRow,0),MATCH(I$1,CalLookUpColumn,0))</f>
        <v>2</v>
      </c>
    </row>
    <row r="5199" spans="1:9" x14ac:dyDescent="0.25">
      <c r="A5199" s="7">
        <v>3</v>
      </c>
      <c r="B5199" s="8">
        <v>43801</v>
      </c>
      <c r="C5199" s="9" t="s">
        <v>4</v>
      </c>
      <c r="D5199" s="10">
        <v>3030.9789999999998</v>
      </c>
      <c r="E5199" s="10">
        <v>2827.3629999999998</v>
      </c>
      <c r="F5199" t="str">
        <f>VLOOKUP(A5199,StoreLookup,2,FALSE)</f>
        <v>Store#3</v>
      </c>
      <c r="G5199">
        <f>INDEX(CalLookUpTable,MATCH($B5199,CalLookUpRow,0),MATCH(G$1,CalLookUpColumn,0))</f>
        <v>2019</v>
      </c>
      <c r="H5199">
        <f>INDEX(CalLookUpTable,MATCH($B5199,CalLookUpRow,0),MATCH(H$1,CalLookUpColumn,0))</f>
        <v>12</v>
      </c>
      <c r="I5199">
        <f>INDEX(CalLookUpTable,MATCH($B5199,CalLookUpRow,0),MATCH(I$1,CalLookUpColumn,0))</f>
        <v>2</v>
      </c>
    </row>
    <row r="5200" spans="1:9" x14ac:dyDescent="0.25">
      <c r="A5200" s="7">
        <v>3</v>
      </c>
      <c r="B5200" s="8">
        <v>43801</v>
      </c>
      <c r="C5200" s="9" t="s">
        <v>3</v>
      </c>
      <c r="D5200" s="10">
        <v>0</v>
      </c>
      <c r="E5200" s="10">
        <v>188.73399999999998</v>
      </c>
      <c r="F5200" t="str">
        <f>VLOOKUP(A5200,StoreLookup,2,FALSE)</f>
        <v>Store#3</v>
      </c>
      <c r="G5200">
        <f>INDEX(CalLookUpTable,MATCH($B5200,CalLookUpRow,0),MATCH(G$1,CalLookUpColumn,0))</f>
        <v>2019</v>
      </c>
      <c r="H5200">
        <f>INDEX(CalLookUpTable,MATCH($B5200,CalLookUpRow,0),MATCH(H$1,CalLookUpColumn,0))</f>
        <v>12</v>
      </c>
      <c r="I5200">
        <f>INDEX(CalLookUpTable,MATCH($B5200,CalLookUpRow,0),MATCH(I$1,CalLookUpColumn,0))</f>
        <v>2</v>
      </c>
    </row>
    <row r="5201" spans="1:9" x14ac:dyDescent="0.25">
      <c r="A5201" s="7">
        <v>3</v>
      </c>
      <c r="B5201" s="8">
        <v>43801</v>
      </c>
      <c r="C5201" s="9" t="s">
        <v>5</v>
      </c>
      <c r="D5201" s="10">
        <v>2737.8049999999998</v>
      </c>
      <c r="E5201" s="10">
        <v>3277.3369999999995</v>
      </c>
      <c r="F5201" t="str">
        <f>VLOOKUP(A5201,StoreLookup,2,FALSE)</f>
        <v>Store#3</v>
      </c>
      <c r="G5201">
        <f>INDEX(CalLookUpTable,MATCH($B5201,CalLookUpRow,0),MATCH(G$1,CalLookUpColumn,0))</f>
        <v>2019</v>
      </c>
      <c r="H5201">
        <f>INDEX(CalLookUpTable,MATCH($B5201,CalLookUpRow,0),MATCH(H$1,CalLookUpColumn,0))</f>
        <v>12</v>
      </c>
      <c r="I5201">
        <f>INDEX(CalLookUpTable,MATCH($B5201,CalLookUpRow,0),MATCH(I$1,CalLookUpColumn,0))</f>
        <v>2</v>
      </c>
    </row>
    <row r="5202" spans="1:9" x14ac:dyDescent="0.25">
      <c r="A5202" s="7">
        <v>3</v>
      </c>
      <c r="B5202" s="8">
        <v>43802</v>
      </c>
      <c r="C5202" s="9" t="s">
        <v>3</v>
      </c>
      <c r="D5202" s="10">
        <v>0</v>
      </c>
      <c r="E5202" s="10">
        <v>0</v>
      </c>
      <c r="F5202" t="str">
        <f>VLOOKUP(A5202,StoreLookup,2,FALSE)</f>
        <v>Store#3</v>
      </c>
      <c r="G5202">
        <f>INDEX(CalLookUpTable,MATCH($B5202,CalLookUpRow,0),MATCH(G$1,CalLookUpColumn,0))</f>
        <v>2019</v>
      </c>
      <c r="H5202">
        <f>INDEX(CalLookUpTable,MATCH($B5202,CalLookUpRow,0),MATCH(H$1,CalLookUpColumn,0))</f>
        <v>12</v>
      </c>
      <c r="I5202">
        <f>INDEX(CalLookUpTable,MATCH($B5202,CalLookUpRow,0),MATCH(I$1,CalLookUpColumn,0))</f>
        <v>2</v>
      </c>
    </row>
    <row r="5203" spans="1:9" x14ac:dyDescent="0.25">
      <c r="A5203" s="7">
        <v>3</v>
      </c>
      <c r="B5203" s="8">
        <v>43802</v>
      </c>
      <c r="C5203" s="9" t="s">
        <v>4</v>
      </c>
      <c r="D5203" s="10">
        <v>3034.444</v>
      </c>
      <c r="E5203" s="10">
        <v>3565.5969999999998</v>
      </c>
      <c r="F5203" t="str">
        <f>VLOOKUP(A5203,StoreLookup,2,FALSE)</f>
        <v>Store#3</v>
      </c>
      <c r="G5203">
        <f>INDEX(CalLookUpTable,MATCH($B5203,CalLookUpRow,0),MATCH(G$1,CalLookUpColumn,0))</f>
        <v>2019</v>
      </c>
      <c r="H5203">
        <f>INDEX(CalLookUpTable,MATCH($B5203,CalLookUpRow,0),MATCH(H$1,CalLookUpColumn,0))</f>
        <v>12</v>
      </c>
      <c r="I5203">
        <f>INDEX(CalLookUpTable,MATCH($B5203,CalLookUpRow,0),MATCH(I$1,CalLookUpColumn,0))</f>
        <v>2</v>
      </c>
    </row>
    <row r="5204" spans="1:9" x14ac:dyDescent="0.25">
      <c r="A5204" s="7">
        <v>3</v>
      </c>
      <c r="B5204" s="8">
        <v>43802</v>
      </c>
      <c r="C5204" s="9" t="s">
        <v>6</v>
      </c>
      <c r="D5204" s="10">
        <v>1266.412</v>
      </c>
      <c r="E5204" s="10">
        <v>1310.0989999999999</v>
      </c>
      <c r="F5204" t="str">
        <f>VLOOKUP(A5204,StoreLookup,2,FALSE)</f>
        <v>Store#3</v>
      </c>
      <c r="G5204">
        <f>INDEX(CalLookUpTable,MATCH($B5204,CalLookUpRow,0),MATCH(G$1,CalLookUpColumn,0))</f>
        <v>2019</v>
      </c>
      <c r="H5204">
        <f>INDEX(CalLookUpTable,MATCH($B5204,CalLookUpRow,0),MATCH(H$1,CalLookUpColumn,0))</f>
        <v>12</v>
      </c>
      <c r="I5204">
        <f>INDEX(CalLookUpTable,MATCH($B5204,CalLookUpRow,0),MATCH(I$1,CalLookUpColumn,0))</f>
        <v>2</v>
      </c>
    </row>
    <row r="5205" spans="1:9" x14ac:dyDescent="0.25">
      <c r="A5205" s="7">
        <v>3</v>
      </c>
      <c r="B5205" s="8">
        <v>43802</v>
      </c>
      <c r="C5205" s="9" t="s">
        <v>5</v>
      </c>
      <c r="D5205" s="10">
        <v>2722.37</v>
      </c>
      <c r="E5205" s="10">
        <v>3220.1890000000003</v>
      </c>
      <c r="F5205" t="str">
        <f>VLOOKUP(A5205,StoreLookup,2,FALSE)</f>
        <v>Store#3</v>
      </c>
      <c r="G5205">
        <f>INDEX(CalLookUpTable,MATCH($B5205,CalLookUpRow,0),MATCH(G$1,CalLookUpColumn,0))</f>
        <v>2019</v>
      </c>
      <c r="H5205">
        <f>INDEX(CalLookUpTable,MATCH($B5205,CalLookUpRow,0),MATCH(H$1,CalLookUpColumn,0))</f>
        <v>12</v>
      </c>
      <c r="I5205">
        <f>INDEX(CalLookUpTable,MATCH($B5205,CalLookUpRow,0),MATCH(I$1,CalLookUpColumn,0))</f>
        <v>2</v>
      </c>
    </row>
    <row r="5206" spans="1:9" x14ac:dyDescent="0.25">
      <c r="A5206" s="7">
        <v>3</v>
      </c>
      <c r="B5206" s="8">
        <v>43803</v>
      </c>
      <c r="C5206" s="9" t="s">
        <v>4</v>
      </c>
      <c r="D5206" s="10">
        <v>3377.2200000000003</v>
      </c>
      <c r="E5206" s="10">
        <v>2676.3240000000001</v>
      </c>
      <c r="F5206" t="str">
        <f>VLOOKUP(A5206,StoreLookup,2,FALSE)</f>
        <v>Store#3</v>
      </c>
      <c r="G5206">
        <f>INDEX(CalLookUpTable,MATCH($B5206,CalLookUpRow,0),MATCH(G$1,CalLookUpColumn,0))</f>
        <v>2019</v>
      </c>
      <c r="H5206">
        <f>INDEX(CalLookUpTable,MATCH($B5206,CalLookUpRow,0),MATCH(H$1,CalLookUpColumn,0))</f>
        <v>12</v>
      </c>
      <c r="I5206">
        <f>INDEX(CalLookUpTable,MATCH($B5206,CalLookUpRow,0),MATCH(I$1,CalLookUpColumn,0))</f>
        <v>2</v>
      </c>
    </row>
    <row r="5207" spans="1:9" x14ac:dyDescent="0.25">
      <c r="A5207" s="7">
        <v>3</v>
      </c>
      <c r="B5207" s="8">
        <v>43803</v>
      </c>
      <c r="C5207" s="9" t="s">
        <v>5</v>
      </c>
      <c r="D5207" s="10">
        <v>2822.7849999999999</v>
      </c>
      <c r="E5207" s="10">
        <v>3456.7609999999995</v>
      </c>
      <c r="F5207" t="str">
        <f>VLOOKUP(A5207,StoreLookup,2,FALSE)</f>
        <v>Store#3</v>
      </c>
      <c r="G5207">
        <f>INDEX(CalLookUpTable,MATCH($B5207,CalLookUpRow,0),MATCH(G$1,CalLookUpColumn,0))</f>
        <v>2019</v>
      </c>
      <c r="H5207">
        <f>INDEX(CalLookUpTable,MATCH($B5207,CalLookUpRow,0),MATCH(H$1,CalLookUpColumn,0))</f>
        <v>12</v>
      </c>
      <c r="I5207">
        <f>INDEX(CalLookUpTable,MATCH($B5207,CalLookUpRow,0),MATCH(I$1,CalLookUpColumn,0))</f>
        <v>2</v>
      </c>
    </row>
    <row r="5208" spans="1:9" x14ac:dyDescent="0.25">
      <c r="A5208" s="7">
        <v>3</v>
      </c>
      <c r="B5208" s="8">
        <v>43803</v>
      </c>
      <c r="C5208" s="9" t="s">
        <v>6</v>
      </c>
      <c r="D5208" s="10">
        <v>1673.0070000000001</v>
      </c>
      <c r="E5208" s="10">
        <v>709.6389999999999</v>
      </c>
      <c r="F5208" t="str">
        <f>VLOOKUP(A5208,StoreLookup,2,FALSE)</f>
        <v>Store#3</v>
      </c>
      <c r="G5208">
        <f>INDEX(CalLookUpTable,MATCH($B5208,CalLookUpRow,0),MATCH(G$1,CalLookUpColumn,0))</f>
        <v>2019</v>
      </c>
      <c r="H5208">
        <f>INDEX(CalLookUpTable,MATCH($B5208,CalLookUpRow,0),MATCH(H$1,CalLookUpColumn,0))</f>
        <v>12</v>
      </c>
      <c r="I5208">
        <f>INDEX(CalLookUpTable,MATCH($B5208,CalLookUpRow,0),MATCH(I$1,CalLookUpColumn,0))</f>
        <v>2</v>
      </c>
    </row>
    <row r="5209" spans="1:9" x14ac:dyDescent="0.25">
      <c r="A5209" s="7">
        <v>3</v>
      </c>
      <c r="B5209" s="8">
        <v>43803</v>
      </c>
      <c r="C5209" s="9" t="s">
        <v>3</v>
      </c>
      <c r="D5209" s="10">
        <v>114.41499999999998</v>
      </c>
      <c r="E5209" s="10">
        <v>0</v>
      </c>
      <c r="F5209" t="str">
        <f>VLOOKUP(A5209,StoreLookup,2,FALSE)</f>
        <v>Store#3</v>
      </c>
      <c r="G5209">
        <f>INDEX(CalLookUpTable,MATCH($B5209,CalLookUpRow,0),MATCH(G$1,CalLookUpColumn,0))</f>
        <v>2019</v>
      </c>
      <c r="H5209">
        <f>INDEX(CalLookUpTable,MATCH($B5209,CalLookUpRow,0),MATCH(H$1,CalLookUpColumn,0))</f>
        <v>12</v>
      </c>
      <c r="I5209">
        <f>INDEX(CalLookUpTable,MATCH($B5209,CalLookUpRow,0),MATCH(I$1,CalLookUpColumn,0))</f>
        <v>2</v>
      </c>
    </row>
    <row r="5210" spans="1:9" x14ac:dyDescent="0.25">
      <c r="A5210" s="7">
        <v>3</v>
      </c>
      <c r="B5210" s="8">
        <v>43804</v>
      </c>
      <c r="C5210" s="9" t="s">
        <v>5</v>
      </c>
      <c r="D5210" s="10">
        <v>3620.5469999999996</v>
      </c>
      <c r="E5210" s="10">
        <v>3399.0529999999999</v>
      </c>
      <c r="F5210" t="str">
        <f>VLOOKUP(A5210,StoreLookup,2,FALSE)</f>
        <v>Store#3</v>
      </c>
      <c r="G5210">
        <f>INDEX(CalLookUpTable,MATCH($B5210,CalLookUpRow,0),MATCH(G$1,CalLookUpColumn,0))</f>
        <v>2019</v>
      </c>
      <c r="H5210">
        <f>INDEX(CalLookUpTable,MATCH($B5210,CalLookUpRow,0),MATCH(H$1,CalLookUpColumn,0))</f>
        <v>12</v>
      </c>
      <c r="I5210">
        <f>INDEX(CalLookUpTable,MATCH($B5210,CalLookUpRow,0),MATCH(I$1,CalLookUpColumn,0))</f>
        <v>2</v>
      </c>
    </row>
    <row r="5211" spans="1:9" x14ac:dyDescent="0.25">
      <c r="A5211" s="7">
        <v>3</v>
      </c>
      <c r="B5211" s="8">
        <v>43804</v>
      </c>
      <c r="C5211" s="9" t="s">
        <v>6</v>
      </c>
      <c r="D5211" s="10">
        <v>1703.0789999999997</v>
      </c>
      <c r="E5211" s="10">
        <v>795.67600000000004</v>
      </c>
      <c r="F5211" t="str">
        <f>VLOOKUP(A5211,StoreLookup,2,FALSE)</f>
        <v>Store#3</v>
      </c>
      <c r="G5211">
        <f>INDEX(CalLookUpTable,MATCH($B5211,CalLookUpRow,0),MATCH(G$1,CalLookUpColumn,0))</f>
        <v>2019</v>
      </c>
      <c r="H5211">
        <f>INDEX(CalLookUpTable,MATCH($B5211,CalLookUpRow,0),MATCH(H$1,CalLookUpColumn,0))</f>
        <v>12</v>
      </c>
      <c r="I5211">
        <f>INDEX(CalLookUpTable,MATCH($B5211,CalLookUpRow,0),MATCH(I$1,CalLookUpColumn,0))</f>
        <v>2</v>
      </c>
    </row>
    <row r="5212" spans="1:9" x14ac:dyDescent="0.25">
      <c r="A5212" s="7">
        <v>3</v>
      </c>
      <c r="B5212" s="8">
        <v>43804</v>
      </c>
      <c r="C5212" s="9" t="s">
        <v>4</v>
      </c>
      <c r="D5212" s="10">
        <v>2972.5359999999996</v>
      </c>
      <c r="E5212" s="10">
        <v>3354.3789999999999</v>
      </c>
      <c r="F5212" t="str">
        <f>VLOOKUP(A5212,StoreLookup,2,FALSE)</f>
        <v>Store#3</v>
      </c>
      <c r="G5212">
        <f>INDEX(CalLookUpTable,MATCH($B5212,CalLookUpRow,0),MATCH(G$1,CalLookUpColumn,0))</f>
        <v>2019</v>
      </c>
      <c r="H5212">
        <f>INDEX(CalLookUpTable,MATCH($B5212,CalLookUpRow,0),MATCH(H$1,CalLookUpColumn,0))</f>
        <v>12</v>
      </c>
      <c r="I5212">
        <f>INDEX(CalLookUpTable,MATCH($B5212,CalLookUpRow,0),MATCH(I$1,CalLookUpColumn,0))</f>
        <v>2</v>
      </c>
    </row>
    <row r="5213" spans="1:9" x14ac:dyDescent="0.25">
      <c r="A5213" s="7">
        <v>3</v>
      </c>
      <c r="B5213" s="8">
        <v>43804</v>
      </c>
      <c r="C5213" s="9" t="s">
        <v>3</v>
      </c>
      <c r="D5213" s="10">
        <v>0</v>
      </c>
      <c r="E5213" s="10">
        <v>378.03499999999997</v>
      </c>
      <c r="F5213" t="str">
        <f>VLOOKUP(A5213,StoreLookup,2,FALSE)</f>
        <v>Store#3</v>
      </c>
      <c r="G5213">
        <f>INDEX(CalLookUpTable,MATCH($B5213,CalLookUpRow,0),MATCH(G$1,CalLookUpColumn,0))</f>
        <v>2019</v>
      </c>
      <c r="H5213">
        <f>INDEX(CalLookUpTable,MATCH($B5213,CalLookUpRow,0),MATCH(H$1,CalLookUpColumn,0))</f>
        <v>12</v>
      </c>
      <c r="I5213">
        <f>INDEX(CalLookUpTable,MATCH($B5213,CalLookUpRow,0),MATCH(I$1,CalLookUpColumn,0))</f>
        <v>2</v>
      </c>
    </row>
    <row r="5214" spans="1:9" x14ac:dyDescent="0.25">
      <c r="A5214" s="7">
        <v>3</v>
      </c>
      <c r="B5214" s="8">
        <v>43805</v>
      </c>
      <c r="C5214" s="9" t="s">
        <v>6</v>
      </c>
      <c r="D5214" s="10">
        <v>2208.5909999999999</v>
      </c>
      <c r="E5214" s="10">
        <v>1220.1209999999999</v>
      </c>
      <c r="F5214" t="str">
        <f>VLOOKUP(A5214,StoreLookup,2,FALSE)</f>
        <v>Store#3</v>
      </c>
      <c r="G5214">
        <f>INDEX(CalLookUpTable,MATCH($B5214,CalLookUpRow,0),MATCH(G$1,CalLookUpColumn,0))</f>
        <v>2019</v>
      </c>
      <c r="H5214">
        <f>INDEX(CalLookUpTable,MATCH($B5214,CalLookUpRow,0),MATCH(H$1,CalLookUpColumn,0))</f>
        <v>12</v>
      </c>
      <c r="I5214">
        <f>INDEX(CalLookUpTable,MATCH($B5214,CalLookUpRow,0),MATCH(I$1,CalLookUpColumn,0))</f>
        <v>2</v>
      </c>
    </row>
    <row r="5215" spans="1:9" x14ac:dyDescent="0.25">
      <c r="A5215" s="7">
        <v>3</v>
      </c>
      <c r="B5215" s="8">
        <v>43805</v>
      </c>
      <c r="C5215" s="9" t="s">
        <v>4</v>
      </c>
      <c r="D5215" s="10">
        <v>3443.7619999999997</v>
      </c>
      <c r="E5215" s="10">
        <v>4089.7919999999999</v>
      </c>
      <c r="F5215" t="str">
        <f>VLOOKUP(A5215,StoreLookup,2,FALSE)</f>
        <v>Store#3</v>
      </c>
      <c r="G5215">
        <f>INDEX(CalLookUpTable,MATCH($B5215,CalLookUpRow,0),MATCH(G$1,CalLookUpColumn,0))</f>
        <v>2019</v>
      </c>
      <c r="H5215">
        <f>INDEX(CalLookUpTable,MATCH($B5215,CalLookUpRow,0),MATCH(H$1,CalLookUpColumn,0))</f>
        <v>12</v>
      </c>
      <c r="I5215">
        <f>INDEX(CalLookUpTable,MATCH($B5215,CalLookUpRow,0),MATCH(I$1,CalLookUpColumn,0))</f>
        <v>2</v>
      </c>
    </row>
    <row r="5216" spans="1:9" x14ac:dyDescent="0.25">
      <c r="A5216" s="7">
        <v>3</v>
      </c>
      <c r="B5216" s="8">
        <v>43805</v>
      </c>
      <c r="C5216" s="9" t="s">
        <v>5</v>
      </c>
      <c r="D5216" s="10">
        <v>3247.0409999999997</v>
      </c>
      <c r="E5216" s="10">
        <v>3748.1849999999999</v>
      </c>
      <c r="F5216" t="str">
        <f>VLOOKUP(A5216,StoreLookup,2,FALSE)</f>
        <v>Store#3</v>
      </c>
      <c r="G5216">
        <f>INDEX(CalLookUpTable,MATCH($B5216,CalLookUpRow,0),MATCH(G$1,CalLookUpColumn,0))</f>
        <v>2019</v>
      </c>
      <c r="H5216">
        <f>INDEX(CalLookUpTable,MATCH($B5216,CalLookUpRow,0),MATCH(H$1,CalLookUpColumn,0))</f>
        <v>12</v>
      </c>
      <c r="I5216">
        <f>INDEX(CalLookUpTable,MATCH($B5216,CalLookUpRow,0),MATCH(I$1,CalLookUpColumn,0))</f>
        <v>2</v>
      </c>
    </row>
    <row r="5217" spans="1:9" x14ac:dyDescent="0.25">
      <c r="A5217" s="7">
        <v>3</v>
      </c>
      <c r="B5217" s="8">
        <v>43805</v>
      </c>
      <c r="C5217" s="9" t="s">
        <v>3</v>
      </c>
      <c r="D5217" s="10">
        <v>160.85999999999999</v>
      </c>
      <c r="E5217" s="10">
        <v>153.85999999999999</v>
      </c>
      <c r="F5217" t="str">
        <f>VLOOKUP(A5217,StoreLookup,2,FALSE)</f>
        <v>Store#3</v>
      </c>
      <c r="G5217">
        <f>INDEX(CalLookUpTable,MATCH($B5217,CalLookUpRow,0),MATCH(G$1,CalLookUpColumn,0))</f>
        <v>2019</v>
      </c>
      <c r="H5217">
        <f>INDEX(CalLookUpTable,MATCH($B5217,CalLookUpRow,0),MATCH(H$1,CalLookUpColumn,0))</f>
        <v>12</v>
      </c>
      <c r="I5217">
        <f>INDEX(CalLookUpTable,MATCH($B5217,CalLookUpRow,0),MATCH(I$1,CalLookUpColumn,0))</f>
        <v>2</v>
      </c>
    </row>
    <row r="5218" spans="1:9" x14ac:dyDescent="0.25">
      <c r="A5218" s="7">
        <v>3</v>
      </c>
      <c r="B5218" s="8">
        <v>43806</v>
      </c>
      <c r="C5218" s="9" t="s">
        <v>4</v>
      </c>
      <c r="D5218" s="10">
        <v>3607.4290000000001</v>
      </c>
      <c r="E5218" s="10">
        <v>3913.8539999999998</v>
      </c>
      <c r="F5218" t="str">
        <f>VLOOKUP(A5218,StoreLookup,2,FALSE)</f>
        <v>Store#3</v>
      </c>
      <c r="G5218">
        <f>INDEX(CalLookUpTable,MATCH($B5218,CalLookUpRow,0),MATCH(G$1,CalLookUpColumn,0))</f>
        <v>2019</v>
      </c>
      <c r="H5218">
        <f>INDEX(CalLookUpTable,MATCH($B5218,CalLookUpRow,0),MATCH(H$1,CalLookUpColumn,0))</f>
        <v>12</v>
      </c>
      <c r="I5218">
        <f>INDEX(CalLookUpTable,MATCH($B5218,CalLookUpRow,0),MATCH(I$1,CalLookUpColumn,0))</f>
        <v>2</v>
      </c>
    </row>
    <row r="5219" spans="1:9" x14ac:dyDescent="0.25">
      <c r="A5219" s="7">
        <v>3</v>
      </c>
      <c r="B5219" s="8">
        <v>43806</v>
      </c>
      <c r="C5219" s="9" t="s">
        <v>6</v>
      </c>
      <c r="D5219" s="10">
        <v>1556.0229999999999</v>
      </c>
      <c r="E5219" s="10">
        <v>1203.3139999999999</v>
      </c>
      <c r="F5219" t="str">
        <f>VLOOKUP(A5219,StoreLookup,2,FALSE)</f>
        <v>Store#3</v>
      </c>
      <c r="G5219">
        <f>INDEX(CalLookUpTable,MATCH($B5219,CalLookUpRow,0),MATCH(G$1,CalLookUpColumn,0))</f>
        <v>2019</v>
      </c>
      <c r="H5219">
        <f>INDEX(CalLookUpTable,MATCH($B5219,CalLookUpRow,0),MATCH(H$1,CalLookUpColumn,0))</f>
        <v>12</v>
      </c>
      <c r="I5219">
        <f>INDEX(CalLookUpTable,MATCH($B5219,CalLookUpRow,0),MATCH(I$1,CalLookUpColumn,0))</f>
        <v>2</v>
      </c>
    </row>
    <row r="5220" spans="1:9" x14ac:dyDescent="0.25">
      <c r="A5220" s="7">
        <v>3</v>
      </c>
      <c r="B5220" s="8">
        <v>43806</v>
      </c>
      <c r="C5220" s="9" t="s">
        <v>5</v>
      </c>
      <c r="D5220" s="10">
        <v>2549.6239999999998</v>
      </c>
      <c r="E5220" s="10">
        <v>3691.2189999999996</v>
      </c>
      <c r="F5220" t="str">
        <f>VLOOKUP(A5220,StoreLookup,2,FALSE)</f>
        <v>Store#3</v>
      </c>
      <c r="G5220">
        <f>INDEX(CalLookUpTable,MATCH($B5220,CalLookUpRow,0),MATCH(G$1,CalLookUpColumn,0))</f>
        <v>2019</v>
      </c>
      <c r="H5220">
        <f>INDEX(CalLookUpTable,MATCH($B5220,CalLookUpRow,0),MATCH(H$1,CalLookUpColumn,0))</f>
        <v>12</v>
      </c>
      <c r="I5220">
        <f>INDEX(CalLookUpTable,MATCH($B5220,CalLookUpRow,0),MATCH(I$1,CalLookUpColumn,0))</f>
        <v>2</v>
      </c>
    </row>
    <row r="5221" spans="1:9" x14ac:dyDescent="0.25">
      <c r="A5221" s="7">
        <v>3</v>
      </c>
      <c r="B5221" s="8">
        <v>43806</v>
      </c>
      <c r="C5221" s="9" t="s">
        <v>3</v>
      </c>
      <c r="D5221" s="10">
        <v>428.70099999999996</v>
      </c>
      <c r="E5221" s="10">
        <v>115.39499999999998</v>
      </c>
      <c r="F5221" t="str">
        <f>VLOOKUP(A5221,StoreLookup,2,FALSE)</f>
        <v>Store#3</v>
      </c>
      <c r="G5221">
        <f>INDEX(CalLookUpTable,MATCH($B5221,CalLookUpRow,0),MATCH(G$1,CalLookUpColumn,0))</f>
        <v>2019</v>
      </c>
      <c r="H5221">
        <f>INDEX(CalLookUpTable,MATCH($B5221,CalLookUpRow,0),MATCH(H$1,CalLookUpColumn,0))</f>
        <v>12</v>
      </c>
      <c r="I5221">
        <f>INDEX(CalLookUpTable,MATCH($B5221,CalLookUpRow,0),MATCH(I$1,CalLookUpColumn,0))</f>
        <v>2</v>
      </c>
    </row>
    <row r="5222" spans="1:9" x14ac:dyDescent="0.25">
      <c r="A5222" s="7">
        <v>3</v>
      </c>
      <c r="B5222" s="8">
        <v>43807</v>
      </c>
      <c r="C5222" s="9" t="s">
        <v>4</v>
      </c>
      <c r="D5222" s="10">
        <v>1359.8129999999999</v>
      </c>
      <c r="E5222" s="10">
        <v>3316.7820000000002</v>
      </c>
      <c r="F5222" t="str">
        <f>VLOOKUP(A5222,StoreLookup,2,FALSE)</f>
        <v>Store#3</v>
      </c>
      <c r="G5222">
        <f>INDEX(CalLookUpTable,MATCH($B5222,CalLookUpRow,0),MATCH(G$1,CalLookUpColumn,0))</f>
        <v>2019</v>
      </c>
      <c r="H5222">
        <f>INDEX(CalLookUpTable,MATCH($B5222,CalLookUpRow,0),MATCH(H$1,CalLookUpColumn,0))</f>
        <v>12</v>
      </c>
      <c r="I5222">
        <f>INDEX(CalLookUpTable,MATCH($B5222,CalLookUpRow,0),MATCH(I$1,CalLookUpColumn,0))</f>
        <v>2</v>
      </c>
    </row>
    <row r="5223" spans="1:9" x14ac:dyDescent="0.25">
      <c r="A5223" s="7">
        <v>3</v>
      </c>
      <c r="B5223" s="8">
        <v>43807</v>
      </c>
      <c r="C5223" s="9" t="s">
        <v>5</v>
      </c>
      <c r="D5223" s="10">
        <v>1791.0199999999998</v>
      </c>
      <c r="E5223" s="10">
        <v>3051.4049999999997</v>
      </c>
      <c r="F5223" t="str">
        <f>VLOOKUP(A5223,StoreLookup,2,FALSE)</f>
        <v>Store#3</v>
      </c>
      <c r="G5223">
        <f>INDEX(CalLookUpTable,MATCH($B5223,CalLookUpRow,0),MATCH(G$1,CalLookUpColumn,0))</f>
        <v>2019</v>
      </c>
      <c r="H5223">
        <f>INDEX(CalLookUpTable,MATCH($B5223,CalLookUpRow,0),MATCH(H$1,CalLookUpColumn,0))</f>
        <v>12</v>
      </c>
      <c r="I5223">
        <f>INDEX(CalLookUpTable,MATCH($B5223,CalLookUpRow,0),MATCH(I$1,CalLookUpColumn,0))</f>
        <v>2</v>
      </c>
    </row>
    <row r="5224" spans="1:9" x14ac:dyDescent="0.25">
      <c r="A5224" s="7">
        <v>3</v>
      </c>
      <c r="B5224" s="8">
        <v>43807</v>
      </c>
      <c r="C5224" s="9" t="s">
        <v>6</v>
      </c>
      <c r="D5224" s="10">
        <v>561.7639999999999</v>
      </c>
      <c r="E5224" s="10">
        <v>1052.5409999999999</v>
      </c>
      <c r="F5224" t="str">
        <f>VLOOKUP(A5224,StoreLookup,2,FALSE)</f>
        <v>Store#3</v>
      </c>
      <c r="G5224">
        <f>INDEX(CalLookUpTable,MATCH($B5224,CalLookUpRow,0),MATCH(G$1,CalLookUpColumn,0))</f>
        <v>2019</v>
      </c>
      <c r="H5224">
        <f>INDEX(CalLookUpTable,MATCH($B5224,CalLookUpRow,0),MATCH(H$1,CalLookUpColumn,0))</f>
        <v>12</v>
      </c>
      <c r="I5224">
        <f>INDEX(CalLookUpTable,MATCH($B5224,CalLookUpRow,0),MATCH(I$1,CalLookUpColumn,0))</f>
        <v>2</v>
      </c>
    </row>
    <row r="5225" spans="1:9" x14ac:dyDescent="0.25">
      <c r="A5225" s="7">
        <v>3</v>
      </c>
      <c r="B5225" s="8">
        <v>43807</v>
      </c>
      <c r="C5225" s="9" t="s">
        <v>3</v>
      </c>
      <c r="D5225" s="10">
        <v>865.50800000000004</v>
      </c>
      <c r="E5225" s="10">
        <v>88.444999999999993</v>
      </c>
      <c r="F5225" t="str">
        <f>VLOOKUP(A5225,StoreLookup,2,FALSE)</f>
        <v>Store#3</v>
      </c>
      <c r="G5225">
        <f>INDEX(CalLookUpTable,MATCH($B5225,CalLookUpRow,0),MATCH(G$1,CalLookUpColumn,0))</f>
        <v>2019</v>
      </c>
      <c r="H5225">
        <f>INDEX(CalLookUpTable,MATCH($B5225,CalLookUpRow,0),MATCH(H$1,CalLookUpColumn,0))</f>
        <v>12</v>
      </c>
      <c r="I5225">
        <f>INDEX(CalLookUpTable,MATCH($B5225,CalLookUpRow,0),MATCH(I$1,CalLookUpColumn,0))</f>
        <v>2</v>
      </c>
    </row>
    <row r="5226" spans="1:9" x14ac:dyDescent="0.25">
      <c r="A5226" s="7">
        <v>3</v>
      </c>
      <c r="B5226" s="8">
        <v>43808</v>
      </c>
      <c r="C5226" s="9" t="s">
        <v>5</v>
      </c>
      <c r="D5226" s="10">
        <v>3428.2849999999999</v>
      </c>
      <c r="E5226" s="10">
        <v>2839.0740000000001</v>
      </c>
      <c r="F5226" t="str">
        <f>VLOOKUP(A5226,StoreLookup,2,FALSE)</f>
        <v>Store#3</v>
      </c>
      <c r="G5226">
        <f>INDEX(CalLookUpTable,MATCH($B5226,CalLookUpRow,0),MATCH(G$1,CalLookUpColumn,0))</f>
        <v>2019</v>
      </c>
      <c r="H5226">
        <f>INDEX(CalLookUpTable,MATCH($B5226,CalLookUpRow,0),MATCH(H$1,CalLookUpColumn,0))</f>
        <v>12</v>
      </c>
      <c r="I5226">
        <f>INDEX(CalLookUpTable,MATCH($B5226,CalLookUpRow,0),MATCH(I$1,CalLookUpColumn,0))</f>
        <v>3</v>
      </c>
    </row>
    <row r="5227" spans="1:9" x14ac:dyDescent="0.25">
      <c r="A5227" s="7">
        <v>3</v>
      </c>
      <c r="B5227" s="8">
        <v>43808</v>
      </c>
      <c r="C5227" s="9" t="s">
        <v>4</v>
      </c>
      <c r="D5227" s="10">
        <v>2767.5059999999999</v>
      </c>
      <c r="E5227" s="10">
        <v>3009.9089999999997</v>
      </c>
      <c r="F5227" t="str">
        <f>VLOOKUP(A5227,StoreLookup,2,FALSE)</f>
        <v>Store#3</v>
      </c>
      <c r="G5227">
        <f>INDEX(CalLookUpTable,MATCH($B5227,CalLookUpRow,0),MATCH(G$1,CalLookUpColumn,0))</f>
        <v>2019</v>
      </c>
      <c r="H5227">
        <f>INDEX(CalLookUpTable,MATCH($B5227,CalLookUpRow,0),MATCH(H$1,CalLookUpColumn,0))</f>
        <v>12</v>
      </c>
      <c r="I5227">
        <f>INDEX(CalLookUpTable,MATCH($B5227,CalLookUpRow,0),MATCH(I$1,CalLookUpColumn,0))</f>
        <v>3</v>
      </c>
    </row>
    <row r="5228" spans="1:9" x14ac:dyDescent="0.25">
      <c r="A5228" s="7">
        <v>3</v>
      </c>
      <c r="B5228" s="8">
        <v>43808</v>
      </c>
      <c r="C5228" s="9" t="s">
        <v>6</v>
      </c>
      <c r="D5228" s="10">
        <v>1431.08</v>
      </c>
      <c r="E5228" s="10">
        <v>932.4</v>
      </c>
      <c r="F5228" t="str">
        <f>VLOOKUP(A5228,StoreLookup,2,FALSE)</f>
        <v>Store#3</v>
      </c>
      <c r="G5228">
        <f>INDEX(CalLookUpTable,MATCH($B5228,CalLookUpRow,0),MATCH(G$1,CalLookUpColumn,0))</f>
        <v>2019</v>
      </c>
      <c r="H5228">
        <f>INDEX(CalLookUpTable,MATCH($B5228,CalLookUpRow,0),MATCH(H$1,CalLookUpColumn,0))</f>
        <v>12</v>
      </c>
      <c r="I5228">
        <f>INDEX(CalLookUpTable,MATCH($B5228,CalLookUpRow,0),MATCH(I$1,CalLookUpColumn,0))</f>
        <v>3</v>
      </c>
    </row>
    <row r="5229" spans="1:9" x14ac:dyDescent="0.25">
      <c r="A5229" s="7">
        <v>3</v>
      </c>
      <c r="B5229" s="8">
        <v>43808</v>
      </c>
      <c r="C5229" s="9" t="s">
        <v>3</v>
      </c>
      <c r="D5229" s="10">
        <v>12.774999999999999</v>
      </c>
      <c r="E5229" s="10">
        <v>400.72199999999998</v>
      </c>
      <c r="F5229" t="str">
        <f>VLOOKUP(A5229,StoreLookup,2,FALSE)</f>
        <v>Store#3</v>
      </c>
      <c r="G5229">
        <f>INDEX(CalLookUpTable,MATCH($B5229,CalLookUpRow,0),MATCH(G$1,CalLookUpColumn,0))</f>
        <v>2019</v>
      </c>
      <c r="H5229">
        <f>INDEX(CalLookUpTable,MATCH($B5229,CalLookUpRow,0),MATCH(H$1,CalLookUpColumn,0))</f>
        <v>12</v>
      </c>
      <c r="I5229">
        <f>INDEX(CalLookUpTable,MATCH($B5229,CalLookUpRow,0),MATCH(I$1,CalLookUpColumn,0))</f>
        <v>3</v>
      </c>
    </row>
    <row r="5230" spans="1:9" x14ac:dyDescent="0.25">
      <c r="A5230" s="7">
        <v>3</v>
      </c>
      <c r="B5230" s="8">
        <v>43809</v>
      </c>
      <c r="C5230" s="9" t="s">
        <v>4</v>
      </c>
      <c r="D5230" s="10">
        <v>2988.4259999999999</v>
      </c>
      <c r="E5230" s="10">
        <v>3303.7759999999998</v>
      </c>
      <c r="F5230" t="str">
        <f>VLOOKUP(A5230,StoreLookup,2,FALSE)</f>
        <v>Store#3</v>
      </c>
      <c r="G5230">
        <f>INDEX(CalLookUpTable,MATCH($B5230,CalLookUpRow,0),MATCH(G$1,CalLookUpColumn,0))</f>
        <v>2019</v>
      </c>
      <c r="H5230">
        <f>INDEX(CalLookUpTable,MATCH($B5230,CalLookUpRow,0),MATCH(H$1,CalLookUpColumn,0))</f>
        <v>12</v>
      </c>
      <c r="I5230">
        <f>INDEX(CalLookUpTable,MATCH($B5230,CalLookUpRow,0),MATCH(I$1,CalLookUpColumn,0))</f>
        <v>3</v>
      </c>
    </row>
    <row r="5231" spans="1:9" x14ac:dyDescent="0.25">
      <c r="A5231" s="7">
        <v>3</v>
      </c>
      <c r="B5231" s="8">
        <v>43809</v>
      </c>
      <c r="C5231" s="9" t="s">
        <v>6</v>
      </c>
      <c r="D5231" s="10">
        <v>975.04399999999998</v>
      </c>
      <c r="E5231" s="10">
        <v>815.27599999999995</v>
      </c>
      <c r="F5231" t="str">
        <f>VLOOKUP(A5231,StoreLookup,2,FALSE)</f>
        <v>Store#3</v>
      </c>
      <c r="G5231">
        <f>INDEX(CalLookUpTable,MATCH($B5231,CalLookUpRow,0),MATCH(G$1,CalLookUpColumn,0))</f>
        <v>2019</v>
      </c>
      <c r="H5231">
        <f>INDEX(CalLookUpTable,MATCH($B5231,CalLookUpRow,0),MATCH(H$1,CalLookUpColumn,0))</f>
        <v>12</v>
      </c>
      <c r="I5231">
        <f>INDEX(CalLookUpTable,MATCH($B5231,CalLookUpRow,0),MATCH(I$1,CalLookUpColumn,0))</f>
        <v>3</v>
      </c>
    </row>
    <row r="5232" spans="1:9" x14ac:dyDescent="0.25">
      <c r="A5232" s="7">
        <v>3</v>
      </c>
      <c r="B5232" s="8">
        <v>43809</v>
      </c>
      <c r="C5232" s="9" t="s">
        <v>5</v>
      </c>
      <c r="D5232" s="10">
        <v>2664.97</v>
      </c>
      <c r="E5232" s="10">
        <v>3480.7919999999999</v>
      </c>
      <c r="F5232" t="str">
        <f>VLOOKUP(A5232,StoreLookup,2,FALSE)</f>
        <v>Store#3</v>
      </c>
      <c r="G5232">
        <f>INDEX(CalLookUpTable,MATCH($B5232,CalLookUpRow,0),MATCH(G$1,CalLookUpColumn,0))</f>
        <v>2019</v>
      </c>
      <c r="H5232">
        <f>INDEX(CalLookUpTable,MATCH($B5232,CalLookUpRow,0),MATCH(H$1,CalLookUpColumn,0))</f>
        <v>12</v>
      </c>
      <c r="I5232">
        <f>INDEX(CalLookUpTable,MATCH($B5232,CalLookUpRow,0),MATCH(I$1,CalLookUpColumn,0))</f>
        <v>3</v>
      </c>
    </row>
    <row r="5233" spans="1:9" x14ac:dyDescent="0.25">
      <c r="A5233" s="7">
        <v>3</v>
      </c>
      <c r="B5233" s="8">
        <v>43809</v>
      </c>
      <c r="C5233" s="9" t="s">
        <v>3</v>
      </c>
      <c r="D5233" s="10">
        <v>0</v>
      </c>
      <c r="E5233" s="10">
        <v>15.231999999999999</v>
      </c>
      <c r="F5233" t="str">
        <f>VLOOKUP(A5233,StoreLookup,2,FALSE)</f>
        <v>Store#3</v>
      </c>
      <c r="G5233">
        <f>INDEX(CalLookUpTable,MATCH($B5233,CalLookUpRow,0),MATCH(G$1,CalLookUpColumn,0))</f>
        <v>2019</v>
      </c>
      <c r="H5233">
        <f>INDEX(CalLookUpTable,MATCH($B5233,CalLookUpRow,0),MATCH(H$1,CalLookUpColumn,0))</f>
        <v>12</v>
      </c>
      <c r="I5233">
        <f>INDEX(CalLookUpTable,MATCH($B5233,CalLookUpRow,0),MATCH(I$1,CalLookUpColumn,0))</f>
        <v>3</v>
      </c>
    </row>
    <row r="5234" spans="1:9" x14ac:dyDescent="0.25">
      <c r="A5234" s="7">
        <v>3</v>
      </c>
      <c r="B5234" s="8">
        <v>43810</v>
      </c>
      <c r="C5234" s="9" t="s">
        <v>5</v>
      </c>
      <c r="D5234" s="10">
        <v>3112.5709999999995</v>
      </c>
      <c r="E5234" s="10">
        <v>3094.203</v>
      </c>
      <c r="F5234" t="str">
        <f>VLOOKUP(A5234,StoreLookup,2,FALSE)</f>
        <v>Store#3</v>
      </c>
      <c r="G5234">
        <f>INDEX(CalLookUpTable,MATCH($B5234,CalLookUpRow,0),MATCH(G$1,CalLookUpColumn,0))</f>
        <v>2019</v>
      </c>
      <c r="H5234">
        <f>INDEX(CalLookUpTable,MATCH($B5234,CalLookUpRow,0),MATCH(H$1,CalLookUpColumn,0))</f>
        <v>12</v>
      </c>
      <c r="I5234">
        <f>INDEX(CalLookUpTable,MATCH($B5234,CalLookUpRow,0),MATCH(I$1,CalLookUpColumn,0))</f>
        <v>3</v>
      </c>
    </row>
    <row r="5235" spans="1:9" x14ac:dyDescent="0.25">
      <c r="A5235" s="7">
        <v>3</v>
      </c>
      <c r="B5235" s="8">
        <v>43810</v>
      </c>
      <c r="C5235" s="9" t="s">
        <v>3</v>
      </c>
      <c r="D5235" s="10">
        <v>297.59099999999995</v>
      </c>
      <c r="E5235" s="10">
        <v>688.44999999999993</v>
      </c>
      <c r="F5235" t="str">
        <f>VLOOKUP(A5235,StoreLookup,2,FALSE)</f>
        <v>Store#3</v>
      </c>
      <c r="G5235">
        <f>INDEX(CalLookUpTable,MATCH($B5235,CalLookUpRow,0),MATCH(G$1,CalLookUpColumn,0))</f>
        <v>2019</v>
      </c>
      <c r="H5235">
        <f>INDEX(CalLookUpTable,MATCH($B5235,CalLookUpRow,0),MATCH(H$1,CalLookUpColumn,0))</f>
        <v>12</v>
      </c>
      <c r="I5235">
        <f>INDEX(CalLookUpTable,MATCH($B5235,CalLookUpRow,0),MATCH(I$1,CalLookUpColumn,0))</f>
        <v>3</v>
      </c>
    </row>
    <row r="5236" spans="1:9" x14ac:dyDescent="0.25">
      <c r="A5236" s="7">
        <v>3</v>
      </c>
      <c r="B5236" s="8">
        <v>43810</v>
      </c>
      <c r="C5236" s="9" t="s">
        <v>6</v>
      </c>
      <c r="D5236" s="10">
        <v>1490.6499999999999</v>
      </c>
      <c r="E5236" s="10">
        <v>1027.6209999999999</v>
      </c>
      <c r="F5236" t="str">
        <f>VLOOKUP(A5236,StoreLookup,2,FALSE)</f>
        <v>Store#3</v>
      </c>
      <c r="G5236">
        <f>INDEX(CalLookUpTable,MATCH($B5236,CalLookUpRow,0),MATCH(G$1,CalLookUpColumn,0))</f>
        <v>2019</v>
      </c>
      <c r="H5236">
        <f>INDEX(CalLookUpTable,MATCH($B5236,CalLookUpRow,0),MATCH(H$1,CalLookUpColumn,0))</f>
        <v>12</v>
      </c>
      <c r="I5236">
        <f>INDEX(CalLookUpTable,MATCH($B5236,CalLookUpRow,0),MATCH(I$1,CalLookUpColumn,0))</f>
        <v>3</v>
      </c>
    </row>
    <row r="5237" spans="1:9" x14ac:dyDescent="0.25">
      <c r="A5237" s="7">
        <v>3</v>
      </c>
      <c r="B5237" s="8">
        <v>43810</v>
      </c>
      <c r="C5237" s="9" t="s">
        <v>4</v>
      </c>
      <c r="D5237" s="10">
        <v>3175.1299999999997</v>
      </c>
      <c r="E5237" s="10">
        <v>3233.9299999999994</v>
      </c>
      <c r="F5237" t="str">
        <f>VLOOKUP(A5237,StoreLookup,2,FALSE)</f>
        <v>Store#3</v>
      </c>
      <c r="G5237">
        <f>INDEX(CalLookUpTable,MATCH($B5237,CalLookUpRow,0),MATCH(G$1,CalLookUpColumn,0))</f>
        <v>2019</v>
      </c>
      <c r="H5237">
        <f>INDEX(CalLookUpTable,MATCH($B5237,CalLookUpRow,0),MATCH(H$1,CalLookUpColumn,0))</f>
        <v>12</v>
      </c>
      <c r="I5237">
        <f>INDEX(CalLookUpTable,MATCH($B5237,CalLookUpRow,0),MATCH(I$1,CalLookUpColumn,0))</f>
        <v>3</v>
      </c>
    </row>
    <row r="5238" spans="1:9" x14ac:dyDescent="0.25">
      <c r="A5238" s="7">
        <v>3</v>
      </c>
      <c r="B5238" s="8">
        <v>43811</v>
      </c>
      <c r="C5238" s="9" t="s">
        <v>3</v>
      </c>
      <c r="D5238" s="10">
        <v>0</v>
      </c>
      <c r="E5238" s="10">
        <v>210.511</v>
      </c>
      <c r="F5238" t="str">
        <f>VLOOKUP(A5238,StoreLookup,2,FALSE)</f>
        <v>Store#3</v>
      </c>
      <c r="G5238">
        <f>INDEX(CalLookUpTable,MATCH($B5238,CalLookUpRow,0),MATCH(G$1,CalLookUpColumn,0))</f>
        <v>2019</v>
      </c>
      <c r="H5238">
        <f>INDEX(CalLookUpTable,MATCH($B5238,CalLookUpRow,0),MATCH(H$1,CalLookUpColumn,0))</f>
        <v>12</v>
      </c>
      <c r="I5238">
        <f>INDEX(CalLookUpTable,MATCH($B5238,CalLookUpRow,0),MATCH(I$1,CalLookUpColumn,0))</f>
        <v>3</v>
      </c>
    </row>
    <row r="5239" spans="1:9" x14ac:dyDescent="0.25">
      <c r="A5239" s="7">
        <v>3</v>
      </c>
      <c r="B5239" s="8">
        <v>43811</v>
      </c>
      <c r="C5239" s="9" t="s">
        <v>4</v>
      </c>
      <c r="D5239" s="10">
        <v>3342.3670000000002</v>
      </c>
      <c r="E5239" s="10">
        <v>3630.3469999999998</v>
      </c>
      <c r="F5239" t="str">
        <f>VLOOKUP(A5239,StoreLookup,2,FALSE)</f>
        <v>Store#3</v>
      </c>
      <c r="G5239">
        <f>INDEX(CalLookUpTable,MATCH($B5239,CalLookUpRow,0),MATCH(G$1,CalLookUpColumn,0))</f>
        <v>2019</v>
      </c>
      <c r="H5239">
        <f>INDEX(CalLookUpTable,MATCH($B5239,CalLookUpRow,0),MATCH(H$1,CalLookUpColumn,0))</f>
        <v>12</v>
      </c>
      <c r="I5239">
        <f>INDEX(CalLookUpTable,MATCH($B5239,CalLookUpRow,0),MATCH(I$1,CalLookUpColumn,0))</f>
        <v>3</v>
      </c>
    </row>
    <row r="5240" spans="1:9" x14ac:dyDescent="0.25">
      <c r="A5240" s="7">
        <v>3</v>
      </c>
      <c r="B5240" s="8">
        <v>43811</v>
      </c>
      <c r="C5240" s="9" t="s">
        <v>6</v>
      </c>
      <c r="D5240" s="10">
        <v>1613.0519999999999</v>
      </c>
      <c r="E5240" s="10">
        <v>1087.8839999999998</v>
      </c>
      <c r="F5240" t="str">
        <f>VLOOKUP(A5240,StoreLookup,2,FALSE)</f>
        <v>Store#3</v>
      </c>
      <c r="G5240">
        <f>INDEX(CalLookUpTable,MATCH($B5240,CalLookUpRow,0),MATCH(G$1,CalLookUpColumn,0))</f>
        <v>2019</v>
      </c>
      <c r="H5240">
        <f>INDEX(CalLookUpTable,MATCH($B5240,CalLookUpRow,0),MATCH(H$1,CalLookUpColumn,0))</f>
        <v>12</v>
      </c>
      <c r="I5240">
        <f>INDEX(CalLookUpTable,MATCH($B5240,CalLookUpRow,0),MATCH(I$1,CalLookUpColumn,0))</f>
        <v>3</v>
      </c>
    </row>
    <row r="5241" spans="1:9" x14ac:dyDescent="0.25">
      <c r="A5241" s="7">
        <v>3</v>
      </c>
      <c r="B5241" s="8">
        <v>43811</v>
      </c>
      <c r="C5241" s="9" t="s">
        <v>5</v>
      </c>
      <c r="D5241" s="10">
        <v>3306.9189999999999</v>
      </c>
      <c r="E5241" s="10">
        <v>3493.5809999999997</v>
      </c>
      <c r="F5241" t="str">
        <f>VLOOKUP(A5241,StoreLookup,2,FALSE)</f>
        <v>Store#3</v>
      </c>
      <c r="G5241">
        <f>INDEX(CalLookUpTable,MATCH($B5241,CalLookUpRow,0),MATCH(G$1,CalLookUpColumn,0))</f>
        <v>2019</v>
      </c>
      <c r="H5241">
        <f>INDEX(CalLookUpTable,MATCH($B5241,CalLookUpRow,0),MATCH(H$1,CalLookUpColumn,0))</f>
        <v>12</v>
      </c>
      <c r="I5241">
        <f>INDEX(CalLookUpTable,MATCH($B5241,CalLookUpRow,0),MATCH(I$1,CalLookUpColumn,0))</f>
        <v>3</v>
      </c>
    </row>
    <row r="5242" spans="1:9" x14ac:dyDescent="0.25">
      <c r="A5242" s="7">
        <v>3</v>
      </c>
      <c r="B5242" s="8">
        <v>43812</v>
      </c>
      <c r="C5242" s="9" t="s">
        <v>4</v>
      </c>
      <c r="D5242" s="10">
        <v>3946.6</v>
      </c>
      <c r="E5242" s="10">
        <v>4091.4089999999997</v>
      </c>
      <c r="F5242" t="str">
        <f>VLOOKUP(A5242,StoreLookup,2,FALSE)</f>
        <v>Store#3</v>
      </c>
      <c r="G5242">
        <f>INDEX(CalLookUpTable,MATCH($B5242,CalLookUpRow,0),MATCH(G$1,CalLookUpColumn,0))</f>
        <v>2019</v>
      </c>
      <c r="H5242">
        <f>INDEX(CalLookUpTable,MATCH($B5242,CalLookUpRow,0),MATCH(H$1,CalLookUpColumn,0))</f>
        <v>12</v>
      </c>
      <c r="I5242">
        <f>INDEX(CalLookUpTable,MATCH($B5242,CalLookUpRow,0),MATCH(I$1,CalLookUpColumn,0))</f>
        <v>3</v>
      </c>
    </row>
    <row r="5243" spans="1:9" x14ac:dyDescent="0.25">
      <c r="A5243" s="7">
        <v>3</v>
      </c>
      <c r="B5243" s="8">
        <v>43812</v>
      </c>
      <c r="C5243" s="9" t="s">
        <v>3</v>
      </c>
      <c r="D5243" s="10">
        <v>500.35999999999996</v>
      </c>
      <c r="E5243" s="10">
        <v>524.51</v>
      </c>
      <c r="F5243" t="str">
        <f>VLOOKUP(A5243,StoreLookup,2,FALSE)</f>
        <v>Store#3</v>
      </c>
      <c r="G5243">
        <f>INDEX(CalLookUpTable,MATCH($B5243,CalLookUpRow,0),MATCH(G$1,CalLookUpColumn,0))</f>
        <v>2019</v>
      </c>
      <c r="H5243">
        <f>INDEX(CalLookUpTable,MATCH($B5243,CalLookUpRow,0),MATCH(H$1,CalLookUpColumn,0))</f>
        <v>12</v>
      </c>
      <c r="I5243">
        <f>INDEX(CalLookUpTable,MATCH($B5243,CalLookUpRow,0),MATCH(I$1,CalLookUpColumn,0))</f>
        <v>3</v>
      </c>
    </row>
    <row r="5244" spans="1:9" x14ac:dyDescent="0.25">
      <c r="A5244" s="7">
        <v>3</v>
      </c>
      <c r="B5244" s="8">
        <v>43812</v>
      </c>
      <c r="C5244" s="9" t="s">
        <v>6</v>
      </c>
      <c r="D5244" s="10">
        <v>1851.4929999999997</v>
      </c>
      <c r="E5244" s="10">
        <v>1336.6009999999999</v>
      </c>
      <c r="F5244" t="str">
        <f>VLOOKUP(A5244,StoreLookup,2,FALSE)</f>
        <v>Store#3</v>
      </c>
      <c r="G5244">
        <f>INDEX(CalLookUpTable,MATCH($B5244,CalLookUpRow,0),MATCH(G$1,CalLookUpColumn,0))</f>
        <v>2019</v>
      </c>
      <c r="H5244">
        <f>INDEX(CalLookUpTable,MATCH($B5244,CalLookUpRow,0),MATCH(H$1,CalLookUpColumn,0))</f>
        <v>12</v>
      </c>
      <c r="I5244">
        <f>INDEX(CalLookUpTable,MATCH($B5244,CalLookUpRow,0),MATCH(I$1,CalLookUpColumn,0))</f>
        <v>3</v>
      </c>
    </row>
    <row r="5245" spans="1:9" x14ac:dyDescent="0.25">
      <c r="A5245" s="7">
        <v>3</v>
      </c>
      <c r="B5245" s="8">
        <v>43812</v>
      </c>
      <c r="C5245" s="9" t="s">
        <v>5</v>
      </c>
      <c r="D5245" s="10">
        <v>3386.0749999999998</v>
      </c>
      <c r="E5245" s="10">
        <v>3749.2769999999996</v>
      </c>
      <c r="F5245" t="str">
        <f>VLOOKUP(A5245,StoreLookup,2,FALSE)</f>
        <v>Store#3</v>
      </c>
      <c r="G5245">
        <f>INDEX(CalLookUpTable,MATCH($B5245,CalLookUpRow,0),MATCH(G$1,CalLookUpColumn,0))</f>
        <v>2019</v>
      </c>
      <c r="H5245">
        <f>INDEX(CalLookUpTable,MATCH($B5245,CalLookUpRow,0),MATCH(H$1,CalLookUpColumn,0))</f>
        <v>12</v>
      </c>
      <c r="I5245">
        <f>INDEX(CalLookUpTable,MATCH($B5245,CalLookUpRow,0),MATCH(I$1,CalLookUpColumn,0))</f>
        <v>3</v>
      </c>
    </row>
    <row r="5246" spans="1:9" x14ac:dyDescent="0.25">
      <c r="A5246" s="7">
        <v>3</v>
      </c>
      <c r="B5246" s="8">
        <v>43813</v>
      </c>
      <c r="C5246" s="9" t="s">
        <v>3</v>
      </c>
      <c r="D5246" s="10">
        <v>0</v>
      </c>
      <c r="E5246" s="10">
        <v>176.946</v>
      </c>
      <c r="F5246" t="str">
        <f>VLOOKUP(A5246,StoreLookup,2,FALSE)</f>
        <v>Store#3</v>
      </c>
      <c r="G5246">
        <f>INDEX(CalLookUpTable,MATCH($B5246,CalLookUpRow,0),MATCH(G$1,CalLookUpColumn,0))</f>
        <v>2019</v>
      </c>
      <c r="H5246">
        <f>INDEX(CalLookUpTable,MATCH($B5246,CalLookUpRow,0),MATCH(H$1,CalLookUpColumn,0))</f>
        <v>12</v>
      </c>
      <c r="I5246">
        <f>INDEX(CalLookUpTable,MATCH($B5246,CalLookUpRow,0),MATCH(I$1,CalLookUpColumn,0))</f>
        <v>3</v>
      </c>
    </row>
    <row r="5247" spans="1:9" x14ac:dyDescent="0.25">
      <c r="A5247" s="7">
        <v>3</v>
      </c>
      <c r="B5247" s="8">
        <v>43813</v>
      </c>
      <c r="C5247" s="9" t="s">
        <v>5</v>
      </c>
      <c r="D5247" s="10">
        <v>3018.3929999999996</v>
      </c>
      <c r="E5247" s="10">
        <v>3589.0609999999992</v>
      </c>
      <c r="F5247" t="str">
        <f>VLOOKUP(A5247,StoreLookup,2,FALSE)</f>
        <v>Store#3</v>
      </c>
      <c r="G5247">
        <f>INDEX(CalLookUpTable,MATCH($B5247,CalLookUpRow,0),MATCH(G$1,CalLookUpColumn,0))</f>
        <v>2019</v>
      </c>
      <c r="H5247">
        <f>INDEX(CalLookUpTable,MATCH($B5247,CalLookUpRow,0),MATCH(H$1,CalLookUpColumn,0))</f>
        <v>12</v>
      </c>
      <c r="I5247">
        <f>INDEX(CalLookUpTable,MATCH($B5247,CalLookUpRow,0),MATCH(I$1,CalLookUpColumn,0))</f>
        <v>3</v>
      </c>
    </row>
    <row r="5248" spans="1:9" x14ac:dyDescent="0.25">
      <c r="A5248" s="7">
        <v>3</v>
      </c>
      <c r="B5248" s="8">
        <v>43813</v>
      </c>
      <c r="C5248" s="9" t="s">
        <v>6</v>
      </c>
      <c r="D5248" s="10">
        <v>1712.0529999999999</v>
      </c>
      <c r="E5248" s="10">
        <v>705.36899999999991</v>
      </c>
      <c r="F5248" t="str">
        <f>VLOOKUP(A5248,StoreLookup,2,FALSE)</f>
        <v>Store#3</v>
      </c>
      <c r="G5248">
        <f>INDEX(CalLookUpTable,MATCH($B5248,CalLookUpRow,0),MATCH(G$1,CalLookUpColumn,0))</f>
        <v>2019</v>
      </c>
      <c r="H5248">
        <f>INDEX(CalLookUpTable,MATCH($B5248,CalLookUpRow,0),MATCH(H$1,CalLookUpColumn,0))</f>
        <v>12</v>
      </c>
      <c r="I5248">
        <f>INDEX(CalLookUpTable,MATCH($B5248,CalLookUpRow,0),MATCH(I$1,CalLookUpColumn,0))</f>
        <v>3</v>
      </c>
    </row>
    <row r="5249" spans="1:9" x14ac:dyDescent="0.25">
      <c r="A5249" s="7">
        <v>3</v>
      </c>
      <c r="B5249" s="8">
        <v>43813</v>
      </c>
      <c r="C5249" s="9" t="s">
        <v>4</v>
      </c>
      <c r="D5249" s="10">
        <v>3065.069</v>
      </c>
      <c r="E5249" s="10">
        <v>3505.3760000000002</v>
      </c>
      <c r="F5249" t="str">
        <f>VLOOKUP(A5249,StoreLookup,2,FALSE)</f>
        <v>Store#3</v>
      </c>
      <c r="G5249">
        <f>INDEX(CalLookUpTable,MATCH($B5249,CalLookUpRow,0),MATCH(G$1,CalLookUpColumn,0))</f>
        <v>2019</v>
      </c>
      <c r="H5249">
        <f>INDEX(CalLookUpTable,MATCH($B5249,CalLookUpRow,0),MATCH(H$1,CalLookUpColumn,0))</f>
        <v>12</v>
      </c>
      <c r="I5249">
        <f>INDEX(CalLookUpTable,MATCH($B5249,CalLookUpRow,0),MATCH(I$1,CalLookUpColumn,0))</f>
        <v>3</v>
      </c>
    </row>
    <row r="5250" spans="1:9" x14ac:dyDescent="0.25">
      <c r="A5250" s="7">
        <v>3</v>
      </c>
      <c r="B5250" s="8">
        <v>43814</v>
      </c>
      <c r="C5250" s="9" t="s">
        <v>4</v>
      </c>
      <c r="D5250" s="10">
        <v>2508.1</v>
      </c>
      <c r="E5250" s="10">
        <v>1402.3309999999999</v>
      </c>
      <c r="F5250" t="str">
        <f>VLOOKUP(A5250,StoreLookup,2,FALSE)</f>
        <v>Store#3</v>
      </c>
      <c r="G5250">
        <f>INDEX(CalLookUpTable,MATCH($B5250,CalLookUpRow,0),MATCH(G$1,CalLookUpColumn,0))</f>
        <v>2019</v>
      </c>
      <c r="H5250">
        <f>INDEX(CalLookUpTable,MATCH($B5250,CalLookUpRow,0),MATCH(H$1,CalLookUpColumn,0))</f>
        <v>12</v>
      </c>
      <c r="I5250">
        <f>INDEX(CalLookUpTable,MATCH($B5250,CalLookUpRow,0),MATCH(I$1,CalLookUpColumn,0))</f>
        <v>3</v>
      </c>
    </row>
    <row r="5251" spans="1:9" x14ac:dyDescent="0.25">
      <c r="A5251" s="7">
        <v>3</v>
      </c>
      <c r="B5251" s="8">
        <v>43814</v>
      </c>
      <c r="C5251" s="9" t="s">
        <v>6</v>
      </c>
      <c r="D5251" s="10">
        <v>1423.7370000000001</v>
      </c>
      <c r="E5251" s="10">
        <v>206.07999999999998</v>
      </c>
      <c r="F5251" t="str">
        <f>VLOOKUP(A5251,StoreLookup,2,FALSE)</f>
        <v>Store#3</v>
      </c>
      <c r="G5251">
        <f>INDEX(CalLookUpTable,MATCH($B5251,CalLookUpRow,0),MATCH(G$1,CalLookUpColumn,0))</f>
        <v>2019</v>
      </c>
      <c r="H5251">
        <f>INDEX(CalLookUpTable,MATCH($B5251,CalLookUpRow,0),MATCH(H$1,CalLookUpColumn,0))</f>
        <v>12</v>
      </c>
      <c r="I5251">
        <f>INDEX(CalLookUpTable,MATCH($B5251,CalLookUpRow,0),MATCH(I$1,CalLookUpColumn,0))</f>
        <v>3</v>
      </c>
    </row>
    <row r="5252" spans="1:9" x14ac:dyDescent="0.25">
      <c r="A5252" s="7">
        <v>3</v>
      </c>
      <c r="B5252" s="8">
        <v>43814</v>
      </c>
      <c r="C5252" s="9" t="s">
        <v>5</v>
      </c>
      <c r="D5252" s="10">
        <v>2811.9139999999998</v>
      </c>
      <c r="E5252" s="10">
        <v>1487.2270000000001</v>
      </c>
      <c r="F5252" t="str">
        <f>VLOOKUP(A5252,StoreLookup,2,FALSE)</f>
        <v>Store#3</v>
      </c>
      <c r="G5252">
        <f>INDEX(CalLookUpTable,MATCH($B5252,CalLookUpRow,0),MATCH(G$1,CalLookUpColumn,0))</f>
        <v>2019</v>
      </c>
      <c r="H5252">
        <f>INDEX(CalLookUpTable,MATCH($B5252,CalLookUpRow,0),MATCH(H$1,CalLookUpColumn,0))</f>
        <v>12</v>
      </c>
      <c r="I5252">
        <f>INDEX(CalLookUpTable,MATCH($B5252,CalLookUpRow,0),MATCH(I$1,CalLookUpColumn,0))</f>
        <v>3</v>
      </c>
    </row>
    <row r="5253" spans="1:9" x14ac:dyDescent="0.25">
      <c r="A5253" s="7">
        <v>3</v>
      </c>
      <c r="B5253" s="8">
        <v>43814</v>
      </c>
      <c r="C5253" s="9" t="s">
        <v>3</v>
      </c>
      <c r="D5253" s="10">
        <v>0</v>
      </c>
      <c r="E5253" s="10">
        <v>223.33500000000001</v>
      </c>
      <c r="F5253" t="str">
        <f>VLOOKUP(A5253,StoreLookup,2,FALSE)</f>
        <v>Store#3</v>
      </c>
      <c r="G5253">
        <f>INDEX(CalLookUpTable,MATCH($B5253,CalLookUpRow,0),MATCH(G$1,CalLookUpColumn,0))</f>
        <v>2019</v>
      </c>
      <c r="H5253">
        <f>INDEX(CalLookUpTable,MATCH($B5253,CalLookUpRow,0),MATCH(H$1,CalLookUpColumn,0))</f>
        <v>12</v>
      </c>
      <c r="I5253">
        <f>INDEX(CalLookUpTable,MATCH($B5253,CalLookUpRow,0),MATCH(I$1,CalLookUpColumn,0))</f>
        <v>3</v>
      </c>
    </row>
    <row r="5254" spans="1:9" x14ac:dyDescent="0.25">
      <c r="A5254" s="7">
        <v>3</v>
      </c>
      <c r="B5254" s="8">
        <v>43815</v>
      </c>
      <c r="C5254" s="9" t="s">
        <v>4</v>
      </c>
      <c r="D5254" s="10">
        <v>2472.9249999999997</v>
      </c>
      <c r="E5254" s="10">
        <v>3097.9059999999999</v>
      </c>
      <c r="F5254" t="str">
        <f>VLOOKUP(A5254,StoreLookup,2,FALSE)</f>
        <v>Store#3</v>
      </c>
      <c r="G5254">
        <f>INDEX(CalLookUpTable,MATCH($B5254,CalLookUpRow,0),MATCH(G$1,CalLookUpColumn,0))</f>
        <v>2019</v>
      </c>
      <c r="H5254">
        <f>INDEX(CalLookUpTable,MATCH($B5254,CalLookUpRow,0),MATCH(H$1,CalLookUpColumn,0))</f>
        <v>12</v>
      </c>
      <c r="I5254">
        <f>INDEX(CalLookUpTable,MATCH($B5254,CalLookUpRow,0),MATCH(I$1,CalLookUpColumn,0))</f>
        <v>4</v>
      </c>
    </row>
    <row r="5255" spans="1:9" x14ac:dyDescent="0.25">
      <c r="A5255" s="7">
        <v>3</v>
      </c>
      <c r="B5255" s="8">
        <v>43815</v>
      </c>
      <c r="C5255" s="9" t="s">
        <v>6</v>
      </c>
      <c r="D5255" s="10">
        <v>853.62199999999996</v>
      </c>
      <c r="E5255" s="10">
        <v>751.00199999999984</v>
      </c>
      <c r="F5255" t="str">
        <f>VLOOKUP(A5255,StoreLookup,2,FALSE)</f>
        <v>Store#3</v>
      </c>
      <c r="G5255">
        <f>INDEX(CalLookUpTable,MATCH($B5255,CalLookUpRow,0),MATCH(G$1,CalLookUpColumn,0))</f>
        <v>2019</v>
      </c>
      <c r="H5255">
        <f>INDEX(CalLookUpTable,MATCH($B5255,CalLookUpRow,0),MATCH(H$1,CalLookUpColumn,0))</f>
        <v>12</v>
      </c>
      <c r="I5255">
        <f>INDEX(CalLookUpTable,MATCH($B5255,CalLookUpRow,0),MATCH(I$1,CalLookUpColumn,0))</f>
        <v>4</v>
      </c>
    </row>
    <row r="5256" spans="1:9" x14ac:dyDescent="0.25">
      <c r="A5256" s="7">
        <v>3</v>
      </c>
      <c r="B5256" s="8">
        <v>43815</v>
      </c>
      <c r="C5256" s="9" t="s">
        <v>3</v>
      </c>
      <c r="D5256" s="10">
        <v>217.161</v>
      </c>
      <c r="E5256" s="10">
        <v>293.71999999999997</v>
      </c>
      <c r="F5256" t="str">
        <f>VLOOKUP(A5256,StoreLookup,2,FALSE)</f>
        <v>Store#3</v>
      </c>
      <c r="G5256">
        <f>INDEX(CalLookUpTable,MATCH($B5256,CalLookUpRow,0),MATCH(G$1,CalLookUpColumn,0))</f>
        <v>2019</v>
      </c>
      <c r="H5256">
        <f>INDEX(CalLookUpTable,MATCH($B5256,CalLookUpRow,0),MATCH(H$1,CalLookUpColumn,0))</f>
        <v>12</v>
      </c>
      <c r="I5256">
        <f>INDEX(CalLookUpTable,MATCH($B5256,CalLookUpRow,0),MATCH(I$1,CalLookUpColumn,0))</f>
        <v>4</v>
      </c>
    </row>
    <row r="5257" spans="1:9" x14ac:dyDescent="0.25">
      <c r="A5257" s="7">
        <v>3</v>
      </c>
      <c r="B5257" s="8">
        <v>43815</v>
      </c>
      <c r="C5257" s="9" t="s">
        <v>5</v>
      </c>
      <c r="D5257" s="10">
        <v>2964.7589999999996</v>
      </c>
      <c r="E5257" s="10">
        <v>2945.404</v>
      </c>
      <c r="F5257" t="str">
        <f>VLOOKUP(A5257,StoreLookup,2,FALSE)</f>
        <v>Store#3</v>
      </c>
      <c r="G5257">
        <f>INDEX(CalLookUpTable,MATCH($B5257,CalLookUpRow,0),MATCH(G$1,CalLookUpColumn,0))</f>
        <v>2019</v>
      </c>
      <c r="H5257">
        <f>INDEX(CalLookUpTable,MATCH($B5257,CalLookUpRow,0),MATCH(H$1,CalLookUpColumn,0))</f>
        <v>12</v>
      </c>
      <c r="I5257">
        <f>INDEX(CalLookUpTable,MATCH($B5257,CalLookUpRow,0),MATCH(I$1,CalLookUpColumn,0))</f>
        <v>4</v>
      </c>
    </row>
    <row r="5258" spans="1:9" x14ac:dyDescent="0.25">
      <c r="A5258" s="7">
        <v>3</v>
      </c>
      <c r="B5258" s="8">
        <v>43816</v>
      </c>
      <c r="C5258" s="9" t="s">
        <v>4</v>
      </c>
      <c r="D5258" s="10">
        <v>2975.9519999999998</v>
      </c>
      <c r="E5258" s="10">
        <v>3231.8929999999996</v>
      </c>
      <c r="F5258" t="str">
        <f>VLOOKUP(A5258,StoreLookup,2,FALSE)</f>
        <v>Store#3</v>
      </c>
      <c r="G5258">
        <f>INDEX(CalLookUpTable,MATCH($B5258,CalLookUpRow,0),MATCH(G$1,CalLookUpColumn,0))</f>
        <v>2019</v>
      </c>
      <c r="H5258">
        <f>INDEX(CalLookUpTable,MATCH($B5258,CalLookUpRow,0),MATCH(H$1,CalLookUpColumn,0))</f>
        <v>12</v>
      </c>
      <c r="I5258">
        <f>INDEX(CalLookUpTable,MATCH($B5258,CalLookUpRow,0),MATCH(I$1,CalLookUpColumn,0))</f>
        <v>4</v>
      </c>
    </row>
    <row r="5259" spans="1:9" x14ac:dyDescent="0.25">
      <c r="A5259" s="7">
        <v>3</v>
      </c>
      <c r="B5259" s="8">
        <v>43816</v>
      </c>
      <c r="C5259" s="9" t="s">
        <v>6</v>
      </c>
      <c r="D5259" s="10">
        <v>1398.579</v>
      </c>
      <c r="E5259" s="10">
        <v>835.74400000000003</v>
      </c>
      <c r="F5259" t="str">
        <f>VLOOKUP(A5259,StoreLookup,2,FALSE)</f>
        <v>Store#3</v>
      </c>
      <c r="G5259">
        <f>INDEX(CalLookUpTable,MATCH($B5259,CalLookUpRow,0),MATCH(G$1,CalLookUpColumn,0))</f>
        <v>2019</v>
      </c>
      <c r="H5259">
        <f>INDEX(CalLookUpTable,MATCH($B5259,CalLookUpRow,0),MATCH(H$1,CalLookUpColumn,0))</f>
        <v>12</v>
      </c>
      <c r="I5259">
        <f>INDEX(CalLookUpTable,MATCH($B5259,CalLookUpRow,0),MATCH(I$1,CalLookUpColumn,0))</f>
        <v>4</v>
      </c>
    </row>
    <row r="5260" spans="1:9" x14ac:dyDescent="0.25">
      <c r="A5260" s="7">
        <v>3</v>
      </c>
      <c r="B5260" s="8">
        <v>43816</v>
      </c>
      <c r="C5260" s="9" t="s">
        <v>5</v>
      </c>
      <c r="D5260" s="10">
        <v>3251.1989999999996</v>
      </c>
      <c r="E5260" s="10">
        <v>3393.8450000000003</v>
      </c>
      <c r="F5260" t="str">
        <f>VLOOKUP(A5260,StoreLookup,2,FALSE)</f>
        <v>Store#3</v>
      </c>
      <c r="G5260">
        <f>INDEX(CalLookUpTable,MATCH($B5260,CalLookUpRow,0),MATCH(G$1,CalLookUpColumn,0))</f>
        <v>2019</v>
      </c>
      <c r="H5260">
        <f>INDEX(CalLookUpTable,MATCH($B5260,CalLookUpRow,0),MATCH(H$1,CalLookUpColumn,0))</f>
        <v>12</v>
      </c>
      <c r="I5260">
        <f>INDEX(CalLookUpTable,MATCH($B5260,CalLookUpRow,0),MATCH(I$1,CalLookUpColumn,0))</f>
        <v>4</v>
      </c>
    </row>
    <row r="5261" spans="1:9" x14ac:dyDescent="0.25">
      <c r="A5261" s="7">
        <v>3</v>
      </c>
      <c r="B5261" s="8">
        <v>43816</v>
      </c>
      <c r="C5261" s="9" t="s">
        <v>3</v>
      </c>
      <c r="D5261" s="10">
        <v>160.85999999999999</v>
      </c>
      <c r="E5261" s="10">
        <v>400.036</v>
      </c>
      <c r="F5261" t="str">
        <f>VLOOKUP(A5261,StoreLookup,2,FALSE)</f>
        <v>Store#3</v>
      </c>
      <c r="G5261">
        <f>INDEX(CalLookUpTable,MATCH($B5261,CalLookUpRow,0),MATCH(G$1,CalLookUpColumn,0))</f>
        <v>2019</v>
      </c>
      <c r="H5261">
        <f>INDEX(CalLookUpTable,MATCH($B5261,CalLookUpRow,0),MATCH(H$1,CalLookUpColumn,0))</f>
        <v>12</v>
      </c>
      <c r="I5261">
        <f>INDEX(CalLookUpTable,MATCH($B5261,CalLookUpRow,0),MATCH(I$1,CalLookUpColumn,0))</f>
        <v>4</v>
      </c>
    </row>
    <row r="5262" spans="1:9" x14ac:dyDescent="0.25">
      <c r="A5262" s="7">
        <v>3</v>
      </c>
      <c r="B5262" s="8">
        <v>43817</v>
      </c>
      <c r="C5262" s="9" t="s">
        <v>4</v>
      </c>
      <c r="D5262" s="10">
        <v>3098.8719999999998</v>
      </c>
      <c r="E5262" s="10">
        <v>3329.8369999999995</v>
      </c>
      <c r="F5262" t="str">
        <f>VLOOKUP(A5262,StoreLookup,2,FALSE)</f>
        <v>Store#3</v>
      </c>
      <c r="G5262">
        <f>INDEX(CalLookUpTable,MATCH($B5262,CalLookUpRow,0),MATCH(G$1,CalLookUpColumn,0))</f>
        <v>2019</v>
      </c>
      <c r="H5262">
        <f>INDEX(CalLookUpTable,MATCH($B5262,CalLookUpRow,0),MATCH(H$1,CalLookUpColumn,0))</f>
        <v>12</v>
      </c>
      <c r="I5262">
        <f>INDEX(CalLookUpTable,MATCH($B5262,CalLookUpRow,0),MATCH(I$1,CalLookUpColumn,0))</f>
        <v>4</v>
      </c>
    </row>
    <row r="5263" spans="1:9" x14ac:dyDescent="0.25">
      <c r="A5263" s="7">
        <v>3</v>
      </c>
      <c r="B5263" s="8">
        <v>43817</v>
      </c>
      <c r="C5263" s="9" t="s">
        <v>6</v>
      </c>
      <c r="D5263" s="10">
        <v>1720.32</v>
      </c>
      <c r="E5263" s="10">
        <v>1020.593</v>
      </c>
      <c r="F5263" t="str">
        <f>VLOOKUP(A5263,StoreLookup,2,FALSE)</f>
        <v>Store#3</v>
      </c>
      <c r="G5263">
        <f>INDEX(CalLookUpTable,MATCH($B5263,CalLookUpRow,0),MATCH(G$1,CalLookUpColumn,0))</f>
        <v>2019</v>
      </c>
      <c r="H5263">
        <f>INDEX(CalLookUpTable,MATCH($B5263,CalLookUpRow,0),MATCH(H$1,CalLookUpColumn,0))</f>
        <v>12</v>
      </c>
      <c r="I5263">
        <f>INDEX(CalLookUpTable,MATCH($B5263,CalLookUpRow,0),MATCH(I$1,CalLookUpColumn,0))</f>
        <v>4</v>
      </c>
    </row>
    <row r="5264" spans="1:9" x14ac:dyDescent="0.25">
      <c r="A5264" s="7">
        <v>3</v>
      </c>
      <c r="B5264" s="8">
        <v>43817</v>
      </c>
      <c r="C5264" s="9" t="s">
        <v>3</v>
      </c>
      <c r="D5264" s="10">
        <v>0</v>
      </c>
      <c r="E5264" s="10">
        <v>0</v>
      </c>
      <c r="F5264" t="str">
        <f>VLOOKUP(A5264,StoreLookup,2,FALSE)</f>
        <v>Store#3</v>
      </c>
      <c r="G5264">
        <f>INDEX(CalLookUpTable,MATCH($B5264,CalLookUpRow,0),MATCH(G$1,CalLookUpColumn,0))</f>
        <v>2019</v>
      </c>
      <c r="H5264">
        <f>INDEX(CalLookUpTable,MATCH($B5264,CalLookUpRow,0),MATCH(H$1,CalLookUpColumn,0))</f>
        <v>12</v>
      </c>
      <c r="I5264">
        <f>INDEX(CalLookUpTable,MATCH($B5264,CalLookUpRow,0),MATCH(I$1,CalLookUpColumn,0))</f>
        <v>4</v>
      </c>
    </row>
    <row r="5265" spans="1:9" x14ac:dyDescent="0.25">
      <c r="A5265" s="7">
        <v>3</v>
      </c>
      <c r="B5265" s="8">
        <v>43817</v>
      </c>
      <c r="C5265" s="9" t="s">
        <v>5</v>
      </c>
      <c r="D5265" s="10">
        <v>3010.3359999999993</v>
      </c>
      <c r="E5265" s="10">
        <v>3126.1019999999994</v>
      </c>
      <c r="F5265" t="str">
        <f>VLOOKUP(A5265,StoreLookup,2,FALSE)</f>
        <v>Store#3</v>
      </c>
      <c r="G5265">
        <f>INDEX(CalLookUpTable,MATCH($B5265,CalLookUpRow,0),MATCH(G$1,CalLookUpColumn,0))</f>
        <v>2019</v>
      </c>
      <c r="H5265">
        <f>INDEX(CalLookUpTable,MATCH($B5265,CalLookUpRow,0),MATCH(H$1,CalLookUpColumn,0))</f>
        <v>12</v>
      </c>
      <c r="I5265">
        <f>INDEX(CalLookUpTable,MATCH($B5265,CalLookUpRow,0),MATCH(I$1,CalLookUpColumn,0))</f>
        <v>4</v>
      </c>
    </row>
    <row r="5266" spans="1:9" x14ac:dyDescent="0.25">
      <c r="A5266" s="7">
        <v>3</v>
      </c>
      <c r="B5266" s="8">
        <v>43818</v>
      </c>
      <c r="C5266" s="9" t="s">
        <v>4</v>
      </c>
      <c r="D5266" s="10">
        <v>3976.4549999999995</v>
      </c>
      <c r="E5266" s="10">
        <v>3543.1549999999997</v>
      </c>
      <c r="F5266" t="str">
        <f>VLOOKUP(A5266,StoreLookup,2,FALSE)</f>
        <v>Store#3</v>
      </c>
      <c r="G5266">
        <f>INDEX(CalLookUpTable,MATCH($B5266,CalLookUpRow,0),MATCH(G$1,CalLookUpColumn,0))</f>
        <v>2019</v>
      </c>
      <c r="H5266">
        <f>INDEX(CalLookUpTable,MATCH($B5266,CalLookUpRow,0),MATCH(H$1,CalLookUpColumn,0))</f>
        <v>12</v>
      </c>
      <c r="I5266">
        <f>INDEX(CalLookUpTable,MATCH($B5266,CalLookUpRow,0),MATCH(I$1,CalLookUpColumn,0))</f>
        <v>4</v>
      </c>
    </row>
    <row r="5267" spans="1:9" x14ac:dyDescent="0.25">
      <c r="A5267" s="7">
        <v>3</v>
      </c>
      <c r="B5267" s="8">
        <v>43818</v>
      </c>
      <c r="C5267" s="9" t="s">
        <v>6</v>
      </c>
      <c r="D5267" s="10">
        <v>1590.3579999999999</v>
      </c>
      <c r="E5267" s="10">
        <v>1434.6499999999999</v>
      </c>
      <c r="F5267" t="str">
        <f>VLOOKUP(A5267,StoreLookup,2,FALSE)</f>
        <v>Store#3</v>
      </c>
      <c r="G5267">
        <f>INDEX(CalLookUpTable,MATCH($B5267,CalLookUpRow,0),MATCH(G$1,CalLookUpColumn,0))</f>
        <v>2019</v>
      </c>
      <c r="H5267">
        <f>INDEX(CalLookUpTable,MATCH($B5267,CalLookUpRow,0),MATCH(H$1,CalLookUpColumn,0))</f>
        <v>12</v>
      </c>
      <c r="I5267">
        <f>INDEX(CalLookUpTable,MATCH($B5267,CalLookUpRow,0),MATCH(I$1,CalLookUpColumn,0))</f>
        <v>4</v>
      </c>
    </row>
    <row r="5268" spans="1:9" x14ac:dyDescent="0.25">
      <c r="A5268" s="7">
        <v>3</v>
      </c>
      <c r="B5268" s="8">
        <v>43818</v>
      </c>
      <c r="C5268" s="9" t="s">
        <v>5</v>
      </c>
      <c r="D5268" s="10">
        <v>3203.5359999999996</v>
      </c>
      <c r="E5268" s="10">
        <v>2560.5160000000001</v>
      </c>
      <c r="F5268" t="str">
        <f>VLOOKUP(A5268,StoreLookup,2,FALSE)</f>
        <v>Store#3</v>
      </c>
      <c r="G5268">
        <f>INDEX(CalLookUpTable,MATCH($B5268,CalLookUpRow,0),MATCH(G$1,CalLookUpColumn,0))</f>
        <v>2019</v>
      </c>
      <c r="H5268">
        <f>INDEX(CalLookUpTable,MATCH($B5268,CalLookUpRow,0),MATCH(H$1,CalLookUpColumn,0))</f>
        <v>12</v>
      </c>
      <c r="I5268">
        <f>INDEX(CalLookUpTable,MATCH($B5268,CalLookUpRow,0),MATCH(I$1,CalLookUpColumn,0))</f>
        <v>4</v>
      </c>
    </row>
    <row r="5269" spans="1:9" x14ac:dyDescent="0.25">
      <c r="A5269" s="7">
        <v>3</v>
      </c>
      <c r="B5269" s="8">
        <v>43818</v>
      </c>
      <c r="C5269" s="9" t="s">
        <v>3</v>
      </c>
      <c r="D5269" s="10">
        <v>0</v>
      </c>
      <c r="E5269" s="10">
        <v>335.71999999999997</v>
      </c>
      <c r="F5269" t="str">
        <f>VLOOKUP(A5269,StoreLookup,2,FALSE)</f>
        <v>Store#3</v>
      </c>
      <c r="G5269">
        <f>INDEX(CalLookUpTable,MATCH($B5269,CalLookUpRow,0),MATCH(G$1,CalLookUpColumn,0))</f>
        <v>2019</v>
      </c>
      <c r="H5269">
        <f>INDEX(CalLookUpTable,MATCH($B5269,CalLookUpRow,0),MATCH(H$1,CalLookUpColumn,0))</f>
        <v>12</v>
      </c>
      <c r="I5269">
        <f>INDEX(CalLookUpTable,MATCH($B5269,CalLookUpRow,0),MATCH(I$1,CalLookUpColumn,0))</f>
        <v>4</v>
      </c>
    </row>
    <row r="5270" spans="1:9" x14ac:dyDescent="0.25">
      <c r="A5270" s="7">
        <v>3</v>
      </c>
      <c r="B5270" s="8">
        <v>43819</v>
      </c>
      <c r="C5270" s="9" t="s">
        <v>4</v>
      </c>
      <c r="D5270" s="10">
        <v>4010.1179999999995</v>
      </c>
      <c r="E5270" s="10">
        <v>4039.3289999999997</v>
      </c>
      <c r="F5270" t="str">
        <f>VLOOKUP(A5270,StoreLookup,2,FALSE)</f>
        <v>Store#3</v>
      </c>
      <c r="G5270">
        <f>INDEX(CalLookUpTable,MATCH($B5270,CalLookUpRow,0),MATCH(G$1,CalLookUpColumn,0))</f>
        <v>2019</v>
      </c>
      <c r="H5270">
        <f>INDEX(CalLookUpTable,MATCH($B5270,CalLookUpRow,0),MATCH(H$1,CalLookUpColumn,0))</f>
        <v>12</v>
      </c>
      <c r="I5270">
        <f>INDEX(CalLookUpTable,MATCH($B5270,CalLookUpRow,0),MATCH(I$1,CalLookUpColumn,0))</f>
        <v>4</v>
      </c>
    </row>
    <row r="5271" spans="1:9" x14ac:dyDescent="0.25">
      <c r="A5271" s="7">
        <v>3</v>
      </c>
      <c r="B5271" s="8">
        <v>43819</v>
      </c>
      <c r="C5271" s="9" t="s">
        <v>6</v>
      </c>
      <c r="D5271" s="10">
        <v>1807.05</v>
      </c>
      <c r="E5271" s="10">
        <v>1665.3910000000001</v>
      </c>
      <c r="F5271" t="str">
        <f>VLOOKUP(A5271,StoreLookup,2,FALSE)</f>
        <v>Store#3</v>
      </c>
      <c r="G5271">
        <f>INDEX(CalLookUpTable,MATCH($B5271,CalLookUpRow,0),MATCH(G$1,CalLookUpColumn,0))</f>
        <v>2019</v>
      </c>
      <c r="H5271">
        <f>INDEX(CalLookUpTable,MATCH($B5271,CalLookUpRow,0),MATCH(H$1,CalLookUpColumn,0))</f>
        <v>12</v>
      </c>
      <c r="I5271">
        <f>INDEX(CalLookUpTable,MATCH($B5271,CalLookUpRow,0),MATCH(I$1,CalLookUpColumn,0))</f>
        <v>4</v>
      </c>
    </row>
    <row r="5272" spans="1:9" x14ac:dyDescent="0.25">
      <c r="A5272" s="7">
        <v>3</v>
      </c>
      <c r="B5272" s="8">
        <v>43819</v>
      </c>
      <c r="C5272" s="9" t="s">
        <v>3</v>
      </c>
      <c r="D5272" s="10">
        <v>268.87700000000001</v>
      </c>
      <c r="E5272" s="10">
        <v>200.28399999999999</v>
      </c>
      <c r="F5272" t="str">
        <f>VLOOKUP(A5272,StoreLookup,2,FALSE)</f>
        <v>Store#3</v>
      </c>
      <c r="G5272">
        <f>INDEX(CalLookUpTable,MATCH($B5272,CalLookUpRow,0),MATCH(G$1,CalLookUpColumn,0))</f>
        <v>2019</v>
      </c>
      <c r="H5272">
        <f>INDEX(CalLookUpTable,MATCH($B5272,CalLookUpRow,0),MATCH(H$1,CalLookUpColumn,0))</f>
        <v>12</v>
      </c>
      <c r="I5272">
        <f>INDEX(CalLookUpTable,MATCH($B5272,CalLookUpRow,0),MATCH(I$1,CalLookUpColumn,0))</f>
        <v>4</v>
      </c>
    </row>
    <row r="5273" spans="1:9" x14ac:dyDescent="0.25">
      <c r="A5273" s="7">
        <v>3</v>
      </c>
      <c r="B5273" s="8">
        <v>43819</v>
      </c>
      <c r="C5273" s="9" t="s">
        <v>5</v>
      </c>
      <c r="D5273" s="10">
        <v>3506.9859999999994</v>
      </c>
      <c r="E5273" s="10">
        <v>3433.2759999999998</v>
      </c>
      <c r="F5273" t="str">
        <f>VLOOKUP(A5273,StoreLookup,2,FALSE)</f>
        <v>Store#3</v>
      </c>
      <c r="G5273">
        <f>INDEX(CalLookUpTable,MATCH($B5273,CalLookUpRow,0),MATCH(G$1,CalLookUpColumn,0))</f>
        <v>2019</v>
      </c>
      <c r="H5273">
        <f>INDEX(CalLookUpTable,MATCH($B5273,CalLookUpRow,0),MATCH(H$1,CalLookUpColumn,0))</f>
        <v>12</v>
      </c>
      <c r="I5273">
        <f>INDEX(CalLookUpTable,MATCH($B5273,CalLookUpRow,0),MATCH(I$1,CalLookUpColumn,0))</f>
        <v>4</v>
      </c>
    </row>
    <row r="5274" spans="1:9" x14ac:dyDescent="0.25">
      <c r="A5274" s="7">
        <v>3</v>
      </c>
      <c r="B5274" s="8">
        <v>43820</v>
      </c>
      <c r="C5274" s="9" t="s">
        <v>5</v>
      </c>
      <c r="D5274" s="10">
        <v>2911.5729999999999</v>
      </c>
      <c r="E5274" s="10">
        <v>2874.0390000000002</v>
      </c>
      <c r="F5274" t="str">
        <f>VLOOKUP(A5274,StoreLookup,2,FALSE)</f>
        <v>Store#3</v>
      </c>
      <c r="G5274">
        <f>INDEX(CalLookUpTable,MATCH($B5274,CalLookUpRow,0),MATCH(G$1,CalLookUpColumn,0))</f>
        <v>2019</v>
      </c>
      <c r="H5274">
        <f>INDEX(CalLookUpTable,MATCH($B5274,CalLookUpRow,0),MATCH(H$1,CalLookUpColumn,0))</f>
        <v>12</v>
      </c>
      <c r="I5274">
        <f>INDEX(CalLookUpTable,MATCH($B5274,CalLookUpRow,0),MATCH(I$1,CalLookUpColumn,0))</f>
        <v>4</v>
      </c>
    </row>
    <row r="5275" spans="1:9" x14ac:dyDescent="0.25">
      <c r="A5275" s="7">
        <v>3</v>
      </c>
      <c r="B5275" s="8">
        <v>43820</v>
      </c>
      <c r="C5275" s="9" t="s">
        <v>4</v>
      </c>
      <c r="D5275" s="10">
        <v>3328.5070000000001</v>
      </c>
      <c r="E5275" s="10">
        <v>3745.4059999999995</v>
      </c>
      <c r="F5275" t="str">
        <f>VLOOKUP(A5275,StoreLookup,2,FALSE)</f>
        <v>Store#3</v>
      </c>
      <c r="G5275">
        <f>INDEX(CalLookUpTable,MATCH($B5275,CalLookUpRow,0),MATCH(G$1,CalLookUpColumn,0))</f>
        <v>2019</v>
      </c>
      <c r="H5275">
        <f>INDEX(CalLookUpTable,MATCH($B5275,CalLookUpRow,0),MATCH(H$1,CalLookUpColumn,0))</f>
        <v>12</v>
      </c>
      <c r="I5275">
        <f>INDEX(CalLookUpTable,MATCH($B5275,CalLookUpRow,0),MATCH(I$1,CalLookUpColumn,0))</f>
        <v>4</v>
      </c>
    </row>
    <row r="5276" spans="1:9" x14ac:dyDescent="0.25">
      <c r="A5276" s="7">
        <v>3</v>
      </c>
      <c r="B5276" s="8">
        <v>43820</v>
      </c>
      <c r="C5276" s="9" t="s">
        <v>6</v>
      </c>
      <c r="D5276" s="10">
        <v>1527.9039999999998</v>
      </c>
      <c r="E5276" s="10">
        <v>801.16399999999999</v>
      </c>
      <c r="F5276" t="str">
        <f>VLOOKUP(A5276,StoreLookup,2,FALSE)</f>
        <v>Store#3</v>
      </c>
      <c r="G5276">
        <f>INDEX(CalLookUpTable,MATCH($B5276,CalLookUpRow,0),MATCH(G$1,CalLookUpColumn,0))</f>
        <v>2019</v>
      </c>
      <c r="H5276">
        <f>INDEX(CalLookUpTable,MATCH($B5276,CalLookUpRow,0),MATCH(H$1,CalLookUpColumn,0))</f>
        <v>12</v>
      </c>
      <c r="I5276">
        <f>INDEX(CalLookUpTable,MATCH($B5276,CalLookUpRow,0),MATCH(I$1,CalLookUpColumn,0))</f>
        <v>4</v>
      </c>
    </row>
    <row r="5277" spans="1:9" x14ac:dyDescent="0.25">
      <c r="A5277" s="7">
        <v>3</v>
      </c>
      <c r="B5277" s="8">
        <v>43820</v>
      </c>
      <c r="C5277" s="9" t="s">
        <v>3</v>
      </c>
      <c r="D5277" s="10">
        <v>240.97499999999999</v>
      </c>
      <c r="E5277" s="10">
        <v>197.57499999999999</v>
      </c>
      <c r="F5277" t="str">
        <f>VLOOKUP(A5277,StoreLookup,2,FALSE)</f>
        <v>Store#3</v>
      </c>
      <c r="G5277">
        <f>INDEX(CalLookUpTable,MATCH($B5277,CalLookUpRow,0),MATCH(G$1,CalLookUpColumn,0))</f>
        <v>2019</v>
      </c>
      <c r="H5277">
        <f>INDEX(CalLookUpTable,MATCH($B5277,CalLookUpRow,0),MATCH(H$1,CalLookUpColumn,0))</f>
        <v>12</v>
      </c>
      <c r="I5277">
        <f>INDEX(CalLookUpTable,MATCH($B5277,CalLookUpRow,0),MATCH(I$1,CalLookUpColumn,0))</f>
        <v>4</v>
      </c>
    </row>
    <row r="5278" spans="1:9" x14ac:dyDescent="0.25">
      <c r="A5278" s="7">
        <v>3</v>
      </c>
      <c r="B5278" s="8">
        <v>43821</v>
      </c>
      <c r="C5278" s="9" t="s">
        <v>5</v>
      </c>
      <c r="D5278" s="10">
        <v>2489.578</v>
      </c>
      <c r="E5278" s="10">
        <v>2144.7089999999998</v>
      </c>
      <c r="F5278" t="str">
        <f>VLOOKUP(A5278,StoreLookup,2,FALSE)</f>
        <v>Store#3</v>
      </c>
      <c r="G5278">
        <f>INDEX(CalLookUpTable,MATCH($B5278,CalLookUpRow,0),MATCH(G$1,CalLookUpColumn,0))</f>
        <v>2019</v>
      </c>
      <c r="H5278">
        <f>INDEX(CalLookUpTable,MATCH($B5278,CalLookUpRow,0),MATCH(H$1,CalLookUpColumn,0))</f>
        <v>12</v>
      </c>
      <c r="I5278">
        <f>INDEX(CalLookUpTable,MATCH($B5278,CalLookUpRow,0),MATCH(I$1,CalLookUpColumn,0))</f>
        <v>4</v>
      </c>
    </row>
    <row r="5279" spans="1:9" x14ac:dyDescent="0.25">
      <c r="A5279" s="7">
        <v>3</v>
      </c>
      <c r="B5279" s="8">
        <v>43821</v>
      </c>
      <c r="C5279" s="9" t="s">
        <v>6</v>
      </c>
      <c r="D5279" s="10">
        <v>1245.377</v>
      </c>
      <c r="E5279" s="10">
        <v>416.35999999999996</v>
      </c>
      <c r="F5279" t="str">
        <f>VLOOKUP(A5279,StoreLookup,2,FALSE)</f>
        <v>Store#3</v>
      </c>
      <c r="G5279">
        <f>INDEX(CalLookUpTable,MATCH($B5279,CalLookUpRow,0),MATCH(G$1,CalLookUpColumn,0))</f>
        <v>2019</v>
      </c>
      <c r="H5279">
        <f>INDEX(CalLookUpTable,MATCH($B5279,CalLookUpRow,0),MATCH(H$1,CalLookUpColumn,0))</f>
        <v>12</v>
      </c>
      <c r="I5279">
        <f>INDEX(CalLookUpTable,MATCH($B5279,CalLookUpRow,0),MATCH(I$1,CalLookUpColumn,0))</f>
        <v>4</v>
      </c>
    </row>
    <row r="5280" spans="1:9" x14ac:dyDescent="0.25">
      <c r="A5280" s="7">
        <v>3</v>
      </c>
      <c r="B5280" s="8">
        <v>43821</v>
      </c>
      <c r="C5280" s="9" t="s">
        <v>4</v>
      </c>
      <c r="D5280" s="10">
        <v>3177.5799999999995</v>
      </c>
      <c r="E5280" s="10">
        <v>2503.7949999999996</v>
      </c>
      <c r="F5280" t="str">
        <f>VLOOKUP(A5280,StoreLookup,2,FALSE)</f>
        <v>Store#3</v>
      </c>
      <c r="G5280">
        <f>INDEX(CalLookUpTable,MATCH($B5280,CalLookUpRow,0),MATCH(G$1,CalLookUpColumn,0))</f>
        <v>2019</v>
      </c>
      <c r="H5280">
        <f>INDEX(CalLookUpTable,MATCH($B5280,CalLookUpRow,0),MATCH(H$1,CalLookUpColumn,0))</f>
        <v>12</v>
      </c>
      <c r="I5280">
        <f>INDEX(CalLookUpTable,MATCH($B5280,CalLookUpRow,0),MATCH(I$1,CalLookUpColumn,0))</f>
        <v>4</v>
      </c>
    </row>
    <row r="5281" spans="1:9" x14ac:dyDescent="0.25">
      <c r="A5281" s="7">
        <v>3</v>
      </c>
      <c r="B5281" s="8">
        <v>43821</v>
      </c>
      <c r="C5281" s="9" t="s">
        <v>3</v>
      </c>
      <c r="D5281" s="10">
        <v>65.267999999999986</v>
      </c>
      <c r="E5281" s="10">
        <v>0</v>
      </c>
      <c r="F5281" t="str">
        <f>VLOOKUP(A5281,StoreLookup,2,FALSE)</f>
        <v>Store#3</v>
      </c>
      <c r="G5281">
        <f>INDEX(CalLookUpTable,MATCH($B5281,CalLookUpRow,0),MATCH(G$1,CalLookUpColumn,0))</f>
        <v>2019</v>
      </c>
      <c r="H5281">
        <f>INDEX(CalLookUpTable,MATCH($B5281,CalLookUpRow,0),MATCH(H$1,CalLookUpColumn,0))</f>
        <v>12</v>
      </c>
      <c r="I5281">
        <f>INDEX(CalLookUpTable,MATCH($B5281,CalLookUpRow,0),MATCH(I$1,CalLookUpColumn,0))</f>
        <v>4</v>
      </c>
    </row>
    <row r="5282" spans="1:9" x14ac:dyDescent="0.25">
      <c r="A5282" s="7">
        <v>3</v>
      </c>
      <c r="B5282" s="8">
        <v>43822</v>
      </c>
      <c r="C5282" s="9" t="s">
        <v>5</v>
      </c>
      <c r="D5282" s="10">
        <v>2650.83</v>
      </c>
      <c r="E5282" s="10">
        <v>1565.8089999999997</v>
      </c>
      <c r="F5282" t="str">
        <f>VLOOKUP(A5282,StoreLookup,2,FALSE)</f>
        <v>Store#3</v>
      </c>
      <c r="G5282">
        <f>INDEX(CalLookUpTable,MATCH($B5282,CalLookUpRow,0),MATCH(G$1,CalLookUpColumn,0))</f>
        <v>2019</v>
      </c>
      <c r="H5282">
        <f>INDEX(CalLookUpTable,MATCH($B5282,CalLookUpRow,0),MATCH(H$1,CalLookUpColumn,0))</f>
        <v>12</v>
      </c>
      <c r="I5282">
        <f>INDEX(CalLookUpTable,MATCH($B5282,CalLookUpRow,0),MATCH(I$1,CalLookUpColumn,0))</f>
        <v>5</v>
      </c>
    </row>
    <row r="5283" spans="1:9" x14ac:dyDescent="0.25">
      <c r="A5283" s="7">
        <v>3</v>
      </c>
      <c r="B5283" s="8">
        <v>43822</v>
      </c>
      <c r="C5283" s="9" t="s">
        <v>4</v>
      </c>
      <c r="D5283" s="10">
        <v>3918.3689999999997</v>
      </c>
      <c r="E5283" s="10">
        <v>2050.1389999999997</v>
      </c>
      <c r="F5283" t="str">
        <f>VLOOKUP(A5283,StoreLookup,2,FALSE)</f>
        <v>Store#3</v>
      </c>
      <c r="G5283">
        <f>INDEX(CalLookUpTable,MATCH($B5283,CalLookUpRow,0),MATCH(G$1,CalLookUpColumn,0))</f>
        <v>2019</v>
      </c>
      <c r="H5283">
        <f>INDEX(CalLookUpTable,MATCH($B5283,CalLookUpRow,0),MATCH(H$1,CalLookUpColumn,0))</f>
        <v>12</v>
      </c>
      <c r="I5283">
        <f>INDEX(CalLookUpTable,MATCH($B5283,CalLookUpRow,0),MATCH(I$1,CalLookUpColumn,0))</f>
        <v>5</v>
      </c>
    </row>
    <row r="5284" spans="1:9" x14ac:dyDescent="0.25">
      <c r="A5284" s="7">
        <v>3</v>
      </c>
      <c r="B5284" s="8">
        <v>43822</v>
      </c>
      <c r="C5284" s="9" t="s">
        <v>3</v>
      </c>
      <c r="D5284" s="10">
        <v>263.17900000000003</v>
      </c>
      <c r="E5284" s="10">
        <v>268.11399999999998</v>
      </c>
      <c r="F5284" t="str">
        <f>VLOOKUP(A5284,StoreLookup,2,FALSE)</f>
        <v>Store#3</v>
      </c>
      <c r="G5284">
        <f>INDEX(CalLookUpTable,MATCH($B5284,CalLookUpRow,0),MATCH(G$1,CalLookUpColumn,0))</f>
        <v>2019</v>
      </c>
      <c r="H5284">
        <f>INDEX(CalLookUpTable,MATCH($B5284,CalLookUpRow,0),MATCH(H$1,CalLookUpColumn,0))</f>
        <v>12</v>
      </c>
      <c r="I5284">
        <f>INDEX(CalLookUpTable,MATCH($B5284,CalLookUpRow,0),MATCH(I$1,CalLookUpColumn,0))</f>
        <v>5</v>
      </c>
    </row>
    <row r="5285" spans="1:9" x14ac:dyDescent="0.25">
      <c r="A5285" s="7">
        <v>3</v>
      </c>
      <c r="B5285" s="8">
        <v>43822</v>
      </c>
      <c r="C5285" s="9" t="s">
        <v>6</v>
      </c>
      <c r="D5285" s="10">
        <v>1812.307</v>
      </c>
      <c r="E5285" s="10">
        <v>337.68700000000001</v>
      </c>
      <c r="F5285" t="str">
        <f>VLOOKUP(A5285,StoreLookup,2,FALSE)</f>
        <v>Store#3</v>
      </c>
      <c r="G5285">
        <f>INDEX(CalLookUpTable,MATCH($B5285,CalLookUpRow,0),MATCH(G$1,CalLookUpColumn,0))</f>
        <v>2019</v>
      </c>
      <c r="H5285">
        <f>INDEX(CalLookUpTable,MATCH($B5285,CalLookUpRow,0),MATCH(H$1,CalLookUpColumn,0))</f>
        <v>12</v>
      </c>
      <c r="I5285">
        <f>INDEX(CalLookUpTable,MATCH($B5285,CalLookUpRow,0),MATCH(I$1,CalLookUpColumn,0))</f>
        <v>5</v>
      </c>
    </row>
    <row r="5286" spans="1:9" x14ac:dyDescent="0.25">
      <c r="A5286" s="7">
        <v>3</v>
      </c>
      <c r="B5286" s="8">
        <v>43823</v>
      </c>
      <c r="C5286" s="9" t="s">
        <v>3</v>
      </c>
      <c r="D5286" s="10">
        <v>476.81199999999995</v>
      </c>
      <c r="E5286" s="10">
        <v>0</v>
      </c>
      <c r="F5286" t="str">
        <f>VLOOKUP(A5286,StoreLookup,2,FALSE)</f>
        <v>Store#3</v>
      </c>
      <c r="G5286">
        <f>INDEX(CalLookUpTable,MATCH($B5286,CalLookUpRow,0),MATCH(G$1,CalLookUpColumn,0))</f>
        <v>2019</v>
      </c>
      <c r="H5286">
        <f>INDEX(CalLookUpTable,MATCH($B5286,CalLookUpRow,0),MATCH(H$1,CalLookUpColumn,0))</f>
        <v>12</v>
      </c>
      <c r="I5286">
        <f>INDEX(CalLookUpTable,MATCH($B5286,CalLookUpRow,0),MATCH(I$1,CalLookUpColumn,0))</f>
        <v>5</v>
      </c>
    </row>
    <row r="5287" spans="1:9" x14ac:dyDescent="0.25">
      <c r="A5287" s="7">
        <v>3</v>
      </c>
      <c r="B5287" s="8">
        <v>43823</v>
      </c>
      <c r="C5287" s="9" t="s">
        <v>4</v>
      </c>
      <c r="D5287" s="10">
        <v>1756.1529999999998</v>
      </c>
      <c r="E5287" s="10">
        <v>0</v>
      </c>
      <c r="F5287" t="str">
        <f>VLOOKUP(A5287,StoreLookup,2,FALSE)</f>
        <v>Store#3</v>
      </c>
      <c r="G5287">
        <f>INDEX(CalLookUpTable,MATCH($B5287,CalLookUpRow,0),MATCH(G$1,CalLookUpColumn,0))</f>
        <v>2019</v>
      </c>
      <c r="H5287">
        <f>INDEX(CalLookUpTable,MATCH($B5287,CalLookUpRow,0),MATCH(H$1,CalLookUpColumn,0))</f>
        <v>12</v>
      </c>
      <c r="I5287">
        <f>INDEX(CalLookUpTable,MATCH($B5287,CalLookUpRow,0),MATCH(I$1,CalLookUpColumn,0))</f>
        <v>5</v>
      </c>
    </row>
    <row r="5288" spans="1:9" x14ac:dyDescent="0.25">
      <c r="A5288" s="7">
        <v>3</v>
      </c>
      <c r="B5288" s="8">
        <v>43823</v>
      </c>
      <c r="C5288" s="9" t="s">
        <v>6</v>
      </c>
      <c r="D5288" s="10">
        <v>1099.9519999999998</v>
      </c>
      <c r="E5288" s="10">
        <v>0</v>
      </c>
      <c r="F5288" t="str">
        <f>VLOOKUP(A5288,StoreLookup,2,FALSE)</f>
        <v>Store#3</v>
      </c>
      <c r="G5288">
        <f>INDEX(CalLookUpTable,MATCH($B5288,CalLookUpRow,0),MATCH(G$1,CalLookUpColumn,0))</f>
        <v>2019</v>
      </c>
      <c r="H5288">
        <f>INDEX(CalLookUpTable,MATCH($B5288,CalLookUpRow,0),MATCH(H$1,CalLookUpColumn,0))</f>
        <v>12</v>
      </c>
      <c r="I5288">
        <f>INDEX(CalLookUpTable,MATCH($B5288,CalLookUpRow,0),MATCH(I$1,CalLookUpColumn,0))</f>
        <v>5</v>
      </c>
    </row>
    <row r="5289" spans="1:9" x14ac:dyDescent="0.25">
      <c r="A5289" s="7">
        <v>3</v>
      </c>
      <c r="B5289" s="8">
        <v>43823</v>
      </c>
      <c r="C5289" s="9" t="s">
        <v>5</v>
      </c>
      <c r="D5289" s="10">
        <v>1729.98</v>
      </c>
      <c r="E5289" s="10">
        <v>0</v>
      </c>
      <c r="F5289" t="str">
        <f>VLOOKUP(A5289,StoreLookup,2,FALSE)</f>
        <v>Store#3</v>
      </c>
      <c r="G5289">
        <f>INDEX(CalLookUpTable,MATCH($B5289,CalLookUpRow,0),MATCH(G$1,CalLookUpColumn,0))</f>
        <v>2019</v>
      </c>
      <c r="H5289">
        <f>INDEX(CalLookUpTable,MATCH($B5289,CalLookUpRow,0),MATCH(H$1,CalLookUpColumn,0))</f>
        <v>12</v>
      </c>
      <c r="I5289">
        <f>INDEX(CalLookUpTable,MATCH($B5289,CalLookUpRow,0),MATCH(I$1,CalLookUpColumn,0))</f>
        <v>5</v>
      </c>
    </row>
    <row r="5290" spans="1:9" x14ac:dyDescent="0.25">
      <c r="A5290" s="7">
        <v>3</v>
      </c>
      <c r="B5290" s="8">
        <v>43824</v>
      </c>
      <c r="C5290" s="9" t="s">
        <v>4</v>
      </c>
      <c r="D5290" s="10">
        <v>0</v>
      </c>
      <c r="E5290" s="10">
        <v>3738.91</v>
      </c>
      <c r="F5290" t="str">
        <f>VLOOKUP(A5290,StoreLookup,2,FALSE)</f>
        <v>Store#3</v>
      </c>
      <c r="G5290">
        <f>INDEX(CalLookUpTable,MATCH($B5290,CalLookUpRow,0),MATCH(G$1,CalLookUpColumn,0))</f>
        <v>2019</v>
      </c>
      <c r="H5290">
        <f>INDEX(CalLookUpTable,MATCH($B5290,CalLookUpRow,0),MATCH(H$1,CalLookUpColumn,0))</f>
        <v>12</v>
      </c>
      <c r="I5290">
        <f>INDEX(CalLookUpTable,MATCH($B5290,CalLookUpRow,0),MATCH(I$1,CalLookUpColumn,0))</f>
        <v>5</v>
      </c>
    </row>
    <row r="5291" spans="1:9" x14ac:dyDescent="0.25">
      <c r="A5291" s="7">
        <v>3</v>
      </c>
      <c r="B5291" s="8">
        <v>43824</v>
      </c>
      <c r="C5291" s="9" t="s">
        <v>3</v>
      </c>
      <c r="D5291" s="10">
        <v>0</v>
      </c>
      <c r="E5291" s="10">
        <v>0</v>
      </c>
      <c r="F5291" t="str">
        <f>VLOOKUP(A5291,StoreLookup,2,FALSE)</f>
        <v>Store#3</v>
      </c>
      <c r="G5291">
        <f>INDEX(CalLookUpTable,MATCH($B5291,CalLookUpRow,0),MATCH(G$1,CalLookUpColumn,0))</f>
        <v>2019</v>
      </c>
      <c r="H5291">
        <f>INDEX(CalLookUpTable,MATCH($B5291,CalLookUpRow,0),MATCH(H$1,CalLookUpColumn,0))</f>
        <v>12</v>
      </c>
      <c r="I5291">
        <f>INDEX(CalLookUpTable,MATCH($B5291,CalLookUpRow,0),MATCH(I$1,CalLookUpColumn,0))</f>
        <v>5</v>
      </c>
    </row>
    <row r="5292" spans="1:9" x14ac:dyDescent="0.25">
      <c r="A5292" s="7">
        <v>3</v>
      </c>
      <c r="B5292" s="8">
        <v>43824</v>
      </c>
      <c r="C5292" s="9" t="s">
        <v>5</v>
      </c>
      <c r="D5292" s="10">
        <v>0</v>
      </c>
      <c r="E5292" s="10">
        <v>2472.6239999999998</v>
      </c>
      <c r="F5292" t="str">
        <f>VLOOKUP(A5292,StoreLookup,2,FALSE)</f>
        <v>Store#3</v>
      </c>
      <c r="G5292">
        <f>INDEX(CalLookUpTable,MATCH($B5292,CalLookUpRow,0),MATCH(G$1,CalLookUpColumn,0))</f>
        <v>2019</v>
      </c>
      <c r="H5292">
        <f>INDEX(CalLookUpTable,MATCH($B5292,CalLookUpRow,0),MATCH(H$1,CalLookUpColumn,0))</f>
        <v>12</v>
      </c>
      <c r="I5292">
        <f>INDEX(CalLookUpTable,MATCH($B5292,CalLookUpRow,0),MATCH(I$1,CalLookUpColumn,0))</f>
        <v>5</v>
      </c>
    </row>
    <row r="5293" spans="1:9" x14ac:dyDescent="0.25">
      <c r="A5293" s="7">
        <v>3</v>
      </c>
      <c r="B5293" s="8">
        <v>43824</v>
      </c>
      <c r="C5293" s="9" t="s">
        <v>6</v>
      </c>
      <c r="D5293" s="10">
        <v>0</v>
      </c>
      <c r="E5293" s="10">
        <v>1257.4449999999999</v>
      </c>
      <c r="F5293" t="str">
        <f>VLOOKUP(A5293,StoreLookup,2,FALSE)</f>
        <v>Store#3</v>
      </c>
      <c r="G5293">
        <f>INDEX(CalLookUpTable,MATCH($B5293,CalLookUpRow,0),MATCH(G$1,CalLookUpColumn,0))</f>
        <v>2019</v>
      </c>
      <c r="H5293">
        <f>INDEX(CalLookUpTable,MATCH($B5293,CalLookUpRow,0),MATCH(H$1,CalLookUpColumn,0))</f>
        <v>12</v>
      </c>
      <c r="I5293">
        <f>INDEX(CalLookUpTable,MATCH($B5293,CalLookUpRow,0),MATCH(I$1,CalLookUpColumn,0))</f>
        <v>5</v>
      </c>
    </row>
    <row r="5294" spans="1:9" x14ac:dyDescent="0.25">
      <c r="A5294" s="7">
        <v>3</v>
      </c>
      <c r="B5294" s="8">
        <v>43825</v>
      </c>
      <c r="C5294" s="9" t="s">
        <v>4</v>
      </c>
      <c r="D5294" s="10">
        <v>3499.9719999999998</v>
      </c>
      <c r="E5294" s="10">
        <v>3594.0239999999994</v>
      </c>
      <c r="F5294" t="str">
        <f>VLOOKUP(A5294,StoreLookup,2,FALSE)</f>
        <v>Store#3</v>
      </c>
      <c r="G5294">
        <f>INDEX(CalLookUpTable,MATCH($B5294,CalLookUpRow,0),MATCH(G$1,CalLookUpColumn,0))</f>
        <v>2019</v>
      </c>
      <c r="H5294">
        <f>INDEX(CalLookUpTable,MATCH($B5294,CalLookUpRow,0),MATCH(H$1,CalLookUpColumn,0))</f>
        <v>12</v>
      </c>
      <c r="I5294">
        <f>INDEX(CalLookUpTable,MATCH($B5294,CalLookUpRow,0),MATCH(I$1,CalLookUpColumn,0))</f>
        <v>5</v>
      </c>
    </row>
    <row r="5295" spans="1:9" x14ac:dyDescent="0.25">
      <c r="A5295" s="7">
        <v>3</v>
      </c>
      <c r="B5295" s="8">
        <v>43825</v>
      </c>
      <c r="C5295" s="9" t="s">
        <v>5</v>
      </c>
      <c r="D5295" s="10">
        <v>3067.029</v>
      </c>
      <c r="E5295" s="10">
        <v>3182.2629999999999</v>
      </c>
      <c r="F5295" t="str">
        <f>VLOOKUP(A5295,StoreLookup,2,FALSE)</f>
        <v>Store#3</v>
      </c>
      <c r="G5295">
        <f>INDEX(CalLookUpTable,MATCH($B5295,CalLookUpRow,0),MATCH(G$1,CalLookUpColumn,0))</f>
        <v>2019</v>
      </c>
      <c r="H5295">
        <f>INDEX(CalLookUpTable,MATCH($B5295,CalLookUpRow,0),MATCH(H$1,CalLookUpColumn,0))</f>
        <v>12</v>
      </c>
      <c r="I5295">
        <f>INDEX(CalLookUpTable,MATCH($B5295,CalLookUpRow,0),MATCH(I$1,CalLookUpColumn,0))</f>
        <v>5</v>
      </c>
    </row>
    <row r="5296" spans="1:9" x14ac:dyDescent="0.25">
      <c r="A5296" s="7">
        <v>3</v>
      </c>
      <c r="B5296" s="8">
        <v>43825</v>
      </c>
      <c r="C5296" s="9" t="s">
        <v>6</v>
      </c>
      <c r="D5296" s="10">
        <v>1074.4929999999999</v>
      </c>
      <c r="E5296" s="10">
        <v>1063.6709999999998</v>
      </c>
      <c r="F5296" t="str">
        <f>VLOOKUP(A5296,StoreLookup,2,FALSE)</f>
        <v>Store#3</v>
      </c>
      <c r="G5296">
        <f>INDEX(CalLookUpTable,MATCH($B5296,CalLookUpRow,0),MATCH(G$1,CalLookUpColumn,0))</f>
        <v>2019</v>
      </c>
      <c r="H5296">
        <f>INDEX(CalLookUpTable,MATCH($B5296,CalLookUpRow,0),MATCH(H$1,CalLookUpColumn,0))</f>
        <v>12</v>
      </c>
      <c r="I5296">
        <f>INDEX(CalLookUpTable,MATCH($B5296,CalLookUpRow,0),MATCH(I$1,CalLookUpColumn,0))</f>
        <v>5</v>
      </c>
    </row>
    <row r="5297" spans="1:9" x14ac:dyDescent="0.25">
      <c r="A5297" s="7">
        <v>3</v>
      </c>
      <c r="B5297" s="8">
        <v>43825</v>
      </c>
      <c r="C5297" s="9" t="s">
        <v>3</v>
      </c>
      <c r="D5297" s="10">
        <v>0</v>
      </c>
      <c r="E5297" s="10">
        <v>0</v>
      </c>
      <c r="F5297" t="str">
        <f>VLOOKUP(A5297,StoreLookup,2,FALSE)</f>
        <v>Store#3</v>
      </c>
      <c r="G5297">
        <f>INDEX(CalLookUpTable,MATCH($B5297,CalLookUpRow,0),MATCH(G$1,CalLookUpColumn,0))</f>
        <v>2019</v>
      </c>
      <c r="H5297">
        <f>INDEX(CalLookUpTable,MATCH($B5297,CalLookUpRow,0),MATCH(H$1,CalLookUpColumn,0))</f>
        <v>12</v>
      </c>
      <c r="I5297">
        <f>INDEX(CalLookUpTable,MATCH($B5297,CalLookUpRow,0),MATCH(I$1,CalLookUpColumn,0))</f>
        <v>5</v>
      </c>
    </row>
    <row r="5298" spans="1:9" x14ac:dyDescent="0.25">
      <c r="A5298" s="7">
        <v>3</v>
      </c>
      <c r="B5298" s="8">
        <v>43826</v>
      </c>
      <c r="C5298" s="9" t="s">
        <v>6</v>
      </c>
      <c r="D5298" s="10">
        <v>1538.691</v>
      </c>
      <c r="E5298" s="10">
        <v>1405.7819999999999</v>
      </c>
      <c r="F5298" t="str">
        <f>VLOOKUP(A5298,StoreLookup,2,FALSE)</f>
        <v>Store#3</v>
      </c>
      <c r="G5298">
        <f>INDEX(CalLookUpTable,MATCH($B5298,CalLookUpRow,0),MATCH(G$1,CalLookUpColumn,0))</f>
        <v>2019</v>
      </c>
      <c r="H5298">
        <f>INDEX(CalLookUpTable,MATCH($B5298,CalLookUpRow,0),MATCH(H$1,CalLookUpColumn,0))</f>
        <v>12</v>
      </c>
      <c r="I5298">
        <f>INDEX(CalLookUpTable,MATCH($B5298,CalLookUpRow,0),MATCH(I$1,CalLookUpColumn,0))</f>
        <v>5</v>
      </c>
    </row>
    <row r="5299" spans="1:9" x14ac:dyDescent="0.25">
      <c r="A5299" s="7">
        <v>3</v>
      </c>
      <c r="B5299" s="8">
        <v>43826</v>
      </c>
      <c r="C5299" s="9" t="s">
        <v>5</v>
      </c>
      <c r="D5299" s="10">
        <v>3206.7209999999995</v>
      </c>
      <c r="E5299" s="10">
        <v>3441.1929999999998</v>
      </c>
      <c r="F5299" t="str">
        <f>VLOOKUP(A5299,StoreLookup,2,FALSE)</f>
        <v>Store#3</v>
      </c>
      <c r="G5299">
        <f>INDEX(CalLookUpTable,MATCH($B5299,CalLookUpRow,0),MATCH(G$1,CalLookUpColumn,0))</f>
        <v>2019</v>
      </c>
      <c r="H5299">
        <f>INDEX(CalLookUpTable,MATCH($B5299,CalLookUpRow,0),MATCH(H$1,CalLookUpColumn,0))</f>
        <v>12</v>
      </c>
      <c r="I5299">
        <f>INDEX(CalLookUpTable,MATCH($B5299,CalLookUpRow,0),MATCH(I$1,CalLookUpColumn,0))</f>
        <v>5</v>
      </c>
    </row>
    <row r="5300" spans="1:9" x14ac:dyDescent="0.25">
      <c r="A5300" s="7">
        <v>3</v>
      </c>
      <c r="B5300" s="8">
        <v>43826</v>
      </c>
      <c r="C5300" s="9" t="s">
        <v>4</v>
      </c>
      <c r="D5300" s="10">
        <v>3497.8579999999997</v>
      </c>
      <c r="E5300" s="10">
        <v>4030.6489999999994</v>
      </c>
      <c r="F5300" t="str">
        <f>VLOOKUP(A5300,StoreLookup,2,FALSE)</f>
        <v>Store#3</v>
      </c>
      <c r="G5300">
        <f>INDEX(CalLookUpTable,MATCH($B5300,CalLookUpRow,0),MATCH(G$1,CalLookUpColumn,0))</f>
        <v>2019</v>
      </c>
      <c r="H5300">
        <f>INDEX(CalLookUpTable,MATCH($B5300,CalLookUpRow,0),MATCH(H$1,CalLookUpColumn,0))</f>
        <v>12</v>
      </c>
      <c r="I5300">
        <f>INDEX(CalLookUpTable,MATCH($B5300,CalLookUpRow,0),MATCH(I$1,CalLookUpColumn,0))</f>
        <v>5</v>
      </c>
    </row>
    <row r="5301" spans="1:9" x14ac:dyDescent="0.25">
      <c r="A5301" s="7">
        <v>3</v>
      </c>
      <c r="B5301" s="8">
        <v>43826</v>
      </c>
      <c r="C5301" s="9" t="s">
        <v>3</v>
      </c>
      <c r="D5301" s="10">
        <v>160.85999999999999</v>
      </c>
      <c r="E5301" s="10">
        <v>0</v>
      </c>
      <c r="F5301" t="str">
        <f>VLOOKUP(A5301,StoreLookup,2,FALSE)</f>
        <v>Store#3</v>
      </c>
      <c r="G5301">
        <f>INDEX(CalLookUpTable,MATCH($B5301,CalLookUpRow,0),MATCH(G$1,CalLookUpColumn,0))</f>
        <v>2019</v>
      </c>
      <c r="H5301">
        <f>INDEX(CalLookUpTable,MATCH($B5301,CalLookUpRow,0),MATCH(H$1,CalLookUpColumn,0))</f>
        <v>12</v>
      </c>
      <c r="I5301">
        <f>INDEX(CalLookUpTable,MATCH($B5301,CalLookUpRow,0),MATCH(I$1,CalLookUpColumn,0))</f>
        <v>5</v>
      </c>
    </row>
    <row r="5302" spans="1:9" x14ac:dyDescent="0.25">
      <c r="A5302" s="7">
        <v>3</v>
      </c>
      <c r="B5302" s="8">
        <v>43827</v>
      </c>
      <c r="C5302" s="9" t="s">
        <v>5</v>
      </c>
      <c r="D5302" s="10">
        <v>3286.1640000000002</v>
      </c>
      <c r="E5302" s="10">
        <v>3450.9089999999997</v>
      </c>
      <c r="F5302" t="str">
        <f>VLOOKUP(A5302,StoreLookup,2,FALSE)</f>
        <v>Store#3</v>
      </c>
      <c r="G5302">
        <f>INDEX(CalLookUpTable,MATCH($B5302,CalLookUpRow,0),MATCH(G$1,CalLookUpColumn,0))</f>
        <v>2019</v>
      </c>
      <c r="H5302">
        <f>INDEX(CalLookUpTable,MATCH($B5302,CalLookUpRow,0),MATCH(H$1,CalLookUpColumn,0))</f>
        <v>12</v>
      </c>
      <c r="I5302">
        <f>INDEX(CalLookUpTable,MATCH($B5302,CalLookUpRow,0),MATCH(I$1,CalLookUpColumn,0))</f>
        <v>5</v>
      </c>
    </row>
    <row r="5303" spans="1:9" x14ac:dyDescent="0.25">
      <c r="A5303" s="7">
        <v>3</v>
      </c>
      <c r="B5303" s="8">
        <v>43827</v>
      </c>
      <c r="C5303" s="9" t="s">
        <v>6</v>
      </c>
      <c r="D5303" s="10">
        <v>1721.1179999999997</v>
      </c>
      <c r="E5303" s="10">
        <v>976.14299999999992</v>
      </c>
      <c r="F5303" t="str">
        <f>VLOOKUP(A5303,StoreLookup,2,FALSE)</f>
        <v>Store#3</v>
      </c>
      <c r="G5303">
        <f>INDEX(CalLookUpTable,MATCH($B5303,CalLookUpRow,0),MATCH(G$1,CalLookUpColumn,0))</f>
        <v>2019</v>
      </c>
      <c r="H5303">
        <f>INDEX(CalLookUpTable,MATCH($B5303,CalLookUpRow,0),MATCH(H$1,CalLookUpColumn,0))</f>
        <v>12</v>
      </c>
      <c r="I5303">
        <f>INDEX(CalLookUpTable,MATCH($B5303,CalLookUpRow,0),MATCH(I$1,CalLookUpColumn,0))</f>
        <v>5</v>
      </c>
    </row>
    <row r="5304" spans="1:9" x14ac:dyDescent="0.25">
      <c r="A5304" s="7">
        <v>3</v>
      </c>
      <c r="B5304" s="8">
        <v>43827</v>
      </c>
      <c r="C5304" s="9" t="s">
        <v>3</v>
      </c>
      <c r="D5304" s="10">
        <v>0</v>
      </c>
      <c r="E5304" s="10">
        <v>93.268000000000001</v>
      </c>
      <c r="F5304" t="str">
        <f>VLOOKUP(A5304,StoreLookup,2,FALSE)</f>
        <v>Store#3</v>
      </c>
      <c r="G5304">
        <f>INDEX(CalLookUpTable,MATCH($B5304,CalLookUpRow,0),MATCH(G$1,CalLookUpColumn,0))</f>
        <v>2019</v>
      </c>
      <c r="H5304">
        <f>INDEX(CalLookUpTable,MATCH($B5304,CalLookUpRow,0),MATCH(H$1,CalLookUpColumn,0))</f>
        <v>12</v>
      </c>
      <c r="I5304">
        <f>INDEX(CalLookUpTable,MATCH($B5304,CalLookUpRow,0),MATCH(I$1,CalLookUpColumn,0))</f>
        <v>5</v>
      </c>
    </row>
    <row r="5305" spans="1:9" x14ac:dyDescent="0.25">
      <c r="A5305" s="7">
        <v>3</v>
      </c>
      <c r="B5305" s="8">
        <v>43827</v>
      </c>
      <c r="C5305" s="9" t="s">
        <v>4</v>
      </c>
      <c r="D5305" s="10">
        <v>3000.7109999999993</v>
      </c>
      <c r="E5305" s="10">
        <v>3821.3279999999995</v>
      </c>
      <c r="F5305" t="str">
        <f>VLOOKUP(A5305,StoreLookup,2,FALSE)</f>
        <v>Store#3</v>
      </c>
      <c r="G5305">
        <f>INDEX(CalLookUpTable,MATCH($B5305,CalLookUpRow,0),MATCH(G$1,CalLookUpColumn,0))</f>
        <v>2019</v>
      </c>
      <c r="H5305">
        <f>INDEX(CalLookUpTable,MATCH($B5305,CalLookUpRow,0),MATCH(H$1,CalLookUpColumn,0))</f>
        <v>12</v>
      </c>
      <c r="I5305">
        <f>INDEX(CalLookUpTable,MATCH($B5305,CalLookUpRow,0),MATCH(I$1,CalLookUpColumn,0))</f>
        <v>5</v>
      </c>
    </row>
    <row r="5306" spans="1:9" x14ac:dyDescent="0.25">
      <c r="A5306" s="7">
        <v>3</v>
      </c>
      <c r="B5306" s="8">
        <v>43828</v>
      </c>
      <c r="C5306" s="9" t="s">
        <v>6</v>
      </c>
      <c r="D5306" s="10">
        <v>1086.029</v>
      </c>
      <c r="E5306" s="10">
        <v>689.96899999999994</v>
      </c>
      <c r="F5306" t="str">
        <f>VLOOKUP(A5306,StoreLookup,2,FALSE)</f>
        <v>Store#3</v>
      </c>
      <c r="G5306">
        <f>INDEX(CalLookUpTable,MATCH($B5306,CalLookUpRow,0),MATCH(G$1,CalLookUpColumn,0))</f>
        <v>2019</v>
      </c>
      <c r="H5306">
        <f>INDEX(CalLookUpTable,MATCH($B5306,CalLookUpRow,0),MATCH(H$1,CalLookUpColumn,0))</f>
        <v>12</v>
      </c>
      <c r="I5306">
        <f>INDEX(CalLookUpTable,MATCH($B5306,CalLookUpRow,0),MATCH(I$1,CalLookUpColumn,0))</f>
        <v>5</v>
      </c>
    </row>
    <row r="5307" spans="1:9" x14ac:dyDescent="0.25">
      <c r="A5307" s="7">
        <v>3</v>
      </c>
      <c r="B5307" s="8">
        <v>43828</v>
      </c>
      <c r="C5307" s="9" t="s">
        <v>5</v>
      </c>
      <c r="D5307" s="10">
        <v>2943.8149999999996</v>
      </c>
      <c r="E5307" s="10">
        <v>2771.16</v>
      </c>
      <c r="F5307" t="str">
        <f>VLOOKUP(A5307,StoreLookup,2,FALSE)</f>
        <v>Store#3</v>
      </c>
      <c r="G5307">
        <f>INDEX(CalLookUpTable,MATCH($B5307,CalLookUpRow,0),MATCH(G$1,CalLookUpColumn,0))</f>
        <v>2019</v>
      </c>
      <c r="H5307">
        <f>INDEX(CalLookUpTable,MATCH($B5307,CalLookUpRow,0),MATCH(H$1,CalLookUpColumn,0))</f>
        <v>12</v>
      </c>
      <c r="I5307">
        <f>INDEX(CalLookUpTable,MATCH($B5307,CalLookUpRow,0),MATCH(I$1,CalLookUpColumn,0))</f>
        <v>5</v>
      </c>
    </row>
    <row r="5308" spans="1:9" x14ac:dyDescent="0.25">
      <c r="A5308" s="7">
        <v>3</v>
      </c>
      <c r="B5308" s="8">
        <v>43828</v>
      </c>
      <c r="C5308" s="9" t="s">
        <v>3</v>
      </c>
      <c r="D5308" s="10">
        <v>0</v>
      </c>
      <c r="E5308" s="10">
        <v>0</v>
      </c>
      <c r="F5308" t="str">
        <f>VLOOKUP(A5308,StoreLookup,2,FALSE)</f>
        <v>Store#3</v>
      </c>
      <c r="G5308">
        <f>INDEX(CalLookUpTable,MATCH($B5308,CalLookUpRow,0),MATCH(G$1,CalLookUpColumn,0))</f>
        <v>2019</v>
      </c>
      <c r="H5308">
        <f>INDEX(CalLookUpTable,MATCH($B5308,CalLookUpRow,0),MATCH(H$1,CalLookUpColumn,0))</f>
        <v>12</v>
      </c>
      <c r="I5308">
        <f>INDEX(CalLookUpTable,MATCH($B5308,CalLookUpRow,0),MATCH(I$1,CalLookUpColumn,0))</f>
        <v>5</v>
      </c>
    </row>
    <row r="5309" spans="1:9" x14ac:dyDescent="0.25">
      <c r="A5309" s="7">
        <v>3</v>
      </c>
      <c r="B5309" s="8">
        <v>43828</v>
      </c>
      <c r="C5309" s="9" t="s">
        <v>4</v>
      </c>
      <c r="D5309" s="10">
        <v>2757.8739999999998</v>
      </c>
      <c r="E5309" s="10">
        <v>1337.0279999999998</v>
      </c>
      <c r="F5309" t="str">
        <f>VLOOKUP(A5309,StoreLookup,2,FALSE)</f>
        <v>Store#3</v>
      </c>
      <c r="G5309">
        <f>INDEX(CalLookUpTable,MATCH($B5309,CalLookUpRow,0),MATCH(G$1,CalLookUpColumn,0))</f>
        <v>2019</v>
      </c>
      <c r="H5309">
        <f>INDEX(CalLookUpTable,MATCH($B5309,CalLookUpRow,0),MATCH(H$1,CalLookUpColumn,0))</f>
        <v>12</v>
      </c>
      <c r="I5309">
        <f>INDEX(CalLookUpTable,MATCH($B5309,CalLookUpRow,0),MATCH(I$1,CalLookUpColumn,0))</f>
        <v>5</v>
      </c>
    </row>
    <row r="5310" spans="1:9" x14ac:dyDescent="0.25">
      <c r="A5310" s="7">
        <v>3</v>
      </c>
      <c r="B5310" s="8">
        <v>43829</v>
      </c>
      <c r="C5310" s="9" t="s">
        <v>6</v>
      </c>
      <c r="D5310" s="10">
        <v>1529.7869999999998</v>
      </c>
      <c r="E5310" s="10">
        <v>830.56399999999996</v>
      </c>
      <c r="F5310" t="str">
        <f>VLOOKUP(A5310,StoreLookup,2,FALSE)</f>
        <v>Store#3</v>
      </c>
      <c r="G5310">
        <f>INDEX(CalLookUpTable,MATCH($B5310,CalLookUpRow,0),MATCH(G$1,CalLookUpColumn,0))</f>
        <v>2020</v>
      </c>
      <c r="H5310">
        <f>INDEX(CalLookUpTable,MATCH($B5310,CalLookUpRow,0),MATCH(H$1,CalLookUpColumn,0))</f>
        <v>1</v>
      </c>
      <c r="I5310">
        <f>INDEX(CalLookUpTable,MATCH($B5310,CalLookUpRow,0),MATCH(I$1,CalLookUpColumn,0))</f>
        <v>1</v>
      </c>
    </row>
    <row r="5311" spans="1:9" x14ac:dyDescent="0.25">
      <c r="A5311" s="7">
        <v>3</v>
      </c>
      <c r="B5311" s="8">
        <v>43829</v>
      </c>
      <c r="C5311" s="9" t="s">
        <v>4</v>
      </c>
      <c r="D5311" s="10">
        <v>3619.8469999999998</v>
      </c>
      <c r="E5311" s="10">
        <v>2689.68</v>
      </c>
      <c r="F5311" t="str">
        <f>VLOOKUP(A5311,StoreLookup,2,FALSE)</f>
        <v>Store#3</v>
      </c>
      <c r="G5311">
        <f>INDEX(CalLookUpTable,MATCH($B5311,CalLookUpRow,0),MATCH(G$1,CalLookUpColumn,0))</f>
        <v>2020</v>
      </c>
      <c r="H5311">
        <f>INDEX(CalLookUpTable,MATCH($B5311,CalLookUpRow,0),MATCH(H$1,CalLookUpColumn,0))</f>
        <v>1</v>
      </c>
      <c r="I5311">
        <f>INDEX(CalLookUpTable,MATCH($B5311,CalLookUpRow,0),MATCH(I$1,CalLookUpColumn,0))</f>
        <v>1</v>
      </c>
    </row>
    <row r="5312" spans="1:9" x14ac:dyDescent="0.25">
      <c r="A5312" s="7">
        <v>3</v>
      </c>
      <c r="B5312" s="8">
        <v>43829</v>
      </c>
      <c r="C5312" s="9" t="s">
        <v>3</v>
      </c>
      <c r="D5312" s="10">
        <v>0</v>
      </c>
      <c r="E5312" s="10">
        <v>562.74399999999991</v>
      </c>
      <c r="F5312" t="str">
        <f>VLOOKUP(A5312,StoreLookup,2,FALSE)</f>
        <v>Store#3</v>
      </c>
      <c r="G5312">
        <f>INDEX(CalLookUpTable,MATCH($B5312,CalLookUpRow,0),MATCH(G$1,CalLookUpColumn,0))</f>
        <v>2020</v>
      </c>
      <c r="H5312">
        <f>INDEX(CalLookUpTable,MATCH($B5312,CalLookUpRow,0),MATCH(H$1,CalLookUpColumn,0))</f>
        <v>1</v>
      </c>
      <c r="I5312">
        <f>INDEX(CalLookUpTable,MATCH($B5312,CalLookUpRow,0),MATCH(I$1,CalLookUpColumn,0))</f>
        <v>1</v>
      </c>
    </row>
    <row r="5313" spans="1:9" x14ac:dyDescent="0.25">
      <c r="A5313" s="7">
        <v>3</v>
      </c>
      <c r="B5313" s="8">
        <v>43829</v>
      </c>
      <c r="C5313" s="9" t="s">
        <v>5</v>
      </c>
      <c r="D5313" s="10">
        <v>2984.0859999999993</v>
      </c>
      <c r="E5313" s="10">
        <v>2512.4539999999997</v>
      </c>
      <c r="F5313" t="str">
        <f>VLOOKUP(A5313,StoreLookup,2,FALSE)</f>
        <v>Store#3</v>
      </c>
      <c r="G5313">
        <f>INDEX(CalLookUpTable,MATCH($B5313,CalLookUpRow,0),MATCH(G$1,CalLookUpColumn,0))</f>
        <v>2020</v>
      </c>
      <c r="H5313">
        <f>INDEX(CalLookUpTable,MATCH($B5313,CalLookUpRow,0),MATCH(H$1,CalLookUpColumn,0))</f>
        <v>1</v>
      </c>
      <c r="I5313">
        <f>INDEX(CalLookUpTable,MATCH($B5313,CalLookUpRow,0),MATCH(I$1,CalLookUpColumn,0))</f>
        <v>1</v>
      </c>
    </row>
    <row r="5314" spans="1:9" x14ac:dyDescent="0.25">
      <c r="A5314" s="7">
        <v>3</v>
      </c>
      <c r="B5314" s="8">
        <v>43830</v>
      </c>
      <c r="C5314" s="9" t="s">
        <v>4</v>
      </c>
      <c r="D5314" s="10">
        <v>2415.2589999999996</v>
      </c>
      <c r="E5314" s="10">
        <v>3371.326</v>
      </c>
      <c r="F5314" t="str">
        <f>VLOOKUP(A5314,StoreLookup,2,FALSE)</f>
        <v>Store#3</v>
      </c>
      <c r="G5314">
        <f>INDEX(CalLookUpTable,MATCH($B5314,CalLookUpRow,0),MATCH(G$1,CalLookUpColumn,0))</f>
        <v>2020</v>
      </c>
      <c r="H5314">
        <f>INDEX(CalLookUpTable,MATCH($B5314,CalLookUpRow,0),MATCH(H$1,CalLookUpColumn,0))</f>
        <v>1</v>
      </c>
      <c r="I5314">
        <f>INDEX(CalLookUpTable,MATCH($B5314,CalLookUpRow,0),MATCH(I$1,CalLookUpColumn,0))</f>
        <v>1</v>
      </c>
    </row>
    <row r="5315" spans="1:9" x14ac:dyDescent="0.25">
      <c r="A5315" s="7">
        <v>3</v>
      </c>
      <c r="B5315" s="8">
        <v>43830</v>
      </c>
      <c r="C5315" s="9" t="s">
        <v>3</v>
      </c>
      <c r="D5315" s="10">
        <v>197.09899999999999</v>
      </c>
      <c r="E5315" s="10">
        <v>0</v>
      </c>
      <c r="F5315" t="str">
        <f>VLOOKUP(A5315,StoreLookup,2,FALSE)</f>
        <v>Store#3</v>
      </c>
      <c r="G5315">
        <f>INDEX(CalLookUpTable,MATCH($B5315,CalLookUpRow,0),MATCH(G$1,CalLookUpColumn,0))</f>
        <v>2020</v>
      </c>
      <c r="H5315">
        <f>INDEX(CalLookUpTable,MATCH($B5315,CalLookUpRow,0),MATCH(H$1,CalLookUpColumn,0))</f>
        <v>1</v>
      </c>
      <c r="I5315">
        <f>INDEX(CalLookUpTable,MATCH($B5315,CalLookUpRow,0),MATCH(I$1,CalLookUpColumn,0))</f>
        <v>1</v>
      </c>
    </row>
    <row r="5316" spans="1:9" x14ac:dyDescent="0.25">
      <c r="A5316" s="7">
        <v>3</v>
      </c>
      <c r="B5316" s="8">
        <v>43830</v>
      </c>
      <c r="C5316" s="9" t="s">
        <v>6</v>
      </c>
      <c r="D5316" s="10">
        <v>1421.9029999999998</v>
      </c>
      <c r="E5316" s="10">
        <v>1008.329</v>
      </c>
      <c r="F5316" t="str">
        <f>VLOOKUP(A5316,StoreLookup,2,FALSE)</f>
        <v>Store#3</v>
      </c>
      <c r="G5316">
        <f>INDEX(CalLookUpTable,MATCH($B5316,CalLookUpRow,0),MATCH(G$1,CalLookUpColumn,0))</f>
        <v>2020</v>
      </c>
      <c r="H5316">
        <f>INDEX(CalLookUpTable,MATCH($B5316,CalLookUpRow,0),MATCH(H$1,CalLookUpColumn,0))</f>
        <v>1</v>
      </c>
      <c r="I5316">
        <f>INDEX(CalLookUpTable,MATCH($B5316,CalLookUpRow,0),MATCH(I$1,CalLookUpColumn,0))</f>
        <v>1</v>
      </c>
    </row>
    <row r="5317" spans="1:9" x14ac:dyDescent="0.25">
      <c r="A5317" s="7">
        <v>3</v>
      </c>
      <c r="B5317" s="8">
        <v>43830</v>
      </c>
      <c r="C5317" s="9" t="s">
        <v>5</v>
      </c>
      <c r="D5317" s="10">
        <v>2871.0569999999998</v>
      </c>
      <c r="E5317" s="10">
        <v>3022.1659999999997</v>
      </c>
      <c r="F5317" t="str">
        <f>VLOOKUP(A5317,StoreLookup,2,FALSE)</f>
        <v>Store#3</v>
      </c>
      <c r="G5317">
        <f>INDEX(CalLookUpTable,MATCH($B5317,CalLookUpRow,0),MATCH(G$1,CalLookUpColumn,0))</f>
        <v>2020</v>
      </c>
      <c r="H5317">
        <f>INDEX(CalLookUpTable,MATCH($B5317,CalLookUpRow,0),MATCH(H$1,CalLookUpColumn,0))</f>
        <v>1</v>
      </c>
      <c r="I5317">
        <f>INDEX(CalLookUpTable,MATCH($B5317,CalLookUpRow,0),MATCH(I$1,CalLookUpColumn,0))</f>
        <v>1</v>
      </c>
    </row>
    <row r="5318" spans="1:9" x14ac:dyDescent="0.25">
      <c r="A5318" s="7">
        <v>3</v>
      </c>
      <c r="B5318" s="8">
        <v>43831</v>
      </c>
      <c r="C5318" s="9" t="s">
        <v>4</v>
      </c>
      <c r="D5318" s="10">
        <v>2985.3040000000001</v>
      </c>
      <c r="E5318" s="10">
        <v>2752.6379999999999</v>
      </c>
      <c r="F5318" t="str">
        <f>VLOOKUP(A5318,StoreLookup,2,FALSE)</f>
        <v>Store#3</v>
      </c>
      <c r="G5318">
        <f>INDEX(CalLookUpTable,MATCH($B5318,CalLookUpRow,0),MATCH(G$1,CalLookUpColumn,0))</f>
        <v>2020</v>
      </c>
      <c r="H5318">
        <f>INDEX(CalLookUpTable,MATCH($B5318,CalLookUpRow,0),MATCH(H$1,CalLookUpColumn,0))</f>
        <v>1</v>
      </c>
      <c r="I5318">
        <f>INDEX(CalLookUpTable,MATCH($B5318,CalLookUpRow,0),MATCH(I$1,CalLookUpColumn,0))</f>
        <v>1</v>
      </c>
    </row>
    <row r="5319" spans="1:9" x14ac:dyDescent="0.25">
      <c r="A5319" s="7">
        <v>3</v>
      </c>
      <c r="B5319" s="8">
        <v>43831</v>
      </c>
      <c r="C5319" s="9" t="s">
        <v>6</v>
      </c>
      <c r="D5319" s="10">
        <v>1453.3050000000001</v>
      </c>
      <c r="E5319" s="10">
        <v>1110.2279999999998</v>
      </c>
      <c r="F5319" t="str">
        <f>VLOOKUP(A5319,StoreLookup,2,FALSE)</f>
        <v>Store#3</v>
      </c>
      <c r="G5319">
        <f>INDEX(CalLookUpTable,MATCH($B5319,CalLookUpRow,0),MATCH(G$1,CalLookUpColumn,0))</f>
        <v>2020</v>
      </c>
      <c r="H5319">
        <f>INDEX(CalLookUpTable,MATCH($B5319,CalLookUpRow,0),MATCH(H$1,CalLookUpColumn,0))</f>
        <v>1</v>
      </c>
      <c r="I5319">
        <f>INDEX(CalLookUpTable,MATCH($B5319,CalLookUpRow,0),MATCH(I$1,CalLookUpColumn,0))</f>
        <v>1</v>
      </c>
    </row>
    <row r="5320" spans="1:9" x14ac:dyDescent="0.25">
      <c r="A5320" s="7">
        <v>3</v>
      </c>
      <c r="B5320" s="8">
        <v>43831</v>
      </c>
      <c r="C5320" s="9" t="s">
        <v>5</v>
      </c>
      <c r="D5320" s="10">
        <v>2876.3559999999998</v>
      </c>
      <c r="E5320" s="10">
        <v>2740.395</v>
      </c>
      <c r="F5320" t="str">
        <f>VLOOKUP(A5320,StoreLookup,2,FALSE)</f>
        <v>Store#3</v>
      </c>
      <c r="G5320">
        <f>INDEX(CalLookUpTable,MATCH($B5320,CalLookUpRow,0),MATCH(G$1,CalLookUpColumn,0))</f>
        <v>2020</v>
      </c>
      <c r="H5320">
        <f>INDEX(CalLookUpTable,MATCH($B5320,CalLookUpRow,0),MATCH(H$1,CalLookUpColumn,0))</f>
        <v>1</v>
      </c>
      <c r="I5320">
        <f>INDEX(CalLookUpTable,MATCH($B5320,CalLookUpRow,0),MATCH(I$1,CalLookUpColumn,0))</f>
        <v>1</v>
      </c>
    </row>
    <row r="5321" spans="1:9" x14ac:dyDescent="0.25">
      <c r="A5321" s="7">
        <v>3</v>
      </c>
      <c r="B5321" s="8">
        <v>43831</v>
      </c>
      <c r="C5321" s="9" t="s">
        <v>3</v>
      </c>
      <c r="D5321" s="10">
        <v>0</v>
      </c>
      <c r="E5321" s="10">
        <v>0</v>
      </c>
      <c r="F5321" t="str">
        <f>VLOOKUP(A5321,StoreLookup,2,FALSE)</f>
        <v>Store#3</v>
      </c>
      <c r="G5321">
        <f>INDEX(CalLookUpTable,MATCH($B5321,CalLookUpRow,0),MATCH(G$1,CalLookUpColumn,0))</f>
        <v>2020</v>
      </c>
      <c r="H5321">
        <f>INDEX(CalLookUpTable,MATCH($B5321,CalLookUpRow,0),MATCH(H$1,CalLookUpColumn,0))</f>
        <v>1</v>
      </c>
      <c r="I5321">
        <f>INDEX(CalLookUpTable,MATCH($B5321,CalLookUpRow,0),MATCH(I$1,CalLookUpColumn,0))</f>
        <v>1</v>
      </c>
    </row>
    <row r="5322" spans="1:9" x14ac:dyDescent="0.25">
      <c r="A5322" s="7">
        <v>3</v>
      </c>
      <c r="B5322" s="8">
        <v>43832</v>
      </c>
      <c r="C5322" s="9" t="s">
        <v>4</v>
      </c>
      <c r="D5322" s="10">
        <v>3279.0729999999999</v>
      </c>
      <c r="E5322" s="10">
        <v>3010.0419999999999</v>
      </c>
      <c r="F5322" t="str">
        <f>VLOOKUP(A5322,StoreLookup,2,FALSE)</f>
        <v>Store#3</v>
      </c>
      <c r="G5322">
        <f>INDEX(CalLookUpTable,MATCH($B5322,CalLookUpRow,0),MATCH(G$1,CalLookUpColumn,0))</f>
        <v>2020</v>
      </c>
      <c r="H5322">
        <f>INDEX(CalLookUpTable,MATCH($B5322,CalLookUpRow,0),MATCH(H$1,CalLookUpColumn,0))</f>
        <v>1</v>
      </c>
      <c r="I5322">
        <f>INDEX(CalLookUpTable,MATCH($B5322,CalLookUpRow,0),MATCH(I$1,CalLookUpColumn,0))</f>
        <v>1</v>
      </c>
    </row>
    <row r="5323" spans="1:9" x14ac:dyDescent="0.25">
      <c r="A5323" s="7">
        <v>3</v>
      </c>
      <c r="B5323" s="8">
        <v>43832</v>
      </c>
      <c r="C5323" s="9" t="s">
        <v>5</v>
      </c>
      <c r="D5323" s="10">
        <v>3125.3459999999995</v>
      </c>
      <c r="E5323" s="10">
        <v>2796.8849999999998</v>
      </c>
      <c r="F5323" t="str">
        <f>VLOOKUP(A5323,StoreLookup,2,FALSE)</f>
        <v>Store#3</v>
      </c>
      <c r="G5323">
        <f>INDEX(CalLookUpTable,MATCH($B5323,CalLookUpRow,0),MATCH(G$1,CalLookUpColumn,0))</f>
        <v>2020</v>
      </c>
      <c r="H5323">
        <f>INDEX(CalLookUpTable,MATCH($B5323,CalLookUpRow,0),MATCH(H$1,CalLookUpColumn,0))</f>
        <v>1</v>
      </c>
      <c r="I5323">
        <f>INDEX(CalLookUpTable,MATCH($B5323,CalLookUpRow,0),MATCH(I$1,CalLookUpColumn,0))</f>
        <v>1</v>
      </c>
    </row>
    <row r="5324" spans="1:9" x14ac:dyDescent="0.25">
      <c r="A5324" s="7">
        <v>3</v>
      </c>
      <c r="B5324" s="8">
        <v>43832</v>
      </c>
      <c r="C5324" s="9" t="s">
        <v>6</v>
      </c>
      <c r="D5324" s="10">
        <v>1477.175</v>
      </c>
      <c r="E5324" s="10">
        <v>1152.6199999999999</v>
      </c>
      <c r="F5324" t="str">
        <f>VLOOKUP(A5324,StoreLookup,2,FALSE)</f>
        <v>Store#3</v>
      </c>
      <c r="G5324">
        <f>INDEX(CalLookUpTable,MATCH($B5324,CalLookUpRow,0),MATCH(G$1,CalLookUpColumn,0))</f>
        <v>2020</v>
      </c>
      <c r="H5324">
        <f>INDEX(CalLookUpTable,MATCH($B5324,CalLookUpRow,0),MATCH(H$1,CalLookUpColumn,0))</f>
        <v>1</v>
      </c>
      <c r="I5324">
        <f>INDEX(CalLookUpTable,MATCH($B5324,CalLookUpRow,0),MATCH(I$1,CalLookUpColumn,0))</f>
        <v>1</v>
      </c>
    </row>
    <row r="5325" spans="1:9" x14ac:dyDescent="0.25">
      <c r="A5325" s="7">
        <v>3</v>
      </c>
      <c r="B5325" s="8">
        <v>43832</v>
      </c>
      <c r="C5325" s="9" t="s">
        <v>3</v>
      </c>
      <c r="D5325" s="10">
        <v>0</v>
      </c>
      <c r="E5325" s="10">
        <v>260.74299999999999</v>
      </c>
      <c r="F5325" t="str">
        <f>VLOOKUP(A5325,StoreLookup,2,FALSE)</f>
        <v>Store#3</v>
      </c>
      <c r="G5325">
        <f>INDEX(CalLookUpTable,MATCH($B5325,CalLookUpRow,0),MATCH(G$1,CalLookUpColumn,0))</f>
        <v>2020</v>
      </c>
      <c r="H5325">
        <f>INDEX(CalLookUpTable,MATCH($B5325,CalLookUpRow,0),MATCH(H$1,CalLookUpColumn,0))</f>
        <v>1</v>
      </c>
      <c r="I5325">
        <f>INDEX(CalLookUpTable,MATCH($B5325,CalLookUpRow,0),MATCH(I$1,CalLookUpColumn,0))</f>
        <v>1</v>
      </c>
    </row>
    <row r="5326" spans="1:9" x14ac:dyDescent="0.25">
      <c r="A5326" s="7">
        <v>3</v>
      </c>
      <c r="B5326" s="8">
        <v>43833</v>
      </c>
      <c r="C5326" s="9" t="s">
        <v>3</v>
      </c>
      <c r="D5326" s="10">
        <v>0</v>
      </c>
      <c r="E5326" s="10">
        <v>10.843</v>
      </c>
      <c r="F5326" t="str">
        <f>VLOOKUP(A5326,StoreLookup,2,FALSE)</f>
        <v>Store#3</v>
      </c>
      <c r="G5326">
        <f>INDEX(CalLookUpTable,MATCH($B5326,CalLookUpRow,0),MATCH(G$1,CalLookUpColumn,0))</f>
        <v>2020</v>
      </c>
      <c r="H5326">
        <f>INDEX(CalLookUpTable,MATCH($B5326,CalLookUpRow,0),MATCH(H$1,CalLookUpColumn,0))</f>
        <v>1</v>
      </c>
      <c r="I5326">
        <f>INDEX(CalLookUpTable,MATCH($B5326,CalLookUpRow,0),MATCH(I$1,CalLookUpColumn,0))</f>
        <v>1</v>
      </c>
    </row>
    <row r="5327" spans="1:9" x14ac:dyDescent="0.25">
      <c r="A5327" s="7">
        <v>3</v>
      </c>
      <c r="B5327" s="8">
        <v>43833</v>
      </c>
      <c r="C5327" s="9" t="s">
        <v>6</v>
      </c>
      <c r="D5327" s="10">
        <v>2113.3419999999996</v>
      </c>
      <c r="E5327" s="10">
        <v>1149.33</v>
      </c>
      <c r="F5327" t="str">
        <f>VLOOKUP(A5327,StoreLookup,2,FALSE)</f>
        <v>Store#3</v>
      </c>
      <c r="G5327">
        <f>INDEX(CalLookUpTable,MATCH($B5327,CalLookUpRow,0),MATCH(G$1,CalLookUpColumn,0))</f>
        <v>2020</v>
      </c>
      <c r="H5327">
        <f>INDEX(CalLookUpTable,MATCH($B5327,CalLookUpRow,0),MATCH(H$1,CalLookUpColumn,0))</f>
        <v>1</v>
      </c>
      <c r="I5327">
        <f>INDEX(CalLookUpTable,MATCH($B5327,CalLookUpRow,0),MATCH(I$1,CalLookUpColumn,0))</f>
        <v>1</v>
      </c>
    </row>
    <row r="5328" spans="1:9" x14ac:dyDescent="0.25">
      <c r="A5328" s="7">
        <v>3</v>
      </c>
      <c r="B5328" s="8">
        <v>43833</v>
      </c>
      <c r="C5328" s="9" t="s">
        <v>4</v>
      </c>
      <c r="D5328" s="10">
        <v>3443.0059999999999</v>
      </c>
      <c r="E5328" s="10">
        <v>3822.8679999999995</v>
      </c>
      <c r="F5328" t="str">
        <f>VLOOKUP(A5328,StoreLookup,2,FALSE)</f>
        <v>Store#3</v>
      </c>
      <c r="G5328">
        <f>INDEX(CalLookUpTable,MATCH($B5328,CalLookUpRow,0),MATCH(G$1,CalLookUpColumn,0))</f>
        <v>2020</v>
      </c>
      <c r="H5328">
        <f>INDEX(CalLookUpTable,MATCH($B5328,CalLookUpRow,0),MATCH(H$1,CalLookUpColumn,0))</f>
        <v>1</v>
      </c>
      <c r="I5328">
        <f>INDEX(CalLookUpTable,MATCH($B5328,CalLookUpRow,0),MATCH(I$1,CalLookUpColumn,0))</f>
        <v>1</v>
      </c>
    </row>
    <row r="5329" spans="1:9" x14ac:dyDescent="0.25">
      <c r="A5329" s="7">
        <v>3</v>
      </c>
      <c r="B5329" s="8">
        <v>43833</v>
      </c>
      <c r="C5329" s="9" t="s">
        <v>5</v>
      </c>
      <c r="D5329" s="10">
        <v>3352.4119999999998</v>
      </c>
      <c r="E5329" s="10">
        <v>3420.7459999999996</v>
      </c>
      <c r="F5329" t="str">
        <f>VLOOKUP(A5329,StoreLookup,2,FALSE)</f>
        <v>Store#3</v>
      </c>
      <c r="G5329">
        <f>INDEX(CalLookUpTable,MATCH($B5329,CalLookUpRow,0),MATCH(G$1,CalLookUpColumn,0))</f>
        <v>2020</v>
      </c>
      <c r="H5329">
        <f>INDEX(CalLookUpTable,MATCH($B5329,CalLookUpRow,0),MATCH(H$1,CalLookUpColumn,0))</f>
        <v>1</v>
      </c>
      <c r="I5329">
        <f>INDEX(CalLookUpTable,MATCH($B5329,CalLookUpRow,0),MATCH(I$1,CalLookUpColumn,0))</f>
        <v>1</v>
      </c>
    </row>
    <row r="5330" spans="1:9" x14ac:dyDescent="0.25">
      <c r="A5330" s="7">
        <v>3</v>
      </c>
      <c r="B5330" s="8">
        <v>43834</v>
      </c>
      <c r="C5330" s="9" t="s">
        <v>4</v>
      </c>
      <c r="D5330" s="10">
        <v>3457.9089999999997</v>
      </c>
      <c r="E5330" s="10">
        <v>3919.1039999999998</v>
      </c>
      <c r="F5330" t="str">
        <f>VLOOKUP(A5330,StoreLookup,2,FALSE)</f>
        <v>Store#3</v>
      </c>
      <c r="G5330">
        <f>INDEX(CalLookUpTable,MATCH($B5330,CalLookUpRow,0),MATCH(G$1,CalLookUpColumn,0))</f>
        <v>2020</v>
      </c>
      <c r="H5330">
        <f>INDEX(CalLookUpTable,MATCH($B5330,CalLookUpRow,0),MATCH(H$1,CalLookUpColumn,0))</f>
        <v>1</v>
      </c>
      <c r="I5330">
        <f>INDEX(CalLookUpTable,MATCH($B5330,CalLookUpRow,0),MATCH(I$1,CalLookUpColumn,0))</f>
        <v>1</v>
      </c>
    </row>
    <row r="5331" spans="1:9" x14ac:dyDescent="0.25">
      <c r="A5331" s="7">
        <v>3</v>
      </c>
      <c r="B5331" s="8">
        <v>43834</v>
      </c>
      <c r="C5331" s="9" t="s">
        <v>3</v>
      </c>
      <c r="D5331" s="10">
        <v>160.85999999999999</v>
      </c>
      <c r="E5331" s="10">
        <v>153.85999999999999</v>
      </c>
      <c r="F5331" t="str">
        <f>VLOOKUP(A5331,StoreLookup,2,FALSE)</f>
        <v>Store#3</v>
      </c>
      <c r="G5331">
        <f>INDEX(CalLookUpTable,MATCH($B5331,CalLookUpRow,0),MATCH(G$1,CalLookUpColumn,0))</f>
        <v>2020</v>
      </c>
      <c r="H5331">
        <f>INDEX(CalLookUpTable,MATCH($B5331,CalLookUpRow,0),MATCH(H$1,CalLookUpColumn,0))</f>
        <v>1</v>
      </c>
      <c r="I5331">
        <f>INDEX(CalLookUpTable,MATCH($B5331,CalLookUpRow,0),MATCH(I$1,CalLookUpColumn,0))</f>
        <v>1</v>
      </c>
    </row>
    <row r="5332" spans="1:9" x14ac:dyDescent="0.25">
      <c r="A5332" s="7">
        <v>3</v>
      </c>
      <c r="B5332" s="8">
        <v>43834</v>
      </c>
      <c r="C5332" s="9" t="s">
        <v>5</v>
      </c>
      <c r="D5332" s="10">
        <v>3034.4859999999994</v>
      </c>
      <c r="E5332" s="10">
        <v>3538.2549999999997</v>
      </c>
      <c r="F5332" t="str">
        <f>VLOOKUP(A5332,StoreLookup,2,FALSE)</f>
        <v>Store#3</v>
      </c>
      <c r="G5332">
        <f>INDEX(CalLookUpTable,MATCH($B5332,CalLookUpRow,0),MATCH(G$1,CalLookUpColumn,0))</f>
        <v>2020</v>
      </c>
      <c r="H5332">
        <f>INDEX(CalLookUpTable,MATCH($B5332,CalLookUpRow,0),MATCH(H$1,CalLookUpColumn,0))</f>
        <v>1</v>
      </c>
      <c r="I5332">
        <f>INDEX(CalLookUpTable,MATCH($B5332,CalLookUpRow,0),MATCH(I$1,CalLookUpColumn,0))</f>
        <v>1</v>
      </c>
    </row>
    <row r="5333" spans="1:9" x14ac:dyDescent="0.25">
      <c r="A5333" s="7">
        <v>3</v>
      </c>
      <c r="B5333" s="8">
        <v>43834</v>
      </c>
      <c r="C5333" s="9" t="s">
        <v>6</v>
      </c>
      <c r="D5333" s="10">
        <v>1247.617</v>
      </c>
      <c r="E5333" s="10">
        <v>1000.5379999999999</v>
      </c>
      <c r="F5333" t="str">
        <f>VLOOKUP(A5333,StoreLookup,2,FALSE)</f>
        <v>Store#3</v>
      </c>
      <c r="G5333">
        <f>INDEX(CalLookUpTable,MATCH($B5333,CalLookUpRow,0),MATCH(G$1,CalLookUpColumn,0))</f>
        <v>2020</v>
      </c>
      <c r="H5333">
        <f>INDEX(CalLookUpTable,MATCH($B5333,CalLookUpRow,0),MATCH(H$1,CalLookUpColumn,0))</f>
        <v>1</v>
      </c>
      <c r="I5333">
        <f>INDEX(CalLookUpTable,MATCH($B5333,CalLookUpRow,0),MATCH(I$1,CalLookUpColumn,0))</f>
        <v>1</v>
      </c>
    </row>
    <row r="5334" spans="1:9" x14ac:dyDescent="0.25">
      <c r="A5334" s="7">
        <v>3</v>
      </c>
      <c r="B5334" s="8">
        <v>43835</v>
      </c>
      <c r="C5334" s="9" t="s">
        <v>4</v>
      </c>
      <c r="D5334" s="10">
        <v>3057.1239999999998</v>
      </c>
      <c r="E5334" s="10">
        <v>2545.5009999999997</v>
      </c>
      <c r="F5334" t="str">
        <f>VLOOKUP(A5334,StoreLookup,2,FALSE)</f>
        <v>Store#3</v>
      </c>
      <c r="G5334">
        <f>INDEX(CalLookUpTable,MATCH($B5334,CalLookUpRow,0),MATCH(G$1,CalLookUpColumn,0))</f>
        <v>2020</v>
      </c>
      <c r="H5334">
        <f>INDEX(CalLookUpTable,MATCH($B5334,CalLookUpRow,0),MATCH(H$1,CalLookUpColumn,0))</f>
        <v>1</v>
      </c>
      <c r="I5334">
        <f>INDEX(CalLookUpTable,MATCH($B5334,CalLookUpRow,0),MATCH(I$1,CalLookUpColumn,0))</f>
        <v>1</v>
      </c>
    </row>
    <row r="5335" spans="1:9" x14ac:dyDescent="0.25">
      <c r="A5335" s="7">
        <v>3</v>
      </c>
      <c r="B5335" s="8">
        <v>43835</v>
      </c>
      <c r="C5335" s="9" t="s">
        <v>5</v>
      </c>
      <c r="D5335" s="10">
        <v>2473.9189999999999</v>
      </c>
      <c r="E5335" s="10">
        <v>2494.1</v>
      </c>
      <c r="F5335" t="str">
        <f>VLOOKUP(A5335,StoreLookup,2,FALSE)</f>
        <v>Store#3</v>
      </c>
      <c r="G5335">
        <f>INDEX(CalLookUpTable,MATCH($B5335,CalLookUpRow,0),MATCH(G$1,CalLookUpColumn,0))</f>
        <v>2020</v>
      </c>
      <c r="H5335">
        <f>INDEX(CalLookUpTable,MATCH($B5335,CalLookUpRow,0),MATCH(H$1,CalLookUpColumn,0))</f>
        <v>1</v>
      </c>
      <c r="I5335">
        <f>INDEX(CalLookUpTable,MATCH($B5335,CalLookUpRow,0),MATCH(I$1,CalLookUpColumn,0))</f>
        <v>1</v>
      </c>
    </row>
    <row r="5336" spans="1:9" x14ac:dyDescent="0.25">
      <c r="A5336" s="7">
        <v>3</v>
      </c>
      <c r="B5336" s="8">
        <v>43835</v>
      </c>
      <c r="C5336" s="9" t="s">
        <v>6</v>
      </c>
      <c r="D5336" s="10">
        <v>1603.5039999999997</v>
      </c>
      <c r="E5336" s="10">
        <v>614.649</v>
      </c>
      <c r="F5336" t="str">
        <f>VLOOKUP(A5336,StoreLookup,2,FALSE)</f>
        <v>Store#3</v>
      </c>
      <c r="G5336">
        <f>INDEX(CalLookUpTable,MATCH($B5336,CalLookUpRow,0),MATCH(G$1,CalLookUpColumn,0))</f>
        <v>2020</v>
      </c>
      <c r="H5336">
        <f>INDEX(CalLookUpTable,MATCH($B5336,CalLookUpRow,0),MATCH(H$1,CalLookUpColumn,0))</f>
        <v>1</v>
      </c>
      <c r="I5336">
        <f>INDEX(CalLookUpTable,MATCH($B5336,CalLookUpRow,0),MATCH(I$1,CalLookUpColumn,0))</f>
        <v>1</v>
      </c>
    </row>
    <row r="5337" spans="1:9" x14ac:dyDescent="0.25">
      <c r="A5337" s="7">
        <v>3</v>
      </c>
      <c r="B5337" s="8">
        <v>43835</v>
      </c>
      <c r="C5337" s="9" t="s">
        <v>3</v>
      </c>
      <c r="D5337" s="10">
        <v>281.93199999999996</v>
      </c>
      <c r="E5337" s="10">
        <v>169.24599999999998</v>
      </c>
      <c r="F5337" t="str">
        <f>VLOOKUP(A5337,StoreLookup,2,FALSE)</f>
        <v>Store#3</v>
      </c>
      <c r="G5337">
        <f>INDEX(CalLookUpTable,MATCH($B5337,CalLookUpRow,0),MATCH(G$1,CalLookUpColumn,0))</f>
        <v>2020</v>
      </c>
      <c r="H5337">
        <f>INDEX(CalLookUpTable,MATCH($B5337,CalLookUpRow,0),MATCH(H$1,CalLookUpColumn,0))</f>
        <v>1</v>
      </c>
      <c r="I5337">
        <f>INDEX(CalLookUpTable,MATCH($B5337,CalLookUpRow,0),MATCH(I$1,CalLookUpColumn,0))</f>
        <v>1</v>
      </c>
    </row>
    <row r="5338" spans="1:9" x14ac:dyDescent="0.25">
      <c r="A5338" s="7">
        <v>3</v>
      </c>
      <c r="B5338" s="8">
        <v>43836</v>
      </c>
      <c r="C5338" s="9" t="s">
        <v>6</v>
      </c>
      <c r="D5338" s="10">
        <v>1135.1339999999998</v>
      </c>
      <c r="E5338" s="10">
        <v>678.07599999999991</v>
      </c>
      <c r="F5338" t="str">
        <f>VLOOKUP(A5338,StoreLookup,2,FALSE)</f>
        <v>Store#3</v>
      </c>
      <c r="G5338">
        <f>INDEX(CalLookUpTable,MATCH($B5338,CalLookUpRow,0),MATCH(G$1,CalLookUpColumn,0))</f>
        <v>2020</v>
      </c>
      <c r="H5338">
        <f>INDEX(CalLookUpTable,MATCH($B5338,CalLookUpRow,0),MATCH(H$1,CalLookUpColumn,0))</f>
        <v>1</v>
      </c>
      <c r="I5338">
        <f>INDEX(CalLookUpTable,MATCH($B5338,CalLookUpRow,0),MATCH(I$1,CalLookUpColumn,0))</f>
        <v>2</v>
      </c>
    </row>
    <row r="5339" spans="1:9" x14ac:dyDescent="0.25">
      <c r="A5339" s="7">
        <v>3</v>
      </c>
      <c r="B5339" s="8">
        <v>43836</v>
      </c>
      <c r="C5339" s="9" t="s">
        <v>4</v>
      </c>
      <c r="D5339" s="10">
        <v>2740.8989999999999</v>
      </c>
      <c r="E5339" s="10">
        <v>2577.9740000000002</v>
      </c>
      <c r="F5339" t="str">
        <f>VLOOKUP(A5339,StoreLookup,2,FALSE)</f>
        <v>Store#3</v>
      </c>
      <c r="G5339">
        <f>INDEX(CalLookUpTable,MATCH($B5339,CalLookUpRow,0),MATCH(G$1,CalLookUpColumn,0))</f>
        <v>2020</v>
      </c>
      <c r="H5339">
        <f>INDEX(CalLookUpTable,MATCH($B5339,CalLookUpRow,0),MATCH(H$1,CalLookUpColumn,0))</f>
        <v>1</v>
      </c>
      <c r="I5339">
        <f>INDEX(CalLookUpTable,MATCH($B5339,CalLookUpRow,0),MATCH(I$1,CalLookUpColumn,0))</f>
        <v>2</v>
      </c>
    </row>
    <row r="5340" spans="1:9" x14ac:dyDescent="0.25">
      <c r="A5340" s="7">
        <v>3</v>
      </c>
      <c r="B5340" s="8">
        <v>43836</v>
      </c>
      <c r="C5340" s="9" t="s">
        <v>3</v>
      </c>
      <c r="D5340" s="10">
        <v>15.084999999999999</v>
      </c>
      <c r="E5340" s="10">
        <v>18.535999999999998</v>
      </c>
      <c r="F5340" t="str">
        <f>VLOOKUP(A5340,StoreLookup,2,FALSE)</f>
        <v>Store#3</v>
      </c>
      <c r="G5340">
        <f>INDEX(CalLookUpTable,MATCH($B5340,CalLookUpRow,0),MATCH(G$1,CalLookUpColumn,0))</f>
        <v>2020</v>
      </c>
      <c r="H5340">
        <f>INDEX(CalLookUpTable,MATCH($B5340,CalLookUpRow,0),MATCH(H$1,CalLookUpColumn,0))</f>
        <v>1</v>
      </c>
      <c r="I5340">
        <f>INDEX(CalLookUpTable,MATCH($B5340,CalLookUpRow,0),MATCH(I$1,CalLookUpColumn,0))</f>
        <v>2</v>
      </c>
    </row>
    <row r="5341" spans="1:9" x14ac:dyDescent="0.25">
      <c r="A5341" s="7">
        <v>3</v>
      </c>
      <c r="B5341" s="8">
        <v>43836</v>
      </c>
      <c r="C5341" s="9" t="s">
        <v>5</v>
      </c>
      <c r="D5341" s="10">
        <v>3154.2980000000002</v>
      </c>
      <c r="E5341" s="10">
        <v>2907.7019999999998</v>
      </c>
      <c r="F5341" t="str">
        <f>VLOOKUP(A5341,StoreLookup,2,FALSE)</f>
        <v>Store#3</v>
      </c>
      <c r="G5341">
        <f>INDEX(CalLookUpTable,MATCH($B5341,CalLookUpRow,0),MATCH(G$1,CalLookUpColumn,0))</f>
        <v>2020</v>
      </c>
      <c r="H5341">
        <f>INDEX(CalLookUpTable,MATCH($B5341,CalLookUpRow,0),MATCH(H$1,CalLookUpColumn,0))</f>
        <v>1</v>
      </c>
      <c r="I5341">
        <f>INDEX(CalLookUpTable,MATCH($B5341,CalLookUpRow,0),MATCH(I$1,CalLookUpColumn,0))</f>
        <v>2</v>
      </c>
    </row>
    <row r="5342" spans="1:9" x14ac:dyDescent="0.25">
      <c r="A5342" s="7">
        <v>3</v>
      </c>
      <c r="B5342" s="8">
        <v>43837</v>
      </c>
      <c r="C5342" s="9" t="s">
        <v>6</v>
      </c>
      <c r="D5342" s="10">
        <v>1078.2379999999998</v>
      </c>
      <c r="E5342" s="10">
        <v>840.63</v>
      </c>
      <c r="F5342" t="str">
        <f>VLOOKUP(A5342,StoreLookup,2,FALSE)</f>
        <v>Store#3</v>
      </c>
      <c r="G5342">
        <f>INDEX(CalLookUpTable,MATCH($B5342,CalLookUpRow,0),MATCH(G$1,CalLookUpColumn,0))</f>
        <v>2020</v>
      </c>
      <c r="H5342">
        <f>INDEX(CalLookUpTable,MATCH($B5342,CalLookUpRow,0),MATCH(H$1,CalLookUpColumn,0))</f>
        <v>1</v>
      </c>
      <c r="I5342">
        <f>INDEX(CalLookUpTable,MATCH($B5342,CalLookUpRow,0),MATCH(I$1,CalLookUpColumn,0))</f>
        <v>2</v>
      </c>
    </row>
    <row r="5343" spans="1:9" x14ac:dyDescent="0.25">
      <c r="A5343" s="7">
        <v>3</v>
      </c>
      <c r="B5343" s="8">
        <v>43837</v>
      </c>
      <c r="C5343" s="9" t="s">
        <v>5</v>
      </c>
      <c r="D5343" s="10">
        <v>2906.0079999999994</v>
      </c>
      <c r="E5343" s="10">
        <v>2890.8739999999998</v>
      </c>
      <c r="F5343" t="str">
        <f>VLOOKUP(A5343,StoreLookup,2,FALSE)</f>
        <v>Store#3</v>
      </c>
      <c r="G5343">
        <f>INDEX(CalLookUpTable,MATCH($B5343,CalLookUpRow,0),MATCH(G$1,CalLookUpColumn,0))</f>
        <v>2020</v>
      </c>
      <c r="H5343">
        <f>INDEX(CalLookUpTable,MATCH($B5343,CalLookUpRow,0),MATCH(H$1,CalLookUpColumn,0))</f>
        <v>1</v>
      </c>
      <c r="I5343">
        <f>INDEX(CalLookUpTable,MATCH($B5343,CalLookUpRow,0),MATCH(I$1,CalLookUpColumn,0))</f>
        <v>2</v>
      </c>
    </row>
    <row r="5344" spans="1:9" x14ac:dyDescent="0.25">
      <c r="A5344" s="7">
        <v>3</v>
      </c>
      <c r="B5344" s="8">
        <v>43837</v>
      </c>
      <c r="C5344" s="9" t="s">
        <v>4</v>
      </c>
      <c r="D5344" s="10">
        <v>2921.1489999999994</v>
      </c>
      <c r="E5344" s="10">
        <v>3072.5729999999999</v>
      </c>
      <c r="F5344" t="str">
        <f>VLOOKUP(A5344,StoreLookup,2,FALSE)</f>
        <v>Store#3</v>
      </c>
      <c r="G5344">
        <f>INDEX(CalLookUpTable,MATCH($B5344,CalLookUpRow,0),MATCH(G$1,CalLookUpColumn,0))</f>
        <v>2020</v>
      </c>
      <c r="H5344">
        <f>INDEX(CalLookUpTable,MATCH($B5344,CalLookUpRow,0),MATCH(H$1,CalLookUpColumn,0))</f>
        <v>1</v>
      </c>
      <c r="I5344">
        <f>INDEX(CalLookUpTable,MATCH($B5344,CalLookUpRow,0),MATCH(I$1,CalLookUpColumn,0))</f>
        <v>2</v>
      </c>
    </row>
    <row r="5345" spans="1:9" x14ac:dyDescent="0.25">
      <c r="A5345" s="7">
        <v>3</v>
      </c>
      <c r="B5345" s="8">
        <v>43837</v>
      </c>
      <c r="C5345" s="9" t="s">
        <v>3</v>
      </c>
      <c r="D5345" s="10">
        <v>378.238</v>
      </c>
      <c r="E5345" s="10">
        <v>153.85999999999999</v>
      </c>
      <c r="F5345" t="str">
        <f>VLOOKUP(A5345,StoreLookup,2,FALSE)</f>
        <v>Store#3</v>
      </c>
      <c r="G5345">
        <f>INDEX(CalLookUpTable,MATCH($B5345,CalLookUpRow,0),MATCH(G$1,CalLookUpColumn,0))</f>
        <v>2020</v>
      </c>
      <c r="H5345">
        <f>INDEX(CalLookUpTable,MATCH($B5345,CalLookUpRow,0),MATCH(H$1,CalLookUpColumn,0))</f>
        <v>1</v>
      </c>
      <c r="I5345">
        <f>INDEX(CalLookUpTable,MATCH($B5345,CalLookUpRow,0),MATCH(I$1,CalLookUpColumn,0))</f>
        <v>2</v>
      </c>
    </row>
    <row r="5346" spans="1:9" x14ac:dyDescent="0.25">
      <c r="A5346" s="7">
        <v>3</v>
      </c>
      <c r="B5346" s="8">
        <v>43838</v>
      </c>
      <c r="C5346" s="9" t="s">
        <v>6</v>
      </c>
      <c r="D5346" s="10">
        <v>1092.5739999999998</v>
      </c>
      <c r="E5346" s="10">
        <v>979.54499999999985</v>
      </c>
      <c r="F5346" t="str">
        <f>VLOOKUP(A5346,StoreLookup,2,FALSE)</f>
        <v>Store#3</v>
      </c>
      <c r="G5346">
        <f>INDEX(CalLookUpTable,MATCH($B5346,CalLookUpRow,0),MATCH(G$1,CalLookUpColumn,0))</f>
        <v>2020</v>
      </c>
      <c r="H5346">
        <f>INDEX(CalLookUpTable,MATCH($B5346,CalLookUpRow,0),MATCH(H$1,CalLookUpColumn,0))</f>
        <v>1</v>
      </c>
      <c r="I5346">
        <f>INDEX(CalLookUpTable,MATCH($B5346,CalLookUpRow,0),MATCH(I$1,CalLookUpColumn,0))</f>
        <v>2</v>
      </c>
    </row>
    <row r="5347" spans="1:9" x14ac:dyDescent="0.25">
      <c r="A5347" s="7">
        <v>3</v>
      </c>
      <c r="B5347" s="8">
        <v>43838</v>
      </c>
      <c r="C5347" s="9" t="s">
        <v>4</v>
      </c>
      <c r="D5347" s="10">
        <v>2749.614</v>
      </c>
      <c r="E5347" s="10">
        <v>3021.4799999999996</v>
      </c>
      <c r="F5347" t="str">
        <f>VLOOKUP(A5347,StoreLookup,2,FALSE)</f>
        <v>Store#3</v>
      </c>
      <c r="G5347">
        <f>INDEX(CalLookUpTable,MATCH($B5347,CalLookUpRow,0),MATCH(G$1,CalLookUpColumn,0))</f>
        <v>2020</v>
      </c>
      <c r="H5347">
        <f>INDEX(CalLookUpTable,MATCH($B5347,CalLookUpRow,0),MATCH(H$1,CalLookUpColumn,0))</f>
        <v>1</v>
      </c>
      <c r="I5347">
        <f>INDEX(CalLookUpTable,MATCH($B5347,CalLookUpRow,0),MATCH(I$1,CalLookUpColumn,0))</f>
        <v>2</v>
      </c>
    </row>
    <row r="5348" spans="1:9" x14ac:dyDescent="0.25">
      <c r="A5348" s="7">
        <v>3</v>
      </c>
      <c r="B5348" s="8">
        <v>43838</v>
      </c>
      <c r="C5348" s="9" t="s">
        <v>3</v>
      </c>
      <c r="D5348" s="10">
        <v>0</v>
      </c>
      <c r="E5348" s="10">
        <v>23.484999999999996</v>
      </c>
      <c r="F5348" t="str">
        <f>VLOOKUP(A5348,StoreLookup,2,FALSE)</f>
        <v>Store#3</v>
      </c>
      <c r="G5348">
        <f>INDEX(CalLookUpTable,MATCH($B5348,CalLookUpRow,0),MATCH(G$1,CalLookUpColumn,0))</f>
        <v>2020</v>
      </c>
      <c r="H5348">
        <f>INDEX(CalLookUpTable,MATCH($B5348,CalLookUpRow,0),MATCH(H$1,CalLookUpColumn,0))</f>
        <v>1</v>
      </c>
      <c r="I5348">
        <f>INDEX(CalLookUpTable,MATCH($B5348,CalLookUpRow,0),MATCH(I$1,CalLookUpColumn,0))</f>
        <v>2</v>
      </c>
    </row>
    <row r="5349" spans="1:9" x14ac:dyDescent="0.25">
      <c r="A5349" s="7">
        <v>3</v>
      </c>
      <c r="B5349" s="8">
        <v>43838</v>
      </c>
      <c r="C5349" s="9" t="s">
        <v>5</v>
      </c>
      <c r="D5349" s="10">
        <v>3079.6779999999999</v>
      </c>
      <c r="E5349" s="10">
        <v>2924.6489999999994</v>
      </c>
      <c r="F5349" t="str">
        <f>VLOOKUP(A5349,StoreLookup,2,FALSE)</f>
        <v>Store#3</v>
      </c>
      <c r="G5349">
        <f>INDEX(CalLookUpTable,MATCH($B5349,CalLookUpRow,0),MATCH(G$1,CalLookUpColumn,0))</f>
        <v>2020</v>
      </c>
      <c r="H5349">
        <f>INDEX(CalLookUpTable,MATCH($B5349,CalLookUpRow,0),MATCH(H$1,CalLookUpColumn,0))</f>
        <v>1</v>
      </c>
      <c r="I5349">
        <f>INDEX(CalLookUpTable,MATCH($B5349,CalLookUpRow,0),MATCH(I$1,CalLookUpColumn,0))</f>
        <v>2</v>
      </c>
    </row>
    <row r="5350" spans="1:9" x14ac:dyDescent="0.25">
      <c r="A5350" s="7">
        <v>3</v>
      </c>
      <c r="B5350" s="8">
        <v>43839</v>
      </c>
      <c r="C5350" s="9" t="s">
        <v>6</v>
      </c>
      <c r="D5350" s="10">
        <v>1797.4669999999999</v>
      </c>
      <c r="E5350" s="10">
        <v>876.72899999999993</v>
      </c>
      <c r="F5350" t="str">
        <f>VLOOKUP(A5350,StoreLookup,2,FALSE)</f>
        <v>Store#3</v>
      </c>
      <c r="G5350">
        <f>INDEX(CalLookUpTable,MATCH($B5350,CalLookUpRow,0),MATCH(G$1,CalLookUpColumn,0))</f>
        <v>2020</v>
      </c>
      <c r="H5350">
        <f>INDEX(CalLookUpTable,MATCH($B5350,CalLookUpRow,0),MATCH(H$1,CalLookUpColumn,0))</f>
        <v>1</v>
      </c>
      <c r="I5350">
        <f>INDEX(CalLookUpTable,MATCH($B5350,CalLookUpRow,0),MATCH(I$1,CalLookUpColumn,0))</f>
        <v>2</v>
      </c>
    </row>
    <row r="5351" spans="1:9" x14ac:dyDescent="0.25">
      <c r="A5351" s="7">
        <v>3</v>
      </c>
      <c r="B5351" s="8">
        <v>43839</v>
      </c>
      <c r="C5351" s="9" t="s">
        <v>3</v>
      </c>
      <c r="D5351" s="10">
        <v>0</v>
      </c>
      <c r="E5351" s="10">
        <v>0</v>
      </c>
      <c r="F5351" t="str">
        <f>VLOOKUP(A5351,StoreLookup,2,FALSE)</f>
        <v>Store#3</v>
      </c>
      <c r="G5351">
        <f>INDEX(CalLookUpTable,MATCH($B5351,CalLookUpRow,0),MATCH(G$1,CalLookUpColumn,0))</f>
        <v>2020</v>
      </c>
      <c r="H5351">
        <f>INDEX(CalLookUpTable,MATCH($B5351,CalLookUpRow,0),MATCH(H$1,CalLookUpColumn,0))</f>
        <v>1</v>
      </c>
      <c r="I5351">
        <f>INDEX(CalLookUpTable,MATCH($B5351,CalLookUpRow,0),MATCH(I$1,CalLookUpColumn,0))</f>
        <v>2</v>
      </c>
    </row>
    <row r="5352" spans="1:9" x14ac:dyDescent="0.25">
      <c r="A5352" s="7">
        <v>3</v>
      </c>
      <c r="B5352" s="8">
        <v>43839</v>
      </c>
      <c r="C5352" s="9" t="s">
        <v>4</v>
      </c>
      <c r="D5352" s="10">
        <v>3245.8369999999995</v>
      </c>
      <c r="E5352" s="10">
        <v>3301.7599999999998</v>
      </c>
      <c r="F5352" t="str">
        <f>VLOOKUP(A5352,StoreLookup,2,FALSE)</f>
        <v>Store#3</v>
      </c>
      <c r="G5352">
        <f>INDEX(CalLookUpTable,MATCH($B5352,CalLookUpRow,0),MATCH(G$1,CalLookUpColumn,0))</f>
        <v>2020</v>
      </c>
      <c r="H5352">
        <f>INDEX(CalLookUpTable,MATCH($B5352,CalLookUpRow,0),MATCH(H$1,CalLookUpColumn,0))</f>
        <v>1</v>
      </c>
      <c r="I5352">
        <f>INDEX(CalLookUpTable,MATCH($B5352,CalLookUpRow,0),MATCH(I$1,CalLookUpColumn,0))</f>
        <v>2</v>
      </c>
    </row>
    <row r="5353" spans="1:9" x14ac:dyDescent="0.25">
      <c r="A5353" s="7">
        <v>3</v>
      </c>
      <c r="B5353" s="8">
        <v>43839</v>
      </c>
      <c r="C5353" s="9" t="s">
        <v>5</v>
      </c>
      <c r="D5353" s="10">
        <v>3058.1459999999997</v>
      </c>
      <c r="E5353" s="10">
        <v>3120.6839999999997</v>
      </c>
      <c r="F5353" t="str">
        <f>VLOOKUP(A5353,StoreLookup,2,FALSE)</f>
        <v>Store#3</v>
      </c>
      <c r="G5353">
        <f>INDEX(CalLookUpTable,MATCH($B5353,CalLookUpRow,0),MATCH(G$1,CalLookUpColumn,0))</f>
        <v>2020</v>
      </c>
      <c r="H5353">
        <f>INDEX(CalLookUpTable,MATCH($B5353,CalLookUpRow,0),MATCH(H$1,CalLookUpColumn,0))</f>
        <v>1</v>
      </c>
      <c r="I5353">
        <f>INDEX(CalLookUpTable,MATCH($B5353,CalLookUpRow,0),MATCH(I$1,CalLookUpColumn,0))</f>
        <v>2</v>
      </c>
    </row>
    <row r="5354" spans="1:9" x14ac:dyDescent="0.25">
      <c r="A5354" s="7">
        <v>3</v>
      </c>
      <c r="B5354" s="8">
        <v>43840</v>
      </c>
      <c r="C5354" s="9" t="s">
        <v>6</v>
      </c>
      <c r="D5354" s="10">
        <v>1729.2869999999998</v>
      </c>
      <c r="E5354" s="10">
        <v>944.72699999999986</v>
      </c>
      <c r="F5354" t="str">
        <f>VLOOKUP(A5354,StoreLookup,2,FALSE)</f>
        <v>Store#3</v>
      </c>
      <c r="G5354">
        <f>INDEX(CalLookUpTable,MATCH($B5354,CalLookUpRow,0),MATCH(G$1,CalLookUpColumn,0))</f>
        <v>2020</v>
      </c>
      <c r="H5354">
        <f>INDEX(CalLookUpTable,MATCH($B5354,CalLookUpRow,0),MATCH(H$1,CalLookUpColumn,0))</f>
        <v>1</v>
      </c>
      <c r="I5354">
        <f>INDEX(CalLookUpTable,MATCH($B5354,CalLookUpRow,0),MATCH(I$1,CalLookUpColumn,0))</f>
        <v>2</v>
      </c>
    </row>
    <row r="5355" spans="1:9" x14ac:dyDescent="0.25">
      <c r="A5355" s="7">
        <v>3</v>
      </c>
      <c r="B5355" s="8">
        <v>43840</v>
      </c>
      <c r="C5355" s="9" t="s">
        <v>4</v>
      </c>
      <c r="D5355" s="10">
        <v>3695.5799999999995</v>
      </c>
      <c r="E5355" s="10">
        <v>3916.9409999999998</v>
      </c>
      <c r="F5355" t="str">
        <f>VLOOKUP(A5355,StoreLookup,2,FALSE)</f>
        <v>Store#3</v>
      </c>
      <c r="G5355">
        <f>INDEX(CalLookUpTable,MATCH($B5355,CalLookUpRow,0),MATCH(G$1,CalLookUpColumn,0))</f>
        <v>2020</v>
      </c>
      <c r="H5355">
        <f>INDEX(CalLookUpTable,MATCH($B5355,CalLookUpRow,0),MATCH(H$1,CalLookUpColumn,0))</f>
        <v>1</v>
      </c>
      <c r="I5355">
        <f>INDEX(CalLookUpTable,MATCH($B5355,CalLookUpRow,0),MATCH(I$1,CalLookUpColumn,0))</f>
        <v>2</v>
      </c>
    </row>
    <row r="5356" spans="1:9" x14ac:dyDescent="0.25">
      <c r="A5356" s="7">
        <v>3</v>
      </c>
      <c r="B5356" s="8">
        <v>43840</v>
      </c>
      <c r="C5356" s="9" t="s">
        <v>5</v>
      </c>
      <c r="D5356" s="10">
        <v>3029.817</v>
      </c>
      <c r="E5356" s="10">
        <v>3776.4159999999997</v>
      </c>
      <c r="F5356" t="str">
        <f>VLOOKUP(A5356,StoreLookup,2,FALSE)</f>
        <v>Store#3</v>
      </c>
      <c r="G5356">
        <f>INDEX(CalLookUpTable,MATCH($B5356,CalLookUpRow,0),MATCH(G$1,CalLookUpColumn,0))</f>
        <v>2020</v>
      </c>
      <c r="H5356">
        <f>INDEX(CalLookUpTable,MATCH($B5356,CalLookUpRow,0),MATCH(H$1,CalLookUpColumn,0))</f>
        <v>1</v>
      </c>
      <c r="I5356">
        <f>INDEX(CalLookUpTable,MATCH($B5356,CalLookUpRow,0),MATCH(I$1,CalLookUpColumn,0))</f>
        <v>2</v>
      </c>
    </row>
    <row r="5357" spans="1:9" x14ac:dyDescent="0.25">
      <c r="A5357" s="7">
        <v>3</v>
      </c>
      <c r="B5357" s="8">
        <v>43840</v>
      </c>
      <c r="C5357" s="9" t="s">
        <v>3</v>
      </c>
      <c r="D5357" s="10">
        <v>36.511999999999993</v>
      </c>
      <c r="E5357" s="10">
        <v>27.257999999999996</v>
      </c>
      <c r="F5357" t="str">
        <f>VLOOKUP(A5357,StoreLookup,2,FALSE)</f>
        <v>Store#3</v>
      </c>
      <c r="G5357">
        <f>INDEX(CalLookUpTable,MATCH($B5357,CalLookUpRow,0),MATCH(G$1,CalLookUpColumn,0))</f>
        <v>2020</v>
      </c>
      <c r="H5357">
        <f>INDEX(CalLookUpTable,MATCH($B5357,CalLookUpRow,0),MATCH(H$1,CalLookUpColumn,0))</f>
        <v>1</v>
      </c>
      <c r="I5357">
        <f>INDEX(CalLookUpTable,MATCH($B5357,CalLookUpRow,0),MATCH(I$1,CalLookUpColumn,0))</f>
        <v>2</v>
      </c>
    </row>
    <row r="5358" spans="1:9" x14ac:dyDescent="0.25">
      <c r="A5358" s="7">
        <v>3</v>
      </c>
      <c r="B5358" s="8">
        <v>43841</v>
      </c>
      <c r="C5358" s="9" t="s">
        <v>4</v>
      </c>
      <c r="D5358" s="10">
        <v>2918.7269999999994</v>
      </c>
      <c r="E5358" s="10">
        <v>4455.485999999999</v>
      </c>
      <c r="F5358" t="str">
        <f>VLOOKUP(A5358,StoreLookup,2,FALSE)</f>
        <v>Store#3</v>
      </c>
      <c r="G5358">
        <f>INDEX(CalLookUpTable,MATCH($B5358,CalLookUpRow,0),MATCH(G$1,CalLookUpColumn,0))</f>
        <v>2020</v>
      </c>
      <c r="H5358">
        <f>INDEX(CalLookUpTable,MATCH($B5358,CalLookUpRow,0),MATCH(H$1,CalLookUpColumn,0))</f>
        <v>1</v>
      </c>
      <c r="I5358">
        <f>INDEX(CalLookUpTable,MATCH($B5358,CalLookUpRow,0),MATCH(I$1,CalLookUpColumn,0))</f>
        <v>2</v>
      </c>
    </row>
    <row r="5359" spans="1:9" x14ac:dyDescent="0.25">
      <c r="A5359" s="7">
        <v>3</v>
      </c>
      <c r="B5359" s="8">
        <v>43841</v>
      </c>
      <c r="C5359" s="9" t="s">
        <v>6</v>
      </c>
      <c r="D5359" s="10">
        <v>841.904</v>
      </c>
      <c r="E5359" s="10">
        <v>1154.1599999999999</v>
      </c>
      <c r="F5359" t="str">
        <f>VLOOKUP(A5359,StoreLookup,2,FALSE)</f>
        <v>Store#3</v>
      </c>
      <c r="G5359">
        <f>INDEX(CalLookUpTable,MATCH($B5359,CalLookUpRow,0),MATCH(G$1,CalLookUpColumn,0))</f>
        <v>2020</v>
      </c>
      <c r="H5359">
        <f>INDEX(CalLookUpTable,MATCH($B5359,CalLookUpRow,0),MATCH(H$1,CalLookUpColumn,0))</f>
        <v>1</v>
      </c>
      <c r="I5359">
        <f>INDEX(CalLookUpTable,MATCH($B5359,CalLookUpRow,0),MATCH(I$1,CalLookUpColumn,0))</f>
        <v>2</v>
      </c>
    </row>
    <row r="5360" spans="1:9" x14ac:dyDescent="0.25">
      <c r="A5360" s="7">
        <v>3</v>
      </c>
      <c r="B5360" s="8">
        <v>43841</v>
      </c>
      <c r="C5360" s="9" t="s">
        <v>3</v>
      </c>
      <c r="D5360" s="10">
        <v>713.0619999999999</v>
      </c>
      <c r="E5360" s="10">
        <v>200.65499999999997</v>
      </c>
      <c r="F5360" t="str">
        <f>VLOOKUP(A5360,StoreLookup,2,FALSE)</f>
        <v>Store#3</v>
      </c>
      <c r="G5360">
        <f>INDEX(CalLookUpTable,MATCH($B5360,CalLookUpRow,0),MATCH(G$1,CalLookUpColumn,0))</f>
        <v>2020</v>
      </c>
      <c r="H5360">
        <f>INDEX(CalLookUpTable,MATCH($B5360,CalLookUpRow,0),MATCH(H$1,CalLookUpColumn,0))</f>
        <v>1</v>
      </c>
      <c r="I5360">
        <f>INDEX(CalLookUpTable,MATCH($B5360,CalLookUpRow,0),MATCH(I$1,CalLookUpColumn,0))</f>
        <v>2</v>
      </c>
    </row>
    <row r="5361" spans="1:9" x14ac:dyDescent="0.25">
      <c r="A5361" s="7">
        <v>3</v>
      </c>
      <c r="B5361" s="8">
        <v>43841</v>
      </c>
      <c r="C5361" s="9" t="s">
        <v>5</v>
      </c>
      <c r="D5361" s="10">
        <v>2933.6369999999997</v>
      </c>
      <c r="E5361" s="10">
        <v>3449.0609999999997</v>
      </c>
      <c r="F5361" t="str">
        <f>VLOOKUP(A5361,StoreLookup,2,FALSE)</f>
        <v>Store#3</v>
      </c>
      <c r="G5361">
        <f>INDEX(CalLookUpTable,MATCH($B5361,CalLookUpRow,0),MATCH(G$1,CalLookUpColumn,0))</f>
        <v>2020</v>
      </c>
      <c r="H5361">
        <f>INDEX(CalLookUpTable,MATCH($B5361,CalLookUpRow,0),MATCH(H$1,CalLookUpColumn,0))</f>
        <v>1</v>
      </c>
      <c r="I5361">
        <f>INDEX(CalLookUpTable,MATCH($B5361,CalLookUpRow,0),MATCH(I$1,CalLookUpColumn,0))</f>
        <v>2</v>
      </c>
    </row>
    <row r="5362" spans="1:9" x14ac:dyDescent="0.25">
      <c r="A5362" s="7">
        <v>3</v>
      </c>
      <c r="B5362" s="8">
        <v>43842</v>
      </c>
      <c r="C5362" s="9" t="s">
        <v>6</v>
      </c>
      <c r="D5362" s="10">
        <v>1715.105</v>
      </c>
      <c r="E5362" s="10">
        <v>694.08499999999992</v>
      </c>
      <c r="F5362" t="str">
        <f>VLOOKUP(A5362,StoreLookup,2,FALSE)</f>
        <v>Store#3</v>
      </c>
      <c r="G5362">
        <f>INDEX(CalLookUpTable,MATCH($B5362,CalLookUpRow,0),MATCH(G$1,CalLookUpColumn,0))</f>
        <v>2020</v>
      </c>
      <c r="H5362">
        <f>INDEX(CalLookUpTable,MATCH($B5362,CalLookUpRow,0),MATCH(H$1,CalLookUpColumn,0))</f>
        <v>1</v>
      </c>
      <c r="I5362">
        <f>INDEX(CalLookUpTable,MATCH($B5362,CalLookUpRow,0),MATCH(I$1,CalLookUpColumn,0))</f>
        <v>2</v>
      </c>
    </row>
    <row r="5363" spans="1:9" x14ac:dyDescent="0.25">
      <c r="A5363" s="7">
        <v>3</v>
      </c>
      <c r="B5363" s="8">
        <v>43842</v>
      </c>
      <c r="C5363" s="9" t="s">
        <v>3</v>
      </c>
      <c r="D5363" s="10">
        <v>146.93699999999998</v>
      </c>
      <c r="E5363" s="10">
        <v>213.91299999999998</v>
      </c>
      <c r="F5363" t="str">
        <f>VLOOKUP(A5363,StoreLookup,2,FALSE)</f>
        <v>Store#3</v>
      </c>
      <c r="G5363">
        <f>INDEX(CalLookUpTable,MATCH($B5363,CalLookUpRow,0),MATCH(G$1,CalLookUpColumn,0))</f>
        <v>2020</v>
      </c>
      <c r="H5363">
        <f>INDEX(CalLookUpTable,MATCH($B5363,CalLookUpRow,0),MATCH(H$1,CalLookUpColumn,0))</f>
        <v>1</v>
      </c>
      <c r="I5363">
        <f>INDEX(CalLookUpTable,MATCH($B5363,CalLookUpRow,0),MATCH(I$1,CalLookUpColumn,0))</f>
        <v>2</v>
      </c>
    </row>
    <row r="5364" spans="1:9" x14ac:dyDescent="0.25">
      <c r="A5364" s="7">
        <v>3</v>
      </c>
      <c r="B5364" s="8">
        <v>43842</v>
      </c>
      <c r="C5364" s="9" t="s">
        <v>5</v>
      </c>
      <c r="D5364" s="10">
        <v>2790.116</v>
      </c>
      <c r="E5364" s="10">
        <v>2435.125</v>
      </c>
      <c r="F5364" t="str">
        <f>VLOOKUP(A5364,StoreLookup,2,FALSE)</f>
        <v>Store#3</v>
      </c>
      <c r="G5364">
        <f>INDEX(CalLookUpTable,MATCH($B5364,CalLookUpRow,0),MATCH(G$1,CalLookUpColumn,0))</f>
        <v>2020</v>
      </c>
      <c r="H5364">
        <f>INDEX(CalLookUpTable,MATCH($B5364,CalLookUpRow,0),MATCH(H$1,CalLookUpColumn,0))</f>
        <v>1</v>
      </c>
      <c r="I5364">
        <f>INDEX(CalLookUpTable,MATCH($B5364,CalLookUpRow,0),MATCH(I$1,CalLookUpColumn,0))</f>
        <v>2</v>
      </c>
    </row>
    <row r="5365" spans="1:9" x14ac:dyDescent="0.25">
      <c r="A5365" s="7">
        <v>3</v>
      </c>
      <c r="B5365" s="8">
        <v>43842</v>
      </c>
      <c r="C5365" s="9" t="s">
        <v>4</v>
      </c>
      <c r="D5365" s="10">
        <v>2548.3849999999998</v>
      </c>
      <c r="E5365" s="10">
        <v>2611.7489999999998</v>
      </c>
      <c r="F5365" t="str">
        <f>VLOOKUP(A5365,StoreLookup,2,FALSE)</f>
        <v>Store#3</v>
      </c>
      <c r="G5365">
        <f>INDEX(CalLookUpTable,MATCH($B5365,CalLookUpRow,0),MATCH(G$1,CalLookUpColumn,0))</f>
        <v>2020</v>
      </c>
      <c r="H5365">
        <f>INDEX(CalLookUpTable,MATCH($B5365,CalLookUpRow,0),MATCH(H$1,CalLookUpColumn,0))</f>
        <v>1</v>
      </c>
      <c r="I5365">
        <f>INDEX(CalLookUpTable,MATCH($B5365,CalLookUpRow,0),MATCH(I$1,CalLookUpColumn,0))</f>
        <v>2</v>
      </c>
    </row>
    <row r="5366" spans="1:9" x14ac:dyDescent="0.25">
      <c r="A5366" s="7">
        <v>3</v>
      </c>
      <c r="B5366" s="8">
        <v>43843</v>
      </c>
      <c r="C5366" s="9" t="s">
        <v>4</v>
      </c>
      <c r="D5366" s="10">
        <v>2697.0719999999997</v>
      </c>
      <c r="E5366" s="10">
        <v>3107.9859999999994</v>
      </c>
      <c r="F5366" t="str">
        <f>VLOOKUP(A5366,StoreLookup,2,FALSE)</f>
        <v>Store#3</v>
      </c>
      <c r="G5366">
        <f>INDEX(CalLookUpTable,MATCH($B5366,CalLookUpRow,0),MATCH(G$1,CalLookUpColumn,0))</f>
        <v>2020</v>
      </c>
      <c r="H5366">
        <f>INDEX(CalLookUpTable,MATCH($B5366,CalLookUpRow,0),MATCH(H$1,CalLookUpColumn,0))</f>
        <v>1</v>
      </c>
      <c r="I5366">
        <f>INDEX(CalLookUpTable,MATCH($B5366,CalLookUpRow,0),MATCH(I$1,CalLookUpColumn,0))</f>
        <v>3</v>
      </c>
    </row>
    <row r="5367" spans="1:9" x14ac:dyDescent="0.25">
      <c r="A5367" s="7">
        <v>3</v>
      </c>
      <c r="B5367" s="8">
        <v>43843</v>
      </c>
      <c r="C5367" s="9" t="s">
        <v>5</v>
      </c>
      <c r="D5367" s="10">
        <v>2957.7799999999997</v>
      </c>
      <c r="E5367" s="10">
        <v>2942.7299999999996</v>
      </c>
      <c r="F5367" t="str">
        <f>VLOOKUP(A5367,StoreLookup,2,FALSE)</f>
        <v>Store#3</v>
      </c>
      <c r="G5367">
        <f>INDEX(CalLookUpTable,MATCH($B5367,CalLookUpRow,0),MATCH(G$1,CalLookUpColumn,0))</f>
        <v>2020</v>
      </c>
      <c r="H5367">
        <f>INDEX(CalLookUpTable,MATCH($B5367,CalLookUpRow,0),MATCH(H$1,CalLookUpColumn,0))</f>
        <v>1</v>
      </c>
      <c r="I5367">
        <f>INDEX(CalLookUpTable,MATCH($B5367,CalLookUpRow,0),MATCH(I$1,CalLookUpColumn,0))</f>
        <v>3</v>
      </c>
    </row>
    <row r="5368" spans="1:9" x14ac:dyDescent="0.25">
      <c r="A5368" s="7">
        <v>3</v>
      </c>
      <c r="B5368" s="8">
        <v>43843</v>
      </c>
      <c r="C5368" s="9" t="s">
        <v>3</v>
      </c>
      <c r="D5368" s="10">
        <v>0</v>
      </c>
      <c r="E5368" s="10">
        <v>0</v>
      </c>
      <c r="F5368" t="str">
        <f>VLOOKUP(A5368,StoreLookup,2,FALSE)</f>
        <v>Store#3</v>
      </c>
      <c r="G5368">
        <f>INDEX(CalLookUpTable,MATCH($B5368,CalLookUpRow,0),MATCH(G$1,CalLookUpColumn,0))</f>
        <v>2020</v>
      </c>
      <c r="H5368">
        <f>INDEX(CalLookUpTable,MATCH($B5368,CalLookUpRow,0),MATCH(H$1,CalLookUpColumn,0))</f>
        <v>1</v>
      </c>
      <c r="I5368">
        <f>INDEX(CalLookUpTable,MATCH($B5368,CalLookUpRow,0),MATCH(I$1,CalLookUpColumn,0))</f>
        <v>3</v>
      </c>
    </row>
    <row r="5369" spans="1:9" x14ac:dyDescent="0.25">
      <c r="A5369" s="7">
        <v>3</v>
      </c>
      <c r="B5369" s="8">
        <v>43843</v>
      </c>
      <c r="C5369" s="9" t="s">
        <v>6</v>
      </c>
      <c r="D5369" s="10">
        <v>1246.9870000000001</v>
      </c>
      <c r="E5369" s="10">
        <v>705.90800000000002</v>
      </c>
      <c r="F5369" t="str">
        <f>VLOOKUP(A5369,StoreLookup,2,FALSE)</f>
        <v>Store#3</v>
      </c>
      <c r="G5369">
        <f>INDEX(CalLookUpTable,MATCH($B5369,CalLookUpRow,0),MATCH(G$1,CalLookUpColumn,0))</f>
        <v>2020</v>
      </c>
      <c r="H5369">
        <f>INDEX(CalLookUpTable,MATCH($B5369,CalLookUpRow,0),MATCH(H$1,CalLookUpColumn,0))</f>
        <v>1</v>
      </c>
      <c r="I5369">
        <f>INDEX(CalLookUpTable,MATCH($B5369,CalLookUpRow,0),MATCH(I$1,CalLookUpColumn,0))</f>
        <v>3</v>
      </c>
    </row>
    <row r="5370" spans="1:9" x14ac:dyDescent="0.25">
      <c r="A5370" s="7">
        <v>3</v>
      </c>
      <c r="B5370" s="8">
        <v>43844</v>
      </c>
      <c r="C5370" s="9" t="s">
        <v>3</v>
      </c>
      <c r="D5370" s="10">
        <v>0</v>
      </c>
      <c r="E5370" s="10">
        <v>0</v>
      </c>
      <c r="F5370" t="str">
        <f>VLOOKUP(A5370,StoreLookup,2,FALSE)</f>
        <v>Store#3</v>
      </c>
      <c r="G5370">
        <f>INDEX(CalLookUpTable,MATCH($B5370,CalLookUpRow,0),MATCH(G$1,CalLookUpColumn,0))</f>
        <v>2020</v>
      </c>
      <c r="H5370">
        <f>INDEX(CalLookUpTable,MATCH($B5370,CalLookUpRow,0),MATCH(H$1,CalLookUpColumn,0))</f>
        <v>1</v>
      </c>
      <c r="I5370">
        <f>INDEX(CalLookUpTable,MATCH($B5370,CalLookUpRow,0),MATCH(I$1,CalLookUpColumn,0))</f>
        <v>3</v>
      </c>
    </row>
    <row r="5371" spans="1:9" x14ac:dyDescent="0.25">
      <c r="A5371" s="7">
        <v>3</v>
      </c>
      <c r="B5371" s="8">
        <v>43844</v>
      </c>
      <c r="C5371" s="9" t="s">
        <v>6</v>
      </c>
      <c r="D5371" s="10">
        <v>1712.242</v>
      </c>
      <c r="E5371" s="10">
        <v>719.68399999999986</v>
      </c>
      <c r="F5371" t="str">
        <f>VLOOKUP(A5371,StoreLookup,2,FALSE)</f>
        <v>Store#3</v>
      </c>
      <c r="G5371">
        <f>INDEX(CalLookUpTable,MATCH($B5371,CalLookUpRow,0),MATCH(G$1,CalLookUpColumn,0))</f>
        <v>2020</v>
      </c>
      <c r="H5371">
        <f>INDEX(CalLookUpTable,MATCH($B5371,CalLookUpRow,0),MATCH(H$1,CalLookUpColumn,0))</f>
        <v>1</v>
      </c>
      <c r="I5371">
        <f>INDEX(CalLookUpTable,MATCH($B5371,CalLookUpRow,0),MATCH(I$1,CalLookUpColumn,0))</f>
        <v>3</v>
      </c>
    </row>
    <row r="5372" spans="1:9" x14ac:dyDescent="0.25">
      <c r="A5372" s="7">
        <v>3</v>
      </c>
      <c r="B5372" s="8">
        <v>43844</v>
      </c>
      <c r="C5372" s="9" t="s">
        <v>4</v>
      </c>
      <c r="D5372" s="10">
        <v>2654.9110000000001</v>
      </c>
      <c r="E5372" s="10">
        <v>2910.5790000000002</v>
      </c>
      <c r="F5372" t="str">
        <f>VLOOKUP(A5372,StoreLookup,2,FALSE)</f>
        <v>Store#3</v>
      </c>
      <c r="G5372">
        <f>INDEX(CalLookUpTable,MATCH($B5372,CalLookUpRow,0),MATCH(G$1,CalLookUpColumn,0))</f>
        <v>2020</v>
      </c>
      <c r="H5372">
        <f>INDEX(CalLookUpTable,MATCH($B5372,CalLookUpRow,0),MATCH(H$1,CalLookUpColumn,0))</f>
        <v>1</v>
      </c>
      <c r="I5372">
        <f>INDEX(CalLookUpTable,MATCH($B5372,CalLookUpRow,0),MATCH(I$1,CalLookUpColumn,0))</f>
        <v>3</v>
      </c>
    </row>
    <row r="5373" spans="1:9" x14ac:dyDescent="0.25">
      <c r="A5373" s="7">
        <v>3</v>
      </c>
      <c r="B5373" s="8">
        <v>43844</v>
      </c>
      <c r="C5373" s="9" t="s">
        <v>5</v>
      </c>
      <c r="D5373" s="10">
        <v>2993.6829999999995</v>
      </c>
      <c r="E5373" s="10">
        <v>3221.1129999999998</v>
      </c>
      <c r="F5373" t="str">
        <f>VLOOKUP(A5373,StoreLookup,2,FALSE)</f>
        <v>Store#3</v>
      </c>
      <c r="G5373">
        <f>INDEX(CalLookUpTable,MATCH($B5373,CalLookUpRow,0),MATCH(G$1,CalLookUpColumn,0))</f>
        <v>2020</v>
      </c>
      <c r="H5373">
        <f>INDEX(CalLookUpTable,MATCH($B5373,CalLookUpRow,0),MATCH(H$1,CalLookUpColumn,0))</f>
        <v>1</v>
      </c>
      <c r="I5373">
        <f>INDEX(CalLookUpTable,MATCH($B5373,CalLookUpRow,0),MATCH(I$1,CalLookUpColumn,0))</f>
        <v>3</v>
      </c>
    </row>
    <row r="5374" spans="1:9" x14ac:dyDescent="0.25">
      <c r="A5374" s="7">
        <v>3</v>
      </c>
      <c r="B5374" s="8">
        <v>43845</v>
      </c>
      <c r="C5374" s="9" t="s">
        <v>4</v>
      </c>
      <c r="D5374" s="10">
        <v>3038.154</v>
      </c>
      <c r="E5374" s="10">
        <v>3260.2359999999994</v>
      </c>
      <c r="F5374" t="str">
        <f>VLOOKUP(A5374,StoreLookup,2,FALSE)</f>
        <v>Store#3</v>
      </c>
      <c r="G5374">
        <f>INDEX(CalLookUpTable,MATCH($B5374,CalLookUpRow,0),MATCH(G$1,CalLookUpColumn,0))</f>
        <v>2020</v>
      </c>
      <c r="H5374">
        <f>INDEX(CalLookUpTable,MATCH($B5374,CalLookUpRow,0),MATCH(H$1,CalLookUpColumn,0))</f>
        <v>1</v>
      </c>
      <c r="I5374">
        <f>INDEX(CalLookUpTable,MATCH($B5374,CalLookUpRow,0),MATCH(I$1,CalLookUpColumn,0))</f>
        <v>3</v>
      </c>
    </row>
    <row r="5375" spans="1:9" x14ac:dyDescent="0.25">
      <c r="A5375" s="7">
        <v>3</v>
      </c>
      <c r="B5375" s="8">
        <v>43845</v>
      </c>
      <c r="C5375" s="9" t="s">
        <v>6</v>
      </c>
      <c r="D5375" s="10">
        <v>1867.2919999999999</v>
      </c>
      <c r="E5375" s="10">
        <v>893.26299999999992</v>
      </c>
      <c r="F5375" t="str">
        <f>VLOOKUP(A5375,StoreLookup,2,FALSE)</f>
        <v>Store#3</v>
      </c>
      <c r="G5375">
        <f>INDEX(CalLookUpTable,MATCH($B5375,CalLookUpRow,0),MATCH(G$1,CalLookUpColumn,0))</f>
        <v>2020</v>
      </c>
      <c r="H5375">
        <f>INDEX(CalLookUpTable,MATCH($B5375,CalLookUpRow,0),MATCH(H$1,CalLookUpColumn,0))</f>
        <v>1</v>
      </c>
      <c r="I5375">
        <f>INDEX(CalLookUpTable,MATCH($B5375,CalLookUpRow,0),MATCH(I$1,CalLookUpColumn,0))</f>
        <v>3</v>
      </c>
    </row>
    <row r="5376" spans="1:9" x14ac:dyDescent="0.25">
      <c r="A5376" s="7">
        <v>3</v>
      </c>
      <c r="B5376" s="8">
        <v>43845</v>
      </c>
      <c r="C5376" s="9" t="s">
        <v>5</v>
      </c>
      <c r="D5376" s="10">
        <v>2950.8779999999997</v>
      </c>
      <c r="E5376" s="10">
        <v>3218.0189999999998</v>
      </c>
      <c r="F5376" t="str">
        <f>VLOOKUP(A5376,StoreLookup,2,FALSE)</f>
        <v>Store#3</v>
      </c>
      <c r="G5376">
        <f>INDEX(CalLookUpTable,MATCH($B5376,CalLookUpRow,0),MATCH(G$1,CalLookUpColumn,0))</f>
        <v>2020</v>
      </c>
      <c r="H5376">
        <f>INDEX(CalLookUpTable,MATCH($B5376,CalLookUpRow,0),MATCH(H$1,CalLookUpColumn,0))</f>
        <v>1</v>
      </c>
      <c r="I5376">
        <f>INDEX(CalLookUpTable,MATCH($B5376,CalLookUpRow,0),MATCH(I$1,CalLookUpColumn,0))</f>
        <v>3</v>
      </c>
    </row>
    <row r="5377" spans="1:9" x14ac:dyDescent="0.25">
      <c r="A5377" s="7">
        <v>3</v>
      </c>
      <c r="B5377" s="8">
        <v>43845</v>
      </c>
      <c r="C5377" s="9" t="s">
        <v>3</v>
      </c>
      <c r="D5377" s="10">
        <v>415.65299999999996</v>
      </c>
      <c r="E5377" s="10">
        <v>0</v>
      </c>
      <c r="F5377" t="str">
        <f>VLOOKUP(A5377,StoreLookup,2,FALSE)</f>
        <v>Store#3</v>
      </c>
      <c r="G5377">
        <f>INDEX(CalLookUpTable,MATCH($B5377,CalLookUpRow,0),MATCH(G$1,CalLookUpColumn,0))</f>
        <v>2020</v>
      </c>
      <c r="H5377">
        <f>INDEX(CalLookUpTable,MATCH($B5377,CalLookUpRow,0),MATCH(H$1,CalLookUpColumn,0))</f>
        <v>1</v>
      </c>
      <c r="I5377">
        <f>INDEX(CalLookUpTable,MATCH($B5377,CalLookUpRow,0),MATCH(I$1,CalLookUpColumn,0))</f>
        <v>3</v>
      </c>
    </row>
    <row r="5378" spans="1:9" x14ac:dyDescent="0.25">
      <c r="A5378" s="7">
        <v>3</v>
      </c>
      <c r="B5378" s="8">
        <v>43846</v>
      </c>
      <c r="C5378" s="9" t="s">
        <v>4</v>
      </c>
      <c r="D5378" s="10">
        <v>3936.4709999999995</v>
      </c>
      <c r="E5378" s="10">
        <v>3192.2730000000001</v>
      </c>
      <c r="F5378" t="str">
        <f>VLOOKUP(A5378,StoreLookup,2,FALSE)</f>
        <v>Store#3</v>
      </c>
      <c r="G5378">
        <f>INDEX(CalLookUpTable,MATCH($B5378,CalLookUpRow,0),MATCH(G$1,CalLookUpColumn,0))</f>
        <v>2020</v>
      </c>
      <c r="H5378">
        <f>INDEX(CalLookUpTable,MATCH($B5378,CalLookUpRow,0),MATCH(H$1,CalLookUpColumn,0))</f>
        <v>1</v>
      </c>
      <c r="I5378">
        <f>INDEX(CalLookUpTable,MATCH($B5378,CalLookUpRow,0),MATCH(I$1,CalLookUpColumn,0))</f>
        <v>3</v>
      </c>
    </row>
    <row r="5379" spans="1:9" x14ac:dyDescent="0.25">
      <c r="A5379" s="7">
        <v>3</v>
      </c>
      <c r="B5379" s="8">
        <v>43846</v>
      </c>
      <c r="C5379" s="9" t="s">
        <v>6</v>
      </c>
      <c r="D5379" s="10">
        <v>1754.046</v>
      </c>
      <c r="E5379" s="10">
        <v>957.68399999999986</v>
      </c>
      <c r="F5379" t="str">
        <f>VLOOKUP(A5379,StoreLookup,2,FALSE)</f>
        <v>Store#3</v>
      </c>
      <c r="G5379">
        <f>INDEX(CalLookUpTable,MATCH($B5379,CalLookUpRow,0),MATCH(G$1,CalLookUpColumn,0))</f>
        <v>2020</v>
      </c>
      <c r="H5379">
        <f>INDEX(CalLookUpTable,MATCH($B5379,CalLookUpRow,0),MATCH(H$1,CalLookUpColumn,0))</f>
        <v>1</v>
      </c>
      <c r="I5379">
        <f>INDEX(CalLookUpTable,MATCH($B5379,CalLookUpRow,0),MATCH(I$1,CalLookUpColumn,0))</f>
        <v>3</v>
      </c>
    </row>
    <row r="5380" spans="1:9" x14ac:dyDescent="0.25">
      <c r="A5380" s="7">
        <v>3</v>
      </c>
      <c r="B5380" s="8">
        <v>43846</v>
      </c>
      <c r="C5380" s="9" t="s">
        <v>3</v>
      </c>
      <c r="D5380" s="10">
        <v>29.896999999999998</v>
      </c>
      <c r="E5380" s="10">
        <v>163.29599999999999</v>
      </c>
      <c r="F5380" t="str">
        <f>VLOOKUP(A5380,StoreLookup,2,FALSE)</f>
        <v>Store#3</v>
      </c>
      <c r="G5380">
        <f>INDEX(CalLookUpTable,MATCH($B5380,CalLookUpRow,0),MATCH(G$1,CalLookUpColumn,0))</f>
        <v>2020</v>
      </c>
      <c r="H5380">
        <f>INDEX(CalLookUpTable,MATCH($B5380,CalLookUpRow,0),MATCH(H$1,CalLookUpColumn,0))</f>
        <v>1</v>
      </c>
      <c r="I5380">
        <f>INDEX(CalLookUpTable,MATCH($B5380,CalLookUpRow,0),MATCH(I$1,CalLookUpColumn,0))</f>
        <v>3</v>
      </c>
    </row>
    <row r="5381" spans="1:9" x14ac:dyDescent="0.25">
      <c r="A5381" s="7">
        <v>3</v>
      </c>
      <c r="B5381" s="8">
        <v>43846</v>
      </c>
      <c r="C5381" s="9" t="s">
        <v>5</v>
      </c>
      <c r="D5381" s="10">
        <v>3399.116</v>
      </c>
      <c r="E5381" s="10">
        <v>3401.9719999999998</v>
      </c>
      <c r="F5381" t="str">
        <f>VLOOKUP(A5381,StoreLookup,2,FALSE)</f>
        <v>Store#3</v>
      </c>
      <c r="G5381">
        <f>INDEX(CalLookUpTable,MATCH($B5381,CalLookUpRow,0),MATCH(G$1,CalLookUpColumn,0))</f>
        <v>2020</v>
      </c>
      <c r="H5381">
        <f>INDEX(CalLookUpTable,MATCH($B5381,CalLookUpRow,0),MATCH(H$1,CalLookUpColumn,0))</f>
        <v>1</v>
      </c>
      <c r="I5381">
        <f>INDEX(CalLookUpTable,MATCH($B5381,CalLookUpRow,0),MATCH(I$1,CalLookUpColumn,0))</f>
        <v>3</v>
      </c>
    </row>
    <row r="5382" spans="1:9" x14ac:dyDescent="0.25">
      <c r="A5382" s="7">
        <v>3</v>
      </c>
      <c r="B5382" s="8">
        <v>43847</v>
      </c>
      <c r="C5382" s="9" t="s">
        <v>6</v>
      </c>
      <c r="D5382" s="10">
        <v>1963.7309999999998</v>
      </c>
      <c r="E5382" s="10">
        <v>1442.9939999999999</v>
      </c>
      <c r="F5382" t="str">
        <f>VLOOKUP(A5382,StoreLookup,2,FALSE)</f>
        <v>Store#3</v>
      </c>
      <c r="G5382">
        <f>INDEX(CalLookUpTable,MATCH($B5382,CalLookUpRow,0),MATCH(G$1,CalLookUpColumn,0))</f>
        <v>2020</v>
      </c>
      <c r="H5382">
        <f>INDEX(CalLookUpTable,MATCH($B5382,CalLookUpRow,0),MATCH(H$1,CalLookUpColumn,0))</f>
        <v>1</v>
      </c>
      <c r="I5382">
        <f>INDEX(CalLookUpTable,MATCH($B5382,CalLookUpRow,0),MATCH(I$1,CalLookUpColumn,0))</f>
        <v>3</v>
      </c>
    </row>
    <row r="5383" spans="1:9" x14ac:dyDescent="0.25">
      <c r="A5383" s="7">
        <v>3</v>
      </c>
      <c r="B5383" s="8">
        <v>43847</v>
      </c>
      <c r="C5383" s="9" t="s">
        <v>5</v>
      </c>
      <c r="D5383" s="10">
        <v>3712.9609999999993</v>
      </c>
      <c r="E5383" s="10">
        <v>3545.6119999999996</v>
      </c>
      <c r="F5383" t="str">
        <f>VLOOKUP(A5383,StoreLookup,2,FALSE)</f>
        <v>Store#3</v>
      </c>
      <c r="G5383">
        <f>INDEX(CalLookUpTable,MATCH($B5383,CalLookUpRow,0),MATCH(G$1,CalLookUpColumn,0))</f>
        <v>2020</v>
      </c>
      <c r="H5383">
        <f>INDEX(CalLookUpTable,MATCH($B5383,CalLookUpRow,0),MATCH(H$1,CalLookUpColumn,0))</f>
        <v>1</v>
      </c>
      <c r="I5383">
        <f>INDEX(CalLookUpTable,MATCH($B5383,CalLookUpRow,0),MATCH(I$1,CalLookUpColumn,0))</f>
        <v>3</v>
      </c>
    </row>
    <row r="5384" spans="1:9" x14ac:dyDescent="0.25">
      <c r="A5384" s="7">
        <v>3</v>
      </c>
      <c r="B5384" s="8">
        <v>43847</v>
      </c>
      <c r="C5384" s="9" t="s">
        <v>4</v>
      </c>
      <c r="D5384" s="10">
        <v>3707.4379999999996</v>
      </c>
      <c r="E5384" s="10">
        <v>4275.3549999999996</v>
      </c>
      <c r="F5384" t="str">
        <f>VLOOKUP(A5384,StoreLookup,2,FALSE)</f>
        <v>Store#3</v>
      </c>
      <c r="G5384">
        <f>INDEX(CalLookUpTable,MATCH($B5384,CalLookUpRow,0),MATCH(G$1,CalLookUpColumn,0))</f>
        <v>2020</v>
      </c>
      <c r="H5384">
        <f>INDEX(CalLookUpTable,MATCH($B5384,CalLookUpRow,0),MATCH(H$1,CalLookUpColumn,0))</f>
        <v>1</v>
      </c>
      <c r="I5384">
        <f>INDEX(CalLookUpTable,MATCH($B5384,CalLookUpRow,0),MATCH(I$1,CalLookUpColumn,0))</f>
        <v>3</v>
      </c>
    </row>
    <row r="5385" spans="1:9" x14ac:dyDescent="0.25">
      <c r="A5385" s="7">
        <v>3</v>
      </c>
      <c r="B5385" s="8">
        <v>43847</v>
      </c>
      <c r="C5385" s="9" t="s">
        <v>3</v>
      </c>
      <c r="D5385" s="10">
        <v>72.197999999999993</v>
      </c>
      <c r="E5385" s="10">
        <v>0</v>
      </c>
      <c r="F5385" t="str">
        <f>VLOOKUP(A5385,StoreLookup,2,FALSE)</f>
        <v>Store#3</v>
      </c>
      <c r="G5385">
        <f>INDEX(CalLookUpTable,MATCH($B5385,CalLookUpRow,0),MATCH(G$1,CalLookUpColumn,0))</f>
        <v>2020</v>
      </c>
      <c r="H5385">
        <f>INDEX(CalLookUpTable,MATCH($B5385,CalLookUpRow,0),MATCH(H$1,CalLookUpColumn,0))</f>
        <v>1</v>
      </c>
      <c r="I5385">
        <f>INDEX(CalLookUpTable,MATCH($B5385,CalLookUpRow,0),MATCH(I$1,CalLookUpColumn,0))</f>
        <v>3</v>
      </c>
    </row>
    <row r="5386" spans="1:9" x14ac:dyDescent="0.25">
      <c r="A5386" s="7">
        <v>3</v>
      </c>
      <c r="B5386" s="8">
        <v>43848</v>
      </c>
      <c r="C5386" s="9" t="s">
        <v>6</v>
      </c>
      <c r="D5386" s="10">
        <v>1689.3520000000001</v>
      </c>
      <c r="E5386" s="10">
        <v>920.37399999999991</v>
      </c>
      <c r="F5386" t="str">
        <f>VLOOKUP(A5386,StoreLookup,2,FALSE)</f>
        <v>Store#3</v>
      </c>
      <c r="G5386">
        <f>INDEX(CalLookUpTable,MATCH($B5386,CalLookUpRow,0),MATCH(G$1,CalLookUpColumn,0))</f>
        <v>2020</v>
      </c>
      <c r="H5386">
        <f>INDEX(CalLookUpTable,MATCH($B5386,CalLookUpRow,0),MATCH(H$1,CalLookUpColumn,0))</f>
        <v>1</v>
      </c>
      <c r="I5386">
        <f>INDEX(CalLookUpTable,MATCH($B5386,CalLookUpRow,0),MATCH(I$1,CalLookUpColumn,0))</f>
        <v>3</v>
      </c>
    </row>
    <row r="5387" spans="1:9" x14ac:dyDescent="0.25">
      <c r="A5387" s="7">
        <v>3</v>
      </c>
      <c r="B5387" s="8">
        <v>43848</v>
      </c>
      <c r="C5387" s="9" t="s">
        <v>4</v>
      </c>
      <c r="D5387" s="10">
        <v>2974.2999999999997</v>
      </c>
      <c r="E5387" s="10">
        <v>3599.9109999999996</v>
      </c>
      <c r="F5387" t="str">
        <f>VLOOKUP(A5387,StoreLookup,2,FALSE)</f>
        <v>Store#3</v>
      </c>
      <c r="G5387">
        <f>INDEX(CalLookUpTable,MATCH($B5387,CalLookUpRow,0),MATCH(G$1,CalLookUpColumn,0))</f>
        <v>2020</v>
      </c>
      <c r="H5387">
        <f>INDEX(CalLookUpTable,MATCH($B5387,CalLookUpRow,0),MATCH(H$1,CalLookUpColumn,0))</f>
        <v>1</v>
      </c>
      <c r="I5387">
        <f>INDEX(CalLookUpTable,MATCH($B5387,CalLookUpRow,0),MATCH(I$1,CalLookUpColumn,0))</f>
        <v>3</v>
      </c>
    </row>
    <row r="5388" spans="1:9" x14ac:dyDescent="0.25">
      <c r="A5388" s="7">
        <v>3</v>
      </c>
      <c r="B5388" s="8">
        <v>43848</v>
      </c>
      <c r="C5388" s="9" t="s">
        <v>3</v>
      </c>
      <c r="D5388" s="10">
        <v>192.19899999999998</v>
      </c>
      <c r="E5388" s="10">
        <v>273.79799999999994</v>
      </c>
      <c r="F5388" t="str">
        <f>VLOOKUP(A5388,StoreLookup,2,FALSE)</f>
        <v>Store#3</v>
      </c>
      <c r="G5388">
        <f>INDEX(CalLookUpTable,MATCH($B5388,CalLookUpRow,0),MATCH(G$1,CalLookUpColumn,0))</f>
        <v>2020</v>
      </c>
      <c r="H5388">
        <f>INDEX(CalLookUpTable,MATCH($B5388,CalLookUpRow,0),MATCH(H$1,CalLookUpColumn,0))</f>
        <v>1</v>
      </c>
      <c r="I5388">
        <f>INDEX(CalLookUpTable,MATCH($B5388,CalLookUpRow,0),MATCH(I$1,CalLookUpColumn,0))</f>
        <v>3</v>
      </c>
    </row>
    <row r="5389" spans="1:9" x14ac:dyDescent="0.25">
      <c r="A5389" s="7">
        <v>3</v>
      </c>
      <c r="B5389" s="8">
        <v>43848</v>
      </c>
      <c r="C5389" s="9" t="s">
        <v>5</v>
      </c>
      <c r="D5389" s="10">
        <v>2922.1570000000002</v>
      </c>
      <c r="E5389" s="10">
        <v>3209.913</v>
      </c>
      <c r="F5389" t="str">
        <f>VLOOKUP(A5389,StoreLookup,2,FALSE)</f>
        <v>Store#3</v>
      </c>
      <c r="G5389">
        <f>INDEX(CalLookUpTable,MATCH($B5389,CalLookUpRow,0),MATCH(G$1,CalLookUpColumn,0))</f>
        <v>2020</v>
      </c>
      <c r="H5389">
        <f>INDEX(CalLookUpTable,MATCH($B5389,CalLookUpRow,0),MATCH(H$1,CalLookUpColumn,0))</f>
        <v>1</v>
      </c>
      <c r="I5389">
        <f>INDEX(CalLookUpTable,MATCH($B5389,CalLookUpRow,0),MATCH(I$1,CalLookUpColumn,0))</f>
        <v>3</v>
      </c>
    </row>
    <row r="5390" spans="1:9" x14ac:dyDescent="0.25">
      <c r="A5390" s="7">
        <v>3</v>
      </c>
      <c r="B5390" s="8">
        <v>43849</v>
      </c>
      <c r="C5390" s="9" t="s">
        <v>4</v>
      </c>
      <c r="D5390" s="10">
        <v>2832.4869999999996</v>
      </c>
      <c r="E5390" s="10">
        <v>2307.5360000000001</v>
      </c>
      <c r="F5390" t="str">
        <f>VLOOKUP(A5390,StoreLookup,2,FALSE)</f>
        <v>Store#3</v>
      </c>
      <c r="G5390">
        <f>INDEX(CalLookUpTable,MATCH($B5390,CalLookUpRow,0),MATCH(G$1,CalLookUpColumn,0))</f>
        <v>2020</v>
      </c>
      <c r="H5390">
        <f>INDEX(CalLookUpTable,MATCH($B5390,CalLookUpRow,0),MATCH(H$1,CalLookUpColumn,0))</f>
        <v>1</v>
      </c>
      <c r="I5390">
        <f>INDEX(CalLookUpTable,MATCH($B5390,CalLookUpRow,0),MATCH(I$1,CalLookUpColumn,0))</f>
        <v>3</v>
      </c>
    </row>
    <row r="5391" spans="1:9" x14ac:dyDescent="0.25">
      <c r="A5391" s="7">
        <v>3</v>
      </c>
      <c r="B5391" s="8">
        <v>43849</v>
      </c>
      <c r="C5391" s="9" t="s">
        <v>6</v>
      </c>
      <c r="D5391" s="10">
        <v>1521.828</v>
      </c>
      <c r="E5391" s="10">
        <v>795.77399999999989</v>
      </c>
      <c r="F5391" t="str">
        <f>VLOOKUP(A5391,StoreLookup,2,FALSE)</f>
        <v>Store#3</v>
      </c>
      <c r="G5391">
        <f>INDEX(CalLookUpTable,MATCH($B5391,CalLookUpRow,0),MATCH(G$1,CalLookUpColumn,0))</f>
        <v>2020</v>
      </c>
      <c r="H5391">
        <f>INDEX(CalLookUpTable,MATCH($B5391,CalLookUpRow,0),MATCH(H$1,CalLookUpColumn,0))</f>
        <v>1</v>
      </c>
      <c r="I5391">
        <f>INDEX(CalLookUpTable,MATCH($B5391,CalLookUpRow,0),MATCH(I$1,CalLookUpColumn,0))</f>
        <v>3</v>
      </c>
    </row>
    <row r="5392" spans="1:9" x14ac:dyDescent="0.25">
      <c r="A5392" s="7">
        <v>3</v>
      </c>
      <c r="B5392" s="8">
        <v>43849</v>
      </c>
      <c r="C5392" s="9" t="s">
        <v>5</v>
      </c>
      <c r="D5392" s="10">
        <v>2663.8710000000001</v>
      </c>
      <c r="E5392" s="10">
        <v>2524.473</v>
      </c>
      <c r="F5392" t="str">
        <f>VLOOKUP(A5392,StoreLookup,2,FALSE)</f>
        <v>Store#3</v>
      </c>
      <c r="G5392">
        <f>INDEX(CalLookUpTable,MATCH($B5392,CalLookUpRow,0),MATCH(G$1,CalLookUpColumn,0))</f>
        <v>2020</v>
      </c>
      <c r="H5392">
        <f>INDEX(CalLookUpTable,MATCH($B5392,CalLookUpRow,0),MATCH(H$1,CalLookUpColumn,0))</f>
        <v>1</v>
      </c>
      <c r="I5392">
        <f>INDEX(CalLookUpTable,MATCH($B5392,CalLookUpRow,0),MATCH(I$1,CalLookUpColumn,0))</f>
        <v>3</v>
      </c>
    </row>
    <row r="5393" spans="1:9" x14ac:dyDescent="0.25">
      <c r="A5393" s="7">
        <v>3</v>
      </c>
      <c r="B5393" s="8">
        <v>43849</v>
      </c>
      <c r="C5393" s="9" t="s">
        <v>3</v>
      </c>
      <c r="D5393" s="10">
        <v>0</v>
      </c>
      <c r="E5393" s="10">
        <v>21.686</v>
      </c>
      <c r="F5393" t="str">
        <f>VLOOKUP(A5393,StoreLookup,2,FALSE)</f>
        <v>Store#3</v>
      </c>
      <c r="G5393">
        <f>INDEX(CalLookUpTable,MATCH($B5393,CalLookUpRow,0),MATCH(G$1,CalLookUpColumn,0))</f>
        <v>2020</v>
      </c>
      <c r="H5393">
        <f>INDEX(CalLookUpTable,MATCH($B5393,CalLookUpRow,0),MATCH(H$1,CalLookUpColumn,0))</f>
        <v>1</v>
      </c>
      <c r="I5393">
        <f>INDEX(CalLookUpTable,MATCH($B5393,CalLookUpRow,0),MATCH(I$1,CalLookUpColumn,0))</f>
        <v>3</v>
      </c>
    </row>
    <row r="5394" spans="1:9" x14ac:dyDescent="0.25">
      <c r="A5394" s="7">
        <v>3</v>
      </c>
      <c r="B5394" s="8">
        <v>43850</v>
      </c>
      <c r="C5394" s="9" t="s">
        <v>4</v>
      </c>
      <c r="D5394" s="10">
        <v>3276.3359999999993</v>
      </c>
      <c r="E5394" s="10">
        <v>2983.0429999999997</v>
      </c>
      <c r="F5394" t="str">
        <f>VLOOKUP(A5394,StoreLookup,2,FALSE)</f>
        <v>Store#3</v>
      </c>
      <c r="G5394">
        <f>INDEX(CalLookUpTable,MATCH($B5394,CalLookUpRow,0),MATCH(G$1,CalLookUpColumn,0))</f>
        <v>2020</v>
      </c>
      <c r="H5394">
        <f>INDEX(CalLookUpTable,MATCH($B5394,CalLookUpRow,0),MATCH(H$1,CalLookUpColumn,0))</f>
        <v>1</v>
      </c>
      <c r="I5394">
        <f>INDEX(CalLookUpTable,MATCH($B5394,CalLookUpRow,0),MATCH(I$1,CalLookUpColumn,0))</f>
        <v>4</v>
      </c>
    </row>
    <row r="5395" spans="1:9" x14ac:dyDescent="0.25">
      <c r="A5395" s="7">
        <v>3</v>
      </c>
      <c r="B5395" s="8">
        <v>43850</v>
      </c>
      <c r="C5395" s="9" t="s">
        <v>6</v>
      </c>
      <c r="D5395" s="10">
        <v>1713.5929999999998</v>
      </c>
      <c r="E5395" s="10">
        <v>798.4129999999999</v>
      </c>
      <c r="F5395" t="str">
        <f>VLOOKUP(A5395,StoreLookup,2,FALSE)</f>
        <v>Store#3</v>
      </c>
      <c r="G5395">
        <f>INDEX(CalLookUpTable,MATCH($B5395,CalLookUpRow,0),MATCH(G$1,CalLookUpColumn,0))</f>
        <v>2020</v>
      </c>
      <c r="H5395">
        <f>INDEX(CalLookUpTable,MATCH($B5395,CalLookUpRow,0),MATCH(H$1,CalLookUpColumn,0))</f>
        <v>1</v>
      </c>
      <c r="I5395">
        <f>INDEX(CalLookUpTable,MATCH($B5395,CalLookUpRow,0),MATCH(I$1,CalLookUpColumn,0))</f>
        <v>4</v>
      </c>
    </row>
    <row r="5396" spans="1:9" x14ac:dyDescent="0.25">
      <c r="A5396" s="7">
        <v>3</v>
      </c>
      <c r="B5396" s="8">
        <v>43850</v>
      </c>
      <c r="C5396" s="9" t="s">
        <v>3</v>
      </c>
      <c r="D5396" s="10">
        <v>0</v>
      </c>
      <c r="E5396" s="10">
        <v>0</v>
      </c>
      <c r="F5396" t="str">
        <f>VLOOKUP(A5396,StoreLookup,2,FALSE)</f>
        <v>Store#3</v>
      </c>
      <c r="G5396">
        <f>INDEX(CalLookUpTable,MATCH($B5396,CalLookUpRow,0),MATCH(G$1,CalLookUpColumn,0))</f>
        <v>2020</v>
      </c>
      <c r="H5396">
        <f>INDEX(CalLookUpTable,MATCH($B5396,CalLookUpRow,0),MATCH(H$1,CalLookUpColumn,0))</f>
        <v>1</v>
      </c>
      <c r="I5396">
        <f>INDEX(CalLookUpTable,MATCH($B5396,CalLookUpRow,0),MATCH(I$1,CalLookUpColumn,0))</f>
        <v>4</v>
      </c>
    </row>
    <row r="5397" spans="1:9" x14ac:dyDescent="0.25">
      <c r="A5397" s="7">
        <v>3</v>
      </c>
      <c r="B5397" s="8">
        <v>43850</v>
      </c>
      <c r="C5397" s="9" t="s">
        <v>5</v>
      </c>
      <c r="D5397" s="10">
        <v>2846.6339999999996</v>
      </c>
      <c r="E5397" s="10">
        <v>2675.2460000000001</v>
      </c>
      <c r="F5397" t="str">
        <f>VLOOKUP(A5397,StoreLookup,2,FALSE)</f>
        <v>Store#3</v>
      </c>
      <c r="G5397">
        <f>INDEX(CalLookUpTable,MATCH($B5397,CalLookUpRow,0),MATCH(G$1,CalLookUpColumn,0))</f>
        <v>2020</v>
      </c>
      <c r="H5397">
        <f>INDEX(CalLookUpTable,MATCH($B5397,CalLookUpRow,0),MATCH(H$1,CalLookUpColumn,0))</f>
        <v>1</v>
      </c>
      <c r="I5397">
        <f>INDEX(CalLookUpTable,MATCH($B5397,CalLookUpRow,0),MATCH(I$1,CalLookUpColumn,0))</f>
        <v>4</v>
      </c>
    </row>
    <row r="5398" spans="1:9" x14ac:dyDescent="0.25">
      <c r="A5398" s="7">
        <v>3</v>
      </c>
      <c r="B5398" s="8">
        <v>43851</v>
      </c>
      <c r="C5398" s="9" t="s">
        <v>4</v>
      </c>
      <c r="D5398" s="10">
        <v>2898.7209999999995</v>
      </c>
      <c r="E5398" s="10">
        <v>2754.2550000000001</v>
      </c>
      <c r="F5398" t="str">
        <f>VLOOKUP(A5398,StoreLookup,2,FALSE)</f>
        <v>Store#3</v>
      </c>
      <c r="G5398">
        <f>INDEX(CalLookUpTable,MATCH($B5398,CalLookUpRow,0),MATCH(G$1,CalLookUpColumn,0))</f>
        <v>2020</v>
      </c>
      <c r="H5398">
        <f>INDEX(CalLookUpTable,MATCH($B5398,CalLookUpRow,0),MATCH(H$1,CalLookUpColumn,0))</f>
        <v>1</v>
      </c>
      <c r="I5398">
        <f>INDEX(CalLookUpTable,MATCH($B5398,CalLookUpRow,0),MATCH(I$1,CalLookUpColumn,0))</f>
        <v>4</v>
      </c>
    </row>
    <row r="5399" spans="1:9" x14ac:dyDescent="0.25">
      <c r="A5399" s="7">
        <v>3</v>
      </c>
      <c r="B5399" s="8">
        <v>43851</v>
      </c>
      <c r="C5399" s="9" t="s">
        <v>3</v>
      </c>
      <c r="D5399" s="10">
        <v>0</v>
      </c>
      <c r="E5399" s="10">
        <v>162.84799999999998</v>
      </c>
      <c r="F5399" t="str">
        <f>VLOOKUP(A5399,StoreLookup,2,FALSE)</f>
        <v>Store#3</v>
      </c>
      <c r="G5399">
        <f>INDEX(CalLookUpTable,MATCH($B5399,CalLookUpRow,0),MATCH(G$1,CalLookUpColumn,0))</f>
        <v>2020</v>
      </c>
      <c r="H5399">
        <f>INDEX(CalLookUpTable,MATCH($B5399,CalLookUpRow,0),MATCH(H$1,CalLookUpColumn,0))</f>
        <v>1</v>
      </c>
      <c r="I5399">
        <f>INDEX(CalLookUpTable,MATCH($B5399,CalLookUpRow,0),MATCH(I$1,CalLookUpColumn,0))</f>
        <v>4</v>
      </c>
    </row>
    <row r="5400" spans="1:9" x14ac:dyDescent="0.25">
      <c r="A5400" s="7">
        <v>3</v>
      </c>
      <c r="B5400" s="8">
        <v>43851</v>
      </c>
      <c r="C5400" s="9" t="s">
        <v>5</v>
      </c>
      <c r="D5400" s="10">
        <v>3191.3140000000003</v>
      </c>
      <c r="E5400" s="10">
        <v>2948.6170000000002</v>
      </c>
      <c r="F5400" t="str">
        <f>VLOOKUP(A5400,StoreLookup,2,FALSE)</f>
        <v>Store#3</v>
      </c>
      <c r="G5400">
        <f>INDEX(CalLookUpTable,MATCH($B5400,CalLookUpRow,0),MATCH(G$1,CalLookUpColumn,0))</f>
        <v>2020</v>
      </c>
      <c r="H5400">
        <f>INDEX(CalLookUpTable,MATCH($B5400,CalLookUpRow,0),MATCH(H$1,CalLookUpColumn,0))</f>
        <v>1</v>
      </c>
      <c r="I5400">
        <f>INDEX(CalLookUpTable,MATCH($B5400,CalLookUpRow,0),MATCH(I$1,CalLookUpColumn,0))</f>
        <v>4</v>
      </c>
    </row>
    <row r="5401" spans="1:9" x14ac:dyDescent="0.25">
      <c r="A5401" s="7">
        <v>3</v>
      </c>
      <c r="B5401" s="8">
        <v>43851</v>
      </c>
      <c r="C5401" s="9" t="s">
        <v>6</v>
      </c>
      <c r="D5401" s="10">
        <v>1033.2349999999999</v>
      </c>
      <c r="E5401" s="10">
        <v>737.56899999999996</v>
      </c>
      <c r="F5401" t="str">
        <f>VLOOKUP(A5401,StoreLookup,2,FALSE)</f>
        <v>Store#3</v>
      </c>
      <c r="G5401">
        <f>INDEX(CalLookUpTable,MATCH($B5401,CalLookUpRow,0),MATCH(G$1,CalLookUpColumn,0))</f>
        <v>2020</v>
      </c>
      <c r="H5401">
        <f>INDEX(CalLookUpTable,MATCH($B5401,CalLookUpRow,0),MATCH(H$1,CalLookUpColumn,0))</f>
        <v>1</v>
      </c>
      <c r="I5401">
        <f>INDEX(CalLookUpTable,MATCH($B5401,CalLookUpRow,0),MATCH(I$1,CalLookUpColumn,0))</f>
        <v>4</v>
      </c>
    </row>
    <row r="5402" spans="1:9" x14ac:dyDescent="0.25">
      <c r="A5402" s="7">
        <v>3</v>
      </c>
      <c r="B5402" s="8">
        <v>43852</v>
      </c>
      <c r="C5402" s="9" t="s">
        <v>6</v>
      </c>
      <c r="D5402" s="10">
        <v>1371.076</v>
      </c>
      <c r="E5402" s="10">
        <v>866.25699999999995</v>
      </c>
      <c r="F5402" t="str">
        <f>VLOOKUP(A5402,StoreLookup,2,FALSE)</f>
        <v>Store#3</v>
      </c>
      <c r="G5402">
        <f>INDEX(CalLookUpTable,MATCH($B5402,CalLookUpRow,0),MATCH(G$1,CalLookUpColumn,0))</f>
        <v>2020</v>
      </c>
      <c r="H5402">
        <f>INDEX(CalLookUpTable,MATCH($B5402,CalLookUpRow,0),MATCH(H$1,CalLookUpColumn,0))</f>
        <v>1</v>
      </c>
      <c r="I5402">
        <f>INDEX(CalLookUpTable,MATCH($B5402,CalLookUpRow,0),MATCH(I$1,CalLookUpColumn,0))</f>
        <v>4</v>
      </c>
    </row>
    <row r="5403" spans="1:9" x14ac:dyDescent="0.25">
      <c r="A5403" s="7">
        <v>3</v>
      </c>
      <c r="B5403" s="8">
        <v>43852</v>
      </c>
      <c r="C5403" s="9" t="s">
        <v>3</v>
      </c>
      <c r="D5403" s="10">
        <v>252.96599999999998</v>
      </c>
      <c r="E5403" s="10">
        <v>98.259</v>
      </c>
      <c r="F5403" t="str">
        <f>VLOOKUP(A5403,StoreLookup,2,FALSE)</f>
        <v>Store#3</v>
      </c>
      <c r="G5403">
        <f>INDEX(CalLookUpTable,MATCH($B5403,CalLookUpRow,0),MATCH(G$1,CalLookUpColumn,0))</f>
        <v>2020</v>
      </c>
      <c r="H5403">
        <f>INDEX(CalLookUpTable,MATCH($B5403,CalLookUpRow,0),MATCH(H$1,CalLookUpColumn,0))</f>
        <v>1</v>
      </c>
      <c r="I5403">
        <f>INDEX(CalLookUpTable,MATCH($B5403,CalLookUpRow,0),MATCH(I$1,CalLookUpColumn,0))</f>
        <v>4</v>
      </c>
    </row>
    <row r="5404" spans="1:9" x14ac:dyDescent="0.25">
      <c r="A5404" s="7">
        <v>3</v>
      </c>
      <c r="B5404" s="8">
        <v>43852</v>
      </c>
      <c r="C5404" s="9" t="s">
        <v>5</v>
      </c>
      <c r="D5404" s="10">
        <v>3188.8429999999998</v>
      </c>
      <c r="E5404" s="10">
        <v>3282.7339999999999</v>
      </c>
      <c r="F5404" t="str">
        <f>VLOOKUP(A5404,StoreLookup,2,FALSE)</f>
        <v>Store#3</v>
      </c>
      <c r="G5404">
        <f>INDEX(CalLookUpTable,MATCH($B5404,CalLookUpRow,0),MATCH(G$1,CalLookUpColumn,0))</f>
        <v>2020</v>
      </c>
      <c r="H5404">
        <f>INDEX(CalLookUpTable,MATCH($B5404,CalLookUpRow,0),MATCH(H$1,CalLookUpColumn,0))</f>
        <v>1</v>
      </c>
      <c r="I5404">
        <f>INDEX(CalLookUpTable,MATCH($B5404,CalLookUpRow,0),MATCH(I$1,CalLookUpColumn,0))</f>
        <v>4</v>
      </c>
    </row>
    <row r="5405" spans="1:9" x14ac:dyDescent="0.25">
      <c r="A5405" s="7">
        <v>3</v>
      </c>
      <c r="B5405" s="8">
        <v>43852</v>
      </c>
      <c r="C5405" s="9" t="s">
        <v>4</v>
      </c>
      <c r="D5405" s="10">
        <v>2839.473</v>
      </c>
      <c r="E5405" s="10">
        <v>3011.3159999999998</v>
      </c>
      <c r="F5405" t="str">
        <f>VLOOKUP(A5405,StoreLookup,2,FALSE)</f>
        <v>Store#3</v>
      </c>
      <c r="G5405">
        <f>INDEX(CalLookUpTable,MATCH($B5405,CalLookUpRow,0),MATCH(G$1,CalLookUpColumn,0))</f>
        <v>2020</v>
      </c>
      <c r="H5405">
        <f>INDEX(CalLookUpTable,MATCH($B5405,CalLookUpRow,0),MATCH(H$1,CalLookUpColumn,0))</f>
        <v>1</v>
      </c>
      <c r="I5405">
        <f>INDEX(CalLookUpTable,MATCH($B5405,CalLookUpRow,0),MATCH(I$1,CalLookUpColumn,0))</f>
        <v>4</v>
      </c>
    </row>
    <row r="5406" spans="1:9" x14ac:dyDescent="0.25">
      <c r="A5406" s="7">
        <v>3</v>
      </c>
      <c r="B5406" s="8">
        <v>43853</v>
      </c>
      <c r="C5406" s="9" t="s">
        <v>3</v>
      </c>
      <c r="D5406" s="10">
        <v>0</v>
      </c>
      <c r="E5406" s="10">
        <v>0</v>
      </c>
      <c r="F5406" t="str">
        <f>VLOOKUP(A5406,StoreLookup,2,FALSE)</f>
        <v>Store#3</v>
      </c>
      <c r="G5406">
        <f>INDEX(CalLookUpTable,MATCH($B5406,CalLookUpRow,0),MATCH(G$1,CalLookUpColumn,0))</f>
        <v>2020</v>
      </c>
      <c r="H5406">
        <f>INDEX(CalLookUpTable,MATCH($B5406,CalLookUpRow,0),MATCH(H$1,CalLookUpColumn,0))</f>
        <v>1</v>
      </c>
      <c r="I5406">
        <f>INDEX(CalLookUpTable,MATCH($B5406,CalLookUpRow,0),MATCH(I$1,CalLookUpColumn,0))</f>
        <v>4</v>
      </c>
    </row>
    <row r="5407" spans="1:9" x14ac:dyDescent="0.25">
      <c r="A5407" s="7">
        <v>3</v>
      </c>
      <c r="B5407" s="8">
        <v>43853</v>
      </c>
      <c r="C5407" s="9" t="s">
        <v>4</v>
      </c>
      <c r="D5407" s="10">
        <v>3470.3619999999996</v>
      </c>
      <c r="E5407" s="10">
        <v>3552.1499999999996</v>
      </c>
      <c r="F5407" t="str">
        <f>VLOOKUP(A5407,StoreLookup,2,FALSE)</f>
        <v>Store#3</v>
      </c>
      <c r="G5407">
        <f>INDEX(CalLookUpTable,MATCH($B5407,CalLookUpRow,0),MATCH(G$1,CalLookUpColumn,0))</f>
        <v>2020</v>
      </c>
      <c r="H5407">
        <f>INDEX(CalLookUpTable,MATCH($B5407,CalLookUpRow,0),MATCH(H$1,CalLookUpColumn,0))</f>
        <v>1</v>
      </c>
      <c r="I5407">
        <f>INDEX(CalLookUpTable,MATCH($B5407,CalLookUpRow,0),MATCH(I$1,CalLookUpColumn,0))</f>
        <v>4</v>
      </c>
    </row>
    <row r="5408" spans="1:9" x14ac:dyDescent="0.25">
      <c r="A5408" s="7">
        <v>3</v>
      </c>
      <c r="B5408" s="8">
        <v>43853</v>
      </c>
      <c r="C5408" s="9" t="s">
        <v>6</v>
      </c>
      <c r="D5408" s="10">
        <v>1693.7759999999998</v>
      </c>
      <c r="E5408" s="10">
        <v>944.02699999999982</v>
      </c>
      <c r="F5408" t="str">
        <f>VLOOKUP(A5408,StoreLookup,2,FALSE)</f>
        <v>Store#3</v>
      </c>
      <c r="G5408">
        <f>INDEX(CalLookUpTable,MATCH($B5408,CalLookUpRow,0),MATCH(G$1,CalLookUpColumn,0))</f>
        <v>2020</v>
      </c>
      <c r="H5408">
        <f>INDEX(CalLookUpTable,MATCH($B5408,CalLookUpRow,0),MATCH(H$1,CalLookUpColumn,0))</f>
        <v>1</v>
      </c>
      <c r="I5408">
        <f>INDEX(CalLookUpTable,MATCH($B5408,CalLookUpRow,0),MATCH(I$1,CalLookUpColumn,0))</f>
        <v>4</v>
      </c>
    </row>
    <row r="5409" spans="1:9" x14ac:dyDescent="0.25">
      <c r="A5409" s="7">
        <v>3</v>
      </c>
      <c r="B5409" s="8">
        <v>43853</v>
      </c>
      <c r="C5409" s="9" t="s">
        <v>5</v>
      </c>
      <c r="D5409" s="10">
        <v>3505.7679999999996</v>
      </c>
      <c r="E5409" s="10">
        <v>3313.8209999999995</v>
      </c>
      <c r="F5409" t="str">
        <f>VLOOKUP(A5409,StoreLookup,2,FALSE)</f>
        <v>Store#3</v>
      </c>
      <c r="G5409">
        <f>INDEX(CalLookUpTable,MATCH($B5409,CalLookUpRow,0),MATCH(G$1,CalLookUpColumn,0))</f>
        <v>2020</v>
      </c>
      <c r="H5409">
        <f>INDEX(CalLookUpTable,MATCH($B5409,CalLookUpRow,0),MATCH(H$1,CalLookUpColumn,0))</f>
        <v>1</v>
      </c>
      <c r="I5409">
        <f>INDEX(CalLookUpTable,MATCH($B5409,CalLookUpRow,0),MATCH(I$1,CalLookUpColumn,0))</f>
        <v>4</v>
      </c>
    </row>
    <row r="5410" spans="1:9" x14ac:dyDescent="0.25">
      <c r="A5410" s="7">
        <v>3</v>
      </c>
      <c r="B5410" s="8">
        <v>43854</v>
      </c>
      <c r="C5410" s="9" t="s">
        <v>6</v>
      </c>
      <c r="D5410" s="10">
        <v>1945.713</v>
      </c>
      <c r="E5410" s="10">
        <v>1487.836</v>
      </c>
      <c r="F5410" t="str">
        <f>VLOOKUP(A5410,StoreLookup,2,FALSE)</f>
        <v>Store#3</v>
      </c>
      <c r="G5410">
        <f>INDEX(CalLookUpTable,MATCH($B5410,CalLookUpRow,0),MATCH(G$1,CalLookUpColumn,0))</f>
        <v>2020</v>
      </c>
      <c r="H5410">
        <f>INDEX(CalLookUpTable,MATCH($B5410,CalLookUpRow,0),MATCH(H$1,CalLookUpColumn,0))</f>
        <v>1</v>
      </c>
      <c r="I5410">
        <f>INDEX(CalLookUpTable,MATCH($B5410,CalLookUpRow,0),MATCH(I$1,CalLookUpColumn,0))</f>
        <v>4</v>
      </c>
    </row>
    <row r="5411" spans="1:9" x14ac:dyDescent="0.25">
      <c r="A5411" s="7">
        <v>3</v>
      </c>
      <c r="B5411" s="8">
        <v>43854</v>
      </c>
      <c r="C5411" s="9" t="s">
        <v>5</v>
      </c>
      <c r="D5411" s="10">
        <v>3351.3969999999999</v>
      </c>
      <c r="E5411" s="10">
        <v>3343.6969999999997</v>
      </c>
      <c r="F5411" t="str">
        <f>VLOOKUP(A5411,StoreLookup,2,FALSE)</f>
        <v>Store#3</v>
      </c>
      <c r="G5411">
        <f>INDEX(CalLookUpTable,MATCH($B5411,CalLookUpRow,0),MATCH(G$1,CalLookUpColumn,0))</f>
        <v>2020</v>
      </c>
      <c r="H5411">
        <f>INDEX(CalLookUpTable,MATCH($B5411,CalLookUpRow,0),MATCH(H$1,CalLookUpColumn,0))</f>
        <v>1</v>
      </c>
      <c r="I5411">
        <f>INDEX(CalLookUpTable,MATCH($B5411,CalLookUpRow,0),MATCH(I$1,CalLookUpColumn,0))</f>
        <v>4</v>
      </c>
    </row>
    <row r="5412" spans="1:9" x14ac:dyDescent="0.25">
      <c r="A5412" s="7">
        <v>3</v>
      </c>
      <c r="B5412" s="8">
        <v>43854</v>
      </c>
      <c r="C5412" s="9" t="s">
        <v>4</v>
      </c>
      <c r="D5412" s="10">
        <v>3328.64</v>
      </c>
      <c r="E5412" s="10">
        <v>4225.1229999999996</v>
      </c>
      <c r="F5412" t="str">
        <f>VLOOKUP(A5412,StoreLookup,2,FALSE)</f>
        <v>Store#3</v>
      </c>
      <c r="G5412">
        <f>INDEX(CalLookUpTable,MATCH($B5412,CalLookUpRow,0),MATCH(G$1,CalLookUpColumn,0))</f>
        <v>2020</v>
      </c>
      <c r="H5412">
        <f>INDEX(CalLookUpTable,MATCH($B5412,CalLookUpRow,0),MATCH(H$1,CalLookUpColumn,0))</f>
        <v>1</v>
      </c>
      <c r="I5412">
        <f>INDEX(CalLookUpTable,MATCH($B5412,CalLookUpRow,0),MATCH(I$1,CalLookUpColumn,0))</f>
        <v>4</v>
      </c>
    </row>
    <row r="5413" spans="1:9" x14ac:dyDescent="0.25">
      <c r="A5413" s="7">
        <v>3</v>
      </c>
      <c r="B5413" s="8">
        <v>43854</v>
      </c>
      <c r="C5413" s="9" t="s">
        <v>3</v>
      </c>
      <c r="D5413" s="10">
        <v>194.43199999999999</v>
      </c>
      <c r="E5413" s="10">
        <v>167.85999999999999</v>
      </c>
      <c r="F5413" t="str">
        <f>VLOOKUP(A5413,StoreLookup,2,FALSE)</f>
        <v>Store#3</v>
      </c>
      <c r="G5413">
        <f>INDEX(CalLookUpTable,MATCH($B5413,CalLookUpRow,0),MATCH(G$1,CalLookUpColumn,0))</f>
        <v>2020</v>
      </c>
      <c r="H5413">
        <f>INDEX(CalLookUpTable,MATCH($B5413,CalLookUpRow,0),MATCH(H$1,CalLookUpColumn,0))</f>
        <v>1</v>
      </c>
      <c r="I5413">
        <f>INDEX(CalLookUpTable,MATCH($B5413,CalLookUpRow,0),MATCH(I$1,CalLookUpColumn,0))</f>
        <v>4</v>
      </c>
    </row>
    <row r="5414" spans="1:9" x14ac:dyDescent="0.25">
      <c r="A5414" s="7">
        <v>3</v>
      </c>
      <c r="B5414" s="8">
        <v>43855</v>
      </c>
      <c r="C5414" s="9" t="s">
        <v>4</v>
      </c>
      <c r="D5414" s="10">
        <v>3392.3890000000001</v>
      </c>
      <c r="E5414" s="10">
        <v>3958.3809999999999</v>
      </c>
      <c r="F5414" t="str">
        <f>VLOOKUP(A5414,StoreLookup,2,FALSE)</f>
        <v>Store#3</v>
      </c>
      <c r="G5414">
        <f>INDEX(CalLookUpTable,MATCH($B5414,CalLookUpRow,0),MATCH(G$1,CalLookUpColumn,0))</f>
        <v>2020</v>
      </c>
      <c r="H5414">
        <f>INDEX(CalLookUpTable,MATCH($B5414,CalLookUpRow,0),MATCH(H$1,CalLookUpColumn,0))</f>
        <v>1</v>
      </c>
      <c r="I5414">
        <f>INDEX(CalLookUpTable,MATCH($B5414,CalLookUpRow,0),MATCH(I$1,CalLookUpColumn,0))</f>
        <v>4</v>
      </c>
    </row>
    <row r="5415" spans="1:9" x14ac:dyDescent="0.25">
      <c r="A5415" s="7">
        <v>3</v>
      </c>
      <c r="B5415" s="8">
        <v>43855</v>
      </c>
      <c r="C5415" s="9" t="s">
        <v>6</v>
      </c>
      <c r="D5415" s="10">
        <v>1608.8029999999999</v>
      </c>
      <c r="E5415" s="10">
        <v>1046.269</v>
      </c>
      <c r="F5415" t="str">
        <f>VLOOKUP(A5415,StoreLookup,2,FALSE)</f>
        <v>Store#3</v>
      </c>
      <c r="G5415">
        <f>INDEX(CalLookUpTable,MATCH($B5415,CalLookUpRow,0),MATCH(G$1,CalLookUpColumn,0))</f>
        <v>2020</v>
      </c>
      <c r="H5415">
        <f>INDEX(CalLookUpTable,MATCH($B5415,CalLookUpRow,0),MATCH(H$1,CalLookUpColumn,0))</f>
        <v>1</v>
      </c>
      <c r="I5415">
        <f>INDEX(CalLookUpTable,MATCH($B5415,CalLookUpRow,0),MATCH(I$1,CalLookUpColumn,0))</f>
        <v>4</v>
      </c>
    </row>
    <row r="5416" spans="1:9" x14ac:dyDescent="0.25">
      <c r="A5416" s="7">
        <v>3</v>
      </c>
      <c r="B5416" s="8">
        <v>43855</v>
      </c>
      <c r="C5416" s="9" t="s">
        <v>3</v>
      </c>
      <c r="D5416" s="10">
        <v>29.434999999999995</v>
      </c>
      <c r="E5416" s="10">
        <v>0</v>
      </c>
      <c r="F5416" t="str">
        <f>VLOOKUP(A5416,StoreLookup,2,FALSE)</f>
        <v>Store#3</v>
      </c>
      <c r="G5416">
        <f>INDEX(CalLookUpTable,MATCH($B5416,CalLookUpRow,0),MATCH(G$1,CalLookUpColumn,0))</f>
        <v>2020</v>
      </c>
      <c r="H5416">
        <f>INDEX(CalLookUpTable,MATCH($B5416,CalLookUpRow,0),MATCH(H$1,CalLookUpColumn,0))</f>
        <v>1</v>
      </c>
      <c r="I5416">
        <f>INDEX(CalLookUpTable,MATCH($B5416,CalLookUpRow,0),MATCH(I$1,CalLookUpColumn,0))</f>
        <v>4</v>
      </c>
    </row>
    <row r="5417" spans="1:9" x14ac:dyDescent="0.25">
      <c r="A5417" s="7">
        <v>3</v>
      </c>
      <c r="B5417" s="8">
        <v>43855</v>
      </c>
      <c r="C5417" s="9" t="s">
        <v>5</v>
      </c>
      <c r="D5417" s="10">
        <v>3192.3149999999996</v>
      </c>
      <c r="E5417" s="10">
        <v>3306.625</v>
      </c>
      <c r="F5417" t="str">
        <f>VLOOKUP(A5417,StoreLookup,2,FALSE)</f>
        <v>Store#3</v>
      </c>
      <c r="G5417">
        <f>INDEX(CalLookUpTable,MATCH($B5417,CalLookUpRow,0),MATCH(G$1,CalLookUpColumn,0))</f>
        <v>2020</v>
      </c>
      <c r="H5417">
        <f>INDEX(CalLookUpTable,MATCH($B5417,CalLookUpRow,0),MATCH(H$1,CalLookUpColumn,0))</f>
        <v>1</v>
      </c>
      <c r="I5417">
        <f>INDEX(CalLookUpTable,MATCH($B5417,CalLookUpRow,0),MATCH(I$1,CalLookUpColumn,0))</f>
        <v>4</v>
      </c>
    </row>
    <row r="5418" spans="1:9" x14ac:dyDescent="0.25">
      <c r="A5418" s="7">
        <v>3</v>
      </c>
      <c r="B5418" s="8">
        <v>43856</v>
      </c>
      <c r="C5418" s="9" t="s">
        <v>6</v>
      </c>
      <c r="D5418" s="10">
        <v>1247.9669999999999</v>
      </c>
      <c r="E5418" s="10">
        <v>682.70299999999997</v>
      </c>
      <c r="F5418" t="str">
        <f>VLOOKUP(A5418,StoreLookup,2,FALSE)</f>
        <v>Store#3</v>
      </c>
      <c r="G5418">
        <f>INDEX(CalLookUpTable,MATCH($B5418,CalLookUpRow,0),MATCH(G$1,CalLookUpColumn,0))</f>
        <v>2020</v>
      </c>
      <c r="H5418">
        <f>INDEX(CalLookUpTable,MATCH($B5418,CalLookUpRow,0),MATCH(H$1,CalLookUpColumn,0))</f>
        <v>1</v>
      </c>
      <c r="I5418">
        <f>INDEX(CalLookUpTable,MATCH($B5418,CalLookUpRow,0),MATCH(I$1,CalLookUpColumn,0))</f>
        <v>4</v>
      </c>
    </row>
    <row r="5419" spans="1:9" x14ac:dyDescent="0.25">
      <c r="A5419" s="7">
        <v>3</v>
      </c>
      <c r="B5419" s="8">
        <v>43856</v>
      </c>
      <c r="C5419" s="9" t="s">
        <v>4</v>
      </c>
      <c r="D5419" s="10">
        <v>2204.3419999999996</v>
      </c>
      <c r="E5419" s="10">
        <v>2816.9189999999999</v>
      </c>
      <c r="F5419" t="str">
        <f>VLOOKUP(A5419,StoreLookup,2,FALSE)</f>
        <v>Store#3</v>
      </c>
      <c r="G5419">
        <f>INDEX(CalLookUpTable,MATCH($B5419,CalLookUpRow,0),MATCH(G$1,CalLookUpColumn,0))</f>
        <v>2020</v>
      </c>
      <c r="H5419">
        <f>INDEX(CalLookUpTable,MATCH($B5419,CalLookUpRow,0),MATCH(H$1,CalLookUpColumn,0))</f>
        <v>1</v>
      </c>
      <c r="I5419">
        <f>INDEX(CalLookUpTable,MATCH($B5419,CalLookUpRow,0),MATCH(I$1,CalLookUpColumn,0))</f>
        <v>4</v>
      </c>
    </row>
    <row r="5420" spans="1:9" x14ac:dyDescent="0.25">
      <c r="A5420" s="7">
        <v>3</v>
      </c>
      <c r="B5420" s="8">
        <v>43856</v>
      </c>
      <c r="C5420" s="9" t="s">
        <v>3</v>
      </c>
      <c r="D5420" s="10">
        <v>0</v>
      </c>
      <c r="E5420" s="10">
        <v>177.64599999999999</v>
      </c>
      <c r="F5420" t="str">
        <f>VLOOKUP(A5420,StoreLookup,2,FALSE)</f>
        <v>Store#3</v>
      </c>
      <c r="G5420">
        <f>INDEX(CalLookUpTable,MATCH($B5420,CalLookUpRow,0),MATCH(G$1,CalLookUpColumn,0))</f>
        <v>2020</v>
      </c>
      <c r="H5420">
        <f>INDEX(CalLookUpTable,MATCH($B5420,CalLookUpRow,0),MATCH(H$1,CalLookUpColumn,0))</f>
        <v>1</v>
      </c>
      <c r="I5420">
        <f>INDEX(CalLookUpTable,MATCH($B5420,CalLookUpRow,0),MATCH(I$1,CalLookUpColumn,0))</f>
        <v>4</v>
      </c>
    </row>
    <row r="5421" spans="1:9" x14ac:dyDescent="0.25">
      <c r="A5421" s="7">
        <v>3</v>
      </c>
      <c r="B5421" s="8">
        <v>43856</v>
      </c>
      <c r="C5421" s="9" t="s">
        <v>5</v>
      </c>
      <c r="D5421" s="10">
        <v>2871.078</v>
      </c>
      <c r="E5421" s="10">
        <v>2899.232</v>
      </c>
      <c r="F5421" t="str">
        <f>VLOOKUP(A5421,StoreLookup,2,FALSE)</f>
        <v>Store#3</v>
      </c>
      <c r="G5421">
        <f>INDEX(CalLookUpTable,MATCH($B5421,CalLookUpRow,0),MATCH(G$1,CalLookUpColumn,0))</f>
        <v>2020</v>
      </c>
      <c r="H5421">
        <f>INDEX(CalLookUpTable,MATCH($B5421,CalLookUpRow,0),MATCH(H$1,CalLookUpColumn,0))</f>
        <v>1</v>
      </c>
      <c r="I5421">
        <f>INDEX(CalLookUpTable,MATCH($B5421,CalLookUpRow,0),MATCH(I$1,CalLookUpColumn,0))</f>
        <v>4</v>
      </c>
    </row>
    <row r="5422" spans="1:9" x14ac:dyDescent="0.25">
      <c r="A5422" s="7">
        <v>3</v>
      </c>
      <c r="B5422" s="8">
        <v>43857</v>
      </c>
      <c r="C5422" s="9" t="s">
        <v>5</v>
      </c>
      <c r="D5422" s="10">
        <v>2568.2509999999997</v>
      </c>
      <c r="E5422" s="10">
        <v>2856.1539999999995</v>
      </c>
      <c r="F5422" t="str">
        <f>VLOOKUP(A5422,StoreLookup,2,FALSE)</f>
        <v>Store#3</v>
      </c>
      <c r="G5422">
        <f>INDEX(CalLookUpTable,MATCH($B5422,CalLookUpRow,0),MATCH(G$1,CalLookUpColumn,0))</f>
        <v>2020</v>
      </c>
      <c r="H5422">
        <f>INDEX(CalLookUpTable,MATCH($B5422,CalLookUpRow,0),MATCH(H$1,CalLookUpColumn,0))</f>
        <v>2</v>
      </c>
      <c r="I5422">
        <f>INDEX(CalLookUpTable,MATCH($B5422,CalLookUpRow,0),MATCH(I$1,CalLookUpColumn,0))</f>
        <v>1</v>
      </c>
    </row>
    <row r="5423" spans="1:9" x14ac:dyDescent="0.25">
      <c r="A5423" s="7">
        <v>3</v>
      </c>
      <c r="B5423" s="8">
        <v>43857</v>
      </c>
      <c r="C5423" s="9" t="s">
        <v>4</v>
      </c>
      <c r="D5423" s="10">
        <v>2723.3359999999998</v>
      </c>
      <c r="E5423" s="10">
        <v>2832.991</v>
      </c>
      <c r="F5423" t="str">
        <f>VLOOKUP(A5423,StoreLookup,2,FALSE)</f>
        <v>Store#3</v>
      </c>
      <c r="G5423">
        <f>INDEX(CalLookUpTable,MATCH($B5423,CalLookUpRow,0),MATCH(G$1,CalLookUpColumn,0))</f>
        <v>2020</v>
      </c>
      <c r="H5423">
        <f>INDEX(CalLookUpTable,MATCH($B5423,CalLookUpRow,0),MATCH(H$1,CalLookUpColumn,0))</f>
        <v>2</v>
      </c>
      <c r="I5423">
        <f>INDEX(CalLookUpTable,MATCH($B5423,CalLookUpRow,0),MATCH(I$1,CalLookUpColumn,0))</f>
        <v>1</v>
      </c>
    </row>
    <row r="5424" spans="1:9" x14ac:dyDescent="0.25">
      <c r="A5424" s="7">
        <v>3</v>
      </c>
      <c r="B5424" s="8">
        <v>43857</v>
      </c>
      <c r="C5424" s="9" t="s">
        <v>6</v>
      </c>
      <c r="D5424" s="10">
        <v>1468.8449999999998</v>
      </c>
      <c r="E5424" s="10">
        <v>771.14100000000008</v>
      </c>
      <c r="F5424" t="str">
        <f>VLOOKUP(A5424,StoreLookup,2,FALSE)</f>
        <v>Store#3</v>
      </c>
      <c r="G5424">
        <f>INDEX(CalLookUpTable,MATCH($B5424,CalLookUpRow,0),MATCH(G$1,CalLookUpColumn,0))</f>
        <v>2020</v>
      </c>
      <c r="H5424">
        <f>INDEX(CalLookUpTable,MATCH($B5424,CalLookUpRow,0),MATCH(H$1,CalLookUpColumn,0))</f>
        <v>2</v>
      </c>
      <c r="I5424">
        <f>INDEX(CalLookUpTable,MATCH($B5424,CalLookUpRow,0),MATCH(I$1,CalLookUpColumn,0))</f>
        <v>1</v>
      </c>
    </row>
    <row r="5425" spans="1:9" x14ac:dyDescent="0.25">
      <c r="A5425" s="7">
        <v>3</v>
      </c>
      <c r="B5425" s="8">
        <v>43857</v>
      </c>
      <c r="C5425" s="9" t="s">
        <v>3</v>
      </c>
      <c r="D5425" s="10">
        <v>312.07399999999996</v>
      </c>
      <c r="E5425" s="10">
        <v>133.56700000000001</v>
      </c>
      <c r="F5425" t="str">
        <f>VLOOKUP(A5425,StoreLookup,2,FALSE)</f>
        <v>Store#3</v>
      </c>
      <c r="G5425">
        <f>INDEX(CalLookUpTable,MATCH($B5425,CalLookUpRow,0),MATCH(G$1,CalLookUpColumn,0))</f>
        <v>2020</v>
      </c>
      <c r="H5425">
        <f>INDEX(CalLookUpTable,MATCH($B5425,CalLookUpRow,0),MATCH(H$1,CalLookUpColumn,0))</f>
        <v>2</v>
      </c>
      <c r="I5425">
        <f>INDEX(CalLookUpTable,MATCH($B5425,CalLookUpRow,0),MATCH(I$1,CalLookUpColumn,0))</f>
        <v>1</v>
      </c>
    </row>
    <row r="5426" spans="1:9" x14ac:dyDescent="0.25">
      <c r="A5426" s="7">
        <v>3</v>
      </c>
      <c r="B5426" s="8">
        <v>43858</v>
      </c>
      <c r="C5426" s="9" t="s">
        <v>4</v>
      </c>
      <c r="D5426" s="10">
        <v>2858.2049999999999</v>
      </c>
      <c r="E5426" s="10">
        <v>3164.3989999999994</v>
      </c>
      <c r="F5426" t="str">
        <f>VLOOKUP(A5426,StoreLookup,2,FALSE)</f>
        <v>Store#3</v>
      </c>
      <c r="G5426">
        <f>INDEX(CalLookUpTable,MATCH($B5426,CalLookUpRow,0),MATCH(G$1,CalLookUpColumn,0))</f>
        <v>2020</v>
      </c>
      <c r="H5426">
        <f>INDEX(CalLookUpTable,MATCH($B5426,CalLookUpRow,0),MATCH(H$1,CalLookUpColumn,0))</f>
        <v>2</v>
      </c>
      <c r="I5426">
        <f>INDEX(CalLookUpTable,MATCH($B5426,CalLookUpRow,0),MATCH(I$1,CalLookUpColumn,0))</f>
        <v>1</v>
      </c>
    </row>
    <row r="5427" spans="1:9" x14ac:dyDescent="0.25">
      <c r="A5427" s="7">
        <v>3</v>
      </c>
      <c r="B5427" s="8">
        <v>43858</v>
      </c>
      <c r="C5427" s="9" t="s">
        <v>6</v>
      </c>
      <c r="D5427" s="10">
        <v>1145.7949999999998</v>
      </c>
      <c r="E5427" s="10">
        <v>582.51899999999989</v>
      </c>
      <c r="F5427" t="str">
        <f>VLOOKUP(A5427,StoreLookup,2,FALSE)</f>
        <v>Store#3</v>
      </c>
      <c r="G5427">
        <f>INDEX(CalLookUpTable,MATCH($B5427,CalLookUpRow,0),MATCH(G$1,CalLookUpColumn,0))</f>
        <v>2020</v>
      </c>
      <c r="H5427">
        <f>INDEX(CalLookUpTable,MATCH($B5427,CalLookUpRow,0),MATCH(H$1,CalLookUpColumn,0))</f>
        <v>2</v>
      </c>
      <c r="I5427">
        <f>INDEX(CalLookUpTable,MATCH($B5427,CalLookUpRow,0),MATCH(I$1,CalLookUpColumn,0))</f>
        <v>1</v>
      </c>
    </row>
    <row r="5428" spans="1:9" x14ac:dyDescent="0.25">
      <c r="A5428" s="7">
        <v>3</v>
      </c>
      <c r="B5428" s="8">
        <v>43858</v>
      </c>
      <c r="C5428" s="9" t="s">
        <v>3</v>
      </c>
      <c r="D5428" s="10">
        <v>0</v>
      </c>
      <c r="E5428" s="10">
        <v>0</v>
      </c>
      <c r="F5428" t="str">
        <f>VLOOKUP(A5428,StoreLookup,2,FALSE)</f>
        <v>Store#3</v>
      </c>
      <c r="G5428">
        <f>INDEX(CalLookUpTable,MATCH($B5428,CalLookUpRow,0),MATCH(G$1,CalLookUpColumn,0))</f>
        <v>2020</v>
      </c>
      <c r="H5428">
        <f>INDEX(CalLookUpTable,MATCH($B5428,CalLookUpRow,0),MATCH(H$1,CalLookUpColumn,0))</f>
        <v>2</v>
      </c>
      <c r="I5428">
        <f>INDEX(CalLookUpTable,MATCH($B5428,CalLookUpRow,0),MATCH(I$1,CalLookUpColumn,0))</f>
        <v>1</v>
      </c>
    </row>
    <row r="5429" spans="1:9" x14ac:dyDescent="0.25">
      <c r="A5429" s="7">
        <v>3</v>
      </c>
      <c r="B5429" s="8">
        <v>43858</v>
      </c>
      <c r="C5429" s="9" t="s">
        <v>5</v>
      </c>
      <c r="D5429" s="10">
        <v>2985.7869999999998</v>
      </c>
      <c r="E5429" s="10">
        <v>3208.3379999999997</v>
      </c>
      <c r="F5429" t="str">
        <f>VLOOKUP(A5429,StoreLookup,2,FALSE)</f>
        <v>Store#3</v>
      </c>
      <c r="G5429">
        <f>INDEX(CalLookUpTable,MATCH($B5429,CalLookUpRow,0),MATCH(G$1,CalLookUpColumn,0))</f>
        <v>2020</v>
      </c>
      <c r="H5429">
        <f>INDEX(CalLookUpTable,MATCH($B5429,CalLookUpRow,0),MATCH(H$1,CalLookUpColumn,0))</f>
        <v>2</v>
      </c>
      <c r="I5429">
        <f>INDEX(CalLookUpTable,MATCH($B5429,CalLookUpRow,0),MATCH(I$1,CalLookUpColumn,0))</f>
        <v>1</v>
      </c>
    </row>
    <row r="5430" spans="1:9" x14ac:dyDescent="0.25">
      <c r="A5430" s="7">
        <v>3</v>
      </c>
      <c r="B5430" s="8">
        <v>43859</v>
      </c>
      <c r="C5430" s="9" t="s">
        <v>4</v>
      </c>
      <c r="D5430" s="10">
        <v>3041.5209999999997</v>
      </c>
      <c r="E5430" s="10">
        <v>3267.0889999999999</v>
      </c>
      <c r="F5430" t="str">
        <f>VLOOKUP(A5430,StoreLookup,2,FALSE)</f>
        <v>Store#3</v>
      </c>
      <c r="G5430">
        <f>INDEX(CalLookUpTable,MATCH($B5430,CalLookUpRow,0),MATCH(G$1,CalLookUpColumn,0))</f>
        <v>2020</v>
      </c>
      <c r="H5430">
        <f>INDEX(CalLookUpTable,MATCH($B5430,CalLookUpRow,0),MATCH(H$1,CalLookUpColumn,0))</f>
        <v>2</v>
      </c>
      <c r="I5430">
        <f>INDEX(CalLookUpTable,MATCH($B5430,CalLookUpRow,0),MATCH(I$1,CalLookUpColumn,0))</f>
        <v>1</v>
      </c>
    </row>
    <row r="5431" spans="1:9" x14ac:dyDescent="0.25">
      <c r="A5431" s="7">
        <v>3</v>
      </c>
      <c r="B5431" s="8">
        <v>43859</v>
      </c>
      <c r="C5431" s="9" t="s">
        <v>5</v>
      </c>
      <c r="D5431" s="10">
        <v>2747.5630000000001</v>
      </c>
      <c r="E5431" s="10">
        <v>3541.4049999999997</v>
      </c>
      <c r="F5431" t="str">
        <f>VLOOKUP(A5431,StoreLookup,2,FALSE)</f>
        <v>Store#3</v>
      </c>
      <c r="G5431">
        <f>INDEX(CalLookUpTable,MATCH($B5431,CalLookUpRow,0),MATCH(G$1,CalLookUpColumn,0))</f>
        <v>2020</v>
      </c>
      <c r="H5431">
        <f>INDEX(CalLookUpTable,MATCH($B5431,CalLookUpRow,0),MATCH(H$1,CalLookUpColumn,0))</f>
        <v>2</v>
      </c>
      <c r="I5431">
        <f>INDEX(CalLookUpTable,MATCH($B5431,CalLookUpRow,0),MATCH(I$1,CalLookUpColumn,0))</f>
        <v>1</v>
      </c>
    </row>
    <row r="5432" spans="1:9" x14ac:dyDescent="0.25">
      <c r="A5432" s="7">
        <v>3</v>
      </c>
      <c r="B5432" s="8">
        <v>43859</v>
      </c>
      <c r="C5432" s="9" t="s">
        <v>6</v>
      </c>
      <c r="D5432" s="10">
        <v>1106.2589999999998</v>
      </c>
      <c r="E5432" s="10">
        <v>764.25299999999993</v>
      </c>
      <c r="F5432" t="str">
        <f>VLOOKUP(A5432,StoreLookup,2,FALSE)</f>
        <v>Store#3</v>
      </c>
      <c r="G5432">
        <f>INDEX(CalLookUpTable,MATCH($B5432,CalLookUpRow,0),MATCH(G$1,CalLookUpColumn,0))</f>
        <v>2020</v>
      </c>
      <c r="H5432">
        <f>INDEX(CalLookUpTable,MATCH($B5432,CalLookUpRow,0),MATCH(H$1,CalLookUpColumn,0))</f>
        <v>2</v>
      </c>
      <c r="I5432">
        <f>INDEX(CalLookUpTable,MATCH($B5432,CalLookUpRow,0),MATCH(I$1,CalLookUpColumn,0))</f>
        <v>1</v>
      </c>
    </row>
    <row r="5433" spans="1:9" x14ac:dyDescent="0.25">
      <c r="A5433" s="7">
        <v>3</v>
      </c>
      <c r="B5433" s="8">
        <v>43859</v>
      </c>
      <c r="C5433" s="9" t="s">
        <v>3</v>
      </c>
      <c r="D5433" s="10">
        <v>321.71999999999997</v>
      </c>
      <c r="E5433" s="10">
        <v>153.85999999999999</v>
      </c>
      <c r="F5433" t="str">
        <f>VLOOKUP(A5433,StoreLookup,2,FALSE)</f>
        <v>Store#3</v>
      </c>
      <c r="G5433">
        <f>INDEX(CalLookUpTable,MATCH($B5433,CalLookUpRow,0),MATCH(G$1,CalLookUpColumn,0))</f>
        <v>2020</v>
      </c>
      <c r="H5433">
        <f>INDEX(CalLookUpTable,MATCH($B5433,CalLookUpRow,0),MATCH(H$1,CalLookUpColumn,0))</f>
        <v>2</v>
      </c>
      <c r="I5433">
        <f>INDEX(CalLookUpTable,MATCH($B5433,CalLookUpRow,0),MATCH(I$1,CalLookUpColumn,0))</f>
        <v>1</v>
      </c>
    </row>
    <row r="5434" spans="1:9" x14ac:dyDescent="0.25">
      <c r="A5434" s="7">
        <v>3</v>
      </c>
      <c r="B5434" s="8">
        <v>43860</v>
      </c>
      <c r="C5434" s="9" t="s">
        <v>3</v>
      </c>
      <c r="D5434" s="10">
        <v>110.78199999999998</v>
      </c>
      <c r="E5434" s="10">
        <v>35.678999999999995</v>
      </c>
      <c r="F5434" t="str">
        <f>VLOOKUP(A5434,StoreLookup,2,FALSE)</f>
        <v>Store#3</v>
      </c>
      <c r="G5434">
        <f>INDEX(CalLookUpTable,MATCH($B5434,CalLookUpRow,0),MATCH(G$1,CalLookUpColumn,0))</f>
        <v>2020</v>
      </c>
      <c r="H5434">
        <f>INDEX(CalLookUpTable,MATCH($B5434,CalLookUpRow,0),MATCH(H$1,CalLookUpColumn,0))</f>
        <v>2</v>
      </c>
      <c r="I5434">
        <f>INDEX(CalLookUpTable,MATCH($B5434,CalLookUpRow,0),MATCH(I$1,CalLookUpColumn,0))</f>
        <v>1</v>
      </c>
    </row>
    <row r="5435" spans="1:9" x14ac:dyDescent="0.25">
      <c r="A5435" s="7">
        <v>3</v>
      </c>
      <c r="B5435" s="8">
        <v>43860</v>
      </c>
      <c r="C5435" s="9" t="s">
        <v>6</v>
      </c>
      <c r="D5435" s="10">
        <v>1551.1579999999999</v>
      </c>
      <c r="E5435" s="10">
        <v>870.83499999999992</v>
      </c>
      <c r="F5435" t="str">
        <f>VLOOKUP(A5435,StoreLookup,2,FALSE)</f>
        <v>Store#3</v>
      </c>
      <c r="G5435">
        <f>INDEX(CalLookUpTable,MATCH($B5435,CalLookUpRow,0),MATCH(G$1,CalLookUpColumn,0))</f>
        <v>2020</v>
      </c>
      <c r="H5435">
        <f>INDEX(CalLookUpTable,MATCH($B5435,CalLookUpRow,0),MATCH(H$1,CalLookUpColumn,0))</f>
        <v>2</v>
      </c>
      <c r="I5435">
        <f>INDEX(CalLookUpTable,MATCH($B5435,CalLookUpRow,0),MATCH(I$1,CalLookUpColumn,0))</f>
        <v>1</v>
      </c>
    </row>
    <row r="5436" spans="1:9" x14ac:dyDescent="0.25">
      <c r="A5436" s="7">
        <v>3</v>
      </c>
      <c r="B5436" s="8">
        <v>43860</v>
      </c>
      <c r="C5436" s="9" t="s">
        <v>4</v>
      </c>
      <c r="D5436" s="10">
        <v>3285.7859999999996</v>
      </c>
      <c r="E5436" s="10">
        <v>3353.098</v>
      </c>
      <c r="F5436" t="str">
        <f>VLOOKUP(A5436,StoreLookup,2,FALSE)</f>
        <v>Store#3</v>
      </c>
      <c r="G5436">
        <f>INDEX(CalLookUpTable,MATCH($B5436,CalLookUpRow,0),MATCH(G$1,CalLookUpColumn,0))</f>
        <v>2020</v>
      </c>
      <c r="H5436">
        <f>INDEX(CalLookUpTable,MATCH($B5436,CalLookUpRow,0),MATCH(H$1,CalLookUpColumn,0))</f>
        <v>2</v>
      </c>
      <c r="I5436">
        <f>INDEX(CalLookUpTable,MATCH($B5436,CalLookUpRow,0),MATCH(I$1,CalLookUpColumn,0))</f>
        <v>1</v>
      </c>
    </row>
    <row r="5437" spans="1:9" x14ac:dyDescent="0.25">
      <c r="A5437" s="7">
        <v>3</v>
      </c>
      <c r="B5437" s="8">
        <v>43860</v>
      </c>
      <c r="C5437" s="9" t="s">
        <v>5</v>
      </c>
      <c r="D5437" s="10">
        <v>2640.3719999999998</v>
      </c>
      <c r="E5437" s="10">
        <v>3163.2159999999999</v>
      </c>
      <c r="F5437" t="str">
        <f>VLOOKUP(A5437,StoreLookup,2,FALSE)</f>
        <v>Store#3</v>
      </c>
      <c r="G5437">
        <f>INDEX(CalLookUpTable,MATCH($B5437,CalLookUpRow,0),MATCH(G$1,CalLookUpColumn,0))</f>
        <v>2020</v>
      </c>
      <c r="H5437">
        <f>INDEX(CalLookUpTable,MATCH($B5437,CalLookUpRow,0),MATCH(H$1,CalLookUpColumn,0))</f>
        <v>2</v>
      </c>
      <c r="I5437">
        <f>INDEX(CalLookUpTable,MATCH($B5437,CalLookUpRow,0),MATCH(I$1,CalLookUpColumn,0))</f>
        <v>1</v>
      </c>
    </row>
    <row r="5438" spans="1:9" x14ac:dyDescent="0.25">
      <c r="A5438" s="7">
        <v>3</v>
      </c>
      <c r="B5438" s="8">
        <v>43861</v>
      </c>
      <c r="C5438" s="9" t="s">
        <v>4</v>
      </c>
      <c r="D5438" s="10">
        <v>3657.7799999999993</v>
      </c>
      <c r="E5438" s="10">
        <v>4015.2559999999999</v>
      </c>
      <c r="F5438" t="str">
        <f>VLOOKUP(A5438,StoreLookup,2,FALSE)</f>
        <v>Store#3</v>
      </c>
      <c r="G5438">
        <f>INDEX(CalLookUpTable,MATCH($B5438,CalLookUpRow,0),MATCH(G$1,CalLookUpColumn,0))</f>
        <v>2020</v>
      </c>
      <c r="H5438">
        <f>INDEX(CalLookUpTable,MATCH($B5438,CalLookUpRow,0),MATCH(H$1,CalLookUpColumn,0))</f>
        <v>2</v>
      </c>
      <c r="I5438">
        <f>INDEX(CalLookUpTable,MATCH($B5438,CalLookUpRow,0),MATCH(I$1,CalLookUpColumn,0))</f>
        <v>1</v>
      </c>
    </row>
    <row r="5439" spans="1:9" x14ac:dyDescent="0.25">
      <c r="A5439" s="7">
        <v>3</v>
      </c>
      <c r="B5439" s="8">
        <v>43861</v>
      </c>
      <c r="C5439" s="9" t="s">
        <v>6</v>
      </c>
      <c r="D5439" s="10">
        <v>1440.2570000000001</v>
      </c>
      <c r="E5439" s="10">
        <v>1103.5359999999998</v>
      </c>
      <c r="F5439" t="str">
        <f>VLOOKUP(A5439,StoreLookup,2,FALSE)</f>
        <v>Store#3</v>
      </c>
      <c r="G5439">
        <f>INDEX(CalLookUpTable,MATCH($B5439,CalLookUpRow,0),MATCH(G$1,CalLookUpColumn,0))</f>
        <v>2020</v>
      </c>
      <c r="H5439">
        <f>INDEX(CalLookUpTable,MATCH($B5439,CalLookUpRow,0),MATCH(H$1,CalLookUpColumn,0))</f>
        <v>2</v>
      </c>
      <c r="I5439">
        <f>INDEX(CalLookUpTable,MATCH($B5439,CalLookUpRow,0),MATCH(I$1,CalLookUpColumn,0))</f>
        <v>1</v>
      </c>
    </row>
    <row r="5440" spans="1:9" x14ac:dyDescent="0.25">
      <c r="A5440" s="7">
        <v>3</v>
      </c>
      <c r="B5440" s="8">
        <v>43861</v>
      </c>
      <c r="C5440" s="9" t="s">
        <v>3</v>
      </c>
      <c r="D5440" s="10">
        <v>0</v>
      </c>
      <c r="E5440" s="10">
        <v>134.32999999999998</v>
      </c>
      <c r="F5440" t="str">
        <f>VLOOKUP(A5440,StoreLookup,2,FALSE)</f>
        <v>Store#3</v>
      </c>
      <c r="G5440">
        <f>INDEX(CalLookUpTable,MATCH($B5440,CalLookUpRow,0),MATCH(G$1,CalLookUpColumn,0))</f>
        <v>2020</v>
      </c>
      <c r="H5440">
        <f>INDEX(CalLookUpTable,MATCH($B5440,CalLookUpRow,0),MATCH(H$1,CalLookUpColumn,0))</f>
        <v>2</v>
      </c>
      <c r="I5440">
        <f>INDEX(CalLookUpTable,MATCH($B5440,CalLookUpRow,0),MATCH(I$1,CalLookUpColumn,0))</f>
        <v>1</v>
      </c>
    </row>
    <row r="5441" spans="1:9" x14ac:dyDescent="0.25">
      <c r="A5441" s="7">
        <v>3</v>
      </c>
      <c r="B5441" s="8">
        <v>43861</v>
      </c>
      <c r="C5441" s="9" t="s">
        <v>5</v>
      </c>
      <c r="D5441" s="10">
        <v>3156.6010000000001</v>
      </c>
      <c r="E5441" s="10">
        <v>3559.1570000000002</v>
      </c>
      <c r="F5441" t="str">
        <f>VLOOKUP(A5441,StoreLookup,2,FALSE)</f>
        <v>Store#3</v>
      </c>
      <c r="G5441">
        <f>INDEX(CalLookUpTable,MATCH($B5441,CalLookUpRow,0),MATCH(G$1,CalLookUpColumn,0))</f>
        <v>2020</v>
      </c>
      <c r="H5441">
        <f>INDEX(CalLookUpTable,MATCH($B5441,CalLookUpRow,0),MATCH(H$1,CalLookUpColumn,0))</f>
        <v>2</v>
      </c>
      <c r="I5441">
        <f>INDEX(CalLookUpTable,MATCH($B5441,CalLookUpRow,0),MATCH(I$1,CalLookUpColumn,0))</f>
        <v>1</v>
      </c>
    </row>
    <row r="5442" spans="1:9" x14ac:dyDescent="0.25">
      <c r="A5442" s="7">
        <v>3</v>
      </c>
      <c r="B5442" s="8">
        <v>43862</v>
      </c>
      <c r="C5442" s="9" t="s">
        <v>4</v>
      </c>
      <c r="D5442" s="10">
        <v>3280.9769999999994</v>
      </c>
      <c r="E5442" s="10">
        <v>3712.9539999999997</v>
      </c>
      <c r="F5442" t="str">
        <f>VLOOKUP(A5442,StoreLookup,2,FALSE)</f>
        <v>Store#3</v>
      </c>
      <c r="G5442">
        <f>INDEX(CalLookUpTable,MATCH($B5442,CalLookUpRow,0),MATCH(G$1,CalLookUpColumn,0))</f>
        <v>2020</v>
      </c>
      <c r="H5442">
        <f>INDEX(CalLookUpTable,MATCH($B5442,CalLookUpRow,0),MATCH(H$1,CalLookUpColumn,0))</f>
        <v>2</v>
      </c>
      <c r="I5442">
        <f>INDEX(CalLookUpTable,MATCH($B5442,CalLookUpRow,0),MATCH(I$1,CalLookUpColumn,0))</f>
        <v>1</v>
      </c>
    </row>
    <row r="5443" spans="1:9" x14ac:dyDescent="0.25">
      <c r="A5443" s="7">
        <v>3</v>
      </c>
      <c r="B5443" s="8">
        <v>43862</v>
      </c>
      <c r="C5443" s="9" t="s">
        <v>5</v>
      </c>
      <c r="D5443" s="10">
        <v>3090.3389999999999</v>
      </c>
      <c r="E5443" s="10">
        <v>3333.2459999999996</v>
      </c>
      <c r="F5443" t="str">
        <f>VLOOKUP(A5443,StoreLookup,2,FALSE)</f>
        <v>Store#3</v>
      </c>
      <c r="G5443">
        <f>INDEX(CalLookUpTable,MATCH($B5443,CalLookUpRow,0),MATCH(G$1,CalLookUpColumn,0))</f>
        <v>2020</v>
      </c>
      <c r="H5443">
        <f>INDEX(CalLookUpTable,MATCH($B5443,CalLookUpRow,0),MATCH(H$1,CalLookUpColumn,0))</f>
        <v>2</v>
      </c>
      <c r="I5443">
        <f>INDEX(CalLookUpTable,MATCH($B5443,CalLookUpRow,0),MATCH(I$1,CalLookUpColumn,0))</f>
        <v>1</v>
      </c>
    </row>
    <row r="5444" spans="1:9" x14ac:dyDescent="0.25">
      <c r="A5444" s="7">
        <v>3</v>
      </c>
      <c r="B5444" s="8">
        <v>43862</v>
      </c>
      <c r="C5444" s="9" t="s">
        <v>6</v>
      </c>
      <c r="D5444" s="10">
        <v>2041.5359999999998</v>
      </c>
      <c r="E5444" s="10">
        <v>910.03499999999985</v>
      </c>
      <c r="F5444" t="str">
        <f>VLOOKUP(A5444,StoreLookup,2,FALSE)</f>
        <v>Store#3</v>
      </c>
      <c r="G5444">
        <f>INDEX(CalLookUpTable,MATCH($B5444,CalLookUpRow,0),MATCH(G$1,CalLookUpColumn,0))</f>
        <v>2020</v>
      </c>
      <c r="H5444">
        <f>INDEX(CalLookUpTable,MATCH($B5444,CalLookUpRow,0),MATCH(H$1,CalLookUpColumn,0))</f>
        <v>2</v>
      </c>
      <c r="I5444">
        <f>INDEX(CalLookUpTable,MATCH($B5444,CalLookUpRow,0),MATCH(I$1,CalLookUpColumn,0))</f>
        <v>1</v>
      </c>
    </row>
    <row r="5445" spans="1:9" x14ac:dyDescent="0.25">
      <c r="A5445" s="7">
        <v>3</v>
      </c>
      <c r="B5445" s="8">
        <v>43862</v>
      </c>
      <c r="C5445" s="9" t="s">
        <v>3</v>
      </c>
      <c r="D5445" s="10">
        <v>156.66</v>
      </c>
      <c r="E5445" s="10">
        <v>75.509</v>
      </c>
      <c r="F5445" t="str">
        <f>VLOOKUP(A5445,StoreLookup,2,FALSE)</f>
        <v>Store#3</v>
      </c>
      <c r="G5445">
        <f>INDEX(CalLookUpTable,MATCH($B5445,CalLookUpRow,0),MATCH(G$1,CalLookUpColumn,0))</f>
        <v>2020</v>
      </c>
      <c r="H5445">
        <f>INDEX(CalLookUpTable,MATCH($B5445,CalLookUpRow,0),MATCH(H$1,CalLookUpColumn,0))</f>
        <v>2</v>
      </c>
      <c r="I5445">
        <f>INDEX(CalLookUpTable,MATCH($B5445,CalLookUpRow,0),MATCH(I$1,CalLookUpColumn,0))</f>
        <v>1</v>
      </c>
    </row>
    <row r="5446" spans="1:9" x14ac:dyDescent="0.25">
      <c r="A5446" s="7">
        <v>3</v>
      </c>
      <c r="B5446" s="8">
        <v>43863</v>
      </c>
      <c r="C5446" s="9" t="s">
        <v>3</v>
      </c>
      <c r="D5446" s="10">
        <v>21.896000000000001</v>
      </c>
      <c r="E5446" s="10">
        <v>248.80799999999999</v>
      </c>
      <c r="F5446" t="str">
        <f>VLOOKUP(A5446,StoreLookup,2,FALSE)</f>
        <v>Store#3</v>
      </c>
      <c r="G5446">
        <f>INDEX(CalLookUpTable,MATCH($B5446,CalLookUpRow,0),MATCH(G$1,CalLookUpColumn,0))</f>
        <v>2020</v>
      </c>
      <c r="H5446">
        <f>INDEX(CalLookUpTable,MATCH($B5446,CalLookUpRow,0),MATCH(H$1,CalLookUpColumn,0))</f>
        <v>2</v>
      </c>
      <c r="I5446">
        <f>INDEX(CalLookUpTable,MATCH($B5446,CalLookUpRow,0),MATCH(I$1,CalLookUpColumn,0))</f>
        <v>1</v>
      </c>
    </row>
    <row r="5447" spans="1:9" x14ac:dyDescent="0.25">
      <c r="A5447" s="7">
        <v>3</v>
      </c>
      <c r="B5447" s="8">
        <v>43863</v>
      </c>
      <c r="C5447" s="9" t="s">
        <v>4</v>
      </c>
      <c r="D5447" s="10">
        <v>2162.8529999999996</v>
      </c>
      <c r="E5447" s="10">
        <v>1649.3889999999999</v>
      </c>
      <c r="F5447" t="str">
        <f>VLOOKUP(A5447,StoreLookup,2,FALSE)</f>
        <v>Store#3</v>
      </c>
      <c r="G5447">
        <f>INDEX(CalLookUpTable,MATCH($B5447,CalLookUpRow,0),MATCH(G$1,CalLookUpColumn,0))</f>
        <v>2020</v>
      </c>
      <c r="H5447">
        <f>INDEX(CalLookUpTable,MATCH($B5447,CalLookUpRow,0),MATCH(H$1,CalLookUpColumn,0))</f>
        <v>2</v>
      </c>
      <c r="I5447">
        <f>INDEX(CalLookUpTable,MATCH($B5447,CalLookUpRow,0),MATCH(I$1,CalLookUpColumn,0))</f>
        <v>1</v>
      </c>
    </row>
    <row r="5448" spans="1:9" x14ac:dyDescent="0.25">
      <c r="A5448" s="7">
        <v>3</v>
      </c>
      <c r="B5448" s="8">
        <v>43863</v>
      </c>
      <c r="C5448" s="9" t="s">
        <v>6</v>
      </c>
      <c r="D5448" s="10">
        <v>1269.9889999999998</v>
      </c>
      <c r="E5448" s="10">
        <v>425.17299999999994</v>
      </c>
      <c r="F5448" t="str">
        <f>VLOOKUP(A5448,StoreLookup,2,FALSE)</f>
        <v>Store#3</v>
      </c>
      <c r="G5448">
        <f>INDEX(CalLookUpTable,MATCH($B5448,CalLookUpRow,0),MATCH(G$1,CalLookUpColumn,0))</f>
        <v>2020</v>
      </c>
      <c r="H5448">
        <f>INDEX(CalLookUpTable,MATCH($B5448,CalLookUpRow,0),MATCH(H$1,CalLookUpColumn,0))</f>
        <v>2</v>
      </c>
      <c r="I5448">
        <f>INDEX(CalLookUpTable,MATCH($B5448,CalLookUpRow,0),MATCH(I$1,CalLookUpColumn,0))</f>
        <v>1</v>
      </c>
    </row>
    <row r="5449" spans="1:9" x14ac:dyDescent="0.25">
      <c r="A5449" s="7">
        <v>3</v>
      </c>
      <c r="B5449" s="8">
        <v>43863</v>
      </c>
      <c r="C5449" s="9" t="s">
        <v>5</v>
      </c>
      <c r="D5449" s="10">
        <v>2718.3589999999999</v>
      </c>
      <c r="E5449" s="10">
        <v>1759.569</v>
      </c>
      <c r="F5449" t="str">
        <f>VLOOKUP(A5449,StoreLookup,2,FALSE)</f>
        <v>Store#3</v>
      </c>
      <c r="G5449">
        <f>INDEX(CalLookUpTable,MATCH($B5449,CalLookUpRow,0),MATCH(G$1,CalLookUpColumn,0))</f>
        <v>2020</v>
      </c>
      <c r="H5449">
        <f>INDEX(CalLookUpTable,MATCH($B5449,CalLookUpRow,0),MATCH(H$1,CalLookUpColumn,0))</f>
        <v>2</v>
      </c>
      <c r="I5449">
        <f>INDEX(CalLookUpTable,MATCH($B5449,CalLookUpRow,0),MATCH(I$1,CalLookUpColumn,0))</f>
        <v>1</v>
      </c>
    </row>
    <row r="5450" spans="1:9" x14ac:dyDescent="0.25">
      <c r="A5450" s="7">
        <v>3</v>
      </c>
      <c r="B5450" s="8">
        <v>43864</v>
      </c>
      <c r="C5450" s="9" t="s">
        <v>4</v>
      </c>
      <c r="D5450" s="10">
        <v>1964.5709999999999</v>
      </c>
      <c r="E5450" s="10">
        <v>2811.7109999999998</v>
      </c>
      <c r="F5450" t="str">
        <f>VLOOKUP(A5450,StoreLookup,2,FALSE)</f>
        <v>Store#3</v>
      </c>
      <c r="G5450">
        <f>INDEX(CalLookUpTable,MATCH($B5450,CalLookUpRow,0),MATCH(G$1,CalLookUpColumn,0))</f>
        <v>2020</v>
      </c>
      <c r="H5450">
        <f>INDEX(CalLookUpTable,MATCH($B5450,CalLookUpRow,0),MATCH(H$1,CalLookUpColumn,0))</f>
        <v>2</v>
      </c>
      <c r="I5450">
        <f>INDEX(CalLookUpTable,MATCH($B5450,CalLookUpRow,0),MATCH(I$1,CalLookUpColumn,0))</f>
        <v>2</v>
      </c>
    </row>
    <row r="5451" spans="1:9" x14ac:dyDescent="0.25">
      <c r="A5451" s="7">
        <v>3</v>
      </c>
      <c r="B5451" s="8">
        <v>43864</v>
      </c>
      <c r="C5451" s="9" t="s">
        <v>6</v>
      </c>
      <c r="D5451" s="10">
        <v>1587.6839999999997</v>
      </c>
      <c r="E5451" s="10">
        <v>502.24299999999999</v>
      </c>
      <c r="F5451" t="str">
        <f>VLOOKUP(A5451,StoreLookup,2,FALSE)</f>
        <v>Store#3</v>
      </c>
      <c r="G5451">
        <f>INDEX(CalLookUpTable,MATCH($B5451,CalLookUpRow,0),MATCH(G$1,CalLookUpColumn,0))</f>
        <v>2020</v>
      </c>
      <c r="H5451">
        <f>INDEX(CalLookUpTable,MATCH($B5451,CalLookUpRow,0),MATCH(H$1,CalLookUpColumn,0))</f>
        <v>2</v>
      </c>
      <c r="I5451">
        <f>INDEX(CalLookUpTable,MATCH($B5451,CalLookUpRow,0),MATCH(I$1,CalLookUpColumn,0))</f>
        <v>2</v>
      </c>
    </row>
    <row r="5452" spans="1:9" x14ac:dyDescent="0.25">
      <c r="A5452" s="7">
        <v>3</v>
      </c>
      <c r="B5452" s="8">
        <v>43864</v>
      </c>
      <c r="C5452" s="9" t="s">
        <v>3</v>
      </c>
      <c r="D5452" s="10">
        <v>0</v>
      </c>
      <c r="E5452" s="10">
        <v>0</v>
      </c>
      <c r="F5452" t="str">
        <f>VLOOKUP(A5452,StoreLookup,2,FALSE)</f>
        <v>Store#3</v>
      </c>
      <c r="G5452">
        <f>INDEX(CalLookUpTable,MATCH($B5452,CalLookUpRow,0),MATCH(G$1,CalLookUpColumn,0))</f>
        <v>2020</v>
      </c>
      <c r="H5452">
        <f>INDEX(CalLookUpTable,MATCH($B5452,CalLookUpRow,0),MATCH(H$1,CalLookUpColumn,0))</f>
        <v>2</v>
      </c>
      <c r="I5452">
        <f>INDEX(CalLookUpTable,MATCH($B5452,CalLookUpRow,0),MATCH(I$1,CalLookUpColumn,0))</f>
        <v>2</v>
      </c>
    </row>
    <row r="5453" spans="1:9" x14ac:dyDescent="0.25">
      <c r="A5453" s="7">
        <v>3</v>
      </c>
      <c r="B5453" s="8">
        <v>43864</v>
      </c>
      <c r="C5453" s="9" t="s">
        <v>5</v>
      </c>
      <c r="D5453" s="10">
        <v>2598.9809999999998</v>
      </c>
      <c r="E5453" s="10">
        <v>3087.5879999999997</v>
      </c>
      <c r="F5453" t="str">
        <f>VLOOKUP(A5453,StoreLookup,2,FALSE)</f>
        <v>Store#3</v>
      </c>
      <c r="G5453">
        <f>INDEX(CalLookUpTable,MATCH($B5453,CalLookUpRow,0),MATCH(G$1,CalLookUpColumn,0))</f>
        <v>2020</v>
      </c>
      <c r="H5453">
        <f>INDEX(CalLookUpTable,MATCH($B5453,CalLookUpRow,0),MATCH(H$1,CalLookUpColumn,0))</f>
        <v>2</v>
      </c>
      <c r="I5453">
        <f>INDEX(CalLookUpTable,MATCH($B5453,CalLookUpRow,0),MATCH(I$1,CalLookUpColumn,0))</f>
        <v>2</v>
      </c>
    </row>
    <row r="5454" spans="1:9" x14ac:dyDescent="0.25">
      <c r="A5454" s="7">
        <v>3</v>
      </c>
      <c r="B5454" s="8">
        <v>43865</v>
      </c>
      <c r="C5454" s="9" t="s">
        <v>6</v>
      </c>
      <c r="D5454" s="10">
        <v>1857.8419999999999</v>
      </c>
      <c r="E5454" s="10">
        <v>817.22899999999993</v>
      </c>
      <c r="F5454" t="str">
        <f>VLOOKUP(A5454,StoreLookup,2,FALSE)</f>
        <v>Store#3</v>
      </c>
      <c r="G5454">
        <f>INDEX(CalLookUpTable,MATCH($B5454,CalLookUpRow,0),MATCH(G$1,CalLookUpColumn,0))</f>
        <v>2020</v>
      </c>
      <c r="H5454">
        <f>INDEX(CalLookUpTable,MATCH($B5454,CalLookUpRow,0),MATCH(H$1,CalLookUpColumn,0))</f>
        <v>2</v>
      </c>
      <c r="I5454">
        <f>INDEX(CalLookUpTable,MATCH($B5454,CalLookUpRow,0),MATCH(I$1,CalLookUpColumn,0))</f>
        <v>2</v>
      </c>
    </row>
    <row r="5455" spans="1:9" x14ac:dyDescent="0.25">
      <c r="A5455" s="7">
        <v>3</v>
      </c>
      <c r="B5455" s="8">
        <v>43865</v>
      </c>
      <c r="C5455" s="9" t="s">
        <v>4</v>
      </c>
      <c r="D5455" s="10">
        <v>2585.0089999999996</v>
      </c>
      <c r="E5455" s="10">
        <v>3106.663</v>
      </c>
      <c r="F5455" t="str">
        <f>VLOOKUP(A5455,StoreLookup,2,FALSE)</f>
        <v>Store#3</v>
      </c>
      <c r="G5455">
        <f>INDEX(CalLookUpTable,MATCH($B5455,CalLookUpRow,0),MATCH(G$1,CalLookUpColumn,0))</f>
        <v>2020</v>
      </c>
      <c r="H5455">
        <f>INDEX(CalLookUpTable,MATCH($B5455,CalLookUpRow,0),MATCH(H$1,CalLookUpColumn,0))</f>
        <v>2</v>
      </c>
      <c r="I5455">
        <f>INDEX(CalLookUpTable,MATCH($B5455,CalLookUpRow,0),MATCH(I$1,CalLookUpColumn,0))</f>
        <v>2</v>
      </c>
    </row>
    <row r="5456" spans="1:9" x14ac:dyDescent="0.25">
      <c r="A5456" s="7">
        <v>3</v>
      </c>
      <c r="B5456" s="8">
        <v>43865</v>
      </c>
      <c r="C5456" s="9" t="s">
        <v>5</v>
      </c>
      <c r="D5456" s="10">
        <v>3416.7209999999995</v>
      </c>
      <c r="E5456" s="10">
        <v>3408.8179999999998</v>
      </c>
      <c r="F5456" t="str">
        <f>VLOOKUP(A5456,StoreLookup,2,FALSE)</f>
        <v>Store#3</v>
      </c>
      <c r="G5456">
        <f>INDEX(CalLookUpTable,MATCH($B5456,CalLookUpRow,0),MATCH(G$1,CalLookUpColumn,0))</f>
        <v>2020</v>
      </c>
      <c r="H5456">
        <f>INDEX(CalLookUpTable,MATCH($B5456,CalLookUpRow,0),MATCH(H$1,CalLookUpColumn,0))</f>
        <v>2</v>
      </c>
      <c r="I5456">
        <f>INDEX(CalLookUpTable,MATCH($B5456,CalLookUpRow,0),MATCH(I$1,CalLookUpColumn,0))</f>
        <v>2</v>
      </c>
    </row>
    <row r="5457" spans="1:9" x14ac:dyDescent="0.25">
      <c r="A5457" s="7">
        <v>3</v>
      </c>
      <c r="B5457" s="8">
        <v>43865</v>
      </c>
      <c r="C5457" s="9" t="s">
        <v>3</v>
      </c>
      <c r="D5457" s="10">
        <v>139.53799999999998</v>
      </c>
      <c r="E5457" s="10">
        <v>348.55099999999999</v>
      </c>
      <c r="F5457" t="str">
        <f>VLOOKUP(A5457,StoreLookup,2,FALSE)</f>
        <v>Store#3</v>
      </c>
      <c r="G5457">
        <f>INDEX(CalLookUpTable,MATCH($B5457,CalLookUpRow,0),MATCH(G$1,CalLookUpColumn,0))</f>
        <v>2020</v>
      </c>
      <c r="H5457">
        <f>INDEX(CalLookUpTable,MATCH($B5457,CalLookUpRow,0),MATCH(H$1,CalLookUpColumn,0))</f>
        <v>2</v>
      </c>
      <c r="I5457">
        <f>INDEX(CalLookUpTable,MATCH($B5457,CalLookUpRow,0),MATCH(I$1,CalLookUpColumn,0))</f>
        <v>2</v>
      </c>
    </row>
    <row r="5458" spans="1:9" x14ac:dyDescent="0.25">
      <c r="A5458" s="7">
        <v>3</v>
      </c>
      <c r="B5458" s="8">
        <v>43866</v>
      </c>
      <c r="C5458" s="9" t="s">
        <v>4</v>
      </c>
      <c r="D5458" s="10">
        <v>2696.2249999999999</v>
      </c>
      <c r="E5458" s="10">
        <v>3112.6269999999995</v>
      </c>
      <c r="F5458" t="str">
        <f>VLOOKUP(A5458,StoreLookup,2,FALSE)</f>
        <v>Store#3</v>
      </c>
      <c r="G5458">
        <f>INDEX(CalLookUpTable,MATCH($B5458,CalLookUpRow,0),MATCH(G$1,CalLookUpColumn,0))</f>
        <v>2020</v>
      </c>
      <c r="H5458">
        <f>INDEX(CalLookUpTable,MATCH($B5458,CalLookUpRow,0),MATCH(H$1,CalLookUpColumn,0))</f>
        <v>2</v>
      </c>
      <c r="I5458">
        <f>INDEX(CalLookUpTable,MATCH($B5458,CalLookUpRow,0),MATCH(I$1,CalLookUpColumn,0))</f>
        <v>2</v>
      </c>
    </row>
    <row r="5459" spans="1:9" x14ac:dyDescent="0.25">
      <c r="A5459" s="7">
        <v>3</v>
      </c>
      <c r="B5459" s="8">
        <v>43866</v>
      </c>
      <c r="C5459" s="9" t="s">
        <v>5</v>
      </c>
      <c r="D5459" s="10">
        <v>2630.8519999999999</v>
      </c>
      <c r="E5459" s="10">
        <v>2927.1759999999999</v>
      </c>
      <c r="F5459" t="str">
        <f>VLOOKUP(A5459,StoreLookup,2,FALSE)</f>
        <v>Store#3</v>
      </c>
      <c r="G5459">
        <f>INDEX(CalLookUpTable,MATCH($B5459,CalLookUpRow,0),MATCH(G$1,CalLookUpColumn,0))</f>
        <v>2020</v>
      </c>
      <c r="H5459">
        <f>INDEX(CalLookUpTable,MATCH($B5459,CalLookUpRow,0),MATCH(H$1,CalLookUpColumn,0))</f>
        <v>2</v>
      </c>
      <c r="I5459">
        <f>INDEX(CalLookUpTable,MATCH($B5459,CalLookUpRow,0),MATCH(I$1,CalLookUpColumn,0))</f>
        <v>2</v>
      </c>
    </row>
    <row r="5460" spans="1:9" x14ac:dyDescent="0.25">
      <c r="A5460" s="7">
        <v>3</v>
      </c>
      <c r="B5460" s="8">
        <v>43866</v>
      </c>
      <c r="C5460" s="9" t="s">
        <v>3</v>
      </c>
      <c r="D5460" s="10">
        <v>0</v>
      </c>
      <c r="E5460" s="10">
        <v>0</v>
      </c>
      <c r="F5460" t="str">
        <f>VLOOKUP(A5460,StoreLookup,2,FALSE)</f>
        <v>Store#3</v>
      </c>
      <c r="G5460">
        <f>INDEX(CalLookUpTable,MATCH($B5460,CalLookUpRow,0),MATCH(G$1,CalLookUpColumn,0))</f>
        <v>2020</v>
      </c>
      <c r="H5460">
        <f>INDEX(CalLookUpTable,MATCH($B5460,CalLookUpRow,0),MATCH(H$1,CalLookUpColumn,0))</f>
        <v>2</v>
      </c>
      <c r="I5460">
        <f>INDEX(CalLookUpTable,MATCH($B5460,CalLookUpRow,0),MATCH(I$1,CalLookUpColumn,0))</f>
        <v>2</v>
      </c>
    </row>
    <row r="5461" spans="1:9" x14ac:dyDescent="0.25">
      <c r="A5461" s="7">
        <v>3</v>
      </c>
      <c r="B5461" s="8">
        <v>43866</v>
      </c>
      <c r="C5461" s="9" t="s">
        <v>6</v>
      </c>
      <c r="D5461" s="10">
        <v>1417.2339999999999</v>
      </c>
      <c r="E5461" s="10">
        <v>903.00699999999995</v>
      </c>
      <c r="F5461" t="str">
        <f>VLOOKUP(A5461,StoreLookup,2,FALSE)</f>
        <v>Store#3</v>
      </c>
      <c r="G5461">
        <f>INDEX(CalLookUpTable,MATCH($B5461,CalLookUpRow,0),MATCH(G$1,CalLookUpColumn,0))</f>
        <v>2020</v>
      </c>
      <c r="H5461">
        <f>INDEX(CalLookUpTable,MATCH($B5461,CalLookUpRow,0),MATCH(H$1,CalLookUpColumn,0))</f>
        <v>2</v>
      </c>
      <c r="I5461">
        <f>INDEX(CalLookUpTable,MATCH($B5461,CalLookUpRow,0),MATCH(I$1,CalLookUpColumn,0))</f>
        <v>2</v>
      </c>
    </row>
    <row r="5462" spans="1:9" x14ac:dyDescent="0.25">
      <c r="A5462" s="7">
        <v>3</v>
      </c>
      <c r="B5462" s="8">
        <v>43867</v>
      </c>
      <c r="C5462" s="9" t="s">
        <v>5</v>
      </c>
      <c r="D5462" s="10">
        <v>3314.8709999999996</v>
      </c>
      <c r="E5462" s="10">
        <v>3354.8689999999997</v>
      </c>
      <c r="F5462" t="str">
        <f>VLOOKUP(A5462,StoreLookup,2,FALSE)</f>
        <v>Store#3</v>
      </c>
      <c r="G5462">
        <f>INDEX(CalLookUpTable,MATCH($B5462,CalLookUpRow,0),MATCH(G$1,CalLookUpColumn,0))</f>
        <v>2020</v>
      </c>
      <c r="H5462">
        <f>INDEX(CalLookUpTable,MATCH($B5462,CalLookUpRow,0),MATCH(H$1,CalLookUpColumn,0))</f>
        <v>2</v>
      </c>
      <c r="I5462">
        <f>INDEX(CalLookUpTable,MATCH($B5462,CalLookUpRow,0),MATCH(I$1,CalLookUpColumn,0))</f>
        <v>2</v>
      </c>
    </row>
    <row r="5463" spans="1:9" x14ac:dyDescent="0.25">
      <c r="A5463" s="7">
        <v>3</v>
      </c>
      <c r="B5463" s="8">
        <v>43867</v>
      </c>
      <c r="C5463" s="9" t="s">
        <v>3</v>
      </c>
      <c r="D5463" s="10">
        <v>0</v>
      </c>
      <c r="E5463" s="10">
        <v>395.48599999999999</v>
      </c>
      <c r="F5463" t="str">
        <f>VLOOKUP(A5463,StoreLookup,2,FALSE)</f>
        <v>Store#3</v>
      </c>
      <c r="G5463">
        <f>INDEX(CalLookUpTable,MATCH($B5463,CalLookUpRow,0),MATCH(G$1,CalLookUpColumn,0))</f>
        <v>2020</v>
      </c>
      <c r="H5463">
        <f>INDEX(CalLookUpTable,MATCH($B5463,CalLookUpRow,0),MATCH(H$1,CalLookUpColumn,0))</f>
        <v>2</v>
      </c>
      <c r="I5463">
        <f>INDEX(CalLookUpTable,MATCH($B5463,CalLookUpRow,0),MATCH(I$1,CalLookUpColumn,0))</f>
        <v>2</v>
      </c>
    </row>
    <row r="5464" spans="1:9" x14ac:dyDescent="0.25">
      <c r="A5464" s="7">
        <v>3</v>
      </c>
      <c r="B5464" s="8">
        <v>43867</v>
      </c>
      <c r="C5464" s="9" t="s">
        <v>4</v>
      </c>
      <c r="D5464" s="10">
        <v>3043.6769999999997</v>
      </c>
      <c r="E5464" s="10">
        <v>2832.0039999999999</v>
      </c>
      <c r="F5464" t="str">
        <f>VLOOKUP(A5464,StoreLookup,2,FALSE)</f>
        <v>Store#3</v>
      </c>
      <c r="G5464">
        <f>INDEX(CalLookUpTable,MATCH($B5464,CalLookUpRow,0),MATCH(G$1,CalLookUpColumn,0))</f>
        <v>2020</v>
      </c>
      <c r="H5464">
        <f>INDEX(CalLookUpTable,MATCH($B5464,CalLookUpRow,0),MATCH(H$1,CalLookUpColumn,0))</f>
        <v>2</v>
      </c>
      <c r="I5464">
        <f>INDEX(CalLookUpTable,MATCH($B5464,CalLookUpRow,0),MATCH(I$1,CalLookUpColumn,0))</f>
        <v>2</v>
      </c>
    </row>
    <row r="5465" spans="1:9" x14ac:dyDescent="0.25">
      <c r="A5465" s="7">
        <v>3</v>
      </c>
      <c r="B5465" s="8">
        <v>43867</v>
      </c>
      <c r="C5465" s="9" t="s">
        <v>6</v>
      </c>
      <c r="D5465" s="10">
        <v>1610.742</v>
      </c>
      <c r="E5465" s="10">
        <v>663.96399999999994</v>
      </c>
      <c r="F5465" t="str">
        <f>VLOOKUP(A5465,StoreLookup,2,FALSE)</f>
        <v>Store#3</v>
      </c>
      <c r="G5465">
        <f>INDEX(CalLookUpTable,MATCH($B5465,CalLookUpRow,0),MATCH(G$1,CalLookUpColumn,0))</f>
        <v>2020</v>
      </c>
      <c r="H5465">
        <f>INDEX(CalLookUpTable,MATCH($B5465,CalLookUpRow,0),MATCH(H$1,CalLookUpColumn,0))</f>
        <v>2</v>
      </c>
      <c r="I5465">
        <f>INDEX(CalLookUpTable,MATCH($B5465,CalLookUpRow,0),MATCH(I$1,CalLookUpColumn,0))</f>
        <v>2</v>
      </c>
    </row>
    <row r="5466" spans="1:9" x14ac:dyDescent="0.25">
      <c r="A5466" s="7">
        <v>3</v>
      </c>
      <c r="B5466" s="8">
        <v>43868</v>
      </c>
      <c r="C5466" s="9" t="s">
        <v>4</v>
      </c>
      <c r="D5466" s="10">
        <v>3728.3119999999994</v>
      </c>
      <c r="E5466" s="10">
        <v>4191.5369999999994</v>
      </c>
      <c r="F5466" t="str">
        <f>VLOOKUP(A5466,StoreLookup,2,FALSE)</f>
        <v>Store#3</v>
      </c>
      <c r="G5466">
        <f>INDEX(CalLookUpTable,MATCH($B5466,CalLookUpRow,0),MATCH(G$1,CalLookUpColumn,0))</f>
        <v>2020</v>
      </c>
      <c r="H5466">
        <f>INDEX(CalLookUpTable,MATCH($B5466,CalLookUpRow,0),MATCH(H$1,CalLookUpColumn,0))</f>
        <v>2</v>
      </c>
      <c r="I5466">
        <f>INDEX(CalLookUpTable,MATCH($B5466,CalLookUpRow,0),MATCH(I$1,CalLookUpColumn,0))</f>
        <v>2</v>
      </c>
    </row>
    <row r="5467" spans="1:9" x14ac:dyDescent="0.25">
      <c r="A5467" s="7">
        <v>3</v>
      </c>
      <c r="B5467" s="8">
        <v>43868</v>
      </c>
      <c r="C5467" s="9" t="s">
        <v>6</v>
      </c>
      <c r="D5467" s="10">
        <v>1675.7509999999997</v>
      </c>
      <c r="E5467" s="10">
        <v>1036.133</v>
      </c>
      <c r="F5467" t="str">
        <f>VLOOKUP(A5467,StoreLookup,2,FALSE)</f>
        <v>Store#3</v>
      </c>
      <c r="G5467">
        <f>INDEX(CalLookUpTable,MATCH($B5467,CalLookUpRow,0),MATCH(G$1,CalLookUpColumn,0))</f>
        <v>2020</v>
      </c>
      <c r="H5467">
        <f>INDEX(CalLookUpTable,MATCH($B5467,CalLookUpRow,0),MATCH(H$1,CalLookUpColumn,0))</f>
        <v>2</v>
      </c>
      <c r="I5467">
        <f>INDEX(CalLookUpTable,MATCH($B5467,CalLookUpRow,0),MATCH(I$1,CalLookUpColumn,0))</f>
        <v>2</v>
      </c>
    </row>
    <row r="5468" spans="1:9" x14ac:dyDescent="0.25">
      <c r="A5468" s="7">
        <v>3</v>
      </c>
      <c r="B5468" s="8">
        <v>43868</v>
      </c>
      <c r="C5468" s="9" t="s">
        <v>5</v>
      </c>
      <c r="D5468" s="10">
        <v>3149.1320000000001</v>
      </c>
      <c r="E5468" s="10">
        <v>3804.5489999999995</v>
      </c>
      <c r="F5468" t="str">
        <f>VLOOKUP(A5468,StoreLookup,2,FALSE)</f>
        <v>Store#3</v>
      </c>
      <c r="G5468">
        <f>INDEX(CalLookUpTable,MATCH($B5468,CalLookUpRow,0),MATCH(G$1,CalLookUpColumn,0))</f>
        <v>2020</v>
      </c>
      <c r="H5468">
        <f>INDEX(CalLookUpTable,MATCH($B5468,CalLookUpRow,0),MATCH(H$1,CalLookUpColumn,0))</f>
        <v>2</v>
      </c>
      <c r="I5468">
        <f>INDEX(CalLookUpTable,MATCH($B5468,CalLookUpRow,0),MATCH(I$1,CalLookUpColumn,0))</f>
        <v>2</v>
      </c>
    </row>
    <row r="5469" spans="1:9" x14ac:dyDescent="0.25">
      <c r="A5469" s="7">
        <v>3</v>
      </c>
      <c r="B5469" s="8">
        <v>43868</v>
      </c>
      <c r="C5469" s="9" t="s">
        <v>3</v>
      </c>
      <c r="D5469" s="10">
        <v>0</v>
      </c>
      <c r="E5469" s="10">
        <v>0</v>
      </c>
      <c r="F5469" t="str">
        <f>VLOOKUP(A5469,StoreLookup,2,FALSE)</f>
        <v>Store#3</v>
      </c>
      <c r="G5469">
        <f>INDEX(CalLookUpTable,MATCH($B5469,CalLookUpRow,0),MATCH(G$1,CalLookUpColumn,0))</f>
        <v>2020</v>
      </c>
      <c r="H5469">
        <f>INDEX(CalLookUpTable,MATCH($B5469,CalLookUpRow,0),MATCH(H$1,CalLookUpColumn,0))</f>
        <v>2</v>
      </c>
      <c r="I5469">
        <f>INDEX(CalLookUpTable,MATCH($B5469,CalLookUpRow,0),MATCH(I$1,CalLookUpColumn,0))</f>
        <v>2</v>
      </c>
    </row>
    <row r="5470" spans="1:9" x14ac:dyDescent="0.25">
      <c r="A5470" s="7">
        <v>3</v>
      </c>
      <c r="B5470" s="8">
        <v>43869</v>
      </c>
      <c r="C5470" s="9" t="s">
        <v>3</v>
      </c>
      <c r="D5470" s="10">
        <v>33.558</v>
      </c>
      <c r="E5470" s="10">
        <v>0</v>
      </c>
      <c r="F5470" t="str">
        <f>VLOOKUP(A5470,StoreLookup,2,FALSE)</f>
        <v>Store#3</v>
      </c>
      <c r="G5470">
        <f>INDEX(CalLookUpTable,MATCH($B5470,CalLookUpRow,0),MATCH(G$1,CalLookUpColumn,0))</f>
        <v>2020</v>
      </c>
      <c r="H5470">
        <f>INDEX(CalLookUpTable,MATCH($B5470,CalLookUpRow,0),MATCH(H$1,CalLookUpColumn,0))</f>
        <v>2</v>
      </c>
      <c r="I5470">
        <f>INDEX(CalLookUpTable,MATCH($B5470,CalLookUpRow,0),MATCH(I$1,CalLookUpColumn,0))</f>
        <v>2</v>
      </c>
    </row>
    <row r="5471" spans="1:9" x14ac:dyDescent="0.25">
      <c r="A5471" s="7">
        <v>3</v>
      </c>
      <c r="B5471" s="8">
        <v>43869</v>
      </c>
      <c r="C5471" s="9" t="s">
        <v>4</v>
      </c>
      <c r="D5471" s="10">
        <v>3007.3049999999994</v>
      </c>
      <c r="E5471" s="10">
        <v>3763.0390000000002</v>
      </c>
      <c r="F5471" t="str">
        <f>VLOOKUP(A5471,StoreLookup,2,FALSE)</f>
        <v>Store#3</v>
      </c>
      <c r="G5471">
        <f>INDEX(CalLookUpTable,MATCH($B5471,CalLookUpRow,0),MATCH(G$1,CalLookUpColumn,0))</f>
        <v>2020</v>
      </c>
      <c r="H5471">
        <f>INDEX(CalLookUpTable,MATCH($B5471,CalLookUpRow,0),MATCH(H$1,CalLookUpColumn,0))</f>
        <v>2</v>
      </c>
      <c r="I5471">
        <f>INDEX(CalLookUpTable,MATCH($B5471,CalLookUpRow,0),MATCH(I$1,CalLookUpColumn,0))</f>
        <v>2</v>
      </c>
    </row>
    <row r="5472" spans="1:9" x14ac:dyDescent="0.25">
      <c r="A5472" s="7">
        <v>3</v>
      </c>
      <c r="B5472" s="8">
        <v>43869</v>
      </c>
      <c r="C5472" s="9" t="s">
        <v>6</v>
      </c>
      <c r="D5472" s="10">
        <v>1618.624</v>
      </c>
      <c r="E5472" s="10">
        <v>788.5569999999999</v>
      </c>
      <c r="F5472" t="str">
        <f>VLOOKUP(A5472,StoreLookup,2,FALSE)</f>
        <v>Store#3</v>
      </c>
      <c r="G5472">
        <f>INDEX(CalLookUpTable,MATCH($B5472,CalLookUpRow,0),MATCH(G$1,CalLookUpColumn,0))</f>
        <v>2020</v>
      </c>
      <c r="H5472">
        <f>INDEX(CalLookUpTable,MATCH($B5472,CalLookUpRow,0),MATCH(H$1,CalLookUpColumn,0))</f>
        <v>2</v>
      </c>
      <c r="I5472">
        <f>INDEX(CalLookUpTable,MATCH($B5472,CalLookUpRow,0),MATCH(I$1,CalLookUpColumn,0))</f>
        <v>2</v>
      </c>
    </row>
    <row r="5473" spans="1:9" x14ac:dyDescent="0.25">
      <c r="A5473" s="7">
        <v>3</v>
      </c>
      <c r="B5473" s="8">
        <v>43869</v>
      </c>
      <c r="C5473" s="9" t="s">
        <v>5</v>
      </c>
      <c r="D5473" s="10">
        <v>3117.3799999999997</v>
      </c>
      <c r="E5473" s="10">
        <v>3385.7809999999999</v>
      </c>
      <c r="F5473" t="str">
        <f>VLOOKUP(A5473,StoreLookup,2,FALSE)</f>
        <v>Store#3</v>
      </c>
      <c r="G5473">
        <f>INDEX(CalLookUpTable,MATCH($B5473,CalLookUpRow,0),MATCH(G$1,CalLookUpColumn,0))</f>
        <v>2020</v>
      </c>
      <c r="H5473">
        <f>INDEX(CalLookUpTable,MATCH($B5473,CalLookUpRow,0),MATCH(H$1,CalLookUpColumn,0))</f>
        <v>2</v>
      </c>
      <c r="I5473">
        <f>INDEX(CalLookUpTable,MATCH($B5473,CalLookUpRow,0),MATCH(I$1,CalLookUpColumn,0))</f>
        <v>2</v>
      </c>
    </row>
    <row r="5474" spans="1:9" x14ac:dyDescent="0.25">
      <c r="A5474" s="7">
        <v>3</v>
      </c>
      <c r="B5474" s="8">
        <v>43870</v>
      </c>
      <c r="C5474" s="9" t="s">
        <v>6</v>
      </c>
      <c r="D5474" s="10">
        <v>1373.05</v>
      </c>
      <c r="E5474" s="10">
        <v>396.83699999999993</v>
      </c>
      <c r="F5474" t="str">
        <f>VLOOKUP(A5474,StoreLookup,2,FALSE)</f>
        <v>Store#3</v>
      </c>
      <c r="G5474">
        <f>INDEX(CalLookUpTable,MATCH($B5474,CalLookUpRow,0),MATCH(G$1,CalLookUpColumn,0))</f>
        <v>2020</v>
      </c>
      <c r="H5474">
        <f>INDEX(CalLookUpTable,MATCH($B5474,CalLookUpRow,0),MATCH(H$1,CalLookUpColumn,0))</f>
        <v>2</v>
      </c>
      <c r="I5474">
        <f>INDEX(CalLookUpTable,MATCH($B5474,CalLookUpRow,0),MATCH(I$1,CalLookUpColumn,0))</f>
        <v>2</v>
      </c>
    </row>
    <row r="5475" spans="1:9" x14ac:dyDescent="0.25">
      <c r="A5475" s="7">
        <v>3</v>
      </c>
      <c r="B5475" s="8">
        <v>43870</v>
      </c>
      <c r="C5475" s="9" t="s">
        <v>5</v>
      </c>
      <c r="D5475" s="10">
        <v>2823.7579999999998</v>
      </c>
      <c r="E5475" s="10">
        <v>2391.5990000000002</v>
      </c>
      <c r="F5475" t="str">
        <f>VLOOKUP(A5475,StoreLookup,2,FALSE)</f>
        <v>Store#3</v>
      </c>
      <c r="G5475">
        <f>INDEX(CalLookUpTable,MATCH($B5475,CalLookUpRow,0),MATCH(G$1,CalLookUpColumn,0))</f>
        <v>2020</v>
      </c>
      <c r="H5475">
        <f>INDEX(CalLookUpTable,MATCH($B5475,CalLookUpRow,0),MATCH(H$1,CalLookUpColumn,0))</f>
        <v>2</v>
      </c>
      <c r="I5475">
        <f>INDEX(CalLookUpTable,MATCH($B5475,CalLookUpRow,0),MATCH(I$1,CalLookUpColumn,0))</f>
        <v>2</v>
      </c>
    </row>
    <row r="5476" spans="1:9" x14ac:dyDescent="0.25">
      <c r="A5476" s="7">
        <v>3</v>
      </c>
      <c r="B5476" s="8">
        <v>43870</v>
      </c>
      <c r="C5476" s="9" t="s">
        <v>3</v>
      </c>
      <c r="D5476" s="10">
        <v>0</v>
      </c>
      <c r="E5476" s="10">
        <v>0</v>
      </c>
      <c r="F5476" t="str">
        <f>VLOOKUP(A5476,StoreLookup,2,FALSE)</f>
        <v>Store#3</v>
      </c>
      <c r="G5476">
        <f>INDEX(CalLookUpTable,MATCH($B5476,CalLookUpRow,0),MATCH(G$1,CalLookUpColumn,0))</f>
        <v>2020</v>
      </c>
      <c r="H5476">
        <f>INDEX(CalLookUpTable,MATCH($B5476,CalLookUpRow,0),MATCH(H$1,CalLookUpColumn,0))</f>
        <v>2</v>
      </c>
      <c r="I5476">
        <f>INDEX(CalLookUpTable,MATCH($B5476,CalLookUpRow,0),MATCH(I$1,CalLookUpColumn,0))</f>
        <v>2</v>
      </c>
    </row>
    <row r="5477" spans="1:9" x14ac:dyDescent="0.25">
      <c r="A5477" s="7">
        <v>3</v>
      </c>
      <c r="B5477" s="8">
        <v>43870</v>
      </c>
      <c r="C5477" s="9" t="s">
        <v>4</v>
      </c>
      <c r="D5477" s="10">
        <v>2629.2629999999999</v>
      </c>
      <c r="E5477" s="10">
        <v>2000.7539999999997</v>
      </c>
      <c r="F5477" t="str">
        <f>VLOOKUP(A5477,StoreLookup,2,FALSE)</f>
        <v>Store#3</v>
      </c>
      <c r="G5477">
        <f>INDEX(CalLookUpTable,MATCH($B5477,CalLookUpRow,0),MATCH(G$1,CalLookUpColumn,0))</f>
        <v>2020</v>
      </c>
      <c r="H5477">
        <f>INDEX(CalLookUpTable,MATCH($B5477,CalLookUpRow,0),MATCH(H$1,CalLookUpColumn,0))</f>
        <v>2</v>
      </c>
      <c r="I5477">
        <f>INDEX(CalLookUpTable,MATCH($B5477,CalLookUpRow,0),MATCH(I$1,CalLookUpColumn,0))</f>
        <v>2</v>
      </c>
    </row>
    <row r="5478" spans="1:9" x14ac:dyDescent="0.25">
      <c r="A5478" s="7">
        <v>3</v>
      </c>
      <c r="B5478" s="8">
        <v>43871</v>
      </c>
      <c r="C5478" s="9" t="s">
        <v>3</v>
      </c>
      <c r="D5478" s="10">
        <v>20.363</v>
      </c>
      <c r="E5478" s="10">
        <v>0</v>
      </c>
      <c r="F5478" t="str">
        <f>VLOOKUP(A5478,StoreLookup,2,FALSE)</f>
        <v>Store#3</v>
      </c>
      <c r="G5478">
        <f>INDEX(CalLookUpTable,MATCH($B5478,CalLookUpRow,0),MATCH(G$1,CalLookUpColumn,0))</f>
        <v>2020</v>
      </c>
      <c r="H5478">
        <f>INDEX(CalLookUpTable,MATCH($B5478,CalLookUpRow,0),MATCH(H$1,CalLookUpColumn,0))</f>
        <v>2</v>
      </c>
      <c r="I5478">
        <f>INDEX(CalLookUpTable,MATCH($B5478,CalLookUpRow,0),MATCH(I$1,CalLookUpColumn,0))</f>
        <v>3</v>
      </c>
    </row>
    <row r="5479" spans="1:9" x14ac:dyDescent="0.25">
      <c r="A5479" s="7">
        <v>3</v>
      </c>
      <c r="B5479" s="8">
        <v>43871</v>
      </c>
      <c r="C5479" s="9" t="s">
        <v>4</v>
      </c>
      <c r="D5479" s="10">
        <v>2599.163</v>
      </c>
      <c r="E5479" s="10">
        <v>2791.2080000000001</v>
      </c>
      <c r="F5479" t="str">
        <f>VLOOKUP(A5479,StoreLookup,2,FALSE)</f>
        <v>Store#3</v>
      </c>
      <c r="G5479">
        <f>INDEX(CalLookUpTable,MATCH($B5479,CalLookUpRow,0),MATCH(G$1,CalLookUpColumn,0))</f>
        <v>2020</v>
      </c>
      <c r="H5479">
        <f>INDEX(CalLookUpTable,MATCH($B5479,CalLookUpRow,0),MATCH(H$1,CalLookUpColumn,0))</f>
        <v>2</v>
      </c>
      <c r="I5479">
        <f>INDEX(CalLookUpTable,MATCH($B5479,CalLookUpRow,0),MATCH(I$1,CalLookUpColumn,0))</f>
        <v>3</v>
      </c>
    </row>
    <row r="5480" spans="1:9" x14ac:dyDescent="0.25">
      <c r="A5480" s="7">
        <v>3</v>
      </c>
      <c r="B5480" s="8">
        <v>43871</v>
      </c>
      <c r="C5480" s="9" t="s">
        <v>6</v>
      </c>
      <c r="D5480" s="10">
        <v>832.62900000000002</v>
      </c>
      <c r="E5480" s="10">
        <v>640.96899999999994</v>
      </c>
      <c r="F5480" t="str">
        <f>VLOOKUP(A5480,StoreLookup,2,FALSE)</f>
        <v>Store#3</v>
      </c>
      <c r="G5480">
        <f>INDEX(CalLookUpTable,MATCH($B5480,CalLookUpRow,0),MATCH(G$1,CalLookUpColumn,0))</f>
        <v>2020</v>
      </c>
      <c r="H5480">
        <f>INDEX(CalLookUpTable,MATCH($B5480,CalLookUpRow,0),MATCH(H$1,CalLookUpColumn,0))</f>
        <v>2</v>
      </c>
      <c r="I5480">
        <f>INDEX(CalLookUpTable,MATCH($B5480,CalLookUpRow,0),MATCH(I$1,CalLookUpColumn,0))</f>
        <v>3</v>
      </c>
    </row>
    <row r="5481" spans="1:9" x14ac:dyDescent="0.25">
      <c r="A5481" s="7">
        <v>3</v>
      </c>
      <c r="B5481" s="8">
        <v>43871</v>
      </c>
      <c r="C5481" s="9" t="s">
        <v>5</v>
      </c>
      <c r="D5481" s="10">
        <v>3011.9319999999998</v>
      </c>
      <c r="E5481" s="10">
        <v>3242.4629999999997</v>
      </c>
      <c r="F5481" t="str">
        <f>VLOOKUP(A5481,StoreLookup,2,FALSE)</f>
        <v>Store#3</v>
      </c>
      <c r="G5481">
        <f>INDEX(CalLookUpTable,MATCH($B5481,CalLookUpRow,0),MATCH(G$1,CalLookUpColumn,0))</f>
        <v>2020</v>
      </c>
      <c r="H5481">
        <f>INDEX(CalLookUpTable,MATCH($B5481,CalLookUpRow,0),MATCH(H$1,CalLookUpColumn,0))</f>
        <v>2</v>
      </c>
      <c r="I5481">
        <f>INDEX(CalLookUpTable,MATCH($B5481,CalLookUpRow,0),MATCH(I$1,CalLookUpColumn,0))</f>
        <v>3</v>
      </c>
    </row>
    <row r="5482" spans="1:9" x14ac:dyDescent="0.25">
      <c r="A5482" s="7">
        <v>3</v>
      </c>
      <c r="B5482" s="8">
        <v>43872</v>
      </c>
      <c r="C5482" s="9" t="s">
        <v>3</v>
      </c>
      <c r="D5482" s="10">
        <v>0</v>
      </c>
      <c r="E5482" s="10">
        <v>236.404</v>
      </c>
      <c r="F5482" t="str">
        <f>VLOOKUP(A5482,StoreLookup,2,FALSE)</f>
        <v>Store#3</v>
      </c>
      <c r="G5482">
        <f>INDEX(CalLookUpTable,MATCH($B5482,CalLookUpRow,0),MATCH(G$1,CalLookUpColumn,0))</f>
        <v>2020</v>
      </c>
      <c r="H5482">
        <f>INDEX(CalLookUpTable,MATCH($B5482,CalLookUpRow,0),MATCH(H$1,CalLookUpColumn,0))</f>
        <v>2</v>
      </c>
      <c r="I5482">
        <f>INDEX(CalLookUpTable,MATCH($B5482,CalLookUpRow,0),MATCH(I$1,CalLookUpColumn,0))</f>
        <v>3</v>
      </c>
    </row>
    <row r="5483" spans="1:9" x14ac:dyDescent="0.25">
      <c r="A5483" s="7">
        <v>3</v>
      </c>
      <c r="B5483" s="8">
        <v>43872</v>
      </c>
      <c r="C5483" s="9" t="s">
        <v>4</v>
      </c>
      <c r="D5483" s="10">
        <v>2833.4389999999999</v>
      </c>
      <c r="E5483" s="10">
        <v>3011.1899999999996</v>
      </c>
      <c r="F5483" t="str">
        <f>VLOOKUP(A5483,StoreLookup,2,FALSE)</f>
        <v>Store#3</v>
      </c>
      <c r="G5483">
        <f>INDEX(CalLookUpTable,MATCH($B5483,CalLookUpRow,0),MATCH(G$1,CalLookUpColumn,0))</f>
        <v>2020</v>
      </c>
      <c r="H5483">
        <f>INDEX(CalLookUpTable,MATCH($B5483,CalLookUpRow,0),MATCH(H$1,CalLookUpColumn,0))</f>
        <v>2</v>
      </c>
      <c r="I5483">
        <f>INDEX(CalLookUpTable,MATCH($B5483,CalLookUpRow,0),MATCH(I$1,CalLookUpColumn,0))</f>
        <v>3</v>
      </c>
    </row>
    <row r="5484" spans="1:9" x14ac:dyDescent="0.25">
      <c r="A5484" s="7">
        <v>3</v>
      </c>
      <c r="B5484" s="8">
        <v>43872</v>
      </c>
      <c r="C5484" s="9" t="s">
        <v>5</v>
      </c>
      <c r="D5484" s="10">
        <v>3046.953</v>
      </c>
      <c r="E5484" s="10">
        <v>2921.7089999999998</v>
      </c>
      <c r="F5484" t="str">
        <f>VLOOKUP(A5484,StoreLookup,2,FALSE)</f>
        <v>Store#3</v>
      </c>
      <c r="G5484">
        <f>INDEX(CalLookUpTable,MATCH($B5484,CalLookUpRow,0),MATCH(G$1,CalLookUpColumn,0))</f>
        <v>2020</v>
      </c>
      <c r="H5484">
        <f>INDEX(CalLookUpTable,MATCH($B5484,CalLookUpRow,0),MATCH(H$1,CalLookUpColumn,0))</f>
        <v>2</v>
      </c>
      <c r="I5484">
        <f>INDEX(CalLookUpTable,MATCH($B5484,CalLookUpRow,0),MATCH(I$1,CalLookUpColumn,0))</f>
        <v>3</v>
      </c>
    </row>
    <row r="5485" spans="1:9" x14ac:dyDescent="0.25">
      <c r="A5485" s="7">
        <v>3</v>
      </c>
      <c r="B5485" s="8">
        <v>43872</v>
      </c>
      <c r="C5485" s="9" t="s">
        <v>6</v>
      </c>
      <c r="D5485" s="10">
        <v>1192.4849999999999</v>
      </c>
      <c r="E5485" s="10">
        <v>854.22399999999993</v>
      </c>
      <c r="F5485" t="str">
        <f>VLOOKUP(A5485,StoreLookup,2,FALSE)</f>
        <v>Store#3</v>
      </c>
      <c r="G5485">
        <f>INDEX(CalLookUpTable,MATCH($B5485,CalLookUpRow,0),MATCH(G$1,CalLookUpColumn,0))</f>
        <v>2020</v>
      </c>
      <c r="H5485">
        <f>INDEX(CalLookUpTable,MATCH($B5485,CalLookUpRow,0),MATCH(H$1,CalLookUpColumn,0))</f>
        <v>2</v>
      </c>
      <c r="I5485">
        <f>INDEX(CalLookUpTable,MATCH($B5485,CalLookUpRow,0),MATCH(I$1,CalLookUpColumn,0))</f>
        <v>3</v>
      </c>
    </row>
    <row r="5486" spans="1:9" x14ac:dyDescent="0.25">
      <c r="A5486" s="7">
        <v>3</v>
      </c>
      <c r="B5486" s="8">
        <v>43873</v>
      </c>
      <c r="C5486" s="9" t="s">
        <v>3</v>
      </c>
      <c r="D5486" s="10">
        <v>18.794999999999998</v>
      </c>
      <c r="E5486" s="10">
        <v>188.125</v>
      </c>
      <c r="F5486" t="str">
        <f>VLOOKUP(A5486,StoreLookup,2,FALSE)</f>
        <v>Store#3</v>
      </c>
      <c r="G5486">
        <f>INDEX(CalLookUpTable,MATCH($B5486,CalLookUpRow,0),MATCH(G$1,CalLookUpColumn,0))</f>
        <v>2020</v>
      </c>
      <c r="H5486">
        <f>INDEX(CalLookUpTable,MATCH($B5486,CalLookUpRow,0),MATCH(H$1,CalLookUpColumn,0))</f>
        <v>2</v>
      </c>
      <c r="I5486">
        <f>INDEX(CalLookUpTable,MATCH($B5486,CalLookUpRow,0),MATCH(I$1,CalLookUpColumn,0))</f>
        <v>3</v>
      </c>
    </row>
    <row r="5487" spans="1:9" x14ac:dyDescent="0.25">
      <c r="A5487" s="7">
        <v>3</v>
      </c>
      <c r="B5487" s="8">
        <v>43873</v>
      </c>
      <c r="C5487" s="9" t="s">
        <v>6</v>
      </c>
      <c r="D5487" s="10">
        <v>1553.4679999999998</v>
      </c>
      <c r="E5487" s="10">
        <v>905.26799999999992</v>
      </c>
      <c r="F5487" t="str">
        <f>VLOOKUP(A5487,StoreLookup,2,FALSE)</f>
        <v>Store#3</v>
      </c>
      <c r="G5487">
        <f>INDEX(CalLookUpTable,MATCH($B5487,CalLookUpRow,0),MATCH(G$1,CalLookUpColumn,0))</f>
        <v>2020</v>
      </c>
      <c r="H5487">
        <f>INDEX(CalLookUpTable,MATCH($B5487,CalLookUpRow,0),MATCH(H$1,CalLookUpColumn,0))</f>
        <v>2</v>
      </c>
      <c r="I5487">
        <f>INDEX(CalLookUpTable,MATCH($B5487,CalLookUpRow,0),MATCH(I$1,CalLookUpColumn,0))</f>
        <v>3</v>
      </c>
    </row>
    <row r="5488" spans="1:9" x14ac:dyDescent="0.25">
      <c r="A5488" s="7">
        <v>3</v>
      </c>
      <c r="B5488" s="8">
        <v>43873</v>
      </c>
      <c r="C5488" s="9" t="s">
        <v>4</v>
      </c>
      <c r="D5488" s="10">
        <v>2806.433</v>
      </c>
      <c r="E5488" s="10">
        <v>2873.444</v>
      </c>
      <c r="F5488" t="str">
        <f>VLOOKUP(A5488,StoreLookup,2,FALSE)</f>
        <v>Store#3</v>
      </c>
      <c r="G5488">
        <f>INDEX(CalLookUpTable,MATCH($B5488,CalLookUpRow,0),MATCH(G$1,CalLookUpColumn,0))</f>
        <v>2020</v>
      </c>
      <c r="H5488">
        <f>INDEX(CalLookUpTable,MATCH($B5488,CalLookUpRow,0),MATCH(H$1,CalLookUpColumn,0))</f>
        <v>2</v>
      </c>
      <c r="I5488">
        <f>INDEX(CalLookUpTable,MATCH($B5488,CalLookUpRow,0),MATCH(I$1,CalLookUpColumn,0))</f>
        <v>3</v>
      </c>
    </row>
    <row r="5489" spans="1:9" x14ac:dyDescent="0.25">
      <c r="A5489" s="7">
        <v>3</v>
      </c>
      <c r="B5489" s="8">
        <v>43873</v>
      </c>
      <c r="C5489" s="9" t="s">
        <v>5</v>
      </c>
      <c r="D5489" s="10">
        <v>2732.2749999999996</v>
      </c>
      <c r="E5489" s="10">
        <v>3468.4579999999996</v>
      </c>
      <c r="F5489" t="str">
        <f>VLOOKUP(A5489,StoreLookup,2,FALSE)</f>
        <v>Store#3</v>
      </c>
      <c r="G5489">
        <f>INDEX(CalLookUpTable,MATCH($B5489,CalLookUpRow,0),MATCH(G$1,CalLookUpColumn,0))</f>
        <v>2020</v>
      </c>
      <c r="H5489">
        <f>INDEX(CalLookUpTable,MATCH($B5489,CalLookUpRow,0),MATCH(H$1,CalLookUpColumn,0))</f>
        <v>2</v>
      </c>
      <c r="I5489">
        <f>INDEX(CalLookUpTable,MATCH($B5489,CalLookUpRow,0),MATCH(I$1,CalLookUpColumn,0))</f>
        <v>3</v>
      </c>
    </row>
    <row r="5490" spans="1:9" x14ac:dyDescent="0.25">
      <c r="A5490" s="7">
        <v>3</v>
      </c>
      <c r="B5490" s="8">
        <v>43874</v>
      </c>
      <c r="C5490" s="9" t="s">
        <v>6</v>
      </c>
      <c r="D5490" s="10">
        <v>1549.366</v>
      </c>
      <c r="E5490" s="10">
        <v>1320.375</v>
      </c>
      <c r="F5490" t="str">
        <f>VLOOKUP(A5490,StoreLookup,2,FALSE)</f>
        <v>Store#3</v>
      </c>
      <c r="G5490">
        <f>INDEX(CalLookUpTable,MATCH($B5490,CalLookUpRow,0),MATCH(G$1,CalLookUpColumn,0))</f>
        <v>2020</v>
      </c>
      <c r="H5490">
        <f>INDEX(CalLookUpTable,MATCH($B5490,CalLookUpRow,0),MATCH(H$1,CalLookUpColumn,0))</f>
        <v>2</v>
      </c>
      <c r="I5490">
        <f>INDEX(CalLookUpTable,MATCH($B5490,CalLookUpRow,0),MATCH(I$1,CalLookUpColumn,0))</f>
        <v>3</v>
      </c>
    </row>
    <row r="5491" spans="1:9" x14ac:dyDescent="0.25">
      <c r="A5491" s="7">
        <v>3</v>
      </c>
      <c r="B5491" s="8">
        <v>43874</v>
      </c>
      <c r="C5491" s="9" t="s">
        <v>5</v>
      </c>
      <c r="D5491" s="10">
        <v>3050.9989999999998</v>
      </c>
      <c r="E5491" s="10">
        <v>3435.11</v>
      </c>
      <c r="F5491" t="str">
        <f>VLOOKUP(A5491,StoreLookup,2,FALSE)</f>
        <v>Store#3</v>
      </c>
      <c r="G5491">
        <f>INDEX(CalLookUpTable,MATCH($B5491,CalLookUpRow,0),MATCH(G$1,CalLookUpColumn,0))</f>
        <v>2020</v>
      </c>
      <c r="H5491">
        <f>INDEX(CalLookUpTable,MATCH($B5491,CalLookUpRow,0),MATCH(H$1,CalLookUpColumn,0))</f>
        <v>2</v>
      </c>
      <c r="I5491">
        <f>INDEX(CalLookUpTable,MATCH($B5491,CalLookUpRow,0),MATCH(I$1,CalLookUpColumn,0))</f>
        <v>3</v>
      </c>
    </row>
    <row r="5492" spans="1:9" x14ac:dyDescent="0.25">
      <c r="A5492" s="7">
        <v>3</v>
      </c>
      <c r="B5492" s="8">
        <v>43874</v>
      </c>
      <c r="C5492" s="9" t="s">
        <v>3</v>
      </c>
      <c r="D5492" s="10">
        <v>0</v>
      </c>
      <c r="E5492" s="10">
        <v>0</v>
      </c>
      <c r="F5492" t="str">
        <f>VLOOKUP(A5492,StoreLookup,2,FALSE)</f>
        <v>Store#3</v>
      </c>
      <c r="G5492">
        <f>INDEX(CalLookUpTable,MATCH($B5492,CalLookUpRow,0),MATCH(G$1,CalLookUpColumn,0))</f>
        <v>2020</v>
      </c>
      <c r="H5492">
        <f>INDEX(CalLookUpTable,MATCH($B5492,CalLookUpRow,0),MATCH(H$1,CalLookUpColumn,0))</f>
        <v>2</v>
      </c>
      <c r="I5492">
        <f>INDEX(CalLookUpTable,MATCH($B5492,CalLookUpRow,0),MATCH(I$1,CalLookUpColumn,0))</f>
        <v>3</v>
      </c>
    </row>
    <row r="5493" spans="1:9" x14ac:dyDescent="0.25">
      <c r="A5493" s="7">
        <v>3</v>
      </c>
      <c r="B5493" s="8">
        <v>43874</v>
      </c>
      <c r="C5493" s="9" t="s">
        <v>4</v>
      </c>
      <c r="D5493" s="10">
        <v>3313.569</v>
      </c>
      <c r="E5493" s="10">
        <v>3711.2599999999998</v>
      </c>
      <c r="F5493" t="str">
        <f>VLOOKUP(A5493,StoreLookup,2,FALSE)</f>
        <v>Store#3</v>
      </c>
      <c r="G5493">
        <f>INDEX(CalLookUpTable,MATCH($B5493,CalLookUpRow,0),MATCH(G$1,CalLookUpColumn,0))</f>
        <v>2020</v>
      </c>
      <c r="H5493">
        <f>INDEX(CalLookUpTable,MATCH($B5493,CalLookUpRow,0),MATCH(H$1,CalLookUpColumn,0))</f>
        <v>2</v>
      </c>
      <c r="I5493">
        <f>INDEX(CalLookUpTable,MATCH($B5493,CalLookUpRow,0),MATCH(I$1,CalLookUpColumn,0))</f>
        <v>3</v>
      </c>
    </row>
    <row r="5494" spans="1:9" x14ac:dyDescent="0.25">
      <c r="A5494" s="7">
        <v>3</v>
      </c>
      <c r="B5494" s="8">
        <v>43875</v>
      </c>
      <c r="C5494" s="9" t="s">
        <v>4</v>
      </c>
      <c r="D5494" s="10">
        <v>3720.8849999999998</v>
      </c>
      <c r="E5494" s="10">
        <v>3753.6099999999997</v>
      </c>
      <c r="F5494" t="str">
        <f>VLOOKUP(A5494,StoreLookup,2,FALSE)</f>
        <v>Store#3</v>
      </c>
      <c r="G5494">
        <f>INDEX(CalLookUpTable,MATCH($B5494,CalLookUpRow,0),MATCH(G$1,CalLookUpColumn,0))</f>
        <v>2020</v>
      </c>
      <c r="H5494">
        <f>INDEX(CalLookUpTable,MATCH($B5494,CalLookUpRow,0),MATCH(H$1,CalLookUpColumn,0))</f>
        <v>2</v>
      </c>
      <c r="I5494">
        <f>INDEX(CalLookUpTable,MATCH($B5494,CalLookUpRow,0),MATCH(I$1,CalLookUpColumn,0))</f>
        <v>3</v>
      </c>
    </row>
    <row r="5495" spans="1:9" x14ac:dyDescent="0.25">
      <c r="A5495" s="7">
        <v>3</v>
      </c>
      <c r="B5495" s="8">
        <v>43875</v>
      </c>
      <c r="C5495" s="9" t="s">
        <v>3</v>
      </c>
      <c r="D5495" s="10">
        <v>0</v>
      </c>
      <c r="E5495" s="10">
        <v>0</v>
      </c>
      <c r="F5495" t="str">
        <f>VLOOKUP(A5495,StoreLookup,2,FALSE)</f>
        <v>Store#3</v>
      </c>
      <c r="G5495">
        <f>INDEX(CalLookUpTable,MATCH($B5495,CalLookUpRow,0),MATCH(G$1,CalLookUpColumn,0))</f>
        <v>2020</v>
      </c>
      <c r="H5495">
        <f>INDEX(CalLookUpTable,MATCH($B5495,CalLookUpRow,0),MATCH(H$1,CalLookUpColumn,0))</f>
        <v>2</v>
      </c>
      <c r="I5495">
        <f>INDEX(CalLookUpTable,MATCH($B5495,CalLookUpRow,0),MATCH(I$1,CalLookUpColumn,0))</f>
        <v>3</v>
      </c>
    </row>
    <row r="5496" spans="1:9" x14ac:dyDescent="0.25">
      <c r="A5496" s="7">
        <v>3</v>
      </c>
      <c r="B5496" s="8">
        <v>43875</v>
      </c>
      <c r="C5496" s="9" t="s">
        <v>5</v>
      </c>
      <c r="D5496" s="10">
        <v>3243.45</v>
      </c>
      <c r="E5496" s="10">
        <v>3302.0749999999998</v>
      </c>
      <c r="F5496" t="str">
        <f>VLOOKUP(A5496,StoreLookup,2,FALSE)</f>
        <v>Store#3</v>
      </c>
      <c r="G5496">
        <f>INDEX(CalLookUpTable,MATCH($B5496,CalLookUpRow,0),MATCH(G$1,CalLookUpColumn,0))</f>
        <v>2020</v>
      </c>
      <c r="H5496">
        <f>INDEX(CalLookUpTable,MATCH($B5496,CalLookUpRow,0),MATCH(H$1,CalLookUpColumn,0))</f>
        <v>2</v>
      </c>
      <c r="I5496">
        <f>INDEX(CalLookUpTable,MATCH($B5496,CalLookUpRow,0),MATCH(I$1,CalLookUpColumn,0))</f>
        <v>3</v>
      </c>
    </row>
    <row r="5497" spans="1:9" x14ac:dyDescent="0.25">
      <c r="A5497" s="7">
        <v>3</v>
      </c>
      <c r="B5497" s="8">
        <v>43875</v>
      </c>
      <c r="C5497" s="9" t="s">
        <v>6</v>
      </c>
      <c r="D5497" s="10">
        <v>1535.569</v>
      </c>
      <c r="E5497" s="10">
        <v>734.41899999999998</v>
      </c>
      <c r="F5497" t="str">
        <f>VLOOKUP(A5497,StoreLookup,2,FALSE)</f>
        <v>Store#3</v>
      </c>
      <c r="G5497">
        <f>INDEX(CalLookUpTable,MATCH($B5497,CalLookUpRow,0),MATCH(G$1,CalLookUpColumn,0))</f>
        <v>2020</v>
      </c>
      <c r="H5497">
        <f>INDEX(CalLookUpTable,MATCH($B5497,CalLookUpRow,0),MATCH(H$1,CalLookUpColumn,0))</f>
        <v>2</v>
      </c>
      <c r="I5497">
        <f>INDEX(CalLookUpTable,MATCH($B5497,CalLookUpRow,0),MATCH(I$1,CalLookUpColumn,0))</f>
        <v>3</v>
      </c>
    </row>
    <row r="5498" spans="1:9" x14ac:dyDescent="0.25">
      <c r="A5498" s="7">
        <v>3</v>
      </c>
      <c r="B5498" s="8">
        <v>43876</v>
      </c>
      <c r="C5498" s="9" t="s">
        <v>3</v>
      </c>
      <c r="D5498" s="10">
        <v>0</v>
      </c>
      <c r="E5498" s="10">
        <v>409.822</v>
      </c>
      <c r="F5498" t="str">
        <f>VLOOKUP(A5498,StoreLookup,2,FALSE)</f>
        <v>Store#3</v>
      </c>
      <c r="G5498">
        <f>INDEX(CalLookUpTable,MATCH($B5498,CalLookUpRow,0),MATCH(G$1,CalLookUpColumn,0))</f>
        <v>2020</v>
      </c>
      <c r="H5498">
        <f>INDEX(CalLookUpTable,MATCH($B5498,CalLookUpRow,0),MATCH(H$1,CalLookUpColumn,0))</f>
        <v>2</v>
      </c>
      <c r="I5498">
        <f>INDEX(CalLookUpTable,MATCH($B5498,CalLookUpRow,0),MATCH(I$1,CalLookUpColumn,0))</f>
        <v>3</v>
      </c>
    </row>
    <row r="5499" spans="1:9" x14ac:dyDescent="0.25">
      <c r="A5499" s="7">
        <v>3</v>
      </c>
      <c r="B5499" s="8">
        <v>43876</v>
      </c>
      <c r="C5499" s="9" t="s">
        <v>4</v>
      </c>
      <c r="D5499" s="10">
        <v>3608.99</v>
      </c>
      <c r="E5499" s="10">
        <v>3395.8049999999994</v>
      </c>
      <c r="F5499" t="str">
        <f>VLOOKUP(A5499,StoreLookup,2,FALSE)</f>
        <v>Store#3</v>
      </c>
      <c r="G5499">
        <f>INDEX(CalLookUpTable,MATCH($B5499,CalLookUpRow,0),MATCH(G$1,CalLookUpColumn,0))</f>
        <v>2020</v>
      </c>
      <c r="H5499">
        <f>INDEX(CalLookUpTable,MATCH($B5499,CalLookUpRow,0),MATCH(H$1,CalLookUpColumn,0))</f>
        <v>2</v>
      </c>
      <c r="I5499">
        <f>INDEX(CalLookUpTable,MATCH($B5499,CalLookUpRow,0),MATCH(I$1,CalLookUpColumn,0))</f>
        <v>3</v>
      </c>
    </row>
    <row r="5500" spans="1:9" x14ac:dyDescent="0.25">
      <c r="A5500" s="7">
        <v>3</v>
      </c>
      <c r="B5500" s="8">
        <v>43876</v>
      </c>
      <c r="C5500" s="9" t="s">
        <v>6</v>
      </c>
      <c r="D5500" s="10">
        <v>1713.691</v>
      </c>
      <c r="E5500" s="10">
        <v>766.64</v>
      </c>
      <c r="F5500" t="str">
        <f>VLOOKUP(A5500,StoreLookup,2,FALSE)</f>
        <v>Store#3</v>
      </c>
      <c r="G5500">
        <f>INDEX(CalLookUpTable,MATCH($B5500,CalLookUpRow,0),MATCH(G$1,CalLookUpColumn,0))</f>
        <v>2020</v>
      </c>
      <c r="H5500">
        <f>INDEX(CalLookUpTable,MATCH($B5500,CalLookUpRow,0),MATCH(H$1,CalLookUpColumn,0))</f>
        <v>2</v>
      </c>
      <c r="I5500">
        <f>INDEX(CalLookUpTable,MATCH($B5500,CalLookUpRow,0),MATCH(I$1,CalLookUpColumn,0))</f>
        <v>3</v>
      </c>
    </row>
    <row r="5501" spans="1:9" x14ac:dyDescent="0.25">
      <c r="A5501" s="7">
        <v>3</v>
      </c>
      <c r="B5501" s="8">
        <v>43876</v>
      </c>
      <c r="C5501" s="9" t="s">
        <v>5</v>
      </c>
      <c r="D5501" s="10">
        <v>2825.4449999999997</v>
      </c>
      <c r="E5501" s="10">
        <v>3440.5</v>
      </c>
      <c r="F5501" t="str">
        <f>VLOOKUP(A5501,StoreLookup,2,FALSE)</f>
        <v>Store#3</v>
      </c>
      <c r="G5501">
        <f>INDEX(CalLookUpTable,MATCH($B5501,CalLookUpRow,0),MATCH(G$1,CalLookUpColumn,0))</f>
        <v>2020</v>
      </c>
      <c r="H5501">
        <f>INDEX(CalLookUpTable,MATCH($B5501,CalLookUpRow,0),MATCH(H$1,CalLookUpColumn,0))</f>
        <v>2</v>
      </c>
      <c r="I5501">
        <f>INDEX(CalLookUpTable,MATCH($B5501,CalLookUpRow,0),MATCH(I$1,CalLookUpColumn,0))</f>
        <v>3</v>
      </c>
    </row>
    <row r="5502" spans="1:9" x14ac:dyDescent="0.25">
      <c r="A5502" s="7">
        <v>3</v>
      </c>
      <c r="B5502" s="8">
        <v>43877</v>
      </c>
      <c r="C5502" s="9" t="s">
        <v>6</v>
      </c>
      <c r="D5502" s="10">
        <v>594.87400000000002</v>
      </c>
      <c r="E5502" s="10">
        <v>455.30099999999993</v>
      </c>
      <c r="F5502" t="str">
        <f>VLOOKUP(A5502,StoreLookup,2,FALSE)</f>
        <v>Store#3</v>
      </c>
      <c r="G5502">
        <f>INDEX(CalLookUpTable,MATCH($B5502,CalLookUpRow,0),MATCH(G$1,CalLookUpColumn,0))</f>
        <v>2020</v>
      </c>
      <c r="H5502">
        <f>INDEX(CalLookUpTable,MATCH($B5502,CalLookUpRow,0),MATCH(H$1,CalLookUpColumn,0))</f>
        <v>2</v>
      </c>
      <c r="I5502">
        <f>INDEX(CalLookUpTable,MATCH($B5502,CalLookUpRow,0),MATCH(I$1,CalLookUpColumn,0))</f>
        <v>3</v>
      </c>
    </row>
    <row r="5503" spans="1:9" x14ac:dyDescent="0.25">
      <c r="A5503" s="7">
        <v>3</v>
      </c>
      <c r="B5503" s="8">
        <v>43877</v>
      </c>
      <c r="C5503" s="9" t="s">
        <v>4</v>
      </c>
      <c r="D5503" s="10">
        <v>2307.7179999999998</v>
      </c>
      <c r="E5503" s="10">
        <v>2368.3029999999999</v>
      </c>
      <c r="F5503" t="str">
        <f>VLOOKUP(A5503,StoreLookup,2,FALSE)</f>
        <v>Store#3</v>
      </c>
      <c r="G5503">
        <f>INDEX(CalLookUpTable,MATCH($B5503,CalLookUpRow,0),MATCH(G$1,CalLookUpColumn,0))</f>
        <v>2020</v>
      </c>
      <c r="H5503">
        <f>INDEX(CalLookUpTable,MATCH($B5503,CalLookUpRow,0),MATCH(H$1,CalLookUpColumn,0))</f>
        <v>2</v>
      </c>
      <c r="I5503">
        <f>INDEX(CalLookUpTable,MATCH($B5503,CalLookUpRow,0),MATCH(I$1,CalLookUpColumn,0))</f>
        <v>3</v>
      </c>
    </row>
    <row r="5504" spans="1:9" x14ac:dyDescent="0.25">
      <c r="A5504" s="7">
        <v>3</v>
      </c>
      <c r="B5504" s="8">
        <v>43877</v>
      </c>
      <c r="C5504" s="9" t="s">
        <v>3</v>
      </c>
      <c r="D5504" s="10">
        <v>0</v>
      </c>
      <c r="E5504" s="10">
        <v>0</v>
      </c>
      <c r="F5504" t="str">
        <f>VLOOKUP(A5504,StoreLookup,2,FALSE)</f>
        <v>Store#3</v>
      </c>
      <c r="G5504">
        <f>INDEX(CalLookUpTable,MATCH($B5504,CalLookUpRow,0),MATCH(G$1,CalLookUpColumn,0))</f>
        <v>2020</v>
      </c>
      <c r="H5504">
        <f>INDEX(CalLookUpTable,MATCH($B5504,CalLookUpRow,0),MATCH(H$1,CalLookUpColumn,0))</f>
        <v>2</v>
      </c>
      <c r="I5504">
        <f>INDEX(CalLookUpTable,MATCH($B5504,CalLookUpRow,0),MATCH(I$1,CalLookUpColumn,0))</f>
        <v>3</v>
      </c>
    </row>
    <row r="5505" spans="1:9" x14ac:dyDescent="0.25">
      <c r="A5505" s="7">
        <v>3</v>
      </c>
      <c r="B5505" s="8">
        <v>43877</v>
      </c>
      <c r="C5505" s="9" t="s">
        <v>5</v>
      </c>
      <c r="D5505" s="10">
        <v>1745.5059999999999</v>
      </c>
      <c r="E5505" s="10">
        <v>2434.3339999999998</v>
      </c>
      <c r="F5505" t="str">
        <f>VLOOKUP(A5505,StoreLookup,2,FALSE)</f>
        <v>Store#3</v>
      </c>
      <c r="G5505">
        <f>INDEX(CalLookUpTable,MATCH($B5505,CalLookUpRow,0),MATCH(G$1,CalLookUpColumn,0))</f>
        <v>2020</v>
      </c>
      <c r="H5505">
        <f>INDEX(CalLookUpTable,MATCH($B5505,CalLookUpRow,0),MATCH(H$1,CalLookUpColumn,0))</f>
        <v>2</v>
      </c>
      <c r="I5505">
        <f>INDEX(CalLookUpTable,MATCH($B5505,CalLookUpRow,0),MATCH(I$1,CalLookUpColumn,0))</f>
        <v>3</v>
      </c>
    </row>
    <row r="5506" spans="1:9" x14ac:dyDescent="0.25">
      <c r="A5506" s="7">
        <v>3</v>
      </c>
      <c r="B5506" s="8">
        <v>43878</v>
      </c>
      <c r="C5506" s="9" t="s">
        <v>5</v>
      </c>
      <c r="D5506" s="10">
        <v>3073.9589999999998</v>
      </c>
      <c r="E5506" s="10">
        <v>3449.8239999999996</v>
      </c>
      <c r="F5506" t="str">
        <f>VLOOKUP(A5506,StoreLookup,2,FALSE)</f>
        <v>Store#3</v>
      </c>
      <c r="G5506">
        <f>INDEX(CalLookUpTable,MATCH($B5506,CalLookUpRow,0),MATCH(G$1,CalLookUpColumn,0))</f>
        <v>2020</v>
      </c>
      <c r="H5506">
        <f>INDEX(CalLookUpTable,MATCH($B5506,CalLookUpRow,0),MATCH(H$1,CalLookUpColumn,0))</f>
        <v>2</v>
      </c>
      <c r="I5506">
        <f>INDEX(CalLookUpTable,MATCH($B5506,CalLookUpRow,0),MATCH(I$1,CalLookUpColumn,0))</f>
        <v>4</v>
      </c>
    </row>
    <row r="5507" spans="1:9" x14ac:dyDescent="0.25">
      <c r="A5507" s="7">
        <v>3</v>
      </c>
      <c r="B5507" s="8">
        <v>43878</v>
      </c>
      <c r="C5507" s="9" t="s">
        <v>6</v>
      </c>
      <c r="D5507" s="10">
        <v>1463.21</v>
      </c>
      <c r="E5507" s="10">
        <v>928.75299999999993</v>
      </c>
      <c r="F5507" t="str">
        <f>VLOOKUP(A5507,StoreLookup,2,FALSE)</f>
        <v>Store#3</v>
      </c>
      <c r="G5507">
        <f>INDEX(CalLookUpTable,MATCH($B5507,CalLookUpRow,0),MATCH(G$1,CalLookUpColumn,0))</f>
        <v>2020</v>
      </c>
      <c r="H5507">
        <f>INDEX(CalLookUpTable,MATCH($B5507,CalLookUpRow,0),MATCH(H$1,CalLookUpColumn,0))</f>
        <v>2</v>
      </c>
      <c r="I5507">
        <f>INDEX(CalLookUpTable,MATCH($B5507,CalLookUpRow,0),MATCH(I$1,CalLookUpColumn,0))</f>
        <v>4</v>
      </c>
    </row>
    <row r="5508" spans="1:9" x14ac:dyDescent="0.25">
      <c r="A5508" s="7">
        <v>3</v>
      </c>
      <c r="B5508" s="8">
        <v>43878</v>
      </c>
      <c r="C5508" s="9" t="s">
        <v>4</v>
      </c>
      <c r="D5508" s="10">
        <v>3459.1899999999996</v>
      </c>
      <c r="E5508" s="10">
        <v>3559.5279999999998</v>
      </c>
      <c r="F5508" t="str">
        <f>VLOOKUP(A5508,StoreLookup,2,FALSE)</f>
        <v>Store#3</v>
      </c>
      <c r="G5508">
        <f>INDEX(CalLookUpTable,MATCH($B5508,CalLookUpRow,0),MATCH(G$1,CalLookUpColumn,0))</f>
        <v>2020</v>
      </c>
      <c r="H5508">
        <f>INDEX(CalLookUpTable,MATCH($B5508,CalLookUpRow,0),MATCH(H$1,CalLookUpColumn,0))</f>
        <v>2</v>
      </c>
      <c r="I5508">
        <f>INDEX(CalLookUpTable,MATCH($B5508,CalLookUpRow,0),MATCH(I$1,CalLookUpColumn,0))</f>
        <v>4</v>
      </c>
    </row>
    <row r="5509" spans="1:9" x14ac:dyDescent="0.25">
      <c r="A5509" s="7">
        <v>3</v>
      </c>
      <c r="B5509" s="8">
        <v>43878</v>
      </c>
      <c r="C5509" s="9" t="s">
        <v>3</v>
      </c>
      <c r="D5509" s="10">
        <v>14.678999999999998</v>
      </c>
      <c r="E5509" s="10">
        <v>15.519</v>
      </c>
      <c r="F5509" t="str">
        <f>VLOOKUP(A5509,StoreLookup,2,FALSE)</f>
        <v>Store#3</v>
      </c>
      <c r="G5509">
        <f>INDEX(CalLookUpTable,MATCH($B5509,CalLookUpRow,0),MATCH(G$1,CalLookUpColumn,0))</f>
        <v>2020</v>
      </c>
      <c r="H5509">
        <f>INDEX(CalLookUpTable,MATCH($B5509,CalLookUpRow,0),MATCH(H$1,CalLookUpColumn,0))</f>
        <v>2</v>
      </c>
      <c r="I5509">
        <f>INDEX(CalLookUpTable,MATCH($B5509,CalLookUpRow,0),MATCH(I$1,CalLookUpColumn,0))</f>
        <v>4</v>
      </c>
    </row>
    <row r="5510" spans="1:9" x14ac:dyDescent="0.25">
      <c r="A5510" s="7">
        <v>3</v>
      </c>
      <c r="B5510" s="8">
        <v>43879</v>
      </c>
      <c r="C5510" s="9" t="s">
        <v>6</v>
      </c>
      <c r="D5510" s="10">
        <v>1262.0509999999999</v>
      </c>
      <c r="E5510" s="10">
        <v>525.74900000000002</v>
      </c>
      <c r="F5510" t="str">
        <f>VLOOKUP(A5510,StoreLookup,2,FALSE)</f>
        <v>Store#3</v>
      </c>
      <c r="G5510">
        <f>INDEX(CalLookUpTable,MATCH($B5510,CalLookUpRow,0),MATCH(G$1,CalLookUpColumn,0))</f>
        <v>2020</v>
      </c>
      <c r="H5510">
        <f>INDEX(CalLookUpTable,MATCH($B5510,CalLookUpRow,0),MATCH(H$1,CalLookUpColumn,0))</f>
        <v>2</v>
      </c>
      <c r="I5510">
        <f>INDEX(CalLookUpTable,MATCH($B5510,CalLookUpRow,0),MATCH(I$1,CalLookUpColumn,0))</f>
        <v>4</v>
      </c>
    </row>
    <row r="5511" spans="1:9" x14ac:dyDescent="0.25">
      <c r="A5511" s="7">
        <v>3</v>
      </c>
      <c r="B5511" s="8">
        <v>43879</v>
      </c>
      <c r="C5511" s="9" t="s">
        <v>3</v>
      </c>
      <c r="D5511" s="10">
        <v>33.781999999999996</v>
      </c>
      <c r="E5511" s="10">
        <v>0</v>
      </c>
      <c r="F5511" t="str">
        <f>VLOOKUP(A5511,StoreLookup,2,FALSE)</f>
        <v>Store#3</v>
      </c>
      <c r="G5511">
        <f>INDEX(CalLookUpTable,MATCH($B5511,CalLookUpRow,0),MATCH(G$1,CalLookUpColumn,0))</f>
        <v>2020</v>
      </c>
      <c r="H5511">
        <f>INDEX(CalLookUpTable,MATCH($B5511,CalLookUpRow,0),MATCH(H$1,CalLookUpColumn,0))</f>
        <v>2</v>
      </c>
      <c r="I5511">
        <f>INDEX(CalLookUpTable,MATCH($B5511,CalLookUpRow,0),MATCH(I$1,CalLookUpColumn,0))</f>
        <v>4</v>
      </c>
    </row>
    <row r="5512" spans="1:9" x14ac:dyDescent="0.25">
      <c r="A5512" s="7">
        <v>3</v>
      </c>
      <c r="B5512" s="8">
        <v>43879</v>
      </c>
      <c r="C5512" s="9" t="s">
        <v>5</v>
      </c>
      <c r="D5512" s="10">
        <v>2804.6410000000001</v>
      </c>
      <c r="E5512" s="10">
        <v>3592.5609999999992</v>
      </c>
      <c r="F5512" t="str">
        <f>VLOOKUP(A5512,StoreLookup,2,FALSE)</f>
        <v>Store#3</v>
      </c>
      <c r="G5512">
        <f>INDEX(CalLookUpTable,MATCH($B5512,CalLookUpRow,0),MATCH(G$1,CalLookUpColumn,0))</f>
        <v>2020</v>
      </c>
      <c r="H5512">
        <f>INDEX(CalLookUpTable,MATCH($B5512,CalLookUpRow,0),MATCH(H$1,CalLookUpColumn,0))</f>
        <v>2</v>
      </c>
      <c r="I5512">
        <f>INDEX(CalLookUpTable,MATCH($B5512,CalLookUpRow,0),MATCH(I$1,CalLookUpColumn,0))</f>
        <v>4</v>
      </c>
    </row>
    <row r="5513" spans="1:9" x14ac:dyDescent="0.25">
      <c r="A5513" s="7">
        <v>3</v>
      </c>
      <c r="B5513" s="8">
        <v>43879</v>
      </c>
      <c r="C5513" s="9" t="s">
        <v>4</v>
      </c>
      <c r="D5513" s="10">
        <v>2681.7</v>
      </c>
      <c r="E5513" s="10">
        <v>3104.2059999999997</v>
      </c>
      <c r="F5513" t="str">
        <f>VLOOKUP(A5513,StoreLookup,2,FALSE)</f>
        <v>Store#3</v>
      </c>
      <c r="G5513">
        <f>INDEX(CalLookUpTable,MATCH($B5513,CalLookUpRow,0),MATCH(G$1,CalLookUpColumn,0))</f>
        <v>2020</v>
      </c>
      <c r="H5513">
        <f>INDEX(CalLookUpTable,MATCH($B5513,CalLookUpRow,0),MATCH(H$1,CalLookUpColumn,0))</f>
        <v>2</v>
      </c>
      <c r="I5513">
        <f>INDEX(CalLookUpTable,MATCH($B5513,CalLookUpRow,0),MATCH(I$1,CalLookUpColumn,0))</f>
        <v>4</v>
      </c>
    </row>
    <row r="5514" spans="1:9" x14ac:dyDescent="0.25">
      <c r="A5514" s="7">
        <v>3</v>
      </c>
      <c r="B5514" s="8">
        <v>43880</v>
      </c>
      <c r="C5514" s="9" t="s">
        <v>4</v>
      </c>
      <c r="D5514" s="10">
        <v>3207.3859999999995</v>
      </c>
      <c r="E5514" s="10">
        <v>2843.1129999999998</v>
      </c>
      <c r="F5514" t="str">
        <f>VLOOKUP(A5514,StoreLookup,2,FALSE)</f>
        <v>Store#3</v>
      </c>
      <c r="G5514">
        <f>INDEX(CalLookUpTable,MATCH($B5514,CalLookUpRow,0),MATCH(G$1,CalLookUpColumn,0))</f>
        <v>2020</v>
      </c>
      <c r="H5514">
        <f>INDEX(CalLookUpTable,MATCH($B5514,CalLookUpRow,0),MATCH(H$1,CalLookUpColumn,0))</f>
        <v>2</v>
      </c>
      <c r="I5514">
        <f>INDEX(CalLookUpTable,MATCH($B5514,CalLookUpRow,0),MATCH(I$1,CalLookUpColumn,0))</f>
        <v>4</v>
      </c>
    </row>
    <row r="5515" spans="1:9" x14ac:dyDescent="0.25">
      <c r="A5515" s="7">
        <v>3</v>
      </c>
      <c r="B5515" s="8">
        <v>43880</v>
      </c>
      <c r="C5515" s="9" t="s">
        <v>5</v>
      </c>
      <c r="D5515" s="10">
        <v>3017.3920000000003</v>
      </c>
      <c r="E5515" s="10">
        <v>2861.5229999999997</v>
      </c>
      <c r="F5515" t="str">
        <f>VLOOKUP(A5515,StoreLookup,2,FALSE)</f>
        <v>Store#3</v>
      </c>
      <c r="G5515">
        <f>INDEX(CalLookUpTable,MATCH($B5515,CalLookUpRow,0),MATCH(G$1,CalLookUpColumn,0))</f>
        <v>2020</v>
      </c>
      <c r="H5515">
        <f>INDEX(CalLookUpTable,MATCH($B5515,CalLookUpRow,0),MATCH(H$1,CalLookUpColumn,0))</f>
        <v>2</v>
      </c>
      <c r="I5515">
        <f>INDEX(CalLookUpTable,MATCH($B5515,CalLookUpRow,0),MATCH(I$1,CalLookUpColumn,0))</f>
        <v>4</v>
      </c>
    </row>
    <row r="5516" spans="1:9" x14ac:dyDescent="0.25">
      <c r="A5516" s="7">
        <v>3</v>
      </c>
      <c r="B5516" s="8">
        <v>43880</v>
      </c>
      <c r="C5516" s="9" t="s">
        <v>3</v>
      </c>
      <c r="D5516" s="10">
        <v>160.85999999999999</v>
      </c>
      <c r="E5516" s="10">
        <v>481.48099999999999</v>
      </c>
      <c r="F5516" t="str">
        <f>VLOOKUP(A5516,StoreLookup,2,FALSE)</f>
        <v>Store#3</v>
      </c>
      <c r="G5516">
        <f>INDEX(CalLookUpTable,MATCH($B5516,CalLookUpRow,0),MATCH(G$1,CalLookUpColumn,0))</f>
        <v>2020</v>
      </c>
      <c r="H5516">
        <f>INDEX(CalLookUpTable,MATCH($B5516,CalLookUpRow,0),MATCH(H$1,CalLookUpColumn,0))</f>
        <v>2</v>
      </c>
      <c r="I5516">
        <f>INDEX(CalLookUpTable,MATCH($B5516,CalLookUpRow,0),MATCH(I$1,CalLookUpColumn,0))</f>
        <v>4</v>
      </c>
    </row>
    <row r="5517" spans="1:9" x14ac:dyDescent="0.25">
      <c r="A5517" s="7">
        <v>3</v>
      </c>
      <c r="B5517" s="8">
        <v>43880</v>
      </c>
      <c r="C5517" s="9" t="s">
        <v>6</v>
      </c>
      <c r="D5517" s="10">
        <v>1081.6609999999998</v>
      </c>
      <c r="E5517" s="10">
        <v>703.15</v>
      </c>
      <c r="F5517" t="str">
        <f>VLOOKUP(A5517,StoreLookup,2,FALSE)</f>
        <v>Store#3</v>
      </c>
      <c r="G5517">
        <f>INDEX(CalLookUpTable,MATCH($B5517,CalLookUpRow,0),MATCH(G$1,CalLookUpColumn,0))</f>
        <v>2020</v>
      </c>
      <c r="H5517">
        <f>INDEX(CalLookUpTable,MATCH($B5517,CalLookUpRow,0),MATCH(H$1,CalLookUpColumn,0))</f>
        <v>2</v>
      </c>
      <c r="I5517">
        <f>INDEX(CalLookUpTable,MATCH($B5517,CalLookUpRow,0),MATCH(I$1,CalLookUpColumn,0))</f>
        <v>4</v>
      </c>
    </row>
    <row r="5518" spans="1:9" x14ac:dyDescent="0.25">
      <c r="A5518" s="7">
        <v>3</v>
      </c>
      <c r="B5518" s="8">
        <v>43881</v>
      </c>
      <c r="C5518" s="9" t="s">
        <v>3</v>
      </c>
      <c r="D5518" s="10">
        <v>396.97699999999998</v>
      </c>
      <c r="E5518" s="10">
        <v>0</v>
      </c>
      <c r="F5518" t="str">
        <f>VLOOKUP(A5518,StoreLookup,2,FALSE)</f>
        <v>Store#3</v>
      </c>
      <c r="G5518">
        <f>INDEX(CalLookUpTable,MATCH($B5518,CalLookUpRow,0),MATCH(G$1,CalLookUpColumn,0))</f>
        <v>2020</v>
      </c>
      <c r="H5518">
        <f>INDEX(CalLookUpTable,MATCH($B5518,CalLookUpRow,0),MATCH(H$1,CalLookUpColumn,0))</f>
        <v>2</v>
      </c>
      <c r="I5518">
        <f>INDEX(CalLookUpTable,MATCH($B5518,CalLookUpRow,0),MATCH(I$1,CalLookUpColumn,0))</f>
        <v>4</v>
      </c>
    </row>
    <row r="5519" spans="1:9" x14ac:dyDescent="0.25">
      <c r="A5519" s="7">
        <v>3</v>
      </c>
      <c r="B5519" s="8">
        <v>43881</v>
      </c>
      <c r="C5519" s="9" t="s">
        <v>5</v>
      </c>
      <c r="D5519" s="10">
        <v>3422.8040000000001</v>
      </c>
      <c r="E5519" s="10">
        <v>3325.1260000000002</v>
      </c>
      <c r="F5519" t="str">
        <f>VLOOKUP(A5519,StoreLookup,2,FALSE)</f>
        <v>Store#3</v>
      </c>
      <c r="G5519">
        <f>INDEX(CalLookUpTable,MATCH($B5519,CalLookUpRow,0),MATCH(G$1,CalLookUpColumn,0))</f>
        <v>2020</v>
      </c>
      <c r="H5519">
        <f>INDEX(CalLookUpTable,MATCH($B5519,CalLookUpRow,0),MATCH(H$1,CalLookUpColumn,0))</f>
        <v>2</v>
      </c>
      <c r="I5519">
        <f>INDEX(CalLookUpTable,MATCH($B5519,CalLookUpRow,0),MATCH(I$1,CalLookUpColumn,0))</f>
        <v>4</v>
      </c>
    </row>
    <row r="5520" spans="1:9" x14ac:dyDescent="0.25">
      <c r="A5520" s="7">
        <v>3</v>
      </c>
      <c r="B5520" s="8">
        <v>43881</v>
      </c>
      <c r="C5520" s="9" t="s">
        <v>4</v>
      </c>
      <c r="D5520" s="10">
        <v>3374.875</v>
      </c>
      <c r="E5520" s="10">
        <v>3098.0529999999999</v>
      </c>
      <c r="F5520" t="str">
        <f>VLOOKUP(A5520,StoreLookup,2,FALSE)</f>
        <v>Store#3</v>
      </c>
      <c r="G5520">
        <f>INDEX(CalLookUpTable,MATCH($B5520,CalLookUpRow,0),MATCH(G$1,CalLookUpColumn,0))</f>
        <v>2020</v>
      </c>
      <c r="H5520">
        <f>INDEX(CalLookUpTable,MATCH($B5520,CalLookUpRow,0),MATCH(H$1,CalLookUpColumn,0))</f>
        <v>2</v>
      </c>
      <c r="I5520">
        <f>INDEX(CalLookUpTable,MATCH($B5520,CalLookUpRow,0),MATCH(I$1,CalLookUpColumn,0))</f>
        <v>4</v>
      </c>
    </row>
    <row r="5521" spans="1:9" x14ac:dyDescent="0.25">
      <c r="A5521" s="7">
        <v>3</v>
      </c>
      <c r="B5521" s="8">
        <v>43881</v>
      </c>
      <c r="C5521" s="9" t="s">
        <v>6</v>
      </c>
      <c r="D5521" s="10">
        <v>1579.9279999999999</v>
      </c>
      <c r="E5521" s="10">
        <v>836.13599999999997</v>
      </c>
      <c r="F5521" t="str">
        <f>VLOOKUP(A5521,StoreLookup,2,FALSE)</f>
        <v>Store#3</v>
      </c>
      <c r="G5521">
        <f>INDEX(CalLookUpTable,MATCH($B5521,CalLookUpRow,0),MATCH(G$1,CalLookUpColumn,0))</f>
        <v>2020</v>
      </c>
      <c r="H5521">
        <f>INDEX(CalLookUpTable,MATCH($B5521,CalLookUpRow,0),MATCH(H$1,CalLookUpColumn,0))</f>
        <v>2</v>
      </c>
      <c r="I5521">
        <f>INDEX(CalLookUpTable,MATCH($B5521,CalLookUpRow,0),MATCH(I$1,CalLookUpColumn,0))</f>
        <v>4</v>
      </c>
    </row>
    <row r="5522" spans="1:9" x14ac:dyDescent="0.25">
      <c r="A5522" s="7">
        <v>3</v>
      </c>
      <c r="B5522" s="8">
        <v>43882</v>
      </c>
      <c r="C5522" s="9" t="s">
        <v>6</v>
      </c>
      <c r="D5522" s="10">
        <v>2067.1419999999998</v>
      </c>
      <c r="E5522" s="10">
        <v>725.21399999999994</v>
      </c>
      <c r="F5522" t="str">
        <f>VLOOKUP(A5522,StoreLookup,2,FALSE)</f>
        <v>Store#3</v>
      </c>
      <c r="G5522">
        <f>INDEX(CalLookUpTable,MATCH($B5522,CalLookUpRow,0),MATCH(G$1,CalLookUpColumn,0))</f>
        <v>2020</v>
      </c>
      <c r="H5522">
        <f>INDEX(CalLookUpTable,MATCH($B5522,CalLookUpRow,0),MATCH(H$1,CalLookUpColumn,0))</f>
        <v>2</v>
      </c>
      <c r="I5522">
        <f>INDEX(CalLookUpTable,MATCH($B5522,CalLookUpRow,0),MATCH(I$1,CalLookUpColumn,0))</f>
        <v>4</v>
      </c>
    </row>
    <row r="5523" spans="1:9" x14ac:dyDescent="0.25">
      <c r="A5523" s="7">
        <v>3</v>
      </c>
      <c r="B5523" s="8">
        <v>43882</v>
      </c>
      <c r="C5523" s="9" t="s">
        <v>4</v>
      </c>
      <c r="D5523" s="10">
        <v>3393.2709999999997</v>
      </c>
      <c r="E5523" s="10">
        <v>3990.413</v>
      </c>
      <c r="F5523" t="str">
        <f>VLOOKUP(A5523,StoreLookup,2,FALSE)</f>
        <v>Store#3</v>
      </c>
      <c r="G5523">
        <f>INDEX(CalLookUpTable,MATCH($B5523,CalLookUpRow,0),MATCH(G$1,CalLookUpColumn,0))</f>
        <v>2020</v>
      </c>
      <c r="H5523">
        <f>INDEX(CalLookUpTable,MATCH($B5523,CalLookUpRow,0),MATCH(H$1,CalLookUpColumn,0))</f>
        <v>2</v>
      </c>
      <c r="I5523">
        <f>INDEX(CalLookUpTable,MATCH($B5523,CalLookUpRow,0),MATCH(I$1,CalLookUpColumn,0))</f>
        <v>4</v>
      </c>
    </row>
    <row r="5524" spans="1:9" x14ac:dyDescent="0.25">
      <c r="A5524" s="7">
        <v>3</v>
      </c>
      <c r="B5524" s="8">
        <v>43882</v>
      </c>
      <c r="C5524" s="9" t="s">
        <v>5</v>
      </c>
      <c r="D5524" s="10">
        <v>3519.145</v>
      </c>
      <c r="E5524" s="10">
        <v>3901.3449999999998</v>
      </c>
      <c r="F5524" t="str">
        <f>VLOOKUP(A5524,StoreLookup,2,FALSE)</f>
        <v>Store#3</v>
      </c>
      <c r="G5524">
        <f>INDEX(CalLookUpTable,MATCH($B5524,CalLookUpRow,0),MATCH(G$1,CalLookUpColumn,0))</f>
        <v>2020</v>
      </c>
      <c r="H5524">
        <f>INDEX(CalLookUpTable,MATCH($B5524,CalLookUpRow,0),MATCH(H$1,CalLookUpColumn,0))</f>
        <v>2</v>
      </c>
      <c r="I5524">
        <f>INDEX(CalLookUpTable,MATCH($B5524,CalLookUpRow,0),MATCH(I$1,CalLookUpColumn,0))</f>
        <v>4</v>
      </c>
    </row>
    <row r="5525" spans="1:9" x14ac:dyDescent="0.25">
      <c r="A5525" s="7">
        <v>3</v>
      </c>
      <c r="B5525" s="8">
        <v>43882</v>
      </c>
      <c r="C5525" s="9" t="s">
        <v>3</v>
      </c>
      <c r="D5525" s="10">
        <v>0</v>
      </c>
      <c r="E5525" s="10">
        <v>0</v>
      </c>
      <c r="F5525" t="str">
        <f>VLOOKUP(A5525,StoreLookup,2,FALSE)</f>
        <v>Store#3</v>
      </c>
      <c r="G5525">
        <f>INDEX(CalLookUpTable,MATCH($B5525,CalLookUpRow,0),MATCH(G$1,CalLookUpColumn,0))</f>
        <v>2020</v>
      </c>
      <c r="H5525">
        <f>INDEX(CalLookUpTable,MATCH($B5525,CalLookUpRow,0),MATCH(H$1,CalLookUpColumn,0))</f>
        <v>2</v>
      </c>
      <c r="I5525">
        <f>INDEX(CalLookUpTable,MATCH($B5525,CalLookUpRow,0),MATCH(I$1,CalLookUpColumn,0))</f>
        <v>4</v>
      </c>
    </row>
    <row r="5526" spans="1:9" x14ac:dyDescent="0.25">
      <c r="A5526" s="7">
        <v>3</v>
      </c>
      <c r="B5526" s="8">
        <v>43883</v>
      </c>
      <c r="C5526" s="9" t="s">
        <v>6</v>
      </c>
      <c r="D5526" s="10">
        <v>1425.1369999999999</v>
      </c>
      <c r="E5526" s="10">
        <v>983.64</v>
      </c>
      <c r="F5526" t="str">
        <f>VLOOKUP(A5526,StoreLookup,2,FALSE)</f>
        <v>Store#3</v>
      </c>
      <c r="G5526">
        <f>INDEX(CalLookUpTable,MATCH($B5526,CalLookUpRow,0),MATCH(G$1,CalLookUpColumn,0))</f>
        <v>2020</v>
      </c>
      <c r="H5526">
        <f>INDEX(CalLookUpTable,MATCH($B5526,CalLookUpRow,0),MATCH(H$1,CalLookUpColumn,0))</f>
        <v>2</v>
      </c>
      <c r="I5526">
        <f>INDEX(CalLookUpTable,MATCH($B5526,CalLookUpRow,0),MATCH(I$1,CalLookUpColumn,0))</f>
        <v>4</v>
      </c>
    </row>
    <row r="5527" spans="1:9" x14ac:dyDescent="0.25">
      <c r="A5527" s="7">
        <v>3</v>
      </c>
      <c r="B5527" s="8">
        <v>43883</v>
      </c>
      <c r="C5527" s="9" t="s">
        <v>4</v>
      </c>
      <c r="D5527" s="10">
        <v>3235.2670000000003</v>
      </c>
      <c r="E5527" s="10">
        <v>4293.5200000000004</v>
      </c>
      <c r="F5527" t="str">
        <f>VLOOKUP(A5527,StoreLookup,2,FALSE)</f>
        <v>Store#3</v>
      </c>
      <c r="G5527">
        <f>INDEX(CalLookUpTable,MATCH($B5527,CalLookUpRow,0),MATCH(G$1,CalLookUpColumn,0))</f>
        <v>2020</v>
      </c>
      <c r="H5527">
        <f>INDEX(CalLookUpTable,MATCH($B5527,CalLookUpRow,0),MATCH(H$1,CalLookUpColumn,0))</f>
        <v>2</v>
      </c>
      <c r="I5527">
        <f>INDEX(CalLookUpTable,MATCH($B5527,CalLookUpRow,0),MATCH(I$1,CalLookUpColumn,0))</f>
        <v>4</v>
      </c>
    </row>
    <row r="5528" spans="1:9" x14ac:dyDescent="0.25">
      <c r="A5528" s="7">
        <v>3</v>
      </c>
      <c r="B5528" s="8">
        <v>43883</v>
      </c>
      <c r="C5528" s="9" t="s">
        <v>5</v>
      </c>
      <c r="D5528" s="10">
        <v>2772.0559999999996</v>
      </c>
      <c r="E5528" s="10">
        <v>3896.8999999999996</v>
      </c>
      <c r="F5528" t="str">
        <f>VLOOKUP(A5528,StoreLookup,2,FALSE)</f>
        <v>Store#3</v>
      </c>
      <c r="G5528">
        <f>INDEX(CalLookUpTable,MATCH($B5528,CalLookUpRow,0),MATCH(G$1,CalLookUpColumn,0))</f>
        <v>2020</v>
      </c>
      <c r="H5528">
        <f>INDEX(CalLookUpTable,MATCH($B5528,CalLookUpRow,0),MATCH(H$1,CalLookUpColumn,0))</f>
        <v>2</v>
      </c>
      <c r="I5528">
        <f>INDEX(CalLookUpTable,MATCH($B5528,CalLookUpRow,0),MATCH(I$1,CalLookUpColumn,0))</f>
        <v>4</v>
      </c>
    </row>
    <row r="5529" spans="1:9" x14ac:dyDescent="0.25">
      <c r="A5529" s="7">
        <v>3</v>
      </c>
      <c r="B5529" s="8">
        <v>43883</v>
      </c>
      <c r="C5529" s="9" t="s">
        <v>3</v>
      </c>
      <c r="D5529" s="10">
        <v>0</v>
      </c>
      <c r="E5529" s="10">
        <v>0</v>
      </c>
      <c r="F5529" t="str">
        <f>VLOOKUP(A5529,StoreLookup,2,FALSE)</f>
        <v>Store#3</v>
      </c>
      <c r="G5529">
        <f>INDEX(CalLookUpTable,MATCH($B5529,CalLookUpRow,0),MATCH(G$1,CalLookUpColumn,0))</f>
        <v>2020</v>
      </c>
      <c r="H5529">
        <f>INDEX(CalLookUpTable,MATCH($B5529,CalLookUpRow,0),MATCH(H$1,CalLookUpColumn,0))</f>
        <v>2</v>
      </c>
      <c r="I5529">
        <f>INDEX(CalLookUpTable,MATCH($B5529,CalLookUpRow,0),MATCH(I$1,CalLookUpColumn,0))</f>
        <v>4</v>
      </c>
    </row>
    <row r="5530" spans="1:9" x14ac:dyDescent="0.25">
      <c r="A5530" s="7">
        <v>3</v>
      </c>
      <c r="B5530" s="8">
        <v>43884</v>
      </c>
      <c r="C5530" s="9" t="s">
        <v>6</v>
      </c>
      <c r="D5530" s="10">
        <v>995.94599999999991</v>
      </c>
      <c r="E5530" s="10">
        <v>622.13199999999995</v>
      </c>
      <c r="F5530" t="str">
        <f>VLOOKUP(A5530,StoreLookup,2,FALSE)</f>
        <v>Store#3</v>
      </c>
      <c r="G5530">
        <f>INDEX(CalLookUpTable,MATCH($B5530,CalLookUpRow,0),MATCH(G$1,CalLookUpColumn,0))</f>
        <v>2020</v>
      </c>
      <c r="H5530">
        <f>INDEX(CalLookUpTable,MATCH($B5530,CalLookUpRow,0),MATCH(H$1,CalLookUpColumn,0))</f>
        <v>2</v>
      </c>
      <c r="I5530">
        <f>INDEX(CalLookUpTable,MATCH($B5530,CalLookUpRow,0),MATCH(I$1,CalLookUpColumn,0))</f>
        <v>4</v>
      </c>
    </row>
    <row r="5531" spans="1:9" x14ac:dyDescent="0.25">
      <c r="A5531" s="7">
        <v>3</v>
      </c>
      <c r="B5531" s="8">
        <v>43884</v>
      </c>
      <c r="C5531" s="9" t="s">
        <v>4</v>
      </c>
      <c r="D5531" s="10">
        <v>2625.0699999999997</v>
      </c>
      <c r="E5531" s="10">
        <v>2588.6770000000001</v>
      </c>
      <c r="F5531" t="str">
        <f>VLOOKUP(A5531,StoreLookup,2,FALSE)</f>
        <v>Store#3</v>
      </c>
      <c r="G5531">
        <f>INDEX(CalLookUpTable,MATCH($B5531,CalLookUpRow,0),MATCH(G$1,CalLookUpColumn,0))</f>
        <v>2020</v>
      </c>
      <c r="H5531">
        <f>INDEX(CalLookUpTable,MATCH($B5531,CalLookUpRow,0),MATCH(H$1,CalLookUpColumn,0))</f>
        <v>2</v>
      </c>
      <c r="I5531">
        <f>INDEX(CalLookUpTable,MATCH($B5531,CalLookUpRow,0),MATCH(I$1,CalLookUpColumn,0))</f>
        <v>4</v>
      </c>
    </row>
    <row r="5532" spans="1:9" x14ac:dyDescent="0.25">
      <c r="A5532" s="7">
        <v>3</v>
      </c>
      <c r="B5532" s="8">
        <v>43884</v>
      </c>
      <c r="C5532" s="9" t="s">
        <v>3</v>
      </c>
      <c r="D5532" s="10">
        <v>256.73899999999998</v>
      </c>
      <c r="E5532" s="10">
        <v>0</v>
      </c>
      <c r="F5532" t="str">
        <f>VLOOKUP(A5532,StoreLookup,2,FALSE)</f>
        <v>Store#3</v>
      </c>
      <c r="G5532">
        <f>INDEX(CalLookUpTable,MATCH($B5532,CalLookUpRow,0),MATCH(G$1,CalLookUpColumn,0))</f>
        <v>2020</v>
      </c>
      <c r="H5532">
        <f>INDEX(CalLookUpTable,MATCH($B5532,CalLookUpRow,0),MATCH(H$1,CalLookUpColumn,0))</f>
        <v>2</v>
      </c>
      <c r="I5532">
        <f>INDEX(CalLookUpTable,MATCH($B5532,CalLookUpRow,0),MATCH(I$1,CalLookUpColumn,0))</f>
        <v>4</v>
      </c>
    </row>
    <row r="5533" spans="1:9" x14ac:dyDescent="0.25">
      <c r="A5533" s="7">
        <v>3</v>
      </c>
      <c r="B5533" s="8">
        <v>43884</v>
      </c>
      <c r="C5533" s="9" t="s">
        <v>5</v>
      </c>
      <c r="D5533" s="10">
        <v>2741.6689999999999</v>
      </c>
      <c r="E5533" s="10">
        <v>2606.3029999999999</v>
      </c>
      <c r="F5533" t="str">
        <f>VLOOKUP(A5533,StoreLookup,2,FALSE)</f>
        <v>Store#3</v>
      </c>
      <c r="G5533">
        <f>INDEX(CalLookUpTable,MATCH($B5533,CalLookUpRow,0),MATCH(G$1,CalLookUpColumn,0))</f>
        <v>2020</v>
      </c>
      <c r="H5533">
        <f>INDEX(CalLookUpTable,MATCH($B5533,CalLookUpRow,0),MATCH(H$1,CalLookUpColumn,0))</f>
        <v>2</v>
      </c>
      <c r="I5533">
        <f>INDEX(CalLookUpTable,MATCH($B5533,CalLookUpRow,0),MATCH(I$1,CalLookUpColumn,0))</f>
        <v>4</v>
      </c>
    </row>
    <row r="5534" spans="1:9" x14ac:dyDescent="0.25">
      <c r="A5534" s="7">
        <v>3</v>
      </c>
      <c r="B5534" s="8">
        <v>43885</v>
      </c>
      <c r="C5534" s="9" t="s">
        <v>6</v>
      </c>
      <c r="D5534" s="10">
        <v>1048.7539999999999</v>
      </c>
      <c r="E5534" s="10">
        <v>548.39399999999989</v>
      </c>
      <c r="F5534" t="str">
        <f>VLOOKUP(A5534,StoreLookup,2,FALSE)</f>
        <v>Store#3</v>
      </c>
      <c r="G5534">
        <f>INDEX(CalLookUpTable,MATCH($B5534,CalLookUpRow,0),MATCH(G$1,CalLookUpColumn,0))</f>
        <v>2020</v>
      </c>
      <c r="H5534">
        <f>INDEX(CalLookUpTable,MATCH($B5534,CalLookUpRow,0),MATCH(H$1,CalLookUpColumn,0))</f>
        <v>3</v>
      </c>
      <c r="I5534">
        <f>INDEX(CalLookUpTable,MATCH($B5534,CalLookUpRow,0),MATCH(I$1,CalLookUpColumn,0))</f>
        <v>1</v>
      </c>
    </row>
    <row r="5535" spans="1:9" x14ac:dyDescent="0.25">
      <c r="A5535" s="7">
        <v>3</v>
      </c>
      <c r="B5535" s="8">
        <v>43885</v>
      </c>
      <c r="C5535" s="9" t="s">
        <v>5</v>
      </c>
      <c r="D5535" s="10">
        <v>2855.1460000000002</v>
      </c>
      <c r="E5535" s="10">
        <v>3254.5309999999999</v>
      </c>
      <c r="F5535" t="str">
        <f>VLOOKUP(A5535,StoreLookup,2,FALSE)</f>
        <v>Store#3</v>
      </c>
      <c r="G5535">
        <f>INDEX(CalLookUpTable,MATCH($B5535,CalLookUpRow,0),MATCH(G$1,CalLookUpColumn,0))</f>
        <v>2020</v>
      </c>
      <c r="H5535">
        <f>INDEX(CalLookUpTable,MATCH($B5535,CalLookUpRow,0),MATCH(H$1,CalLookUpColumn,0))</f>
        <v>3</v>
      </c>
      <c r="I5535">
        <f>INDEX(CalLookUpTable,MATCH($B5535,CalLookUpRow,0),MATCH(I$1,CalLookUpColumn,0))</f>
        <v>1</v>
      </c>
    </row>
    <row r="5536" spans="1:9" x14ac:dyDescent="0.25">
      <c r="A5536" s="7">
        <v>3</v>
      </c>
      <c r="B5536" s="8">
        <v>43885</v>
      </c>
      <c r="C5536" s="9" t="s">
        <v>4</v>
      </c>
      <c r="D5536" s="10">
        <v>2868.145</v>
      </c>
      <c r="E5536" s="10">
        <v>2687.377</v>
      </c>
      <c r="F5536" t="str">
        <f>VLOOKUP(A5536,StoreLookup,2,FALSE)</f>
        <v>Store#3</v>
      </c>
      <c r="G5536">
        <f>INDEX(CalLookUpTable,MATCH($B5536,CalLookUpRow,0),MATCH(G$1,CalLookUpColumn,0))</f>
        <v>2020</v>
      </c>
      <c r="H5536">
        <f>INDEX(CalLookUpTable,MATCH($B5536,CalLookUpRow,0),MATCH(H$1,CalLookUpColumn,0))</f>
        <v>3</v>
      </c>
      <c r="I5536">
        <f>INDEX(CalLookUpTable,MATCH($B5536,CalLookUpRow,0),MATCH(I$1,CalLookUpColumn,0))</f>
        <v>1</v>
      </c>
    </row>
    <row r="5537" spans="1:9" x14ac:dyDescent="0.25">
      <c r="A5537" s="7">
        <v>3</v>
      </c>
      <c r="B5537" s="8">
        <v>43885</v>
      </c>
      <c r="C5537" s="9" t="s">
        <v>3</v>
      </c>
      <c r="D5537" s="10">
        <v>0</v>
      </c>
      <c r="E5537" s="10">
        <v>0</v>
      </c>
      <c r="F5537" t="str">
        <f>VLOOKUP(A5537,StoreLookup,2,FALSE)</f>
        <v>Store#3</v>
      </c>
      <c r="G5537">
        <f>INDEX(CalLookUpTable,MATCH($B5537,CalLookUpRow,0),MATCH(G$1,CalLookUpColumn,0))</f>
        <v>2020</v>
      </c>
      <c r="H5537">
        <f>INDEX(CalLookUpTable,MATCH($B5537,CalLookUpRow,0),MATCH(H$1,CalLookUpColumn,0))</f>
        <v>3</v>
      </c>
      <c r="I5537">
        <f>INDEX(CalLookUpTable,MATCH($B5537,CalLookUpRow,0),MATCH(I$1,CalLookUpColumn,0))</f>
        <v>1</v>
      </c>
    </row>
    <row r="5538" spans="1:9" x14ac:dyDescent="0.25">
      <c r="A5538" s="7">
        <v>3</v>
      </c>
      <c r="B5538" s="8">
        <v>43886</v>
      </c>
      <c r="C5538" s="9" t="s">
        <v>6</v>
      </c>
      <c r="D5538" s="10">
        <v>1414.0349999999999</v>
      </c>
      <c r="E5538" s="10">
        <v>1009.015</v>
      </c>
      <c r="F5538" t="str">
        <f>VLOOKUP(A5538,StoreLookup,2,FALSE)</f>
        <v>Store#3</v>
      </c>
      <c r="G5538">
        <f>INDEX(CalLookUpTable,MATCH($B5538,CalLookUpRow,0),MATCH(G$1,CalLookUpColumn,0))</f>
        <v>2020</v>
      </c>
      <c r="H5538">
        <f>INDEX(CalLookUpTable,MATCH($B5538,CalLookUpRow,0),MATCH(H$1,CalLookUpColumn,0))</f>
        <v>3</v>
      </c>
      <c r="I5538">
        <f>INDEX(CalLookUpTable,MATCH($B5538,CalLookUpRow,0),MATCH(I$1,CalLookUpColumn,0))</f>
        <v>1</v>
      </c>
    </row>
    <row r="5539" spans="1:9" x14ac:dyDescent="0.25">
      <c r="A5539" s="7">
        <v>3</v>
      </c>
      <c r="B5539" s="8">
        <v>43886</v>
      </c>
      <c r="C5539" s="9" t="s">
        <v>4</v>
      </c>
      <c r="D5539" s="10">
        <v>2984.87</v>
      </c>
      <c r="E5539" s="10">
        <v>2824.8219999999997</v>
      </c>
      <c r="F5539" t="str">
        <f>VLOOKUP(A5539,StoreLookup,2,FALSE)</f>
        <v>Store#3</v>
      </c>
      <c r="G5539">
        <f>INDEX(CalLookUpTable,MATCH($B5539,CalLookUpRow,0),MATCH(G$1,CalLookUpColumn,0))</f>
        <v>2020</v>
      </c>
      <c r="H5539">
        <f>INDEX(CalLookUpTable,MATCH($B5539,CalLookUpRow,0),MATCH(H$1,CalLookUpColumn,0))</f>
        <v>3</v>
      </c>
      <c r="I5539">
        <f>INDEX(CalLookUpTable,MATCH($B5539,CalLookUpRow,0),MATCH(I$1,CalLookUpColumn,0))</f>
        <v>1</v>
      </c>
    </row>
    <row r="5540" spans="1:9" x14ac:dyDescent="0.25">
      <c r="A5540" s="7">
        <v>3</v>
      </c>
      <c r="B5540" s="8">
        <v>43886</v>
      </c>
      <c r="C5540" s="9" t="s">
        <v>5</v>
      </c>
      <c r="D5540" s="10">
        <v>2659.8039999999996</v>
      </c>
      <c r="E5540" s="10">
        <v>3580.192</v>
      </c>
      <c r="F5540" t="str">
        <f>VLOOKUP(A5540,StoreLookup,2,FALSE)</f>
        <v>Store#3</v>
      </c>
      <c r="G5540">
        <f>INDEX(CalLookUpTable,MATCH($B5540,CalLookUpRow,0),MATCH(G$1,CalLookUpColumn,0))</f>
        <v>2020</v>
      </c>
      <c r="H5540">
        <f>INDEX(CalLookUpTable,MATCH($B5540,CalLookUpRow,0),MATCH(H$1,CalLookUpColumn,0))</f>
        <v>3</v>
      </c>
      <c r="I5540">
        <f>INDEX(CalLookUpTable,MATCH($B5540,CalLookUpRow,0),MATCH(I$1,CalLookUpColumn,0))</f>
        <v>1</v>
      </c>
    </row>
    <row r="5541" spans="1:9" x14ac:dyDescent="0.25">
      <c r="A5541" s="7">
        <v>3</v>
      </c>
      <c r="B5541" s="8">
        <v>43886</v>
      </c>
      <c r="C5541" s="9" t="s">
        <v>3</v>
      </c>
      <c r="D5541" s="10">
        <v>0</v>
      </c>
      <c r="E5541" s="10">
        <v>0</v>
      </c>
      <c r="F5541" t="str">
        <f>VLOOKUP(A5541,StoreLookup,2,FALSE)</f>
        <v>Store#3</v>
      </c>
      <c r="G5541">
        <f>INDEX(CalLookUpTable,MATCH($B5541,CalLookUpRow,0),MATCH(G$1,CalLookUpColumn,0))</f>
        <v>2020</v>
      </c>
      <c r="H5541">
        <f>INDEX(CalLookUpTable,MATCH($B5541,CalLookUpRow,0),MATCH(H$1,CalLookUpColumn,0))</f>
        <v>3</v>
      </c>
      <c r="I5541">
        <f>INDEX(CalLookUpTable,MATCH($B5541,CalLookUpRow,0),MATCH(I$1,CalLookUpColumn,0))</f>
        <v>1</v>
      </c>
    </row>
    <row r="5542" spans="1:9" x14ac:dyDescent="0.25">
      <c r="A5542" s="7">
        <v>3</v>
      </c>
      <c r="B5542" s="8">
        <v>43887</v>
      </c>
      <c r="C5542" s="9" t="s">
        <v>4</v>
      </c>
      <c r="D5542" s="10">
        <v>2925.8389999999999</v>
      </c>
      <c r="E5542" s="10">
        <v>3235.701</v>
      </c>
      <c r="F5542" t="str">
        <f>VLOOKUP(A5542,StoreLookup,2,FALSE)</f>
        <v>Store#3</v>
      </c>
      <c r="G5542">
        <f>INDEX(CalLookUpTable,MATCH($B5542,CalLookUpRow,0),MATCH(G$1,CalLookUpColumn,0))</f>
        <v>2020</v>
      </c>
      <c r="H5542">
        <f>INDEX(CalLookUpTable,MATCH($B5542,CalLookUpRow,0),MATCH(H$1,CalLookUpColumn,0))</f>
        <v>3</v>
      </c>
      <c r="I5542">
        <f>INDEX(CalLookUpTable,MATCH($B5542,CalLookUpRow,0),MATCH(I$1,CalLookUpColumn,0))</f>
        <v>1</v>
      </c>
    </row>
    <row r="5543" spans="1:9" x14ac:dyDescent="0.25">
      <c r="A5543" s="7">
        <v>3</v>
      </c>
      <c r="B5543" s="8">
        <v>43887</v>
      </c>
      <c r="C5543" s="9" t="s">
        <v>6</v>
      </c>
      <c r="D5543" s="10">
        <v>1602.2089999999998</v>
      </c>
      <c r="E5543" s="10">
        <v>935.33999999999992</v>
      </c>
      <c r="F5543" t="str">
        <f>VLOOKUP(A5543,StoreLookup,2,FALSE)</f>
        <v>Store#3</v>
      </c>
      <c r="G5543">
        <f>INDEX(CalLookUpTable,MATCH($B5543,CalLookUpRow,0),MATCH(G$1,CalLookUpColumn,0))</f>
        <v>2020</v>
      </c>
      <c r="H5543">
        <f>INDEX(CalLookUpTable,MATCH($B5543,CalLookUpRow,0),MATCH(H$1,CalLookUpColumn,0))</f>
        <v>3</v>
      </c>
      <c r="I5543">
        <f>INDEX(CalLookUpTable,MATCH($B5543,CalLookUpRow,0),MATCH(I$1,CalLookUpColumn,0))</f>
        <v>1</v>
      </c>
    </row>
    <row r="5544" spans="1:9" x14ac:dyDescent="0.25">
      <c r="A5544" s="7">
        <v>3</v>
      </c>
      <c r="B5544" s="8">
        <v>43887</v>
      </c>
      <c r="C5544" s="9" t="s">
        <v>5</v>
      </c>
      <c r="D5544" s="10">
        <v>2957.9059999999999</v>
      </c>
      <c r="E5544" s="10">
        <v>3553.3469999999998</v>
      </c>
      <c r="F5544" t="str">
        <f>VLOOKUP(A5544,StoreLookup,2,FALSE)</f>
        <v>Store#3</v>
      </c>
      <c r="G5544">
        <f>INDEX(CalLookUpTable,MATCH($B5544,CalLookUpRow,0),MATCH(G$1,CalLookUpColumn,0))</f>
        <v>2020</v>
      </c>
      <c r="H5544">
        <f>INDEX(CalLookUpTable,MATCH($B5544,CalLookUpRow,0),MATCH(H$1,CalLookUpColumn,0))</f>
        <v>3</v>
      </c>
      <c r="I5544">
        <f>INDEX(CalLookUpTable,MATCH($B5544,CalLookUpRow,0),MATCH(I$1,CalLookUpColumn,0))</f>
        <v>1</v>
      </c>
    </row>
    <row r="5545" spans="1:9" x14ac:dyDescent="0.25">
      <c r="A5545" s="7">
        <v>3</v>
      </c>
      <c r="B5545" s="8">
        <v>43887</v>
      </c>
      <c r="C5545" s="9" t="s">
        <v>3</v>
      </c>
      <c r="D5545" s="10">
        <v>587.33499999999992</v>
      </c>
      <c r="E5545" s="10">
        <v>0</v>
      </c>
      <c r="F5545" t="str">
        <f>VLOOKUP(A5545,StoreLookup,2,FALSE)</f>
        <v>Store#3</v>
      </c>
      <c r="G5545">
        <f>INDEX(CalLookUpTable,MATCH($B5545,CalLookUpRow,0),MATCH(G$1,CalLookUpColumn,0))</f>
        <v>2020</v>
      </c>
      <c r="H5545">
        <f>INDEX(CalLookUpTable,MATCH($B5545,CalLookUpRow,0),MATCH(H$1,CalLookUpColumn,0))</f>
        <v>3</v>
      </c>
      <c r="I5545">
        <f>INDEX(CalLookUpTable,MATCH($B5545,CalLookUpRow,0),MATCH(I$1,CalLookUpColumn,0))</f>
        <v>1</v>
      </c>
    </row>
    <row r="5546" spans="1:9" x14ac:dyDescent="0.25">
      <c r="A5546" s="7">
        <v>3</v>
      </c>
      <c r="B5546" s="8">
        <v>43888</v>
      </c>
      <c r="C5546" s="9" t="s">
        <v>4</v>
      </c>
      <c r="D5546" s="10">
        <v>3670.2890000000002</v>
      </c>
      <c r="E5546" s="10">
        <v>3620.8619999999996</v>
      </c>
      <c r="F5546" t="str">
        <f>VLOOKUP(A5546,StoreLookup,2,FALSE)</f>
        <v>Store#3</v>
      </c>
      <c r="G5546">
        <f>INDEX(CalLookUpTable,MATCH($B5546,CalLookUpRow,0),MATCH(G$1,CalLookUpColumn,0))</f>
        <v>2020</v>
      </c>
      <c r="H5546">
        <f>INDEX(CalLookUpTable,MATCH($B5546,CalLookUpRow,0),MATCH(H$1,CalLookUpColumn,0))</f>
        <v>3</v>
      </c>
      <c r="I5546">
        <f>INDEX(CalLookUpTable,MATCH($B5546,CalLookUpRow,0),MATCH(I$1,CalLookUpColumn,0))</f>
        <v>1</v>
      </c>
    </row>
    <row r="5547" spans="1:9" x14ac:dyDescent="0.25">
      <c r="A5547" s="7">
        <v>3</v>
      </c>
      <c r="B5547" s="8">
        <v>43888</v>
      </c>
      <c r="C5547" s="9" t="s">
        <v>5</v>
      </c>
      <c r="D5547" s="10">
        <v>3426.1289999999999</v>
      </c>
      <c r="E5547" s="10">
        <v>3676.0359999999996</v>
      </c>
      <c r="F5547" t="str">
        <f>VLOOKUP(A5547,StoreLookup,2,FALSE)</f>
        <v>Store#3</v>
      </c>
      <c r="G5547">
        <f>INDEX(CalLookUpTable,MATCH($B5547,CalLookUpRow,0),MATCH(G$1,CalLookUpColumn,0))</f>
        <v>2020</v>
      </c>
      <c r="H5547">
        <f>INDEX(CalLookUpTable,MATCH($B5547,CalLookUpRow,0),MATCH(H$1,CalLookUpColumn,0))</f>
        <v>3</v>
      </c>
      <c r="I5547">
        <f>INDEX(CalLookUpTable,MATCH($B5547,CalLookUpRow,0),MATCH(I$1,CalLookUpColumn,0))</f>
        <v>1</v>
      </c>
    </row>
    <row r="5548" spans="1:9" x14ac:dyDescent="0.25">
      <c r="A5548" s="7">
        <v>3</v>
      </c>
      <c r="B5548" s="8">
        <v>43888</v>
      </c>
      <c r="C5548" s="9" t="s">
        <v>3</v>
      </c>
      <c r="D5548" s="10">
        <v>0</v>
      </c>
      <c r="E5548" s="10">
        <v>216.11099999999999</v>
      </c>
      <c r="F5548" t="str">
        <f>VLOOKUP(A5548,StoreLookup,2,FALSE)</f>
        <v>Store#3</v>
      </c>
      <c r="G5548">
        <f>INDEX(CalLookUpTable,MATCH($B5548,CalLookUpRow,0),MATCH(G$1,CalLookUpColumn,0))</f>
        <v>2020</v>
      </c>
      <c r="H5548">
        <f>INDEX(CalLookUpTable,MATCH($B5548,CalLookUpRow,0),MATCH(H$1,CalLookUpColumn,0))</f>
        <v>3</v>
      </c>
      <c r="I5548">
        <f>INDEX(CalLookUpTable,MATCH($B5548,CalLookUpRow,0),MATCH(I$1,CalLookUpColumn,0))</f>
        <v>1</v>
      </c>
    </row>
    <row r="5549" spans="1:9" x14ac:dyDescent="0.25">
      <c r="A5549" s="7">
        <v>3</v>
      </c>
      <c r="B5549" s="8">
        <v>43888</v>
      </c>
      <c r="C5549" s="9" t="s">
        <v>6</v>
      </c>
      <c r="D5549" s="10">
        <v>1278.0669999999998</v>
      </c>
      <c r="E5549" s="10">
        <v>1111.5089999999998</v>
      </c>
      <c r="F5549" t="str">
        <f>VLOOKUP(A5549,StoreLookup,2,FALSE)</f>
        <v>Store#3</v>
      </c>
      <c r="G5549">
        <f>INDEX(CalLookUpTable,MATCH($B5549,CalLookUpRow,0),MATCH(G$1,CalLookUpColumn,0))</f>
        <v>2020</v>
      </c>
      <c r="H5549">
        <f>INDEX(CalLookUpTable,MATCH($B5549,CalLookUpRow,0),MATCH(H$1,CalLookUpColumn,0))</f>
        <v>3</v>
      </c>
      <c r="I5549">
        <f>INDEX(CalLookUpTable,MATCH($B5549,CalLookUpRow,0),MATCH(I$1,CalLookUpColumn,0))</f>
        <v>1</v>
      </c>
    </row>
    <row r="5550" spans="1:9" x14ac:dyDescent="0.25">
      <c r="A5550" s="7">
        <v>3</v>
      </c>
      <c r="B5550" s="8">
        <v>43889</v>
      </c>
      <c r="C5550" s="9" t="s">
        <v>3</v>
      </c>
      <c r="D5550" s="10">
        <v>0</v>
      </c>
      <c r="E5550" s="10">
        <v>295.07099999999997</v>
      </c>
      <c r="F5550" t="str">
        <f>VLOOKUP(A5550,StoreLookup,2,FALSE)</f>
        <v>Store#3</v>
      </c>
      <c r="G5550">
        <f>INDEX(CalLookUpTable,MATCH($B5550,CalLookUpRow,0),MATCH(G$1,CalLookUpColumn,0))</f>
        <v>2020</v>
      </c>
      <c r="H5550">
        <f>INDEX(CalLookUpTable,MATCH($B5550,CalLookUpRow,0),MATCH(H$1,CalLookUpColumn,0))</f>
        <v>3</v>
      </c>
      <c r="I5550">
        <f>INDEX(CalLookUpTable,MATCH($B5550,CalLookUpRow,0),MATCH(I$1,CalLookUpColumn,0))</f>
        <v>1</v>
      </c>
    </row>
    <row r="5551" spans="1:9" x14ac:dyDescent="0.25">
      <c r="A5551" s="7">
        <v>3</v>
      </c>
      <c r="B5551" s="8">
        <v>43889</v>
      </c>
      <c r="C5551" s="9" t="s">
        <v>6</v>
      </c>
      <c r="D5551" s="10">
        <v>2302.86</v>
      </c>
      <c r="E5551" s="10">
        <v>1361.6469999999999</v>
      </c>
      <c r="F5551" t="str">
        <f>VLOOKUP(A5551,StoreLookup,2,FALSE)</f>
        <v>Store#3</v>
      </c>
      <c r="G5551">
        <f>INDEX(CalLookUpTable,MATCH($B5551,CalLookUpRow,0),MATCH(G$1,CalLookUpColumn,0))</f>
        <v>2020</v>
      </c>
      <c r="H5551">
        <f>INDEX(CalLookUpTable,MATCH($B5551,CalLookUpRow,0),MATCH(H$1,CalLookUpColumn,0))</f>
        <v>3</v>
      </c>
      <c r="I5551">
        <f>INDEX(CalLookUpTable,MATCH($B5551,CalLookUpRow,0),MATCH(I$1,CalLookUpColumn,0))</f>
        <v>1</v>
      </c>
    </row>
    <row r="5552" spans="1:9" x14ac:dyDescent="0.25">
      <c r="A5552" s="7">
        <v>3</v>
      </c>
      <c r="B5552" s="8">
        <v>43889</v>
      </c>
      <c r="C5552" s="9" t="s">
        <v>4</v>
      </c>
      <c r="D5552" s="10">
        <v>3724.6089999999995</v>
      </c>
      <c r="E5552" s="10">
        <v>4563.1809999999996</v>
      </c>
      <c r="F5552" t="str">
        <f>VLOOKUP(A5552,StoreLookup,2,FALSE)</f>
        <v>Store#3</v>
      </c>
      <c r="G5552">
        <f>INDEX(CalLookUpTable,MATCH($B5552,CalLookUpRow,0),MATCH(G$1,CalLookUpColumn,0))</f>
        <v>2020</v>
      </c>
      <c r="H5552">
        <f>INDEX(CalLookUpTable,MATCH($B5552,CalLookUpRow,0),MATCH(H$1,CalLookUpColumn,0))</f>
        <v>3</v>
      </c>
      <c r="I5552">
        <f>INDEX(CalLookUpTable,MATCH($B5552,CalLookUpRow,0),MATCH(I$1,CalLookUpColumn,0))</f>
        <v>1</v>
      </c>
    </row>
    <row r="5553" spans="1:9" x14ac:dyDescent="0.25">
      <c r="A5553" s="7">
        <v>3</v>
      </c>
      <c r="B5553" s="8">
        <v>43889</v>
      </c>
      <c r="C5553" s="9" t="s">
        <v>5</v>
      </c>
      <c r="D5553" s="10">
        <v>3438.9739999999997</v>
      </c>
      <c r="E5553" s="10">
        <v>3887.0439999999999</v>
      </c>
      <c r="F5553" t="str">
        <f>VLOOKUP(A5553,StoreLookup,2,FALSE)</f>
        <v>Store#3</v>
      </c>
      <c r="G5553">
        <f>INDEX(CalLookUpTable,MATCH($B5553,CalLookUpRow,0),MATCH(G$1,CalLookUpColumn,0))</f>
        <v>2020</v>
      </c>
      <c r="H5553">
        <f>INDEX(CalLookUpTable,MATCH($B5553,CalLookUpRow,0),MATCH(H$1,CalLookUpColumn,0))</f>
        <v>3</v>
      </c>
      <c r="I5553">
        <f>INDEX(CalLookUpTable,MATCH($B5553,CalLookUpRow,0),MATCH(I$1,CalLookUpColumn,0))</f>
        <v>1</v>
      </c>
    </row>
    <row r="5554" spans="1:9" x14ac:dyDescent="0.25">
      <c r="A5554" s="7">
        <v>3</v>
      </c>
      <c r="B5554" s="8">
        <v>43890</v>
      </c>
      <c r="C5554" s="9" t="s">
        <v>4</v>
      </c>
      <c r="D5554" s="10">
        <v>4126.1849999999995</v>
      </c>
      <c r="E5554" s="10">
        <v>3290.7350000000001</v>
      </c>
      <c r="F5554" t="str">
        <f>VLOOKUP(A5554,StoreLookup,2,FALSE)</f>
        <v>Store#3</v>
      </c>
      <c r="G5554">
        <f>INDEX(CalLookUpTable,MATCH($B5554,CalLookUpRow,0),MATCH(G$1,CalLookUpColumn,0))</f>
        <v>2020</v>
      </c>
      <c r="H5554">
        <f>INDEX(CalLookUpTable,MATCH($B5554,CalLookUpRow,0),MATCH(H$1,CalLookUpColumn,0))</f>
        <v>3</v>
      </c>
      <c r="I5554">
        <f>INDEX(CalLookUpTable,MATCH($B5554,CalLookUpRow,0),MATCH(I$1,CalLookUpColumn,0))</f>
        <v>1</v>
      </c>
    </row>
    <row r="5555" spans="1:9" x14ac:dyDescent="0.25">
      <c r="A5555" s="7">
        <v>3</v>
      </c>
      <c r="B5555" s="8">
        <v>43890</v>
      </c>
      <c r="C5555" s="9" t="s">
        <v>6</v>
      </c>
      <c r="D5555" s="10">
        <v>1839.432</v>
      </c>
      <c r="E5555" s="10">
        <v>872.17200000000003</v>
      </c>
      <c r="F5555" t="str">
        <f>VLOOKUP(A5555,StoreLookup,2,FALSE)</f>
        <v>Store#3</v>
      </c>
      <c r="G5555">
        <f>INDEX(CalLookUpTable,MATCH($B5555,CalLookUpRow,0),MATCH(G$1,CalLookUpColumn,0))</f>
        <v>2020</v>
      </c>
      <c r="H5555">
        <f>INDEX(CalLookUpTable,MATCH($B5555,CalLookUpRow,0),MATCH(H$1,CalLookUpColumn,0))</f>
        <v>3</v>
      </c>
      <c r="I5555">
        <f>INDEX(CalLookUpTable,MATCH($B5555,CalLookUpRow,0),MATCH(I$1,CalLookUpColumn,0))</f>
        <v>1</v>
      </c>
    </row>
    <row r="5556" spans="1:9" x14ac:dyDescent="0.25">
      <c r="A5556" s="7">
        <v>3</v>
      </c>
      <c r="B5556" s="8">
        <v>43890</v>
      </c>
      <c r="C5556" s="9" t="s">
        <v>5</v>
      </c>
      <c r="D5556" s="10">
        <v>3455.8229999999999</v>
      </c>
      <c r="E5556" s="10">
        <v>3647.0489999999995</v>
      </c>
      <c r="F5556" t="str">
        <f>VLOOKUP(A5556,StoreLookup,2,FALSE)</f>
        <v>Store#3</v>
      </c>
      <c r="G5556">
        <f>INDEX(CalLookUpTable,MATCH($B5556,CalLookUpRow,0),MATCH(G$1,CalLookUpColumn,0))</f>
        <v>2020</v>
      </c>
      <c r="H5556">
        <f>INDEX(CalLookUpTable,MATCH($B5556,CalLookUpRow,0),MATCH(H$1,CalLookUpColumn,0))</f>
        <v>3</v>
      </c>
      <c r="I5556">
        <f>INDEX(CalLookUpTable,MATCH($B5556,CalLookUpRow,0),MATCH(I$1,CalLookUpColumn,0))</f>
        <v>1</v>
      </c>
    </row>
    <row r="5557" spans="1:9" x14ac:dyDescent="0.25">
      <c r="A5557" s="7">
        <v>3</v>
      </c>
      <c r="B5557" s="8">
        <v>43890</v>
      </c>
      <c r="C5557" s="9" t="s">
        <v>3</v>
      </c>
      <c r="D5557" s="10">
        <v>0</v>
      </c>
      <c r="E5557" s="10">
        <v>393.33</v>
      </c>
      <c r="F5557" t="str">
        <f>VLOOKUP(A5557,StoreLookup,2,FALSE)</f>
        <v>Store#3</v>
      </c>
      <c r="G5557">
        <f>INDEX(CalLookUpTable,MATCH($B5557,CalLookUpRow,0),MATCH(G$1,CalLookUpColumn,0))</f>
        <v>2020</v>
      </c>
      <c r="H5557">
        <f>INDEX(CalLookUpTable,MATCH($B5557,CalLookUpRow,0),MATCH(H$1,CalLookUpColumn,0))</f>
        <v>3</v>
      </c>
      <c r="I5557">
        <f>INDEX(CalLookUpTable,MATCH($B5557,CalLookUpRow,0),MATCH(I$1,CalLookUpColumn,0))</f>
        <v>1</v>
      </c>
    </row>
    <row r="5558" spans="1:9" x14ac:dyDescent="0.25">
      <c r="A5558" s="7">
        <v>3</v>
      </c>
      <c r="B5558" s="8">
        <v>43891</v>
      </c>
      <c r="C5558" s="9" t="s">
        <v>4</v>
      </c>
      <c r="D5558" s="10">
        <v>2435.8739999999998</v>
      </c>
      <c r="E5558" s="10">
        <v>2668.6869999999999</v>
      </c>
      <c r="F5558" t="str">
        <f>VLOOKUP(A5558,StoreLookup,2,FALSE)</f>
        <v>Store#3</v>
      </c>
      <c r="G5558">
        <f>INDEX(CalLookUpTable,MATCH($B5558,CalLookUpRow,0),MATCH(G$1,CalLookUpColumn,0))</f>
        <v>2020</v>
      </c>
      <c r="H5558">
        <f>INDEX(CalLookUpTable,MATCH($B5558,CalLookUpRow,0),MATCH(H$1,CalLookUpColumn,0))</f>
        <v>3</v>
      </c>
      <c r="I5558">
        <f>INDEX(CalLookUpTable,MATCH($B5558,CalLookUpRow,0),MATCH(I$1,CalLookUpColumn,0))</f>
        <v>1</v>
      </c>
    </row>
    <row r="5559" spans="1:9" x14ac:dyDescent="0.25">
      <c r="A5559" s="7">
        <v>3</v>
      </c>
      <c r="B5559" s="8">
        <v>43891</v>
      </c>
      <c r="C5559" s="9" t="s">
        <v>3</v>
      </c>
      <c r="D5559" s="10">
        <v>0</v>
      </c>
      <c r="E5559" s="10">
        <v>35.994</v>
      </c>
      <c r="F5559" t="str">
        <f>VLOOKUP(A5559,StoreLookup,2,FALSE)</f>
        <v>Store#3</v>
      </c>
      <c r="G5559">
        <f>INDEX(CalLookUpTable,MATCH($B5559,CalLookUpRow,0),MATCH(G$1,CalLookUpColumn,0))</f>
        <v>2020</v>
      </c>
      <c r="H5559">
        <f>INDEX(CalLookUpTable,MATCH($B5559,CalLookUpRow,0),MATCH(H$1,CalLookUpColumn,0))</f>
        <v>3</v>
      </c>
      <c r="I5559">
        <f>INDEX(CalLookUpTable,MATCH($B5559,CalLookUpRow,0),MATCH(I$1,CalLookUpColumn,0))</f>
        <v>1</v>
      </c>
    </row>
    <row r="5560" spans="1:9" x14ac:dyDescent="0.25">
      <c r="A5560" s="7">
        <v>3</v>
      </c>
      <c r="B5560" s="8">
        <v>43891</v>
      </c>
      <c r="C5560" s="9" t="s">
        <v>6</v>
      </c>
      <c r="D5560" s="10">
        <v>1056.587</v>
      </c>
      <c r="E5560" s="10">
        <v>616.09799999999996</v>
      </c>
      <c r="F5560" t="str">
        <f>VLOOKUP(A5560,StoreLookup,2,FALSE)</f>
        <v>Store#3</v>
      </c>
      <c r="G5560">
        <f>INDEX(CalLookUpTable,MATCH($B5560,CalLookUpRow,0),MATCH(G$1,CalLookUpColumn,0))</f>
        <v>2020</v>
      </c>
      <c r="H5560">
        <f>INDEX(CalLookUpTable,MATCH($B5560,CalLookUpRow,0),MATCH(H$1,CalLookUpColumn,0))</f>
        <v>3</v>
      </c>
      <c r="I5560">
        <f>INDEX(CalLookUpTable,MATCH($B5560,CalLookUpRow,0),MATCH(I$1,CalLookUpColumn,0))</f>
        <v>1</v>
      </c>
    </row>
    <row r="5561" spans="1:9" x14ac:dyDescent="0.25">
      <c r="A5561" s="7">
        <v>3</v>
      </c>
      <c r="B5561" s="8">
        <v>43891</v>
      </c>
      <c r="C5561" s="9" t="s">
        <v>5</v>
      </c>
      <c r="D5561" s="10">
        <v>2729.0479999999998</v>
      </c>
      <c r="E5561" s="10">
        <v>2658.6419999999998</v>
      </c>
      <c r="F5561" t="str">
        <f>VLOOKUP(A5561,StoreLookup,2,FALSE)</f>
        <v>Store#3</v>
      </c>
      <c r="G5561">
        <f>INDEX(CalLookUpTable,MATCH($B5561,CalLookUpRow,0),MATCH(G$1,CalLookUpColumn,0))</f>
        <v>2020</v>
      </c>
      <c r="H5561">
        <f>INDEX(CalLookUpTable,MATCH($B5561,CalLookUpRow,0),MATCH(H$1,CalLookUpColumn,0))</f>
        <v>3</v>
      </c>
      <c r="I5561">
        <f>INDEX(CalLookUpTable,MATCH($B5561,CalLookUpRow,0),MATCH(I$1,CalLookUpColumn,0))</f>
        <v>1</v>
      </c>
    </row>
    <row r="5562" spans="1:9" x14ac:dyDescent="0.25">
      <c r="A5562" s="7">
        <v>3</v>
      </c>
      <c r="B5562" s="8">
        <v>43892</v>
      </c>
      <c r="C5562" s="9" t="s">
        <v>4</v>
      </c>
      <c r="D5562" s="10">
        <v>2763.2849999999999</v>
      </c>
      <c r="E5562" s="10">
        <v>2892.4209999999998</v>
      </c>
      <c r="F5562" t="str">
        <f>VLOOKUP(A5562,StoreLookup,2,FALSE)</f>
        <v>Store#3</v>
      </c>
      <c r="G5562">
        <f>INDEX(CalLookUpTable,MATCH($B5562,CalLookUpRow,0),MATCH(G$1,CalLookUpColumn,0))</f>
        <v>2020</v>
      </c>
      <c r="H5562">
        <f>INDEX(CalLookUpTable,MATCH($B5562,CalLookUpRow,0),MATCH(H$1,CalLookUpColumn,0))</f>
        <v>3</v>
      </c>
      <c r="I5562">
        <f>INDEX(CalLookUpTable,MATCH($B5562,CalLookUpRow,0),MATCH(I$1,CalLookUpColumn,0))</f>
        <v>2</v>
      </c>
    </row>
    <row r="5563" spans="1:9" x14ac:dyDescent="0.25">
      <c r="A5563" s="7">
        <v>3</v>
      </c>
      <c r="B5563" s="8">
        <v>43892</v>
      </c>
      <c r="C5563" s="9" t="s">
        <v>6</v>
      </c>
      <c r="D5563" s="10">
        <v>1193.318</v>
      </c>
      <c r="E5563" s="10">
        <v>654.99</v>
      </c>
      <c r="F5563" t="str">
        <f>VLOOKUP(A5563,StoreLookup,2,FALSE)</f>
        <v>Store#3</v>
      </c>
      <c r="G5563">
        <f>INDEX(CalLookUpTable,MATCH($B5563,CalLookUpRow,0),MATCH(G$1,CalLookUpColumn,0))</f>
        <v>2020</v>
      </c>
      <c r="H5563">
        <f>INDEX(CalLookUpTable,MATCH($B5563,CalLookUpRow,0),MATCH(H$1,CalLookUpColumn,0))</f>
        <v>3</v>
      </c>
      <c r="I5563">
        <f>INDEX(CalLookUpTable,MATCH($B5563,CalLookUpRow,0),MATCH(I$1,CalLookUpColumn,0))</f>
        <v>2</v>
      </c>
    </row>
    <row r="5564" spans="1:9" x14ac:dyDescent="0.25">
      <c r="A5564" s="7">
        <v>3</v>
      </c>
      <c r="B5564" s="8">
        <v>43892</v>
      </c>
      <c r="C5564" s="9" t="s">
        <v>3</v>
      </c>
      <c r="D5564" s="10">
        <v>56.259</v>
      </c>
      <c r="E5564" s="10">
        <v>203.79799999999997</v>
      </c>
      <c r="F5564" t="str">
        <f>VLOOKUP(A5564,StoreLookup,2,FALSE)</f>
        <v>Store#3</v>
      </c>
      <c r="G5564">
        <f>INDEX(CalLookUpTable,MATCH($B5564,CalLookUpRow,0),MATCH(G$1,CalLookUpColumn,0))</f>
        <v>2020</v>
      </c>
      <c r="H5564">
        <f>INDEX(CalLookUpTable,MATCH($B5564,CalLookUpRow,0),MATCH(H$1,CalLookUpColumn,0))</f>
        <v>3</v>
      </c>
      <c r="I5564">
        <f>INDEX(CalLookUpTable,MATCH($B5564,CalLookUpRow,0),MATCH(I$1,CalLookUpColumn,0))</f>
        <v>2</v>
      </c>
    </row>
    <row r="5565" spans="1:9" x14ac:dyDescent="0.25">
      <c r="A5565" s="7">
        <v>3</v>
      </c>
      <c r="B5565" s="8">
        <v>43892</v>
      </c>
      <c r="C5565" s="9" t="s">
        <v>5</v>
      </c>
      <c r="D5565" s="10">
        <v>2620.9609999999998</v>
      </c>
      <c r="E5565" s="10">
        <v>2990.3649999999998</v>
      </c>
      <c r="F5565" t="str">
        <f>VLOOKUP(A5565,StoreLookup,2,FALSE)</f>
        <v>Store#3</v>
      </c>
      <c r="G5565">
        <f>INDEX(CalLookUpTable,MATCH($B5565,CalLookUpRow,0),MATCH(G$1,CalLookUpColumn,0))</f>
        <v>2020</v>
      </c>
      <c r="H5565">
        <f>INDEX(CalLookUpTable,MATCH($B5565,CalLookUpRow,0),MATCH(H$1,CalLookUpColumn,0))</f>
        <v>3</v>
      </c>
      <c r="I5565">
        <f>INDEX(CalLookUpTable,MATCH($B5565,CalLookUpRow,0),MATCH(I$1,CalLookUpColumn,0))</f>
        <v>2</v>
      </c>
    </row>
    <row r="5566" spans="1:9" x14ac:dyDescent="0.25">
      <c r="A5566" s="7">
        <v>3</v>
      </c>
      <c r="B5566" s="8">
        <v>43893</v>
      </c>
      <c r="C5566" s="9" t="s">
        <v>4</v>
      </c>
      <c r="D5566" s="10">
        <v>2804.8229999999999</v>
      </c>
      <c r="E5566" s="10">
        <v>2720.5219999999999</v>
      </c>
      <c r="F5566" t="str">
        <f>VLOOKUP(A5566,StoreLookup,2,FALSE)</f>
        <v>Store#3</v>
      </c>
      <c r="G5566">
        <f>INDEX(CalLookUpTable,MATCH($B5566,CalLookUpRow,0),MATCH(G$1,CalLookUpColumn,0))</f>
        <v>2020</v>
      </c>
      <c r="H5566">
        <f>INDEX(CalLookUpTable,MATCH($B5566,CalLookUpRow,0),MATCH(H$1,CalLookUpColumn,0))</f>
        <v>3</v>
      </c>
      <c r="I5566">
        <f>INDEX(CalLookUpTable,MATCH($B5566,CalLookUpRow,0),MATCH(I$1,CalLookUpColumn,0))</f>
        <v>2</v>
      </c>
    </row>
    <row r="5567" spans="1:9" x14ac:dyDescent="0.25">
      <c r="A5567" s="7">
        <v>3</v>
      </c>
      <c r="B5567" s="8">
        <v>43893</v>
      </c>
      <c r="C5567" s="9" t="s">
        <v>3</v>
      </c>
      <c r="D5567" s="10">
        <v>160.85999999999999</v>
      </c>
      <c r="E5567" s="10">
        <v>0</v>
      </c>
      <c r="F5567" t="str">
        <f>VLOOKUP(A5567,StoreLookup,2,FALSE)</f>
        <v>Store#3</v>
      </c>
      <c r="G5567">
        <f>INDEX(CalLookUpTable,MATCH($B5567,CalLookUpRow,0),MATCH(G$1,CalLookUpColumn,0))</f>
        <v>2020</v>
      </c>
      <c r="H5567">
        <f>INDEX(CalLookUpTable,MATCH($B5567,CalLookUpRow,0),MATCH(H$1,CalLookUpColumn,0))</f>
        <v>3</v>
      </c>
      <c r="I5567">
        <f>INDEX(CalLookUpTable,MATCH($B5567,CalLookUpRow,0),MATCH(I$1,CalLookUpColumn,0))</f>
        <v>2</v>
      </c>
    </row>
    <row r="5568" spans="1:9" x14ac:dyDescent="0.25">
      <c r="A5568" s="7">
        <v>3</v>
      </c>
      <c r="B5568" s="8">
        <v>43893</v>
      </c>
      <c r="C5568" s="9" t="s">
        <v>6</v>
      </c>
      <c r="D5568" s="10">
        <v>1378.8319999999999</v>
      </c>
      <c r="E5568" s="10">
        <v>856.13499999999988</v>
      </c>
      <c r="F5568" t="str">
        <f>VLOOKUP(A5568,StoreLookup,2,FALSE)</f>
        <v>Store#3</v>
      </c>
      <c r="G5568">
        <f>INDEX(CalLookUpTable,MATCH($B5568,CalLookUpRow,0),MATCH(G$1,CalLookUpColumn,0))</f>
        <v>2020</v>
      </c>
      <c r="H5568">
        <f>INDEX(CalLookUpTable,MATCH($B5568,CalLookUpRow,0),MATCH(H$1,CalLookUpColumn,0))</f>
        <v>3</v>
      </c>
      <c r="I5568">
        <f>INDEX(CalLookUpTable,MATCH($B5568,CalLookUpRow,0),MATCH(I$1,CalLookUpColumn,0))</f>
        <v>2</v>
      </c>
    </row>
    <row r="5569" spans="1:9" x14ac:dyDescent="0.25">
      <c r="A5569" s="7">
        <v>3</v>
      </c>
      <c r="B5569" s="8">
        <v>43893</v>
      </c>
      <c r="C5569" s="9" t="s">
        <v>5</v>
      </c>
      <c r="D5569" s="10">
        <v>3341.3869999999997</v>
      </c>
      <c r="E5569" s="10">
        <v>2970.2749999999996</v>
      </c>
      <c r="F5569" t="str">
        <f>VLOOKUP(A5569,StoreLookup,2,FALSE)</f>
        <v>Store#3</v>
      </c>
      <c r="G5569">
        <f>INDEX(CalLookUpTable,MATCH($B5569,CalLookUpRow,0),MATCH(G$1,CalLookUpColumn,0))</f>
        <v>2020</v>
      </c>
      <c r="H5569">
        <f>INDEX(CalLookUpTable,MATCH($B5569,CalLookUpRow,0),MATCH(H$1,CalLookUpColumn,0))</f>
        <v>3</v>
      </c>
      <c r="I5569">
        <f>INDEX(CalLookUpTable,MATCH($B5569,CalLookUpRow,0),MATCH(I$1,CalLookUpColumn,0))</f>
        <v>2</v>
      </c>
    </row>
    <row r="5570" spans="1:9" x14ac:dyDescent="0.25">
      <c r="A5570" s="7">
        <v>3</v>
      </c>
      <c r="B5570" s="8">
        <v>43894</v>
      </c>
      <c r="C5570" s="9" t="s">
        <v>6</v>
      </c>
      <c r="D5570" s="10">
        <v>1099.4199999999998</v>
      </c>
      <c r="E5570" s="10">
        <v>733.69100000000003</v>
      </c>
      <c r="F5570" t="str">
        <f>VLOOKUP(A5570,StoreLookup,2,FALSE)</f>
        <v>Store#3</v>
      </c>
      <c r="G5570">
        <f>INDEX(CalLookUpTable,MATCH($B5570,CalLookUpRow,0),MATCH(G$1,CalLookUpColumn,0))</f>
        <v>2020</v>
      </c>
      <c r="H5570">
        <f>INDEX(CalLookUpTable,MATCH($B5570,CalLookUpRow,0),MATCH(H$1,CalLookUpColumn,0))</f>
        <v>3</v>
      </c>
      <c r="I5570">
        <f>INDEX(CalLookUpTable,MATCH($B5570,CalLookUpRow,0),MATCH(I$1,CalLookUpColumn,0))</f>
        <v>2</v>
      </c>
    </row>
    <row r="5571" spans="1:9" x14ac:dyDescent="0.25">
      <c r="A5571" s="7">
        <v>3</v>
      </c>
      <c r="B5571" s="8">
        <v>43894</v>
      </c>
      <c r="C5571" s="9" t="s">
        <v>4</v>
      </c>
      <c r="D5571" s="10">
        <v>3105.9839999999999</v>
      </c>
      <c r="E5571" s="10">
        <v>2674.7279999999996</v>
      </c>
      <c r="F5571" t="str">
        <f>VLOOKUP(A5571,StoreLookup,2,FALSE)</f>
        <v>Store#3</v>
      </c>
      <c r="G5571">
        <f>INDEX(CalLookUpTable,MATCH($B5571,CalLookUpRow,0),MATCH(G$1,CalLookUpColumn,0))</f>
        <v>2020</v>
      </c>
      <c r="H5571">
        <f>INDEX(CalLookUpTable,MATCH($B5571,CalLookUpRow,0),MATCH(H$1,CalLookUpColumn,0))</f>
        <v>3</v>
      </c>
      <c r="I5571">
        <f>INDEX(CalLookUpTable,MATCH($B5571,CalLookUpRow,0),MATCH(I$1,CalLookUpColumn,0))</f>
        <v>2</v>
      </c>
    </row>
    <row r="5572" spans="1:9" x14ac:dyDescent="0.25">
      <c r="A5572" s="7">
        <v>3</v>
      </c>
      <c r="B5572" s="8">
        <v>43894</v>
      </c>
      <c r="C5572" s="9" t="s">
        <v>3</v>
      </c>
      <c r="D5572" s="10">
        <v>0</v>
      </c>
      <c r="E5572" s="10">
        <v>0</v>
      </c>
      <c r="F5572" t="str">
        <f>VLOOKUP(A5572,StoreLookup,2,FALSE)</f>
        <v>Store#3</v>
      </c>
      <c r="G5572">
        <f>INDEX(CalLookUpTable,MATCH($B5572,CalLookUpRow,0),MATCH(G$1,CalLookUpColumn,0))</f>
        <v>2020</v>
      </c>
      <c r="H5572">
        <f>INDEX(CalLookUpTable,MATCH($B5572,CalLookUpRow,0),MATCH(H$1,CalLookUpColumn,0))</f>
        <v>3</v>
      </c>
      <c r="I5572">
        <f>INDEX(CalLookUpTable,MATCH($B5572,CalLookUpRow,0),MATCH(I$1,CalLookUpColumn,0))</f>
        <v>2</v>
      </c>
    </row>
    <row r="5573" spans="1:9" x14ac:dyDescent="0.25">
      <c r="A5573" s="7">
        <v>3</v>
      </c>
      <c r="B5573" s="8">
        <v>43894</v>
      </c>
      <c r="C5573" s="9" t="s">
        <v>5</v>
      </c>
      <c r="D5573" s="10">
        <v>3104.6609999999996</v>
      </c>
      <c r="E5573" s="10">
        <v>3367.9799999999996</v>
      </c>
      <c r="F5573" t="str">
        <f>VLOOKUP(A5573,StoreLookup,2,FALSE)</f>
        <v>Store#3</v>
      </c>
      <c r="G5573">
        <f>INDEX(CalLookUpTable,MATCH($B5573,CalLookUpRow,0),MATCH(G$1,CalLookUpColumn,0))</f>
        <v>2020</v>
      </c>
      <c r="H5573">
        <f>INDEX(CalLookUpTable,MATCH($B5573,CalLookUpRow,0),MATCH(H$1,CalLookUpColumn,0))</f>
        <v>3</v>
      </c>
      <c r="I5573">
        <f>INDEX(CalLookUpTable,MATCH($B5573,CalLookUpRow,0),MATCH(I$1,CalLookUpColumn,0))</f>
        <v>2</v>
      </c>
    </row>
    <row r="5574" spans="1:9" x14ac:dyDescent="0.25">
      <c r="A5574" s="7">
        <v>3</v>
      </c>
      <c r="B5574" s="8">
        <v>43895</v>
      </c>
      <c r="C5574" s="9" t="s">
        <v>6</v>
      </c>
      <c r="D5574" s="10">
        <v>1513.5679999999998</v>
      </c>
      <c r="E5574" s="10">
        <v>813.97399999999993</v>
      </c>
      <c r="F5574" t="str">
        <f>VLOOKUP(A5574,StoreLookup,2,FALSE)</f>
        <v>Store#3</v>
      </c>
      <c r="G5574">
        <f>INDEX(CalLookUpTable,MATCH($B5574,CalLookUpRow,0),MATCH(G$1,CalLookUpColumn,0))</f>
        <v>2020</v>
      </c>
      <c r="H5574">
        <f>INDEX(CalLookUpTable,MATCH($B5574,CalLookUpRow,0),MATCH(H$1,CalLookUpColumn,0))</f>
        <v>3</v>
      </c>
      <c r="I5574">
        <f>INDEX(CalLookUpTable,MATCH($B5574,CalLookUpRow,0),MATCH(I$1,CalLookUpColumn,0))</f>
        <v>2</v>
      </c>
    </row>
    <row r="5575" spans="1:9" x14ac:dyDescent="0.25">
      <c r="A5575" s="7">
        <v>3</v>
      </c>
      <c r="B5575" s="8">
        <v>43895</v>
      </c>
      <c r="C5575" s="9" t="s">
        <v>4</v>
      </c>
      <c r="D5575" s="10">
        <v>3117.2049999999995</v>
      </c>
      <c r="E5575" s="10">
        <v>3740.6669999999999</v>
      </c>
      <c r="F5575" t="str">
        <f>VLOOKUP(A5575,StoreLookup,2,FALSE)</f>
        <v>Store#3</v>
      </c>
      <c r="G5575">
        <f>INDEX(CalLookUpTable,MATCH($B5575,CalLookUpRow,0),MATCH(G$1,CalLookUpColumn,0))</f>
        <v>2020</v>
      </c>
      <c r="H5575">
        <f>INDEX(CalLookUpTable,MATCH($B5575,CalLookUpRow,0),MATCH(H$1,CalLookUpColumn,0))</f>
        <v>3</v>
      </c>
      <c r="I5575">
        <f>INDEX(CalLookUpTable,MATCH($B5575,CalLookUpRow,0),MATCH(I$1,CalLookUpColumn,0))</f>
        <v>2</v>
      </c>
    </row>
    <row r="5576" spans="1:9" x14ac:dyDescent="0.25">
      <c r="A5576" s="7">
        <v>3</v>
      </c>
      <c r="B5576" s="8">
        <v>43895</v>
      </c>
      <c r="C5576" s="9" t="s">
        <v>3</v>
      </c>
      <c r="D5576" s="10">
        <v>28.818999999999999</v>
      </c>
      <c r="E5576" s="10">
        <v>0</v>
      </c>
      <c r="F5576" t="str">
        <f>VLOOKUP(A5576,StoreLookup,2,FALSE)</f>
        <v>Store#3</v>
      </c>
      <c r="G5576">
        <f>INDEX(CalLookUpTable,MATCH($B5576,CalLookUpRow,0),MATCH(G$1,CalLookUpColumn,0))</f>
        <v>2020</v>
      </c>
      <c r="H5576">
        <f>INDEX(CalLookUpTable,MATCH($B5576,CalLookUpRow,0),MATCH(H$1,CalLookUpColumn,0))</f>
        <v>3</v>
      </c>
      <c r="I5576">
        <f>INDEX(CalLookUpTable,MATCH($B5576,CalLookUpRow,0),MATCH(I$1,CalLookUpColumn,0))</f>
        <v>2</v>
      </c>
    </row>
    <row r="5577" spans="1:9" x14ac:dyDescent="0.25">
      <c r="A5577" s="7">
        <v>3</v>
      </c>
      <c r="B5577" s="8">
        <v>43895</v>
      </c>
      <c r="C5577" s="9" t="s">
        <v>5</v>
      </c>
      <c r="D5577" s="10">
        <v>3305.5049999999997</v>
      </c>
      <c r="E5577" s="10">
        <v>3520.5099999999998</v>
      </c>
      <c r="F5577" t="str">
        <f>VLOOKUP(A5577,StoreLookup,2,FALSE)</f>
        <v>Store#3</v>
      </c>
      <c r="G5577">
        <f>INDEX(CalLookUpTable,MATCH($B5577,CalLookUpRow,0),MATCH(G$1,CalLookUpColumn,0))</f>
        <v>2020</v>
      </c>
      <c r="H5577">
        <f>INDEX(CalLookUpTable,MATCH($B5577,CalLookUpRow,0),MATCH(H$1,CalLookUpColumn,0))</f>
        <v>3</v>
      </c>
      <c r="I5577">
        <f>INDEX(CalLookUpTable,MATCH($B5577,CalLookUpRow,0),MATCH(I$1,CalLookUpColumn,0))</f>
        <v>2</v>
      </c>
    </row>
    <row r="5578" spans="1:9" x14ac:dyDescent="0.25">
      <c r="A5578" s="7">
        <v>3</v>
      </c>
      <c r="B5578" s="8">
        <v>43896</v>
      </c>
      <c r="C5578" s="9" t="s">
        <v>6</v>
      </c>
      <c r="D5578" s="10">
        <v>1694.2589999999998</v>
      </c>
      <c r="E5578" s="10">
        <v>1018.521</v>
      </c>
      <c r="F5578" t="str">
        <f>VLOOKUP(A5578,StoreLookup,2,FALSE)</f>
        <v>Store#3</v>
      </c>
      <c r="G5578">
        <f>INDEX(CalLookUpTable,MATCH($B5578,CalLookUpRow,0),MATCH(G$1,CalLookUpColumn,0))</f>
        <v>2020</v>
      </c>
      <c r="H5578">
        <f>INDEX(CalLookUpTable,MATCH($B5578,CalLookUpRow,0),MATCH(H$1,CalLookUpColumn,0))</f>
        <v>3</v>
      </c>
      <c r="I5578">
        <f>INDEX(CalLookUpTable,MATCH($B5578,CalLookUpRow,0),MATCH(I$1,CalLookUpColumn,0))</f>
        <v>2</v>
      </c>
    </row>
    <row r="5579" spans="1:9" x14ac:dyDescent="0.25">
      <c r="A5579" s="7">
        <v>3</v>
      </c>
      <c r="B5579" s="8">
        <v>43896</v>
      </c>
      <c r="C5579" s="9" t="s">
        <v>3</v>
      </c>
      <c r="D5579" s="10">
        <v>0</v>
      </c>
      <c r="E5579" s="10">
        <v>295.04300000000001</v>
      </c>
      <c r="F5579" t="str">
        <f>VLOOKUP(A5579,StoreLookup,2,FALSE)</f>
        <v>Store#3</v>
      </c>
      <c r="G5579">
        <f>INDEX(CalLookUpTable,MATCH($B5579,CalLookUpRow,0),MATCH(G$1,CalLookUpColumn,0))</f>
        <v>2020</v>
      </c>
      <c r="H5579">
        <f>INDEX(CalLookUpTable,MATCH($B5579,CalLookUpRow,0),MATCH(H$1,CalLookUpColumn,0))</f>
        <v>3</v>
      </c>
      <c r="I5579">
        <f>INDEX(CalLookUpTable,MATCH($B5579,CalLookUpRow,0),MATCH(I$1,CalLookUpColumn,0))</f>
        <v>2</v>
      </c>
    </row>
    <row r="5580" spans="1:9" x14ac:dyDescent="0.25">
      <c r="A5580" s="7">
        <v>3</v>
      </c>
      <c r="B5580" s="8">
        <v>43896</v>
      </c>
      <c r="C5580" s="9" t="s">
        <v>4</v>
      </c>
      <c r="D5580" s="10">
        <v>3797.5070000000001</v>
      </c>
      <c r="E5580" s="10">
        <v>3927.2659999999996</v>
      </c>
      <c r="F5580" t="str">
        <f>VLOOKUP(A5580,StoreLookup,2,FALSE)</f>
        <v>Store#3</v>
      </c>
      <c r="G5580">
        <f>INDEX(CalLookUpTable,MATCH($B5580,CalLookUpRow,0),MATCH(G$1,CalLookUpColumn,0))</f>
        <v>2020</v>
      </c>
      <c r="H5580">
        <f>INDEX(CalLookUpTable,MATCH($B5580,CalLookUpRow,0),MATCH(H$1,CalLookUpColumn,0))</f>
        <v>3</v>
      </c>
      <c r="I5580">
        <f>INDEX(CalLookUpTable,MATCH($B5580,CalLookUpRow,0),MATCH(I$1,CalLookUpColumn,0))</f>
        <v>2</v>
      </c>
    </row>
    <row r="5581" spans="1:9" x14ac:dyDescent="0.25">
      <c r="A5581" s="7">
        <v>3</v>
      </c>
      <c r="B5581" s="8">
        <v>43896</v>
      </c>
      <c r="C5581" s="9" t="s">
        <v>5</v>
      </c>
      <c r="D5581" s="10">
        <v>3389.7849999999999</v>
      </c>
      <c r="E5581" s="10">
        <v>3793.8040000000001</v>
      </c>
      <c r="F5581" t="str">
        <f>VLOOKUP(A5581,StoreLookup,2,FALSE)</f>
        <v>Store#3</v>
      </c>
      <c r="G5581">
        <f>INDEX(CalLookUpTable,MATCH($B5581,CalLookUpRow,0),MATCH(G$1,CalLookUpColumn,0))</f>
        <v>2020</v>
      </c>
      <c r="H5581">
        <f>INDEX(CalLookUpTable,MATCH($B5581,CalLookUpRow,0),MATCH(H$1,CalLookUpColumn,0))</f>
        <v>3</v>
      </c>
      <c r="I5581">
        <f>INDEX(CalLookUpTable,MATCH($B5581,CalLookUpRow,0),MATCH(I$1,CalLookUpColumn,0))</f>
        <v>2</v>
      </c>
    </row>
    <row r="5582" spans="1:9" x14ac:dyDescent="0.25">
      <c r="A5582" s="7">
        <v>3</v>
      </c>
      <c r="B5582" s="8">
        <v>43897</v>
      </c>
      <c r="C5582" s="9" t="s">
        <v>4</v>
      </c>
      <c r="D5582" s="10">
        <v>3246.4319999999998</v>
      </c>
      <c r="E5582" s="10">
        <v>3671.8079999999995</v>
      </c>
      <c r="F5582" t="str">
        <f>VLOOKUP(A5582,StoreLookup,2,FALSE)</f>
        <v>Store#3</v>
      </c>
      <c r="G5582">
        <f>INDEX(CalLookUpTable,MATCH($B5582,CalLookUpRow,0),MATCH(G$1,CalLookUpColumn,0))</f>
        <v>2020</v>
      </c>
      <c r="H5582">
        <f>INDEX(CalLookUpTable,MATCH($B5582,CalLookUpRow,0),MATCH(H$1,CalLookUpColumn,0))</f>
        <v>3</v>
      </c>
      <c r="I5582">
        <f>INDEX(CalLookUpTable,MATCH($B5582,CalLookUpRow,0),MATCH(I$1,CalLookUpColumn,0))</f>
        <v>2</v>
      </c>
    </row>
    <row r="5583" spans="1:9" x14ac:dyDescent="0.25">
      <c r="A5583" s="7">
        <v>3</v>
      </c>
      <c r="B5583" s="8">
        <v>43897</v>
      </c>
      <c r="C5583" s="9" t="s">
        <v>5</v>
      </c>
      <c r="D5583" s="10">
        <v>2966.4879999999998</v>
      </c>
      <c r="E5583" s="10">
        <v>3457.9019999999996</v>
      </c>
      <c r="F5583" t="str">
        <f>VLOOKUP(A5583,StoreLookup,2,FALSE)</f>
        <v>Store#3</v>
      </c>
      <c r="G5583">
        <f>INDEX(CalLookUpTable,MATCH($B5583,CalLookUpRow,0),MATCH(G$1,CalLookUpColumn,0))</f>
        <v>2020</v>
      </c>
      <c r="H5583">
        <f>INDEX(CalLookUpTable,MATCH($B5583,CalLookUpRow,0),MATCH(H$1,CalLookUpColumn,0))</f>
        <v>3</v>
      </c>
      <c r="I5583">
        <f>INDEX(CalLookUpTable,MATCH($B5583,CalLookUpRow,0),MATCH(I$1,CalLookUpColumn,0))</f>
        <v>2</v>
      </c>
    </row>
    <row r="5584" spans="1:9" x14ac:dyDescent="0.25">
      <c r="A5584" s="7">
        <v>3</v>
      </c>
      <c r="B5584" s="8">
        <v>43897</v>
      </c>
      <c r="C5584" s="9" t="s">
        <v>6</v>
      </c>
      <c r="D5584" s="10">
        <v>1493.1979999999999</v>
      </c>
      <c r="E5584" s="10">
        <v>1031.0999999999999</v>
      </c>
      <c r="F5584" t="str">
        <f>VLOOKUP(A5584,StoreLookup,2,FALSE)</f>
        <v>Store#3</v>
      </c>
      <c r="G5584">
        <f>INDEX(CalLookUpTable,MATCH($B5584,CalLookUpRow,0),MATCH(G$1,CalLookUpColumn,0))</f>
        <v>2020</v>
      </c>
      <c r="H5584">
        <f>INDEX(CalLookUpTable,MATCH($B5584,CalLookUpRow,0),MATCH(H$1,CalLookUpColumn,0))</f>
        <v>3</v>
      </c>
      <c r="I5584">
        <f>INDEX(CalLookUpTable,MATCH($B5584,CalLookUpRow,0),MATCH(I$1,CalLookUpColumn,0))</f>
        <v>2</v>
      </c>
    </row>
    <row r="5585" spans="1:9" x14ac:dyDescent="0.25">
      <c r="A5585" s="7">
        <v>3</v>
      </c>
      <c r="B5585" s="8">
        <v>43897</v>
      </c>
      <c r="C5585" s="9" t="s">
        <v>3</v>
      </c>
      <c r="D5585" s="10">
        <v>167.85999999999999</v>
      </c>
      <c r="E5585" s="10">
        <v>9.0860000000000003</v>
      </c>
      <c r="F5585" t="str">
        <f>VLOOKUP(A5585,StoreLookup,2,FALSE)</f>
        <v>Store#3</v>
      </c>
      <c r="G5585">
        <f>INDEX(CalLookUpTable,MATCH($B5585,CalLookUpRow,0),MATCH(G$1,CalLookUpColumn,0))</f>
        <v>2020</v>
      </c>
      <c r="H5585">
        <f>INDEX(CalLookUpTable,MATCH($B5585,CalLookUpRow,0),MATCH(H$1,CalLookUpColumn,0))</f>
        <v>3</v>
      </c>
      <c r="I5585">
        <f>INDEX(CalLookUpTable,MATCH($B5585,CalLookUpRow,0),MATCH(I$1,CalLookUpColumn,0))</f>
        <v>2</v>
      </c>
    </row>
    <row r="5586" spans="1:9" x14ac:dyDescent="0.25">
      <c r="A5586" s="7">
        <v>3</v>
      </c>
      <c r="B5586" s="8">
        <v>43898</v>
      </c>
      <c r="C5586" s="9" t="s">
        <v>6</v>
      </c>
      <c r="D5586" s="10">
        <v>1202.2919999999999</v>
      </c>
      <c r="E5586" s="10">
        <v>487.78800000000001</v>
      </c>
      <c r="F5586" t="str">
        <f>VLOOKUP(A5586,StoreLookup,2,FALSE)</f>
        <v>Store#3</v>
      </c>
      <c r="G5586">
        <f>INDEX(CalLookUpTable,MATCH($B5586,CalLookUpRow,0),MATCH(G$1,CalLookUpColumn,0))</f>
        <v>2020</v>
      </c>
      <c r="H5586">
        <f>INDEX(CalLookUpTable,MATCH($B5586,CalLookUpRow,0),MATCH(H$1,CalLookUpColumn,0))</f>
        <v>3</v>
      </c>
      <c r="I5586">
        <f>INDEX(CalLookUpTable,MATCH($B5586,CalLookUpRow,0),MATCH(I$1,CalLookUpColumn,0))</f>
        <v>2</v>
      </c>
    </row>
    <row r="5587" spans="1:9" x14ac:dyDescent="0.25">
      <c r="A5587" s="7">
        <v>3</v>
      </c>
      <c r="B5587" s="8">
        <v>43898</v>
      </c>
      <c r="C5587" s="9" t="s">
        <v>4</v>
      </c>
      <c r="D5587" s="10">
        <v>2180.395</v>
      </c>
      <c r="E5587" s="10">
        <v>2258.8789999999999</v>
      </c>
      <c r="F5587" t="str">
        <f>VLOOKUP(A5587,StoreLookup,2,FALSE)</f>
        <v>Store#3</v>
      </c>
      <c r="G5587">
        <f>INDEX(CalLookUpTable,MATCH($B5587,CalLookUpRow,0),MATCH(G$1,CalLookUpColumn,0))</f>
        <v>2020</v>
      </c>
      <c r="H5587">
        <f>INDEX(CalLookUpTable,MATCH($B5587,CalLookUpRow,0),MATCH(H$1,CalLookUpColumn,0))</f>
        <v>3</v>
      </c>
      <c r="I5587">
        <f>INDEX(CalLookUpTable,MATCH($B5587,CalLookUpRow,0),MATCH(I$1,CalLookUpColumn,0))</f>
        <v>2</v>
      </c>
    </row>
    <row r="5588" spans="1:9" x14ac:dyDescent="0.25">
      <c r="A5588" s="7">
        <v>3</v>
      </c>
      <c r="B5588" s="8">
        <v>43898</v>
      </c>
      <c r="C5588" s="9" t="s">
        <v>5</v>
      </c>
      <c r="D5588" s="10">
        <v>2316.3979999999997</v>
      </c>
      <c r="E5588" s="10">
        <v>2592.8209999999999</v>
      </c>
      <c r="F5588" t="str">
        <f>VLOOKUP(A5588,StoreLookup,2,FALSE)</f>
        <v>Store#3</v>
      </c>
      <c r="G5588">
        <f>INDEX(CalLookUpTable,MATCH($B5588,CalLookUpRow,0),MATCH(G$1,CalLookUpColumn,0))</f>
        <v>2020</v>
      </c>
      <c r="H5588">
        <f>INDEX(CalLookUpTable,MATCH($B5588,CalLookUpRow,0),MATCH(H$1,CalLookUpColumn,0))</f>
        <v>3</v>
      </c>
      <c r="I5588">
        <f>INDEX(CalLookUpTable,MATCH($B5588,CalLookUpRow,0),MATCH(I$1,CalLookUpColumn,0))</f>
        <v>2</v>
      </c>
    </row>
    <row r="5589" spans="1:9" x14ac:dyDescent="0.25">
      <c r="A5589" s="7">
        <v>3</v>
      </c>
      <c r="B5589" s="8">
        <v>43898</v>
      </c>
      <c r="C5589" s="9" t="s">
        <v>3</v>
      </c>
      <c r="D5589" s="10">
        <v>151.06</v>
      </c>
      <c r="E5589" s="10">
        <v>111.405</v>
      </c>
      <c r="F5589" t="str">
        <f>VLOOKUP(A5589,StoreLookup,2,FALSE)</f>
        <v>Store#3</v>
      </c>
      <c r="G5589">
        <f>INDEX(CalLookUpTable,MATCH($B5589,CalLookUpRow,0),MATCH(G$1,CalLookUpColumn,0))</f>
        <v>2020</v>
      </c>
      <c r="H5589">
        <f>INDEX(CalLookUpTable,MATCH($B5589,CalLookUpRow,0),MATCH(H$1,CalLookUpColumn,0))</f>
        <v>3</v>
      </c>
      <c r="I5589">
        <f>INDEX(CalLookUpTable,MATCH($B5589,CalLookUpRow,0),MATCH(I$1,CalLookUpColumn,0))</f>
        <v>2</v>
      </c>
    </row>
    <row r="5590" spans="1:9" x14ac:dyDescent="0.25">
      <c r="A5590" s="7">
        <v>3</v>
      </c>
      <c r="B5590" s="8">
        <v>43899</v>
      </c>
      <c r="C5590" s="9" t="s">
        <v>3</v>
      </c>
      <c r="D5590" s="10">
        <v>0</v>
      </c>
      <c r="E5590" s="10">
        <v>0</v>
      </c>
      <c r="F5590" t="str">
        <f>VLOOKUP(A5590,StoreLookup,2,FALSE)</f>
        <v>Store#3</v>
      </c>
      <c r="G5590">
        <f>INDEX(CalLookUpTable,MATCH($B5590,CalLookUpRow,0),MATCH(G$1,CalLookUpColumn,0))</f>
        <v>2020</v>
      </c>
      <c r="H5590">
        <f>INDEX(CalLookUpTable,MATCH($B5590,CalLookUpRow,0),MATCH(H$1,CalLookUpColumn,0))</f>
        <v>3</v>
      </c>
      <c r="I5590">
        <f>INDEX(CalLookUpTable,MATCH($B5590,CalLookUpRow,0),MATCH(I$1,CalLookUpColumn,0))</f>
        <v>3</v>
      </c>
    </row>
    <row r="5591" spans="1:9" x14ac:dyDescent="0.25">
      <c r="A5591" s="7">
        <v>3</v>
      </c>
      <c r="B5591" s="8">
        <v>43899</v>
      </c>
      <c r="C5591" s="9" t="s">
        <v>5</v>
      </c>
      <c r="D5591" s="10">
        <v>2757.902</v>
      </c>
      <c r="E5591" s="10">
        <v>3064.5509999999999</v>
      </c>
      <c r="F5591" t="str">
        <f>VLOOKUP(A5591,StoreLookup,2,FALSE)</f>
        <v>Store#3</v>
      </c>
      <c r="G5591">
        <f>INDEX(CalLookUpTable,MATCH($B5591,CalLookUpRow,0),MATCH(G$1,CalLookUpColumn,0))</f>
        <v>2020</v>
      </c>
      <c r="H5591">
        <f>INDEX(CalLookUpTable,MATCH($B5591,CalLookUpRow,0),MATCH(H$1,CalLookUpColumn,0))</f>
        <v>3</v>
      </c>
      <c r="I5591">
        <f>INDEX(CalLookUpTable,MATCH($B5591,CalLookUpRow,0),MATCH(I$1,CalLookUpColumn,0))</f>
        <v>3</v>
      </c>
    </row>
    <row r="5592" spans="1:9" x14ac:dyDescent="0.25">
      <c r="A5592" s="7">
        <v>3</v>
      </c>
      <c r="B5592" s="8">
        <v>43899</v>
      </c>
      <c r="C5592" s="9" t="s">
        <v>4</v>
      </c>
      <c r="D5592" s="10">
        <v>2592.6389999999997</v>
      </c>
      <c r="E5592" s="10">
        <v>2742.7889999999998</v>
      </c>
      <c r="F5592" t="str">
        <f>VLOOKUP(A5592,StoreLookup,2,FALSE)</f>
        <v>Store#3</v>
      </c>
      <c r="G5592">
        <f>INDEX(CalLookUpTable,MATCH($B5592,CalLookUpRow,0),MATCH(G$1,CalLookUpColumn,0))</f>
        <v>2020</v>
      </c>
      <c r="H5592">
        <f>INDEX(CalLookUpTable,MATCH($B5592,CalLookUpRow,0),MATCH(H$1,CalLookUpColumn,0))</f>
        <v>3</v>
      </c>
      <c r="I5592">
        <f>INDEX(CalLookUpTable,MATCH($B5592,CalLookUpRow,0),MATCH(I$1,CalLookUpColumn,0))</f>
        <v>3</v>
      </c>
    </row>
    <row r="5593" spans="1:9" x14ac:dyDescent="0.25">
      <c r="A5593" s="7">
        <v>3</v>
      </c>
      <c r="B5593" s="8">
        <v>43899</v>
      </c>
      <c r="C5593" s="9" t="s">
        <v>6</v>
      </c>
      <c r="D5593" s="10">
        <v>1415.078</v>
      </c>
      <c r="E5593" s="10">
        <v>307.83199999999999</v>
      </c>
      <c r="F5593" t="str">
        <f>VLOOKUP(A5593,StoreLookup,2,FALSE)</f>
        <v>Store#3</v>
      </c>
      <c r="G5593">
        <f>INDEX(CalLookUpTable,MATCH($B5593,CalLookUpRow,0),MATCH(G$1,CalLookUpColumn,0))</f>
        <v>2020</v>
      </c>
      <c r="H5593">
        <f>INDEX(CalLookUpTable,MATCH($B5593,CalLookUpRow,0),MATCH(H$1,CalLookUpColumn,0))</f>
        <v>3</v>
      </c>
      <c r="I5593">
        <f>INDEX(CalLookUpTable,MATCH($B5593,CalLookUpRow,0),MATCH(I$1,CalLookUpColumn,0))</f>
        <v>3</v>
      </c>
    </row>
    <row r="5594" spans="1:9" x14ac:dyDescent="0.25">
      <c r="A5594" s="7">
        <v>3</v>
      </c>
      <c r="B5594" s="8">
        <v>43900</v>
      </c>
      <c r="C5594" s="9" t="s">
        <v>5</v>
      </c>
      <c r="D5594" s="10">
        <v>3359.0269999999996</v>
      </c>
      <c r="E5594" s="10">
        <v>2888.578</v>
      </c>
      <c r="F5594" t="str">
        <f>VLOOKUP(A5594,StoreLookup,2,FALSE)</f>
        <v>Store#3</v>
      </c>
      <c r="G5594">
        <f>INDEX(CalLookUpTable,MATCH($B5594,CalLookUpRow,0),MATCH(G$1,CalLookUpColumn,0))</f>
        <v>2020</v>
      </c>
      <c r="H5594">
        <f>INDEX(CalLookUpTable,MATCH($B5594,CalLookUpRow,0),MATCH(H$1,CalLookUpColumn,0))</f>
        <v>3</v>
      </c>
      <c r="I5594">
        <f>INDEX(CalLookUpTable,MATCH($B5594,CalLookUpRow,0),MATCH(I$1,CalLookUpColumn,0))</f>
        <v>3</v>
      </c>
    </row>
    <row r="5595" spans="1:9" x14ac:dyDescent="0.25">
      <c r="A5595" s="7">
        <v>3</v>
      </c>
      <c r="B5595" s="8">
        <v>43900</v>
      </c>
      <c r="C5595" s="9" t="s">
        <v>4</v>
      </c>
      <c r="D5595" s="10">
        <v>2655.527</v>
      </c>
      <c r="E5595" s="10">
        <v>2900.4989999999998</v>
      </c>
      <c r="F5595" t="str">
        <f>VLOOKUP(A5595,StoreLookup,2,FALSE)</f>
        <v>Store#3</v>
      </c>
      <c r="G5595">
        <f>INDEX(CalLookUpTable,MATCH($B5595,CalLookUpRow,0),MATCH(G$1,CalLookUpColumn,0))</f>
        <v>2020</v>
      </c>
      <c r="H5595">
        <f>INDEX(CalLookUpTable,MATCH($B5595,CalLookUpRow,0),MATCH(H$1,CalLookUpColumn,0))</f>
        <v>3</v>
      </c>
      <c r="I5595">
        <f>INDEX(CalLookUpTable,MATCH($B5595,CalLookUpRow,0),MATCH(I$1,CalLookUpColumn,0))</f>
        <v>3</v>
      </c>
    </row>
    <row r="5596" spans="1:9" x14ac:dyDescent="0.25">
      <c r="A5596" s="7">
        <v>3</v>
      </c>
      <c r="B5596" s="8">
        <v>43900</v>
      </c>
      <c r="C5596" s="9" t="s">
        <v>3</v>
      </c>
      <c r="D5596" s="10">
        <v>0</v>
      </c>
      <c r="E5596" s="10">
        <v>0</v>
      </c>
      <c r="F5596" t="str">
        <f>VLOOKUP(A5596,StoreLookup,2,FALSE)</f>
        <v>Store#3</v>
      </c>
      <c r="G5596">
        <f>INDEX(CalLookUpTable,MATCH($B5596,CalLookUpRow,0),MATCH(G$1,CalLookUpColumn,0))</f>
        <v>2020</v>
      </c>
      <c r="H5596">
        <f>INDEX(CalLookUpTable,MATCH($B5596,CalLookUpRow,0),MATCH(H$1,CalLookUpColumn,0))</f>
        <v>3</v>
      </c>
      <c r="I5596">
        <f>INDEX(CalLookUpTable,MATCH($B5596,CalLookUpRow,0),MATCH(I$1,CalLookUpColumn,0))</f>
        <v>3</v>
      </c>
    </row>
    <row r="5597" spans="1:9" x14ac:dyDescent="0.25">
      <c r="A5597" s="7">
        <v>3</v>
      </c>
      <c r="B5597" s="8">
        <v>43900</v>
      </c>
      <c r="C5597" s="9" t="s">
        <v>6</v>
      </c>
      <c r="D5597" s="10">
        <v>1247.183</v>
      </c>
      <c r="E5597" s="10">
        <v>1082.3329999999999</v>
      </c>
      <c r="F5597" t="str">
        <f>VLOOKUP(A5597,StoreLookup,2,FALSE)</f>
        <v>Store#3</v>
      </c>
      <c r="G5597">
        <f>INDEX(CalLookUpTable,MATCH($B5597,CalLookUpRow,0),MATCH(G$1,CalLookUpColumn,0))</f>
        <v>2020</v>
      </c>
      <c r="H5597">
        <f>INDEX(CalLookUpTable,MATCH($B5597,CalLookUpRow,0),MATCH(H$1,CalLookUpColumn,0))</f>
        <v>3</v>
      </c>
      <c r="I5597">
        <f>INDEX(CalLookUpTable,MATCH($B5597,CalLookUpRow,0),MATCH(I$1,CalLookUpColumn,0))</f>
        <v>3</v>
      </c>
    </row>
    <row r="5598" spans="1:9" x14ac:dyDescent="0.25">
      <c r="A5598" s="7">
        <v>3</v>
      </c>
      <c r="B5598" s="8">
        <v>43901</v>
      </c>
      <c r="C5598" s="9" t="s">
        <v>4</v>
      </c>
      <c r="D5598" s="10">
        <v>2528.085</v>
      </c>
      <c r="E5598" s="10">
        <v>2487.471</v>
      </c>
      <c r="F5598" t="str">
        <f>VLOOKUP(A5598,StoreLookup,2,FALSE)</f>
        <v>Store#3</v>
      </c>
      <c r="G5598">
        <f>INDEX(CalLookUpTable,MATCH($B5598,CalLookUpRow,0),MATCH(G$1,CalLookUpColumn,0))</f>
        <v>2020</v>
      </c>
      <c r="H5598">
        <f>INDEX(CalLookUpTable,MATCH($B5598,CalLookUpRow,0),MATCH(H$1,CalLookUpColumn,0))</f>
        <v>3</v>
      </c>
      <c r="I5598">
        <f>INDEX(CalLookUpTable,MATCH($B5598,CalLookUpRow,0),MATCH(I$1,CalLookUpColumn,0))</f>
        <v>3</v>
      </c>
    </row>
    <row r="5599" spans="1:9" x14ac:dyDescent="0.25">
      <c r="A5599" s="7">
        <v>3</v>
      </c>
      <c r="B5599" s="8">
        <v>43901</v>
      </c>
      <c r="C5599" s="9" t="s">
        <v>3</v>
      </c>
      <c r="D5599" s="10">
        <v>0</v>
      </c>
      <c r="E5599" s="10">
        <v>26.410999999999998</v>
      </c>
      <c r="F5599" t="str">
        <f>VLOOKUP(A5599,StoreLookup,2,FALSE)</f>
        <v>Store#3</v>
      </c>
      <c r="G5599">
        <f>INDEX(CalLookUpTable,MATCH($B5599,CalLookUpRow,0),MATCH(G$1,CalLookUpColumn,0))</f>
        <v>2020</v>
      </c>
      <c r="H5599">
        <f>INDEX(CalLookUpTable,MATCH($B5599,CalLookUpRow,0),MATCH(H$1,CalLookUpColumn,0))</f>
        <v>3</v>
      </c>
      <c r="I5599">
        <f>INDEX(CalLookUpTable,MATCH($B5599,CalLookUpRow,0),MATCH(I$1,CalLookUpColumn,0))</f>
        <v>3</v>
      </c>
    </row>
    <row r="5600" spans="1:9" x14ac:dyDescent="0.25">
      <c r="A5600" s="7">
        <v>3</v>
      </c>
      <c r="B5600" s="8">
        <v>43901</v>
      </c>
      <c r="C5600" s="9" t="s">
        <v>6</v>
      </c>
      <c r="D5600" s="10">
        <v>926.4849999999999</v>
      </c>
      <c r="E5600" s="10">
        <v>1011.472</v>
      </c>
      <c r="F5600" t="str">
        <f>VLOOKUP(A5600,StoreLookup,2,FALSE)</f>
        <v>Store#3</v>
      </c>
      <c r="G5600">
        <f>INDEX(CalLookUpTable,MATCH($B5600,CalLookUpRow,0),MATCH(G$1,CalLookUpColumn,0))</f>
        <v>2020</v>
      </c>
      <c r="H5600">
        <f>INDEX(CalLookUpTable,MATCH($B5600,CalLookUpRow,0),MATCH(H$1,CalLookUpColumn,0))</f>
        <v>3</v>
      </c>
      <c r="I5600">
        <f>INDEX(CalLookUpTable,MATCH($B5600,CalLookUpRow,0),MATCH(I$1,CalLookUpColumn,0))</f>
        <v>3</v>
      </c>
    </row>
    <row r="5601" spans="1:9" x14ac:dyDescent="0.25">
      <c r="A5601" s="7">
        <v>3</v>
      </c>
      <c r="B5601" s="8">
        <v>43901</v>
      </c>
      <c r="C5601" s="9" t="s">
        <v>5</v>
      </c>
      <c r="D5601" s="10">
        <v>3215.576</v>
      </c>
      <c r="E5601" s="10">
        <v>3194.4569999999999</v>
      </c>
      <c r="F5601" t="str">
        <f>VLOOKUP(A5601,StoreLookup,2,FALSE)</f>
        <v>Store#3</v>
      </c>
      <c r="G5601">
        <f>INDEX(CalLookUpTable,MATCH($B5601,CalLookUpRow,0),MATCH(G$1,CalLookUpColumn,0))</f>
        <v>2020</v>
      </c>
      <c r="H5601">
        <f>INDEX(CalLookUpTable,MATCH($B5601,CalLookUpRow,0),MATCH(H$1,CalLookUpColumn,0))</f>
        <v>3</v>
      </c>
      <c r="I5601">
        <f>INDEX(CalLookUpTable,MATCH($B5601,CalLookUpRow,0),MATCH(I$1,CalLookUpColumn,0))</f>
        <v>3</v>
      </c>
    </row>
    <row r="5602" spans="1:9" x14ac:dyDescent="0.25">
      <c r="A5602" s="7">
        <v>3</v>
      </c>
      <c r="B5602" s="8">
        <v>43902</v>
      </c>
      <c r="C5602" s="9" t="s">
        <v>6</v>
      </c>
      <c r="D5602" s="10">
        <v>1666.742</v>
      </c>
      <c r="E5602" s="10">
        <v>650.41899999999998</v>
      </c>
      <c r="F5602" t="str">
        <f>VLOOKUP(A5602,StoreLookup,2,FALSE)</f>
        <v>Store#3</v>
      </c>
      <c r="G5602">
        <f>INDEX(CalLookUpTable,MATCH($B5602,CalLookUpRow,0),MATCH(G$1,CalLookUpColumn,0))</f>
        <v>2020</v>
      </c>
      <c r="H5602">
        <f>INDEX(CalLookUpTable,MATCH($B5602,CalLookUpRow,0),MATCH(H$1,CalLookUpColumn,0))</f>
        <v>3</v>
      </c>
      <c r="I5602">
        <f>INDEX(CalLookUpTable,MATCH($B5602,CalLookUpRow,0),MATCH(I$1,CalLookUpColumn,0))</f>
        <v>3</v>
      </c>
    </row>
    <row r="5603" spans="1:9" x14ac:dyDescent="0.25">
      <c r="A5603" s="7">
        <v>3</v>
      </c>
      <c r="B5603" s="8">
        <v>43902</v>
      </c>
      <c r="C5603" s="9" t="s">
        <v>4</v>
      </c>
      <c r="D5603" s="10">
        <v>3043.5439999999999</v>
      </c>
      <c r="E5603" s="10">
        <v>3557.7989999999995</v>
      </c>
      <c r="F5603" t="str">
        <f>VLOOKUP(A5603,StoreLookup,2,FALSE)</f>
        <v>Store#3</v>
      </c>
      <c r="G5603">
        <f>INDEX(CalLookUpTable,MATCH($B5603,CalLookUpRow,0),MATCH(G$1,CalLookUpColumn,0))</f>
        <v>2020</v>
      </c>
      <c r="H5603">
        <f>INDEX(CalLookUpTable,MATCH($B5603,CalLookUpRow,0),MATCH(H$1,CalLookUpColumn,0))</f>
        <v>3</v>
      </c>
      <c r="I5603">
        <f>INDEX(CalLookUpTable,MATCH($B5603,CalLookUpRow,0),MATCH(I$1,CalLookUpColumn,0))</f>
        <v>3</v>
      </c>
    </row>
    <row r="5604" spans="1:9" x14ac:dyDescent="0.25">
      <c r="A5604" s="7">
        <v>3</v>
      </c>
      <c r="B5604" s="8">
        <v>43902</v>
      </c>
      <c r="C5604" s="9" t="s">
        <v>3</v>
      </c>
      <c r="D5604" s="10">
        <v>281.50499999999994</v>
      </c>
      <c r="E5604" s="10">
        <v>134.98099999999999</v>
      </c>
      <c r="F5604" t="str">
        <f>VLOOKUP(A5604,StoreLookup,2,FALSE)</f>
        <v>Store#3</v>
      </c>
      <c r="G5604">
        <f>INDEX(CalLookUpTable,MATCH($B5604,CalLookUpRow,0),MATCH(G$1,CalLookUpColumn,0))</f>
        <v>2020</v>
      </c>
      <c r="H5604">
        <f>INDEX(CalLookUpTable,MATCH($B5604,CalLookUpRow,0),MATCH(H$1,CalLookUpColumn,0))</f>
        <v>3</v>
      </c>
      <c r="I5604">
        <f>INDEX(CalLookUpTable,MATCH($B5604,CalLookUpRow,0),MATCH(I$1,CalLookUpColumn,0))</f>
        <v>3</v>
      </c>
    </row>
    <row r="5605" spans="1:9" x14ac:dyDescent="0.25">
      <c r="A5605" s="7">
        <v>3</v>
      </c>
      <c r="B5605" s="8">
        <v>43902</v>
      </c>
      <c r="C5605" s="9" t="s">
        <v>5</v>
      </c>
      <c r="D5605" s="10">
        <v>3083.4159999999997</v>
      </c>
      <c r="E5605" s="10">
        <v>3403.6029999999996</v>
      </c>
      <c r="F5605" t="str">
        <f>VLOOKUP(A5605,StoreLookup,2,FALSE)</f>
        <v>Store#3</v>
      </c>
      <c r="G5605">
        <f>INDEX(CalLookUpTable,MATCH($B5605,CalLookUpRow,0),MATCH(G$1,CalLookUpColumn,0))</f>
        <v>2020</v>
      </c>
      <c r="H5605">
        <f>INDEX(CalLookUpTable,MATCH($B5605,CalLookUpRow,0),MATCH(H$1,CalLookUpColumn,0))</f>
        <v>3</v>
      </c>
      <c r="I5605">
        <f>INDEX(CalLookUpTable,MATCH($B5605,CalLookUpRow,0),MATCH(I$1,CalLookUpColumn,0))</f>
        <v>3</v>
      </c>
    </row>
    <row r="5606" spans="1:9" x14ac:dyDescent="0.25">
      <c r="A5606" s="7">
        <v>3</v>
      </c>
      <c r="B5606" s="8">
        <v>43903</v>
      </c>
      <c r="C5606" s="9" t="s">
        <v>3</v>
      </c>
      <c r="D5606" s="10">
        <v>0</v>
      </c>
      <c r="E5606" s="10">
        <v>0</v>
      </c>
      <c r="F5606" t="str">
        <f>VLOOKUP(A5606,StoreLookup,2,FALSE)</f>
        <v>Store#3</v>
      </c>
      <c r="G5606">
        <f>INDEX(CalLookUpTable,MATCH($B5606,CalLookUpRow,0),MATCH(G$1,CalLookUpColumn,0))</f>
        <v>2020</v>
      </c>
      <c r="H5606">
        <f>INDEX(CalLookUpTable,MATCH($B5606,CalLookUpRow,0),MATCH(H$1,CalLookUpColumn,0))</f>
        <v>3</v>
      </c>
      <c r="I5606">
        <f>INDEX(CalLookUpTable,MATCH($B5606,CalLookUpRow,0),MATCH(I$1,CalLookUpColumn,0))</f>
        <v>3</v>
      </c>
    </row>
    <row r="5607" spans="1:9" x14ac:dyDescent="0.25">
      <c r="A5607" s="7">
        <v>3</v>
      </c>
      <c r="B5607" s="8">
        <v>43903</v>
      </c>
      <c r="C5607" s="9" t="s">
        <v>5</v>
      </c>
      <c r="D5607" s="10">
        <v>3524.9059999999999</v>
      </c>
      <c r="E5607" s="10">
        <v>3853.6679999999997</v>
      </c>
      <c r="F5607" t="str">
        <f>VLOOKUP(A5607,StoreLookup,2,FALSE)</f>
        <v>Store#3</v>
      </c>
      <c r="G5607">
        <f>INDEX(CalLookUpTable,MATCH($B5607,CalLookUpRow,0),MATCH(G$1,CalLookUpColumn,0))</f>
        <v>2020</v>
      </c>
      <c r="H5607">
        <f>INDEX(CalLookUpTable,MATCH($B5607,CalLookUpRow,0),MATCH(H$1,CalLookUpColumn,0))</f>
        <v>3</v>
      </c>
      <c r="I5607">
        <f>INDEX(CalLookUpTable,MATCH($B5607,CalLookUpRow,0),MATCH(I$1,CalLookUpColumn,0))</f>
        <v>3</v>
      </c>
    </row>
    <row r="5608" spans="1:9" x14ac:dyDescent="0.25">
      <c r="A5608" s="7">
        <v>3</v>
      </c>
      <c r="B5608" s="8">
        <v>43903</v>
      </c>
      <c r="C5608" s="9" t="s">
        <v>6</v>
      </c>
      <c r="D5608" s="10">
        <v>2004.3519999999999</v>
      </c>
      <c r="E5608" s="10">
        <v>1073.8699999999999</v>
      </c>
      <c r="F5608" t="str">
        <f>VLOOKUP(A5608,StoreLookup,2,FALSE)</f>
        <v>Store#3</v>
      </c>
      <c r="G5608">
        <f>INDEX(CalLookUpTable,MATCH($B5608,CalLookUpRow,0),MATCH(G$1,CalLookUpColumn,0))</f>
        <v>2020</v>
      </c>
      <c r="H5608">
        <f>INDEX(CalLookUpTable,MATCH($B5608,CalLookUpRow,0),MATCH(H$1,CalLookUpColumn,0))</f>
        <v>3</v>
      </c>
      <c r="I5608">
        <f>INDEX(CalLookUpTable,MATCH($B5608,CalLookUpRow,0),MATCH(I$1,CalLookUpColumn,0))</f>
        <v>3</v>
      </c>
    </row>
    <row r="5609" spans="1:9" x14ac:dyDescent="0.25">
      <c r="A5609" s="7">
        <v>3</v>
      </c>
      <c r="B5609" s="8">
        <v>43903</v>
      </c>
      <c r="C5609" s="9" t="s">
        <v>4</v>
      </c>
      <c r="D5609" s="10">
        <v>2709.9589999999998</v>
      </c>
      <c r="E5609" s="10">
        <v>4247.9079999999994</v>
      </c>
      <c r="F5609" t="str">
        <f>VLOOKUP(A5609,StoreLookup,2,FALSE)</f>
        <v>Store#3</v>
      </c>
      <c r="G5609">
        <f>INDEX(CalLookUpTable,MATCH($B5609,CalLookUpRow,0),MATCH(G$1,CalLookUpColumn,0))</f>
        <v>2020</v>
      </c>
      <c r="H5609">
        <f>INDEX(CalLookUpTable,MATCH($B5609,CalLookUpRow,0),MATCH(H$1,CalLookUpColumn,0))</f>
        <v>3</v>
      </c>
      <c r="I5609">
        <f>INDEX(CalLookUpTable,MATCH($B5609,CalLookUpRow,0),MATCH(I$1,CalLookUpColumn,0))</f>
        <v>3</v>
      </c>
    </row>
    <row r="5610" spans="1:9" x14ac:dyDescent="0.25">
      <c r="A5610" s="7">
        <v>3</v>
      </c>
      <c r="B5610" s="8">
        <v>43904</v>
      </c>
      <c r="C5610" s="9" t="s">
        <v>4</v>
      </c>
      <c r="D5610" s="10">
        <v>2330.9929999999995</v>
      </c>
      <c r="E5610" s="10">
        <v>3423.1679999999997</v>
      </c>
      <c r="F5610" t="str">
        <f>VLOOKUP(A5610,StoreLookup,2,FALSE)</f>
        <v>Store#3</v>
      </c>
      <c r="G5610">
        <f>INDEX(CalLookUpTable,MATCH($B5610,CalLookUpRow,0),MATCH(G$1,CalLookUpColumn,0))</f>
        <v>2020</v>
      </c>
      <c r="H5610">
        <f>INDEX(CalLookUpTable,MATCH($B5610,CalLookUpRow,0),MATCH(H$1,CalLookUpColumn,0))</f>
        <v>3</v>
      </c>
      <c r="I5610">
        <f>INDEX(CalLookUpTable,MATCH($B5610,CalLookUpRow,0),MATCH(I$1,CalLookUpColumn,0))</f>
        <v>3</v>
      </c>
    </row>
    <row r="5611" spans="1:9" x14ac:dyDescent="0.25">
      <c r="A5611" s="7">
        <v>3</v>
      </c>
      <c r="B5611" s="8">
        <v>43904</v>
      </c>
      <c r="C5611" s="9" t="s">
        <v>3</v>
      </c>
      <c r="D5611" s="10">
        <v>139.88800000000001</v>
      </c>
      <c r="E5611" s="10">
        <v>153.85999999999999</v>
      </c>
      <c r="F5611" t="str">
        <f>VLOOKUP(A5611,StoreLookup,2,FALSE)</f>
        <v>Store#3</v>
      </c>
      <c r="G5611">
        <f>INDEX(CalLookUpTable,MATCH($B5611,CalLookUpRow,0),MATCH(G$1,CalLookUpColumn,0))</f>
        <v>2020</v>
      </c>
      <c r="H5611">
        <f>INDEX(CalLookUpTable,MATCH($B5611,CalLookUpRow,0),MATCH(H$1,CalLookUpColumn,0))</f>
        <v>3</v>
      </c>
      <c r="I5611">
        <f>INDEX(CalLookUpTable,MATCH($B5611,CalLookUpRow,0),MATCH(I$1,CalLookUpColumn,0))</f>
        <v>3</v>
      </c>
    </row>
    <row r="5612" spans="1:9" x14ac:dyDescent="0.25">
      <c r="A5612" s="7">
        <v>3</v>
      </c>
      <c r="B5612" s="8">
        <v>43904</v>
      </c>
      <c r="C5612" s="9" t="s">
        <v>6</v>
      </c>
      <c r="D5612" s="10">
        <v>1433.663</v>
      </c>
      <c r="E5612" s="10">
        <v>740.76099999999997</v>
      </c>
      <c r="F5612" t="str">
        <f>VLOOKUP(A5612,StoreLookup,2,FALSE)</f>
        <v>Store#3</v>
      </c>
      <c r="G5612">
        <f>INDEX(CalLookUpTable,MATCH($B5612,CalLookUpRow,0),MATCH(G$1,CalLookUpColumn,0))</f>
        <v>2020</v>
      </c>
      <c r="H5612">
        <f>INDEX(CalLookUpTable,MATCH($B5612,CalLookUpRow,0),MATCH(H$1,CalLookUpColumn,0))</f>
        <v>3</v>
      </c>
      <c r="I5612">
        <f>INDEX(CalLookUpTable,MATCH($B5612,CalLookUpRow,0),MATCH(I$1,CalLookUpColumn,0))</f>
        <v>3</v>
      </c>
    </row>
    <row r="5613" spans="1:9" x14ac:dyDescent="0.25">
      <c r="A5613" s="7">
        <v>3</v>
      </c>
      <c r="B5613" s="8">
        <v>43904</v>
      </c>
      <c r="C5613" s="9" t="s">
        <v>5</v>
      </c>
      <c r="D5613" s="10">
        <v>3173.7579999999994</v>
      </c>
      <c r="E5613" s="10">
        <v>3431.491</v>
      </c>
      <c r="F5613" t="str">
        <f>VLOOKUP(A5613,StoreLookup,2,FALSE)</f>
        <v>Store#3</v>
      </c>
      <c r="G5613">
        <f>INDEX(CalLookUpTable,MATCH($B5613,CalLookUpRow,0),MATCH(G$1,CalLookUpColumn,0))</f>
        <v>2020</v>
      </c>
      <c r="H5613">
        <f>INDEX(CalLookUpTable,MATCH($B5613,CalLookUpRow,0),MATCH(H$1,CalLookUpColumn,0))</f>
        <v>3</v>
      </c>
      <c r="I5613">
        <f>INDEX(CalLookUpTable,MATCH($B5613,CalLookUpRow,0),MATCH(I$1,CalLookUpColumn,0))</f>
        <v>3</v>
      </c>
    </row>
    <row r="5614" spans="1:9" x14ac:dyDescent="0.25">
      <c r="A5614" s="7">
        <v>3</v>
      </c>
      <c r="B5614" s="8">
        <v>43905</v>
      </c>
      <c r="C5614" s="9" t="s">
        <v>6</v>
      </c>
      <c r="D5614" s="10">
        <v>1018.9129999999999</v>
      </c>
      <c r="E5614" s="10">
        <v>460.80999999999995</v>
      </c>
      <c r="F5614" t="str">
        <f>VLOOKUP(A5614,StoreLookup,2,FALSE)</f>
        <v>Store#3</v>
      </c>
      <c r="G5614">
        <f>INDEX(CalLookUpTable,MATCH($B5614,CalLookUpRow,0),MATCH(G$1,CalLookUpColumn,0))</f>
        <v>2020</v>
      </c>
      <c r="H5614">
        <f>INDEX(CalLookUpTable,MATCH($B5614,CalLookUpRow,0),MATCH(H$1,CalLookUpColumn,0))</f>
        <v>3</v>
      </c>
      <c r="I5614">
        <f>INDEX(CalLookUpTable,MATCH($B5614,CalLookUpRow,0),MATCH(I$1,CalLookUpColumn,0))</f>
        <v>3</v>
      </c>
    </row>
    <row r="5615" spans="1:9" x14ac:dyDescent="0.25">
      <c r="A5615" s="7">
        <v>3</v>
      </c>
      <c r="B5615" s="8">
        <v>43905</v>
      </c>
      <c r="C5615" s="9" t="s">
        <v>3</v>
      </c>
      <c r="D5615" s="10">
        <v>0</v>
      </c>
      <c r="E5615" s="10">
        <v>22.378999999999998</v>
      </c>
      <c r="F5615" t="str">
        <f>VLOOKUP(A5615,StoreLookup,2,FALSE)</f>
        <v>Store#3</v>
      </c>
      <c r="G5615">
        <f>INDEX(CalLookUpTable,MATCH($B5615,CalLookUpRow,0),MATCH(G$1,CalLookUpColumn,0))</f>
        <v>2020</v>
      </c>
      <c r="H5615">
        <f>INDEX(CalLookUpTable,MATCH($B5615,CalLookUpRow,0),MATCH(H$1,CalLookUpColumn,0))</f>
        <v>3</v>
      </c>
      <c r="I5615">
        <f>INDEX(CalLookUpTable,MATCH($B5615,CalLookUpRow,0),MATCH(I$1,CalLookUpColumn,0))</f>
        <v>3</v>
      </c>
    </row>
    <row r="5616" spans="1:9" x14ac:dyDescent="0.25">
      <c r="A5616" s="7">
        <v>3</v>
      </c>
      <c r="B5616" s="8">
        <v>43905</v>
      </c>
      <c r="C5616" s="9" t="s">
        <v>5</v>
      </c>
      <c r="D5616" s="10">
        <v>2547.5029999999997</v>
      </c>
      <c r="E5616" s="10">
        <v>2932.0969999999998</v>
      </c>
      <c r="F5616" t="str">
        <f>VLOOKUP(A5616,StoreLookup,2,FALSE)</f>
        <v>Store#3</v>
      </c>
      <c r="G5616">
        <f>INDEX(CalLookUpTable,MATCH($B5616,CalLookUpRow,0),MATCH(G$1,CalLookUpColumn,0))</f>
        <v>2020</v>
      </c>
      <c r="H5616">
        <f>INDEX(CalLookUpTable,MATCH($B5616,CalLookUpRow,0),MATCH(H$1,CalLookUpColumn,0))</f>
        <v>3</v>
      </c>
      <c r="I5616">
        <f>INDEX(CalLookUpTable,MATCH($B5616,CalLookUpRow,0),MATCH(I$1,CalLookUpColumn,0))</f>
        <v>3</v>
      </c>
    </row>
    <row r="5617" spans="1:9" x14ac:dyDescent="0.25">
      <c r="A5617" s="7">
        <v>3</v>
      </c>
      <c r="B5617" s="8">
        <v>43905</v>
      </c>
      <c r="C5617" s="9" t="s">
        <v>4</v>
      </c>
      <c r="D5617" s="10">
        <v>1857.569</v>
      </c>
      <c r="E5617" s="10">
        <v>2833.0399999999995</v>
      </c>
      <c r="F5617" t="str">
        <f>VLOOKUP(A5617,StoreLookup,2,FALSE)</f>
        <v>Store#3</v>
      </c>
      <c r="G5617">
        <f>INDEX(CalLookUpTable,MATCH($B5617,CalLookUpRow,0),MATCH(G$1,CalLookUpColumn,0))</f>
        <v>2020</v>
      </c>
      <c r="H5617">
        <f>INDEX(CalLookUpTable,MATCH($B5617,CalLookUpRow,0),MATCH(H$1,CalLookUpColumn,0))</f>
        <v>3</v>
      </c>
      <c r="I5617">
        <f>INDEX(CalLookUpTable,MATCH($B5617,CalLookUpRow,0),MATCH(I$1,CalLookUpColumn,0))</f>
        <v>3</v>
      </c>
    </row>
    <row r="5618" spans="1:9" x14ac:dyDescent="0.25">
      <c r="A5618" s="7">
        <v>3</v>
      </c>
      <c r="B5618" s="8">
        <v>43906</v>
      </c>
      <c r="C5618" s="9" t="s">
        <v>6</v>
      </c>
      <c r="D5618" s="10">
        <v>924.92399999999986</v>
      </c>
      <c r="E5618" s="10">
        <v>624.77799999999991</v>
      </c>
      <c r="F5618" t="str">
        <f>VLOOKUP(A5618,StoreLookup,2,FALSE)</f>
        <v>Store#3</v>
      </c>
      <c r="G5618">
        <f>INDEX(CalLookUpTable,MATCH($B5618,CalLookUpRow,0),MATCH(G$1,CalLookUpColumn,0))</f>
        <v>2020</v>
      </c>
      <c r="H5618">
        <f>INDEX(CalLookUpTable,MATCH($B5618,CalLookUpRow,0),MATCH(H$1,CalLookUpColumn,0))</f>
        <v>3</v>
      </c>
      <c r="I5618">
        <f>INDEX(CalLookUpTable,MATCH($B5618,CalLookUpRow,0),MATCH(I$1,CalLookUpColumn,0))</f>
        <v>4</v>
      </c>
    </row>
    <row r="5619" spans="1:9" x14ac:dyDescent="0.25">
      <c r="A5619" s="7">
        <v>3</v>
      </c>
      <c r="B5619" s="8">
        <v>43906</v>
      </c>
      <c r="C5619" s="9" t="s">
        <v>4</v>
      </c>
      <c r="D5619" s="10">
        <v>2313.3109999999997</v>
      </c>
      <c r="E5619" s="10">
        <v>3617.2289999999998</v>
      </c>
      <c r="F5619" t="str">
        <f>VLOOKUP(A5619,StoreLookup,2,FALSE)</f>
        <v>Store#3</v>
      </c>
      <c r="G5619">
        <f>INDEX(CalLookUpTable,MATCH($B5619,CalLookUpRow,0),MATCH(G$1,CalLookUpColumn,0))</f>
        <v>2020</v>
      </c>
      <c r="H5619">
        <f>INDEX(CalLookUpTable,MATCH($B5619,CalLookUpRow,0),MATCH(H$1,CalLookUpColumn,0))</f>
        <v>3</v>
      </c>
      <c r="I5619">
        <f>INDEX(CalLookUpTable,MATCH($B5619,CalLookUpRow,0),MATCH(I$1,CalLookUpColumn,0))</f>
        <v>4</v>
      </c>
    </row>
    <row r="5620" spans="1:9" x14ac:dyDescent="0.25">
      <c r="A5620" s="7">
        <v>3</v>
      </c>
      <c r="B5620" s="8">
        <v>43906</v>
      </c>
      <c r="C5620" s="9" t="s">
        <v>3</v>
      </c>
      <c r="D5620" s="10">
        <v>0</v>
      </c>
      <c r="E5620" s="10">
        <v>0</v>
      </c>
      <c r="F5620" t="str">
        <f>VLOOKUP(A5620,StoreLookup,2,FALSE)</f>
        <v>Store#3</v>
      </c>
      <c r="G5620">
        <f>INDEX(CalLookUpTable,MATCH($B5620,CalLookUpRow,0),MATCH(G$1,CalLookUpColumn,0))</f>
        <v>2020</v>
      </c>
      <c r="H5620">
        <f>INDEX(CalLookUpTable,MATCH($B5620,CalLookUpRow,0),MATCH(H$1,CalLookUpColumn,0))</f>
        <v>3</v>
      </c>
      <c r="I5620">
        <f>INDEX(CalLookUpTable,MATCH($B5620,CalLookUpRow,0),MATCH(I$1,CalLookUpColumn,0))</f>
        <v>4</v>
      </c>
    </row>
    <row r="5621" spans="1:9" x14ac:dyDescent="0.25">
      <c r="A5621" s="7">
        <v>3</v>
      </c>
      <c r="B5621" s="8">
        <v>43906</v>
      </c>
      <c r="C5621" s="9" t="s">
        <v>5</v>
      </c>
      <c r="D5621" s="10">
        <v>3112.2909999999997</v>
      </c>
      <c r="E5621" s="10">
        <v>3350.6899999999996</v>
      </c>
      <c r="F5621" t="str">
        <f>VLOOKUP(A5621,StoreLookup,2,FALSE)</f>
        <v>Store#3</v>
      </c>
      <c r="G5621">
        <f>INDEX(CalLookUpTable,MATCH($B5621,CalLookUpRow,0),MATCH(G$1,CalLookUpColumn,0))</f>
        <v>2020</v>
      </c>
      <c r="H5621">
        <f>INDEX(CalLookUpTable,MATCH($B5621,CalLookUpRow,0),MATCH(H$1,CalLookUpColumn,0))</f>
        <v>3</v>
      </c>
      <c r="I5621">
        <f>INDEX(CalLookUpTable,MATCH($B5621,CalLookUpRow,0),MATCH(I$1,CalLookUpColumn,0))</f>
        <v>4</v>
      </c>
    </row>
    <row r="5622" spans="1:9" x14ac:dyDescent="0.25">
      <c r="A5622" s="7">
        <v>3</v>
      </c>
      <c r="B5622" s="8">
        <v>43907</v>
      </c>
      <c r="C5622" s="9" t="s">
        <v>4</v>
      </c>
      <c r="D5622" s="10">
        <v>6.9929999999999994</v>
      </c>
      <c r="E5622" s="10">
        <v>2938.2149999999997</v>
      </c>
      <c r="F5622" t="str">
        <f>VLOOKUP(A5622,StoreLookup,2,FALSE)</f>
        <v>Store#3</v>
      </c>
      <c r="G5622">
        <f>INDEX(CalLookUpTable,MATCH($B5622,CalLookUpRow,0),MATCH(G$1,CalLookUpColumn,0))</f>
        <v>2020</v>
      </c>
      <c r="H5622">
        <f>INDEX(CalLookUpTable,MATCH($B5622,CalLookUpRow,0),MATCH(H$1,CalLookUpColumn,0))</f>
        <v>3</v>
      </c>
      <c r="I5622">
        <f>INDEX(CalLookUpTable,MATCH($B5622,CalLookUpRow,0),MATCH(I$1,CalLookUpColumn,0))</f>
        <v>4</v>
      </c>
    </row>
    <row r="5623" spans="1:9" x14ac:dyDescent="0.25">
      <c r="A5623" s="7">
        <v>3</v>
      </c>
      <c r="B5623" s="8">
        <v>43907</v>
      </c>
      <c r="C5623" s="9" t="s">
        <v>6</v>
      </c>
      <c r="D5623" s="10">
        <v>1596.441</v>
      </c>
      <c r="E5623" s="10">
        <v>1084.972</v>
      </c>
      <c r="F5623" t="str">
        <f>VLOOKUP(A5623,StoreLookup,2,FALSE)</f>
        <v>Store#3</v>
      </c>
      <c r="G5623">
        <f>INDEX(CalLookUpTable,MATCH($B5623,CalLookUpRow,0),MATCH(G$1,CalLookUpColumn,0))</f>
        <v>2020</v>
      </c>
      <c r="H5623">
        <f>INDEX(CalLookUpTable,MATCH($B5623,CalLookUpRow,0),MATCH(H$1,CalLookUpColumn,0))</f>
        <v>3</v>
      </c>
      <c r="I5623">
        <f>INDEX(CalLookUpTable,MATCH($B5623,CalLookUpRow,0),MATCH(I$1,CalLookUpColumn,0))</f>
        <v>4</v>
      </c>
    </row>
    <row r="5624" spans="1:9" x14ac:dyDescent="0.25">
      <c r="A5624" s="7">
        <v>3</v>
      </c>
      <c r="B5624" s="8">
        <v>43907</v>
      </c>
      <c r="C5624" s="9" t="s">
        <v>5</v>
      </c>
      <c r="D5624" s="10">
        <v>3898.538</v>
      </c>
      <c r="E5624" s="10">
        <v>3313.1559999999999</v>
      </c>
      <c r="F5624" t="str">
        <f>VLOOKUP(A5624,StoreLookup,2,FALSE)</f>
        <v>Store#3</v>
      </c>
      <c r="G5624">
        <f>INDEX(CalLookUpTable,MATCH($B5624,CalLookUpRow,0),MATCH(G$1,CalLookUpColumn,0))</f>
        <v>2020</v>
      </c>
      <c r="H5624">
        <f>INDEX(CalLookUpTable,MATCH($B5624,CalLookUpRow,0),MATCH(H$1,CalLookUpColumn,0))</f>
        <v>3</v>
      </c>
      <c r="I5624">
        <f>INDEX(CalLookUpTable,MATCH($B5624,CalLookUpRow,0),MATCH(I$1,CalLookUpColumn,0))</f>
        <v>4</v>
      </c>
    </row>
    <row r="5625" spans="1:9" x14ac:dyDescent="0.25">
      <c r="A5625" s="7">
        <v>3</v>
      </c>
      <c r="B5625" s="8">
        <v>43907</v>
      </c>
      <c r="C5625" s="9" t="s">
        <v>3</v>
      </c>
      <c r="D5625" s="10">
        <v>0</v>
      </c>
      <c r="E5625" s="10">
        <v>0</v>
      </c>
      <c r="F5625" t="str">
        <f>VLOOKUP(A5625,StoreLookup,2,FALSE)</f>
        <v>Store#3</v>
      </c>
      <c r="G5625">
        <f>INDEX(CalLookUpTable,MATCH($B5625,CalLookUpRow,0),MATCH(G$1,CalLookUpColumn,0))</f>
        <v>2020</v>
      </c>
      <c r="H5625">
        <f>INDEX(CalLookUpTable,MATCH($B5625,CalLookUpRow,0),MATCH(H$1,CalLookUpColumn,0))</f>
        <v>3</v>
      </c>
      <c r="I5625">
        <f>INDEX(CalLookUpTable,MATCH($B5625,CalLookUpRow,0),MATCH(I$1,CalLookUpColumn,0))</f>
        <v>4</v>
      </c>
    </row>
    <row r="5626" spans="1:9" x14ac:dyDescent="0.25">
      <c r="A5626" s="7">
        <v>3</v>
      </c>
      <c r="B5626" s="8">
        <v>43908</v>
      </c>
      <c r="C5626" s="9" t="s">
        <v>4</v>
      </c>
      <c r="D5626" s="10">
        <v>-16.422000000000001</v>
      </c>
      <c r="E5626" s="10">
        <v>3145.6739999999995</v>
      </c>
      <c r="F5626" t="str">
        <f>VLOOKUP(A5626,StoreLookup,2,FALSE)</f>
        <v>Store#3</v>
      </c>
      <c r="G5626">
        <f>INDEX(CalLookUpTable,MATCH($B5626,CalLookUpRow,0),MATCH(G$1,CalLookUpColumn,0))</f>
        <v>2020</v>
      </c>
      <c r="H5626">
        <f>INDEX(CalLookUpTable,MATCH($B5626,CalLookUpRow,0),MATCH(H$1,CalLookUpColumn,0))</f>
        <v>3</v>
      </c>
      <c r="I5626">
        <f>INDEX(CalLookUpTable,MATCH($B5626,CalLookUpRow,0),MATCH(I$1,CalLookUpColumn,0))</f>
        <v>4</v>
      </c>
    </row>
    <row r="5627" spans="1:9" x14ac:dyDescent="0.25">
      <c r="A5627" s="7">
        <v>3</v>
      </c>
      <c r="B5627" s="8">
        <v>43908</v>
      </c>
      <c r="C5627" s="9" t="s">
        <v>6</v>
      </c>
      <c r="D5627" s="10">
        <v>2127.6849999999999</v>
      </c>
      <c r="E5627" s="10">
        <v>1030.925</v>
      </c>
      <c r="F5627" t="str">
        <f>VLOOKUP(A5627,StoreLookup,2,FALSE)</f>
        <v>Store#3</v>
      </c>
      <c r="G5627">
        <f>INDEX(CalLookUpTable,MATCH($B5627,CalLookUpRow,0),MATCH(G$1,CalLookUpColumn,0))</f>
        <v>2020</v>
      </c>
      <c r="H5627">
        <f>INDEX(CalLookUpTable,MATCH($B5627,CalLookUpRow,0),MATCH(H$1,CalLookUpColumn,0))</f>
        <v>3</v>
      </c>
      <c r="I5627">
        <f>INDEX(CalLookUpTable,MATCH($B5627,CalLookUpRow,0),MATCH(I$1,CalLookUpColumn,0))</f>
        <v>4</v>
      </c>
    </row>
    <row r="5628" spans="1:9" x14ac:dyDescent="0.25">
      <c r="A5628" s="7">
        <v>3</v>
      </c>
      <c r="B5628" s="8">
        <v>43908</v>
      </c>
      <c r="C5628" s="9" t="s">
        <v>3</v>
      </c>
      <c r="D5628" s="10">
        <v>0</v>
      </c>
      <c r="E5628" s="10">
        <v>338.83499999999998</v>
      </c>
      <c r="F5628" t="str">
        <f>VLOOKUP(A5628,StoreLookup,2,FALSE)</f>
        <v>Store#3</v>
      </c>
      <c r="G5628">
        <f>INDEX(CalLookUpTable,MATCH($B5628,CalLookUpRow,0),MATCH(G$1,CalLookUpColumn,0))</f>
        <v>2020</v>
      </c>
      <c r="H5628">
        <f>INDEX(CalLookUpTable,MATCH($B5628,CalLookUpRow,0),MATCH(H$1,CalLookUpColumn,0))</f>
        <v>3</v>
      </c>
      <c r="I5628">
        <f>INDEX(CalLookUpTable,MATCH($B5628,CalLookUpRow,0),MATCH(I$1,CalLookUpColumn,0))</f>
        <v>4</v>
      </c>
    </row>
    <row r="5629" spans="1:9" x14ac:dyDescent="0.25">
      <c r="A5629" s="7">
        <v>3</v>
      </c>
      <c r="B5629" s="8">
        <v>43908</v>
      </c>
      <c r="C5629" s="9" t="s">
        <v>5</v>
      </c>
      <c r="D5629" s="10">
        <v>3919.8179999999998</v>
      </c>
      <c r="E5629" s="10">
        <v>3259.0249999999996</v>
      </c>
      <c r="F5629" t="str">
        <f>VLOOKUP(A5629,StoreLookup,2,FALSE)</f>
        <v>Store#3</v>
      </c>
      <c r="G5629">
        <f>INDEX(CalLookUpTable,MATCH($B5629,CalLookUpRow,0),MATCH(G$1,CalLookUpColumn,0))</f>
        <v>2020</v>
      </c>
      <c r="H5629">
        <f>INDEX(CalLookUpTable,MATCH($B5629,CalLookUpRow,0),MATCH(H$1,CalLookUpColumn,0))</f>
        <v>3</v>
      </c>
      <c r="I5629">
        <f>INDEX(CalLookUpTable,MATCH($B5629,CalLookUpRow,0),MATCH(I$1,CalLookUpColumn,0))</f>
        <v>4</v>
      </c>
    </row>
    <row r="5630" spans="1:9" x14ac:dyDescent="0.25">
      <c r="A5630" s="7">
        <v>3</v>
      </c>
      <c r="B5630" s="8">
        <v>43909</v>
      </c>
      <c r="C5630" s="9" t="s">
        <v>4</v>
      </c>
      <c r="D5630" s="10">
        <v>0</v>
      </c>
      <c r="E5630" s="10">
        <v>3786.3769999999995</v>
      </c>
      <c r="F5630" t="str">
        <f>VLOOKUP(A5630,StoreLookup,2,FALSE)</f>
        <v>Store#3</v>
      </c>
      <c r="G5630">
        <f>INDEX(CalLookUpTable,MATCH($B5630,CalLookUpRow,0),MATCH(G$1,CalLookUpColumn,0))</f>
        <v>2020</v>
      </c>
      <c r="H5630">
        <f>INDEX(CalLookUpTable,MATCH($B5630,CalLookUpRow,0),MATCH(H$1,CalLookUpColumn,0))</f>
        <v>3</v>
      </c>
      <c r="I5630">
        <f>INDEX(CalLookUpTable,MATCH($B5630,CalLookUpRow,0),MATCH(I$1,CalLookUpColumn,0))</f>
        <v>4</v>
      </c>
    </row>
    <row r="5631" spans="1:9" x14ac:dyDescent="0.25">
      <c r="A5631" s="7">
        <v>3</v>
      </c>
      <c r="B5631" s="8">
        <v>43909</v>
      </c>
      <c r="C5631" s="9" t="s">
        <v>3</v>
      </c>
      <c r="D5631" s="10">
        <v>66.912999999999997</v>
      </c>
      <c r="E5631" s="10">
        <v>193.03899999999999</v>
      </c>
      <c r="F5631" t="str">
        <f>VLOOKUP(A5631,StoreLookup,2,FALSE)</f>
        <v>Store#3</v>
      </c>
      <c r="G5631">
        <f>INDEX(CalLookUpTable,MATCH($B5631,CalLookUpRow,0),MATCH(G$1,CalLookUpColumn,0))</f>
        <v>2020</v>
      </c>
      <c r="H5631">
        <f>INDEX(CalLookUpTable,MATCH($B5631,CalLookUpRow,0),MATCH(H$1,CalLookUpColumn,0))</f>
        <v>3</v>
      </c>
      <c r="I5631">
        <f>INDEX(CalLookUpTable,MATCH($B5631,CalLookUpRow,0),MATCH(I$1,CalLookUpColumn,0))</f>
        <v>4</v>
      </c>
    </row>
    <row r="5632" spans="1:9" x14ac:dyDescent="0.25">
      <c r="A5632" s="7">
        <v>3</v>
      </c>
      <c r="B5632" s="8">
        <v>43909</v>
      </c>
      <c r="C5632" s="9" t="s">
        <v>6</v>
      </c>
      <c r="D5632" s="10">
        <v>2382.982</v>
      </c>
      <c r="E5632" s="10">
        <v>1126.3209999999999</v>
      </c>
      <c r="F5632" t="str">
        <f>VLOOKUP(A5632,StoreLookup,2,FALSE)</f>
        <v>Store#3</v>
      </c>
      <c r="G5632">
        <f>INDEX(CalLookUpTable,MATCH($B5632,CalLookUpRow,0),MATCH(G$1,CalLookUpColumn,0))</f>
        <v>2020</v>
      </c>
      <c r="H5632">
        <f>INDEX(CalLookUpTable,MATCH($B5632,CalLookUpRow,0),MATCH(H$1,CalLookUpColumn,0))</f>
        <v>3</v>
      </c>
      <c r="I5632">
        <f>INDEX(CalLookUpTable,MATCH($B5632,CalLookUpRow,0),MATCH(I$1,CalLookUpColumn,0))</f>
        <v>4</v>
      </c>
    </row>
    <row r="5633" spans="1:9" x14ac:dyDescent="0.25">
      <c r="A5633" s="7">
        <v>3</v>
      </c>
      <c r="B5633" s="8">
        <v>43909</v>
      </c>
      <c r="C5633" s="9" t="s">
        <v>5</v>
      </c>
      <c r="D5633" s="10">
        <v>4425.3789999999999</v>
      </c>
      <c r="E5633" s="10">
        <v>4001.3049999999994</v>
      </c>
      <c r="F5633" t="str">
        <f>VLOOKUP(A5633,StoreLookup,2,FALSE)</f>
        <v>Store#3</v>
      </c>
      <c r="G5633">
        <f>INDEX(CalLookUpTable,MATCH($B5633,CalLookUpRow,0),MATCH(G$1,CalLookUpColumn,0))</f>
        <v>2020</v>
      </c>
      <c r="H5633">
        <f>INDEX(CalLookUpTable,MATCH($B5633,CalLookUpRow,0),MATCH(H$1,CalLookUpColumn,0))</f>
        <v>3</v>
      </c>
      <c r="I5633">
        <f>INDEX(CalLookUpTable,MATCH($B5633,CalLookUpRow,0),MATCH(I$1,CalLookUpColumn,0))</f>
        <v>4</v>
      </c>
    </row>
    <row r="5634" spans="1:9" x14ac:dyDescent="0.25">
      <c r="A5634" s="7">
        <v>3</v>
      </c>
      <c r="B5634" s="8">
        <v>43910</v>
      </c>
      <c r="C5634" s="9" t="s">
        <v>4</v>
      </c>
      <c r="D5634" s="10">
        <v>-13.985999999999999</v>
      </c>
      <c r="E5634" s="10">
        <v>4049.7939999999999</v>
      </c>
      <c r="F5634" t="str">
        <f>VLOOKUP(A5634,StoreLookup,2,FALSE)</f>
        <v>Store#3</v>
      </c>
      <c r="G5634">
        <f>INDEX(CalLookUpTable,MATCH($B5634,CalLookUpRow,0),MATCH(G$1,CalLookUpColumn,0))</f>
        <v>2020</v>
      </c>
      <c r="H5634">
        <f>INDEX(CalLookUpTable,MATCH($B5634,CalLookUpRow,0),MATCH(H$1,CalLookUpColumn,0))</f>
        <v>3</v>
      </c>
      <c r="I5634">
        <f>INDEX(CalLookUpTable,MATCH($B5634,CalLookUpRow,0),MATCH(I$1,CalLookUpColumn,0))</f>
        <v>4</v>
      </c>
    </row>
    <row r="5635" spans="1:9" x14ac:dyDescent="0.25">
      <c r="A5635" s="7">
        <v>3</v>
      </c>
      <c r="B5635" s="8">
        <v>43910</v>
      </c>
      <c r="C5635" s="9" t="s">
        <v>6</v>
      </c>
      <c r="D5635" s="10">
        <v>2474.8919999999998</v>
      </c>
      <c r="E5635" s="10">
        <v>1026.8019999999999</v>
      </c>
      <c r="F5635" t="str">
        <f>VLOOKUP(A5635,StoreLookup,2,FALSE)</f>
        <v>Store#3</v>
      </c>
      <c r="G5635">
        <f>INDEX(CalLookUpTable,MATCH($B5635,CalLookUpRow,0),MATCH(G$1,CalLookUpColumn,0))</f>
        <v>2020</v>
      </c>
      <c r="H5635">
        <f>INDEX(CalLookUpTable,MATCH($B5635,CalLookUpRow,0),MATCH(H$1,CalLookUpColumn,0))</f>
        <v>3</v>
      </c>
      <c r="I5635">
        <f>INDEX(CalLookUpTable,MATCH($B5635,CalLookUpRow,0),MATCH(I$1,CalLookUpColumn,0))</f>
        <v>4</v>
      </c>
    </row>
    <row r="5636" spans="1:9" x14ac:dyDescent="0.25">
      <c r="A5636" s="7">
        <v>3</v>
      </c>
      <c r="B5636" s="8">
        <v>43910</v>
      </c>
      <c r="C5636" s="9" t="s">
        <v>5</v>
      </c>
      <c r="D5636" s="10">
        <v>5592.9089999999997</v>
      </c>
      <c r="E5636" s="10">
        <v>3733.3309999999997</v>
      </c>
      <c r="F5636" t="str">
        <f>VLOOKUP(A5636,StoreLookup,2,FALSE)</f>
        <v>Store#3</v>
      </c>
      <c r="G5636">
        <f>INDEX(CalLookUpTable,MATCH($B5636,CalLookUpRow,0),MATCH(G$1,CalLookUpColumn,0))</f>
        <v>2020</v>
      </c>
      <c r="H5636">
        <f>INDEX(CalLookUpTable,MATCH($B5636,CalLookUpRow,0),MATCH(H$1,CalLookUpColumn,0))</f>
        <v>3</v>
      </c>
      <c r="I5636">
        <f>INDEX(CalLookUpTable,MATCH($B5636,CalLookUpRow,0),MATCH(I$1,CalLookUpColumn,0))</f>
        <v>4</v>
      </c>
    </row>
    <row r="5637" spans="1:9" x14ac:dyDescent="0.25">
      <c r="A5637" s="7">
        <v>3</v>
      </c>
      <c r="B5637" s="8">
        <v>43910</v>
      </c>
      <c r="C5637" s="9" t="s">
        <v>3</v>
      </c>
      <c r="D5637" s="10">
        <v>57.007999999999996</v>
      </c>
      <c r="E5637" s="10">
        <v>0</v>
      </c>
      <c r="F5637" t="str">
        <f>VLOOKUP(A5637,StoreLookup,2,FALSE)</f>
        <v>Store#3</v>
      </c>
      <c r="G5637">
        <f>INDEX(CalLookUpTable,MATCH($B5637,CalLookUpRow,0),MATCH(G$1,CalLookUpColumn,0))</f>
        <v>2020</v>
      </c>
      <c r="H5637">
        <f>INDEX(CalLookUpTable,MATCH($B5637,CalLookUpRow,0),MATCH(H$1,CalLookUpColumn,0))</f>
        <v>3</v>
      </c>
      <c r="I5637">
        <f>INDEX(CalLookUpTable,MATCH($B5637,CalLookUpRow,0),MATCH(I$1,CalLookUpColumn,0))</f>
        <v>4</v>
      </c>
    </row>
    <row r="5638" spans="1:9" x14ac:dyDescent="0.25">
      <c r="A5638" s="7">
        <v>3</v>
      </c>
      <c r="B5638" s="8">
        <v>43911</v>
      </c>
      <c r="C5638" s="9" t="s">
        <v>3</v>
      </c>
      <c r="D5638" s="10">
        <v>0</v>
      </c>
      <c r="E5638" s="10">
        <v>170.29599999999999</v>
      </c>
      <c r="F5638" t="str">
        <f>VLOOKUP(A5638,StoreLookup,2,FALSE)</f>
        <v>Store#3</v>
      </c>
      <c r="G5638">
        <f>INDEX(CalLookUpTable,MATCH($B5638,CalLookUpRow,0),MATCH(G$1,CalLookUpColumn,0))</f>
        <v>2020</v>
      </c>
      <c r="H5638">
        <f>INDEX(CalLookUpTable,MATCH($B5638,CalLookUpRow,0),MATCH(H$1,CalLookUpColumn,0))</f>
        <v>3</v>
      </c>
      <c r="I5638">
        <f>INDEX(CalLookUpTable,MATCH($B5638,CalLookUpRow,0),MATCH(I$1,CalLookUpColumn,0))</f>
        <v>4</v>
      </c>
    </row>
    <row r="5639" spans="1:9" x14ac:dyDescent="0.25">
      <c r="A5639" s="7">
        <v>3</v>
      </c>
      <c r="B5639" s="8">
        <v>43911</v>
      </c>
      <c r="C5639" s="9" t="s">
        <v>5</v>
      </c>
      <c r="D5639" s="10">
        <v>5755.896999999999</v>
      </c>
      <c r="E5639" s="10">
        <v>3200.3229999999999</v>
      </c>
      <c r="F5639" t="str">
        <f>VLOOKUP(A5639,StoreLookup,2,FALSE)</f>
        <v>Store#3</v>
      </c>
      <c r="G5639">
        <f>INDEX(CalLookUpTable,MATCH($B5639,CalLookUpRow,0),MATCH(G$1,CalLookUpColumn,0))</f>
        <v>2020</v>
      </c>
      <c r="H5639">
        <f>INDEX(CalLookUpTable,MATCH($B5639,CalLookUpRow,0),MATCH(H$1,CalLookUpColumn,0))</f>
        <v>3</v>
      </c>
      <c r="I5639">
        <f>INDEX(CalLookUpTable,MATCH($B5639,CalLookUpRow,0),MATCH(I$1,CalLookUpColumn,0))</f>
        <v>4</v>
      </c>
    </row>
    <row r="5640" spans="1:9" x14ac:dyDescent="0.25">
      <c r="A5640" s="7">
        <v>3</v>
      </c>
      <c r="B5640" s="8">
        <v>43911</v>
      </c>
      <c r="C5640" s="9" t="s">
        <v>4</v>
      </c>
      <c r="D5640" s="10">
        <v>610.63099999999997</v>
      </c>
      <c r="E5640" s="10">
        <v>3604.2649999999994</v>
      </c>
      <c r="F5640" t="str">
        <f>VLOOKUP(A5640,StoreLookup,2,FALSE)</f>
        <v>Store#3</v>
      </c>
      <c r="G5640">
        <f>INDEX(CalLookUpTable,MATCH($B5640,CalLookUpRow,0),MATCH(G$1,CalLookUpColumn,0))</f>
        <v>2020</v>
      </c>
      <c r="H5640">
        <f>INDEX(CalLookUpTable,MATCH($B5640,CalLookUpRow,0),MATCH(H$1,CalLookUpColumn,0))</f>
        <v>3</v>
      </c>
      <c r="I5640">
        <f>INDEX(CalLookUpTable,MATCH($B5640,CalLookUpRow,0),MATCH(I$1,CalLookUpColumn,0))</f>
        <v>4</v>
      </c>
    </row>
    <row r="5641" spans="1:9" x14ac:dyDescent="0.25">
      <c r="A5641" s="7">
        <v>3</v>
      </c>
      <c r="B5641" s="8">
        <v>43911</v>
      </c>
      <c r="C5641" s="9" t="s">
        <v>6</v>
      </c>
      <c r="D5641" s="10">
        <v>2857.3509999999997</v>
      </c>
      <c r="E5641" s="10">
        <v>1132.761</v>
      </c>
      <c r="F5641" t="str">
        <f>VLOOKUP(A5641,StoreLookup,2,FALSE)</f>
        <v>Store#3</v>
      </c>
      <c r="G5641">
        <f>INDEX(CalLookUpTable,MATCH($B5641,CalLookUpRow,0),MATCH(G$1,CalLookUpColumn,0))</f>
        <v>2020</v>
      </c>
      <c r="H5641">
        <f>INDEX(CalLookUpTable,MATCH($B5641,CalLookUpRow,0),MATCH(H$1,CalLookUpColumn,0))</f>
        <v>3</v>
      </c>
      <c r="I5641">
        <f>INDEX(CalLookUpTable,MATCH($B5641,CalLookUpRow,0),MATCH(I$1,CalLookUpColumn,0))</f>
        <v>4</v>
      </c>
    </row>
    <row r="5642" spans="1:9" x14ac:dyDescent="0.25">
      <c r="A5642" s="7">
        <v>3</v>
      </c>
      <c r="B5642" s="8">
        <v>43912</v>
      </c>
      <c r="C5642" s="9" t="s">
        <v>3</v>
      </c>
      <c r="D5642" s="10">
        <v>0</v>
      </c>
      <c r="E5642" s="10">
        <v>0</v>
      </c>
      <c r="F5642" t="str">
        <f>VLOOKUP(A5642,StoreLookup,2,FALSE)</f>
        <v>Store#3</v>
      </c>
      <c r="G5642">
        <f>INDEX(CalLookUpTable,MATCH($B5642,CalLookUpRow,0),MATCH(G$1,CalLookUpColumn,0))</f>
        <v>2020</v>
      </c>
      <c r="H5642">
        <f>INDEX(CalLookUpTable,MATCH($B5642,CalLookUpRow,0),MATCH(H$1,CalLookUpColumn,0))</f>
        <v>3</v>
      </c>
      <c r="I5642">
        <f>INDEX(CalLookUpTable,MATCH($B5642,CalLookUpRow,0),MATCH(I$1,CalLookUpColumn,0))</f>
        <v>4</v>
      </c>
    </row>
    <row r="5643" spans="1:9" x14ac:dyDescent="0.25">
      <c r="A5643" s="7">
        <v>3</v>
      </c>
      <c r="B5643" s="8">
        <v>43912</v>
      </c>
      <c r="C5643" s="9" t="s">
        <v>6</v>
      </c>
      <c r="D5643" s="10">
        <v>1620.213</v>
      </c>
      <c r="E5643" s="10">
        <v>521.745</v>
      </c>
      <c r="F5643" t="str">
        <f>VLOOKUP(A5643,StoreLookup,2,FALSE)</f>
        <v>Store#3</v>
      </c>
      <c r="G5643">
        <f>INDEX(CalLookUpTable,MATCH($B5643,CalLookUpRow,0),MATCH(G$1,CalLookUpColumn,0))</f>
        <v>2020</v>
      </c>
      <c r="H5643">
        <f>INDEX(CalLookUpTable,MATCH($B5643,CalLookUpRow,0),MATCH(H$1,CalLookUpColumn,0))</f>
        <v>3</v>
      </c>
      <c r="I5643">
        <f>INDEX(CalLookUpTable,MATCH($B5643,CalLookUpRow,0),MATCH(I$1,CalLookUpColumn,0))</f>
        <v>4</v>
      </c>
    </row>
    <row r="5644" spans="1:9" x14ac:dyDescent="0.25">
      <c r="A5644" s="7">
        <v>3</v>
      </c>
      <c r="B5644" s="8">
        <v>43912</v>
      </c>
      <c r="C5644" s="9" t="s">
        <v>4</v>
      </c>
      <c r="D5644" s="10">
        <v>-29.861999999999995</v>
      </c>
      <c r="E5644" s="10">
        <v>2242.5969999999998</v>
      </c>
      <c r="F5644" t="str">
        <f>VLOOKUP(A5644,StoreLookup,2,FALSE)</f>
        <v>Store#3</v>
      </c>
      <c r="G5644">
        <f>INDEX(CalLookUpTable,MATCH($B5644,CalLookUpRow,0),MATCH(G$1,CalLookUpColumn,0))</f>
        <v>2020</v>
      </c>
      <c r="H5644">
        <f>INDEX(CalLookUpTable,MATCH($B5644,CalLookUpRow,0),MATCH(H$1,CalLookUpColumn,0))</f>
        <v>3</v>
      </c>
      <c r="I5644">
        <f>INDEX(CalLookUpTable,MATCH($B5644,CalLookUpRow,0),MATCH(I$1,CalLookUpColumn,0))</f>
        <v>4</v>
      </c>
    </row>
    <row r="5645" spans="1:9" x14ac:dyDescent="0.25">
      <c r="A5645" s="7">
        <v>3</v>
      </c>
      <c r="B5645" s="8">
        <v>43912</v>
      </c>
      <c r="C5645" s="9" t="s">
        <v>5</v>
      </c>
      <c r="D5645" s="10">
        <v>4021.8849999999998</v>
      </c>
      <c r="E5645" s="10">
        <v>2885.0499999999997</v>
      </c>
      <c r="F5645" t="str">
        <f>VLOOKUP(A5645,StoreLookup,2,FALSE)</f>
        <v>Store#3</v>
      </c>
      <c r="G5645">
        <f>INDEX(CalLookUpTable,MATCH($B5645,CalLookUpRow,0),MATCH(G$1,CalLookUpColumn,0))</f>
        <v>2020</v>
      </c>
      <c r="H5645">
        <f>INDEX(CalLookUpTable,MATCH($B5645,CalLookUpRow,0),MATCH(H$1,CalLookUpColumn,0))</f>
        <v>3</v>
      </c>
      <c r="I5645">
        <f>INDEX(CalLookUpTable,MATCH($B5645,CalLookUpRow,0),MATCH(I$1,CalLookUpColumn,0))</f>
        <v>4</v>
      </c>
    </row>
    <row r="5646" spans="1:9" x14ac:dyDescent="0.25">
      <c r="A5646" s="7">
        <v>3</v>
      </c>
      <c r="B5646" s="8">
        <v>43913</v>
      </c>
      <c r="C5646" s="9" t="s">
        <v>4</v>
      </c>
      <c r="D5646" s="10">
        <v>5.4669999999999996</v>
      </c>
      <c r="E5646" s="10">
        <v>2768.99</v>
      </c>
      <c r="F5646" t="str">
        <f>VLOOKUP(A5646,StoreLookup,2,FALSE)</f>
        <v>Store#3</v>
      </c>
      <c r="G5646">
        <f>INDEX(CalLookUpTable,MATCH($B5646,CalLookUpRow,0),MATCH(G$1,CalLookUpColumn,0))</f>
        <v>2020</v>
      </c>
      <c r="H5646">
        <f>INDEX(CalLookUpTable,MATCH($B5646,CalLookUpRow,0),MATCH(H$1,CalLookUpColumn,0))</f>
        <v>3</v>
      </c>
      <c r="I5646">
        <f>INDEX(CalLookUpTable,MATCH($B5646,CalLookUpRow,0),MATCH(I$1,CalLookUpColumn,0))</f>
        <v>5</v>
      </c>
    </row>
    <row r="5647" spans="1:9" x14ac:dyDescent="0.25">
      <c r="A5647" s="7">
        <v>3</v>
      </c>
      <c r="B5647" s="8">
        <v>43913</v>
      </c>
      <c r="C5647" s="9" t="s">
        <v>5</v>
      </c>
      <c r="D5647" s="10">
        <v>4253.2280000000001</v>
      </c>
      <c r="E5647" s="10">
        <v>3021.4939999999997</v>
      </c>
      <c r="F5647" t="str">
        <f>VLOOKUP(A5647,StoreLookup,2,FALSE)</f>
        <v>Store#3</v>
      </c>
      <c r="G5647">
        <f>INDEX(CalLookUpTable,MATCH($B5647,CalLookUpRow,0),MATCH(G$1,CalLookUpColumn,0))</f>
        <v>2020</v>
      </c>
      <c r="H5647">
        <f>INDEX(CalLookUpTable,MATCH($B5647,CalLookUpRow,0),MATCH(H$1,CalLookUpColumn,0))</f>
        <v>3</v>
      </c>
      <c r="I5647">
        <f>INDEX(CalLookUpTable,MATCH($B5647,CalLookUpRow,0),MATCH(I$1,CalLookUpColumn,0))</f>
        <v>5</v>
      </c>
    </row>
    <row r="5648" spans="1:9" x14ac:dyDescent="0.25">
      <c r="A5648" s="7">
        <v>3</v>
      </c>
      <c r="B5648" s="8">
        <v>43913</v>
      </c>
      <c r="C5648" s="9" t="s">
        <v>6</v>
      </c>
      <c r="D5648" s="10">
        <v>2232.4259999999999</v>
      </c>
      <c r="E5648" s="10">
        <v>727.14599999999996</v>
      </c>
      <c r="F5648" t="str">
        <f>VLOOKUP(A5648,StoreLookup,2,FALSE)</f>
        <v>Store#3</v>
      </c>
      <c r="G5648">
        <f>INDEX(CalLookUpTable,MATCH($B5648,CalLookUpRow,0),MATCH(G$1,CalLookUpColumn,0))</f>
        <v>2020</v>
      </c>
      <c r="H5648">
        <f>INDEX(CalLookUpTable,MATCH($B5648,CalLookUpRow,0),MATCH(H$1,CalLookUpColumn,0))</f>
        <v>3</v>
      </c>
      <c r="I5648">
        <f>INDEX(CalLookUpTable,MATCH($B5648,CalLookUpRow,0),MATCH(I$1,CalLookUpColumn,0))</f>
        <v>5</v>
      </c>
    </row>
    <row r="5649" spans="1:9" x14ac:dyDescent="0.25">
      <c r="A5649" s="7">
        <v>3</v>
      </c>
      <c r="B5649" s="8">
        <v>43913</v>
      </c>
      <c r="C5649" s="9" t="s">
        <v>3</v>
      </c>
      <c r="D5649" s="10">
        <v>200.851</v>
      </c>
      <c r="E5649" s="10">
        <v>0</v>
      </c>
      <c r="F5649" t="str">
        <f>VLOOKUP(A5649,StoreLookup,2,FALSE)</f>
        <v>Store#3</v>
      </c>
      <c r="G5649">
        <f>INDEX(CalLookUpTable,MATCH($B5649,CalLookUpRow,0),MATCH(G$1,CalLookUpColumn,0))</f>
        <v>2020</v>
      </c>
      <c r="H5649">
        <f>INDEX(CalLookUpTable,MATCH($B5649,CalLookUpRow,0),MATCH(H$1,CalLookUpColumn,0))</f>
        <v>3</v>
      </c>
      <c r="I5649">
        <f>INDEX(CalLookUpTable,MATCH($B5649,CalLookUpRow,0),MATCH(I$1,CalLookUpColumn,0))</f>
        <v>5</v>
      </c>
    </row>
    <row r="5650" spans="1:9" x14ac:dyDescent="0.25">
      <c r="A5650" s="7">
        <v>3</v>
      </c>
      <c r="B5650" s="8">
        <v>43914</v>
      </c>
      <c r="C5650" s="9" t="s">
        <v>5</v>
      </c>
      <c r="D5650" s="10">
        <v>4506.4249999999993</v>
      </c>
      <c r="E5650" s="10">
        <v>3560.8859999999995</v>
      </c>
      <c r="F5650" t="str">
        <f>VLOOKUP(A5650,StoreLookup,2,FALSE)</f>
        <v>Store#3</v>
      </c>
      <c r="G5650">
        <f>INDEX(CalLookUpTable,MATCH($B5650,CalLookUpRow,0),MATCH(G$1,CalLookUpColumn,0))</f>
        <v>2020</v>
      </c>
      <c r="H5650">
        <f>INDEX(CalLookUpTable,MATCH($B5650,CalLookUpRow,0),MATCH(H$1,CalLookUpColumn,0))</f>
        <v>3</v>
      </c>
      <c r="I5650">
        <f>INDEX(CalLookUpTable,MATCH($B5650,CalLookUpRow,0),MATCH(I$1,CalLookUpColumn,0))</f>
        <v>5</v>
      </c>
    </row>
    <row r="5651" spans="1:9" x14ac:dyDescent="0.25">
      <c r="A5651" s="7">
        <v>3</v>
      </c>
      <c r="B5651" s="8">
        <v>43914</v>
      </c>
      <c r="C5651" s="9" t="s">
        <v>4</v>
      </c>
      <c r="D5651" s="10">
        <v>18.872</v>
      </c>
      <c r="E5651" s="10">
        <v>3507.8679999999995</v>
      </c>
      <c r="F5651" t="str">
        <f>VLOOKUP(A5651,StoreLookup,2,FALSE)</f>
        <v>Store#3</v>
      </c>
      <c r="G5651">
        <f>INDEX(CalLookUpTable,MATCH($B5651,CalLookUpRow,0),MATCH(G$1,CalLookUpColumn,0))</f>
        <v>2020</v>
      </c>
      <c r="H5651">
        <f>INDEX(CalLookUpTable,MATCH($B5651,CalLookUpRow,0),MATCH(H$1,CalLookUpColumn,0))</f>
        <v>3</v>
      </c>
      <c r="I5651">
        <f>INDEX(CalLookUpTable,MATCH($B5651,CalLookUpRow,0),MATCH(I$1,CalLookUpColumn,0))</f>
        <v>5</v>
      </c>
    </row>
    <row r="5652" spans="1:9" x14ac:dyDescent="0.25">
      <c r="A5652" s="7">
        <v>3</v>
      </c>
      <c r="B5652" s="8">
        <v>43914</v>
      </c>
      <c r="C5652" s="9" t="s">
        <v>3</v>
      </c>
      <c r="D5652" s="10">
        <v>0</v>
      </c>
      <c r="E5652" s="10">
        <v>0</v>
      </c>
      <c r="F5652" t="str">
        <f>VLOOKUP(A5652,StoreLookup,2,FALSE)</f>
        <v>Store#3</v>
      </c>
      <c r="G5652">
        <f>INDEX(CalLookUpTable,MATCH($B5652,CalLookUpRow,0),MATCH(G$1,CalLookUpColumn,0))</f>
        <v>2020</v>
      </c>
      <c r="H5652">
        <f>INDEX(CalLookUpTable,MATCH($B5652,CalLookUpRow,0),MATCH(H$1,CalLookUpColumn,0))</f>
        <v>3</v>
      </c>
      <c r="I5652">
        <f>INDEX(CalLookUpTable,MATCH($B5652,CalLookUpRow,0),MATCH(I$1,CalLookUpColumn,0))</f>
        <v>5</v>
      </c>
    </row>
    <row r="5653" spans="1:9" x14ac:dyDescent="0.25">
      <c r="A5653" s="7">
        <v>3</v>
      </c>
      <c r="B5653" s="8">
        <v>43914</v>
      </c>
      <c r="C5653" s="9" t="s">
        <v>6</v>
      </c>
      <c r="D5653" s="10">
        <v>2765.9519999999998</v>
      </c>
      <c r="E5653" s="10">
        <v>941.02399999999989</v>
      </c>
      <c r="F5653" t="str">
        <f>VLOOKUP(A5653,StoreLookup,2,FALSE)</f>
        <v>Store#3</v>
      </c>
      <c r="G5653">
        <f>INDEX(CalLookUpTable,MATCH($B5653,CalLookUpRow,0),MATCH(G$1,CalLookUpColumn,0))</f>
        <v>2020</v>
      </c>
      <c r="H5653">
        <f>INDEX(CalLookUpTable,MATCH($B5653,CalLookUpRow,0),MATCH(H$1,CalLookUpColumn,0))</f>
        <v>3</v>
      </c>
      <c r="I5653">
        <f>INDEX(CalLookUpTable,MATCH($B5653,CalLookUpRow,0),MATCH(I$1,CalLookUpColumn,0))</f>
        <v>5</v>
      </c>
    </row>
    <row r="5654" spans="1:9" x14ac:dyDescent="0.25">
      <c r="A5654" s="7">
        <v>3</v>
      </c>
      <c r="B5654" s="8">
        <v>43915</v>
      </c>
      <c r="C5654" s="9" t="s">
        <v>4</v>
      </c>
      <c r="D5654" s="10">
        <v>2.7930000000000001</v>
      </c>
      <c r="E5654" s="10">
        <v>3610.2709999999997</v>
      </c>
      <c r="F5654" t="str">
        <f>VLOOKUP(A5654,StoreLookup,2,FALSE)</f>
        <v>Store#3</v>
      </c>
      <c r="G5654">
        <f>INDEX(CalLookUpTable,MATCH($B5654,CalLookUpRow,0),MATCH(G$1,CalLookUpColumn,0))</f>
        <v>2020</v>
      </c>
      <c r="H5654">
        <f>INDEX(CalLookUpTable,MATCH($B5654,CalLookUpRow,0),MATCH(H$1,CalLookUpColumn,0))</f>
        <v>3</v>
      </c>
      <c r="I5654">
        <f>INDEX(CalLookUpTable,MATCH($B5654,CalLookUpRow,0),MATCH(I$1,CalLookUpColumn,0))</f>
        <v>5</v>
      </c>
    </row>
    <row r="5655" spans="1:9" x14ac:dyDescent="0.25">
      <c r="A5655" s="7">
        <v>3</v>
      </c>
      <c r="B5655" s="8">
        <v>43915</v>
      </c>
      <c r="C5655" s="9" t="s">
        <v>6</v>
      </c>
      <c r="D5655" s="10">
        <v>2100.21</v>
      </c>
      <c r="E5655" s="10">
        <v>728.60899999999992</v>
      </c>
      <c r="F5655" t="str">
        <f>VLOOKUP(A5655,StoreLookup,2,FALSE)</f>
        <v>Store#3</v>
      </c>
      <c r="G5655">
        <f>INDEX(CalLookUpTable,MATCH($B5655,CalLookUpRow,0),MATCH(G$1,CalLookUpColumn,0))</f>
        <v>2020</v>
      </c>
      <c r="H5655">
        <f>INDEX(CalLookUpTable,MATCH($B5655,CalLookUpRow,0),MATCH(H$1,CalLookUpColumn,0))</f>
        <v>3</v>
      </c>
      <c r="I5655">
        <f>INDEX(CalLookUpTable,MATCH($B5655,CalLookUpRow,0),MATCH(I$1,CalLookUpColumn,0))</f>
        <v>5</v>
      </c>
    </row>
    <row r="5656" spans="1:9" x14ac:dyDescent="0.25">
      <c r="A5656" s="7">
        <v>3</v>
      </c>
      <c r="B5656" s="8">
        <v>43915</v>
      </c>
      <c r="C5656" s="9" t="s">
        <v>3</v>
      </c>
      <c r="D5656" s="10">
        <v>0</v>
      </c>
      <c r="E5656" s="10">
        <v>123.851</v>
      </c>
      <c r="F5656" t="str">
        <f>VLOOKUP(A5656,StoreLookup,2,FALSE)</f>
        <v>Store#3</v>
      </c>
      <c r="G5656">
        <f>INDEX(CalLookUpTable,MATCH($B5656,CalLookUpRow,0),MATCH(G$1,CalLookUpColumn,0))</f>
        <v>2020</v>
      </c>
      <c r="H5656">
        <f>INDEX(CalLookUpTable,MATCH($B5656,CalLookUpRow,0),MATCH(H$1,CalLookUpColumn,0))</f>
        <v>3</v>
      </c>
      <c r="I5656">
        <f>INDEX(CalLookUpTable,MATCH($B5656,CalLookUpRow,0),MATCH(I$1,CalLookUpColumn,0))</f>
        <v>5</v>
      </c>
    </row>
    <row r="5657" spans="1:9" x14ac:dyDescent="0.25">
      <c r="A5657" s="7">
        <v>3</v>
      </c>
      <c r="B5657" s="8">
        <v>43915</v>
      </c>
      <c r="C5657" s="9" t="s">
        <v>5</v>
      </c>
      <c r="D5657" s="10">
        <v>4345.7469999999994</v>
      </c>
      <c r="E5657" s="10">
        <v>3626.1679999999997</v>
      </c>
      <c r="F5657" t="str">
        <f>VLOOKUP(A5657,StoreLookup,2,FALSE)</f>
        <v>Store#3</v>
      </c>
      <c r="G5657">
        <f>INDEX(CalLookUpTable,MATCH($B5657,CalLookUpRow,0),MATCH(G$1,CalLookUpColumn,0))</f>
        <v>2020</v>
      </c>
      <c r="H5657">
        <f>INDEX(CalLookUpTable,MATCH($B5657,CalLookUpRow,0),MATCH(H$1,CalLookUpColumn,0))</f>
        <v>3</v>
      </c>
      <c r="I5657">
        <f>INDEX(CalLookUpTable,MATCH($B5657,CalLookUpRow,0),MATCH(I$1,CalLookUpColumn,0))</f>
        <v>5</v>
      </c>
    </row>
    <row r="5658" spans="1:9" x14ac:dyDescent="0.25">
      <c r="A5658" s="7">
        <v>3</v>
      </c>
      <c r="B5658" s="8">
        <v>43916</v>
      </c>
      <c r="C5658" s="9" t="s">
        <v>4</v>
      </c>
      <c r="D5658" s="10">
        <v>0</v>
      </c>
      <c r="E5658" s="10">
        <v>3606.4349999999999</v>
      </c>
      <c r="F5658" t="str">
        <f>VLOOKUP(A5658,StoreLookup,2,FALSE)</f>
        <v>Store#3</v>
      </c>
      <c r="G5658">
        <f>INDEX(CalLookUpTable,MATCH($B5658,CalLookUpRow,0),MATCH(G$1,CalLookUpColumn,0))</f>
        <v>2020</v>
      </c>
      <c r="H5658">
        <f>INDEX(CalLookUpTable,MATCH($B5658,CalLookUpRow,0),MATCH(H$1,CalLookUpColumn,0))</f>
        <v>3</v>
      </c>
      <c r="I5658">
        <f>INDEX(CalLookUpTable,MATCH($B5658,CalLookUpRow,0),MATCH(I$1,CalLookUpColumn,0))</f>
        <v>5</v>
      </c>
    </row>
    <row r="5659" spans="1:9" x14ac:dyDescent="0.25">
      <c r="A5659" s="7">
        <v>3</v>
      </c>
      <c r="B5659" s="8">
        <v>43916</v>
      </c>
      <c r="C5659" s="9" t="s">
        <v>6</v>
      </c>
      <c r="D5659" s="10">
        <v>2904.6779999999999</v>
      </c>
      <c r="E5659" s="10">
        <v>925.82699999999988</v>
      </c>
      <c r="F5659" t="str">
        <f>VLOOKUP(A5659,StoreLookup,2,FALSE)</f>
        <v>Store#3</v>
      </c>
      <c r="G5659">
        <f>INDEX(CalLookUpTable,MATCH($B5659,CalLookUpRow,0),MATCH(G$1,CalLookUpColumn,0))</f>
        <v>2020</v>
      </c>
      <c r="H5659">
        <f>INDEX(CalLookUpTable,MATCH($B5659,CalLookUpRow,0),MATCH(H$1,CalLookUpColumn,0))</f>
        <v>3</v>
      </c>
      <c r="I5659">
        <f>INDEX(CalLookUpTable,MATCH($B5659,CalLookUpRow,0),MATCH(I$1,CalLookUpColumn,0))</f>
        <v>5</v>
      </c>
    </row>
    <row r="5660" spans="1:9" x14ac:dyDescent="0.25">
      <c r="A5660" s="7">
        <v>3</v>
      </c>
      <c r="B5660" s="8">
        <v>43916</v>
      </c>
      <c r="C5660" s="9" t="s">
        <v>5</v>
      </c>
      <c r="D5660" s="10">
        <v>4520.3689999999997</v>
      </c>
      <c r="E5660" s="10">
        <v>3540.0959999999995</v>
      </c>
      <c r="F5660" t="str">
        <f>VLOOKUP(A5660,StoreLookup,2,FALSE)</f>
        <v>Store#3</v>
      </c>
      <c r="G5660">
        <f>INDEX(CalLookUpTable,MATCH($B5660,CalLookUpRow,0),MATCH(G$1,CalLookUpColumn,0))</f>
        <v>2020</v>
      </c>
      <c r="H5660">
        <f>INDEX(CalLookUpTable,MATCH($B5660,CalLookUpRow,0),MATCH(H$1,CalLookUpColumn,0))</f>
        <v>3</v>
      </c>
      <c r="I5660">
        <f>INDEX(CalLookUpTable,MATCH($B5660,CalLookUpRow,0),MATCH(I$1,CalLookUpColumn,0))</f>
        <v>5</v>
      </c>
    </row>
    <row r="5661" spans="1:9" x14ac:dyDescent="0.25">
      <c r="A5661" s="7">
        <v>3</v>
      </c>
      <c r="B5661" s="8">
        <v>43916</v>
      </c>
      <c r="C5661" s="9" t="s">
        <v>3</v>
      </c>
      <c r="D5661" s="10">
        <v>0</v>
      </c>
      <c r="E5661" s="10">
        <v>211.68700000000001</v>
      </c>
      <c r="F5661" t="str">
        <f>VLOOKUP(A5661,StoreLookup,2,FALSE)</f>
        <v>Store#3</v>
      </c>
      <c r="G5661">
        <f>INDEX(CalLookUpTable,MATCH($B5661,CalLookUpRow,0),MATCH(G$1,CalLookUpColumn,0))</f>
        <v>2020</v>
      </c>
      <c r="H5661">
        <f>INDEX(CalLookUpTable,MATCH($B5661,CalLookUpRow,0),MATCH(H$1,CalLookUpColumn,0))</f>
        <v>3</v>
      </c>
      <c r="I5661">
        <f>INDEX(CalLookUpTable,MATCH($B5661,CalLookUpRow,0),MATCH(I$1,CalLookUpColumn,0))</f>
        <v>5</v>
      </c>
    </row>
    <row r="5662" spans="1:9" x14ac:dyDescent="0.25">
      <c r="A5662" s="7">
        <v>3</v>
      </c>
      <c r="B5662" s="8">
        <v>43917</v>
      </c>
      <c r="C5662" s="9" t="s">
        <v>5</v>
      </c>
      <c r="D5662" s="10">
        <v>4901.6379999999999</v>
      </c>
      <c r="E5662" s="10">
        <v>3485.3069999999998</v>
      </c>
      <c r="F5662" t="str">
        <f>VLOOKUP(A5662,StoreLookup,2,FALSE)</f>
        <v>Store#3</v>
      </c>
      <c r="G5662">
        <f>INDEX(CalLookUpTable,MATCH($B5662,CalLookUpRow,0),MATCH(G$1,CalLookUpColumn,0))</f>
        <v>2020</v>
      </c>
      <c r="H5662">
        <f>INDEX(CalLookUpTable,MATCH($B5662,CalLookUpRow,0),MATCH(H$1,CalLookUpColumn,0))</f>
        <v>3</v>
      </c>
      <c r="I5662">
        <f>INDEX(CalLookUpTable,MATCH($B5662,CalLookUpRow,0),MATCH(I$1,CalLookUpColumn,0))</f>
        <v>5</v>
      </c>
    </row>
    <row r="5663" spans="1:9" x14ac:dyDescent="0.25">
      <c r="A5663" s="7">
        <v>3</v>
      </c>
      <c r="B5663" s="8">
        <v>43917</v>
      </c>
      <c r="C5663" s="9" t="s">
        <v>4</v>
      </c>
      <c r="D5663" s="10">
        <v>352.94699999999995</v>
      </c>
      <c r="E5663" s="10">
        <v>3857.5529999999999</v>
      </c>
      <c r="F5663" t="str">
        <f>VLOOKUP(A5663,StoreLookup,2,FALSE)</f>
        <v>Store#3</v>
      </c>
      <c r="G5663">
        <f>INDEX(CalLookUpTable,MATCH($B5663,CalLookUpRow,0),MATCH(G$1,CalLookUpColumn,0))</f>
        <v>2020</v>
      </c>
      <c r="H5663">
        <f>INDEX(CalLookUpTable,MATCH($B5663,CalLookUpRow,0),MATCH(H$1,CalLookUpColumn,0))</f>
        <v>3</v>
      </c>
      <c r="I5663">
        <f>INDEX(CalLookUpTable,MATCH($B5663,CalLookUpRow,0),MATCH(I$1,CalLookUpColumn,0))</f>
        <v>5</v>
      </c>
    </row>
    <row r="5664" spans="1:9" x14ac:dyDescent="0.25">
      <c r="A5664" s="7">
        <v>3</v>
      </c>
      <c r="B5664" s="8">
        <v>43917</v>
      </c>
      <c r="C5664" s="9" t="s">
        <v>3</v>
      </c>
      <c r="D5664" s="10">
        <v>18.878999999999998</v>
      </c>
      <c r="E5664" s="10">
        <v>307.71999999999997</v>
      </c>
      <c r="F5664" t="str">
        <f>VLOOKUP(A5664,StoreLookup,2,FALSE)</f>
        <v>Store#3</v>
      </c>
      <c r="G5664">
        <f>INDEX(CalLookUpTable,MATCH($B5664,CalLookUpRow,0),MATCH(G$1,CalLookUpColumn,0))</f>
        <v>2020</v>
      </c>
      <c r="H5664">
        <f>INDEX(CalLookUpTable,MATCH($B5664,CalLookUpRow,0),MATCH(H$1,CalLookUpColumn,0))</f>
        <v>3</v>
      </c>
      <c r="I5664">
        <f>INDEX(CalLookUpTable,MATCH($B5664,CalLookUpRow,0),MATCH(I$1,CalLookUpColumn,0))</f>
        <v>5</v>
      </c>
    </row>
    <row r="5665" spans="1:9" x14ac:dyDescent="0.25">
      <c r="A5665" s="7">
        <v>3</v>
      </c>
      <c r="B5665" s="8">
        <v>43917</v>
      </c>
      <c r="C5665" s="9" t="s">
        <v>6</v>
      </c>
      <c r="D5665" s="10">
        <v>4037.3129999999996</v>
      </c>
      <c r="E5665" s="10">
        <v>1206.4359999999999</v>
      </c>
      <c r="F5665" t="str">
        <f>VLOOKUP(A5665,StoreLookup,2,FALSE)</f>
        <v>Store#3</v>
      </c>
      <c r="G5665">
        <f>INDEX(CalLookUpTable,MATCH($B5665,CalLookUpRow,0),MATCH(G$1,CalLookUpColumn,0))</f>
        <v>2020</v>
      </c>
      <c r="H5665">
        <f>INDEX(CalLookUpTable,MATCH($B5665,CalLookUpRow,0),MATCH(H$1,CalLookUpColumn,0))</f>
        <v>3</v>
      </c>
      <c r="I5665">
        <f>INDEX(CalLookUpTable,MATCH($B5665,CalLookUpRow,0),MATCH(I$1,CalLookUpColumn,0))</f>
        <v>5</v>
      </c>
    </row>
    <row r="5666" spans="1:9" x14ac:dyDescent="0.25">
      <c r="A5666" s="7">
        <v>3</v>
      </c>
      <c r="B5666" s="8">
        <v>43918</v>
      </c>
      <c r="C5666" s="9" t="s">
        <v>5</v>
      </c>
      <c r="D5666" s="10">
        <v>4585.3850000000002</v>
      </c>
      <c r="E5666" s="10">
        <v>3389.7989999999995</v>
      </c>
      <c r="F5666" t="str">
        <f>VLOOKUP(A5666,StoreLookup,2,FALSE)</f>
        <v>Store#3</v>
      </c>
      <c r="G5666">
        <f>INDEX(CalLookUpTable,MATCH($B5666,CalLookUpRow,0),MATCH(G$1,CalLookUpColumn,0))</f>
        <v>2020</v>
      </c>
      <c r="H5666">
        <f>INDEX(CalLookUpTable,MATCH($B5666,CalLookUpRow,0),MATCH(H$1,CalLookUpColumn,0))</f>
        <v>3</v>
      </c>
      <c r="I5666">
        <f>INDEX(CalLookUpTable,MATCH($B5666,CalLookUpRow,0),MATCH(I$1,CalLookUpColumn,0))</f>
        <v>5</v>
      </c>
    </row>
    <row r="5667" spans="1:9" x14ac:dyDescent="0.25">
      <c r="A5667" s="7">
        <v>3</v>
      </c>
      <c r="B5667" s="8">
        <v>43918</v>
      </c>
      <c r="C5667" s="9" t="s">
        <v>3</v>
      </c>
      <c r="D5667" s="10">
        <v>145.52299999999997</v>
      </c>
      <c r="E5667" s="10">
        <v>98.343000000000004</v>
      </c>
      <c r="F5667" t="str">
        <f>VLOOKUP(A5667,StoreLookup,2,FALSE)</f>
        <v>Store#3</v>
      </c>
      <c r="G5667">
        <f>INDEX(CalLookUpTable,MATCH($B5667,CalLookUpRow,0),MATCH(G$1,CalLookUpColumn,0))</f>
        <v>2020</v>
      </c>
      <c r="H5667">
        <f>INDEX(CalLookUpTable,MATCH($B5667,CalLookUpRow,0),MATCH(H$1,CalLookUpColumn,0))</f>
        <v>3</v>
      </c>
      <c r="I5667">
        <f>INDEX(CalLookUpTable,MATCH($B5667,CalLookUpRow,0),MATCH(I$1,CalLookUpColumn,0))</f>
        <v>5</v>
      </c>
    </row>
    <row r="5668" spans="1:9" x14ac:dyDescent="0.25">
      <c r="A5668" s="7">
        <v>3</v>
      </c>
      <c r="B5668" s="8">
        <v>43918</v>
      </c>
      <c r="C5668" s="9" t="s">
        <v>4</v>
      </c>
      <c r="D5668" s="10">
        <v>622.40499999999997</v>
      </c>
      <c r="E5668" s="10">
        <v>3885.9309999999996</v>
      </c>
      <c r="F5668" t="str">
        <f>VLOOKUP(A5668,StoreLookup,2,FALSE)</f>
        <v>Store#3</v>
      </c>
      <c r="G5668">
        <f>INDEX(CalLookUpTable,MATCH($B5668,CalLookUpRow,0),MATCH(G$1,CalLookUpColumn,0))</f>
        <v>2020</v>
      </c>
      <c r="H5668">
        <f>INDEX(CalLookUpTable,MATCH($B5668,CalLookUpRow,0),MATCH(H$1,CalLookUpColumn,0))</f>
        <v>3</v>
      </c>
      <c r="I5668">
        <f>INDEX(CalLookUpTable,MATCH($B5668,CalLookUpRow,0),MATCH(I$1,CalLookUpColumn,0))</f>
        <v>5</v>
      </c>
    </row>
    <row r="5669" spans="1:9" x14ac:dyDescent="0.25">
      <c r="A5669" s="7">
        <v>3</v>
      </c>
      <c r="B5669" s="8">
        <v>43918</v>
      </c>
      <c r="C5669" s="9" t="s">
        <v>6</v>
      </c>
      <c r="D5669" s="10">
        <v>4103.5329999999994</v>
      </c>
      <c r="E5669" s="10">
        <v>1117.886</v>
      </c>
      <c r="F5669" t="str">
        <f>VLOOKUP(A5669,StoreLookup,2,FALSE)</f>
        <v>Store#3</v>
      </c>
      <c r="G5669">
        <f>INDEX(CalLookUpTable,MATCH($B5669,CalLookUpRow,0),MATCH(G$1,CalLookUpColumn,0))</f>
        <v>2020</v>
      </c>
      <c r="H5669">
        <f>INDEX(CalLookUpTable,MATCH($B5669,CalLookUpRow,0),MATCH(H$1,CalLookUpColumn,0))</f>
        <v>3</v>
      </c>
      <c r="I5669">
        <f>INDEX(CalLookUpTable,MATCH($B5669,CalLookUpRow,0),MATCH(I$1,CalLookUpColumn,0))</f>
        <v>5</v>
      </c>
    </row>
    <row r="5670" spans="1:9" x14ac:dyDescent="0.25">
      <c r="A5670" s="7">
        <v>3</v>
      </c>
      <c r="B5670" s="8">
        <v>43919</v>
      </c>
      <c r="C5670" s="9" t="s">
        <v>4</v>
      </c>
      <c r="D5670" s="10">
        <v>2.2329999999999997</v>
      </c>
      <c r="E5670" s="10">
        <v>2911.5099999999998</v>
      </c>
      <c r="F5670" t="str">
        <f>VLOOKUP(A5670,StoreLookup,2,FALSE)</f>
        <v>Store#3</v>
      </c>
      <c r="G5670">
        <f>INDEX(CalLookUpTable,MATCH($B5670,CalLookUpRow,0),MATCH(G$1,CalLookUpColumn,0))</f>
        <v>2020</v>
      </c>
      <c r="H5670">
        <f>INDEX(CalLookUpTable,MATCH($B5670,CalLookUpRow,0),MATCH(H$1,CalLookUpColumn,0))</f>
        <v>3</v>
      </c>
      <c r="I5670">
        <f>INDEX(CalLookUpTable,MATCH($B5670,CalLookUpRow,0),MATCH(I$1,CalLookUpColumn,0))</f>
        <v>5</v>
      </c>
    </row>
    <row r="5671" spans="1:9" x14ac:dyDescent="0.25">
      <c r="A5671" s="7">
        <v>3</v>
      </c>
      <c r="B5671" s="8">
        <v>43919</v>
      </c>
      <c r="C5671" s="9" t="s">
        <v>6</v>
      </c>
      <c r="D5671" s="10">
        <v>1974.4829999999999</v>
      </c>
      <c r="E5671" s="10">
        <v>548.8069999999999</v>
      </c>
      <c r="F5671" t="str">
        <f>VLOOKUP(A5671,StoreLookup,2,FALSE)</f>
        <v>Store#3</v>
      </c>
      <c r="G5671">
        <f>INDEX(CalLookUpTable,MATCH($B5671,CalLookUpRow,0),MATCH(G$1,CalLookUpColumn,0))</f>
        <v>2020</v>
      </c>
      <c r="H5671">
        <f>INDEX(CalLookUpTable,MATCH($B5671,CalLookUpRow,0),MATCH(H$1,CalLookUpColumn,0))</f>
        <v>3</v>
      </c>
      <c r="I5671">
        <f>INDEX(CalLookUpTable,MATCH($B5671,CalLookUpRow,0),MATCH(I$1,CalLookUpColumn,0))</f>
        <v>5</v>
      </c>
    </row>
    <row r="5672" spans="1:9" x14ac:dyDescent="0.25">
      <c r="A5672" s="7">
        <v>3</v>
      </c>
      <c r="B5672" s="8">
        <v>43919</v>
      </c>
      <c r="C5672" s="9" t="s">
        <v>3</v>
      </c>
      <c r="D5672" s="10">
        <v>161.13299999999998</v>
      </c>
      <c r="E5672" s="10">
        <v>101.626</v>
      </c>
      <c r="F5672" t="str">
        <f>VLOOKUP(A5672,StoreLookup,2,FALSE)</f>
        <v>Store#3</v>
      </c>
      <c r="G5672">
        <f>INDEX(CalLookUpTable,MATCH($B5672,CalLookUpRow,0),MATCH(G$1,CalLookUpColumn,0))</f>
        <v>2020</v>
      </c>
      <c r="H5672">
        <f>INDEX(CalLookUpTable,MATCH($B5672,CalLookUpRow,0),MATCH(H$1,CalLookUpColumn,0))</f>
        <v>3</v>
      </c>
      <c r="I5672">
        <f>INDEX(CalLookUpTable,MATCH($B5672,CalLookUpRow,0),MATCH(I$1,CalLookUpColumn,0))</f>
        <v>5</v>
      </c>
    </row>
    <row r="5673" spans="1:9" x14ac:dyDescent="0.25">
      <c r="A5673" s="7">
        <v>3</v>
      </c>
      <c r="B5673" s="8">
        <v>43919</v>
      </c>
      <c r="C5673" s="9" t="s">
        <v>5</v>
      </c>
      <c r="D5673" s="10">
        <v>3427.6339999999996</v>
      </c>
      <c r="E5673" s="10">
        <v>2907.3450000000003</v>
      </c>
      <c r="F5673" t="str">
        <f>VLOOKUP(A5673,StoreLookup,2,FALSE)</f>
        <v>Store#3</v>
      </c>
      <c r="G5673">
        <f>INDEX(CalLookUpTable,MATCH($B5673,CalLookUpRow,0),MATCH(G$1,CalLookUpColumn,0))</f>
        <v>2020</v>
      </c>
      <c r="H5673">
        <f>INDEX(CalLookUpTable,MATCH($B5673,CalLookUpRow,0),MATCH(H$1,CalLookUpColumn,0))</f>
        <v>3</v>
      </c>
      <c r="I5673">
        <f>INDEX(CalLookUpTable,MATCH($B5673,CalLookUpRow,0),MATCH(I$1,CalLookUpColumn,0))</f>
        <v>5</v>
      </c>
    </row>
    <row r="5674" spans="1:9" x14ac:dyDescent="0.25">
      <c r="A5674" s="7">
        <v>3</v>
      </c>
      <c r="B5674" s="8">
        <v>43920</v>
      </c>
      <c r="C5674" s="9" t="s">
        <v>3</v>
      </c>
      <c r="D5674" s="10">
        <v>0</v>
      </c>
      <c r="E5674" s="10">
        <v>174.15299999999999</v>
      </c>
      <c r="F5674" t="str">
        <f>VLOOKUP(A5674,StoreLookup,2,FALSE)</f>
        <v>Store#3</v>
      </c>
      <c r="G5674">
        <f>INDEX(CalLookUpTable,MATCH($B5674,CalLookUpRow,0),MATCH(G$1,CalLookUpColumn,0))</f>
        <v>2020</v>
      </c>
      <c r="H5674">
        <f>INDEX(CalLookUpTable,MATCH($B5674,CalLookUpRow,0),MATCH(H$1,CalLookUpColumn,0))</f>
        <v>4</v>
      </c>
      <c r="I5674">
        <f>INDEX(CalLookUpTable,MATCH($B5674,CalLookUpRow,0),MATCH(I$1,CalLookUpColumn,0))</f>
        <v>1</v>
      </c>
    </row>
    <row r="5675" spans="1:9" x14ac:dyDescent="0.25">
      <c r="A5675" s="7">
        <v>3</v>
      </c>
      <c r="B5675" s="8">
        <v>43920</v>
      </c>
      <c r="C5675" s="9" t="s">
        <v>4</v>
      </c>
      <c r="D5675" s="10">
        <v>75.977999999999994</v>
      </c>
      <c r="E5675" s="10">
        <v>3146.8429999999998</v>
      </c>
      <c r="F5675" t="str">
        <f>VLOOKUP(A5675,StoreLookup,2,FALSE)</f>
        <v>Store#3</v>
      </c>
      <c r="G5675">
        <f>INDEX(CalLookUpTable,MATCH($B5675,CalLookUpRow,0),MATCH(G$1,CalLookUpColumn,0))</f>
        <v>2020</v>
      </c>
      <c r="H5675">
        <f>INDEX(CalLookUpTable,MATCH($B5675,CalLookUpRow,0),MATCH(H$1,CalLookUpColumn,0))</f>
        <v>4</v>
      </c>
      <c r="I5675">
        <f>INDEX(CalLookUpTable,MATCH($B5675,CalLookUpRow,0),MATCH(I$1,CalLookUpColumn,0))</f>
        <v>1</v>
      </c>
    </row>
    <row r="5676" spans="1:9" x14ac:dyDescent="0.25">
      <c r="A5676" s="7">
        <v>3</v>
      </c>
      <c r="B5676" s="8">
        <v>43920</v>
      </c>
      <c r="C5676" s="9" t="s">
        <v>6</v>
      </c>
      <c r="D5676" s="10">
        <v>2172.5830000000001</v>
      </c>
      <c r="E5676" s="10">
        <v>446.47399999999999</v>
      </c>
      <c r="F5676" t="str">
        <f>VLOOKUP(A5676,StoreLookup,2,FALSE)</f>
        <v>Store#3</v>
      </c>
      <c r="G5676">
        <f>INDEX(CalLookUpTable,MATCH($B5676,CalLookUpRow,0),MATCH(G$1,CalLookUpColumn,0))</f>
        <v>2020</v>
      </c>
      <c r="H5676">
        <f>INDEX(CalLookUpTable,MATCH($B5676,CalLookUpRow,0),MATCH(H$1,CalLookUpColumn,0))</f>
        <v>4</v>
      </c>
      <c r="I5676">
        <f>INDEX(CalLookUpTable,MATCH($B5676,CalLookUpRow,0),MATCH(I$1,CalLookUpColumn,0))</f>
        <v>1</v>
      </c>
    </row>
    <row r="5677" spans="1:9" x14ac:dyDescent="0.25">
      <c r="A5677" s="7">
        <v>3</v>
      </c>
      <c r="B5677" s="8">
        <v>43920</v>
      </c>
      <c r="C5677" s="9" t="s">
        <v>5</v>
      </c>
      <c r="D5677" s="10">
        <v>4015.123</v>
      </c>
      <c r="E5677" s="10">
        <v>2980.1029999999996</v>
      </c>
      <c r="F5677" t="str">
        <f>VLOOKUP(A5677,StoreLookup,2,FALSE)</f>
        <v>Store#3</v>
      </c>
      <c r="G5677">
        <f>INDEX(CalLookUpTable,MATCH($B5677,CalLookUpRow,0),MATCH(G$1,CalLookUpColumn,0))</f>
        <v>2020</v>
      </c>
      <c r="H5677">
        <f>INDEX(CalLookUpTable,MATCH($B5677,CalLookUpRow,0),MATCH(H$1,CalLookUpColumn,0))</f>
        <v>4</v>
      </c>
      <c r="I5677">
        <f>INDEX(CalLookUpTable,MATCH($B5677,CalLookUpRow,0),MATCH(I$1,CalLookUpColumn,0))</f>
        <v>1</v>
      </c>
    </row>
    <row r="5678" spans="1:9" x14ac:dyDescent="0.25">
      <c r="A5678" s="7">
        <v>3</v>
      </c>
      <c r="B5678" s="8">
        <v>43921</v>
      </c>
      <c r="C5678" s="9" t="s">
        <v>5</v>
      </c>
      <c r="D5678" s="10">
        <v>3982.6640000000002</v>
      </c>
      <c r="E5678" s="10">
        <v>3258.1499999999996</v>
      </c>
      <c r="F5678" t="str">
        <f>VLOOKUP(A5678,StoreLookup,2,FALSE)</f>
        <v>Store#3</v>
      </c>
      <c r="G5678">
        <f>INDEX(CalLookUpTable,MATCH($B5678,CalLookUpRow,0),MATCH(G$1,CalLookUpColumn,0))</f>
        <v>2020</v>
      </c>
      <c r="H5678">
        <f>INDEX(CalLookUpTable,MATCH($B5678,CalLookUpRow,0),MATCH(H$1,CalLookUpColumn,0))</f>
        <v>4</v>
      </c>
      <c r="I5678">
        <f>INDEX(CalLookUpTable,MATCH($B5678,CalLookUpRow,0),MATCH(I$1,CalLookUpColumn,0))</f>
        <v>1</v>
      </c>
    </row>
    <row r="5679" spans="1:9" x14ac:dyDescent="0.25">
      <c r="A5679" s="7">
        <v>3</v>
      </c>
      <c r="B5679" s="8">
        <v>43921</v>
      </c>
      <c r="C5679" s="9" t="s">
        <v>6</v>
      </c>
      <c r="D5679" s="10">
        <v>3183.74</v>
      </c>
      <c r="E5679" s="10">
        <v>958.91600000000005</v>
      </c>
      <c r="F5679" t="str">
        <f>VLOOKUP(A5679,StoreLookup,2,FALSE)</f>
        <v>Store#3</v>
      </c>
      <c r="G5679">
        <f>INDEX(CalLookUpTable,MATCH($B5679,CalLookUpRow,0),MATCH(G$1,CalLookUpColumn,0))</f>
        <v>2020</v>
      </c>
      <c r="H5679">
        <f>INDEX(CalLookUpTable,MATCH($B5679,CalLookUpRow,0),MATCH(H$1,CalLookUpColumn,0))</f>
        <v>4</v>
      </c>
      <c r="I5679">
        <f>INDEX(CalLookUpTable,MATCH($B5679,CalLookUpRow,0),MATCH(I$1,CalLookUpColumn,0))</f>
        <v>1</v>
      </c>
    </row>
    <row r="5680" spans="1:9" x14ac:dyDescent="0.25">
      <c r="A5680" s="7">
        <v>3</v>
      </c>
      <c r="B5680" s="8">
        <v>43921</v>
      </c>
      <c r="C5680" s="9" t="s">
        <v>3</v>
      </c>
      <c r="D5680" s="10">
        <v>120.64499999999998</v>
      </c>
      <c r="E5680" s="10">
        <v>576.97499999999991</v>
      </c>
      <c r="F5680" t="str">
        <f>VLOOKUP(A5680,StoreLookup,2,FALSE)</f>
        <v>Store#3</v>
      </c>
      <c r="G5680">
        <f>INDEX(CalLookUpTable,MATCH($B5680,CalLookUpRow,0),MATCH(G$1,CalLookUpColumn,0))</f>
        <v>2020</v>
      </c>
      <c r="H5680">
        <f>INDEX(CalLookUpTable,MATCH($B5680,CalLookUpRow,0),MATCH(H$1,CalLookUpColumn,0))</f>
        <v>4</v>
      </c>
      <c r="I5680">
        <f>INDEX(CalLookUpTable,MATCH($B5680,CalLookUpRow,0),MATCH(I$1,CalLookUpColumn,0))</f>
        <v>1</v>
      </c>
    </row>
    <row r="5681" spans="1:9" x14ac:dyDescent="0.25">
      <c r="A5681" s="7">
        <v>3</v>
      </c>
      <c r="B5681" s="8">
        <v>43921</v>
      </c>
      <c r="C5681" s="9" t="s">
        <v>4</v>
      </c>
      <c r="D5681" s="10">
        <v>43.05</v>
      </c>
      <c r="E5681" s="10">
        <v>2883.3839999999996</v>
      </c>
      <c r="F5681" t="str">
        <f>VLOOKUP(A5681,StoreLookup,2,FALSE)</f>
        <v>Store#3</v>
      </c>
      <c r="G5681">
        <f>INDEX(CalLookUpTable,MATCH($B5681,CalLookUpRow,0),MATCH(G$1,CalLookUpColumn,0))</f>
        <v>2020</v>
      </c>
      <c r="H5681">
        <f>INDEX(CalLookUpTable,MATCH($B5681,CalLookUpRow,0),MATCH(H$1,CalLookUpColumn,0))</f>
        <v>4</v>
      </c>
      <c r="I5681">
        <f>INDEX(CalLookUpTable,MATCH($B5681,CalLookUpRow,0),MATCH(I$1,CalLookUpColumn,0))</f>
        <v>1</v>
      </c>
    </row>
    <row r="5682" spans="1:9" x14ac:dyDescent="0.25">
      <c r="A5682" s="7">
        <v>3</v>
      </c>
      <c r="B5682" s="8">
        <v>43922</v>
      </c>
      <c r="C5682" s="9" t="s">
        <v>3</v>
      </c>
      <c r="D5682" s="10">
        <v>0</v>
      </c>
      <c r="E5682" s="10">
        <v>169.792</v>
      </c>
      <c r="F5682" t="str">
        <f>VLOOKUP(A5682,StoreLookup,2,FALSE)</f>
        <v>Store#3</v>
      </c>
      <c r="G5682">
        <f>INDEX(CalLookUpTable,MATCH($B5682,CalLookUpRow,0),MATCH(G$1,CalLookUpColumn,0))</f>
        <v>2020</v>
      </c>
      <c r="H5682">
        <f>INDEX(CalLookUpTable,MATCH($B5682,CalLookUpRow,0),MATCH(H$1,CalLookUpColumn,0))</f>
        <v>4</v>
      </c>
      <c r="I5682">
        <f>INDEX(CalLookUpTable,MATCH($B5682,CalLookUpRow,0),MATCH(I$1,CalLookUpColumn,0))</f>
        <v>1</v>
      </c>
    </row>
    <row r="5683" spans="1:9" x14ac:dyDescent="0.25">
      <c r="A5683" s="7">
        <v>3</v>
      </c>
      <c r="B5683" s="8">
        <v>43922</v>
      </c>
      <c r="C5683" s="9" t="s">
        <v>4</v>
      </c>
      <c r="D5683" s="10">
        <v>154.58099999999999</v>
      </c>
      <c r="E5683" s="10">
        <v>3686.5009999999997</v>
      </c>
      <c r="F5683" t="str">
        <f>VLOOKUP(A5683,StoreLookup,2,FALSE)</f>
        <v>Store#3</v>
      </c>
      <c r="G5683">
        <f>INDEX(CalLookUpTable,MATCH($B5683,CalLookUpRow,0),MATCH(G$1,CalLookUpColumn,0))</f>
        <v>2020</v>
      </c>
      <c r="H5683">
        <f>INDEX(CalLookUpTable,MATCH($B5683,CalLookUpRow,0),MATCH(H$1,CalLookUpColumn,0))</f>
        <v>4</v>
      </c>
      <c r="I5683">
        <f>INDEX(CalLookUpTable,MATCH($B5683,CalLookUpRow,0),MATCH(I$1,CalLookUpColumn,0))</f>
        <v>1</v>
      </c>
    </row>
    <row r="5684" spans="1:9" x14ac:dyDescent="0.25">
      <c r="A5684" s="7">
        <v>3</v>
      </c>
      <c r="B5684" s="8">
        <v>43922</v>
      </c>
      <c r="C5684" s="9" t="s">
        <v>6</v>
      </c>
      <c r="D5684" s="10">
        <v>3034.2059999999997</v>
      </c>
      <c r="E5684" s="10">
        <v>913.34599999999989</v>
      </c>
      <c r="F5684" t="str">
        <f>VLOOKUP(A5684,StoreLookup,2,FALSE)</f>
        <v>Store#3</v>
      </c>
      <c r="G5684">
        <f>INDEX(CalLookUpTable,MATCH($B5684,CalLookUpRow,0),MATCH(G$1,CalLookUpColumn,0))</f>
        <v>2020</v>
      </c>
      <c r="H5684">
        <f>INDEX(CalLookUpTable,MATCH($B5684,CalLookUpRow,0),MATCH(H$1,CalLookUpColumn,0))</f>
        <v>4</v>
      </c>
      <c r="I5684">
        <f>INDEX(CalLookUpTable,MATCH($B5684,CalLookUpRow,0),MATCH(I$1,CalLookUpColumn,0))</f>
        <v>1</v>
      </c>
    </row>
    <row r="5685" spans="1:9" x14ac:dyDescent="0.25">
      <c r="A5685" s="7">
        <v>3</v>
      </c>
      <c r="B5685" s="8">
        <v>43922</v>
      </c>
      <c r="C5685" s="9" t="s">
        <v>5</v>
      </c>
      <c r="D5685" s="10">
        <v>4020.3379999999997</v>
      </c>
      <c r="E5685" s="10">
        <v>3382.0920000000001</v>
      </c>
      <c r="F5685" t="str">
        <f>VLOOKUP(A5685,StoreLookup,2,FALSE)</f>
        <v>Store#3</v>
      </c>
      <c r="G5685">
        <f>INDEX(CalLookUpTable,MATCH($B5685,CalLookUpRow,0),MATCH(G$1,CalLookUpColumn,0))</f>
        <v>2020</v>
      </c>
      <c r="H5685">
        <f>INDEX(CalLookUpTable,MATCH($B5685,CalLookUpRow,0),MATCH(H$1,CalLookUpColumn,0))</f>
        <v>4</v>
      </c>
      <c r="I5685">
        <f>INDEX(CalLookUpTable,MATCH($B5685,CalLookUpRow,0),MATCH(I$1,CalLookUpColumn,0))</f>
        <v>1</v>
      </c>
    </row>
    <row r="5686" spans="1:9" x14ac:dyDescent="0.25">
      <c r="A5686" s="7">
        <v>3</v>
      </c>
      <c r="B5686" s="8">
        <v>43923</v>
      </c>
      <c r="C5686" s="9" t="s">
        <v>6</v>
      </c>
      <c r="D5686" s="10">
        <v>4432.2039999999997</v>
      </c>
      <c r="E5686" s="10">
        <v>1548.1619999999998</v>
      </c>
      <c r="F5686" t="str">
        <f>VLOOKUP(A5686,StoreLookup,2,FALSE)</f>
        <v>Store#3</v>
      </c>
      <c r="G5686">
        <f>INDEX(CalLookUpTable,MATCH($B5686,CalLookUpRow,0),MATCH(G$1,CalLookUpColumn,0))</f>
        <v>2020</v>
      </c>
      <c r="H5686">
        <f>INDEX(CalLookUpTable,MATCH($B5686,CalLookUpRow,0),MATCH(H$1,CalLookUpColumn,0))</f>
        <v>4</v>
      </c>
      <c r="I5686">
        <f>INDEX(CalLookUpTable,MATCH($B5686,CalLookUpRow,0),MATCH(I$1,CalLookUpColumn,0))</f>
        <v>1</v>
      </c>
    </row>
    <row r="5687" spans="1:9" x14ac:dyDescent="0.25">
      <c r="A5687" s="7">
        <v>3</v>
      </c>
      <c r="B5687" s="8">
        <v>43923</v>
      </c>
      <c r="C5687" s="9" t="s">
        <v>4</v>
      </c>
      <c r="D5687" s="10">
        <v>461.32799999999992</v>
      </c>
      <c r="E5687" s="10">
        <v>4559.2820000000002</v>
      </c>
      <c r="F5687" t="str">
        <f>VLOOKUP(A5687,StoreLookup,2,FALSE)</f>
        <v>Store#3</v>
      </c>
      <c r="G5687">
        <f>INDEX(CalLookUpTable,MATCH($B5687,CalLookUpRow,0),MATCH(G$1,CalLookUpColumn,0))</f>
        <v>2020</v>
      </c>
      <c r="H5687">
        <f>INDEX(CalLookUpTable,MATCH($B5687,CalLookUpRow,0),MATCH(H$1,CalLookUpColumn,0))</f>
        <v>4</v>
      </c>
      <c r="I5687">
        <f>INDEX(CalLookUpTable,MATCH($B5687,CalLookUpRow,0),MATCH(I$1,CalLookUpColumn,0))</f>
        <v>1</v>
      </c>
    </row>
    <row r="5688" spans="1:9" x14ac:dyDescent="0.25">
      <c r="A5688" s="7">
        <v>3</v>
      </c>
      <c r="B5688" s="8">
        <v>43923</v>
      </c>
      <c r="C5688" s="9" t="s">
        <v>5</v>
      </c>
      <c r="D5688" s="10">
        <v>5110.0279999999993</v>
      </c>
      <c r="E5688" s="10">
        <v>4321.9259999999995</v>
      </c>
      <c r="F5688" t="str">
        <f>VLOOKUP(A5688,StoreLookup,2,FALSE)</f>
        <v>Store#3</v>
      </c>
      <c r="G5688">
        <f>INDEX(CalLookUpTable,MATCH($B5688,CalLookUpRow,0),MATCH(G$1,CalLookUpColumn,0))</f>
        <v>2020</v>
      </c>
      <c r="H5688">
        <f>INDEX(CalLookUpTable,MATCH($B5688,CalLookUpRow,0),MATCH(H$1,CalLookUpColumn,0))</f>
        <v>4</v>
      </c>
      <c r="I5688">
        <f>INDEX(CalLookUpTable,MATCH($B5688,CalLookUpRow,0),MATCH(I$1,CalLookUpColumn,0))</f>
        <v>1</v>
      </c>
    </row>
    <row r="5689" spans="1:9" x14ac:dyDescent="0.25">
      <c r="A5689" s="7">
        <v>3</v>
      </c>
      <c r="B5689" s="8">
        <v>43923</v>
      </c>
      <c r="C5689" s="9" t="s">
        <v>3</v>
      </c>
      <c r="D5689" s="10">
        <v>0</v>
      </c>
      <c r="E5689" s="10">
        <v>0</v>
      </c>
      <c r="F5689" t="str">
        <f>VLOOKUP(A5689,StoreLookup,2,FALSE)</f>
        <v>Store#3</v>
      </c>
      <c r="G5689">
        <f>INDEX(CalLookUpTable,MATCH($B5689,CalLookUpRow,0),MATCH(G$1,CalLookUpColumn,0))</f>
        <v>2020</v>
      </c>
      <c r="H5689">
        <f>INDEX(CalLookUpTable,MATCH($B5689,CalLookUpRow,0),MATCH(H$1,CalLookUpColumn,0))</f>
        <v>4</v>
      </c>
      <c r="I5689">
        <f>INDEX(CalLookUpTable,MATCH($B5689,CalLookUpRow,0),MATCH(I$1,CalLookUpColumn,0))</f>
        <v>1</v>
      </c>
    </row>
    <row r="5690" spans="1:9" x14ac:dyDescent="0.25">
      <c r="A5690" s="7">
        <v>3</v>
      </c>
      <c r="B5690" s="8">
        <v>43924</v>
      </c>
      <c r="C5690" s="9" t="s">
        <v>6</v>
      </c>
      <c r="D5690" s="10">
        <v>3534.4399999999996</v>
      </c>
      <c r="E5690" s="10">
        <v>1050.0349999999999</v>
      </c>
      <c r="F5690" t="str">
        <f>VLOOKUP(A5690,StoreLookup,2,FALSE)</f>
        <v>Store#3</v>
      </c>
      <c r="G5690">
        <f>INDEX(CalLookUpTable,MATCH($B5690,CalLookUpRow,0),MATCH(G$1,CalLookUpColumn,0))</f>
        <v>2020</v>
      </c>
      <c r="H5690">
        <f>INDEX(CalLookUpTable,MATCH($B5690,CalLookUpRow,0),MATCH(H$1,CalLookUpColumn,0))</f>
        <v>4</v>
      </c>
      <c r="I5690">
        <f>INDEX(CalLookUpTable,MATCH($B5690,CalLookUpRow,0),MATCH(I$1,CalLookUpColumn,0))</f>
        <v>1</v>
      </c>
    </row>
    <row r="5691" spans="1:9" x14ac:dyDescent="0.25">
      <c r="A5691" s="7">
        <v>3</v>
      </c>
      <c r="B5691" s="8">
        <v>43924</v>
      </c>
      <c r="C5691" s="9" t="s">
        <v>4</v>
      </c>
      <c r="D5691" s="10">
        <v>1016.372</v>
      </c>
      <c r="E5691" s="10">
        <v>4346.8319999999994</v>
      </c>
      <c r="F5691" t="str">
        <f>VLOOKUP(A5691,StoreLookup,2,FALSE)</f>
        <v>Store#3</v>
      </c>
      <c r="G5691">
        <f>INDEX(CalLookUpTable,MATCH($B5691,CalLookUpRow,0),MATCH(G$1,CalLookUpColumn,0))</f>
        <v>2020</v>
      </c>
      <c r="H5691">
        <f>INDEX(CalLookUpTable,MATCH($B5691,CalLookUpRow,0),MATCH(H$1,CalLookUpColumn,0))</f>
        <v>4</v>
      </c>
      <c r="I5691">
        <f>INDEX(CalLookUpTable,MATCH($B5691,CalLookUpRow,0),MATCH(I$1,CalLookUpColumn,0))</f>
        <v>1</v>
      </c>
    </row>
    <row r="5692" spans="1:9" x14ac:dyDescent="0.25">
      <c r="A5692" s="7">
        <v>3</v>
      </c>
      <c r="B5692" s="8">
        <v>43924</v>
      </c>
      <c r="C5692" s="9" t="s">
        <v>3</v>
      </c>
      <c r="D5692" s="10">
        <v>57.869</v>
      </c>
      <c r="E5692" s="10">
        <v>0</v>
      </c>
      <c r="F5692" t="str">
        <f>VLOOKUP(A5692,StoreLookup,2,FALSE)</f>
        <v>Store#3</v>
      </c>
      <c r="G5692">
        <f>INDEX(CalLookUpTable,MATCH($B5692,CalLookUpRow,0),MATCH(G$1,CalLookUpColumn,0))</f>
        <v>2020</v>
      </c>
      <c r="H5692">
        <f>INDEX(CalLookUpTable,MATCH($B5692,CalLookUpRow,0),MATCH(H$1,CalLookUpColumn,0))</f>
        <v>4</v>
      </c>
      <c r="I5692">
        <f>INDEX(CalLookUpTable,MATCH($B5692,CalLookUpRow,0),MATCH(I$1,CalLookUpColumn,0))</f>
        <v>1</v>
      </c>
    </row>
    <row r="5693" spans="1:9" x14ac:dyDescent="0.25">
      <c r="A5693" s="7">
        <v>3</v>
      </c>
      <c r="B5693" s="8">
        <v>43924</v>
      </c>
      <c r="C5693" s="9" t="s">
        <v>5</v>
      </c>
      <c r="D5693" s="10">
        <v>5407.6679999999997</v>
      </c>
      <c r="E5693" s="10">
        <v>4041.4079999999994</v>
      </c>
      <c r="F5693" t="str">
        <f>VLOOKUP(A5693,StoreLookup,2,FALSE)</f>
        <v>Store#3</v>
      </c>
      <c r="G5693">
        <f>INDEX(CalLookUpTable,MATCH($B5693,CalLookUpRow,0),MATCH(G$1,CalLookUpColumn,0))</f>
        <v>2020</v>
      </c>
      <c r="H5693">
        <f>INDEX(CalLookUpTable,MATCH($B5693,CalLookUpRow,0),MATCH(H$1,CalLookUpColumn,0))</f>
        <v>4</v>
      </c>
      <c r="I5693">
        <f>INDEX(CalLookUpTable,MATCH($B5693,CalLookUpRow,0),MATCH(I$1,CalLookUpColumn,0))</f>
        <v>1</v>
      </c>
    </row>
    <row r="5694" spans="1:9" x14ac:dyDescent="0.25">
      <c r="A5694" s="7">
        <v>3</v>
      </c>
      <c r="B5694" s="8">
        <v>43925</v>
      </c>
      <c r="C5694" s="9" t="s">
        <v>6</v>
      </c>
      <c r="D5694" s="10">
        <v>4061.0499999999997</v>
      </c>
      <c r="E5694" s="10">
        <v>884.11399999999992</v>
      </c>
      <c r="F5694" t="str">
        <f>VLOOKUP(A5694,StoreLookup,2,FALSE)</f>
        <v>Store#3</v>
      </c>
      <c r="G5694">
        <f>INDEX(CalLookUpTable,MATCH($B5694,CalLookUpRow,0),MATCH(G$1,CalLookUpColumn,0))</f>
        <v>2020</v>
      </c>
      <c r="H5694">
        <f>INDEX(CalLookUpTable,MATCH($B5694,CalLookUpRow,0),MATCH(H$1,CalLookUpColumn,0))</f>
        <v>4</v>
      </c>
      <c r="I5694">
        <f>INDEX(CalLookUpTable,MATCH($B5694,CalLookUpRow,0),MATCH(I$1,CalLookUpColumn,0))</f>
        <v>1</v>
      </c>
    </row>
    <row r="5695" spans="1:9" x14ac:dyDescent="0.25">
      <c r="A5695" s="7">
        <v>3</v>
      </c>
      <c r="B5695" s="8">
        <v>43925</v>
      </c>
      <c r="C5695" s="9" t="s">
        <v>3</v>
      </c>
      <c r="D5695" s="10">
        <v>172.893</v>
      </c>
      <c r="E5695" s="10">
        <v>26.565000000000001</v>
      </c>
      <c r="F5695" t="str">
        <f>VLOOKUP(A5695,StoreLookup,2,FALSE)</f>
        <v>Store#3</v>
      </c>
      <c r="G5695">
        <f>INDEX(CalLookUpTable,MATCH($B5695,CalLookUpRow,0),MATCH(G$1,CalLookUpColumn,0))</f>
        <v>2020</v>
      </c>
      <c r="H5695">
        <f>INDEX(CalLookUpTable,MATCH($B5695,CalLookUpRow,0),MATCH(H$1,CalLookUpColumn,0))</f>
        <v>4</v>
      </c>
      <c r="I5695">
        <f>INDEX(CalLookUpTable,MATCH($B5695,CalLookUpRow,0),MATCH(I$1,CalLookUpColumn,0))</f>
        <v>1</v>
      </c>
    </row>
    <row r="5696" spans="1:9" x14ac:dyDescent="0.25">
      <c r="A5696" s="7">
        <v>3</v>
      </c>
      <c r="B5696" s="8">
        <v>43925</v>
      </c>
      <c r="C5696" s="9" t="s">
        <v>4</v>
      </c>
      <c r="D5696" s="10">
        <v>481.76799999999997</v>
      </c>
      <c r="E5696" s="10">
        <v>4188.1909999999998</v>
      </c>
      <c r="F5696" t="str">
        <f>VLOOKUP(A5696,StoreLookup,2,FALSE)</f>
        <v>Store#3</v>
      </c>
      <c r="G5696">
        <f>INDEX(CalLookUpTable,MATCH($B5696,CalLookUpRow,0),MATCH(G$1,CalLookUpColumn,0))</f>
        <v>2020</v>
      </c>
      <c r="H5696">
        <f>INDEX(CalLookUpTable,MATCH($B5696,CalLookUpRow,0),MATCH(H$1,CalLookUpColumn,0))</f>
        <v>4</v>
      </c>
      <c r="I5696">
        <f>INDEX(CalLookUpTable,MATCH($B5696,CalLookUpRow,0),MATCH(I$1,CalLookUpColumn,0))</f>
        <v>1</v>
      </c>
    </row>
    <row r="5697" spans="1:9" x14ac:dyDescent="0.25">
      <c r="A5697" s="7">
        <v>3</v>
      </c>
      <c r="B5697" s="8">
        <v>43925</v>
      </c>
      <c r="C5697" s="9" t="s">
        <v>5</v>
      </c>
      <c r="D5697" s="10">
        <v>4492.9359999999997</v>
      </c>
      <c r="E5697" s="10">
        <v>3553.5359999999996</v>
      </c>
      <c r="F5697" t="str">
        <f>VLOOKUP(A5697,StoreLookup,2,FALSE)</f>
        <v>Store#3</v>
      </c>
      <c r="G5697">
        <f>INDEX(CalLookUpTable,MATCH($B5697,CalLookUpRow,0),MATCH(G$1,CalLookUpColumn,0))</f>
        <v>2020</v>
      </c>
      <c r="H5697">
        <f>INDEX(CalLookUpTable,MATCH($B5697,CalLookUpRow,0),MATCH(H$1,CalLookUpColumn,0))</f>
        <v>4</v>
      </c>
      <c r="I5697">
        <f>INDEX(CalLookUpTable,MATCH($B5697,CalLookUpRow,0),MATCH(I$1,CalLookUpColumn,0))</f>
        <v>1</v>
      </c>
    </row>
    <row r="5698" spans="1:9" x14ac:dyDescent="0.25">
      <c r="A5698" s="7">
        <v>3</v>
      </c>
      <c r="B5698" s="8">
        <v>43926</v>
      </c>
      <c r="C5698" s="9" t="s">
        <v>3</v>
      </c>
      <c r="D5698" s="10">
        <v>0</v>
      </c>
      <c r="E5698" s="10">
        <v>0</v>
      </c>
      <c r="F5698" t="str">
        <f>VLOOKUP(A5698,StoreLookup,2,FALSE)</f>
        <v>Store#3</v>
      </c>
      <c r="G5698">
        <f>INDEX(CalLookUpTable,MATCH($B5698,CalLookUpRow,0),MATCH(G$1,CalLookUpColumn,0))</f>
        <v>2020</v>
      </c>
      <c r="H5698">
        <f>INDEX(CalLookUpTable,MATCH($B5698,CalLookUpRow,0),MATCH(H$1,CalLookUpColumn,0))</f>
        <v>4</v>
      </c>
      <c r="I5698">
        <f>INDEX(CalLookUpTable,MATCH($B5698,CalLookUpRow,0),MATCH(I$1,CalLookUpColumn,0))</f>
        <v>1</v>
      </c>
    </row>
    <row r="5699" spans="1:9" x14ac:dyDescent="0.25">
      <c r="A5699" s="7">
        <v>3</v>
      </c>
      <c r="B5699" s="8">
        <v>43926</v>
      </c>
      <c r="C5699" s="9" t="s">
        <v>4</v>
      </c>
      <c r="D5699" s="10">
        <v>62.278999999999996</v>
      </c>
      <c r="E5699" s="10">
        <v>3232.1869999999999</v>
      </c>
      <c r="F5699" t="str">
        <f>VLOOKUP(A5699,StoreLookup,2,FALSE)</f>
        <v>Store#3</v>
      </c>
      <c r="G5699">
        <f>INDEX(CalLookUpTable,MATCH($B5699,CalLookUpRow,0),MATCH(G$1,CalLookUpColumn,0))</f>
        <v>2020</v>
      </c>
      <c r="H5699">
        <f>INDEX(CalLookUpTable,MATCH($B5699,CalLookUpRow,0),MATCH(H$1,CalLookUpColumn,0))</f>
        <v>4</v>
      </c>
      <c r="I5699">
        <f>INDEX(CalLookUpTable,MATCH($B5699,CalLookUpRow,0),MATCH(I$1,CalLookUpColumn,0))</f>
        <v>1</v>
      </c>
    </row>
    <row r="5700" spans="1:9" x14ac:dyDescent="0.25">
      <c r="A5700" s="7">
        <v>3</v>
      </c>
      <c r="B5700" s="8">
        <v>43926</v>
      </c>
      <c r="C5700" s="9" t="s">
        <v>6</v>
      </c>
      <c r="D5700" s="10">
        <v>1929.0669999999998</v>
      </c>
      <c r="E5700" s="10">
        <v>589.65199999999993</v>
      </c>
      <c r="F5700" t="str">
        <f>VLOOKUP(A5700,StoreLookup,2,FALSE)</f>
        <v>Store#3</v>
      </c>
      <c r="G5700">
        <f>INDEX(CalLookUpTable,MATCH($B5700,CalLookUpRow,0),MATCH(G$1,CalLookUpColumn,0))</f>
        <v>2020</v>
      </c>
      <c r="H5700">
        <f>INDEX(CalLookUpTable,MATCH($B5700,CalLookUpRow,0),MATCH(H$1,CalLookUpColumn,0))</f>
        <v>4</v>
      </c>
      <c r="I5700">
        <f>INDEX(CalLookUpTable,MATCH($B5700,CalLookUpRow,0),MATCH(I$1,CalLookUpColumn,0))</f>
        <v>1</v>
      </c>
    </row>
    <row r="5701" spans="1:9" x14ac:dyDescent="0.25">
      <c r="A5701" s="7">
        <v>3</v>
      </c>
      <c r="B5701" s="8">
        <v>43926</v>
      </c>
      <c r="C5701" s="9" t="s">
        <v>5</v>
      </c>
      <c r="D5701" s="10">
        <v>3188.9409999999998</v>
      </c>
      <c r="E5701" s="10">
        <v>2759.7570000000001</v>
      </c>
      <c r="F5701" t="str">
        <f>VLOOKUP(A5701,StoreLookup,2,FALSE)</f>
        <v>Store#3</v>
      </c>
      <c r="G5701">
        <f>INDEX(CalLookUpTable,MATCH($B5701,CalLookUpRow,0),MATCH(G$1,CalLookUpColumn,0))</f>
        <v>2020</v>
      </c>
      <c r="H5701">
        <f>INDEX(CalLookUpTable,MATCH($B5701,CalLookUpRow,0),MATCH(H$1,CalLookUpColumn,0))</f>
        <v>4</v>
      </c>
      <c r="I5701">
        <f>INDEX(CalLookUpTable,MATCH($B5701,CalLookUpRow,0),MATCH(I$1,CalLookUpColumn,0))</f>
        <v>1</v>
      </c>
    </row>
    <row r="5702" spans="1:9" x14ac:dyDescent="0.25">
      <c r="A5702" s="7">
        <v>3</v>
      </c>
      <c r="B5702" s="8">
        <v>43927</v>
      </c>
      <c r="C5702" s="9" t="s">
        <v>5</v>
      </c>
      <c r="D5702" s="10">
        <v>4192.9790000000003</v>
      </c>
      <c r="E5702" s="10">
        <v>3038.7980000000002</v>
      </c>
      <c r="F5702" t="str">
        <f>VLOOKUP(A5702,StoreLookup,2,FALSE)</f>
        <v>Store#3</v>
      </c>
      <c r="G5702">
        <f>INDEX(CalLookUpTable,MATCH($B5702,CalLookUpRow,0),MATCH(G$1,CalLookUpColumn,0))</f>
        <v>2020</v>
      </c>
      <c r="H5702">
        <f>INDEX(CalLookUpTable,MATCH($B5702,CalLookUpRow,0),MATCH(H$1,CalLookUpColumn,0))</f>
        <v>4</v>
      </c>
      <c r="I5702">
        <f>INDEX(CalLookUpTable,MATCH($B5702,CalLookUpRow,0),MATCH(I$1,CalLookUpColumn,0))</f>
        <v>2</v>
      </c>
    </row>
    <row r="5703" spans="1:9" x14ac:dyDescent="0.25">
      <c r="A5703" s="7">
        <v>3</v>
      </c>
      <c r="B5703" s="8">
        <v>43927</v>
      </c>
      <c r="C5703" s="9" t="s">
        <v>3</v>
      </c>
      <c r="D5703" s="10">
        <v>0</v>
      </c>
      <c r="E5703" s="10">
        <v>0</v>
      </c>
      <c r="F5703" t="str">
        <f>VLOOKUP(A5703,StoreLookup,2,FALSE)</f>
        <v>Store#3</v>
      </c>
      <c r="G5703">
        <f>INDEX(CalLookUpTable,MATCH($B5703,CalLookUpRow,0),MATCH(G$1,CalLookUpColumn,0))</f>
        <v>2020</v>
      </c>
      <c r="H5703">
        <f>INDEX(CalLookUpTable,MATCH($B5703,CalLookUpRow,0),MATCH(H$1,CalLookUpColumn,0))</f>
        <v>4</v>
      </c>
      <c r="I5703">
        <f>INDEX(CalLookUpTable,MATCH($B5703,CalLookUpRow,0),MATCH(I$1,CalLookUpColumn,0))</f>
        <v>2</v>
      </c>
    </row>
    <row r="5704" spans="1:9" x14ac:dyDescent="0.25">
      <c r="A5704" s="7">
        <v>3</v>
      </c>
      <c r="B5704" s="8">
        <v>43927</v>
      </c>
      <c r="C5704" s="9" t="s">
        <v>4</v>
      </c>
      <c r="D5704" s="10">
        <v>-29.442</v>
      </c>
      <c r="E5704" s="10">
        <v>2745.3369999999995</v>
      </c>
      <c r="F5704" t="str">
        <f>VLOOKUP(A5704,StoreLookup,2,FALSE)</f>
        <v>Store#3</v>
      </c>
      <c r="G5704">
        <f>INDEX(CalLookUpTable,MATCH($B5704,CalLookUpRow,0),MATCH(G$1,CalLookUpColumn,0))</f>
        <v>2020</v>
      </c>
      <c r="H5704">
        <f>INDEX(CalLookUpTable,MATCH($B5704,CalLookUpRow,0),MATCH(H$1,CalLookUpColumn,0))</f>
        <v>4</v>
      </c>
      <c r="I5704">
        <f>INDEX(CalLookUpTable,MATCH($B5704,CalLookUpRow,0),MATCH(I$1,CalLookUpColumn,0))</f>
        <v>2</v>
      </c>
    </row>
    <row r="5705" spans="1:9" x14ac:dyDescent="0.25">
      <c r="A5705" s="7">
        <v>3</v>
      </c>
      <c r="B5705" s="8">
        <v>43927</v>
      </c>
      <c r="C5705" s="9" t="s">
        <v>6</v>
      </c>
      <c r="D5705" s="10">
        <v>2375.5759999999996</v>
      </c>
      <c r="E5705" s="10">
        <v>608.17399999999998</v>
      </c>
      <c r="F5705" t="str">
        <f>VLOOKUP(A5705,StoreLookup,2,FALSE)</f>
        <v>Store#3</v>
      </c>
      <c r="G5705">
        <f>INDEX(CalLookUpTable,MATCH($B5705,CalLookUpRow,0),MATCH(G$1,CalLookUpColumn,0))</f>
        <v>2020</v>
      </c>
      <c r="H5705">
        <f>INDEX(CalLookUpTable,MATCH($B5705,CalLookUpRow,0),MATCH(H$1,CalLookUpColumn,0))</f>
        <v>4</v>
      </c>
      <c r="I5705">
        <f>INDEX(CalLookUpTable,MATCH($B5705,CalLookUpRow,0),MATCH(I$1,CalLookUpColumn,0))</f>
        <v>2</v>
      </c>
    </row>
    <row r="5706" spans="1:9" x14ac:dyDescent="0.25">
      <c r="A5706" s="7">
        <v>3</v>
      </c>
      <c r="B5706" s="8">
        <v>43928</v>
      </c>
      <c r="C5706" s="9" t="s">
        <v>5</v>
      </c>
      <c r="D5706" s="10">
        <v>4276.5029999999997</v>
      </c>
      <c r="E5706" s="10">
        <v>3478.7129999999997</v>
      </c>
      <c r="F5706" t="str">
        <f>VLOOKUP(A5706,StoreLookup,2,FALSE)</f>
        <v>Store#3</v>
      </c>
      <c r="G5706">
        <f>INDEX(CalLookUpTable,MATCH($B5706,CalLookUpRow,0),MATCH(G$1,CalLookUpColumn,0))</f>
        <v>2020</v>
      </c>
      <c r="H5706">
        <f>INDEX(CalLookUpTable,MATCH($B5706,CalLookUpRow,0),MATCH(H$1,CalLookUpColumn,0))</f>
        <v>4</v>
      </c>
      <c r="I5706">
        <f>INDEX(CalLookUpTable,MATCH($B5706,CalLookUpRow,0),MATCH(I$1,CalLookUpColumn,0))</f>
        <v>2</v>
      </c>
    </row>
    <row r="5707" spans="1:9" x14ac:dyDescent="0.25">
      <c r="A5707" s="7">
        <v>3</v>
      </c>
      <c r="B5707" s="8">
        <v>43928</v>
      </c>
      <c r="C5707" s="9" t="s">
        <v>4</v>
      </c>
      <c r="D5707" s="10">
        <v>64.434999999999988</v>
      </c>
      <c r="E5707" s="10">
        <v>2844.6880000000001</v>
      </c>
      <c r="F5707" t="str">
        <f>VLOOKUP(A5707,StoreLookup,2,FALSE)</f>
        <v>Store#3</v>
      </c>
      <c r="G5707">
        <f>INDEX(CalLookUpTable,MATCH($B5707,CalLookUpRow,0),MATCH(G$1,CalLookUpColumn,0))</f>
        <v>2020</v>
      </c>
      <c r="H5707">
        <f>INDEX(CalLookUpTable,MATCH($B5707,CalLookUpRow,0),MATCH(H$1,CalLookUpColumn,0))</f>
        <v>4</v>
      </c>
      <c r="I5707">
        <f>INDEX(CalLookUpTable,MATCH($B5707,CalLookUpRow,0),MATCH(I$1,CalLookUpColumn,0))</f>
        <v>2</v>
      </c>
    </row>
    <row r="5708" spans="1:9" x14ac:dyDescent="0.25">
      <c r="A5708" s="7">
        <v>3</v>
      </c>
      <c r="B5708" s="8">
        <v>43928</v>
      </c>
      <c r="C5708" s="9" t="s">
        <v>6</v>
      </c>
      <c r="D5708" s="10">
        <v>2519.7550000000001</v>
      </c>
      <c r="E5708" s="10">
        <v>508.94199999999995</v>
      </c>
      <c r="F5708" t="str">
        <f>VLOOKUP(A5708,StoreLookup,2,FALSE)</f>
        <v>Store#3</v>
      </c>
      <c r="G5708">
        <f>INDEX(CalLookUpTable,MATCH($B5708,CalLookUpRow,0),MATCH(G$1,CalLookUpColumn,0))</f>
        <v>2020</v>
      </c>
      <c r="H5708">
        <f>INDEX(CalLookUpTable,MATCH($B5708,CalLookUpRow,0),MATCH(H$1,CalLookUpColumn,0))</f>
        <v>4</v>
      </c>
      <c r="I5708">
        <f>INDEX(CalLookUpTable,MATCH($B5708,CalLookUpRow,0),MATCH(I$1,CalLookUpColumn,0))</f>
        <v>2</v>
      </c>
    </row>
    <row r="5709" spans="1:9" x14ac:dyDescent="0.25">
      <c r="A5709" s="7">
        <v>3</v>
      </c>
      <c r="B5709" s="8">
        <v>43928</v>
      </c>
      <c r="C5709" s="9" t="s">
        <v>3</v>
      </c>
      <c r="D5709" s="10">
        <v>25.521999999999998</v>
      </c>
      <c r="E5709" s="10">
        <v>0</v>
      </c>
      <c r="F5709" t="str">
        <f>VLOOKUP(A5709,StoreLookup,2,FALSE)</f>
        <v>Store#3</v>
      </c>
      <c r="G5709">
        <f>INDEX(CalLookUpTable,MATCH($B5709,CalLookUpRow,0),MATCH(G$1,CalLookUpColumn,0))</f>
        <v>2020</v>
      </c>
      <c r="H5709">
        <f>INDEX(CalLookUpTable,MATCH($B5709,CalLookUpRow,0),MATCH(H$1,CalLookUpColumn,0))</f>
        <v>4</v>
      </c>
      <c r="I5709">
        <f>INDEX(CalLookUpTable,MATCH($B5709,CalLookUpRow,0),MATCH(I$1,CalLookUpColumn,0))</f>
        <v>2</v>
      </c>
    </row>
    <row r="5710" spans="1:9" x14ac:dyDescent="0.25">
      <c r="A5710" s="7">
        <v>3</v>
      </c>
      <c r="B5710" s="8">
        <v>43929</v>
      </c>
      <c r="C5710" s="9" t="s">
        <v>5</v>
      </c>
      <c r="D5710" s="10">
        <v>4199.7690000000002</v>
      </c>
      <c r="E5710" s="10">
        <v>3621.9609999999993</v>
      </c>
      <c r="F5710" t="str">
        <f>VLOOKUP(A5710,StoreLookup,2,FALSE)</f>
        <v>Store#3</v>
      </c>
      <c r="G5710">
        <f>INDEX(CalLookUpTable,MATCH($B5710,CalLookUpRow,0),MATCH(G$1,CalLookUpColumn,0))</f>
        <v>2020</v>
      </c>
      <c r="H5710">
        <f>INDEX(CalLookUpTable,MATCH($B5710,CalLookUpRow,0),MATCH(H$1,CalLookUpColumn,0))</f>
        <v>4</v>
      </c>
      <c r="I5710">
        <f>INDEX(CalLookUpTable,MATCH($B5710,CalLookUpRow,0),MATCH(I$1,CalLookUpColumn,0))</f>
        <v>2</v>
      </c>
    </row>
    <row r="5711" spans="1:9" x14ac:dyDescent="0.25">
      <c r="A5711" s="7">
        <v>3</v>
      </c>
      <c r="B5711" s="8">
        <v>43929</v>
      </c>
      <c r="C5711" s="9" t="s">
        <v>3</v>
      </c>
      <c r="D5711" s="10">
        <v>0</v>
      </c>
      <c r="E5711" s="10">
        <v>13.985999999999999</v>
      </c>
      <c r="F5711" t="str">
        <f>VLOOKUP(A5711,StoreLookup,2,FALSE)</f>
        <v>Store#3</v>
      </c>
      <c r="G5711">
        <f>INDEX(CalLookUpTable,MATCH($B5711,CalLookUpRow,0),MATCH(G$1,CalLookUpColumn,0))</f>
        <v>2020</v>
      </c>
      <c r="H5711">
        <f>INDEX(CalLookUpTable,MATCH($B5711,CalLookUpRow,0),MATCH(H$1,CalLookUpColumn,0))</f>
        <v>4</v>
      </c>
      <c r="I5711">
        <f>INDEX(CalLookUpTable,MATCH($B5711,CalLookUpRow,0),MATCH(I$1,CalLookUpColumn,0))</f>
        <v>2</v>
      </c>
    </row>
    <row r="5712" spans="1:9" x14ac:dyDescent="0.25">
      <c r="A5712" s="7">
        <v>3</v>
      </c>
      <c r="B5712" s="8">
        <v>43929</v>
      </c>
      <c r="C5712" s="9" t="s">
        <v>4</v>
      </c>
      <c r="D5712" s="10">
        <v>459.38899999999995</v>
      </c>
      <c r="E5712" s="10">
        <v>3208.1</v>
      </c>
      <c r="F5712" t="str">
        <f>VLOOKUP(A5712,StoreLookup,2,FALSE)</f>
        <v>Store#3</v>
      </c>
      <c r="G5712">
        <f>INDEX(CalLookUpTable,MATCH($B5712,CalLookUpRow,0),MATCH(G$1,CalLookUpColumn,0))</f>
        <v>2020</v>
      </c>
      <c r="H5712">
        <f>INDEX(CalLookUpTable,MATCH($B5712,CalLookUpRow,0),MATCH(H$1,CalLookUpColumn,0))</f>
        <v>4</v>
      </c>
      <c r="I5712">
        <f>INDEX(CalLookUpTable,MATCH($B5712,CalLookUpRow,0),MATCH(I$1,CalLookUpColumn,0))</f>
        <v>2</v>
      </c>
    </row>
    <row r="5713" spans="1:9" x14ac:dyDescent="0.25">
      <c r="A5713" s="7">
        <v>3</v>
      </c>
      <c r="B5713" s="8">
        <v>43929</v>
      </c>
      <c r="C5713" s="9" t="s">
        <v>6</v>
      </c>
      <c r="D5713" s="10">
        <v>3362.4569999999999</v>
      </c>
      <c r="E5713" s="10">
        <v>978.02599999999995</v>
      </c>
      <c r="F5713" t="str">
        <f>VLOOKUP(A5713,StoreLookup,2,FALSE)</f>
        <v>Store#3</v>
      </c>
      <c r="G5713">
        <f>INDEX(CalLookUpTable,MATCH($B5713,CalLookUpRow,0),MATCH(G$1,CalLookUpColumn,0))</f>
        <v>2020</v>
      </c>
      <c r="H5713">
        <f>INDEX(CalLookUpTable,MATCH($B5713,CalLookUpRow,0),MATCH(H$1,CalLookUpColumn,0))</f>
        <v>4</v>
      </c>
      <c r="I5713">
        <f>INDEX(CalLookUpTable,MATCH($B5713,CalLookUpRow,0),MATCH(I$1,CalLookUpColumn,0))</f>
        <v>2</v>
      </c>
    </row>
    <row r="5714" spans="1:9" x14ac:dyDescent="0.25">
      <c r="A5714" s="7">
        <v>3</v>
      </c>
      <c r="B5714" s="8">
        <v>43930</v>
      </c>
      <c r="C5714" s="9" t="s">
        <v>5</v>
      </c>
      <c r="D5714" s="10">
        <v>4517.0019999999995</v>
      </c>
      <c r="E5714" s="10">
        <v>3944.4719999999998</v>
      </c>
      <c r="F5714" t="str">
        <f>VLOOKUP(A5714,StoreLookup,2,FALSE)</f>
        <v>Store#3</v>
      </c>
      <c r="G5714">
        <f>INDEX(CalLookUpTable,MATCH($B5714,CalLookUpRow,0),MATCH(G$1,CalLookUpColumn,0))</f>
        <v>2020</v>
      </c>
      <c r="H5714">
        <f>INDEX(CalLookUpTable,MATCH($B5714,CalLookUpRow,0),MATCH(H$1,CalLookUpColumn,0))</f>
        <v>4</v>
      </c>
      <c r="I5714">
        <f>INDEX(CalLookUpTable,MATCH($B5714,CalLookUpRow,0),MATCH(I$1,CalLookUpColumn,0))</f>
        <v>2</v>
      </c>
    </row>
    <row r="5715" spans="1:9" x14ac:dyDescent="0.25">
      <c r="A5715" s="7">
        <v>3</v>
      </c>
      <c r="B5715" s="8">
        <v>43930</v>
      </c>
      <c r="C5715" s="9" t="s">
        <v>3</v>
      </c>
      <c r="D5715" s="10">
        <v>0</v>
      </c>
      <c r="E5715" s="10">
        <v>743.75699999999995</v>
      </c>
      <c r="F5715" t="str">
        <f>VLOOKUP(A5715,StoreLookup,2,FALSE)</f>
        <v>Store#3</v>
      </c>
      <c r="G5715">
        <f>INDEX(CalLookUpTable,MATCH($B5715,CalLookUpRow,0),MATCH(G$1,CalLookUpColumn,0))</f>
        <v>2020</v>
      </c>
      <c r="H5715">
        <f>INDEX(CalLookUpTable,MATCH($B5715,CalLookUpRow,0),MATCH(H$1,CalLookUpColumn,0))</f>
        <v>4</v>
      </c>
      <c r="I5715">
        <f>INDEX(CalLookUpTable,MATCH($B5715,CalLookUpRow,0),MATCH(I$1,CalLookUpColumn,0))</f>
        <v>2</v>
      </c>
    </row>
    <row r="5716" spans="1:9" x14ac:dyDescent="0.25">
      <c r="A5716" s="7">
        <v>3</v>
      </c>
      <c r="B5716" s="8">
        <v>43930</v>
      </c>
      <c r="C5716" s="9" t="s">
        <v>4</v>
      </c>
      <c r="D5716" s="10">
        <v>661.75900000000001</v>
      </c>
      <c r="E5716" s="10">
        <v>3692.9059999999995</v>
      </c>
      <c r="F5716" t="str">
        <f>VLOOKUP(A5716,StoreLookup,2,FALSE)</f>
        <v>Store#3</v>
      </c>
      <c r="G5716">
        <f>INDEX(CalLookUpTable,MATCH($B5716,CalLookUpRow,0),MATCH(G$1,CalLookUpColumn,0))</f>
        <v>2020</v>
      </c>
      <c r="H5716">
        <f>INDEX(CalLookUpTable,MATCH($B5716,CalLookUpRow,0),MATCH(H$1,CalLookUpColumn,0))</f>
        <v>4</v>
      </c>
      <c r="I5716">
        <f>INDEX(CalLookUpTable,MATCH($B5716,CalLookUpRow,0),MATCH(I$1,CalLookUpColumn,0))</f>
        <v>2</v>
      </c>
    </row>
    <row r="5717" spans="1:9" x14ac:dyDescent="0.25">
      <c r="A5717" s="7">
        <v>3</v>
      </c>
      <c r="B5717" s="8">
        <v>43930</v>
      </c>
      <c r="C5717" s="9" t="s">
        <v>6</v>
      </c>
      <c r="D5717" s="10">
        <v>3420.172</v>
      </c>
      <c r="E5717" s="10">
        <v>1069.348</v>
      </c>
      <c r="F5717" t="str">
        <f>VLOOKUP(A5717,StoreLookup,2,FALSE)</f>
        <v>Store#3</v>
      </c>
      <c r="G5717">
        <f>INDEX(CalLookUpTable,MATCH($B5717,CalLookUpRow,0),MATCH(G$1,CalLookUpColumn,0))</f>
        <v>2020</v>
      </c>
      <c r="H5717">
        <f>INDEX(CalLookUpTable,MATCH($B5717,CalLookUpRow,0),MATCH(H$1,CalLookUpColumn,0))</f>
        <v>4</v>
      </c>
      <c r="I5717">
        <f>INDEX(CalLookUpTable,MATCH($B5717,CalLookUpRow,0),MATCH(I$1,CalLookUpColumn,0))</f>
        <v>2</v>
      </c>
    </row>
    <row r="5718" spans="1:9" x14ac:dyDescent="0.25">
      <c r="A5718" s="7">
        <v>3</v>
      </c>
      <c r="B5718" s="8">
        <v>43931</v>
      </c>
      <c r="C5718" s="9" t="s">
        <v>5</v>
      </c>
      <c r="D5718" s="10">
        <v>4274.5709999999999</v>
      </c>
      <c r="E5718" s="10">
        <v>4007.7309999999998</v>
      </c>
      <c r="F5718" t="str">
        <f>VLOOKUP(A5718,StoreLookup,2,FALSE)</f>
        <v>Store#3</v>
      </c>
      <c r="G5718">
        <f>INDEX(CalLookUpTable,MATCH($B5718,CalLookUpRow,0),MATCH(G$1,CalLookUpColumn,0))</f>
        <v>2020</v>
      </c>
      <c r="H5718">
        <f>INDEX(CalLookUpTable,MATCH($B5718,CalLookUpRow,0),MATCH(H$1,CalLookUpColumn,0))</f>
        <v>4</v>
      </c>
      <c r="I5718">
        <f>INDEX(CalLookUpTable,MATCH($B5718,CalLookUpRow,0),MATCH(I$1,CalLookUpColumn,0))</f>
        <v>2</v>
      </c>
    </row>
    <row r="5719" spans="1:9" x14ac:dyDescent="0.25">
      <c r="A5719" s="7">
        <v>3</v>
      </c>
      <c r="B5719" s="8">
        <v>43931</v>
      </c>
      <c r="C5719" s="9" t="s">
        <v>4</v>
      </c>
      <c r="D5719" s="10">
        <v>915.92199999999991</v>
      </c>
      <c r="E5719" s="10">
        <v>4169.5149999999994</v>
      </c>
      <c r="F5719" t="str">
        <f>VLOOKUP(A5719,StoreLookup,2,FALSE)</f>
        <v>Store#3</v>
      </c>
      <c r="G5719">
        <f>INDEX(CalLookUpTable,MATCH($B5719,CalLookUpRow,0),MATCH(G$1,CalLookUpColumn,0))</f>
        <v>2020</v>
      </c>
      <c r="H5719">
        <f>INDEX(CalLookUpTable,MATCH($B5719,CalLookUpRow,0),MATCH(H$1,CalLookUpColumn,0))</f>
        <v>4</v>
      </c>
      <c r="I5719">
        <f>INDEX(CalLookUpTable,MATCH($B5719,CalLookUpRow,0),MATCH(I$1,CalLookUpColumn,0))</f>
        <v>2</v>
      </c>
    </row>
    <row r="5720" spans="1:9" x14ac:dyDescent="0.25">
      <c r="A5720" s="7">
        <v>3</v>
      </c>
      <c r="B5720" s="8">
        <v>43931</v>
      </c>
      <c r="C5720" s="9" t="s">
        <v>6</v>
      </c>
      <c r="D5720" s="10">
        <v>5253.451</v>
      </c>
      <c r="E5720" s="10">
        <v>1064.5249999999999</v>
      </c>
      <c r="F5720" t="str">
        <f>VLOOKUP(A5720,StoreLookup,2,FALSE)</f>
        <v>Store#3</v>
      </c>
      <c r="G5720">
        <f>INDEX(CalLookUpTable,MATCH($B5720,CalLookUpRow,0),MATCH(G$1,CalLookUpColumn,0))</f>
        <v>2020</v>
      </c>
      <c r="H5720">
        <f>INDEX(CalLookUpTable,MATCH($B5720,CalLookUpRow,0),MATCH(H$1,CalLookUpColumn,0))</f>
        <v>4</v>
      </c>
      <c r="I5720">
        <f>INDEX(CalLookUpTable,MATCH($B5720,CalLookUpRow,0),MATCH(I$1,CalLookUpColumn,0))</f>
        <v>2</v>
      </c>
    </row>
    <row r="5721" spans="1:9" x14ac:dyDescent="0.25">
      <c r="A5721" s="7">
        <v>3</v>
      </c>
      <c r="B5721" s="8">
        <v>43931</v>
      </c>
      <c r="C5721" s="9" t="s">
        <v>3</v>
      </c>
      <c r="D5721" s="10">
        <v>46.346999999999994</v>
      </c>
      <c r="E5721" s="10">
        <v>21.686</v>
      </c>
      <c r="F5721" t="str">
        <f>VLOOKUP(A5721,StoreLookup,2,FALSE)</f>
        <v>Store#3</v>
      </c>
      <c r="G5721">
        <f>INDEX(CalLookUpTable,MATCH($B5721,CalLookUpRow,0),MATCH(G$1,CalLookUpColumn,0))</f>
        <v>2020</v>
      </c>
      <c r="H5721">
        <f>INDEX(CalLookUpTable,MATCH($B5721,CalLookUpRow,0),MATCH(H$1,CalLookUpColumn,0))</f>
        <v>4</v>
      </c>
      <c r="I5721">
        <f>INDEX(CalLookUpTable,MATCH($B5721,CalLookUpRow,0),MATCH(I$1,CalLookUpColumn,0))</f>
        <v>2</v>
      </c>
    </row>
    <row r="5722" spans="1:9" x14ac:dyDescent="0.25">
      <c r="A5722" s="7">
        <v>3</v>
      </c>
      <c r="B5722" s="8">
        <v>43932</v>
      </c>
      <c r="C5722" s="9" t="s">
        <v>3</v>
      </c>
      <c r="D5722" s="10">
        <v>0</v>
      </c>
      <c r="E5722" s="10">
        <v>0</v>
      </c>
      <c r="F5722" t="str">
        <f>VLOOKUP(A5722,StoreLookup,2,FALSE)</f>
        <v>Store#3</v>
      </c>
      <c r="G5722">
        <f>INDEX(CalLookUpTable,MATCH($B5722,CalLookUpRow,0),MATCH(G$1,CalLookUpColumn,0))</f>
        <v>2020</v>
      </c>
      <c r="H5722">
        <f>INDEX(CalLookUpTable,MATCH($B5722,CalLookUpRow,0),MATCH(H$1,CalLookUpColumn,0))</f>
        <v>4</v>
      </c>
      <c r="I5722">
        <f>INDEX(CalLookUpTable,MATCH($B5722,CalLookUpRow,0),MATCH(I$1,CalLookUpColumn,0))</f>
        <v>2</v>
      </c>
    </row>
    <row r="5723" spans="1:9" x14ac:dyDescent="0.25">
      <c r="A5723" s="7">
        <v>3</v>
      </c>
      <c r="B5723" s="8">
        <v>43932</v>
      </c>
      <c r="C5723" s="9" t="s">
        <v>4</v>
      </c>
      <c r="D5723" s="10">
        <v>137.30500000000001</v>
      </c>
      <c r="E5723" s="10">
        <v>4022.1859999999992</v>
      </c>
      <c r="F5723" t="str">
        <f>VLOOKUP(A5723,StoreLookup,2,FALSE)</f>
        <v>Store#3</v>
      </c>
      <c r="G5723">
        <f>INDEX(CalLookUpTable,MATCH($B5723,CalLookUpRow,0),MATCH(G$1,CalLookUpColumn,0))</f>
        <v>2020</v>
      </c>
      <c r="H5723">
        <f>INDEX(CalLookUpTable,MATCH($B5723,CalLookUpRow,0),MATCH(H$1,CalLookUpColumn,0))</f>
        <v>4</v>
      </c>
      <c r="I5723">
        <f>INDEX(CalLookUpTable,MATCH($B5723,CalLookUpRow,0),MATCH(I$1,CalLookUpColumn,0))</f>
        <v>2</v>
      </c>
    </row>
    <row r="5724" spans="1:9" x14ac:dyDescent="0.25">
      <c r="A5724" s="7">
        <v>3</v>
      </c>
      <c r="B5724" s="8">
        <v>43932</v>
      </c>
      <c r="C5724" s="9" t="s">
        <v>6</v>
      </c>
      <c r="D5724" s="10">
        <v>3348.0859999999993</v>
      </c>
      <c r="E5724" s="10">
        <v>864.36699999999996</v>
      </c>
      <c r="F5724" t="str">
        <f>VLOOKUP(A5724,StoreLookup,2,FALSE)</f>
        <v>Store#3</v>
      </c>
      <c r="G5724">
        <f>INDEX(CalLookUpTable,MATCH($B5724,CalLookUpRow,0),MATCH(G$1,CalLookUpColumn,0))</f>
        <v>2020</v>
      </c>
      <c r="H5724">
        <f>INDEX(CalLookUpTable,MATCH($B5724,CalLookUpRow,0),MATCH(H$1,CalLookUpColumn,0))</f>
        <v>4</v>
      </c>
      <c r="I5724">
        <f>INDEX(CalLookUpTable,MATCH($B5724,CalLookUpRow,0),MATCH(I$1,CalLookUpColumn,0))</f>
        <v>2</v>
      </c>
    </row>
    <row r="5725" spans="1:9" x14ac:dyDescent="0.25">
      <c r="A5725" s="7">
        <v>3</v>
      </c>
      <c r="B5725" s="8">
        <v>43932</v>
      </c>
      <c r="C5725" s="9" t="s">
        <v>5</v>
      </c>
      <c r="D5725" s="10">
        <v>4115.8459999999995</v>
      </c>
      <c r="E5725" s="10">
        <v>3704.5609999999992</v>
      </c>
      <c r="F5725" t="str">
        <f>VLOOKUP(A5725,StoreLookup,2,FALSE)</f>
        <v>Store#3</v>
      </c>
      <c r="G5725">
        <f>INDEX(CalLookUpTable,MATCH($B5725,CalLookUpRow,0),MATCH(G$1,CalLookUpColumn,0))</f>
        <v>2020</v>
      </c>
      <c r="H5725">
        <f>INDEX(CalLookUpTable,MATCH($B5725,CalLookUpRow,0),MATCH(H$1,CalLookUpColumn,0))</f>
        <v>4</v>
      </c>
      <c r="I5725">
        <f>INDEX(CalLookUpTable,MATCH($B5725,CalLookUpRow,0),MATCH(I$1,CalLookUpColumn,0))</f>
        <v>2</v>
      </c>
    </row>
    <row r="5726" spans="1:9" x14ac:dyDescent="0.25">
      <c r="A5726" s="7">
        <v>3</v>
      </c>
      <c r="B5726" s="8">
        <v>43933</v>
      </c>
      <c r="C5726" s="9" t="s">
        <v>6</v>
      </c>
      <c r="D5726" s="10">
        <v>1722.0139999999999</v>
      </c>
      <c r="E5726" s="10">
        <v>607.45299999999997</v>
      </c>
      <c r="F5726" t="str">
        <f>VLOOKUP(A5726,StoreLookup,2,FALSE)</f>
        <v>Store#3</v>
      </c>
      <c r="G5726">
        <f>INDEX(CalLookUpTable,MATCH($B5726,CalLookUpRow,0),MATCH(G$1,CalLookUpColumn,0))</f>
        <v>2020</v>
      </c>
      <c r="H5726">
        <f>INDEX(CalLookUpTable,MATCH($B5726,CalLookUpRow,0),MATCH(H$1,CalLookUpColumn,0))</f>
        <v>4</v>
      </c>
      <c r="I5726">
        <f>INDEX(CalLookUpTable,MATCH($B5726,CalLookUpRow,0),MATCH(I$1,CalLookUpColumn,0))</f>
        <v>2</v>
      </c>
    </row>
    <row r="5727" spans="1:9" x14ac:dyDescent="0.25">
      <c r="A5727" s="7">
        <v>3</v>
      </c>
      <c r="B5727" s="8">
        <v>43933</v>
      </c>
      <c r="C5727" s="9" t="s">
        <v>4</v>
      </c>
      <c r="D5727" s="10">
        <v>6.2930000000000001</v>
      </c>
      <c r="E5727" s="10">
        <v>3071.4179999999997</v>
      </c>
      <c r="F5727" t="str">
        <f>VLOOKUP(A5727,StoreLookup,2,FALSE)</f>
        <v>Store#3</v>
      </c>
      <c r="G5727">
        <f>INDEX(CalLookUpTable,MATCH($B5727,CalLookUpRow,0),MATCH(G$1,CalLookUpColumn,0))</f>
        <v>2020</v>
      </c>
      <c r="H5727">
        <f>INDEX(CalLookUpTable,MATCH($B5727,CalLookUpRow,0),MATCH(H$1,CalLookUpColumn,0))</f>
        <v>4</v>
      </c>
      <c r="I5727">
        <f>INDEX(CalLookUpTable,MATCH($B5727,CalLookUpRow,0),MATCH(I$1,CalLookUpColumn,0))</f>
        <v>2</v>
      </c>
    </row>
    <row r="5728" spans="1:9" x14ac:dyDescent="0.25">
      <c r="A5728" s="7">
        <v>3</v>
      </c>
      <c r="B5728" s="8">
        <v>43933</v>
      </c>
      <c r="C5728" s="9" t="s">
        <v>3</v>
      </c>
      <c r="D5728" s="10">
        <v>0</v>
      </c>
      <c r="E5728" s="10">
        <v>10.836</v>
      </c>
      <c r="F5728" t="str">
        <f>VLOOKUP(A5728,StoreLookup,2,FALSE)</f>
        <v>Store#3</v>
      </c>
      <c r="G5728">
        <f>INDEX(CalLookUpTable,MATCH($B5728,CalLookUpRow,0),MATCH(G$1,CalLookUpColumn,0))</f>
        <v>2020</v>
      </c>
      <c r="H5728">
        <f>INDEX(CalLookUpTable,MATCH($B5728,CalLookUpRow,0),MATCH(H$1,CalLookUpColumn,0))</f>
        <v>4</v>
      </c>
      <c r="I5728">
        <f>INDEX(CalLookUpTable,MATCH($B5728,CalLookUpRow,0),MATCH(I$1,CalLookUpColumn,0))</f>
        <v>2</v>
      </c>
    </row>
    <row r="5729" spans="1:9" x14ac:dyDescent="0.25">
      <c r="A5729" s="7">
        <v>3</v>
      </c>
      <c r="B5729" s="8">
        <v>43933</v>
      </c>
      <c r="C5729" s="9" t="s">
        <v>5</v>
      </c>
      <c r="D5729" s="10">
        <v>2374.645</v>
      </c>
      <c r="E5729" s="10">
        <v>2963.9399999999996</v>
      </c>
      <c r="F5729" t="str">
        <f>VLOOKUP(A5729,StoreLookup,2,FALSE)</f>
        <v>Store#3</v>
      </c>
      <c r="G5729">
        <f>INDEX(CalLookUpTable,MATCH($B5729,CalLookUpRow,0),MATCH(G$1,CalLookUpColumn,0))</f>
        <v>2020</v>
      </c>
      <c r="H5729">
        <f>INDEX(CalLookUpTable,MATCH($B5729,CalLookUpRow,0),MATCH(H$1,CalLookUpColumn,0))</f>
        <v>4</v>
      </c>
      <c r="I5729">
        <f>INDEX(CalLookUpTable,MATCH($B5729,CalLookUpRow,0),MATCH(I$1,CalLookUpColumn,0))</f>
        <v>2</v>
      </c>
    </row>
    <row r="5730" spans="1:9" x14ac:dyDescent="0.25">
      <c r="A5730" s="7">
        <v>3</v>
      </c>
      <c r="B5730" s="8">
        <v>43934</v>
      </c>
      <c r="C5730" s="9" t="s">
        <v>6</v>
      </c>
      <c r="D5730" s="10">
        <v>3353.567</v>
      </c>
      <c r="E5730" s="10">
        <v>1010.898</v>
      </c>
      <c r="F5730" t="str">
        <f>VLOOKUP(A5730,StoreLookup,2,FALSE)</f>
        <v>Store#3</v>
      </c>
      <c r="G5730">
        <f>INDEX(CalLookUpTable,MATCH($B5730,CalLookUpRow,0),MATCH(G$1,CalLookUpColumn,0))</f>
        <v>2020</v>
      </c>
      <c r="H5730">
        <f>INDEX(CalLookUpTable,MATCH($B5730,CalLookUpRow,0),MATCH(H$1,CalLookUpColumn,0))</f>
        <v>4</v>
      </c>
      <c r="I5730">
        <f>INDEX(CalLookUpTable,MATCH($B5730,CalLookUpRow,0),MATCH(I$1,CalLookUpColumn,0))</f>
        <v>3</v>
      </c>
    </row>
    <row r="5731" spans="1:9" x14ac:dyDescent="0.25">
      <c r="A5731" s="7">
        <v>3</v>
      </c>
      <c r="B5731" s="8">
        <v>43934</v>
      </c>
      <c r="C5731" s="9" t="s">
        <v>4</v>
      </c>
      <c r="D5731" s="10">
        <v>15.315999999999999</v>
      </c>
      <c r="E5731" s="10">
        <v>2862.37</v>
      </c>
      <c r="F5731" t="str">
        <f>VLOOKUP(A5731,StoreLookup,2,FALSE)</f>
        <v>Store#3</v>
      </c>
      <c r="G5731">
        <f>INDEX(CalLookUpTable,MATCH($B5731,CalLookUpRow,0),MATCH(G$1,CalLookUpColumn,0))</f>
        <v>2020</v>
      </c>
      <c r="H5731">
        <f>INDEX(CalLookUpTable,MATCH($B5731,CalLookUpRow,0),MATCH(H$1,CalLookUpColumn,0))</f>
        <v>4</v>
      </c>
      <c r="I5731">
        <f>INDEX(CalLookUpTable,MATCH($B5731,CalLookUpRow,0),MATCH(I$1,CalLookUpColumn,0))</f>
        <v>3</v>
      </c>
    </row>
    <row r="5732" spans="1:9" x14ac:dyDescent="0.25">
      <c r="A5732" s="7">
        <v>3</v>
      </c>
      <c r="B5732" s="8">
        <v>43934</v>
      </c>
      <c r="C5732" s="9" t="s">
        <v>3</v>
      </c>
      <c r="D5732" s="10">
        <v>8.9459999999999997</v>
      </c>
      <c r="E5732" s="10">
        <v>273.44799999999998</v>
      </c>
      <c r="F5732" t="str">
        <f>VLOOKUP(A5732,StoreLookup,2,FALSE)</f>
        <v>Store#3</v>
      </c>
      <c r="G5732">
        <f>INDEX(CalLookUpTable,MATCH($B5732,CalLookUpRow,0),MATCH(G$1,CalLookUpColumn,0))</f>
        <v>2020</v>
      </c>
      <c r="H5732">
        <f>INDEX(CalLookUpTable,MATCH($B5732,CalLookUpRow,0),MATCH(H$1,CalLookUpColumn,0))</f>
        <v>4</v>
      </c>
      <c r="I5732">
        <f>INDEX(CalLookUpTable,MATCH($B5732,CalLookUpRow,0),MATCH(I$1,CalLookUpColumn,0))</f>
        <v>3</v>
      </c>
    </row>
    <row r="5733" spans="1:9" x14ac:dyDescent="0.25">
      <c r="A5733" s="7">
        <v>3</v>
      </c>
      <c r="B5733" s="8">
        <v>43934</v>
      </c>
      <c r="C5733" s="9" t="s">
        <v>5</v>
      </c>
      <c r="D5733" s="10">
        <v>3553.2559999999999</v>
      </c>
      <c r="E5733" s="10">
        <v>2920.8059999999996</v>
      </c>
      <c r="F5733" t="str">
        <f>VLOOKUP(A5733,StoreLookup,2,FALSE)</f>
        <v>Store#3</v>
      </c>
      <c r="G5733">
        <f>INDEX(CalLookUpTable,MATCH($B5733,CalLookUpRow,0),MATCH(G$1,CalLookUpColumn,0))</f>
        <v>2020</v>
      </c>
      <c r="H5733">
        <f>INDEX(CalLookUpTable,MATCH($B5733,CalLookUpRow,0),MATCH(H$1,CalLookUpColumn,0))</f>
        <v>4</v>
      </c>
      <c r="I5733">
        <f>INDEX(CalLookUpTable,MATCH($B5733,CalLookUpRow,0),MATCH(I$1,CalLookUpColumn,0))</f>
        <v>3</v>
      </c>
    </row>
    <row r="5734" spans="1:9" x14ac:dyDescent="0.25">
      <c r="A5734" s="7">
        <v>3</v>
      </c>
      <c r="B5734" s="8">
        <v>43935</v>
      </c>
      <c r="C5734" s="9" t="s">
        <v>5</v>
      </c>
      <c r="D5734" s="10">
        <v>4294.7380000000003</v>
      </c>
      <c r="E5734" s="10">
        <v>3596.1170000000002</v>
      </c>
      <c r="F5734" t="str">
        <f>VLOOKUP(A5734,StoreLookup,2,FALSE)</f>
        <v>Store#3</v>
      </c>
      <c r="G5734">
        <f>INDEX(CalLookUpTable,MATCH($B5734,CalLookUpRow,0),MATCH(G$1,CalLookUpColumn,0))</f>
        <v>2020</v>
      </c>
      <c r="H5734">
        <f>INDEX(CalLookUpTable,MATCH($B5734,CalLookUpRow,0),MATCH(H$1,CalLookUpColumn,0))</f>
        <v>4</v>
      </c>
      <c r="I5734">
        <f>INDEX(CalLookUpTable,MATCH($B5734,CalLookUpRow,0),MATCH(I$1,CalLookUpColumn,0))</f>
        <v>3</v>
      </c>
    </row>
    <row r="5735" spans="1:9" x14ac:dyDescent="0.25">
      <c r="A5735" s="7">
        <v>3</v>
      </c>
      <c r="B5735" s="8">
        <v>43935</v>
      </c>
      <c r="C5735" s="9" t="s">
        <v>4</v>
      </c>
      <c r="D5735" s="10">
        <v>76.271999999999991</v>
      </c>
      <c r="E5735" s="10">
        <v>3029.0399999999995</v>
      </c>
      <c r="F5735" t="str">
        <f>VLOOKUP(A5735,StoreLookup,2,FALSE)</f>
        <v>Store#3</v>
      </c>
      <c r="G5735">
        <f>INDEX(CalLookUpTable,MATCH($B5735,CalLookUpRow,0),MATCH(G$1,CalLookUpColumn,0))</f>
        <v>2020</v>
      </c>
      <c r="H5735">
        <f>INDEX(CalLookUpTable,MATCH($B5735,CalLookUpRow,0),MATCH(H$1,CalLookUpColumn,0))</f>
        <v>4</v>
      </c>
      <c r="I5735">
        <f>INDEX(CalLookUpTable,MATCH($B5735,CalLookUpRow,0),MATCH(I$1,CalLookUpColumn,0))</f>
        <v>3</v>
      </c>
    </row>
    <row r="5736" spans="1:9" x14ac:dyDescent="0.25">
      <c r="A5736" s="7">
        <v>3</v>
      </c>
      <c r="B5736" s="8">
        <v>43935</v>
      </c>
      <c r="C5736" s="9" t="s">
        <v>6</v>
      </c>
      <c r="D5736" s="10">
        <v>4128.348</v>
      </c>
      <c r="E5736" s="10">
        <v>608.18100000000004</v>
      </c>
      <c r="F5736" t="str">
        <f>VLOOKUP(A5736,StoreLookup,2,FALSE)</f>
        <v>Store#3</v>
      </c>
      <c r="G5736">
        <f>INDEX(CalLookUpTable,MATCH($B5736,CalLookUpRow,0),MATCH(G$1,CalLookUpColumn,0))</f>
        <v>2020</v>
      </c>
      <c r="H5736">
        <f>INDEX(CalLookUpTable,MATCH($B5736,CalLookUpRow,0),MATCH(H$1,CalLookUpColumn,0))</f>
        <v>4</v>
      </c>
      <c r="I5736">
        <f>INDEX(CalLookUpTable,MATCH($B5736,CalLookUpRow,0),MATCH(I$1,CalLookUpColumn,0))</f>
        <v>3</v>
      </c>
    </row>
    <row r="5737" spans="1:9" x14ac:dyDescent="0.25">
      <c r="A5737" s="7">
        <v>3</v>
      </c>
      <c r="B5737" s="8">
        <v>43935</v>
      </c>
      <c r="C5737" s="9" t="s">
        <v>3</v>
      </c>
      <c r="D5737" s="10">
        <v>0</v>
      </c>
      <c r="E5737" s="10">
        <v>305.39599999999996</v>
      </c>
      <c r="F5737" t="str">
        <f>VLOOKUP(A5737,StoreLookup,2,FALSE)</f>
        <v>Store#3</v>
      </c>
      <c r="G5737">
        <f>INDEX(CalLookUpTable,MATCH($B5737,CalLookUpRow,0),MATCH(G$1,CalLookUpColumn,0))</f>
        <v>2020</v>
      </c>
      <c r="H5737">
        <f>INDEX(CalLookUpTable,MATCH($B5737,CalLookUpRow,0),MATCH(H$1,CalLookUpColumn,0))</f>
        <v>4</v>
      </c>
      <c r="I5737">
        <f>INDEX(CalLookUpTable,MATCH($B5737,CalLookUpRow,0),MATCH(I$1,CalLookUpColumn,0))</f>
        <v>3</v>
      </c>
    </row>
    <row r="5738" spans="1:9" x14ac:dyDescent="0.25">
      <c r="A5738" s="7">
        <v>3</v>
      </c>
      <c r="B5738" s="8">
        <v>43936</v>
      </c>
      <c r="C5738" s="9" t="s">
        <v>5</v>
      </c>
      <c r="D5738" s="10">
        <v>4416.579999999999</v>
      </c>
      <c r="E5738" s="10">
        <v>3677.6529999999998</v>
      </c>
      <c r="F5738" t="str">
        <f>VLOOKUP(A5738,StoreLookup,2,FALSE)</f>
        <v>Store#3</v>
      </c>
      <c r="G5738">
        <f>INDEX(CalLookUpTable,MATCH($B5738,CalLookUpRow,0),MATCH(G$1,CalLookUpColumn,0))</f>
        <v>2020</v>
      </c>
      <c r="H5738">
        <f>INDEX(CalLookUpTable,MATCH($B5738,CalLookUpRow,0),MATCH(H$1,CalLookUpColumn,0))</f>
        <v>4</v>
      </c>
      <c r="I5738">
        <f>INDEX(CalLookUpTable,MATCH($B5738,CalLookUpRow,0),MATCH(I$1,CalLookUpColumn,0))</f>
        <v>3</v>
      </c>
    </row>
    <row r="5739" spans="1:9" x14ac:dyDescent="0.25">
      <c r="A5739" s="7">
        <v>3</v>
      </c>
      <c r="B5739" s="8">
        <v>43936</v>
      </c>
      <c r="C5739" s="9" t="s">
        <v>4</v>
      </c>
      <c r="D5739" s="10">
        <v>49</v>
      </c>
      <c r="E5739" s="10">
        <v>4143.51</v>
      </c>
      <c r="F5739" t="str">
        <f>VLOOKUP(A5739,StoreLookup,2,FALSE)</f>
        <v>Store#3</v>
      </c>
      <c r="G5739">
        <f>INDEX(CalLookUpTable,MATCH($B5739,CalLookUpRow,0),MATCH(G$1,CalLookUpColumn,0))</f>
        <v>2020</v>
      </c>
      <c r="H5739">
        <f>INDEX(CalLookUpTable,MATCH($B5739,CalLookUpRow,0),MATCH(H$1,CalLookUpColumn,0))</f>
        <v>4</v>
      </c>
      <c r="I5739">
        <f>INDEX(CalLookUpTable,MATCH($B5739,CalLookUpRow,0),MATCH(I$1,CalLookUpColumn,0))</f>
        <v>3</v>
      </c>
    </row>
    <row r="5740" spans="1:9" x14ac:dyDescent="0.25">
      <c r="A5740" s="7">
        <v>3</v>
      </c>
      <c r="B5740" s="8">
        <v>43936</v>
      </c>
      <c r="C5740" s="9" t="s">
        <v>3</v>
      </c>
      <c r="D5740" s="10">
        <v>0</v>
      </c>
      <c r="E5740" s="10">
        <v>0</v>
      </c>
      <c r="F5740" t="str">
        <f>VLOOKUP(A5740,StoreLookup,2,FALSE)</f>
        <v>Store#3</v>
      </c>
      <c r="G5740">
        <f>INDEX(CalLookUpTable,MATCH($B5740,CalLookUpRow,0),MATCH(G$1,CalLookUpColumn,0))</f>
        <v>2020</v>
      </c>
      <c r="H5740">
        <f>INDEX(CalLookUpTable,MATCH($B5740,CalLookUpRow,0),MATCH(H$1,CalLookUpColumn,0))</f>
        <v>4</v>
      </c>
      <c r="I5740">
        <f>INDEX(CalLookUpTable,MATCH($B5740,CalLookUpRow,0),MATCH(I$1,CalLookUpColumn,0))</f>
        <v>3</v>
      </c>
    </row>
    <row r="5741" spans="1:9" x14ac:dyDescent="0.25">
      <c r="A5741" s="7">
        <v>3</v>
      </c>
      <c r="B5741" s="8">
        <v>43936</v>
      </c>
      <c r="C5741" s="9" t="s">
        <v>6</v>
      </c>
      <c r="D5741" s="10">
        <v>4323.0950000000003</v>
      </c>
      <c r="E5741" s="10">
        <v>876.89699999999993</v>
      </c>
      <c r="F5741" t="str">
        <f>VLOOKUP(A5741,StoreLookup,2,FALSE)</f>
        <v>Store#3</v>
      </c>
      <c r="G5741">
        <f>INDEX(CalLookUpTable,MATCH($B5741,CalLookUpRow,0),MATCH(G$1,CalLookUpColumn,0))</f>
        <v>2020</v>
      </c>
      <c r="H5741">
        <f>INDEX(CalLookUpTable,MATCH($B5741,CalLookUpRow,0),MATCH(H$1,CalLookUpColumn,0))</f>
        <v>4</v>
      </c>
      <c r="I5741">
        <f>INDEX(CalLookUpTable,MATCH($B5741,CalLookUpRow,0),MATCH(I$1,CalLookUpColumn,0))</f>
        <v>3</v>
      </c>
    </row>
    <row r="5742" spans="1:9" x14ac:dyDescent="0.25">
      <c r="A5742" s="7">
        <v>3</v>
      </c>
      <c r="B5742" s="8">
        <v>43937</v>
      </c>
      <c r="C5742" s="9" t="s">
        <v>5</v>
      </c>
      <c r="D5742" s="10">
        <v>4887.2529999999997</v>
      </c>
      <c r="E5742" s="10">
        <v>3748.0099999999998</v>
      </c>
      <c r="F5742" t="str">
        <f>VLOOKUP(A5742,StoreLookup,2,FALSE)</f>
        <v>Store#3</v>
      </c>
      <c r="G5742">
        <f>INDEX(CalLookUpTable,MATCH($B5742,CalLookUpRow,0),MATCH(G$1,CalLookUpColumn,0))</f>
        <v>2020</v>
      </c>
      <c r="H5742">
        <f>INDEX(CalLookUpTable,MATCH($B5742,CalLookUpRow,0),MATCH(H$1,CalLookUpColumn,0))</f>
        <v>4</v>
      </c>
      <c r="I5742">
        <f>INDEX(CalLookUpTable,MATCH($B5742,CalLookUpRow,0),MATCH(I$1,CalLookUpColumn,0))</f>
        <v>3</v>
      </c>
    </row>
    <row r="5743" spans="1:9" x14ac:dyDescent="0.25">
      <c r="A5743" s="7">
        <v>3</v>
      </c>
      <c r="B5743" s="8">
        <v>43937</v>
      </c>
      <c r="C5743" s="9" t="s">
        <v>6</v>
      </c>
      <c r="D5743" s="10">
        <v>4530.1829999999991</v>
      </c>
      <c r="E5743" s="10">
        <v>949.851</v>
      </c>
      <c r="F5743" t="str">
        <f>VLOOKUP(A5743,StoreLookup,2,FALSE)</f>
        <v>Store#3</v>
      </c>
      <c r="G5743">
        <f>INDEX(CalLookUpTable,MATCH($B5743,CalLookUpRow,0),MATCH(G$1,CalLookUpColumn,0))</f>
        <v>2020</v>
      </c>
      <c r="H5743">
        <f>INDEX(CalLookUpTable,MATCH($B5743,CalLookUpRow,0),MATCH(H$1,CalLookUpColumn,0))</f>
        <v>4</v>
      </c>
      <c r="I5743">
        <f>INDEX(CalLookUpTable,MATCH($B5743,CalLookUpRow,0),MATCH(I$1,CalLookUpColumn,0))</f>
        <v>3</v>
      </c>
    </row>
    <row r="5744" spans="1:9" x14ac:dyDescent="0.25">
      <c r="A5744" s="7">
        <v>3</v>
      </c>
      <c r="B5744" s="8">
        <v>43937</v>
      </c>
      <c r="C5744" s="9" t="s">
        <v>3</v>
      </c>
      <c r="D5744" s="10">
        <v>0</v>
      </c>
      <c r="E5744" s="10">
        <v>336.399</v>
      </c>
      <c r="F5744" t="str">
        <f>VLOOKUP(A5744,StoreLookup,2,FALSE)</f>
        <v>Store#3</v>
      </c>
      <c r="G5744">
        <f>INDEX(CalLookUpTable,MATCH($B5744,CalLookUpRow,0),MATCH(G$1,CalLookUpColumn,0))</f>
        <v>2020</v>
      </c>
      <c r="H5744">
        <f>INDEX(CalLookUpTable,MATCH($B5744,CalLookUpRow,0),MATCH(H$1,CalLookUpColumn,0))</f>
        <v>4</v>
      </c>
      <c r="I5744">
        <f>INDEX(CalLookUpTable,MATCH($B5744,CalLookUpRow,0),MATCH(I$1,CalLookUpColumn,0))</f>
        <v>3</v>
      </c>
    </row>
    <row r="5745" spans="1:9" x14ac:dyDescent="0.25">
      <c r="A5745" s="7">
        <v>3</v>
      </c>
      <c r="B5745" s="8">
        <v>43937</v>
      </c>
      <c r="C5745" s="9" t="s">
        <v>4</v>
      </c>
      <c r="D5745" s="10">
        <v>147.73499999999999</v>
      </c>
      <c r="E5745" s="10">
        <v>4204.1509999999998</v>
      </c>
      <c r="F5745" t="str">
        <f>VLOOKUP(A5745,StoreLookup,2,FALSE)</f>
        <v>Store#3</v>
      </c>
      <c r="G5745">
        <f>INDEX(CalLookUpTable,MATCH($B5745,CalLookUpRow,0),MATCH(G$1,CalLookUpColumn,0))</f>
        <v>2020</v>
      </c>
      <c r="H5745">
        <f>INDEX(CalLookUpTable,MATCH($B5745,CalLookUpRow,0),MATCH(H$1,CalLookUpColumn,0))</f>
        <v>4</v>
      </c>
      <c r="I5745">
        <f>INDEX(CalLookUpTable,MATCH($B5745,CalLookUpRow,0),MATCH(I$1,CalLookUpColumn,0))</f>
        <v>3</v>
      </c>
    </row>
    <row r="5746" spans="1:9" x14ac:dyDescent="0.25">
      <c r="A5746" s="7">
        <v>3</v>
      </c>
      <c r="B5746" s="8">
        <v>43938</v>
      </c>
      <c r="C5746" s="9" t="s">
        <v>6</v>
      </c>
      <c r="D5746" s="10">
        <v>4835.6279999999997</v>
      </c>
      <c r="E5746" s="10">
        <v>1128.491</v>
      </c>
      <c r="F5746" t="str">
        <f>VLOOKUP(A5746,StoreLookup,2,FALSE)</f>
        <v>Store#3</v>
      </c>
      <c r="G5746">
        <f>INDEX(CalLookUpTable,MATCH($B5746,CalLookUpRow,0),MATCH(G$1,CalLookUpColumn,0))</f>
        <v>2020</v>
      </c>
      <c r="H5746">
        <f>INDEX(CalLookUpTable,MATCH($B5746,CalLookUpRow,0),MATCH(H$1,CalLookUpColumn,0))</f>
        <v>4</v>
      </c>
      <c r="I5746">
        <f>INDEX(CalLookUpTable,MATCH($B5746,CalLookUpRow,0),MATCH(I$1,CalLookUpColumn,0))</f>
        <v>3</v>
      </c>
    </row>
    <row r="5747" spans="1:9" x14ac:dyDescent="0.25">
      <c r="A5747" s="7">
        <v>3</v>
      </c>
      <c r="B5747" s="8">
        <v>43938</v>
      </c>
      <c r="C5747" s="9" t="s">
        <v>4</v>
      </c>
      <c r="D5747" s="10">
        <v>560.63</v>
      </c>
      <c r="E5747" s="10">
        <v>4100.6350000000002</v>
      </c>
      <c r="F5747" t="str">
        <f>VLOOKUP(A5747,StoreLookup,2,FALSE)</f>
        <v>Store#3</v>
      </c>
      <c r="G5747">
        <f>INDEX(CalLookUpTable,MATCH($B5747,CalLookUpRow,0),MATCH(G$1,CalLookUpColumn,0))</f>
        <v>2020</v>
      </c>
      <c r="H5747">
        <f>INDEX(CalLookUpTable,MATCH($B5747,CalLookUpRow,0),MATCH(H$1,CalLookUpColumn,0))</f>
        <v>4</v>
      </c>
      <c r="I5747">
        <f>INDEX(CalLookUpTable,MATCH($B5747,CalLookUpRow,0),MATCH(I$1,CalLookUpColumn,0))</f>
        <v>3</v>
      </c>
    </row>
    <row r="5748" spans="1:9" x14ac:dyDescent="0.25">
      <c r="A5748" s="7">
        <v>3</v>
      </c>
      <c r="B5748" s="8">
        <v>43938</v>
      </c>
      <c r="C5748" s="9" t="s">
        <v>3</v>
      </c>
      <c r="D5748" s="10">
        <v>771.68000000000006</v>
      </c>
      <c r="E5748" s="10">
        <v>161.553</v>
      </c>
      <c r="F5748" t="str">
        <f>VLOOKUP(A5748,StoreLookup,2,FALSE)</f>
        <v>Store#3</v>
      </c>
      <c r="G5748">
        <f>INDEX(CalLookUpTable,MATCH($B5748,CalLookUpRow,0),MATCH(G$1,CalLookUpColumn,0))</f>
        <v>2020</v>
      </c>
      <c r="H5748">
        <f>INDEX(CalLookUpTable,MATCH($B5748,CalLookUpRow,0),MATCH(H$1,CalLookUpColumn,0))</f>
        <v>4</v>
      </c>
      <c r="I5748">
        <f>INDEX(CalLookUpTable,MATCH($B5748,CalLookUpRow,0),MATCH(I$1,CalLookUpColumn,0))</f>
        <v>3</v>
      </c>
    </row>
    <row r="5749" spans="1:9" x14ac:dyDescent="0.25">
      <c r="A5749" s="7">
        <v>3</v>
      </c>
      <c r="B5749" s="8">
        <v>43938</v>
      </c>
      <c r="C5749" s="9" t="s">
        <v>5</v>
      </c>
      <c r="D5749" s="10">
        <v>5327.1539999999995</v>
      </c>
      <c r="E5749" s="10">
        <v>3795.8969999999999</v>
      </c>
      <c r="F5749" t="str">
        <f>VLOOKUP(A5749,StoreLookup,2,FALSE)</f>
        <v>Store#3</v>
      </c>
      <c r="G5749">
        <f>INDEX(CalLookUpTable,MATCH($B5749,CalLookUpRow,0),MATCH(G$1,CalLookUpColumn,0))</f>
        <v>2020</v>
      </c>
      <c r="H5749">
        <f>INDEX(CalLookUpTable,MATCH($B5749,CalLookUpRow,0),MATCH(H$1,CalLookUpColumn,0))</f>
        <v>4</v>
      </c>
      <c r="I5749">
        <f>INDEX(CalLookUpTable,MATCH($B5749,CalLookUpRow,0),MATCH(I$1,CalLookUpColumn,0))</f>
        <v>3</v>
      </c>
    </row>
    <row r="5750" spans="1:9" x14ac:dyDescent="0.25">
      <c r="A5750" s="7">
        <v>3</v>
      </c>
      <c r="B5750" s="8">
        <v>43939</v>
      </c>
      <c r="C5750" s="9" t="s">
        <v>5</v>
      </c>
      <c r="D5750" s="10">
        <v>4949.5179999999991</v>
      </c>
      <c r="E5750" s="10">
        <v>3258.57</v>
      </c>
      <c r="F5750" t="str">
        <f>VLOOKUP(A5750,StoreLookup,2,FALSE)</f>
        <v>Store#3</v>
      </c>
      <c r="G5750">
        <f>INDEX(CalLookUpTable,MATCH($B5750,CalLookUpRow,0),MATCH(G$1,CalLookUpColumn,0))</f>
        <v>2020</v>
      </c>
      <c r="H5750">
        <f>INDEX(CalLookUpTable,MATCH($B5750,CalLookUpRow,0),MATCH(H$1,CalLookUpColumn,0))</f>
        <v>4</v>
      </c>
      <c r="I5750">
        <f>INDEX(CalLookUpTable,MATCH($B5750,CalLookUpRow,0),MATCH(I$1,CalLookUpColumn,0))</f>
        <v>3</v>
      </c>
    </row>
    <row r="5751" spans="1:9" x14ac:dyDescent="0.25">
      <c r="A5751" s="7">
        <v>3</v>
      </c>
      <c r="B5751" s="8">
        <v>43939</v>
      </c>
      <c r="C5751" s="9" t="s">
        <v>6</v>
      </c>
      <c r="D5751" s="10">
        <v>4583.1729999999998</v>
      </c>
      <c r="E5751" s="10">
        <v>971.92199999999991</v>
      </c>
      <c r="F5751" t="str">
        <f>VLOOKUP(A5751,StoreLookup,2,FALSE)</f>
        <v>Store#3</v>
      </c>
      <c r="G5751">
        <f>INDEX(CalLookUpTable,MATCH($B5751,CalLookUpRow,0),MATCH(G$1,CalLookUpColumn,0))</f>
        <v>2020</v>
      </c>
      <c r="H5751">
        <f>INDEX(CalLookUpTable,MATCH($B5751,CalLookUpRow,0),MATCH(H$1,CalLookUpColumn,0))</f>
        <v>4</v>
      </c>
      <c r="I5751">
        <f>INDEX(CalLookUpTable,MATCH($B5751,CalLookUpRow,0),MATCH(I$1,CalLookUpColumn,0))</f>
        <v>3</v>
      </c>
    </row>
    <row r="5752" spans="1:9" x14ac:dyDescent="0.25">
      <c r="A5752" s="7">
        <v>3</v>
      </c>
      <c r="B5752" s="8">
        <v>43939</v>
      </c>
      <c r="C5752" s="9" t="s">
        <v>4</v>
      </c>
      <c r="D5752" s="10">
        <v>464.91199999999992</v>
      </c>
      <c r="E5752" s="10">
        <v>3960.9079999999994</v>
      </c>
      <c r="F5752" t="str">
        <f>VLOOKUP(A5752,StoreLookup,2,FALSE)</f>
        <v>Store#3</v>
      </c>
      <c r="G5752">
        <f>INDEX(CalLookUpTable,MATCH($B5752,CalLookUpRow,0),MATCH(G$1,CalLookUpColumn,0))</f>
        <v>2020</v>
      </c>
      <c r="H5752">
        <f>INDEX(CalLookUpTable,MATCH($B5752,CalLookUpRow,0),MATCH(H$1,CalLookUpColumn,0))</f>
        <v>4</v>
      </c>
      <c r="I5752">
        <f>INDEX(CalLookUpTable,MATCH($B5752,CalLookUpRow,0),MATCH(I$1,CalLookUpColumn,0))</f>
        <v>3</v>
      </c>
    </row>
    <row r="5753" spans="1:9" x14ac:dyDescent="0.25">
      <c r="A5753" s="7">
        <v>3</v>
      </c>
      <c r="B5753" s="8">
        <v>43939</v>
      </c>
      <c r="C5753" s="9" t="s">
        <v>3</v>
      </c>
      <c r="D5753" s="10">
        <v>29.294999999999998</v>
      </c>
      <c r="E5753" s="10">
        <v>189.54599999999996</v>
      </c>
      <c r="F5753" t="str">
        <f>VLOOKUP(A5753,StoreLookup,2,FALSE)</f>
        <v>Store#3</v>
      </c>
      <c r="G5753">
        <f>INDEX(CalLookUpTable,MATCH($B5753,CalLookUpRow,0),MATCH(G$1,CalLookUpColumn,0))</f>
        <v>2020</v>
      </c>
      <c r="H5753">
        <f>INDEX(CalLookUpTable,MATCH($B5753,CalLookUpRow,0),MATCH(H$1,CalLookUpColumn,0))</f>
        <v>4</v>
      </c>
      <c r="I5753">
        <f>INDEX(CalLookUpTable,MATCH($B5753,CalLookUpRow,0),MATCH(I$1,CalLookUpColumn,0))</f>
        <v>3</v>
      </c>
    </row>
    <row r="5754" spans="1:9" x14ac:dyDescent="0.25">
      <c r="A5754" s="7">
        <v>3</v>
      </c>
      <c r="B5754" s="8">
        <v>43940</v>
      </c>
      <c r="C5754" s="9" t="s">
        <v>3</v>
      </c>
      <c r="D5754" s="10">
        <v>0</v>
      </c>
      <c r="E5754" s="10">
        <v>32.171999999999997</v>
      </c>
      <c r="F5754" t="str">
        <f>VLOOKUP(A5754,StoreLookup,2,FALSE)</f>
        <v>Store#3</v>
      </c>
      <c r="G5754">
        <f>INDEX(CalLookUpTable,MATCH($B5754,CalLookUpRow,0),MATCH(G$1,CalLookUpColumn,0))</f>
        <v>2020</v>
      </c>
      <c r="H5754">
        <f>INDEX(CalLookUpTable,MATCH($B5754,CalLookUpRow,0),MATCH(H$1,CalLookUpColumn,0))</f>
        <v>4</v>
      </c>
      <c r="I5754">
        <f>INDEX(CalLookUpTable,MATCH($B5754,CalLookUpRow,0),MATCH(I$1,CalLookUpColumn,0))</f>
        <v>3</v>
      </c>
    </row>
    <row r="5755" spans="1:9" x14ac:dyDescent="0.25">
      <c r="A5755" s="7">
        <v>3</v>
      </c>
      <c r="B5755" s="8">
        <v>43940</v>
      </c>
      <c r="C5755" s="9" t="s">
        <v>6</v>
      </c>
      <c r="D5755" s="10">
        <v>2765.3219999999997</v>
      </c>
      <c r="E5755" s="10">
        <v>412.97899999999998</v>
      </c>
      <c r="F5755" t="str">
        <f>VLOOKUP(A5755,StoreLookup,2,FALSE)</f>
        <v>Store#3</v>
      </c>
      <c r="G5755">
        <f>INDEX(CalLookUpTable,MATCH($B5755,CalLookUpRow,0),MATCH(G$1,CalLookUpColumn,0))</f>
        <v>2020</v>
      </c>
      <c r="H5755">
        <f>INDEX(CalLookUpTable,MATCH($B5755,CalLookUpRow,0),MATCH(H$1,CalLookUpColumn,0))</f>
        <v>4</v>
      </c>
      <c r="I5755">
        <f>INDEX(CalLookUpTable,MATCH($B5755,CalLookUpRow,0),MATCH(I$1,CalLookUpColumn,0))</f>
        <v>3</v>
      </c>
    </row>
    <row r="5756" spans="1:9" x14ac:dyDescent="0.25">
      <c r="A5756" s="7">
        <v>3</v>
      </c>
      <c r="B5756" s="8">
        <v>43940</v>
      </c>
      <c r="C5756" s="9" t="s">
        <v>5</v>
      </c>
      <c r="D5756" s="10">
        <v>3702.3980000000001</v>
      </c>
      <c r="E5756" s="10">
        <v>2411.5419999999999</v>
      </c>
      <c r="F5756" t="str">
        <f>VLOOKUP(A5756,StoreLookup,2,FALSE)</f>
        <v>Store#3</v>
      </c>
      <c r="G5756">
        <f>INDEX(CalLookUpTable,MATCH($B5756,CalLookUpRow,0),MATCH(G$1,CalLookUpColumn,0))</f>
        <v>2020</v>
      </c>
      <c r="H5756">
        <f>INDEX(CalLookUpTable,MATCH($B5756,CalLookUpRow,0),MATCH(H$1,CalLookUpColumn,0))</f>
        <v>4</v>
      </c>
      <c r="I5756">
        <f>INDEX(CalLookUpTable,MATCH($B5756,CalLookUpRow,0),MATCH(I$1,CalLookUpColumn,0))</f>
        <v>3</v>
      </c>
    </row>
    <row r="5757" spans="1:9" x14ac:dyDescent="0.25">
      <c r="A5757" s="7">
        <v>3</v>
      </c>
      <c r="B5757" s="8">
        <v>43940</v>
      </c>
      <c r="C5757" s="9" t="s">
        <v>4</v>
      </c>
      <c r="D5757" s="10">
        <v>34.677999999999997</v>
      </c>
      <c r="E5757" s="10">
        <v>2349.2979999999998</v>
      </c>
      <c r="F5757" t="str">
        <f>VLOOKUP(A5757,StoreLookup,2,FALSE)</f>
        <v>Store#3</v>
      </c>
      <c r="G5757">
        <f>INDEX(CalLookUpTable,MATCH($B5757,CalLookUpRow,0),MATCH(G$1,CalLookUpColumn,0))</f>
        <v>2020</v>
      </c>
      <c r="H5757">
        <f>INDEX(CalLookUpTable,MATCH($B5757,CalLookUpRow,0),MATCH(H$1,CalLookUpColumn,0))</f>
        <v>4</v>
      </c>
      <c r="I5757">
        <f>INDEX(CalLookUpTable,MATCH($B5757,CalLookUpRow,0),MATCH(I$1,CalLookUpColumn,0))</f>
        <v>3</v>
      </c>
    </row>
    <row r="5758" spans="1:9" x14ac:dyDescent="0.25">
      <c r="A5758" s="7">
        <v>3</v>
      </c>
      <c r="B5758" s="8">
        <v>43941</v>
      </c>
      <c r="C5758" s="9" t="s">
        <v>6</v>
      </c>
      <c r="D5758" s="10">
        <v>3288.4879999999998</v>
      </c>
      <c r="E5758" s="10">
        <v>887.80299999999988</v>
      </c>
      <c r="F5758" t="str">
        <f>VLOOKUP(A5758,StoreLookup,2,FALSE)</f>
        <v>Store#3</v>
      </c>
      <c r="G5758">
        <f>INDEX(CalLookUpTable,MATCH($B5758,CalLookUpRow,0),MATCH(G$1,CalLookUpColumn,0))</f>
        <v>2020</v>
      </c>
      <c r="H5758">
        <f>INDEX(CalLookUpTable,MATCH($B5758,CalLookUpRow,0),MATCH(H$1,CalLookUpColumn,0))</f>
        <v>4</v>
      </c>
      <c r="I5758">
        <f>INDEX(CalLookUpTable,MATCH($B5758,CalLookUpRow,0),MATCH(I$1,CalLookUpColumn,0))</f>
        <v>4</v>
      </c>
    </row>
    <row r="5759" spans="1:9" x14ac:dyDescent="0.25">
      <c r="A5759" s="7">
        <v>3</v>
      </c>
      <c r="B5759" s="8">
        <v>43941</v>
      </c>
      <c r="C5759" s="9" t="s">
        <v>4</v>
      </c>
      <c r="D5759" s="10">
        <v>276.15699999999998</v>
      </c>
      <c r="E5759" s="10">
        <v>3619.9029999999998</v>
      </c>
      <c r="F5759" t="str">
        <f>VLOOKUP(A5759,StoreLookup,2,FALSE)</f>
        <v>Store#3</v>
      </c>
      <c r="G5759">
        <f>INDEX(CalLookUpTable,MATCH($B5759,CalLookUpRow,0),MATCH(G$1,CalLookUpColumn,0))</f>
        <v>2020</v>
      </c>
      <c r="H5759">
        <f>INDEX(CalLookUpTable,MATCH($B5759,CalLookUpRow,0),MATCH(H$1,CalLookUpColumn,0))</f>
        <v>4</v>
      </c>
      <c r="I5759">
        <f>INDEX(CalLookUpTable,MATCH($B5759,CalLookUpRow,0),MATCH(I$1,CalLookUpColumn,0))</f>
        <v>4</v>
      </c>
    </row>
    <row r="5760" spans="1:9" x14ac:dyDescent="0.25">
      <c r="A5760" s="7">
        <v>3</v>
      </c>
      <c r="B5760" s="8">
        <v>43941</v>
      </c>
      <c r="C5760" s="9" t="s">
        <v>5</v>
      </c>
      <c r="D5760" s="10">
        <v>3983.4269999999997</v>
      </c>
      <c r="E5760" s="10">
        <v>3415.8809999999999</v>
      </c>
      <c r="F5760" t="str">
        <f>VLOOKUP(A5760,StoreLookup,2,FALSE)</f>
        <v>Store#3</v>
      </c>
      <c r="G5760">
        <f>INDEX(CalLookUpTable,MATCH($B5760,CalLookUpRow,0),MATCH(G$1,CalLookUpColumn,0))</f>
        <v>2020</v>
      </c>
      <c r="H5760">
        <f>INDEX(CalLookUpTable,MATCH($B5760,CalLookUpRow,0),MATCH(H$1,CalLookUpColumn,0))</f>
        <v>4</v>
      </c>
      <c r="I5760">
        <f>INDEX(CalLookUpTable,MATCH($B5760,CalLookUpRow,0),MATCH(I$1,CalLookUpColumn,0))</f>
        <v>4</v>
      </c>
    </row>
    <row r="5761" spans="1:9" x14ac:dyDescent="0.25">
      <c r="A5761" s="7">
        <v>3</v>
      </c>
      <c r="B5761" s="8">
        <v>43941</v>
      </c>
      <c r="C5761" s="9" t="s">
        <v>3</v>
      </c>
      <c r="D5761" s="10">
        <v>49.230999999999995</v>
      </c>
      <c r="E5761" s="10">
        <v>346.185</v>
      </c>
      <c r="F5761" t="str">
        <f>VLOOKUP(A5761,StoreLookup,2,FALSE)</f>
        <v>Store#3</v>
      </c>
      <c r="G5761">
        <f>INDEX(CalLookUpTable,MATCH($B5761,CalLookUpRow,0),MATCH(G$1,CalLookUpColumn,0))</f>
        <v>2020</v>
      </c>
      <c r="H5761">
        <f>INDEX(CalLookUpTable,MATCH($B5761,CalLookUpRow,0),MATCH(H$1,CalLookUpColumn,0))</f>
        <v>4</v>
      </c>
      <c r="I5761">
        <f>INDEX(CalLookUpTable,MATCH($B5761,CalLookUpRow,0),MATCH(I$1,CalLookUpColumn,0))</f>
        <v>4</v>
      </c>
    </row>
    <row r="5762" spans="1:9" x14ac:dyDescent="0.25">
      <c r="A5762" s="7">
        <v>3</v>
      </c>
      <c r="B5762" s="8">
        <v>43942</v>
      </c>
      <c r="C5762" s="9" t="s">
        <v>6</v>
      </c>
      <c r="D5762" s="10">
        <v>3650.2969999999996</v>
      </c>
      <c r="E5762" s="10">
        <v>509.69799999999998</v>
      </c>
      <c r="F5762" t="str">
        <f>VLOOKUP(A5762,StoreLookup,2,FALSE)</f>
        <v>Store#3</v>
      </c>
      <c r="G5762">
        <f>INDEX(CalLookUpTable,MATCH($B5762,CalLookUpRow,0),MATCH(G$1,CalLookUpColumn,0))</f>
        <v>2020</v>
      </c>
      <c r="H5762">
        <f>INDEX(CalLookUpTable,MATCH($B5762,CalLookUpRow,0),MATCH(H$1,CalLookUpColumn,0))</f>
        <v>4</v>
      </c>
      <c r="I5762">
        <f>INDEX(CalLookUpTable,MATCH($B5762,CalLookUpRow,0),MATCH(I$1,CalLookUpColumn,0))</f>
        <v>4</v>
      </c>
    </row>
    <row r="5763" spans="1:9" x14ac:dyDescent="0.25">
      <c r="A5763" s="7">
        <v>3</v>
      </c>
      <c r="B5763" s="8">
        <v>43942</v>
      </c>
      <c r="C5763" s="9" t="s">
        <v>4</v>
      </c>
      <c r="D5763" s="10">
        <v>172.58500000000001</v>
      </c>
      <c r="E5763" s="10">
        <v>3079.4329999999995</v>
      </c>
      <c r="F5763" t="str">
        <f>VLOOKUP(A5763,StoreLookup,2,FALSE)</f>
        <v>Store#3</v>
      </c>
      <c r="G5763">
        <f>INDEX(CalLookUpTable,MATCH($B5763,CalLookUpRow,0),MATCH(G$1,CalLookUpColumn,0))</f>
        <v>2020</v>
      </c>
      <c r="H5763">
        <f>INDEX(CalLookUpTable,MATCH($B5763,CalLookUpRow,0),MATCH(H$1,CalLookUpColumn,0))</f>
        <v>4</v>
      </c>
      <c r="I5763">
        <f>INDEX(CalLookUpTable,MATCH($B5763,CalLookUpRow,0),MATCH(I$1,CalLookUpColumn,0))</f>
        <v>4</v>
      </c>
    </row>
    <row r="5764" spans="1:9" x14ac:dyDescent="0.25">
      <c r="A5764" s="7">
        <v>3</v>
      </c>
      <c r="B5764" s="8">
        <v>43942</v>
      </c>
      <c r="C5764" s="9" t="s">
        <v>3</v>
      </c>
      <c r="D5764" s="10">
        <v>0</v>
      </c>
      <c r="E5764" s="10">
        <v>10.485999999999999</v>
      </c>
      <c r="F5764" t="str">
        <f>VLOOKUP(A5764,StoreLookup,2,FALSE)</f>
        <v>Store#3</v>
      </c>
      <c r="G5764">
        <f>INDEX(CalLookUpTable,MATCH($B5764,CalLookUpRow,0),MATCH(G$1,CalLookUpColumn,0))</f>
        <v>2020</v>
      </c>
      <c r="H5764">
        <f>INDEX(CalLookUpTable,MATCH($B5764,CalLookUpRow,0),MATCH(H$1,CalLookUpColumn,0))</f>
        <v>4</v>
      </c>
      <c r="I5764">
        <f>INDEX(CalLookUpTable,MATCH($B5764,CalLookUpRow,0),MATCH(I$1,CalLookUpColumn,0))</f>
        <v>4</v>
      </c>
    </row>
    <row r="5765" spans="1:9" x14ac:dyDescent="0.25">
      <c r="A5765" s="7">
        <v>3</v>
      </c>
      <c r="B5765" s="8">
        <v>43942</v>
      </c>
      <c r="C5765" s="9" t="s">
        <v>5</v>
      </c>
      <c r="D5765" s="10">
        <v>4429.4319999999998</v>
      </c>
      <c r="E5765" s="10">
        <v>3672.4239999999995</v>
      </c>
      <c r="F5765" t="str">
        <f>VLOOKUP(A5765,StoreLookup,2,FALSE)</f>
        <v>Store#3</v>
      </c>
      <c r="G5765">
        <f>INDEX(CalLookUpTable,MATCH($B5765,CalLookUpRow,0),MATCH(G$1,CalLookUpColumn,0))</f>
        <v>2020</v>
      </c>
      <c r="H5765">
        <f>INDEX(CalLookUpTable,MATCH($B5765,CalLookUpRow,0),MATCH(H$1,CalLookUpColumn,0))</f>
        <v>4</v>
      </c>
      <c r="I5765">
        <f>INDEX(CalLookUpTable,MATCH($B5765,CalLookUpRow,0),MATCH(I$1,CalLookUpColumn,0))</f>
        <v>4</v>
      </c>
    </row>
    <row r="5766" spans="1:9" x14ac:dyDescent="0.25">
      <c r="A5766" s="7">
        <v>3</v>
      </c>
      <c r="B5766" s="8">
        <v>43943</v>
      </c>
      <c r="C5766" s="9" t="s">
        <v>5</v>
      </c>
      <c r="D5766" s="10">
        <v>4935.826</v>
      </c>
      <c r="E5766" s="10">
        <v>3577.5739999999996</v>
      </c>
      <c r="F5766" t="str">
        <f>VLOOKUP(A5766,StoreLookup,2,FALSE)</f>
        <v>Store#3</v>
      </c>
      <c r="G5766">
        <f>INDEX(CalLookUpTable,MATCH($B5766,CalLookUpRow,0),MATCH(G$1,CalLookUpColumn,0))</f>
        <v>2020</v>
      </c>
      <c r="H5766">
        <f>INDEX(CalLookUpTable,MATCH($B5766,CalLookUpRow,0),MATCH(H$1,CalLookUpColumn,0))</f>
        <v>4</v>
      </c>
      <c r="I5766">
        <f>INDEX(CalLookUpTable,MATCH($B5766,CalLookUpRow,0),MATCH(I$1,CalLookUpColumn,0))</f>
        <v>4</v>
      </c>
    </row>
    <row r="5767" spans="1:9" x14ac:dyDescent="0.25">
      <c r="A5767" s="7">
        <v>3</v>
      </c>
      <c r="B5767" s="8">
        <v>43943</v>
      </c>
      <c r="C5767" s="9" t="s">
        <v>4</v>
      </c>
      <c r="D5767" s="10">
        <v>314.97899999999998</v>
      </c>
      <c r="E5767" s="10">
        <v>3522.3369999999995</v>
      </c>
      <c r="F5767" t="str">
        <f>VLOOKUP(A5767,StoreLookup,2,FALSE)</f>
        <v>Store#3</v>
      </c>
      <c r="G5767">
        <f>INDEX(CalLookUpTable,MATCH($B5767,CalLookUpRow,0),MATCH(G$1,CalLookUpColumn,0))</f>
        <v>2020</v>
      </c>
      <c r="H5767">
        <f>INDEX(CalLookUpTable,MATCH($B5767,CalLookUpRow,0),MATCH(H$1,CalLookUpColumn,0))</f>
        <v>4</v>
      </c>
      <c r="I5767">
        <f>INDEX(CalLookUpTable,MATCH($B5767,CalLookUpRow,0),MATCH(I$1,CalLookUpColumn,0))</f>
        <v>4</v>
      </c>
    </row>
    <row r="5768" spans="1:9" x14ac:dyDescent="0.25">
      <c r="A5768" s="7">
        <v>3</v>
      </c>
      <c r="B5768" s="8">
        <v>43943</v>
      </c>
      <c r="C5768" s="9" t="s">
        <v>3</v>
      </c>
      <c r="D5768" s="10">
        <v>0</v>
      </c>
      <c r="E5768" s="10">
        <v>521.19899999999996</v>
      </c>
      <c r="F5768" t="str">
        <f>VLOOKUP(A5768,StoreLookup,2,FALSE)</f>
        <v>Store#3</v>
      </c>
      <c r="G5768">
        <f>INDEX(CalLookUpTable,MATCH($B5768,CalLookUpRow,0),MATCH(G$1,CalLookUpColumn,0))</f>
        <v>2020</v>
      </c>
      <c r="H5768">
        <f>INDEX(CalLookUpTable,MATCH($B5768,CalLookUpRow,0),MATCH(H$1,CalLookUpColumn,0))</f>
        <v>4</v>
      </c>
      <c r="I5768">
        <f>INDEX(CalLookUpTable,MATCH($B5768,CalLookUpRow,0),MATCH(I$1,CalLookUpColumn,0))</f>
        <v>4</v>
      </c>
    </row>
    <row r="5769" spans="1:9" x14ac:dyDescent="0.25">
      <c r="A5769" s="7">
        <v>3</v>
      </c>
      <c r="B5769" s="8">
        <v>43943</v>
      </c>
      <c r="C5769" s="9" t="s">
        <v>6</v>
      </c>
      <c r="D5769" s="10">
        <v>3996.8670000000002</v>
      </c>
      <c r="E5769" s="10">
        <v>1010.0019999999998</v>
      </c>
      <c r="F5769" t="str">
        <f>VLOOKUP(A5769,StoreLookup,2,FALSE)</f>
        <v>Store#3</v>
      </c>
      <c r="G5769">
        <f>INDEX(CalLookUpTable,MATCH($B5769,CalLookUpRow,0),MATCH(G$1,CalLookUpColumn,0))</f>
        <v>2020</v>
      </c>
      <c r="H5769">
        <f>INDEX(CalLookUpTable,MATCH($B5769,CalLookUpRow,0),MATCH(H$1,CalLookUpColumn,0))</f>
        <v>4</v>
      </c>
      <c r="I5769">
        <f>INDEX(CalLookUpTable,MATCH($B5769,CalLookUpRow,0),MATCH(I$1,CalLookUpColumn,0))</f>
        <v>4</v>
      </c>
    </row>
    <row r="5770" spans="1:9" x14ac:dyDescent="0.25">
      <c r="A5770" s="7">
        <v>3</v>
      </c>
      <c r="B5770" s="8">
        <v>43944</v>
      </c>
      <c r="C5770" s="9" t="s">
        <v>3</v>
      </c>
      <c r="D5770" s="10">
        <v>0</v>
      </c>
      <c r="E5770" s="10">
        <v>13.992999999999999</v>
      </c>
      <c r="F5770" t="str">
        <f>VLOOKUP(A5770,StoreLookup,2,FALSE)</f>
        <v>Store#3</v>
      </c>
      <c r="G5770">
        <f>INDEX(CalLookUpTable,MATCH($B5770,CalLookUpRow,0),MATCH(G$1,CalLookUpColumn,0))</f>
        <v>2020</v>
      </c>
      <c r="H5770">
        <f>INDEX(CalLookUpTable,MATCH($B5770,CalLookUpRow,0),MATCH(H$1,CalLookUpColumn,0))</f>
        <v>4</v>
      </c>
      <c r="I5770">
        <f>INDEX(CalLookUpTable,MATCH($B5770,CalLookUpRow,0),MATCH(I$1,CalLookUpColumn,0))</f>
        <v>4</v>
      </c>
    </row>
    <row r="5771" spans="1:9" x14ac:dyDescent="0.25">
      <c r="A5771" s="7">
        <v>3</v>
      </c>
      <c r="B5771" s="8">
        <v>43944</v>
      </c>
      <c r="C5771" s="9" t="s">
        <v>6</v>
      </c>
      <c r="D5771" s="10">
        <v>782.53700000000003</v>
      </c>
      <c r="E5771" s="10">
        <v>1255.7019999999998</v>
      </c>
      <c r="F5771" t="str">
        <f>VLOOKUP(A5771,StoreLookup,2,FALSE)</f>
        <v>Store#3</v>
      </c>
      <c r="G5771">
        <f>INDEX(CalLookUpTable,MATCH($B5771,CalLookUpRow,0),MATCH(G$1,CalLookUpColumn,0))</f>
        <v>2020</v>
      </c>
      <c r="H5771">
        <f>INDEX(CalLookUpTable,MATCH($B5771,CalLookUpRow,0),MATCH(H$1,CalLookUpColumn,0))</f>
        <v>4</v>
      </c>
      <c r="I5771">
        <f>INDEX(CalLookUpTable,MATCH($B5771,CalLookUpRow,0),MATCH(I$1,CalLookUpColumn,0))</f>
        <v>4</v>
      </c>
    </row>
    <row r="5772" spans="1:9" x14ac:dyDescent="0.25">
      <c r="A5772" s="7">
        <v>3</v>
      </c>
      <c r="B5772" s="8">
        <v>43944</v>
      </c>
      <c r="C5772" s="9" t="s">
        <v>5</v>
      </c>
      <c r="D5772" s="10">
        <v>769.09</v>
      </c>
      <c r="E5772" s="10">
        <v>3568.2779999999998</v>
      </c>
      <c r="F5772" t="str">
        <f>VLOOKUP(A5772,StoreLookup,2,FALSE)</f>
        <v>Store#3</v>
      </c>
      <c r="G5772">
        <f>INDEX(CalLookUpTable,MATCH($B5772,CalLookUpRow,0),MATCH(G$1,CalLookUpColumn,0))</f>
        <v>2020</v>
      </c>
      <c r="H5772">
        <f>INDEX(CalLookUpTable,MATCH($B5772,CalLookUpRow,0),MATCH(H$1,CalLookUpColumn,0))</f>
        <v>4</v>
      </c>
      <c r="I5772">
        <f>INDEX(CalLookUpTable,MATCH($B5772,CalLookUpRow,0),MATCH(I$1,CalLookUpColumn,0))</f>
        <v>4</v>
      </c>
    </row>
    <row r="5773" spans="1:9" x14ac:dyDescent="0.25">
      <c r="A5773" s="7">
        <v>3</v>
      </c>
      <c r="B5773" s="8">
        <v>43944</v>
      </c>
      <c r="C5773" s="9" t="s">
        <v>4</v>
      </c>
      <c r="D5773" s="10">
        <v>0</v>
      </c>
      <c r="E5773" s="10">
        <v>4322.857</v>
      </c>
      <c r="F5773" t="str">
        <f>VLOOKUP(A5773,StoreLookup,2,FALSE)</f>
        <v>Store#3</v>
      </c>
      <c r="G5773">
        <f>INDEX(CalLookUpTable,MATCH($B5773,CalLookUpRow,0),MATCH(G$1,CalLookUpColumn,0))</f>
        <v>2020</v>
      </c>
      <c r="H5773">
        <f>INDEX(CalLookUpTable,MATCH($B5773,CalLookUpRow,0),MATCH(H$1,CalLookUpColumn,0))</f>
        <v>4</v>
      </c>
      <c r="I5773">
        <f>INDEX(CalLookUpTable,MATCH($B5773,CalLookUpRow,0),MATCH(I$1,CalLookUpColumn,0))</f>
        <v>4</v>
      </c>
    </row>
    <row r="5774" spans="1:9" x14ac:dyDescent="0.25">
      <c r="A5774" s="7">
        <v>3</v>
      </c>
      <c r="B5774" s="8">
        <v>43945</v>
      </c>
      <c r="C5774" s="9" t="s">
        <v>6</v>
      </c>
      <c r="D5774" s="10">
        <v>5793.3049999999994</v>
      </c>
      <c r="E5774" s="10">
        <v>1165.7449999999999</v>
      </c>
      <c r="F5774" t="str">
        <f>VLOOKUP(A5774,StoreLookup,2,FALSE)</f>
        <v>Store#3</v>
      </c>
      <c r="G5774">
        <f>INDEX(CalLookUpTable,MATCH($B5774,CalLookUpRow,0),MATCH(G$1,CalLookUpColumn,0))</f>
        <v>2020</v>
      </c>
      <c r="H5774">
        <f>INDEX(CalLookUpTable,MATCH($B5774,CalLookUpRow,0),MATCH(H$1,CalLookUpColumn,0))</f>
        <v>4</v>
      </c>
      <c r="I5774">
        <f>INDEX(CalLookUpTable,MATCH($B5774,CalLookUpRow,0),MATCH(I$1,CalLookUpColumn,0))</f>
        <v>4</v>
      </c>
    </row>
    <row r="5775" spans="1:9" x14ac:dyDescent="0.25">
      <c r="A5775" s="7">
        <v>3</v>
      </c>
      <c r="B5775" s="8">
        <v>43945</v>
      </c>
      <c r="C5775" s="9" t="s">
        <v>5</v>
      </c>
      <c r="D5775" s="10">
        <v>5035.5829999999996</v>
      </c>
      <c r="E5775" s="10">
        <v>3755.2619999999997</v>
      </c>
      <c r="F5775" t="str">
        <f>VLOOKUP(A5775,StoreLookup,2,FALSE)</f>
        <v>Store#3</v>
      </c>
      <c r="G5775">
        <f>INDEX(CalLookUpTable,MATCH($B5775,CalLookUpRow,0),MATCH(G$1,CalLookUpColumn,0))</f>
        <v>2020</v>
      </c>
      <c r="H5775">
        <f>INDEX(CalLookUpTable,MATCH($B5775,CalLookUpRow,0),MATCH(H$1,CalLookUpColumn,0))</f>
        <v>4</v>
      </c>
      <c r="I5775">
        <f>INDEX(CalLookUpTable,MATCH($B5775,CalLookUpRow,0),MATCH(I$1,CalLookUpColumn,0))</f>
        <v>4</v>
      </c>
    </row>
    <row r="5776" spans="1:9" x14ac:dyDescent="0.25">
      <c r="A5776" s="7">
        <v>3</v>
      </c>
      <c r="B5776" s="8">
        <v>43945</v>
      </c>
      <c r="C5776" s="9" t="s">
        <v>4</v>
      </c>
      <c r="D5776" s="10">
        <v>422.42899999999997</v>
      </c>
      <c r="E5776" s="10">
        <v>4167.8559999999998</v>
      </c>
      <c r="F5776" t="str">
        <f>VLOOKUP(A5776,StoreLookup,2,FALSE)</f>
        <v>Store#3</v>
      </c>
      <c r="G5776">
        <f>INDEX(CalLookUpTable,MATCH($B5776,CalLookUpRow,0),MATCH(G$1,CalLookUpColumn,0))</f>
        <v>2020</v>
      </c>
      <c r="H5776">
        <f>INDEX(CalLookUpTable,MATCH($B5776,CalLookUpRow,0),MATCH(H$1,CalLookUpColumn,0))</f>
        <v>4</v>
      </c>
      <c r="I5776">
        <f>INDEX(CalLookUpTable,MATCH($B5776,CalLookUpRow,0),MATCH(I$1,CalLookUpColumn,0))</f>
        <v>4</v>
      </c>
    </row>
    <row r="5777" spans="1:9" x14ac:dyDescent="0.25">
      <c r="A5777" s="7">
        <v>3</v>
      </c>
      <c r="B5777" s="8">
        <v>43945</v>
      </c>
      <c r="C5777" s="9" t="s">
        <v>3</v>
      </c>
      <c r="D5777" s="10">
        <v>36.546999999999997</v>
      </c>
      <c r="E5777" s="10">
        <v>17.268999999999998</v>
      </c>
      <c r="F5777" t="str">
        <f>VLOOKUP(A5777,StoreLookup,2,FALSE)</f>
        <v>Store#3</v>
      </c>
      <c r="G5777">
        <f>INDEX(CalLookUpTable,MATCH($B5777,CalLookUpRow,0),MATCH(G$1,CalLookUpColumn,0))</f>
        <v>2020</v>
      </c>
      <c r="H5777">
        <f>INDEX(CalLookUpTable,MATCH($B5777,CalLookUpRow,0),MATCH(H$1,CalLookUpColumn,0))</f>
        <v>4</v>
      </c>
      <c r="I5777">
        <f>INDEX(CalLookUpTable,MATCH($B5777,CalLookUpRow,0),MATCH(I$1,CalLookUpColumn,0))</f>
        <v>4</v>
      </c>
    </row>
    <row r="5778" spans="1:9" x14ac:dyDescent="0.25">
      <c r="A5778" s="7">
        <v>3</v>
      </c>
      <c r="B5778" s="8">
        <v>43946</v>
      </c>
      <c r="C5778" s="9" t="s">
        <v>3</v>
      </c>
      <c r="D5778" s="10">
        <v>0</v>
      </c>
      <c r="E5778" s="10">
        <v>353.90599999999995</v>
      </c>
      <c r="F5778" t="str">
        <f>VLOOKUP(A5778,StoreLookup,2,FALSE)</f>
        <v>Store#3</v>
      </c>
      <c r="G5778">
        <f>INDEX(CalLookUpTable,MATCH($B5778,CalLookUpRow,0),MATCH(G$1,CalLookUpColumn,0))</f>
        <v>2020</v>
      </c>
      <c r="H5778">
        <f>INDEX(CalLookUpTable,MATCH($B5778,CalLookUpRow,0),MATCH(H$1,CalLookUpColumn,0))</f>
        <v>4</v>
      </c>
      <c r="I5778">
        <f>INDEX(CalLookUpTable,MATCH($B5778,CalLookUpRow,0),MATCH(I$1,CalLookUpColumn,0))</f>
        <v>4</v>
      </c>
    </row>
    <row r="5779" spans="1:9" x14ac:dyDescent="0.25">
      <c r="A5779" s="7">
        <v>3</v>
      </c>
      <c r="B5779" s="8">
        <v>43946</v>
      </c>
      <c r="C5779" s="9" t="s">
        <v>4</v>
      </c>
      <c r="D5779" s="10">
        <v>611.18399999999997</v>
      </c>
      <c r="E5779" s="10">
        <v>4425.2809999999999</v>
      </c>
      <c r="F5779" t="str">
        <f>VLOOKUP(A5779,StoreLookup,2,FALSE)</f>
        <v>Store#3</v>
      </c>
      <c r="G5779">
        <f>INDEX(CalLookUpTable,MATCH($B5779,CalLookUpRow,0),MATCH(G$1,CalLookUpColumn,0))</f>
        <v>2020</v>
      </c>
      <c r="H5779">
        <f>INDEX(CalLookUpTable,MATCH($B5779,CalLookUpRow,0),MATCH(H$1,CalLookUpColumn,0))</f>
        <v>4</v>
      </c>
      <c r="I5779">
        <f>INDEX(CalLookUpTable,MATCH($B5779,CalLookUpRow,0),MATCH(I$1,CalLookUpColumn,0))</f>
        <v>4</v>
      </c>
    </row>
    <row r="5780" spans="1:9" x14ac:dyDescent="0.25">
      <c r="A5780" s="7">
        <v>3</v>
      </c>
      <c r="B5780" s="8">
        <v>43946</v>
      </c>
      <c r="C5780" s="9" t="s">
        <v>6</v>
      </c>
      <c r="D5780" s="10">
        <v>4381.6849999999995</v>
      </c>
      <c r="E5780" s="10">
        <v>1038.338</v>
      </c>
      <c r="F5780" t="str">
        <f>VLOOKUP(A5780,StoreLookup,2,FALSE)</f>
        <v>Store#3</v>
      </c>
      <c r="G5780">
        <f>INDEX(CalLookUpTable,MATCH($B5780,CalLookUpRow,0),MATCH(G$1,CalLookUpColumn,0))</f>
        <v>2020</v>
      </c>
      <c r="H5780">
        <f>INDEX(CalLookUpTable,MATCH($B5780,CalLookUpRow,0),MATCH(H$1,CalLookUpColumn,0))</f>
        <v>4</v>
      </c>
      <c r="I5780">
        <f>INDEX(CalLookUpTable,MATCH($B5780,CalLookUpRow,0),MATCH(I$1,CalLookUpColumn,0))</f>
        <v>4</v>
      </c>
    </row>
    <row r="5781" spans="1:9" x14ac:dyDescent="0.25">
      <c r="A5781" s="7">
        <v>3</v>
      </c>
      <c r="B5781" s="8">
        <v>43946</v>
      </c>
      <c r="C5781" s="9" t="s">
        <v>5</v>
      </c>
      <c r="D5781" s="10">
        <v>5421.241</v>
      </c>
      <c r="E5781" s="10">
        <v>3505.7679999999996</v>
      </c>
      <c r="F5781" t="str">
        <f>VLOOKUP(A5781,StoreLookup,2,FALSE)</f>
        <v>Store#3</v>
      </c>
      <c r="G5781">
        <f>INDEX(CalLookUpTable,MATCH($B5781,CalLookUpRow,0),MATCH(G$1,CalLookUpColumn,0))</f>
        <v>2020</v>
      </c>
      <c r="H5781">
        <f>INDEX(CalLookUpTable,MATCH($B5781,CalLookUpRow,0),MATCH(H$1,CalLookUpColumn,0))</f>
        <v>4</v>
      </c>
      <c r="I5781">
        <f>INDEX(CalLookUpTable,MATCH($B5781,CalLookUpRow,0),MATCH(I$1,CalLookUpColumn,0))</f>
        <v>4</v>
      </c>
    </row>
    <row r="5782" spans="1:9" x14ac:dyDescent="0.25">
      <c r="A5782" s="7">
        <v>3</v>
      </c>
      <c r="B5782" s="8">
        <v>43947</v>
      </c>
      <c r="C5782" s="9" t="s">
        <v>4</v>
      </c>
      <c r="D5782" s="10">
        <v>117.41799999999999</v>
      </c>
      <c r="E5782" s="10">
        <v>2448.5089999999996</v>
      </c>
      <c r="F5782" t="str">
        <f>VLOOKUP(A5782,StoreLookup,2,FALSE)</f>
        <v>Store#3</v>
      </c>
      <c r="G5782">
        <f>INDEX(CalLookUpTable,MATCH($B5782,CalLookUpRow,0),MATCH(G$1,CalLookUpColumn,0))</f>
        <v>2020</v>
      </c>
      <c r="H5782">
        <f>INDEX(CalLookUpTable,MATCH($B5782,CalLookUpRow,0),MATCH(H$1,CalLookUpColumn,0))</f>
        <v>4</v>
      </c>
      <c r="I5782">
        <f>INDEX(CalLookUpTable,MATCH($B5782,CalLookUpRow,0),MATCH(I$1,CalLookUpColumn,0))</f>
        <v>4</v>
      </c>
    </row>
    <row r="5783" spans="1:9" x14ac:dyDescent="0.25">
      <c r="A5783" s="7">
        <v>3</v>
      </c>
      <c r="B5783" s="8">
        <v>43947</v>
      </c>
      <c r="C5783" s="9" t="s">
        <v>3</v>
      </c>
      <c r="D5783" s="10">
        <v>0</v>
      </c>
      <c r="E5783" s="10">
        <v>0</v>
      </c>
      <c r="F5783" t="str">
        <f>VLOOKUP(A5783,StoreLookup,2,FALSE)</f>
        <v>Store#3</v>
      </c>
      <c r="G5783">
        <f>INDEX(CalLookUpTable,MATCH($B5783,CalLookUpRow,0),MATCH(G$1,CalLookUpColumn,0))</f>
        <v>2020</v>
      </c>
      <c r="H5783">
        <f>INDEX(CalLookUpTable,MATCH($B5783,CalLookUpRow,0),MATCH(H$1,CalLookUpColumn,0))</f>
        <v>4</v>
      </c>
      <c r="I5783">
        <f>INDEX(CalLookUpTable,MATCH($B5783,CalLookUpRow,0),MATCH(I$1,CalLookUpColumn,0))</f>
        <v>4</v>
      </c>
    </row>
    <row r="5784" spans="1:9" x14ac:dyDescent="0.25">
      <c r="A5784" s="7">
        <v>3</v>
      </c>
      <c r="B5784" s="8">
        <v>43947</v>
      </c>
      <c r="C5784" s="9" t="s">
        <v>6</v>
      </c>
      <c r="D5784" s="10">
        <v>3627.6869999999994</v>
      </c>
      <c r="E5784" s="10">
        <v>756.86799999999994</v>
      </c>
      <c r="F5784" t="str">
        <f>VLOOKUP(A5784,StoreLookup,2,FALSE)</f>
        <v>Store#3</v>
      </c>
      <c r="G5784">
        <f>INDEX(CalLookUpTable,MATCH($B5784,CalLookUpRow,0),MATCH(G$1,CalLookUpColumn,0))</f>
        <v>2020</v>
      </c>
      <c r="H5784">
        <f>INDEX(CalLookUpTable,MATCH($B5784,CalLookUpRow,0),MATCH(H$1,CalLookUpColumn,0))</f>
        <v>4</v>
      </c>
      <c r="I5784">
        <f>INDEX(CalLookUpTable,MATCH($B5784,CalLookUpRow,0),MATCH(I$1,CalLookUpColumn,0))</f>
        <v>4</v>
      </c>
    </row>
    <row r="5785" spans="1:9" x14ac:dyDescent="0.25">
      <c r="A5785" s="7">
        <v>3</v>
      </c>
      <c r="B5785" s="8">
        <v>43947</v>
      </c>
      <c r="C5785" s="9" t="s">
        <v>5</v>
      </c>
      <c r="D5785" s="10">
        <v>4244.1839999999993</v>
      </c>
      <c r="E5785" s="10">
        <v>2647.9249999999997</v>
      </c>
      <c r="F5785" t="str">
        <f>VLOOKUP(A5785,StoreLookup,2,FALSE)</f>
        <v>Store#3</v>
      </c>
      <c r="G5785">
        <f>INDEX(CalLookUpTable,MATCH($B5785,CalLookUpRow,0),MATCH(G$1,CalLookUpColumn,0))</f>
        <v>2020</v>
      </c>
      <c r="H5785">
        <f>INDEX(CalLookUpTable,MATCH($B5785,CalLookUpRow,0),MATCH(H$1,CalLookUpColumn,0))</f>
        <v>4</v>
      </c>
      <c r="I5785">
        <f>INDEX(CalLookUpTable,MATCH($B5785,CalLookUpRow,0),MATCH(I$1,CalLookUpColumn,0))</f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DF292-F36B-4FDB-830D-C741E287B032}">
  <sheetPr>
    <tabColor rgb="FFFF0000"/>
  </sheetPr>
  <dimension ref="A1:D729"/>
  <sheetViews>
    <sheetView workbookViewId="0">
      <selection sqref="A1:D1"/>
    </sheetView>
  </sheetViews>
  <sheetFormatPr defaultRowHeight="15" x14ac:dyDescent="0.25"/>
  <cols>
    <col min="1" max="1" width="10.7109375" bestFit="1" customWidth="1"/>
  </cols>
  <sheetData>
    <row r="1" spans="1:4" ht="30" x14ac:dyDescent="0.25">
      <c r="A1" s="12" t="s">
        <v>15</v>
      </c>
      <c r="B1" s="13" t="s">
        <v>16</v>
      </c>
      <c r="C1" s="13" t="s">
        <v>17</v>
      </c>
      <c r="D1" s="13" t="s">
        <v>18</v>
      </c>
    </row>
    <row r="2" spans="1:4" x14ac:dyDescent="0.25">
      <c r="A2" s="8">
        <v>43465</v>
      </c>
      <c r="B2">
        <v>2019</v>
      </c>
      <c r="C2">
        <v>1</v>
      </c>
      <c r="D2">
        <v>1</v>
      </c>
    </row>
    <row r="3" spans="1:4" x14ac:dyDescent="0.25">
      <c r="A3" s="8">
        <v>43466</v>
      </c>
      <c r="B3">
        <v>2019</v>
      </c>
      <c r="C3">
        <v>1</v>
      </c>
      <c r="D3">
        <v>1</v>
      </c>
    </row>
    <row r="4" spans="1:4" x14ac:dyDescent="0.25">
      <c r="A4" s="8">
        <v>43467</v>
      </c>
      <c r="B4">
        <v>2019</v>
      </c>
      <c r="C4">
        <v>1</v>
      </c>
      <c r="D4">
        <v>1</v>
      </c>
    </row>
    <row r="5" spans="1:4" x14ac:dyDescent="0.25">
      <c r="A5" s="8">
        <v>43468</v>
      </c>
      <c r="B5">
        <v>2019</v>
      </c>
      <c r="C5">
        <v>1</v>
      </c>
      <c r="D5">
        <v>1</v>
      </c>
    </row>
    <row r="6" spans="1:4" x14ac:dyDescent="0.25">
      <c r="A6" s="8">
        <v>43469</v>
      </c>
      <c r="B6">
        <v>2019</v>
      </c>
      <c r="C6">
        <v>1</v>
      </c>
      <c r="D6">
        <v>1</v>
      </c>
    </row>
    <row r="7" spans="1:4" x14ac:dyDescent="0.25">
      <c r="A7" s="8">
        <v>43470</v>
      </c>
      <c r="B7">
        <v>2019</v>
      </c>
      <c r="C7">
        <v>1</v>
      </c>
      <c r="D7">
        <v>1</v>
      </c>
    </row>
    <row r="8" spans="1:4" x14ac:dyDescent="0.25">
      <c r="A8" s="8">
        <v>43471</v>
      </c>
      <c r="B8">
        <v>2019</v>
      </c>
      <c r="C8">
        <v>1</v>
      </c>
      <c r="D8">
        <v>1</v>
      </c>
    </row>
    <row r="9" spans="1:4" x14ac:dyDescent="0.25">
      <c r="A9" s="8">
        <v>43472</v>
      </c>
      <c r="B9">
        <v>2019</v>
      </c>
      <c r="C9">
        <v>1</v>
      </c>
      <c r="D9">
        <v>2</v>
      </c>
    </row>
    <row r="10" spans="1:4" x14ac:dyDescent="0.25">
      <c r="A10" s="8">
        <v>43473</v>
      </c>
      <c r="B10">
        <v>2019</v>
      </c>
      <c r="C10">
        <v>1</v>
      </c>
      <c r="D10">
        <v>2</v>
      </c>
    </row>
    <row r="11" spans="1:4" x14ac:dyDescent="0.25">
      <c r="A11" s="8">
        <v>43474</v>
      </c>
      <c r="B11">
        <v>2019</v>
      </c>
      <c r="C11">
        <v>1</v>
      </c>
      <c r="D11">
        <v>2</v>
      </c>
    </row>
    <row r="12" spans="1:4" x14ac:dyDescent="0.25">
      <c r="A12" s="8">
        <v>43475</v>
      </c>
      <c r="B12">
        <v>2019</v>
      </c>
      <c r="C12">
        <v>1</v>
      </c>
      <c r="D12">
        <v>2</v>
      </c>
    </row>
    <row r="13" spans="1:4" x14ac:dyDescent="0.25">
      <c r="A13" s="8">
        <v>43476</v>
      </c>
      <c r="B13">
        <v>2019</v>
      </c>
      <c r="C13">
        <v>1</v>
      </c>
      <c r="D13">
        <v>2</v>
      </c>
    </row>
    <row r="14" spans="1:4" x14ac:dyDescent="0.25">
      <c r="A14" s="8">
        <v>43477</v>
      </c>
      <c r="B14">
        <v>2019</v>
      </c>
      <c r="C14">
        <v>1</v>
      </c>
      <c r="D14">
        <v>2</v>
      </c>
    </row>
    <row r="15" spans="1:4" x14ac:dyDescent="0.25">
      <c r="A15" s="8">
        <v>43478</v>
      </c>
      <c r="B15">
        <v>2019</v>
      </c>
      <c r="C15">
        <v>1</v>
      </c>
      <c r="D15">
        <v>2</v>
      </c>
    </row>
    <row r="16" spans="1:4" x14ac:dyDescent="0.25">
      <c r="A16" s="8">
        <v>43479</v>
      </c>
      <c r="B16">
        <v>2019</v>
      </c>
      <c r="C16">
        <v>1</v>
      </c>
      <c r="D16">
        <v>3</v>
      </c>
    </row>
    <row r="17" spans="1:4" x14ac:dyDescent="0.25">
      <c r="A17" s="8">
        <v>43480</v>
      </c>
      <c r="B17">
        <v>2019</v>
      </c>
      <c r="C17">
        <v>1</v>
      </c>
      <c r="D17">
        <v>3</v>
      </c>
    </row>
    <row r="18" spans="1:4" x14ac:dyDescent="0.25">
      <c r="A18" s="8">
        <v>43481</v>
      </c>
      <c r="B18">
        <v>2019</v>
      </c>
      <c r="C18">
        <v>1</v>
      </c>
      <c r="D18">
        <v>3</v>
      </c>
    </row>
    <row r="19" spans="1:4" x14ac:dyDescent="0.25">
      <c r="A19" s="8">
        <v>43482</v>
      </c>
      <c r="B19">
        <v>2019</v>
      </c>
      <c r="C19">
        <v>1</v>
      </c>
      <c r="D19">
        <v>3</v>
      </c>
    </row>
    <row r="20" spans="1:4" x14ac:dyDescent="0.25">
      <c r="A20" s="8">
        <v>43483</v>
      </c>
      <c r="B20">
        <v>2019</v>
      </c>
      <c r="C20">
        <v>1</v>
      </c>
      <c r="D20">
        <v>3</v>
      </c>
    </row>
    <row r="21" spans="1:4" x14ac:dyDescent="0.25">
      <c r="A21" s="8">
        <v>43484</v>
      </c>
      <c r="B21">
        <v>2019</v>
      </c>
      <c r="C21">
        <v>1</v>
      </c>
      <c r="D21">
        <v>3</v>
      </c>
    </row>
    <row r="22" spans="1:4" x14ac:dyDescent="0.25">
      <c r="A22" s="8">
        <v>43485</v>
      </c>
      <c r="B22">
        <v>2019</v>
      </c>
      <c r="C22">
        <v>1</v>
      </c>
      <c r="D22">
        <v>3</v>
      </c>
    </row>
    <row r="23" spans="1:4" x14ac:dyDescent="0.25">
      <c r="A23" s="8">
        <v>43486</v>
      </c>
      <c r="B23">
        <v>2019</v>
      </c>
      <c r="C23">
        <v>1</v>
      </c>
      <c r="D23">
        <v>4</v>
      </c>
    </row>
    <row r="24" spans="1:4" x14ac:dyDescent="0.25">
      <c r="A24" s="8">
        <v>43487</v>
      </c>
      <c r="B24">
        <v>2019</v>
      </c>
      <c r="C24">
        <v>1</v>
      </c>
      <c r="D24">
        <v>4</v>
      </c>
    </row>
    <row r="25" spans="1:4" x14ac:dyDescent="0.25">
      <c r="A25" s="8">
        <v>43488</v>
      </c>
      <c r="B25">
        <v>2019</v>
      </c>
      <c r="C25">
        <v>1</v>
      </c>
      <c r="D25">
        <v>4</v>
      </c>
    </row>
    <row r="26" spans="1:4" x14ac:dyDescent="0.25">
      <c r="A26" s="8">
        <v>43489</v>
      </c>
      <c r="B26">
        <v>2019</v>
      </c>
      <c r="C26">
        <v>1</v>
      </c>
      <c r="D26">
        <v>4</v>
      </c>
    </row>
    <row r="27" spans="1:4" x14ac:dyDescent="0.25">
      <c r="A27" s="8">
        <v>43490</v>
      </c>
      <c r="B27">
        <v>2019</v>
      </c>
      <c r="C27">
        <v>1</v>
      </c>
      <c r="D27">
        <v>4</v>
      </c>
    </row>
    <row r="28" spans="1:4" x14ac:dyDescent="0.25">
      <c r="A28" s="8">
        <v>43491</v>
      </c>
      <c r="B28">
        <v>2019</v>
      </c>
      <c r="C28">
        <v>1</v>
      </c>
      <c r="D28">
        <v>4</v>
      </c>
    </row>
    <row r="29" spans="1:4" x14ac:dyDescent="0.25">
      <c r="A29" s="8">
        <v>43492</v>
      </c>
      <c r="B29">
        <v>2019</v>
      </c>
      <c r="C29">
        <v>1</v>
      </c>
      <c r="D29">
        <v>4</v>
      </c>
    </row>
    <row r="30" spans="1:4" x14ac:dyDescent="0.25">
      <c r="A30" s="8">
        <v>43493</v>
      </c>
      <c r="B30">
        <v>2019</v>
      </c>
      <c r="C30">
        <v>2</v>
      </c>
      <c r="D30">
        <v>1</v>
      </c>
    </row>
    <row r="31" spans="1:4" x14ac:dyDescent="0.25">
      <c r="A31" s="8">
        <v>43494</v>
      </c>
      <c r="B31">
        <v>2019</v>
      </c>
      <c r="C31">
        <v>2</v>
      </c>
      <c r="D31">
        <v>1</v>
      </c>
    </row>
    <row r="32" spans="1:4" x14ac:dyDescent="0.25">
      <c r="A32" s="8">
        <v>43495</v>
      </c>
      <c r="B32">
        <v>2019</v>
      </c>
      <c r="C32">
        <v>2</v>
      </c>
      <c r="D32">
        <v>1</v>
      </c>
    </row>
    <row r="33" spans="1:4" x14ac:dyDescent="0.25">
      <c r="A33" s="8">
        <v>43496</v>
      </c>
      <c r="B33">
        <v>2019</v>
      </c>
      <c r="C33">
        <v>2</v>
      </c>
      <c r="D33">
        <v>1</v>
      </c>
    </row>
    <row r="34" spans="1:4" x14ac:dyDescent="0.25">
      <c r="A34" s="8">
        <v>43497</v>
      </c>
      <c r="B34">
        <v>2019</v>
      </c>
      <c r="C34">
        <v>2</v>
      </c>
      <c r="D34">
        <v>1</v>
      </c>
    </row>
    <row r="35" spans="1:4" x14ac:dyDescent="0.25">
      <c r="A35" s="8">
        <v>43498</v>
      </c>
      <c r="B35">
        <v>2019</v>
      </c>
      <c r="C35">
        <v>2</v>
      </c>
      <c r="D35">
        <v>1</v>
      </c>
    </row>
    <row r="36" spans="1:4" x14ac:dyDescent="0.25">
      <c r="A36" s="8">
        <v>43499</v>
      </c>
      <c r="B36">
        <v>2019</v>
      </c>
      <c r="C36">
        <v>2</v>
      </c>
      <c r="D36">
        <v>1</v>
      </c>
    </row>
    <row r="37" spans="1:4" x14ac:dyDescent="0.25">
      <c r="A37" s="8">
        <v>43500</v>
      </c>
      <c r="B37">
        <v>2019</v>
      </c>
      <c r="C37">
        <v>2</v>
      </c>
      <c r="D37">
        <v>2</v>
      </c>
    </row>
    <row r="38" spans="1:4" x14ac:dyDescent="0.25">
      <c r="A38" s="8">
        <v>43501</v>
      </c>
      <c r="B38">
        <v>2019</v>
      </c>
      <c r="C38">
        <v>2</v>
      </c>
      <c r="D38">
        <v>2</v>
      </c>
    </row>
    <row r="39" spans="1:4" x14ac:dyDescent="0.25">
      <c r="A39" s="8">
        <v>43502</v>
      </c>
      <c r="B39">
        <v>2019</v>
      </c>
      <c r="C39">
        <v>2</v>
      </c>
      <c r="D39">
        <v>2</v>
      </c>
    </row>
    <row r="40" spans="1:4" x14ac:dyDescent="0.25">
      <c r="A40" s="8">
        <v>43503</v>
      </c>
      <c r="B40">
        <v>2019</v>
      </c>
      <c r="C40">
        <v>2</v>
      </c>
      <c r="D40">
        <v>2</v>
      </c>
    </row>
    <row r="41" spans="1:4" x14ac:dyDescent="0.25">
      <c r="A41" s="8">
        <v>43504</v>
      </c>
      <c r="B41">
        <v>2019</v>
      </c>
      <c r="C41">
        <v>2</v>
      </c>
      <c r="D41">
        <v>2</v>
      </c>
    </row>
    <row r="42" spans="1:4" x14ac:dyDescent="0.25">
      <c r="A42" s="8">
        <v>43505</v>
      </c>
      <c r="B42">
        <v>2019</v>
      </c>
      <c r="C42">
        <v>2</v>
      </c>
      <c r="D42">
        <v>2</v>
      </c>
    </row>
    <row r="43" spans="1:4" x14ac:dyDescent="0.25">
      <c r="A43" s="8">
        <v>43506</v>
      </c>
      <c r="B43">
        <v>2019</v>
      </c>
      <c r="C43">
        <v>2</v>
      </c>
      <c r="D43">
        <v>2</v>
      </c>
    </row>
    <row r="44" spans="1:4" x14ac:dyDescent="0.25">
      <c r="A44" s="8">
        <v>43507</v>
      </c>
      <c r="B44">
        <v>2019</v>
      </c>
      <c r="C44">
        <v>2</v>
      </c>
      <c r="D44">
        <v>3</v>
      </c>
    </row>
    <row r="45" spans="1:4" x14ac:dyDescent="0.25">
      <c r="A45" s="8">
        <v>43508</v>
      </c>
      <c r="B45">
        <v>2019</v>
      </c>
      <c r="C45">
        <v>2</v>
      </c>
      <c r="D45">
        <v>3</v>
      </c>
    </row>
    <row r="46" spans="1:4" x14ac:dyDescent="0.25">
      <c r="A46" s="8">
        <v>43509</v>
      </c>
      <c r="B46">
        <v>2019</v>
      </c>
      <c r="C46">
        <v>2</v>
      </c>
      <c r="D46">
        <v>3</v>
      </c>
    </row>
    <row r="47" spans="1:4" x14ac:dyDescent="0.25">
      <c r="A47" s="8">
        <v>43510</v>
      </c>
      <c r="B47">
        <v>2019</v>
      </c>
      <c r="C47">
        <v>2</v>
      </c>
      <c r="D47">
        <v>3</v>
      </c>
    </row>
    <row r="48" spans="1:4" x14ac:dyDescent="0.25">
      <c r="A48" s="8">
        <v>43511</v>
      </c>
      <c r="B48">
        <v>2019</v>
      </c>
      <c r="C48">
        <v>2</v>
      </c>
      <c r="D48">
        <v>3</v>
      </c>
    </row>
    <row r="49" spans="1:4" x14ac:dyDescent="0.25">
      <c r="A49" s="8">
        <v>43512</v>
      </c>
      <c r="B49">
        <v>2019</v>
      </c>
      <c r="C49">
        <v>2</v>
      </c>
      <c r="D49">
        <v>3</v>
      </c>
    </row>
    <row r="50" spans="1:4" x14ac:dyDescent="0.25">
      <c r="A50" s="8">
        <v>43513</v>
      </c>
      <c r="B50">
        <v>2019</v>
      </c>
      <c r="C50">
        <v>2</v>
      </c>
      <c r="D50">
        <v>3</v>
      </c>
    </row>
    <row r="51" spans="1:4" x14ac:dyDescent="0.25">
      <c r="A51" s="8">
        <v>43514</v>
      </c>
      <c r="B51">
        <v>2019</v>
      </c>
      <c r="C51">
        <v>2</v>
      </c>
      <c r="D51">
        <v>4</v>
      </c>
    </row>
    <row r="52" spans="1:4" x14ac:dyDescent="0.25">
      <c r="A52" s="8">
        <v>43515</v>
      </c>
      <c r="B52">
        <v>2019</v>
      </c>
      <c r="C52">
        <v>2</v>
      </c>
      <c r="D52">
        <v>4</v>
      </c>
    </row>
    <row r="53" spans="1:4" x14ac:dyDescent="0.25">
      <c r="A53" s="8">
        <v>43516</v>
      </c>
      <c r="B53">
        <v>2019</v>
      </c>
      <c r="C53">
        <v>2</v>
      </c>
      <c r="D53">
        <v>4</v>
      </c>
    </row>
    <row r="54" spans="1:4" x14ac:dyDescent="0.25">
      <c r="A54" s="8">
        <v>43517</v>
      </c>
      <c r="B54">
        <v>2019</v>
      </c>
      <c r="C54">
        <v>2</v>
      </c>
      <c r="D54">
        <v>4</v>
      </c>
    </row>
    <row r="55" spans="1:4" x14ac:dyDescent="0.25">
      <c r="A55" s="8">
        <v>43518</v>
      </c>
      <c r="B55">
        <v>2019</v>
      </c>
      <c r="C55">
        <v>2</v>
      </c>
      <c r="D55">
        <v>4</v>
      </c>
    </row>
    <row r="56" spans="1:4" x14ac:dyDescent="0.25">
      <c r="A56" s="8">
        <v>43519</v>
      </c>
      <c r="B56">
        <v>2019</v>
      </c>
      <c r="C56">
        <v>2</v>
      </c>
      <c r="D56">
        <v>4</v>
      </c>
    </row>
    <row r="57" spans="1:4" x14ac:dyDescent="0.25">
      <c r="A57" s="8">
        <v>43520</v>
      </c>
      <c r="B57">
        <v>2019</v>
      </c>
      <c r="C57">
        <v>2</v>
      </c>
      <c r="D57">
        <v>4</v>
      </c>
    </row>
    <row r="58" spans="1:4" x14ac:dyDescent="0.25">
      <c r="A58" s="8">
        <v>43521</v>
      </c>
      <c r="B58">
        <v>2019</v>
      </c>
      <c r="C58">
        <v>3</v>
      </c>
      <c r="D58">
        <v>1</v>
      </c>
    </row>
    <row r="59" spans="1:4" x14ac:dyDescent="0.25">
      <c r="A59" s="8">
        <v>43522</v>
      </c>
      <c r="B59">
        <v>2019</v>
      </c>
      <c r="C59">
        <v>3</v>
      </c>
      <c r="D59">
        <v>1</v>
      </c>
    </row>
    <row r="60" spans="1:4" x14ac:dyDescent="0.25">
      <c r="A60" s="8">
        <v>43523</v>
      </c>
      <c r="B60">
        <v>2019</v>
      </c>
      <c r="C60">
        <v>3</v>
      </c>
      <c r="D60">
        <v>1</v>
      </c>
    </row>
    <row r="61" spans="1:4" x14ac:dyDescent="0.25">
      <c r="A61" s="8">
        <v>43524</v>
      </c>
      <c r="B61">
        <v>2019</v>
      </c>
      <c r="C61">
        <v>3</v>
      </c>
      <c r="D61">
        <v>1</v>
      </c>
    </row>
    <row r="62" spans="1:4" x14ac:dyDescent="0.25">
      <c r="A62" s="8">
        <v>43525</v>
      </c>
      <c r="B62">
        <v>2019</v>
      </c>
      <c r="C62">
        <v>3</v>
      </c>
      <c r="D62">
        <v>1</v>
      </c>
    </row>
    <row r="63" spans="1:4" x14ac:dyDescent="0.25">
      <c r="A63" s="8">
        <v>43526</v>
      </c>
      <c r="B63">
        <v>2019</v>
      </c>
      <c r="C63">
        <v>3</v>
      </c>
      <c r="D63">
        <v>1</v>
      </c>
    </row>
    <row r="64" spans="1:4" x14ac:dyDescent="0.25">
      <c r="A64" s="8">
        <v>43527</v>
      </c>
      <c r="B64">
        <v>2019</v>
      </c>
      <c r="C64">
        <v>3</v>
      </c>
      <c r="D64">
        <v>1</v>
      </c>
    </row>
    <row r="65" spans="1:4" x14ac:dyDescent="0.25">
      <c r="A65" s="8">
        <v>43528</v>
      </c>
      <c r="B65">
        <v>2019</v>
      </c>
      <c r="C65">
        <v>3</v>
      </c>
      <c r="D65">
        <v>2</v>
      </c>
    </row>
    <row r="66" spans="1:4" x14ac:dyDescent="0.25">
      <c r="A66" s="8">
        <v>43529</v>
      </c>
      <c r="B66">
        <v>2019</v>
      </c>
      <c r="C66">
        <v>3</v>
      </c>
      <c r="D66">
        <v>2</v>
      </c>
    </row>
    <row r="67" spans="1:4" x14ac:dyDescent="0.25">
      <c r="A67" s="8">
        <v>43530</v>
      </c>
      <c r="B67">
        <v>2019</v>
      </c>
      <c r="C67">
        <v>3</v>
      </c>
      <c r="D67">
        <v>2</v>
      </c>
    </row>
    <row r="68" spans="1:4" x14ac:dyDescent="0.25">
      <c r="A68" s="8">
        <v>43531</v>
      </c>
      <c r="B68">
        <v>2019</v>
      </c>
      <c r="C68">
        <v>3</v>
      </c>
      <c r="D68">
        <v>2</v>
      </c>
    </row>
    <row r="69" spans="1:4" x14ac:dyDescent="0.25">
      <c r="A69" s="8">
        <v>43532</v>
      </c>
      <c r="B69">
        <v>2019</v>
      </c>
      <c r="C69">
        <v>3</v>
      </c>
      <c r="D69">
        <v>2</v>
      </c>
    </row>
    <row r="70" spans="1:4" x14ac:dyDescent="0.25">
      <c r="A70" s="8">
        <v>43533</v>
      </c>
      <c r="B70">
        <v>2019</v>
      </c>
      <c r="C70">
        <v>3</v>
      </c>
      <c r="D70">
        <v>2</v>
      </c>
    </row>
    <row r="71" spans="1:4" x14ac:dyDescent="0.25">
      <c r="A71" s="8">
        <v>43534</v>
      </c>
      <c r="B71">
        <v>2019</v>
      </c>
      <c r="C71">
        <v>3</v>
      </c>
      <c r="D71">
        <v>2</v>
      </c>
    </row>
    <row r="72" spans="1:4" x14ac:dyDescent="0.25">
      <c r="A72" s="8">
        <v>43535</v>
      </c>
      <c r="B72">
        <v>2019</v>
      </c>
      <c r="C72">
        <v>3</v>
      </c>
      <c r="D72">
        <v>3</v>
      </c>
    </row>
    <row r="73" spans="1:4" x14ac:dyDescent="0.25">
      <c r="A73" s="8">
        <v>43536</v>
      </c>
      <c r="B73">
        <v>2019</v>
      </c>
      <c r="C73">
        <v>3</v>
      </c>
      <c r="D73">
        <v>3</v>
      </c>
    </row>
    <row r="74" spans="1:4" x14ac:dyDescent="0.25">
      <c r="A74" s="8">
        <v>43537</v>
      </c>
      <c r="B74">
        <v>2019</v>
      </c>
      <c r="C74">
        <v>3</v>
      </c>
      <c r="D74">
        <v>3</v>
      </c>
    </row>
    <row r="75" spans="1:4" x14ac:dyDescent="0.25">
      <c r="A75" s="8">
        <v>43538</v>
      </c>
      <c r="B75">
        <v>2019</v>
      </c>
      <c r="C75">
        <v>3</v>
      </c>
      <c r="D75">
        <v>3</v>
      </c>
    </row>
    <row r="76" spans="1:4" x14ac:dyDescent="0.25">
      <c r="A76" s="8">
        <v>43539</v>
      </c>
      <c r="B76">
        <v>2019</v>
      </c>
      <c r="C76">
        <v>3</v>
      </c>
      <c r="D76">
        <v>3</v>
      </c>
    </row>
    <row r="77" spans="1:4" x14ac:dyDescent="0.25">
      <c r="A77" s="8">
        <v>43540</v>
      </c>
      <c r="B77">
        <v>2019</v>
      </c>
      <c r="C77">
        <v>3</v>
      </c>
      <c r="D77">
        <v>3</v>
      </c>
    </row>
    <row r="78" spans="1:4" x14ac:dyDescent="0.25">
      <c r="A78" s="8">
        <v>43541</v>
      </c>
      <c r="B78">
        <v>2019</v>
      </c>
      <c r="C78">
        <v>3</v>
      </c>
      <c r="D78">
        <v>3</v>
      </c>
    </row>
    <row r="79" spans="1:4" x14ac:dyDescent="0.25">
      <c r="A79" s="8">
        <v>43542</v>
      </c>
      <c r="B79">
        <v>2019</v>
      </c>
      <c r="C79">
        <v>3</v>
      </c>
      <c r="D79">
        <v>4</v>
      </c>
    </row>
    <row r="80" spans="1:4" x14ac:dyDescent="0.25">
      <c r="A80" s="8">
        <v>43543</v>
      </c>
      <c r="B80">
        <v>2019</v>
      </c>
      <c r="C80">
        <v>3</v>
      </c>
      <c r="D80">
        <v>4</v>
      </c>
    </row>
    <row r="81" spans="1:4" x14ac:dyDescent="0.25">
      <c r="A81" s="8">
        <v>43544</v>
      </c>
      <c r="B81">
        <v>2019</v>
      </c>
      <c r="C81">
        <v>3</v>
      </c>
      <c r="D81">
        <v>4</v>
      </c>
    </row>
    <row r="82" spans="1:4" x14ac:dyDescent="0.25">
      <c r="A82" s="8">
        <v>43545</v>
      </c>
      <c r="B82">
        <v>2019</v>
      </c>
      <c r="C82">
        <v>3</v>
      </c>
      <c r="D82">
        <v>4</v>
      </c>
    </row>
    <row r="83" spans="1:4" x14ac:dyDescent="0.25">
      <c r="A83" s="8">
        <v>43546</v>
      </c>
      <c r="B83">
        <v>2019</v>
      </c>
      <c r="C83">
        <v>3</v>
      </c>
      <c r="D83">
        <v>4</v>
      </c>
    </row>
    <row r="84" spans="1:4" x14ac:dyDescent="0.25">
      <c r="A84" s="8">
        <v>43547</v>
      </c>
      <c r="B84">
        <v>2019</v>
      </c>
      <c r="C84">
        <v>3</v>
      </c>
      <c r="D84">
        <v>4</v>
      </c>
    </row>
    <row r="85" spans="1:4" x14ac:dyDescent="0.25">
      <c r="A85" s="8">
        <v>43548</v>
      </c>
      <c r="B85">
        <v>2019</v>
      </c>
      <c r="C85">
        <v>3</v>
      </c>
      <c r="D85">
        <v>4</v>
      </c>
    </row>
    <row r="86" spans="1:4" x14ac:dyDescent="0.25">
      <c r="A86" s="8">
        <v>43549</v>
      </c>
      <c r="B86">
        <v>2019</v>
      </c>
      <c r="C86">
        <v>3</v>
      </c>
      <c r="D86">
        <v>5</v>
      </c>
    </row>
    <row r="87" spans="1:4" x14ac:dyDescent="0.25">
      <c r="A87" s="8">
        <v>43550</v>
      </c>
      <c r="B87">
        <v>2019</v>
      </c>
      <c r="C87">
        <v>3</v>
      </c>
      <c r="D87">
        <v>5</v>
      </c>
    </row>
    <row r="88" spans="1:4" x14ac:dyDescent="0.25">
      <c r="A88" s="8">
        <v>43551</v>
      </c>
      <c r="B88">
        <v>2019</v>
      </c>
      <c r="C88">
        <v>3</v>
      </c>
      <c r="D88">
        <v>5</v>
      </c>
    </row>
    <row r="89" spans="1:4" x14ac:dyDescent="0.25">
      <c r="A89" s="8">
        <v>43552</v>
      </c>
      <c r="B89">
        <v>2019</v>
      </c>
      <c r="C89">
        <v>3</v>
      </c>
      <c r="D89">
        <v>5</v>
      </c>
    </row>
    <row r="90" spans="1:4" x14ac:dyDescent="0.25">
      <c r="A90" s="8">
        <v>43553</v>
      </c>
      <c r="B90">
        <v>2019</v>
      </c>
      <c r="C90">
        <v>3</v>
      </c>
      <c r="D90">
        <v>5</v>
      </c>
    </row>
    <row r="91" spans="1:4" x14ac:dyDescent="0.25">
      <c r="A91" s="8">
        <v>43554</v>
      </c>
      <c r="B91">
        <v>2019</v>
      </c>
      <c r="C91">
        <v>3</v>
      </c>
      <c r="D91">
        <v>5</v>
      </c>
    </row>
    <row r="92" spans="1:4" x14ac:dyDescent="0.25">
      <c r="A92" s="8">
        <v>43555</v>
      </c>
      <c r="B92">
        <v>2019</v>
      </c>
      <c r="C92">
        <v>3</v>
      </c>
      <c r="D92">
        <v>5</v>
      </c>
    </row>
    <row r="93" spans="1:4" x14ac:dyDescent="0.25">
      <c r="A93" s="8">
        <v>43556</v>
      </c>
      <c r="B93">
        <v>2019</v>
      </c>
      <c r="C93">
        <v>4</v>
      </c>
      <c r="D93">
        <v>1</v>
      </c>
    </row>
    <row r="94" spans="1:4" x14ac:dyDescent="0.25">
      <c r="A94" s="8">
        <v>43557</v>
      </c>
      <c r="B94">
        <v>2019</v>
      </c>
      <c r="C94">
        <v>4</v>
      </c>
      <c r="D94">
        <v>1</v>
      </c>
    </row>
    <row r="95" spans="1:4" x14ac:dyDescent="0.25">
      <c r="A95" s="8">
        <v>43558</v>
      </c>
      <c r="B95">
        <v>2019</v>
      </c>
      <c r="C95">
        <v>4</v>
      </c>
      <c r="D95">
        <v>1</v>
      </c>
    </row>
    <row r="96" spans="1:4" x14ac:dyDescent="0.25">
      <c r="A96" s="8">
        <v>43559</v>
      </c>
      <c r="B96">
        <v>2019</v>
      </c>
      <c r="C96">
        <v>4</v>
      </c>
      <c r="D96">
        <v>1</v>
      </c>
    </row>
    <row r="97" spans="1:4" x14ac:dyDescent="0.25">
      <c r="A97" s="8">
        <v>43560</v>
      </c>
      <c r="B97">
        <v>2019</v>
      </c>
      <c r="C97">
        <v>4</v>
      </c>
      <c r="D97">
        <v>1</v>
      </c>
    </row>
    <row r="98" spans="1:4" x14ac:dyDescent="0.25">
      <c r="A98" s="8">
        <v>43561</v>
      </c>
      <c r="B98">
        <v>2019</v>
      </c>
      <c r="C98">
        <v>4</v>
      </c>
      <c r="D98">
        <v>1</v>
      </c>
    </row>
    <row r="99" spans="1:4" x14ac:dyDescent="0.25">
      <c r="A99" s="8">
        <v>43562</v>
      </c>
      <c r="B99">
        <v>2019</v>
      </c>
      <c r="C99">
        <v>4</v>
      </c>
      <c r="D99">
        <v>1</v>
      </c>
    </row>
    <row r="100" spans="1:4" x14ac:dyDescent="0.25">
      <c r="A100" s="8">
        <v>43563</v>
      </c>
      <c r="B100">
        <v>2019</v>
      </c>
      <c r="C100">
        <v>4</v>
      </c>
      <c r="D100">
        <v>2</v>
      </c>
    </row>
    <row r="101" spans="1:4" x14ac:dyDescent="0.25">
      <c r="A101" s="8">
        <v>43564</v>
      </c>
      <c r="B101">
        <v>2019</v>
      </c>
      <c r="C101">
        <v>4</v>
      </c>
      <c r="D101">
        <v>2</v>
      </c>
    </row>
    <row r="102" spans="1:4" x14ac:dyDescent="0.25">
      <c r="A102" s="8">
        <v>43565</v>
      </c>
      <c r="B102">
        <v>2019</v>
      </c>
      <c r="C102">
        <v>4</v>
      </c>
      <c r="D102">
        <v>2</v>
      </c>
    </row>
    <row r="103" spans="1:4" x14ac:dyDescent="0.25">
      <c r="A103" s="8">
        <v>43566</v>
      </c>
      <c r="B103">
        <v>2019</v>
      </c>
      <c r="C103">
        <v>4</v>
      </c>
      <c r="D103">
        <v>2</v>
      </c>
    </row>
    <row r="104" spans="1:4" x14ac:dyDescent="0.25">
      <c r="A104" s="8">
        <v>43567</v>
      </c>
      <c r="B104">
        <v>2019</v>
      </c>
      <c r="C104">
        <v>4</v>
      </c>
      <c r="D104">
        <v>2</v>
      </c>
    </row>
    <row r="105" spans="1:4" x14ac:dyDescent="0.25">
      <c r="A105" s="8">
        <v>43568</v>
      </c>
      <c r="B105">
        <v>2019</v>
      </c>
      <c r="C105">
        <v>4</v>
      </c>
      <c r="D105">
        <v>2</v>
      </c>
    </row>
    <row r="106" spans="1:4" x14ac:dyDescent="0.25">
      <c r="A106" s="8">
        <v>43569</v>
      </c>
      <c r="B106">
        <v>2019</v>
      </c>
      <c r="C106">
        <v>4</v>
      </c>
      <c r="D106">
        <v>2</v>
      </c>
    </row>
    <row r="107" spans="1:4" x14ac:dyDescent="0.25">
      <c r="A107" s="8">
        <v>43570</v>
      </c>
      <c r="B107">
        <v>2019</v>
      </c>
      <c r="C107">
        <v>4</v>
      </c>
      <c r="D107">
        <v>3</v>
      </c>
    </row>
    <row r="108" spans="1:4" x14ac:dyDescent="0.25">
      <c r="A108" s="8">
        <v>43571</v>
      </c>
      <c r="B108">
        <v>2019</v>
      </c>
      <c r="C108">
        <v>4</v>
      </c>
      <c r="D108">
        <v>3</v>
      </c>
    </row>
    <row r="109" spans="1:4" x14ac:dyDescent="0.25">
      <c r="A109" s="8">
        <v>43572</v>
      </c>
      <c r="B109">
        <v>2019</v>
      </c>
      <c r="C109">
        <v>4</v>
      </c>
      <c r="D109">
        <v>3</v>
      </c>
    </row>
    <row r="110" spans="1:4" x14ac:dyDescent="0.25">
      <c r="A110" s="8">
        <v>43573</v>
      </c>
      <c r="B110">
        <v>2019</v>
      </c>
      <c r="C110">
        <v>4</v>
      </c>
      <c r="D110">
        <v>3</v>
      </c>
    </row>
    <row r="111" spans="1:4" x14ac:dyDescent="0.25">
      <c r="A111" s="8">
        <v>43574</v>
      </c>
      <c r="B111">
        <v>2019</v>
      </c>
      <c r="C111">
        <v>4</v>
      </c>
      <c r="D111">
        <v>3</v>
      </c>
    </row>
    <row r="112" spans="1:4" x14ac:dyDescent="0.25">
      <c r="A112" s="8">
        <v>43575</v>
      </c>
      <c r="B112">
        <v>2019</v>
      </c>
      <c r="C112">
        <v>4</v>
      </c>
      <c r="D112">
        <v>3</v>
      </c>
    </row>
    <row r="113" spans="1:4" x14ac:dyDescent="0.25">
      <c r="A113" s="8">
        <v>43576</v>
      </c>
      <c r="B113">
        <v>2019</v>
      </c>
      <c r="C113">
        <v>4</v>
      </c>
      <c r="D113">
        <v>3</v>
      </c>
    </row>
    <row r="114" spans="1:4" x14ac:dyDescent="0.25">
      <c r="A114" s="8">
        <v>43577</v>
      </c>
      <c r="B114">
        <v>2019</v>
      </c>
      <c r="C114">
        <v>4</v>
      </c>
      <c r="D114">
        <v>4</v>
      </c>
    </row>
    <row r="115" spans="1:4" x14ac:dyDescent="0.25">
      <c r="A115" s="8">
        <v>43578</v>
      </c>
      <c r="B115">
        <v>2019</v>
      </c>
      <c r="C115">
        <v>4</v>
      </c>
      <c r="D115">
        <v>4</v>
      </c>
    </row>
    <row r="116" spans="1:4" x14ac:dyDescent="0.25">
      <c r="A116" s="8">
        <v>43579</v>
      </c>
      <c r="B116">
        <v>2019</v>
      </c>
      <c r="C116">
        <v>4</v>
      </c>
      <c r="D116">
        <v>4</v>
      </c>
    </row>
    <row r="117" spans="1:4" x14ac:dyDescent="0.25">
      <c r="A117" s="8">
        <v>43580</v>
      </c>
      <c r="B117">
        <v>2019</v>
      </c>
      <c r="C117">
        <v>4</v>
      </c>
      <c r="D117">
        <v>4</v>
      </c>
    </row>
    <row r="118" spans="1:4" x14ac:dyDescent="0.25">
      <c r="A118" s="8">
        <v>43581</v>
      </c>
      <c r="B118">
        <v>2019</v>
      </c>
      <c r="C118">
        <v>4</v>
      </c>
      <c r="D118">
        <v>4</v>
      </c>
    </row>
    <row r="119" spans="1:4" x14ac:dyDescent="0.25">
      <c r="A119" s="8">
        <v>43582</v>
      </c>
      <c r="B119">
        <v>2019</v>
      </c>
      <c r="C119">
        <v>4</v>
      </c>
      <c r="D119">
        <v>4</v>
      </c>
    </row>
    <row r="120" spans="1:4" x14ac:dyDescent="0.25">
      <c r="A120" s="8">
        <v>43583</v>
      </c>
      <c r="B120">
        <v>2019</v>
      </c>
      <c r="C120">
        <v>4</v>
      </c>
      <c r="D120">
        <v>4</v>
      </c>
    </row>
    <row r="121" spans="1:4" x14ac:dyDescent="0.25">
      <c r="A121" s="8">
        <v>43584</v>
      </c>
      <c r="B121">
        <v>2019</v>
      </c>
      <c r="C121">
        <v>5</v>
      </c>
      <c r="D121">
        <v>1</v>
      </c>
    </row>
    <row r="122" spans="1:4" x14ac:dyDescent="0.25">
      <c r="A122" s="8">
        <v>43585</v>
      </c>
      <c r="B122">
        <v>2019</v>
      </c>
      <c r="C122">
        <v>5</v>
      </c>
      <c r="D122">
        <v>1</v>
      </c>
    </row>
    <row r="123" spans="1:4" x14ac:dyDescent="0.25">
      <c r="A123" s="8">
        <v>43586</v>
      </c>
      <c r="B123">
        <v>2019</v>
      </c>
      <c r="C123">
        <v>5</v>
      </c>
      <c r="D123">
        <v>1</v>
      </c>
    </row>
    <row r="124" spans="1:4" x14ac:dyDescent="0.25">
      <c r="A124" s="8">
        <v>43587</v>
      </c>
      <c r="B124">
        <v>2019</v>
      </c>
      <c r="C124">
        <v>5</v>
      </c>
      <c r="D124">
        <v>1</v>
      </c>
    </row>
    <row r="125" spans="1:4" x14ac:dyDescent="0.25">
      <c r="A125" s="8">
        <v>43588</v>
      </c>
      <c r="B125">
        <v>2019</v>
      </c>
      <c r="C125">
        <v>5</v>
      </c>
      <c r="D125">
        <v>1</v>
      </c>
    </row>
    <row r="126" spans="1:4" x14ac:dyDescent="0.25">
      <c r="A126" s="8">
        <v>43589</v>
      </c>
      <c r="B126">
        <v>2019</v>
      </c>
      <c r="C126">
        <v>5</v>
      </c>
      <c r="D126">
        <v>1</v>
      </c>
    </row>
    <row r="127" spans="1:4" x14ac:dyDescent="0.25">
      <c r="A127" s="8">
        <v>43590</v>
      </c>
      <c r="B127">
        <v>2019</v>
      </c>
      <c r="C127">
        <v>5</v>
      </c>
      <c r="D127">
        <v>1</v>
      </c>
    </row>
    <row r="128" spans="1:4" x14ac:dyDescent="0.25">
      <c r="A128" s="8">
        <v>43591</v>
      </c>
      <c r="B128">
        <v>2019</v>
      </c>
      <c r="C128">
        <v>5</v>
      </c>
      <c r="D128">
        <v>2</v>
      </c>
    </row>
    <row r="129" spans="1:4" x14ac:dyDescent="0.25">
      <c r="A129" s="8">
        <v>43592</v>
      </c>
      <c r="B129">
        <v>2019</v>
      </c>
      <c r="C129">
        <v>5</v>
      </c>
      <c r="D129">
        <v>2</v>
      </c>
    </row>
    <row r="130" spans="1:4" x14ac:dyDescent="0.25">
      <c r="A130" s="8">
        <v>43593</v>
      </c>
      <c r="B130">
        <v>2019</v>
      </c>
      <c r="C130">
        <v>5</v>
      </c>
      <c r="D130">
        <v>2</v>
      </c>
    </row>
    <row r="131" spans="1:4" x14ac:dyDescent="0.25">
      <c r="A131" s="8">
        <v>43594</v>
      </c>
      <c r="B131">
        <v>2019</v>
      </c>
      <c r="C131">
        <v>5</v>
      </c>
      <c r="D131">
        <v>2</v>
      </c>
    </row>
    <row r="132" spans="1:4" x14ac:dyDescent="0.25">
      <c r="A132" s="8">
        <v>43595</v>
      </c>
      <c r="B132">
        <v>2019</v>
      </c>
      <c r="C132">
        <v>5</v>
      </c>
      <c r="D132">
        <v>2</v>
      </c>
    </row>
    <row r="133" spans="1:4" x14ac:dyDescent="0.25">
      <c r="A133" s="8">
        <v>43596</v>
      </c>
      <c r="B133">
        <v>2019</v>
      </c>
      <c r="C133">
        <v>5</v>
      </c>
      <c r="D133">
        <v>2</v>
      </c>
    </row>
    <row r="134" spans="1:4" x14ac:dyDescent="0.25">
      <c r="A134" s="8">
        <v>43597</v>
      </c>
      <c r="B134">
        <v>2019</v>
      </c>
      <c r="C134">
        <v>5</v>
      </c>
      <c r="D134">
        <v>2</v>
      </c>
    </row>
    <row r="135" spans="1:4" x14ac:dyDescent="0.25">
      <c r="A135" s="8">
        <v>43598</v>
      </c>
      <c r="B135">
        <v>2019</v>
      </c>
      <c r="C135">
        <v>5</v>
      </c>
      <c r="D135">
        <v>3</v>
      </c>
    </row>
    <row r="136" spans="1:4" x14ac:dyDescent="0.25">
      <c r="A136" s="8">
        <v>43599</v>
      </c>
      <c r="B136">
        <v>2019</v>
      </c>
      <c r="C136">
        <v>5</v>
      </c>
      <c r="D136">
        <v>3</v>
      </c>
    </row>
    <row r="137" spans="1:4" x14ac:dyDescent="0.25">
      <c r="A137" s="8">
        <v>43600</v>
      </c>
      <c r="B137">
        <v>2019</v>
      </c>
      <c r="C137">
        <v>5</v>
      </c>
      <c r="D137">
        <v>3</v>
      </c>
    </row>
    <row r="138" spans="1:4" x14ac:dyDescent="0.25">
      <c r="A138" s="8">
        <v>43601</v>
      </c>
      <c r="B138">
        <v>2019</v>
      </c>
      <c r="C138">
        <v>5</v>
      </c>
      <c r="D138">
        <v>3</v>
      </c>
    </row>
    <row r="139" spans="1:4" x14ac:dyDescent="0.25">
      <c r="A139" s="8">
        <v>43602</v>
      </c>
      <c r="B139">
        <v>2019</v>
      </c>
      <c r="C139">
        <v>5</v>
      </c>
      <c r="D139">
        <v>3</v>
      </c>
    </row>
    <row r="140" spans="1:4" x14ac:dyDescent="0.25">
      <c r="A140" s="8">
        <v>43603</v>
      </c>
      <c r="B140">
        <v>2019</v>
      </c>
      <c r="C140">
        <v>5</v>
      </c>
      <c r="D140">
        <v>3</v>
      </c>
    </row>
    <row r="141" spans="1:4" x14ac:dyDescent="0.25">
      <c r="A141" s="8">
        <v>43604</v>
      </c>
      <c r="B141">
        <v>2019</v>
      </c>
      <c r="C141">
        <v>5</v>
      </c>
      <c r="D141">
        <v>3</v>
      </c>
    </row>
    <row r="142" spans="1:4" x14ac:dyDescent="0.25">
      <c r="A142" s="8">
        <v>43605</v>
      </c>
      <c r="B142">
        <v>2019</v>
      </c>
      <c r="C142">
        <v>5</v>
      </c>
      <c r="D142">
        <v>4</v>
      </c>
    </row>
    <row r="143" spans="1:4" x14ac:dyDescent="0.25">
      <c r="A143" s="8">
        <v>43606</v>
      </c>
      <c r="B143">
        <v>2019</v>
      </c>
      <c r="C143">
        <v>5</v>
      </c>
      <c r="D143">
        <v>4</v>
      </c>
    </row>
    <row r="144" spans="1:4" x14ac:dyDescent="0.25">
      <c r="A144" s="8">
        <v>43607</v>
      </c>
      <c r="B144">
        <v>2019</v>
      </c>
      <c r="C144">
        <v>5</v>
      </c>
      <c r="D144">
        <v>4</v>
      </c>
    </row>
    <row r="145" spans="1:4" x14ac:dyDescent="0.25">
      <c r="A145" s="8">
        <v>43608</v>
      </c>
      <c r="B145">
        <v>2019</v>
      </c>
      <c r="C145">
        <v>5</v>
      </c>
      <c r="D145">
        <v>4</v>
      </c>
    </row>
    <row r="146" spans="1:4" x14ac:dyDescent="0.25">
      <c r="A146" s="8">
        <v>43609</v>
      </c>
      <c r="B146">
        <v>2019</v>
      </c>
      <c r="C146">
        <v>5</v>
      </c>
      <c r="D146">
        <v>4</v>
      </c>
    </row>
    <row r="147" spans="1:4" x14ac:dyDescent="0.25">
      <c r="A147" s="8">
        <v>43610</v>
      </c>
      <c r="B147">
        <v>2019</v>
      </c>
      <c r="C147">
        <v>5</v>
      </c>
      <c r="D147">
        <v>4</v>
      </c>
    </row>
    <row r="148" spans="1:4" x14ac:dyDescent="0.25">
      <c r="A148" s="8">
        <v>43611</v>
      </c>
      <c r="B148">
        <v>2019</v>
      </c>
      <c r="C148">
        <v>5</v>
      </c>
      <c r="D148">
        <v>4</v>
      </c>
    </row>
    <row r="149" spans="1:4" x14ac:dyDescent="0.25">
      <c r="A149" s="8">
        <v>43612</v>
      </c>
      <c r="B149">
        <v>2019</v>
      </c>
      <c r="C149">
        <v>6</v>
      </c>
      <c r="D149">
        <v>1</v>
      </c>
    </row>
    <row r="150" spans="1:4" x14ac:dyDescent="0.25">
      <c r="A150" s="8">
        <v>43613</v>
      </c>
      <c r="B150">
        <v>2019</v>
      </c>
      <c r="C150">
        <v>6</v>
      </c>
      <c r="D150">
        <v>1</v>
      </c>
    </row>
    <row r="151" spans="1:4" x14ac:dyDescent="0.25">
      <c r="A151" s="8">
        <v>43614</v>
      </c>
      <c r="B151">
        <v>2019</v>
      </c>
      <c r="C151">
        <v>6</v>
      </c>
      <c r="D151">
        <v>1</v>
      </c>
    </row>
    <row r="152" spans="1:4" x14ac:dyDescent="0.25">
      <c r="A152" s="8">
        <v>43615</v>
      </c>
      <c r="B152">
        <v>2019</v>
      </c>
      <c r="C152">
        <v>6</v>
      </c>
      <c r="D152">
        <v>1</v>
      </c>
    </row>
    <row r="153" spans="1:4" x14ac:dyDescent="0.25">
      <c r="A153" s="8">
        <v>43616</v>
      </c>
      <c r="B153">
        <v>2019</v>
      </c>
      <c r="C153">
        <v>6</v>
      </c>
      <c r="D153">
        <v>1</v>
      </c>
    </row>
    <row r="154" spans="1:4" x14ac:dyDescent="0.25">
      <c r="A154" s="8">
        <v>43617</v>
      </c>
      <c r="B154">
        <v>2019</v>
      </c>
      <c r="C154">
        <v>6</v>
      </c>
      <c r="D154">
        <v>1</v>
      </c>
    </row>
    <row r="155" spans="1:4" x14ac:dyDescent="0.25">
      <c r="A155" s="8">
        <v>43618</v>
      </c>
      <c r="B155">
        <v>2019</v>
      </c>
      <c r="C155">
        <v>6</v>
      </c>
      <c r="D155">
        <v>1</v>
      </c>
    </row>
    <row r="156" spans="1:4" x14ac:dyDescent="0.25">
      <c r="A156" s="8">
        <v>43619</v>
      </c>
      <c r="B156">
        <v>2019</v>
      </c>
      <c r="C156">
        <v>6</v>
      </c>
      <c r="D156">
        <v>2</v>
      </c>
    </row>
    <row r="157" spans="1:4" x14ac:dyDescent="0.25">
      <c r="A157" s="8">
        <v>43620</v>
      </c>
      <c r="B157">
        <v>2019</v>
      </c>
      <c r="C157">
        <v>6</v>
      </c>
      <c r="D157">
        <v>2</v>
      </c>
    </row>
    <row r="158" spans="1:4" x14ac:dyDescent="0.25">
      <c r="A158" s="8">
        <v>43621</v>
      </c>
      <c r="B158">
        <v>2019</v>
      </c>
      <c r="C158">
        <v>6</v>
      </c>
      <c r="D158">
        <v>2</v>
      </c>
    </row>
    <row r="159" spans="1:4" x14ac:dyDescent="0.25">
      <c r="A159" s="8">
        <v>43622</v>
      </c>
      <c r="B159">
        <v>2019</v>
      </c>
      <c r="C159">
        <v>6</v>
      </c>
      <c r="D159">
        <v>2</v>
      </c>
    </row>
    <row r="160" spans="1:4" x14ac:dyDescent="0.25">
      <c r="A160" s="8">
        <v>43623</v>
      </c>
      <c r="B160">
        <v>2019</v>
      </c>
      <c r="C160">
        <v>6</v>
      </c>
      <c r="D160">
        <v>2</v>
      </c>
    </row>
    <row r="161" spans="1:4" x14ac:dyDescent="0.25">
      <c r="A161" s="8">
        <v>43624</v>
      </c>
      <c r="B161">
        <v>2019</v>
      </c>
      <c r="C161">
        <v>6</v>
      </c>
      <c r="D161">
        <v>2</v>
      </c>
    </row>
    <row r="162" spans="1:4" x14ac:dyDescent="0.25">
      <c r="A162" s="8">
        <v>43625</v>
      </c>
      <c r="B162">
        <v>2019</v>
      </c>
      <c r="C162">
        <v>6</v>
      </c>
      <c r="D162">
        <v>2</v>
      </c>
    </row>
    <row r="163" spans="1:4" x14ac:dyDescent="0.25">
      <c r="A163" s="8">
        <v>43626</v>
      </c>
      <c r="B163">
        <v>2019</v>
      </c>
      <c r="C163">
        <v>6</v>
      </c>
      <c r="D163">
        <v>3</v>
      </c>
    </row>
    <row r="164" spans="1:4" x14ac:dyDescent="0.25">
      <c r="A164" s="8">
        <v>43627</v>
      </c>
      <c r="B164">
        <v>2019</v>
      </c>
      <c r="C164">
        <v>6</v>
      </c>
      <c r="D164">
        <v>3</v>
      </c>
    </row>
    <row r="165" spans="1:4" x14ac:dyDescent="0.25">
      <c r="A165" s="8">
        <v>43628</v>
      </c>
      <c r="B165">
        <v>2019</v>
      </c>
      <c r="C165">
        <v>6</v>
      </c>
      <c r="D165">
        <v>3</v>
      </c>
    </row>
    <row r="166" spans="1:4" x14ac:dyDescent="0.25">
      <c r="A166" s="8">
        <v>43629</v>
      </c>
      <c r="B166">
        <v>2019</v>
      </c>
      <c r="C166">
        <v>6</v>
      </c>
      <c r="D166">
        <v>3</v>
      </c>
    </row>
    <row r="167" spans="1:4" x14ac:dyDescent="0.25">
      <c r="A167" s="8">
        <v>43630</v>
      </c>
      <c r="B167">
        <v>2019</v>
      </c>
      <c r="C167">
        <v>6</v>
      </c>
      <c r="D167">
        <v>3</v>
      </c>
    </row>
    <row r="168" spans="1:4" x14ac:dyDescent="0.25">
      <c r="A168" s="8">
        <v>43631</v>
      </c>
      <c r="B168">
        <v>2019</v>
      </c>
      <c r="C168">
        <v>6</v>
      </c>
      <c r="D168">
        <v>3</v>
      </c>
    </row>
    <row r="169" spans="1:4" x14ac:dyDescent="0.25">
      <c r="A169" s="8">
        <v>43632</v>
      </c>
      <c r="B169">
        <v>2019</v>
      </c>
      <c r="C169">
        <v>6</v>
      </c>
      <c r="D169">
        <v>3</v>
      </c>
    </row>
    <row r="170" spans="1:4" x14ac:dyDescent="0.25">
      <c r="A170" s="8">
        <v>43633</v>
      </c>
      <c r="B170">
        <v>2019</v>
      </c>
      <c r="C170">
        <v>6</v>
      </c>
      <c r="D170">
        <v>4</v>
      </c>
    </row>
    <row r="171" spans="1:4" x14ac:dyDescent="0.25">
      <c r="A171" s="8">
        <v>43634</v>
      </c>
      <c r="B171">
        <v>2019</v>
      </c>
      <c r="C171">
        <v>6</v>
      </c>
      <c r="D171">
        <v>4</v>
      </c>
    </row>
    <row r="172" spans="1:4" x14ac:dyDescent="0.25">
      <c r="A172" s="8">
        <v>43635</v>
      </c>
      <c r="B172">
        <v>2019</v>
      </c>
      <c r="C172">
        <v>6</v>
      </c>
      <c r="D172">
        <v>4</v>
      </c>
    </row>
    <row r="173" spans="1:4" x14ac:dyDescent="0.25">
      <c r="A173" s="8">
        <v>43636</v>
      </c>
      <c r="B173">
        <v>2019</v>
      </c>
      <c r="C173">
        <v>6</v>
      </c>
      <c r="D173">
        <v>4</v>
      </c>
    </row>
    <row r="174" spans="1:4" x14ac:dyDescent="0.25">
      <c r="A174" s="8">
        <v>43637</v>
      </c>
      <c r="B174">
        <v>2019</v>
      </c>
      <c r="C174">
        <v>6</v>
      </c>
      <c r="D174">
        <v>4</v>
      </c>
    </row>
    <row r="175" spans="1:4" x14ac:dyDescent="0.25">
      <c r="A175" s="8">
        <v>43638</v>
      </c>
      <c r="B175">
        <v>2019</v>
      </c>
      <c r="C175">
        <v>6</v>
      </c>
      <c r="D175">
        <v>4</v>
      </c>
    </row>
    <row r="176" spans="1:4" x14ac:dyDescent="0.25">
      <c r="A176" s="8">
        <v>43639</v>
      </c>
      <c r="B176">
        <v>2019</v>
      </c>
      <c r="C176">
        <v>6</v>
      </c>
      <c r="D176">
        <v>4</v>
      </c>
    </row>
    <row r="177" spans="1:4" x14ac:dyDescent="0.25">
      <c r="A177" s="8">
        <v>43640</v>
      </c>
      <c r="B177">
        <v>2019</v>
      </c>
      <c r="C177">
        <v>6</v>
      </c>
      <c r="D177">
        <v>5</v>
      </c>
    </row>
    <row r="178" spans="1:4" x14ac:dyDescent="0.25">
      <c r="A178" s="8">
        <v>43641</v>
      </c>
      <c r="B178">
        <v>2019</v>
      </c>
      <c r="C178">
        <v>6</v>
      </c>
      <c r="D178">
        <v>5</v>
      </c>
    </row>
    <row r="179" spans="1:4" x14ac:dyDescent="0.25">
      <c r="A179" s="8">
        <v>43642</v>
      </c>
      <c r="B179">
        <v>2019</v>
      </c>
      <c r="C179">
        <v>6</v>
      </c>
      <c r="D179">
        <v>5</v>
      </c>
    </row>
    <row r="180" spans="1:4" x14ac:dyDescent="0.25">
      <c r="A180" s="8">
        <v>43643</v>
      </c>
      <c r="B180">
        <v>2019</v>
      </c>
      <c r="C180">
        <v>6</v>
      </c>
      <c r="D180">
        <v>5</v>
      </c>
    </row>
    <row r="181" spans="1:4" x14ac:dyDescent="0.25">
      <c r="A181" s="8">
        <v>43644</v>
      </c>
      <c r="B181">
        <v>2019</v>
      </c>
      <c r="C181">
        <v>6</v>
      </c>
      <c r="D181">
        <v>5</v>
      </c>
    </row>
    <row r="182" spans="1:4" x14ac:dyDescent="0.25">
      <c r="A182" s="8">
        <v>43645</v>
      </c>
      <c r="B182">
        <v>2019</v>
      </c>
      <c r="C182">
        <v>6</v>
      </c>
      <c r="D182">
        <v>5</v>
      </c>
    </row>
    <row r="183" spans="1:4" x14ac:dyDescent="0.25">
      <c r="A183" s="8">
        <v>43646</v>
      </c>
      <c r="B183">
        <v>2019</v>
      </c>
      <c r="C183">
        <v>6</v>
      </c>
      <c r="D183">
        <v>5</v>
      </c>
    </row>
    <row r="184" spans="1:4" x14ac:dyDescent="0.25">
      <c r="A184" s="8">
        <v>43647</v>
      </c>
      <c r="B184">
        <v>2019</v>
      </c>
      <c r="C184">
        <v>7</v>
      </c>
      <c r="D184">
        <v>1</v>
      </c>
    </row>
    <row r="185" spans="1:4" x14ac:dyDescent="0.25">
      <c r="A185" s="8">
        <v>43648</v>
      </c>
      <c r="B185">
        <v>2019</v>
      </c>
      <c r="C185">
        <v>7</v>
      </c>
      <c r="D185">
        <v>1</v>
      </c>
    </row>
    <row r="186" spans="1:4" x14ac:dyDescent="0.25">
      <c r="A186" s="8">
        <v>43649</v>
      </c>
      <c r="B186">
        <v>2019</v>
      </c>
      <c r="C186">
        <v>7</v>
      </c>
      <c r="D186">
        <v>1</v>
      </c>
    </row>
    <row r="187" spans="1:4" x14ac:dyDescent="0.25">
      <c r="A187" s="8">
        <v>43650</v>
      </c>
      <c r="B187">
        <v>2019</v>
      </c>
      <c r="C187">
        <v>7</v>
      </c>
      <c r="D187">
        <v>1</v>
      </c>
    </row>
    <row r="188" spans="1:4" x14ac:dyDescent="0.25">
      <c r="A188" s="8">
        <v>43651</v>
      </c>
      <c r="B188">
        <v>2019</v>
      </c>
      <c r="C188">
        <v>7</v>
      </c>
      <c r="D188">
        <v>1</v>
      </c>
    </row>
    <row r="189" spans="1:4" x14ac:dyDescent="0.25">
      <c r="A189" s="8">
        <v>43652</v>
      </c>
      <c r="B189">
        <v>2019</v>
      </c>
      <c r="C189">
        <v>7</v>
      </c>
      <c r="D189">
        <v>1</v>
      </c>
    </row>
    <row r="190" spans="1:4" x14ac:dyDescent="0.25">
      <c r="A190" s="8">
        <v>43653</v>
      </c>
      <c r="B190">
        <v>2019</v>
      </c>
      <c r="C190">
        <v>7</v>
      </c>
      <c r="D190">
        <v>1</v>
      </c>
    </row>
    <row r="191" spans="1:4" x14ac:dyDescent="0.25">
      <c r="A191" s="8">
        <v>43654</v>
      </c>
      <c r="B191">
        <v>2019</v>
      </c>
      <c r="C191">
        <v>7</v>
      </c>
      <c r="D191">
        <v>2</v>
      </c>
    </row>
    <row r="192" spans="1:4" x14ac:dyDescent="0.25">
      <c r="A192" s="8">
        <v>43655</v>
      </c>
      <c r="B192">
        <v>2019</v>
      </c>
      <c r="C192">
        <v>7</v>
      </c>
      <c r="D192">
        <v>2</v>
      </c>
    </row>
    <row r="193" spans="1:4" x14ac:dyDescent="0.25">
      <c r="A193" s="8">
        <v>43656</v>
      </c>
      <c r="B193">
        <v>2019</v>
      </c>
      <c r="C193">
        <v>7</v>
      </c>
      <c r="D193">
        <v>2</v>
      </c>
    </row>
    <row r="194" spans="1:4" x14ac:dyDescent="0.25">
      <c r="A194" s="8">
        <v>43657</v>
      </c>
      <c r="B194">
        <v>2019</v>
      </c>
      <c r="C194">
        <v>7</v>
      </c>
      <c r="D194">
        <v>2</v>
      </c>
    </row>
    <row r="195" spans="1:4" x14ac:dyDescent="0.25">
      <c r="A195" s="8">
        <v>43658</v>
      </c>
      <c r="B195">
        <v>2019</v>
      </c>
      <c r="C195">
        <v>7</v>
      </c>
      <c r="D195">
        <v>2</v>
      </c>
    </row>
    <row r="196" spans="1:4" x14ac:dyDescent="0.25">
      <c r="A196" s="8">
        <v>43659</v>
      </c>
      <c r="B196">
        <v>2019</v>
      </c>
      <c r="C196">
        <v>7</v>
      </c>
      <c r="D196">
        <v>2</v>
      </c>
    </row>
    <row r="197" spans="1:4" x14ac:dyDescent="0.25">
      <c r="A197" s="8">
        <v>43660</v>
      </c>
      <c r="B197">
        <v>2019</v>
      </c>
      <c r="C197">
        <v>7</v>
      </c>
      <c r="D197">
        <v>2</v>
      </c>
    </row>
    <row r="198" spans="1:4" x14ac:dyDescent="0.25">
      <c r="A198" s="8">
        <v>43661</v>
      </c>
      <c r="B198">
        <v>2019</v>
      </c>
      <c r="C198">
        <v>7</v>
      </c>
      <c r="D198">
        <v>3</v>
      </c>
    </row>
    <row r="199" spans="1:4" x14ac:dyDescent="0.25">
      <c r="A199" s="8">
        <v>43662</v>
      </c>
      <c r="B199">
        <v>2019</v>
      </c>
      <c r="C199">
        <v>7</v>
      </c>
      <c r="D199">
        <v>3</v>
      </c>
    </row>
    <row r="200" spans="1:4" x14ac:dyDescent="0.25">
      <c r="A200" s="8">
        <v>43663</v>
      </c>
      <c r="B200">
        <v>2019</v>
      </c>
      <c r="C200">
        <v>7</v>
      </c>
      <c r="D200">
        <v>3</v>
      </c>
    </row>
    <row r="201" spans="1:4" x14ac:dyDescent="0.25">
      <c r="A201" s="8">
        <v>43664</v>
      </c>
      <c r="B201">
        <v>2019</v>
      </c>
      <c r="C201">
        <v>7</v>
      </c>
      <c r="D201">
        <v>3</v>
      </c>
    </row>
    <row r="202" spans="1:4" x14ac:dyDescent="0.25">
      <c r="A202" s="8">
        <v>43665</v>
      </c>
      <c r="B202">
        <v>2019</v>
      </c>
      <c r="C202">
        <v>7</v>
      </c>
      <c r="D202">
        <v>3</v>
      </c>
    </row>
    <row r="203" spans="1:4" x14ac:dyDescent="0.25">
      <c r="A203" s="8">
        <v>43666</v>
      </c>
      <c r="B203">
        <v>2019</v>
      </c>
      <c r="C203">
        <v>7</v>
      </c>
      <c r="D203">
        <v>3</v>
      </c>
    </row>
    <row r="204" spans="1:4" x14ac:dyDescent="0.25">
      <c r="A204" s="8">
        <v>43667</v>
      </c>
      <c r="B204">
        <v>2019</v>
      </c>
      <c r="C204">
        <v>7</v>
      </c>
      <c r="D204">
        <v>3</v>
      </c>
    </row>
    <row r="205" spans="1:4" x14ac:dyDescent="0.25">
      <c r="A205" s="8">
        <v>43668</v>
      </c>
      <c r="B205">
        <v>2019</v>
      </c>
      <c r="C205">
        <v>7</v>
      </c>
      <c r="D205">
        <v>4</v>
      </c>
    </row>
    <row r="206" spans="1:4" x14ac:dyDescent="0.25">
      <c r="A206" s="8">
        <v>43669</v>
      </c>
      <c r="B206">
        <v>2019</v>
      </c>
      <c r="C206">
        <v>7</v>
      </c>
      <c r="D206">
        <v>4</v>
      </c>
    </row>
    <row r="207" spans="1:4" x14ac:dyDescent="0.25">
      <c r="A207" s="8">
        <v>43670</v>
      </c>
      <c r="B207">
        <v>2019</v>
      </c>
      <c r="C207">
        <v>7</v>
      </c>
      <c r="D207">
        <v>4</v>
      </c>
    </row>
    <row r="208" spans="1:4" x14ac:dyDescent="0.25">
      <c r="A208" s="8">
        <v>43671</v>
      </c>
      <c r="B208">
        <v>2019</v>
      </c>
      <c r="C208">
        <v>7</v>
      </c>
      <c r="D208">
        <v>4</v>
      </c>
    </row>
    <row r="209" spans="1:4" x14ac:dyDescent="0.25">
      <c r="A209" s="8">
        <v>43672</v>
      </c>
      <c r="B209">
        <v>2019</v>
      </c>
      <c r="C209">
        <v>7</v>
      </c>
      <c r="D209">
        <v>4</v>
      </c>
    </row>
    <row r="210" spans="1:4" x14ac:dyDescent="0.25">
      <c r="A210" s="8">
        <v>43673</v>
      </c>
      <c r="B210">
        <v>2019</v>
      </c>
      <c r="C210">
        <v>7</v>
      </c>
      <c r="D210">
        <v>4</v>
      </c>
    </row>
    <row r="211" spans="1:4" x14ac:dyDescent="0.25">
      <c r="A211" s="8">
        <v>43674</v>
      </c>
      <c r="B211">
        <v>2019</v>
      </c>
      <c r="C211">
        <v>7</v>
      </c>
      <c r="D211">
        <v>4</v>
      </c>
    </row>
    <row r="212" spans="1:4" x14ac:dyDescent="0.25">
      <c r="A212" s="8">
        <v>43675</v>
      </c>
      <c r="B212">
        <v>2019</v>
      </c>
      <c r="C212">
        <v>8</v>
      </c>
      <c r="D212">
        <v>1</v>
      </c>
    </row>
    <row r="213" spans="1:4" x14ac:dyDescent="0.25">
      <c r="A213" s="8">
        <v>43676</v>
      </c>
      <c r="B213">
        <v>2019</v>
      </c>
      <c r="C213">
        <v>8</v>
      </c>
      <c r="D213">
        <v>1</v>
      </c>
    </row>
    <row r="214" spans="1:4" x14ac:dyDescent="0.25">
      <c r="A214" s="8">
        <v>43677</v>
      </c>
      <c r="B214">
        <v>2019</v>
      </c>
      <c r="C214">
        <v>8</v>
      </c>
      <c r="D214">
        <v>1</v>
      </c>
    </row>
    <row r="215" spans="1:4" x14ac:dyDescent="0.25">
      <c r="A215" s="8">
        <v>43678</v>
      </c>
      <c r="B215">
        <v>2019</v>
      </c>
      <c r="C215">
        <v>8</v>
      </c>
      <c r="D215">
        <v>1</v>
      </c>
    </row>
    <row r="216" spans="1:4" x14ac:dyDescent="0.25">
      <c r="A216" s="8">
        <v>43679</v>
      </c>
      <c r="B216">
        <v>2019</v>
      </c>
      <c r="C216">
        <v>8</v>
      </c>
      <c r="D216">
        <v>1</v>
      </c>
    </row>
    <row r="217" spans="1:4" x14ac:dyDescent="0.25">
      <c r="A217" s="8">
        <v>43680</v>
      </c>
      <c r="B217">
        <v>2019</v>
      </c>
      <c r="C217">
        <v>8</v>
      </c>
      <c r="D217">
        <v>1</v>
      </c>
    </row>
    <row r="218" spans="1:4" x14ac:dyDescent="0.25">
      <c r="A218" s="8">
        <v>43681</v>
      </c>
      <c r="B218">
        <v>2019</v>
      </c>
      <c r="C218">
        <v>8</v>
      </c>
      <c r="D218">
        <v>1</v>
      </c>
    </row>
    <row r="219" spans="1:4" x14ac:dyDescent="0.25">
      <c r="A219" s="8">
        <v>43682</v>
      </c>
      <c r="B219">
        <v>2019</v>
      </c>
      <c r="C219">
        <v>8</v>
      </c>
      <c r="D219">
        <v>2</v>
      </c>
    </row>
    <row r="220" spans="1:4" x14ac:dyDescent="0.25">
      <c r="A220" s="8">
        <v>43683</v>
      </c>
      <c r="B220">
        <v>2019</v>
      </c>
      <c r="C220">
        <v>8</v>
      </c>
      <c r="D220">
        <v>2</v>
      </c>
    </row>
    <row r="221" spans="1:4" x14ac:dyDescent="0.25">
      <c r="A221" s="8">
        <v>43684</v>
      </c>
      <c r="B221">
        <v>2019</v>
      </c>
      <c r="C221">
        <v>8</v>
      </c>
      <c r="D221">
        <v>2</v>
      </c>
    </row>
    <row r="222" spans="1:4" x14ac:dyDescent="0.25">
      <c r="A222" s="8">
        <v>43685</v>
      </c>
      <c r="B222">
        <v>2019</v>
      </c>
      <c r="C222">
        <v>8</v>
      </c>
      <c r="D222">
        <v>2</v>
      </c>
    </row>
    <row r="223" spans="1:4" x14ac:dyDescent="0.25">
      <c r="A223" s="8">
        <v>43686</v>
      </c>
      <c r="B223">
        <v>2019</v>
      </c>
      <c r="C223">
        <v>8</v>
      </c>
      <c r="D223">
        <v>2</v>
      </c>
    </row>
    <row r="224" spans="1:4" x14ac:dyDescent="0.25">
      <c r="A224" s="8">
        <v>43687</v>
      </c>
      <c r="B224">
        <v>2019</v>
      </c>
      <c r="C224">
        <v>8</v>
      </c>
      <c r="D224">
        <v>2</v>
      </c>
    </row>
    <row r="225" spans="1:4" x14ac:dyDescent="0.25">
      <c r="A225" s="8">
        <v>43688</v>
      </c>
      <c r="B225">
        <v>2019</v>
      </c>
      <c r="C225">
        <v>8</v>
      </c>
      <c r="D225">
        <v>2</v>
      </c>
    </row>
    <row r="226" spans="1:4" x14ac:dyDescent="0.25">
      <c r="A226" s="8">
        <v>43689</v>
      </c>
      <c r="B226">
        <v>2019</v>
      </c>
      <c r="C226">
        <v>8</v>
      </c>
      <c r="D226">
        <v>3</v>
      </c>
    </row>
    <row r="227" spans="1:4" x14ac:dyDescent="0.25">
      <c r="A227" s="8">
        <v>43690</v>
      </c>
      <c r="B227">
        <v>2019</v>
      </c>
      <c r="C227">
        <v>8</v>
      </c>
      <c r="D227">
        <v>3</v>
      </c>
    </row>
    <row r="228" spans="1:4" x14ac:dyDescent="0.25">
      <c r="A228" s="8">
        <v>43691</v>
      </c>
      <c r="B228">
        <v>2019</v>
      </c>
      <c r="C228">
        <v>8</v>
      </c>
      <c r="D228">
        <v>3</v>
      </c>
    </row>
    <row r="229" spans="1:4" x14ac:dyDescent="0.25">
      <c r="A229" s="8">
        <v>43692</v>
      </c>
      <c r="B229">
        <v>2019</v>
      </c>
      <c r="C229">
        <v>8</v>
      </c>
      <c r="D229">
        <v>3</v>
      </c>
    </row>
    <row r="230" spans="1:4" x14ac:dyDescent="0.25">
      <c r="A230" s="8">
        <v>43693</v>
      </c>
      <c r="B230">
        <v>2019</v>
      </c>
      <c r="C230">
        <v>8</v>
      </c>
      <c r="D230">
        <v>3</v>
      </c>
    </row>
    <row r="231" spans="1:4" x14ac:dyDescent="0.25">
      <c r="A231" s="8">
        <v>43694</v>
      </c>
      <c r="B231">
        <v>2019</v>
      </c>
      <c r="C231">
        <v>8</v>
      </c>
      <c r="D231">
        <v>3</v>
      </c>
    </row>
    <row r="232" spans="1:4" x14ac:dyDescent="0.25">
      <c r="A232" s="8">
        <v>43695</v>
      </c>
      <c r="B232">
        <v>2019</v>
      </c>
      <c r="C232">
        <v>8</v>
      </c>
      <c r="D232">
        <v>3</v>
      </c>
    </row>
    <row r="233" spans="1:4" x14ac:dyDescent="0.25">
      <c r="A233" s="8">
        <v>43696</v>
      </c>
      <c r="B233">
        <v>2019</v>
      </c>
      <c r="C233">
        <v>8</v>
      </c>
      <c r="D233">
        <v>4</v>
      </c>
    </row>
    <row r="234" spans="1:4" x14ac:dyDescent="0.25">
      <c r="A234" s="8">
        <v>43697</v>
      </c>
      <c r="B234">
        <v>2019</v>
      </c>
      <c r="C234">
        <v>8</v>
      </c>
      <c r="D234">
        <v>4</v>
      </c>
    </row>
    <row r="235" spans="1:4" x14ac:dyDescent="0.25">
      <c r="A235" s="8">
        <v>43698</v>
      </c>
      <c r="B235">
        <v>2019</v>
      </c>
      <c r="C235">
        <v>8</v>
      </c>
      <c r="D235">
        <v>4</v>
      </c>
    </row>
    <row r="236" spans="1:4" x14ac:dyDescent="0.25">
      <c r="A236" s="8">
        <v>43699</v>
      </c>
      <c r="B236">
        <v>2019</v>
      </c>
      <c r="C236">
        <v>8</v>
      </c>
      <c r="D236">
        <v>4</v>
      </c>
    </row>
    <row r="237" spans="1:4" x14ac:dyDescent="0.25">
      <c r="A237" s="8">
        <v>43700</v>
      </c>
      <c r="B237">
        <v>2019</v>
      </c>
      <c r="C237">
        <v>8</v>
      </c>
      <c r="D237">
        <v>4</v>
      </c>
    </row>
    <row r="238" spans="1:4" x14ac:dyDescent="0.25">
      <c r="A238" s="8">
        <v>43701</v>
      </c>
      <c r="B238">
        <v>2019</v>
      </c>
      <c r="C238">
        <v>8</v>
      </c>
      <c r="D238">
        <v>4</v>
      </c>
    </row>
    <row r="239" spans="1:4" x14ac:dyDescent="0.25">
      <c r="A239" s="8">
        <v>43702</v>
      </c>
      <c r="B239">
        <v>2019</v>
      </c>
      <c r="C239">
        <v>8</v>
      </c>
      <c r="D239">
        <v>4</v>
      </c>
    </row>
    <row r="240" spans="1:4" x14ac:dyDescent="0.25">
      <c r="A240" s="8">
        <v>43703</v>
      </c>
      <c r="B240">
        <v>2019</v>
      </c>
      <c r="C240">
        <v>9</v>
      </c>
      <c r="D240">
        <v>1</v>
      </c>
    </row>
    <row r="241" spans="1:4" x14ac:dyDescent="0.25">
      <c r="A241" s="8">
        <v>43704</v>
      </c>
      <c r="B241">
        <v>2019</v>
      </c>
      <c r="C241">
        <v>9</v>
      </c>
      <c r="D241">
        <v>1</v>
      </c>
    </row>
    <row r="242" spans="1:4" x14ac:dyDescent="0.25">
      <c r="A242" s="8">
        <v>43705</v>
      </c>
      <c r="B242">
        <v>2019</v>
      </c>
      <c r="C242">
        <v>9</v>
      </c>
      <c r="D242">
        <v>1</v>
      </c>
    </row>
    <row r="243" spans="1:4" x14ac:dyDescent="0.25">
      <c r="A243" s="8">
        <v>43706</v>
      </c>
      <c r="B243">
        <v>2019</v>
      </c>
      <c r="C243">
        <v>9</v>
      </c>
      <c r="D243">
        <v>1</v>
      </c>
    </row>
    <row r="244" spans="1:4" x14ac:dyDescent="0.25">
      <c r="A244" s="8">
        <v>43707</v>
      </c>
      <c r="B244">
        <v>2019</v>
      </c>
      <c r="C244">
        <v>9</v>
      </c>
      <c r="D244">
        <v>1</v>
      </c>
    </row>
    <row r="245" spans="1:4" x14ac:dyDescent="0.25">
      <c r="A245" s="8">
        <v>43708</v>
      </c>
      <c r="B245">
        <v>2019</v>
      </c>
      <c r="C245">
        <v>9</v>
      </c>
      <c r="D245">
        <v>1</v>
      </c>
    </row>
    <row r="246" spans="1:4" x14ac:dyDescent="0.25">
      <c r="A246" s="8">
        <v>43709</v>
      </c>
      <c r="B246">
        <v>2019</v>
      </c>
      <c r="C246">
        <v>9</v>
      </c>
      <c r="D246">
        <v>1</v>
      </c>
    </row>
    <row r="247" spans="1:4" x14ac:dyDescent="0.25">
      <c r="A247" s="8">
        <v>43710</v>
      </c>
      <c r="B247">
        <v>2019</v>
      </c>
      <c r="C247">
        <v>9</v>
      </c>
      <c r="D247">
        <v>2</v>
      </c>
    </row>
    <row r="248" spans="1:4" x14ac:dyDescent="0.25">
      <c r="A248" s="8">
        <v>43711</v>
      </c>
      <c r="B248">
        <v>2019</v>
      </c>
      <c r="C248">
        <v>9</v>
      </c>
      <c r="D248">
        <v>2</v>
      </c>
    </row>
    <row r="249" spans="1:4" x14ac:dyDescent="0.25">
      <c r="A249" s="8">
        <v>43712</v>
      </c>
      <c r="B249">
        <v>2019</v>
      </c>
      <c r="C249">
        <v>9</v>
      </c>
      <c r="D249">
        <v>2</v>
      </c>
    </row>
    <row r="250" spans="1:4" x14ac:dyDescent="0.25">
      <c r="A250" s="8">
        <v>43713</v>
      </c>
      <c r="B250">
        <v>2019</v>
      </c>
      <c r="C250">
        <v>9</v>
      </c>
      <c r="D250">
        <v>2</v>
      </c>
    </row>
    <row r="251" spans="1:4" x14ac:dyDescent="0.25">
      <c r="A251" s="8">
        <v>43714</v>
      </c>
      <c r="B251">
        <v>2019</v>
      </c>
      <c r="C251">
        <v>9</v>
      </c>
      <c r="D251">
        <v>2</v>
      </c>
    </row>
    <row r="252" spans="1:4" x14ac:dyDescent="0.25">
      <c r="A252" s="8">
        <v>43715</v>
      </c>
      <c r="B252">
        <v>2019</v>
      </c>
      <c r="C252">
        <v>9</v>
      </c>
      <c r="D252">
        <v>2</v>
      </c>
    </row>
    <row r="253" spans="1:4" x14ac:dyDescent="0.25">
      <c r="A253" s="8">
        <v>43716</v>
      </c>
      <c r="B253">
        <v>2019</v>
      </c>
      <c r="C253">
        <v>9</v>
      </c>
      <c r="D253">
        <v>2</v>
      </c>
    </row>
    <row r="254" spans="1:4" x14ac:dyDescent="0.25">
      <c r="A254" s="8">
        <v>43717</v>
      </c>
      <c r="B254">
        <v>2019</v>
      </c>
      <c r="C254">
        <v>9</v>
      </c>
      <c r="D254">
        <v>3</v>
      </c>
    </row>
    <row r="255" spans="1:4" x14ac:dyDescent="0.25">
      <c r="A255" s="8">
        <v>43718</v>
      </c>
      <c r="B255">
        <v>2019</v>
      </c>
      <c r="C255">
        <v>9</v>
      </c>
      <c r="D255">
        <v>3</v>
      </c>
    </row>
    <row r="256" spans="1:4" x14ac:dyDescent="0.25">
      <c r="A256" s="8">
        <v>43719</v>
      </c>
      <c r="B256">
        <v>2019</v>
      </c>
      <c r="C256">
        <v>9</v>
      </c>
      <c r="D256">
        <v>3</v>
      </c>
    </row>
    <row r="257" spans="1:4" x14ac:dyDescent="0.25">
      <c r="A257" s="8">
        <v>43720</v>
      </c>
      <c r="B257">
        <v>2019</v>
      </c>
      <c r="C257">
        <v>9</v>
      </c>
      <c r="D257">
        <v>3</v>
      </c>
    </row>
    <row r="258" spans="1:4" x14ac:dyDescent="0.25">
      <c r="A258" s="8">
        <v>43721</v>
      </c>
      <c r="B258">
        <v>2019</v>
      </c>
      <c r="C258">
        <v>9</v>
      </c>
      <c r="D258">
        <v>3</v>
      </c>
    </row>
    <row r="259" spans="1:4" x14ac:dyDescent="0.25">
      <c r="A259" s="8">
        <v>43722</v>
      </c>
      <c r="B259">
        <v>2019</v>
      </c>
      <c r="C259">
        <v>9</v>
      </c>
      <c r="D259">
        <v>3</v>
      </c>
    </row>
    <row r="260" spans="1:4" x14ac:dyDescent="0.25">
      <c r="A260" s="8">
        <v>43723</v>
      </c>
      <c r="B260">
        <v>2019</v>
      </c>
      <c r="C260">
        <v>9</v>
      </c>
      <c r="D260">
        <v>3</v>
      </c>
    </row>
    <row r="261" spans="1:4" x14ac:dyDescent="0.25">
      <c r="A261" s="8">
        <v>43724</v>
      </c>
      <c r="B261">
        <v>2019</v>
      </c>
      <c r="C261">
        <v>9</v>
      </c>
      <c r="D261">
        <v>4</v>
      </c>
    </row>
    <row r="262" spans="1:4" x14ac:dyDescent="0.25">
      <c r="A262" s="8">
        <v>43725</v>
      </c>
      <c r="B262">
        <v>2019</v>
      </c>
      <c r="C262">
        <v>9</v>
      </c>
      <c r="D262">
        <v>4</v>
      </c>
    </row>
    <row r="263" spans="1:4" x14ac:dyDescent="0.25">
      <c r="A263" s="8">
        <v>43726</v>
      </c>
      <c r="B263">
        <v>2019</v>
      </c>
      <c r="C263">
        <v>9</v>
      </c>
      <c r="D263">
        <v>4</v>
      </c>
    </row>
    <row r="264" spans="1:4" x14ac:dyDescent="0.25">
      <c r="A264" s="8">
        <v>43727</v>
      </c>
      <c r="B264">
        <v>2019</v>
      </c>
      <c r="C264">
        <v>9</v>
      </c>
      <c r="D264">
        <v>4</v>
      </c>
    </row>
    <row r="265" spans="1:4" x14ac:dyDescent="0.25">
      <c r="A265" s="8">
        <v>43728</v>
      </c>
      <c r="B265">
        <v>2019</v>
      </c>
      <c r="C265">
        <v>9</v>
      </c>
      <c r="D265">
        <v>4</v>
      </c>
    </row>
    <row r="266" spans="1:4" x14ac:dyDescent="0.25">
      <c r="A266" s="8">
        <v>43729</v>
      </c>
      <c r="B266">
        <v>2019</v>
      </c>
      <c r="C266">
        <v>9</v>
      </c>
      <c r="D266">
        <v>4</v>
      </c>
    </row>
    <row r="267" spans="1:4" x14ac:dyDescent="0.25">
      <c r="A267" s="8">
        <v>43730</v>
      </c>
      <c r="B267">
        <v>2019</v>
      </c>
      <c r="C267">
        <v>9</v>
      </c>
      <c r="D267">
        <v>4</v>
      </c>
    </row>
    <row r="268" spans="1:4" x14ac:dyDescent="0.25">
      <c r="A268" s="8">
        <v>43731</v>
      </c>
      <c r="B268">
        <v>2019</v>
      </c>
      <c r="C268">
        <v>9</v>
      </c>
      <c r="D268">
        <v>5</v>
      </c>
    </row>
    <row r="269" spans="1:4" x14ac:dyDescent="0.25">
      <c r="A269" s="8">
        <v>43732</v>
      </c>
      <c r="B269">
        <v>2019</v>
      </c>
      <c r="C269">
        <v>9</v>
      </c>
      <c r="D269">
        <v>5</v>
      </c>
    </row>
    <row r="270" spans="1:4" x14ac:dyDescent="0.25">
      <c r="A270" s="8">
        <v>43733</v>
      </c>
      <c r="B270">
        <v>2019</v>
      </c>
      <c r="C270">
        <v>9</v>
      </c>
      <c r="D270">
        <v>5</v>
      </c>
    </row>
    <row r="271" spans="1:4" x14ac:dyDescent="0.25">
      <c r="A271" s="8">
        <v>43734</v>
      </c>
      <c r="B271">
        <v>2019</v>
      </c>
      <c r="C271">
        <v>9</v>
      </c>
      <c r="D271">
        <v>5</v>
      </c>
    </row>
    <row r="272" spans="1:4" x14ac:dyDescent="0.25">
      <c r="A272" s="8">
        <v>43735</v>
      </c>
      <c r="B272">
        <v>2019</v>
      </c>
      <c r="C272">
        <v>9</v>
      </c>
      <c r="D272">
        <v>5</v>
      </c>
    </row>
    <row r="273" spans="1:4" x14ac:dyDescent="0.25">
      <c r="A273" s="8">
        <v>43736</v>
      </c>
      <c r="B273">
        <v>2019</v>
      </c>
      <c r="C273">
        <v>9</v>
      </c>
      <c r="D273">
        <v>5</v>
      </c>
    </row>
    <row r="274" spans="1:4" x14ac:dyDescent="0.25">
      <c r="A274" s="8">
        <v>43737</v>
      </c>
      <c r="B274">
        <v>2019</v>
      </c>
      <c r="C274">
        <v>9</v>
      </c>
      <c r="D274">
        <v>5</v>
      </c>
    </row>
    <row r="275" spans="1:4" x14ac:dyDescent="0.25">
      <c r="A275" s="8">
        <v>43738</v>
      </c>
      <c r="B275">
        <v>2019</v>
      </c>
      <c r="C275">
        <v>10</v>
      </c>
      <c r="D275">
        <v>1</v>
      </c>
    </row>
    <row r="276" spans="1:4" x14ac:dyDescent="0.25">
      <c r="A276" s="8">
        <v>43739</v>
      </c>
      <c r="B276">
        <v>2019</v>
      </c>
      <c r="C276">
        <v>10</v>
      </c>
      <c r="D276">
        <v>1</v>
      </c>
    </row>
    <row r="277" spans="1:4" x14ac:dyDescent="0.25">
      <c r="A277" s="8">
        <v>43740</v>
      </c>
      <c r="B277">
        <v>2019</v>
      </c>
      <c r="C277">
        <v>10</v>
      </c>
      <c r="D277">
        <v>1</v>
      </c>
    </row>
    <row r="278" spans="1:4" x14ac:dyDescent="0.25">
      <c r="A278" s="8">
        <v>43741</v>
      </c>
      <c r="B278">
        <v>2019</v>
      </c>
      <c r="C278">
        <v>10</v>
      </c>
      <c r="D278">
        <v>1</v>
      </c>
    </row>
    <row r="279" spans="1:4" x14ac:dyDescent="0.25">
      <c r="A279" s="8">
        <v>43742</v>
      </c>
      <c r="B279">
        <v>2019</v>
      </c>
      <c r="C279">
        <v>10</v>
      </c>
      <c r="D279">
        <v>1</v>
      </c>
    </row>
    <row r="280" spans="1:4" x14ac:dyDescent="0.25">
      <c r="A280" s="8">
        <v>43743</v>
      </c>
      <c r="B280">
        <v>2019</v>
      </c>
      <c r="C280">
        <v>10</v>
      </c>
      <c r="D280">
        <v>1</v>
      </c>
    </row>
    <row r="281" spans="1:4" x14ac:dyDescent="0.25">
      <c r="A281" s="8">
        <v>43744</v>
      </c>
      <c r="B281">
        <v>2019</v>
      </c>
      <c r="C281">
        <v>10</v>
      </c>
      <c r="D281">
        <v>1</v>
      </c>
    </row>
    <row r="282" spans="1:4" x14ac:dyDescent="0.25">
      <c r="A282" s="8">
        <v>43745</v>
      </c>
      <c r="B282">
        <v>2019</v>
      </c>
      <c r="C282">
        <v>10</v>
      </c>
      <c r="D282">
        <v>2</v>
      </c>
    </row>
    <row r="283" spans="1:4" x14ac:dyDescent="0.25">
      <c r="A283" s="8">
        <v>43746</v>
      </c>
      <c r="B283">
        <v>2019</v>
      </c>
      <c r="C283">
        <v>10</v>
      </c>
      <c r="D283">
        <v>2</v>
      </c>
    </row>
    <row r="284" spans="1:4" x14ac:dyDescent="0.25">
      <c r="A284" s="8">
        <v>43747</v>
      </c>
      <c r="B284">
        <v>2019</v>
      </c>
      <c r="C284">
        <v>10</v>
      </c>
      <c r="D284">
        <v>2</v>
      </c>
    </row>
    <row r="285" spans="1:4" x14ac:dyDescent="0.25">
      <c r="A285" s="8">
        <v>43748</v>
      </c>
      <c r="B285">
        <v>2019</v>
      </c>
      <c r="C285">
        <v>10</v>
      </c>
      <c r="D285">
        <v>2</v>
      </c>
    </row>
    <row r="286" spans="1:4" x14ac:dyDescent="0.25">
      <c r="A286" s="8">
        <v>43749</v>
      </c>
      <c r="B286">
        <v>2019</v>
      </c>
      <c r="C286">
        <v>10</v>
      </c>
      <c r="D286">
        <v>2</v>
      </c>
    </row>
    <row r="287" spans="1:4" x14ac:dyDescent="0.25">
      <c r="A287" s="8">
        <v>43750</v>
      </c>
      <c r="B287">
        <v>2019</v>
      </c>
      <c r="C287">
        <v>10</v>
      </c>
      <c r="D287">
        <v>2</v>
      </c>
    </row>
    <row r="288" spans="1:4" x14ac:dyDescent="0.25">
      <c r="A288" s="8">
        <v>43751</v>
      </c>
      <c r="B288">
        <v>2019</v>
      </c>
      <c r="C288">
        <v>10</v>
      </c>
      <c r="D288">
        <v>2</v>
      </c>
    </row>
    <row r="289" spans="1:4" x14ac:dyDescent="0.25">
      <c r="A289" s="8">
        <v>43752</v>
      </c>
      <c r="B289">
        <v>2019</v>
      </c>
      <c r="C289">
        <v>10</v>
      </c>
      <c r="D289">
        <v>3</v>
      </c>
    </row>
    <row r="290" spans="1:4" x14ac:dyDescent="0.25">
      <c r="A290" s="8">
        <v>43753</v>
      </c>
      <c r="B290">
        <v>2019</v>
      </c>
      <c r="C290">
        <v>10</v>
      </c>
      <c r="D290">
        <v>3</v>
      </c>
    </row>
    <row r="291" spans="1:4" x14ac:dyDescent="0.25">
      <c r="A291" s="8">
        <v>43754</v>
      </c>
      <c r="B291">
        <v>2019</v>
      </c>
      <c r="C291">
        <v>10</v>
      </c>
      <c r="D291">
        <v>3</v>
      </c>
    </row>
    <row r="292" spans="1:4" x14ac:dyDescent="0.25">
      <c r="A292" s="8">
        <v>43755</v>
      </c>
      <c r="B292">
        <v>2019</v>
      </c>
      <c r="C292">
        <v>10</v>
      </c>
      <c r="D292">
        <v>3</v>
      </c>
    </row>
    <row r="293" spans="1:4" x14ac:dyDescent="0.25">
      <c r="A293" s="8">
        <v>43756</v>
      </c>
      <c r="B293">
        <v>2019</v>
      </c>
      <c r="C293">
        <v>10</v>
      </c>
      <c r="D293">
        <v>3</v>
      </c>
    </row>
    <row r="294" spans="1:4" x14ac:dyDescent="0.25">
      <c r="A294" s="8">
        <v>43757</v>
      </c>
      <c r="B294">
        <v>2019</v>
      </c>
      <c r="C294">
        <v>10</v>
      </c>
      <c r="D294">
        <v>3</v>
      </c>
    </row>
    <row r="295" spans="1:4" x14ac:dyDescent="0.25">
      <c r="A295" s="8">
        <v>43758</v>
      </c>
      <c r="B295">
        <v>2019</v>
      </c>
      <c r="C295">
        <v>10</v>
      </c>
      <c r="D295">
        <v>3</v>
      </c>
    </row>
    <row r="296" spans="1:4" x14ac:dyDescent="0.25">
      <c r="A296" s="8">
        <v>43759</v>
      </c>
      <c r="B296">
        <v>2019</v>
      </c>
      <c r="C296">
        <v>10</v>
      </c>
      <c r="D296">
        <v>4</v>
      </c>
    </row>
    <row r="297" spans="1:4" x14ac:dyDescent="0.25">
      <c r="A297" s="8">
        <v>43760</v>
      </c>
      <c r="B297">
        <v>2019</v>
      </c>
      <c r="C297">
        <v>10</v>
      </c>
      <c r="D297">
        <v>4</v>
      </c>
    </row>
    <row r="298" spans="1:4" x14ac:dyDescent="0.25">
      <c r="A298" s="8">
        <v>43761</v>
      </c>
      <c r="B298">
        <v>2019</v>
      </c>
      <c r="C298">
        <v>10</v>
      </c>
      <c r="D298">
        <v>4</v>
      </c>
    </row>
    <row r="299" spans="1:4" x14ac:dyDescent="0.25">
      <c r="A299" s="8">
        <v>43762</v>
      </c>
      <c r="B299">
        <v>2019</v>
      </c>
      <c r="C299">
        <v>10</v>
      </c>
      <c r="D299">
        <v>4</v>
      </c>
    </row>
    <row r="300" spans="1:4" x14ac:dyDescent="0.25">
      <c r="A300" s="8">
        <v>43763</v>
      </c>
      <c r="B300">
        <v>2019</v>
      </c>
      <c r="C300">
        <v>10</v>
      </c>
      <c r="D300">
        <v>4</v>
      </c>
    </row>
    <row r="301" spans="1:4" x14ac:dyDescent="0.25">
      <c r="A301" s="8">
        <v>43764</v>
      </c>
      <c r="B301">
        <v>2019</v>
      </c>
      <c r="C301">
        <v>10</v>
      </c>
      <c r="D301">
        <v>4</v>
      </c>
    </row>
    <row r="302" spans="1:4" x14ac:dyDescent="0.25">
      <c r="A302" s="8">
        <v>43765</v>
      </c>
      <c r="B302">
        <v>2019</v>
      </c>
      <c r="C302">
        <v>10</v>
      </c>
      <c r="D302">
        <v>4</v>
      </c>
    </row>
    <row r="303" spans="1:4" x14ac:dyDescent="0.25">
      <c r="A303" s="8">
        <v>43766</v>
      </c>
      <c r="B303">
        <v>2019</v>
      </c>
      <c r="C303">
        <v>11</v>
      </c>
      <c r="D303">
        <v>1</v>
      </c>
    </row>
    <row r="304" spans="1:4" x14ac:dyDescent="0.25">
      <c r="A304" s="8">
        <v>43767</v>
      </c>
      <c r="B304">
        <v>2019</v>
      </c>
      <c r="C304">
        <v>11</v>
      </c>
      <c r="D304">
        <v>1</v>
      </c>
    </row>
    <row r="305" spans="1:4" x14ac:dyDescent="0.25">
      <c r="A305" s="8">
        <v>43768</v>
      </c>
      <c r="B305">
        <v>2019</v>
      </c>
      <c r="C305">
        <v>11</v>
      </c>
      <c r="D305">
        <v>1</v>
      </c>
    </row>
    <row r="306" spans="1:4" x14ac:dyDescent="0.25">
      <c r="A306" s="8">
        <v>43769</v>
      </c>
      <c r="B306">
        <v>2019</v>
      </c>
      <c r="C306">
        <v>11</v>
      </c>
      <c r="D306">
        <v>1</v>
      </c>
    </row>
    <row r="307" spans="1:4" x14ac:dyDescent="0.25">
      <c r="A307" s="8">
        <v>43770</v>
      </c>
      <c r="B307">
        <v>2019</v>
      </c>
      <c r="C307">
        <v>11</v>
      </c>
      <c r="D307">
        <v>1</v>
      </c>
    </row>
    <row r="308" spans="1:4" x14ac:dyDescent="0.25">
      <c r="A308" s="8">
        <v>43771</v>
      </c>
      <c r="B308">
        <v>2019</v>
      </c>
      <c r="C308">
        <v>11</v>
      </c>
      <c r="D308">
        <v>1</v>
      </c>
    </row>
    <row r="309" spans="1:4" x14ac:dyDescent="0.25">
      <c r="A309" s="8">
        <v>43772</v>
      </c>
      <c r="B309">
        <v>2019</v>
      </c>
      <c r="C309">
        <v>11</v>
      </c>
      <c r="D309">
        <v>1</v>
      </c>
    </row>
    <row r="310" spans="1:4" x14ac:dyDescent="0.25">
      <c r="A310" s="8">
        <v>43773</v>
      </c>
      <c r="B310">
        <v>2019</v>
      </c>
      <c r="C310">
        <v>11</v>
      </c>
      <c r="D310">
        <v>2</v>
      </c>
    </row>
    <row r="311" spans="1:4" x14ac:dyDescent="0.25">
      <c r="A311" s="8">
        <v>43774</v>
      </c>
      <c r="B311">
        <v>2019</v>
      </c>
      <c r="C311">
        <v>11</v>
      </c>
      <c r="D311">
        <v>2</v>
      </c>
    </row>
    <row r="312" spans="1:4" x14ac:dyDescent="0.25">
      <c r="A312" s="8">
        <v>43775</v>
      </c>
      <c r="B312">
        <v>2019</v>
      </c>
      <c r="C312">
        <v>11</v>
      </c>
      <c r="D312">
        <v>2</v>
      </c>
    </row>
    <row r="313" spans="1:4" x14ac:dyDescent="0.25">
      <c r="A313" s="8">
        <v>43776</v>
      </c>
      <c r="B313">
        <v>2019</v>
      </c>
      <c r="C313">
        <v>11</v>
      </c>
      <c r="D313">
        <v>2</v>
      </c>
    </row>
    <row r="314" spans="1:4" x14ac:dyDescent="0.25">
      <c r="A314" s="8">
        <v>43777</v>
      </c>
      <c r="B314">
        <v>2019</v>
      </c>
      <c r="C314">
        <v>11</v>
      </c>
      <c r="D314">
        <v>2</v>
      </c>
    </row>
    <row r="315" spans="1:4" x14ac:dyDescent="0.25">
      <c r="A315" s="8">
        <v>43778</v>
      </c>
      <c r="B315">
        <v>2019</v>
      </c>
      <c r="C315">
        <v>11</v>
      </c>
      <c r="D315">
        <v>2</v>
      </c>
    </row>
    <row r="316" spans="1:4" x14ac:dyDescent="0.25">
      <c r="A316" s="8">
        <v>43779</v>
      </c>
      <c r="B316">
        <v>2019</v>
      </c>
      <c r="C316">
        <v>11</v>
      </c>
      <c r="D316">
        <v>2</v>
      </c>
    </row>
    <row r="317" spans="1:4" x14ac:dyDescent="0.25">
      <c r="A317" s="8">
        <v>43780</v>
      </c>
      <c r="B317">
        <v>2019</v>
      </c>
      <c r="C317">
        <v>11</v>
      </c>
      <c r="D317">
        <v>3</v>
      </c>
    </row>
    <row r="318" spans="1:4" x14ac:dyDescent="0.25">
      <c r="A318" s="8">
        <v>43781</v>
      </c>
      <c r="B318">
        <v>2019</v>
      </c>
      <c r="C318">
        <v>11</v>
      </c>
      <c r="D318">
        <v>3</v>
      </c>
    </row>
    <row r="319" spans="1:4" x14ac:dyDescent="0.25">
      <c r="A319" s="8">
        <v>43782</v>
      </c>
      <c r="B319">
        <v>2019</v>
      </c>
      <c r="C319">
        <v>11</v>
      </c>
      <c r="D319">
        <v>3</v>
      </c>
    </row>
    <row r="320" spans="1:4" x14ac:dyDescent="0.25">
      <c r="A320" s="8">
        <v>43783</v>
      </c>
      <c r="B320">
        <v>2019</v>
      </c>
      <c r="C320">
        <v>11</v>
      </c>
      <c r="D320">
        <v>3</v>
      </c>
    </row>
    <row r="321" spans="1:4" x14ac:dyDescent="0.25">
      <c r="A321" s="8">
        <v>43784</v>
      </c>
      <c r="B321">
        <v>2019</v>
      </c>
      <c r="C321">
        <v>11</v>
      </c>
      <c r="D321">
        <v>3</v>
      </c>
    </row>
    <row r="322" spans="1:4" x14ac:dyDescent="0.25">
      <c r="A322" s="8">
        <v>43785</v>
      </c>
      <c r="B322">
        <v>2019</v>
      </c>
      <c r="C322">
        <v>11</v>
      </c>
      <c r="D322">
        <v>3</v>
      </c>
    </row>
    <row r="323" spans="1:4" x14ac:dyDescent="0.25">
      <c r="A323" s="8">
        <v>43786</v>
      </c>
      <c r="B323">
        <v>2019</v>
      </c>
      <c r="C323">
        <v>11</v>
      </c>
      <c r="D323">
        <v>3</v>
      </c>
    </row>
    <row r="324" spans="1:4" x14ac:dyDescent="0.25">
      <c r="A324" s="8">
        <v>43787</v>
      </c>
      <c r="B324">
        <v>2019</v>
      </c>
      <c r="C324">
        <v>11</v>
      </c>
      <c r="D324">
        <v>4</v>
      </c>
    </row>
    <row r="325" spans="1:4" x14ac:dyDescent="0.25">
      <c r="A325" s="8">
        <v>43788</v>
      </c>
      <c r="B325">
        <v>2019</v>
      </c>
      <c r="C325">
        <v>11</v>
      </c>
      <c r="D325">
        <v>4</v>
      </c>
    </row>
    <row r="326" spans="1:4" x14ac:dyDescent="0.25">
      <c r="A326" s="8">
        <v>43789</v>
      </c>
      <c r="B326">
        <v>2019</v>
      </c>
      <c r="C326">
        <v>11</v>
      </c>
      <c r="D326">
        <v>4</v>
      </c>
    </row>
    <row r="327" spans="1:4" x14ac:dyDescent="0.25">
      <c r="A327" s="8">
        <v>43790</v>
      </c>
      <c r="B327">
        <v>2019</v>
      </c>
      <c r="C327">
        <v>11</v>
      </c>
      <c r="D327">
        <v>4</v>
      </c>
    </row>
    <row r="328" spans="1:4" x14ac:dyDescent="0.25">
      <c r="A328" s="8">
        <v>43791</v>
      </c>
      <c r="B328">
        <v>2019</v>
      </c>
      <c r="C328">
        <v>11</v>
      </c>
      <c r="D328">
        <v>4</v>
      </c>
    </row>
    <row r="329" spans="1:4" x14ac:dyDescent="0.25">
      <c r="A329" s="8">
        <v>43792</v>
      </c>
      <c r="B329">
        <v>2019</v>
      </c>
      <c r="C329">
        <v>11</v>
      </c>
      <c r="D329">
        <v>4</v>
      </c>
    </row>
    <row r="330" spans="1:4" x14ac:dyDescent="0.25">
      <c r="A330" s="8">
        <v>43793</v>
      </c>
      <c r="B330">
        <v>2019</v>
      </c>
      <c r="C330">
        <v>11</v>
      </c>
      <c r="D330">
        <v>4</v>
      </c>
    </row>
    <row r="331" spans="1:4" x14ac:dyDescent="0.25">
      <c r="A331" s="8">
        <v>43794</v>
      </c>
      <c r="B331">
        <v>2019</v>
      </c>
      <c r="C331">
        <v>12</v>
      </c>
      <c r="D331">
        <v>1</v>
      </c>
    </row>
    <row r="332" spans="1:4" x14ac:dyDescent="0.25">
      <c r="A332" s="8">
        <v>43795</v>
      </c>
      <c r="B332">
        <v>2019</v>
      </c>
      <c r="C332">
        <v>12</v>
      </c>
      <c r="D332">
        <v>1</v>
      </c>
    </row>
    <row r="333" spans="1:4" x14ac:dyDescent="0.25">
      <c r="A333" s="8">
        <v>43796</v>
      </c>
      <c r="B333">
        <v>2019</v>
      </c>
      <c r="C333">
        <v>12</v>
      </c>
      <c r="D333">
        <v>1</v>
      </c>
    </row>
    <row r="334" spans="1:4" x14ac:dyDescent="0.25">
      <c r="A334" s="8">
        <v>43797</v>
      </c>
      <c r="B334">
        <v>2019</v>
      </c>
      <c r="C334">
        <v>12</v>
      </c>
      <c r="D334">
        <v>1</v>
      </c>
    </row>
    <row r="335" spans="1:4" x14ac:dyDescent="0.25">
      <c r="A335" s="8">
        <v>43798</v>
      </c>
      <c r="B335">
        <v>2019</v>
      </c>
      <c r="C335">
        <v>12</v>
      </c>
      <c r="D335">
        <v>1</v>
      </c>
    </row>
    <row r="336" spans="1:4" x14ac:dyDescent="0.25">
      <c r="A336" s="8">
        <v>43799</v>
      </c>
      <c r="B336">
        <v>2019</v>
      </c>
      <c r="C336">
        <v>12</v>
      </c>
      <c r="D336">
        <v>1</v>
      </c>
    </row>
    <row r="337" spans="1:4" x14ac:dyDescent="0.25">
      <c r="A337" s="8">
        <v>43800</v>
      </c>
      <c r="B337">
        <v>2019</v>
      </c>
      <c r="C337">
        <v>12</v>
      </c>
      <c r="D337">
        <v>1</v>
      </c>
    </row>
    <row r="338" spans="1:4" x14ac:dyDescent="0.25">
      <c r="A338" s="8">
        <v>43801</v>
      </c>
      <c r="B338">
        <v>2019</v>
      </c>
      <c r="C338">
        <v>12</v>
      </c>
      <c r="D338">
        <v>2</v>
      </c>
    </row>
    <row r="339" spans="1:4" x14ac:dyDescent="0.25">
      <c r="A339" s="8">
        <v>43802</v>
      </c>
      <c r="B339">
        <v>2019</v>
      </c>
      <c r="C339">
        <v>12</v>
      </c>
      <c r="D339">
        <v>2</v>
      </c>
    </row>
    <row r="340" spans="1:4" x14ac:dyDescent="0.25">
      <c r="A340" s="8">
        <v>43803</v>
      </c>
      <c r="B340">
        <v>2019</v>
      </c>
      <c r="C340">
        <v>12</v>
      </c>
      <c r="D340">
        <v>2</v>
      </c>
    </row>
    <row r="341" spans="1:4" x14ac:dyDescent="0.25">
      <c r="A341" s="8">
        <v>43804</v>
      </c>
      <c r="B341">
        <v>2019</v>
      </c>
      <c r="C341">
        <v>12</v>
      </c>
      <c r="D341">
        <v>2</v>
      </c>
    </row>
    <row r="342" spans="1:4" x14ac:dyDescent="0.25">
      <c r="A342" s="8">
        <v>43805</v>
      </c>
      <c r="B342">
        <v>2019</v>
      </c>
      <c r="C342">
        <v>12</v>
      </c>
      <c r="D342">
        <v>2</v>
      </c>
    </row>
    <row r="343" spans="1:4" x14ac:dyDescent="0.25">
      <c r="A343" s="8">
        <v>43806</v>
      </c>
      <c r="B343">
        <v>2019</v>
      </c>
      <c r="C343">
        <v>12</v>
      </c>
      <c r="D343">
        <v>2</v>
      </c>
    </row>
    <row r="344" spans="1:4" x14ac:dyDescent="0.25">
      <c r="A344" s="8">
        <v>43807</v>
      </c>
      <c r="B344">
        <v>2019</v>
      </c>
      <c r="C344">
        <v>12</v>
      </c>
      <c r="D344">
        <v>2</v>
      </c>
    </row>
    <row r="345" spans="1:4" x14ac:dyDescent="0.25">
      <c r="A345" s="8">
        <v>43808</v>
      </c>
      <c r="B345">
        <v>2019</v>
      </c>
      <c r="C345">
        <v>12</v>
      </c>
      <c r="D345">
        <v>3</v>
      </c>
    </row>
    <row r="346" spans="1:4" x14ac:dyDescent="0.25">
      <c r="A346" s="8">
        <v>43809</v>
      </c>
      <c r="B346">
        <v>2019</v>
      </c>
      <c r="C346">
        <v>12</v>
      </c>
      <c r="D346">
        <v>3</v>
      </c>
    </row>
    <row r="347" spans="1:4" x14ac:dyDescent="0.25">
      <c r="A347" s="8">
        <v>43810</v>
      </c>
      <c r="B347">
        <v>2019</v>
      </c>
      <c r="C347">
        <v>12</v>
      </c>
      <c r="D347">
        <v>3</v>
      </c>
    </row>
    <row r="348" spans="1:4" x14ac:dyDescent="0.25">
      <c r="A348" s="8">
        <v>43811</v>
      </c>
      <c r="B348">
        <v>2019</v>
      </c>
      <c r="C348">
        <v>12</v>
      </c>
      <c r="D348">
        <v>3</v>
      </c>
    </row>
    <row r="349" spans="1:4" x14ac:dyDescent="0.25">
      <c r="A349" s="8">
        <v>43812</v>
      </c>
      <c r="B349">
        <v>2019</v>
      </c>
      <c r="C349">
        <v>12</v>
      </c>
      <c r="D349">
        <v>3</v>
      </c>
    </row>
    <row r="350" spans="1:4" x14ac:dyDescent="0.25">
      <c r="A350" s="8">
        <v>43813</v>
      </c>
      <c r="B350">
        <v>2019</v>
      </c>
      <c r="C350">
        <v>12</v>
      </c>
      <c r="D350">
        <v>3</v>
      </c>
    </row>
    <row r="351" spans="1:4" x14ac:dyDescent="0.25">
      <c r="A351" s="8">
        <v>43814</v>
      </c>
      <c r="B351">
        <v>2019</v>
      </c>
      <c r="C351">
        <v>12</v>
      </c>
      <c r="D351">
        <v>3</v>
      </c>
    </row>
    <row r="352" spans="1:4" x14ac:dyDescent="0.25">
      <c r="A352" s="8">
        <v>43815</v>
      </c>
      <c r="B352">
        <v>2019</v>
      </c>
      <c r="C352">
        <v>12</v>
      </c>
      <c r="D352">
        <v>4</v>
      </c>
    </row>
    <row r="353" spans="1:4" x14ac:dyDescent="0.25">
      <c r="A353" s="8">
        <v>43816</v>
      </c>
      <c r="B353">
        <v>2019</v>
      </c>
      <c r="C353">
        <v>12</v>
      </c>
      <c r="D353">
        <v>4</v>
      </c>
    </row>
    <row r="354" spans="1:4" x14ac:dyDescent="0.25">
      <c r="A354" s="8">
        <v>43817</v>
      </c>
      <c r="B354">
        <v>2019</v>
      </c>
      <c r="C354">
        <v>12</v>
      </c>
      <c r="D354">
        <v>4</v>
      </c>
    </row>
    <row r="355" spans="1:4" x14ac:dyDescent="0.25">
      <c r="A355" s="8">
        <v>43818</v>
      </c>
      <c r="B355">
        <v>2019</v>
      </c>
      <c r="C355">
        <v>12</v>
      </c>
      <c r="D355">
        <v>4</v>
      </c>
    </row>
    <row r="356" spans="1:4" x14ac:dyDescent="0.25">
      <c r="A356" s="8">
        <v>43819</v>
      </c>
      <c r="B356">
        <v>2019</v>
      </c>
      <c r="C356">
        <v>12</v>
      </c>
      <c r="D356">
        <v>4</v>
      </c>
    </row>
    <row r="357" spans="1:4" x14ac:dyDescent="0.25">
      <c r="A357" s="8">
        <v>43820</v>
      </c>
      <c r="B357">
        <v>2019</v>
      </c>
      <c r="C357">
        <v>12</v>
      </c>
      <c r="D357">
        <v>4</v>
      </c>
    </row>
    <row r="358" spans="1:4" x14ac:dyDescent="0.25">
      <c r="A358" s="8">
        <v>43821</v>
      </c>
      <c r="B358">
        <v>2019</v>
      </c>
      <c r="C358">
        <v>12</v>
      </c>
      <c r="D358">
        <v>4</v>
      </c>
    </row>
    <row r="359" spans="1:4" x14ac:dyDescent="0.25">
      <c r="A359" s="8">
        <v>43822</v>
      </c>
      <c r="B359">
        <v>2019</v>
      </c>
      <c r="C359">
        <v>12</v>
      </c>
      <c r="D359">
        <v>5</v>
      </c>
    </row>
    <row r="360" spans="1:4" x14ac:dyDescent="0.25">
      <c r="A360" s="8">
        <v>43823</v>
      </c>
      <c r="B360">
        <v>2019</v>
      </c>
      <c r="C360">
        <v>12</v>
      </c>
      <c r="D360">
        <v>5</v>
      </c>
    </row>
    <row r="361" spans="1:4" x14ac:dyDescent="0.25">
      <c r="A361" s="8">
        <v>43824</v>
      </c>
      <c r="B361">
        <v>2019</v>
      </c>
      <c r="C361">
        <v>12</v>
      </c>
      <c r="D361">
        <v>5</v>
      </c>
    </row>
    <row r="362" spans="1:4" x14ac:dyDescent="0.25">
      <c r="A362" s="8">
        <v>43825</v>
      </c>
      <c r="B362">
        <v>2019</v>
      </c>
      <c r="C362">
        <v>12</v>
      </c>
      <c r="D362">
        <v>5</v>
      </c>
    </row>
    <row r="363" spans="1:4" x14ac:dyDescent="0.25">
      <c r="A363" s="8">
        <v>43826</v>
      </c>
      <c r="B363">
        <v>2019</v>
      </c>
      <c r="C363">
        <v>12</v>
      </c>
      <c r="D363">
        <v>5</v>
      </c>
    </row>
    <row r="364" spans="1:4" x14ac:dyDescent="0.25">
      <c r="A364" s="8">
        <v>43827</v>
      </c>
      <c r="B364">
        <v>2019</v>
      </c>
      <c r="C364">
        <v>12</v>
      </c>
      <c r="D364">
        <v>5</v>
      </c>
    </row>
    <row r="365" spans="1:4" x14ac:dyDescent="0.25">
      <c r="A365" s="8">
        <v>43828</v>
      </c>
      <c r="B365">
        <v>2019</v>
      </c>
      <c r="C365">
        <v>12</v>
      </c>
      <c r="D365">
        <v>5</v>
      </c>
    </row>
    <row r="366" spans="1:4" x14ac:dyDescent="0.25">
      <c r="A366" s="14">
        <v>43829</v>
      </c>
      <c r="B366" s="15">
        <v>2020</v>
      </c>
      <c r="C366" s="15">
        <v>1</v>
      </c>
      <c r="D366" s="15">
        <v>1</v>
      </c>
    </row>
    <row r="367" spans="1:4" x14ac:dyDescent="0.25">
      <c r="A367" s="14">
        <v>43830</v>
      </c>
      <c r="B367" s="15">
        <v>2020</v>
      </c>
      <c r="C367" s="15">
        <v>1</v>
      </c>
      <c r="D367" s="15">
        <v>1</v>
      </c>
    </row>
    <row r="368" spans="1:4" x14ac:dyDescent="0.25">
      <c r="A368" s="14">
        <v>43831</v>
      </c>
      <c r="B368" s="15">
        <v>2020</v>
      </c>
      <c r="C368" s="15">
        <v>1</v>
      </c>
      <c r="D368" s="15">
        <v>1</v>
      </c>
    </row>
    <row r="369" spans="1:4" x14ac:dyDescent="0.25">
      <c r="A369" s="14">
        <v>43832</v>
      </c>
      <c r="B369" s="15">
        <v>2020</v>
      </c>
      <c r="C369" s="15">
        <v>1</v>
      </c>
      <c r="D369" s="15">
        <v>1</v>
      </c>
    </row>
    <row r="370" spans="1:4" x14ac:dyDescent="0.25">
      <c r="A370" s="14">
        <v>43833</v>
      </c>
      <c r="B370" s="15">
        <v>2020</v>
      </c>
      <c r="C370" s="15">
        <v>1</v>
      </c>
      <c r="D370" s="15">
        <v>1</v>
      </c>
    </row>
    <row r="371" spans="1:4" x14ac:dyDescent="0.25">
      <c r="A371" s="14">
        <v>43834</v>
      </c>
      <c r="B371" s="15">
        <v>2020</v>
      </c>
      <c r="C371" s="15">
        <v>1</v>
      </c>
      <c r="D371" s="15">
        <v>1</v>
      </c>
    </row>
    <row r="372" spans="1:4" x14ac:dyDescent="0.25">
      <c r="A372" s="14">
        <v>43835</v>
      </c>
      <c r="B372" s="15">
        <v>2020</v>
      </c>
      <c r="C372" s="15">
        <v>1</v>
      </c>
      <c r="D372" s="15">
        <v>1</v>
      </c>
    </row>
    <row r="373" spans="1:4" x14ac:dyDescent="0.25">
      <c r="A373" s="14">
        <v>43836</v>
      </c>
      <c r="B373" s="15">
        <v>2020</v>
      </c>
      <c r="C373" s="15">
        <v>1</v>
      </c>
      <c r="D373" s="15">
        <v>2</v>
      </c>
    </row>
    <row r="374" spans="1:4" x14ac:dyDescent="0.25">
      <c r="A374" s="14">
        <v>43837</v>
      </c>
      <c r="B374" s="15">
        <v>2020</v>
      </c>
      <c r="C374" s="15">
        <v>1</v>
      </c>
      <c r="D374" s="15">
        <v>2</v>
      </c>
    </row>
    <row r="375" spans="1:4" x14ac:dyDescent="0.25">
      <c r="A375" s="14">
        <v>43838</v>
      </c>
      <c r="B375" s="15">
        <v>2020</v>
      </c>
      <c r="C375" s="15">
        <v>1</v>
      </c>
      <c r="D375" s="15">
        <v>2</v>
      </c>
    </row>
    <row r="376" spans="1:4" x14ac:dyDescent="0.25">
      <c r="A376" s="14">
        <v>43839</v>
      </c>
      <c r="B376" s="15">
        <v>2020</v>
      </c>
      <c r="C376" s="15">
        <v>1</v>
      </c>
      <c r="D376" s="15">
        <v>2</v>
      </c>
    </row>
    <row r="377" spans="1:4" x14ac:dyDescent="0.25">
      <c r="A377" s="14">
        <v>43840</v>
      </c>
      <c r="B377" s="15">
        <v>2020</v>
      </c>
      <c r="C377" s="15">
        <v>1</v>
      </c>
      <c r="D377" s="15">
        <v>2</v>
      </c>
    </row>
    <row r="378" spans="1:4" x14ac:dyDescent="0.25">
      <c r="A378" s="14">
        <v>43841</v>
      </c>
      <c r="B378" s="15">
        <v>2020</v>
      </c>
      <c r="C378" s="15">
        <v>1</v>
      </c>
      <c r="D378" s="15">
        <v>2</v>
      </c>
    </row>
    <row r="379" spans="1:4" x14ac:dyDescent="0.25">
      <c r="A379" s="14">
        <v>43842</v>
      </c>
      <c r="B379" s="15">
        <v>2020</v>
      </c>
      <c r="C379" s="15">
        <v>1</v>
      </c>
      <c r="D379" s="15">
        <v>2</v>
      </c>
    </row>
    <row r="380" spans="1:4" x14ac:dyDescent="0.25">
      <c r="A380" s="14">
        <v>43843</v>
      </c>
      <c r="B380" s="15">
        <v>2020</v>
      </c>
      <c r="C380" s="15">
        <v>1</v>
      </c>
      <c r="D380" s="15">
        <v>3</v>
      </c>
    </row>
    <row r="381" spans="1:4" x14ac:dyDescent="0.25">
      <c r="A381" s="14">
        <v>43844</v>
      </c>
      <c r="B381" s="15">
        <v>2020</v>
      </c>
      <c r="C381" s="15">
        <v>1</v>
      </c>
      <c r="D381" s="15">
        <v>3</v>
      </c>
    </row>
    <row r="382" spans="1:4" x14ac:dyDescent="0.25">
      <c r="A382" s="14">
        <v>43845</v>
      </c>
      <c r="B382" s="15">
        <v>2020</v>
      </c>
      <c r="C382" s="15">
        <v>1</v>
      </c>
      <c r="D382" s="15">
        <v>3</v>
      </c>
    </row>
    <row r="383" spans="1:4" x14ac:dyDescent="0.25">
      <c r="A383" s="14">
        <v>43846</v>
      </c>
      <c r="B383" s="15">
        <v>2020</v>
      </c>
      <c r="C383" s="15">
        <v>1</v>
      </c>
      <c r="D383" s="15">
        <v>3</v>
      </c>
    </row>
    <row r="384" spans="1:4" x14ac:dyDescent="0.25">
      <c r="A384" s="14">
        <v>43847</v>
      </c>
      <c r="B384" s="15">
        <v>2020</v>
      </c>
      <c r="C384" s="15">
        <v>1</v>
      </c>
      <c r="D384" s="15">
        <v>3</v>
      </c>
    </row>
    <row r="385" spans="1:4" x14ac:dyDescent="0.25">
      <c r="A385" s="14">
        <v>43848</v>
      </c>
      <c r="B385" s="15">
        <v>2020</v>
      </c>
      <c r="C385" s="15">
        <v>1</v>
      </c>
      <c r="D385" s="15">
        <v>3</v>
      </c>
    </row>
    <row r="386" spans="1:4" x14ac:dyDescent="0.25">
      <c r="A386" s="14">
        <v>43849</v>
      </c>
      <c r="B386" s="15">
        <v>2020</v>
      </c>
      <c r="C386" s="15">
        <v>1</v>
      </c>
      <c r="D386" s="15">
        <v>3</v>
      </c>
    </row>
    <row r="387" spans="1:4" x14ac:dyDescent="0.25">
      <c r="A387" s="14">
        <v>43850</v>
      </c>
      <c r="B387" s="15">
        <v>2020</v>
      </c>
      <c r="C387" s="15">
        <v>1</v>
      </c>
      <c r="D387" s="15">
        <v>4</v>
      </c>
    </row>
    <row r="388" spans="1:4" x14ac:dyDescent="0.25">
      <c r="A388" s="14">
        <v>43851</v>
      </c>
      <c r="B388" s="15">
        <v>2020</v>
      </c>
      <c r="C388" s="15">
        <v>1</v>
      </c>
      <c r="D388" s="15">
        <v>4</v>
      </c>
    </row>
    <row r="389" spans="1:4" x14ac:dyDescent="0.25">
      <c r="A389" s="14">
        <v>43852</v>
      </c>
      <c r="B389" s="15">
        <v>2020</v>
      </c>
      <c r="C389" s="15">
        <v>1</v>
      </c>
      <c r="D389" s="15">
        <v>4</v>
      </c>
    </row>
    <row r="390" spans="1:4" x14ac:dyDescent="0.25">
      <c r="A390" s="14">
        <v>43853</v>
      </c>
      <c r="B390" s="15">
        <v>2020</v>
      </c>
      <c r="C390" s="15">
        <v>1</v>
      </c>
      <c r="D390" s="15">
        <v>4</v>
      </c>
    </row>
    <row r="391" spans="1:4" x14ac:dyDescent="0.25">
      <c r="A391" s="14">
        <v>43854</v>
      </c>
      <c r="B391" s="15">
        <v>2020</v>
      </c>
      <c r="C391" s="15">
        <v>1</v>
      </c>
      <c r="D391" s="15">
        <v>4</v>
      </c>
    </row>
    <row r="392" spans="1:4" x14ac:dyDescent="0.25">
      <c r="A392" s="14">
        <v>43855</v>
      </c>
      <c r="B392" s="15">
        <v>2020</v>
      </c>
      <c r="C392" s="15">
        <v>1</v>
      </c>
      <c r="D392" s="15">
        <v>4</v>
      </c>
    </row>
    <row r="393" spans="1:4" x14ac:dyDescent="0.25">
      <c r="A393" s="14">
        <v>43856</v>
      </c>
      <c r="B393" s="15">
        <v>2020</v>
      </c>
      <c r="C393" s="15">
        <v>1</v>
      </c>
      <c r="D393" s="15">
        <v>4</v>
      </c>
    </row>
    <row r="394" spans="1:4" x14ac:dyDescent="0.25">
      <c r="A394" s="14">
        <v>43857</v>
      </c>
      <c r="B394" s="15">
        <v>2020</v>
      </c>
      <c r="C394" s="15">
        <v>2</v>
      </c>
      <c r="D394" s="15">
        <v>1</v>
      </c>
    </row>
    <row r="395" spans="1:4" x14ac:dyDescent="0.25">
      <c r="A395" s="14">
        <v>43858</v>
      </c>
      <c r="B395" s="15">
        <v>2020</v>
      </c>
      <c r="C395" s="15">
        <v>2</v>
      </c>
      <c r="D395" s="15">
        <v>1</v>
      </c>
    </row>
    <row r="396" spans="1:4" x14ac:dyDescent="0.25">
      <c r="A396" s="14">
        <v>43859</v>
      </c>
      <c r="B396" s="15">
        <v>2020</v>
      </c>
      <c r="C396" s="15">
        <v>2</v>
      </c>
      <c r="D396" s="15">
        <v>1</v>
      </c>
    </row>
    <row r="397" spans="1:4" x14ac:dyDescent="0.25">
      <c r="A397" s="14">
        <v>43860</v>
      </c>
      <c r="B397" s="15">
        <v>2020</v>
      </c>
      <c r="C397" s="15">
        <v>2</v>
      </c>
      <c r="D397" s="15">
        <v>1</v>
      </c>
    </row>
    <row r="398" spans="1:4" x14ac:dyDescent="0.25">
      <c r="A398" s="14">
        <v>43861</v>
      </c>
      <c r="B398" s="15">
        <v>2020</v>
      </c>
      <c r="C398" s="15">
        <v>2</v>
      </c>
      <c r="D398" s="15">
        <v>1</v>
      </c>
    </row>
    <row r="399" spans="1:4" x14ac:dyDescent="0.25">
      <c r="A399" s="14">
        <v>43862</v>
      </c>
      <c r="B399" s="15">
        <v>2020</v>
      </c>
      <c r="C399" s="15">
        <v>2</v>
      </c>
      <c r="D399" s="15">
        <v>1</v>
      </c>
    </row>
    <row r="400" spans="1:4" x14ac:dyDescent="0.25">
      <c r="A400" s="14">
        <v>43863</v>
      </c>
      <c r="B400" s="15">
        <v>2020</v>
      </c>
      <c r="C400" s="15">
        <v>2</v>
      </c>
      <c r="D400" s="15">
        <v>1</v>
      </c>
    </row>
    <row r="401" spans="1:4" x14ac:dyDescent="0.25">
      <c r="A401" s="14">
        <v>43864</v>
      </c>
      <c r="B401" s="15">
        <v>2020</v>
      </c>
      <c r="C401" s="15">
        <v>2</v>
      </c>
      <c r="D401" s="15">
        <v>2</v>
      </c>
    </row>
    <row r="402" spans="1:4" x14ac:dyDescent="0.25">
      <c r="A402" s="14">
        <v>43865</v>
      </c>
      <c r="B402" s="15">
        <v>2020</v>
      </c>
      <c r="C402" s="15">
        <v>2</v>
      </c>
      <c r="D402" s="15">
        <v>2</v>
      </c>
    </row>
    <row r="403" spans="1:4" x14ac:dyDescent="0.25">
      <c r="A403" s="14">
        <v>43866</v>
      </c>
      <c r="B403" s="15">
        <v>2020</v>
      </c>
      <c r="C403" s="15">
        <v>2</v>
      </c>
      <c r="D403" s="15">
        <v>2</v>
      </c>
    </row>
    <row r="404" spans="1:4" x14ac:dyDescent="0.25">
      <c r="A404" s="14">
        <v>43867</v>
      </c>
      <c r="B404" s="15">
        <v>2020</v>
      </c>
      <c r="C404" s="15">
        <v>2</v>
      </c>
      <c r="D404" s="15">
        <v>2</v>
      </c>
    </row>
    <row r="405" spans="1:4" x14ac:dyDescent="0.25">
      <c r="A405" s="14">
        <v>43868</v>
      </c>
      <c r="B405" s="15">
        <v>2020</v>
      </c>
      <c r="C405" s="15">
        <v>2</v>
      </c>
      <c r="D405" s="15">
        <v>2</v>
      </c>
    </row>
    <row r="406" spans="1:4" x14ac:dyDescent="0.25">
      <c r="A406" s="14">
        <v>43869</v>
      </c>
      <c r="B406" s="15">
        <v>2020</v>
      </c>
      <c r="C406" s="15">
        <v>2</v>
      </c>
      <c r="D406" s="15">
        <v>2</v>
      </c>
    </row>
    <row r="407" spans="1:4" x14ac:dyDescent="0.25">
      <c r="A407" s="14">
        <v>43870</v>
      </c>
      <c r="B407" s="15">
        <v>2020</v>
      </c>
      <c r="C407" s="15">
        <v>2</v>
      </c>
      <c r="D407" s="15">
        <v>2</v>
      </c>
    </row>
    <row r="408" spans="1:4" x14ac:dyDescent="0.25">
      <c r="A408" s="14">
        <v>43871</v>
      </c>
      <c r="B408" s="15">
        <v>2020</v>
      </c>
      <c r="C408" s="15">
        <v>2</v>
      </c>
      <c r="D408" s="15">
        <v>3</v>
      </c>
    </row>
    <row r="409" spans="1:4" x14ac:dyDescent="0.25">
      <c r="A409" s="14">
        <v>43872</v>
      </c>
      <c r="B409" s="15">
        <v>2020</v>
      </c>
      <c r="C409" s="15">
        <v>2</v>
      </c>
      <c r="D409" s="15">
        <v>3</v>
      </c>
    </row>
    <row r="410" spans="1:4" x14ac:dyDescent="0.25">
      <c r="A410" s="14">
        <v>43873</v>
      </c>
      <c r="B410" s="15">
        <v>2020</v>
      </c>
      <c r="C410" s="15">
        <v>2</v>
      </c>
      <c r="D410" s="15">
        <v>3</v>
      </c>
    </row>
    <row r="411" spans="1:4" x14ac:dyDescent="0.25">
      <c r="A411" s="14">
        <v>43874</v>
      </c>
      <c r="B411" s="15">
        <v>2020</v>
      </c>
      <c r="C411" s="15">
        <v>2</v>
      </c>
      <c r="D411" s="15">
        <v>3</v>
      </c>
    </row>
    <row r="412" spans="1:4" x14ac:dyDescent="0.25">
      <c r="A412" s="14">
        <v>43875</v>
      </c>
      <c r="B412" s="15">
        <v>2020</v>
      </c>
      <c r="C412" s="15">
        <v>2</v>
      </c>
      <c r="D412" s="15">
        <v>3</v>
      </c>
    </row>
    <row r="413" spans="1:4" x14ac:dyDescent="0.25">
      <c r="A413" s="14">
        <v>43876</v>
      </c>
      <c r="B413" s="15">
        <v>2020</v>
      </c>
      <c r="C413" s="15">
        <v>2</v>
      </c>
      <c r="D413" s="15">
        <v>3</v>
      </c>
    </row>
    <row r="414" spans="1:4" x14ac:dyDescent="0.25">
      <c r="A414" s="14">
        <v>43877</v>
      </c>
      <c r="B414" s="15">
        <v>2020</v>
      </c>
      <c r="C414" s="15">
        <v>2</v>
      </c>
      <c r="D414" s="15">
        <v>3</v>
      </c>
    </row>
    <row r="415" spans="1:4" x14ac:dyDescent="0.25">
      <c r="A415" s="14">
        <v>43878</v>
      </c>
      <c r="B415" s="15">
        <v>2020</v>
      </c>
      <c r="C415" s="15">
        <v>2</v>
      </c>
      <c r="D415" s="15">
        <v>4</v>
      </c>
    </row>
    <row r="416" spans="1:4" x14ac:dyDescent="0.25">
      <c r="A416" s="14">
        <v>43879</v>
      </c>
      <c r="B416" s="15">
        <v>2020</v>
      </c>
      <c r="C416" s="15">
        <v>2</v>
      </c>
      <c r="D416" s="15">
        <v>4</v>
      </c>
    </row>
    <row r="417" spans="1:4" x14ac:dyDescent="0.25">
      <c r="A417" s="14">
        <v>43880</v>
      </c>
      <c r="B417" s="15">
        <v>2020</v>
      </c>
      <c r="C417" s="15">
        <v>2</v>
      </c>
      <c r="D417" s="15">
        <v>4</v>
      </c>
    </row>
    <row r="418" spans="1:4" x14ac:dyDescent="0.25">
      <c r="A418" s="14">
        <v>43881</v>
      </c>
      <c r="B418" s="15">
        <v>2020</v>
      </c>
      <c r="C418" s="15">
        <v>2</v>
      </c>
      <c r="D418" s="15">
        <v>4</v>
      </c>
    </row>
    <row r="419" spans="1:4" x14ac:dyDescent="0.25">
      <c r="A419" s="14">
        <v>43882</v>
      </c>
      <c r="B419" s="15">
        <v>2020</v>
      </c>
      <c r="C419" s="15">
        <v>2</v>
      </c>
      <c r="D419" s="15">
        <v>4</v>
      </c>
    </row>
    <row r="420" spans="1:4" x14ac:dyDescent="0.25">
      <c r="A420" s="14">
        <v>43883</v>
      </c>
      <c r="B420" s="15">
        <v>2020</v>
      </c>
      <c r="C420" s="15">
        <v>2</v>
      </c>
      <c r="D420" s="15">
        <v>4</v>
      </c>
    </row>
    <row r="421" spans="1:4" x14ac:dyDescent="0.25">
      <c r="A421" s="14">
        <v>43884</v>
      </c>
      <c r="B421" s="15">
        <v>2020</v>
      </c>
      <c r="C421" s="15">
        <v>2</v>
      </c>
      <c r="D421" s="15">
        <v>4</v>
      </c>
    </row>
    <row r="422" spans="1:4" x14ac:dyDescent="0.25">
      <c r="A422" s="14">
        <v>43885</v>
      </c>
      <c r="B422" s="15">
        <v>2020</v>
      </c>
      <c r="C422" s="15">
        <v>3</v>
      </c>
      <c r="D422" s="15">
        <v>1</v>
      </c>
    </row>
    <row r="423" spans="1:4" x14ac:dyDescent="0.25">
      <c r="A423" s="14">
        <v>43886</v>
      </c>
      <c r="B423" s="15">
        <v>2020</v>
      </c>
      <c r="C423" s="15">
        <v>3</v>
      </c>
      <c r="D423" s="15">
        <v>1</v>
      </c>
    </row>
    <row r="424" spans="1:4" x14ac:dyDescent="0.25">
      <c r="A424" s="14">
        <v>43887</v>
      </c>
      <c r="B424" s="15">
        <v>2020</v>
      </c>
      <c r="C424" s="15">
        <v>3</v>
      </c>
      <c r="D424" s="15">
        <v>1</v>
      </c>
    </row>
    <row r="425" spans="1:4" x14ac:dyDescent="0.25">
      <c r="A425" s="14">
        <v>43888</v>
      </c>
      <c r="B425" s="15">
        <v>2020</v>
      </c>
      <c r="C425" s="15">
        <v>3</v>
      </c>
      <c r="D425" s="15">
        <v>1</v>
      </c>
    </row>
    <row r="426" spans="1:4" x14ac:dyDescent="0.25">
      <c r="A426" s="14">
        <v>43889</v>
      </c>
      <c r="B426" s="15">
        <v>2020</v>
      </c>
      <c r="C426" s="15">
        <v>3</v>
      </c>
      <c r="D426" s="15">
        <v>1</v>
      </c>
    </row>
    <row r="427" spans="1:4" x14ac:dyDescent="0.25">
      <c r="A427" s="14">
        <v>43890</v>
      </c>
      <c r="B427" s="15">
        <v>2020</v>
      </c>
      <c r="C427" s="15">
        <v>3</v>
      </c>
      <c r="D427" s="15">
        <v>1</v>
      </c>
    </row>
    <row r="428" spans="1:4" x14ac:dyDescent="0.25">
      <c r="A428" s="14">
        <v>43891</v>
      </c>
      <c r="B428" s="15">
        <v>2020</v>
      </c>
      <c r="C428" s="15">
        <v>3</v>
      </c>
      <c r="D428" s="15">
        <v>1</v>
      </c>
    </row>
    <row r="429" spans="1:4" x14ac:dyDescent="0.25">
      <c r="A429" s="14">
        <v>43892</v>
      </c>
      <c r="B429" s="15">
        <v>2020</v>
      </c>
      <c r="C429" s="15">
        <v>3</v>
      </c>
      <c r="D429" s="15">
        <v>2</v>
      </c>
    </row>
    <row r="430" spans="1:4" x14ac:dyDescent="0.25">
      <c r="A430" s="14">
        <v>43893</v>
      </c>
      <c r="B430" s="15">
        <v>2020</v>
      </c>
      <c r="C430" s="15">
        <v>3</v>
      </c>
      <c r="D430" s="15">
        <v>2</v>
      </c>
    </row>
    <row r="431" spans="1:4" x14ac:dyDescent="0.25">
      <c r="A431" s="14">
        <v>43894</v>
      </c>
      <c r="B431" s="15">
        <v>2020</v>
      </c>
      <c r="C431" s="15">
        <v>3</v>
      </c>
      <c r="D431" s="15">
        <v>2</v>
      </c>
    </row>
    <row r="432" spans="1:4" x14ac:dyDescent="0.25">
      <c r="A432" s="14">
        <v>43895</v>
      </c>
      <c r="B432" s="15">
        <v>2020</v>
      </c>
      <c r="C432" s="15">
        <v>3</v>
      </c>
      <c r="D432" s="15">
        <v>2</v>
      </c>
    </row>
    <row r="433" spans="1:4" x14ac:dyDescent="0.25">
      <c r="A433" s="14">
        <v>43896</v>
      </c>
      <c r="B433" s="15">
        <v>2020</v>
      </c>
      <c r="C433" s="15">
        <v>3</v>
      </c>
      <c r="D433" s="15">
        <v>2</v>
      </c>
    </row>
    <row r="434" spans="1:4" x14ac:dyDescent="0.25">
      <c r="A434" s="14">
        <v>43897</v>
      </c>
      <c r="B434" s="15">
        <v>2020</v>
      </c>
      <c r="C434" s="15">
        <v>3</v>
      </c>
      <c r="D434" s="15">
        <v>2</v>
      </c>
    </row>
    <row r="435" spans="1:4" x14ac:dyDescent="0.25">
      <c r="A435" s="14">
        <v>43898</v>
      </c>
      <c r="B435" s="15">
        <v>2020</v>
      </c>
      <c r="C435" s="15">
        <v>3</v>
      </c>
      <c r="D435" s="15">
        <v>2</v>
      </c>
    </row>
    <row r="436" spans="1:4" x14ac:dyDescent="0.25">
      <c r="A436" s="14">
        <v>43899</v>
      </c>
      <c r="B436" s="15">
        <v>2020</v>
      </c>
      <c r="C436" s="15">
        <v>3</v>
      </c>
      <c r="D436" s="15">
        <v>3</v>
      </c>
    </row>
    <row r="437" spans="1:4" x14ac:dyDescent="0.25">
      <c r="A437" s="14">
        <v>43900</v>
      </c>
      <c r="B437" s="15">
        <v>2020</v>
      </c>
      <c r="C437" s="15">
        <v>3</v>
      </c>
      <c r="D437" s="15">
        <v>3</v>
      </c>
    </row>
    <row r="438" spans="1:4" x14ac:dyDescent="0.25">
      <c r="A438" s="14">
        <v>43901</v>
      </c>
      <c r="B438" s="15">
        <v>2020</v>
      </c>
      <c r="C438" s="15">
        <v>3</v>
      </c>
      <c r="D438" s="15">
        <v>3</v>
      </c>
    </row>
    <row r="439" spans="1:4" x14ac:dyDescent="0.25">
      <c r="A439" s="14">
        <v>43902</v>
      </c>
      <c r="B439" s="15">
        <v>2020</v>
      </c>
      <c r="C439" s="15">
        <v>3</v>
      </c>
      <c r="D439" s="15">
        <v>3</v>
      </c>
    </row>
    <row r="440" spans="1:4" x14ac:dyDescent="0.25">
      <c r="A440" s="14">
        <v>43903</v>
      </c>
      <c r="B440" s="15">
        <v>2020</v>
      </c>
      <c r="C440" s="15">
        <v>3</v>
      </c>
      <c r="D440" s="15">
        <v>3</v>
      </c>
    </row>
    <row r="441" spans="1:4" x14ac:dyDescent="0.25">
      <c r="A441" s="14">
        <v>43904</v>
      </c>
      <c r="B441" s="15">
        <v>2020</v>
      </c>
      <c r="C441" s="15">
        <v>3</v>
      </c>
      <c r="D441" s="15">
        <v>3</v>
      </c>
    </row>
    <row r="442" spans="1:4" x14ac:dyDescent="0.25">
      <c r="A442" s="14">
        <v>43905</v>
      </c>
      <c r="B442" s="15">
        <v>2020</v>
      </c>
      <c r="C442" s="15">
        <v>3</v>
      </c>
      <c r="D442" s="15">
        <v>3</v>
      </c>
    </row>
    <row r="443" spans="1:4" x14ac:dyDescent="0.25">
      <c r="A443" s="14">
        <v>43906</v>
      </c>
      <c r="B443" s="15">
        <v>2020</v>
      </c>
      <c r="C443" s="15">
        <v>3</v>
      </c>
      <c r="D443" s="15">
        <v>4</v>
      </c>
    </row>
    <row r="444" spans="1:4" x14ac:dyDescent="0.25">
      <c r="A444" s="14">
        <v>43907</v>
      </c>
      <c r="B444" s="15">
        <v>2020</v>
      </c>
      <c r="C444" s="15">
        <v>3</v>
      </c>
      <c r="D444" s="15">
        <v>4</v>
      </c>
    </row>
    <row r="445" spans="1:4" x14ac:dyDescent="0.25">
      <c r="A445" s="14">
        <v>43908</v>
      </c>
      <c r="B445" s="15">
        <v>2020</v>
      </c>
      <c r="C445" s="15">
        <v>3</v>
      </c>
      <c r="D445" s="15">
        <v>4</v>
      </c>
    </row>
    <row r="446" spans="1:4" x14ac:dyDescent="0.25">
      <c r="A446" s="14">
        <v>43909</v>
      </c>
      <c r="B446" s="15">
        <v>2020</v>
      </c>
      <c r="C446" s="15">
        <v>3</v>
      </c>
      <c r="D446" s="15">
        <v>4</v>
      </c>
    </row>
    <row r="447" spans="1:4" x14ac:dyDescent="0.25">
      <c r="A447" s="14">
        <v>43910</v>
      </c>
      <c r="B447" s="15">
        <v>2020</v>
      </c>
      <c r="C447" s="15">
        <v>3</v>
      </c>
      <c r="D447" s="15">
        <v>4</v>
      </c>
    </row>
    <row r="448" spans="1:4" x14ac:dyDescent="0.25">
      <c r="A448" s="14">
        <v>43911</v>
      </c>
      <c r="B448" s="15">
        <v>2020</v>
      </c>
      <c r="C448" s="15">
        <v>3</v>
      </c>
      <c r="D448" s="15">
        <v>4</v>
      </c>
    </row>
    <row r="449" spans="1:4" x14ac:dyDescent="0.25">
      <c r="A449" s="14">
        <v>43912</v>
      </c>
      <c r="B449" s="15">
        <v>2020</v>
      </c>
      <c r="C449" s="15">
        <v>3</v>
      </c>
      <c r="D449" s="15">
        <v>4</v>
      </c>
    </row>
    <row r="450" spans="1:4" x14ac:dyDescent="0.25">
      <c r="A450" s="14">
        <v>43913</v>
      </c>
      <c r="B450" s="15">
        <v>2020</v>
      </c>
      <c r="C450" s="15">
        <v>3</v>
      </c>
      <c r="D450" s="15">
        <v>5</v>
      </c>
    </row>
    <row r="451" spans="1:4" x14ac:dyDescent="0.25">
      <c r="A451" s="14">
        <v>43914</v>
      </c>
      <c r="B451" s="15">
        <v>2020</v>
      </c>
      <c r="C451" s="15">
        <v>3</v>
      </c>
      <c r="D451" s="15">
        <v>5</v>
      </c>
    </row>
    <row r="452" spans="1:4" x14ac:dyDescent="0.25">
      <c r="A452" s="14">
        <v>43915</v>
      </c>
      <c r="B452" s="15">
        <v>2020</v>
      </c>
      <c r="C452" s="15">
        <v>3</v>
      </c>
      <c r="D452" s="15">
        <v>5</v>
      </c>
    </row>
    <row r="453" spans="1:4" x14ac:dyDescent="0.25">
      <c r="A453" s="14">
        <v>43916</v>
      </c>
      <c r="B453" s="15">
        <v>2020</v>
      </c>
      <c r="C453" s="15">
        <v>3</v>
      </c>
      <c r="D453" s="15">
        <v>5</v>
      </c>
    </row>
    <row r="454" spans="1:4" x14ac:dyDescent="0.25">
      <c r="A454" s="14">
        <v>43917</v>
      </c>
      <c r="B454" s="15">
        <v>2020</v>
      </c>
      <c r="C454" s="15">
        <v>3</v>
      </c>
      <c r="D454" s="15">
        <v>5</v>
      </c>
    </row>
    <row r="455" spans="1:4" x14ac:dyDescent="0.25">
      <c r="A455" s="14">
        <v>43918</v>
      </c>
      <c r="B455" s="15">
        <v>2020</v>
      </c>
      <c r="C455" s="15">
        <v>3</v>
      </c>
      <c r="D455" s="15">
        <v>5</v>
      </c>
    </row>
    <row r="456" spans="1:4" x14ac:dyDescent="0.25">
      <c r="A456" s="14">
        <v>43919</v>
      </c>
      <c r="B456" s="15">
        <v>2020</v>
      </c>
      <c r="C456" s="15">
        <v>3</v>
      </c>
      <c r="D456" s="15">
        <v>5</v>
      </c>
    </row>
    <row r="457" spans="1:4" x14ac:dyDescent="0.25">
      <c r="A457" s="14">
        <v>43920</v>
      </c>
      <c r="B457" s="15">
        <v>2020</v>
      </c>
      <c r="C457" s="15">
        <v>4</v>
      </c>
      <c r="D457" s="15">
        <v>1</v>
      </c>
    </row>
    <row r="458" spans="1:4" x14ac:dyDescent="0.25">
      <c r="A458" s="14">
        <v>43921</v>
      </c>
      <c r="B458" s="15">
        <v>2020</v>
      </c>
      <c r="C458" s="15">
        <v>4</v>
      </c>
      <c r="D458" s="15">
        <v>1</v>
      </c>
    </row>
    <row r="459" spans="1:4" x14ac:dyDescent="0.25">
      <c r="A459" s="14">
        <v>43922</v>
      </c>
      <c r="B459" s="15">
        <v>2020</v>
      </c>
      <c r="C459" s="15">
        <v>4</v>
      </c>
      <c r="D459" s="15">
        <v>1</v>
      </c>
    </row>
    <row r="460" spans="1:4" x14ac:dyDescent="0.25">
      <c r="A460" s="14">
        <v>43923</v>
      </c>
      <c r="B460" s="15">
        <v>2020</v>
      </c>
      <c r="C460" s="15">
        <v>4</v>
      </c>
      <c r="D460" s="15">
        <v>1</v>
      </c>
    </row>
    <row r="461" spans="1:4" x14ac:dyDescent="0.25">
      <c r="A461" s="14">
        <v>43924</v>
      </c>
      <c r="B461" s="15">
        <v>2020</v>
      </c>
      <c r="C461" s="15">
        <v>4</v>
      </c>
      <c r="D461" s="15">
        <v>1</v>
      </c>
    </row>
    <row r="462" spans="1:4" x14ac:dyDescent="0.25">
      <c r="A462" s="14">
        <v>43925</v>
      </c>
      <c r="B462" s="15">
        <v>2020</v>
      </c>
      <c r="C462" s="15">
        <v>4</v>
      </c>
      <c r="D462" s="15">
        <v>1</v>
      </c>
    </row>
    <row r="463" spans="1:4" x14ac:dyDescent="0.25">
      <c r="A463" s="14">
        <v>43926</v>
      </c>
      <c r="B463" s="15">
        <v>2020</v>
      </c>
      <c r="C463" s="15">
        <v>4</v>
      </c>
      <c r="D463" s="15">
        <v>1</v>
      </c>
    </row>
    <row r="464" spans="1:4" x14ac:dyDescent="0.25">
      <c r="A464" s="14">
        <v>43927</v>
      </c>
      <c r="B464" s="15">
        <v>2020</v>
      </c>
      <c r="C464" s="15">
        <v>4</v>
      </c>
      <c r="D464" s="15">
        <v>2</v>
      </c>
    </row>
    <row r="465" spans="1:4" x14ac:dyDescent="0.25">
      <c r="A465" s="14">
        <v>43928</v>
      </c>
      <c r="B465" s="15">
        <v>2020</v>
      </c>
      <c r="C465" s="15">
        <v>4</v>
      </c>
      <c r="D465" s="15">
        <v>2</v>
      </c>
    </row>
    <row r="466" spans="1:4" x14ac:dyDescent="0.25">
      <c r="A466" s="14">
        <v>43929</v>
      </c>
      <c r="B466" s="15">
        <v>2020</v>
      </c>
      <c r="C466" s="15">
        <v>4</v>
      </c>
      <c r="D466" s="15">
        <v>2</v>
      </c>
    </row>
    <row r="467" spans="1:4" x14ac:dyDescent="0.25">
      <c r="A467" s="14">
        <v>43930</v>
      </c>
      <c r="B467" s="15">
        <v>2020</v>
      </c>
      <c r="C467" s="15">
        <v>4</v>
      </c>
      <c r="D467" s="15">
        <v>2</v>
      </c>
    </row>
    <row r="468" spans="1:4" x14ac:dyDescent="0.25">
      <c r="A468" s="14">
        <v>43931</v>
      </c>
      <c r="B468" s="15">
        <v>2020</v>
      </c>
      <c r="C468" s="15">
        <v>4</v>
      </c>
      <c r="D468" s="15">
        <v>2</v>
      </c>
    </row>
    <row r="469" spans="1:4" x14ac:dyDescent="0.25">
      <c r="A469" s="14">
        <v>43932</v>
      </c>
      <c r="B469" s="15">
        <v>2020</v>
      </c>
      <c r="C469" s="15">
        <v>4</v>
      </c>
      <c r="D469" s="15">
        <v>2</v>
      </c>
    </row>
    <row r="470" spans="1:4" x14ac:dyDescent="0.25">
      <c r="A470" s="14">
        <v>43933</v>
      </c>
      <c r="B470" s="15">
        <v>2020</v>
      </c>
      <c r="C470" s="15">
        <v>4</v>
      </c>
      <c r="D470" s="15">
        <v>2</v>
      </c>
    </row>
    <row r="471" spans="1:4" x14ac:dyDescent="0.25">
      <c r="A471" s="14">
        <v>43934</v>
      </c>
      <c r="B471" s="15">
        <v>2020</v>
      </c>
      <c r="C471" s="15">
        <v>4</v>
      </c>
      <c r="D471" s="15">
        <v>3</v>
      </c>
    </row>
    <row r="472" spans="1:4" x14ac:dyDescent="0.25">
      <c r="A472" s="14">
        <v>43935</v>
      </c>
      <c r="B472" s="15">
        <v>2020</v>
      </c>
      <c r="C472" s="15">
        <v>4</v>
      </c>
      <c r="D472" s="15">
        <v>3</v>
      </c>
    </row>
    <row r="473" spans="1:4" x14ac:dyDescent="0.25">
      <c r="A473" s="14">
        <v>43936</v>
      </c>
      <c r="B473" s="15">
        <v>2020</v>
      </c>
      <c r="C473" s="15">
        <v>4</v>
      </c>
      <c r="D473" s="15">
        <v>3</v>
      </c>
    </row>
    <row r="474" spans="1:4" x14ac:dyDescent="0.25">
      <c r="A474" s="14">
        <v>43937</v>
      </c>
      <c r="B474" s="15">
        <v>2020</v>
      </c>
      <c r="C474" s="15">
        <v>4</v>
      </c>
      <c r="D474" s="15">
        <v>3</v>
      </c>
    </row>
    <row r="475" spans="1:4" x14ac:dyDescent="0.25">
      <c r="A475" s="14">
        <v>43938</v>
      </c>
      <c r="B475" s="15">
        <v>2020</v>
      </c>
      <c r="C475" s="15">
        <v>4</v>
      </c>
      <c r="D475" s="15">
        <v>3</v>
      </c>
    </row>
    <row r="476" spans="1:4" x14ac:dyDescent="0.25">
      <c r="A476" s="14">
        <v>43939</v>
      </c>
      <c r="B476" s="15">
        <v>2020</v>
      </c>
      <c r="C476" s="15">
        <v>4</v>
      </c>
      <c r="D476" s="15">
        <v>3</v>
      </c>
    </row>
    <row r="477" spans="1:4" x14ac:dyDescent="0.25">
      <c r="A477" s="14">
        <v>43940</v>
      </c>
      <c r="B477" s="15">
        <v>2020</v>
      </c>
      <c r="C477" s="15">
        <v>4</v>
      </c>
      <c r="D477" s="15">
        <v>3</v>
      </c>
    </row>
    <row r="478" spans="1:4" x14ac:dyDescent="0.25">
      <c r="A478" s="14">
        <v>43941</v>
      </c>
      <c r="B478" s="15">
        <v>2020</v>
      </c>
      <c r="C478" s="15">
        <v>4</v>
      </c>
      <c r="D478" s="15">
        <v>4</v>
      </c>
    </row>
    <row r="479" spans="1:4" x14ac:dyDescent="0.25">
      <c r="A479" s="14">
        <v>43942</v>
      </c>
      <c r="B479" s="15">
        <v>2020</v>
      </c>
      <c r="C479" s="15">
        <v>4</v>
      </c>
      <c r="D479" s="15">
        <v>4</v>
      </c>
    </row>
    <row r="480" spans="1:4" x14ac:dyDescent="0.25">
      <c r="A480" s="14">
        <v>43943</v>
      </c>
      <c r="B480" s="15">
        <v>2020</v>
      </c>
      <c r="C480" s="15">
        <v>4</v>
      </c>
      <c r="D480" s="15">
        <v>4</v>
      </c>
    </row>
    <row r="481" spans="1:4" x14ac:dyDescent="0.25">
      <c r="A481" s="14">
        <v>43944</v>
      </c>
      <c r="B481" s="15">
        <v>2020</v>
      </c>
      <c r="C481" s="15">
        <v>4</v>
      </c>
      <c r="D481" s="15">
        <v>4</v>
      </c>
    </row>
    <row r="482" spans="1:4" x14ac:dyDescent="0.25">
      <c r="A482" s="14">
        <v>43945</v>
      </c>
      <c r="B482" s="15">
        <v>2020</v>
      </c>
      <c r="C482" s="15">
        <v>4</v>
      </c>
      <c r="D482" s="15">
        <v>4</v>
      </c>
    </row>
    <row r="483" spans="1:4" x14ac:dyDescent="0.25">
      <c r="A483" s="14">
        <v>43946</v>
      </c>
      <c r="B483" s="15">
        <v>2020</v>
      </c>
      <c r="C483" s="15">
        <v>4</v>
      </c>
      <c r="D483" s="15">
        <v>4</v>
      </c>
    </row>
    <row r="484" spans="1:4" x14ac:dyDescent="0.25">
      <c r="A484" s="14">
        <v>43947</v>
      </c>
      <c r="B484" s="15">
        <v>2020</v>
      </c>
      <c r="C484" s="15">
        <v>4</v>
      </c>
      <c r="D484" s="15">
        <v>4</v>
      </c>
    </row>
    <row r="485" spans="1:4" x14ac:dyDescent="0.25">
      <c r="A485" s="14">
        <v>43948</v>
      </c>
      <c r="B485" s="15">
        <v>2020</v>
      </c>
      <c r="C485" s="15">
        <v>5</v>
      </c>
      <c r="D485" s="15">
        <v>1</v>
      </c>
    </row>
    <row r="486" spans="1:4" x14ac:dyDescent="0.25">
      <c r="A486" s="14">
        <v>43949</v>
      </c>
      <c r="B486" s="15">
        <v>2020</v>
      </c>
      <c r="C486" s="15">
        <v>5</v>
      </c>
      <c r="D486" s="15">
        <v>1</v>
      </c>
    </row>
    <row r="487" spans="1:4" x14ac:dyDescent="0.25">
      <c r="A487" s="14">
        <v>43950</v>
      </c>
      <c r="B487" s="15">
        <v>2020</v>
      </c>
      <c r="C487" s="15">
        <v>5</v>
      </c>
      <c r="D487" s="15">
        <v>1</v>
      </c>
    </row>
    <row r="488" spans="1:4" x14ac:dyDescent="0.25">
      <c r="A488" s="14">
        <v>43951</v>
      </c>
      <c r="B488" s="15">
        <v>2020</v>
      </c>
      <c r="C488" s="15">
        <v>5</v>
      </c>
      <c r="D488" s="15">
        <v>1</v>
      </c>
    </row>
    <row r="489" spans="1:4" x14ac:dyDescent="0.25">
      <c r="A489" s="14">
        <v>43952</v>
      </c>
      <c r="B489" s="15">
        <v>2020</v>
      </c>
      <c r="C489" s="15">
        <v>5</v>
      </c>
      <c r="D489" s="15">
        <v>1</v>
      </c>
    </row>
    <row r="490" spans="1:4" x14ac:dyDescent="0.25">
      <c r="A490" s="14">
        <v>43953</v>
      </c>
      <c r="B490" s="15">
        <v>2020</v>
      </c>
      <c r="C490" s="15">
        <v>5</v>
      </c>
      <c r="D490" s="15">
        <v>1</v>
      </c>
    </row>
    <row r="491" spans="1:4" x14ac:dyDescent="0.25">
      <c r="A491" s="14">
        <v>43954</v>
      </c>
      <c r="B491" s="15">
        <v>2020</v>
      </c>
      <c r="C491" s="15">
        <v>5</v>
      </c>
      <c r="D491" s="15">
        <v>1</v>
      </c>
    </row>
    <row r="492" spans="1:4" x14ac:dyDescent="0.25">
      <c r="A492" s="14">
        <v>43955</v>
      </c>
      <c r="B492" s="15">
        <v>2020</v>
      </c>
      <c r="C492" s="15">
        <v>5</v>
      </c>
      <c r="D492" s="15">
        <v>2</v>
      </c>
    </row>
    <row r="493" spans="1:4" x14ac:dyDescent="0.25">
      <c r="A493" s="14">
        <v>43956</v>
      </c>
      <c r="B493" s="15">
        <v>2020</v>
      </c>
      <c r="C493" s="15">
        <v>5</v>
      </c>
      <c r="D493" s="15">
        <v>2</v>
      </c>
    </row>
    <row r="494" spans="1:4" x14ac:dyDescent="0.25">
      <c r="A494" s="14">
        <v>43957</v>
      </c>
      <c r="B494" s="15">
        <v>2020</v>
      </c>
      <c r="C494" s="15">
        <v>5</v>
      </c>
      <c r="D494" s="15">
        <v>2</v>
      </c>
    </row>
    <row r="495" spans="1:4" x14ac:dyDescent="0.25">
      <c r="A495" s="14">
        <v>43958</v>
      </c>
      <c r="B495" s="15">
        <v>2020</v>
      </c>
      <c r="C495" s="15">
        <v>5</v>
      </c>
      <c r="D495" s="15">
        <v>2</v>
      </c>
    </row>
    <row r="496" spans="1:4" x14ac:dyDescent="0.25">
      <c r="A496" s="14">
        <v>43959</v>
      </c>
      <c r="B496" s="15">
        <v>2020</v>
      </c>
      <c r="C496" s="15">
        <v>5</v>
      </c>
      <c r="D496" s="15">
        <v>2</v>
      </c>
    </row>
    <row r="497" spans="1:4" x14ac:dyDescent="0.25">
      <c r="A497" s="14">
        <v>43960</v>
      </c>
      <c r="B497" s="15">
        <v>2020</v>
      </c>
      <c r="C497" s="15">
        <v>5</v>
      </c>
      <c r="D497" s="15">
        <v>2</v>
      </c>
    </row>
    <row r="498" spans="1:4" x14ac:dyDescent="0.25">
      <c r="A498" s="14">
        <v>43961</v>
      </c>
      <c r="B498" s="15">
        <v>2020</v>
      </c>
      <c r="C498" s="15">
        <v>5</v>
      </c>
      <c r="D498" s="15">
        <v>2</v>
      </c>
    </row>
    <row r="499" spans="1:4" x14ac:dyDescent="0.25">
      <c r="A499" s="14">
        <v>43962</v>
      </c>
      <c r="B499" s="15">
        <v>2020</v>
      </c>
      <c r="C499" s="15">
        <v>5</v>
      </c>
      <c r="D499" s="15">
        <v>3</v>
      </c>
    </row>
    <row r="500" spans="1:4" x14ac:dyDescent="0.25">
      <c r="A500" s="14">
        <v>43963</v>
      </c>
      <c r="B500" s="15">
        <v>2020</v>
      </c>
      <c r="C500" s="15">
        <v>5</v>
      </c>
      <c r="D500" s="15">
        <v>3</v>
      </c>
    </row>
    <row r="501" spans="1:4" x14ac:dyDescent="0.25">
      <c r="A501" s="14">
        <v>43964</v>
      </c>
      <c r="B501" s="15">
        <v>2020</v>
      </c>
      <c r="C501" s="15">
        <v>5</v>
      </c>
      <c r="D501" s="15">
        <v>3</v>
      </c>
    </row>
    <row r="502" spans="1:4" x14ac:dyDescent="0.25">
      <c r="A502" s="14">
        <v>43965</v>
      </c>
      <c r="B502" s="15">
        <v>2020</v>
      </c>
      <c r="C502" s="15">
        <v>5</v>
      </c>
      <c r="D502" s="15">
        <v>3</v>
      </c>
    </row>
    <row r="503" spans="1:4" x14ac:dyDescent="0.25">
      <c r="A503" s="14">
        <v>43966</v>
      </c>
      <c r="B503" s="15">
        <v>2020</v>
      </c>
      <c r="C503" s="15">
        <v>5</v>
      </c>
      <c r="D503" s="15">
        <v>3</v>
      </c>
    </row>
    <row r="504" spans="1:4" x14ac:dyDescent="0.25">
      <c r="A504" s="14">
        <v>43967</v>
      </c>
      <c r="B504" s="15">
        <v>2020</v>
      </c>
      <c r="C504" s="15">
        <v>5</v>
      </c>
      <c r="D504" s="15">
        <v>3</v>
      </c>
    </row>
    <row r="505" spans="1:4" x14ac:dyDescent="0.25">
      <c r="A505" s="14">
        <v>43968</v>
      </c>
      <c r="B505" s="15">
        <v>2020</v>
      </c>
      <c r="C505" s="15">
        <v>5</v>
      </c>
      <c r="D505" s="15">
        <v>3</v>
      </c>
    </row>
    <row r="506" spans="1:4" x14ac:dyDescent="0.25">
      <c r="A506" s="14">
        <v>43969</v>
      </c>
      <c r="B506" s="15">
        <v>2020</v>
      </c>
      <c r="C506" s="15">
        <v>5</v>
      </c>
      <c r="D506" s="15">
        <v>4</v>
      </c>
    </row>
    <row r="507" spans="1:4" x14ac:dyDescent="0.25">
      <c r="A507" s="14">
        <v>43970</v>
      </c>
      <c r="B507" s="15">
        <v>2020</v>
      </c>
      <c r="C507" s="15">
        <v>5</v>
      </c>
      <c r="D507" s="15">
        <v>4</v>
      </c>
    </row>
    <row r="508" spans="1:4" x14ac:dyDescent="0.25">
      <c r="A508" s="14">
        <v>43971</v>
      </c>
      <c r="B508" s="15">
        <v>2020</v>
      </c>
      <c r="C508" s="15">
        <v>5</v>
      </c>
      <c r="D508" s="15">
        <v>4</v>
      </c>
    </row>
    <row r="509" spans="1:4" x14ac:dyDescent="0.25">
      <c r="A509" s="14">
        <v>43972</v>
      </c>
      <c r="B509" s="15">
        <v>2020</v>
      </c>
      <c r="C509" s="15">
        <v>5</v>
      </c>
      <c r="D509" s="15">
        <v>4</v>
      </c>
    </row>
    <row r="510" spans="1:4" x14ac:dyDescent="0.25">
      <c r="A510" s="14">
        <v>43973</v>
      </c>
      <c r="B510" s="15">
        <v>2020</v>
      </c>
      <c r="C510" s="15">
        <v>5</v>
      </c>
      <c r="D510" s="15">
        <v>4</v>
      </c>
    </row>
    <row r="511" spans="1:4" x14ac:dyDescent="0.25">
      <c r="A511" s="14">
        <v>43974</v>
      </c>
      <c r="B511" s="15">
        <v>2020</v>
      </c>
      <c r="C511" s="15">
        <v>5</v>
      </c>
      <c r="D511" s="15">
        <v>4</v>
      </c>
    </row>
    <row r="512" spans="1:4" x14ac:dyDescent="0.25">
      <c r="A512" s="14">
        <v>43975</v>
      </c>
      <c r="B512" s="15">
        <v>2020</v>
      </c>
      <c r="C512" s="15">
        <v>5</v>
      </c>
      <c r="D512" s="15">
        <v>4</v>
      </c>
    </row>
    <row r="513" spans="1:4" x14ac:dyDescent="0.25">
      <c r="A513" s="14">
        <v>43976</v>
      </c>
      <c r="B513" s="15">
        <v>2020</v>
      </c>
      <c r="C513" s="15">
        <v>6</v>
      </c>
      <c r="D513" s="15">
        <v>1</v>
      </c>
    </row>
    <row r="514" spans="1:4" x14ac:dyDescent="0.25">
      <c r="A514" s="14">
        <v>43977</v>
      </c>
      <c r="B514" s="15">
        <v>2020</v>
      </c>
      <c r="C514" s="15">
        <v>6</v>
      </c>
      <c r="D514" s="15">
        <v>1</v>
      </c>
    </row>
    <row r="515" spans="1:4" x14ac:dyDescent="0.25">
      <c r="A515" s="14">
        <v>43978</v>
      </c>
      <c r="B515" s="15">
        <v>2020</v>
      </c>
      <c r="C515" s="15">
        <v>6</v>
      </c>
      <c r="D515" s="15">
        <v>1</v>
      </c>
    </row>
    <row r="516" spans="1:4" x14ac:dyDescent="0.25">
      <c r="A516" s="14">
        <v>43979</v>
      </c>
      <c r="B516" s="15">
        <v>2020</v>
      </c>
      <c r="C516" s="15">
        <v>6</v>
      </c>
      <c r="D516" s="15">
        <v>1</v>
      </c>
    </row>
    <row r="517" spans="1:4" x14ac:dyDescent="0.25">
      <c r="A517" s="14">
        <v>43980</v>
      </c>
      <c r="B517" s="15">
        <v>2020</v>
      </c>
      <c r="C517" s="15">
        <v>6</v>
      </c>
      <c r="D517" s="15">
        <v>1</v>
      </c>
    </row>
    <row r="518" spans="1:4" x14ac:dyDescent="0.25">
      <c r="A518" s="14">
        <v>43981</v>
      </c>
      <c r="B518" s="15">
        <v>2020</v>
      </c>
      <c r="C518" s="15">
        <v>6</v>
      </c>
      <c r="D518" s="15">
        <v>1</v>
      </c>
    </row>
    <row r="519" spans="1:4" x14ac:dyDescent="0.25">
      <c r="A519" s="14">
        <v>43982</v>
      </c>
      <c r="B519" s="15">
        <v>2020</v>
      </c>
      <c r="C519" s="15">
        <v>6</v>
      </c>
      <c r="D519" s="15">
        <v>1</v>
      </c>
    </row>
    <row r="520" spans="1:4" x14ac:dyDescent="0.25">
      <c r="A520" s="14">
        <v>43983</v>
      </c>
      <c r="B520" s="15">
        <v>2020</v>
      </c>
      <c r="C520" s="15">
        <v>6</v>
      </c>
      <c r="D520" s="15">
        <v>2</v>
      </c>
    </row>
    <row r="521" spans="1:4" x14ac:dyDescent="0.25">
      <c r="A521" s="14">
        <v>43984</v>
      </c>
      <c r="B521" s="15">
        <v>2020</v>
      </c>
      <c r="C521" s="15">
        <v>6</v>
      </c>
      <c r="D521" s="15">
        <v>2</v>
      </c>
    </row>
    <row r="522" spans="1:4" x14ac:dyDescent="0.25">
      <c r="A522" s="14">
        <v>43985</v>
      </c>
      <c r="B522" s="15">
        <v>2020</v>
      </c>
      <c r="C522" s="15">
        <v>6</v>
      </c>
      <c r="D522" s="15">
        <v>2</v>
      </c>
    </row>
    <row r="523" spans="1:4" x14ac:dyDescent="0.25">
      <c r="A523" s="14">
        <v>43986</v>
      </c>
      <c r="B523" s="15">
        <v>2020</v>
      </c>
      <c r="C523" s="15">
        <v>6</v>
      </c>
      <c r="D523" s="15">
        <v>2</v>
      </c>
    </row>
    <row r="524" spans="1:4" x14ac:dyDescent="0.25">
      <c r="A524" s="14">
        <v>43987</v>
      </c>
      <c r="B524" s="15">
        <v>2020</v>
      </c>
      <c r="C524" s="15">
        <v>6</v>
      </c>
      <c r="D524" s="15">
        <v>2</v>
      </c>
    </row>
    <row r="525" spans="1:4" x14ac:dyDescent="0.25">
      <c r="A525" s="14">
        <v>43988</v>
      </c>
      <c r="B525" s="15">
        <v>2020</v>
      </c>
      <c r="C525" s="15">
        <v>6</v>
      </c>
      <c r="D525" s="15">
        <v>2</v>
      </c>
    </row>
    <row r="526" spans="1:4" x14ac:dyDescent="0.25">
      <c r="A526" s="14">
        <v>43989</v>
      </c>
      <c r="B526" s="15">
        <v>2020</v>
      </c>
      <c r="C526" s="15">
        <v>6</v>
      </c>
      <c r="D526" s="15">
        <v>2</v>
      </c>
    </row>
    <row r="527" spans="1:4" x14ac:dyDescent="0.25">
      <c r="A527" s="14">
        <v>43990</v>
      </c>
      <c r="B527" s="15">
        <v>2020</v>
      </c>
      <c r="C527" s="15">
        <v>6</v>
      </c>
      <c r="D527" s="15">
        <v>3</v>
      </c>
    </row>
    <row r="528" spans="1:4" x14ac:dyDescent="0.25">
      <c r="A528" s="14">
        <v>43991</v>
      </c>
      <c r="B528" s="15">
        <v>2020</v>
      </c>
      <c r="C528" s="15">
        <v>6</v>
      </c>
      <c r="D528" s="15">
        <v>3</v>
      </c>
    </row>
    <row r="529" spans="1:4" x14ac:dyDescent="0.25">
      <c r="A529" s="14">
        <v>43992</v>
      </c>
      <c r="B529" s="15">
        <v>2020</v>
      </c>
      <c r="C529" s="15">
        <v>6</v>
      </c>
      <c r="D529" s="15">
        <v>3</v>
      </c>
    </row>
    <row r="530" spans="1:4" x14ac:dyDescent="0.25">
      <c r="A530" s="14">
        <v>43993</v>
      </c>
      <c r="B530" s="15">
        <v>2020</v>
      </c>
      <c r="C530" s="15">
        <v>6</v>
      </c>
      <c r="D530" s="15">
        <v>3</v>
      </c>
    </row>
    <row r="531" spans="1:4" x14ac:dyDescent="0.25">
      <c r="A531" s="14">
        <v>43994</v>
      </c>
      <c r="B531" s="15">
        <v>2020</v>
      </c>
      <c r="C531" s="15">
        <v>6</v>
      </c>
      <c r="D531" s="15">
        <v>3</v>
      </c>
    </row>
    <row r="532" spans="1:4" x14ac:dyDescent="0.25">
      <c r="A532" s="14">
        <v>43995</v>
      </c>
      <c r="B532" s="15">
        <v>2020</v>
      </c>
      <c r="C532" s="15">
        <v>6</v>
      </c>
      <c r="D532" s="15">
        <v>3</v>
      </c>
    </row>
    <row r="533" spans="1:4" x14ac:dyDescent="0.25">
      <c r="A533" s="14">
        <v>43996</v>
      </c>
      <c r="B533" s="15">
        <v>2020</v>
      </c>
      <c r="C533" s="15">
        <v>6</v>
      </c>
      <c r="D533" s="15">
        <v>3</v>
      </c>
    </row>
    <row r="534" spans="1:4" x14ac:dyDescent="0.25">
      <c r="A534" s="14">
        <v>43997</v>
      </c>
      <c r="B534" s="15">
        <v>2020</v>
      </c>
      <c r="C534" s="15">
        <v>6</v>
      </c>
      <c r="D534" s="15">
        <v>4</v>
      </c>
    </row>
    <row r="535" spans="1:4" x14ac:dyDescent="0.25">
      <c r="A535" s="14">
        <v>43998</v>
      </c>
      <c r="B535" s="15">
        <v>2020</v>
      </c>
      <c r="C535" s="15">
        <v>6</v>
      </c>
      <c r="D535" s="15">
        <v>4</v>
      </c>
    </row>
    <row r="536" spans="1:4" x14ac:dyDescent="0.25">
      <c r="A536" s="14">
        <v>43999</v>
      </c>
      <c r="B536" s="15">
        <v>2020</v>
      </c>
      <c r="C536" s="15">
        <v>6</v>
      </c>
      <c r="D536" s="15">
        <v>4</v>
      </c>
    </row>
    <row r="537" spans="1:4" x14ac:dyDescent="0.25">
      <c r="A537" s="14">
        <v>44000</v>
      </c>
      <c r="B537" s="15">
        <v>2020</v>
      </c>
      <c r="C537" s="15">
        <v>6</v>
      </c>
      <c r="D537" s="15">
        <v>4</v>
      </c>
    </row>
    <row r="538" spans="1:4" x14ac:dyDescent="0.25">
      <c r="A538" s="14">
        <v>44001</v>
      </c>
      <c r="B538" s="15">
        <v>2020</v>
      </c>
      <c r="C538" s="15">
        <v>6</v>
      </c>
      <c r="D538" s="15">
        <v>4</v>
      </c>
    </row>
    <row r="539" spans="1:4" x14ac:dyDescent="0.25">
      <c r="A539" s="14">
        <v>44002</v>
      </c>
      <c r="B539" s="15">
        <v>2020</v>
      </c>
      <c r="C539" s="15">
        <v>6</v>
      </c>
      <c r="D539" s="15">
        <v>4</v>
      </c>
    </row>
    <row r="540" spans="1:4" x14ac:dyDescent="0.25">
      <c r="A540" s="14">
        <v>44003</v>
      </c>
      <c r="B540" s="15">
        <v>2020</v>
      </c>
      <c r="C540" s="15">
        <v>6</v>
      </c>
      <c r="D540" s="15">
        <v>4</v>
      </c>
    </row>
    <row r="541" spans="1:4" x14ac:dyDescent="0.25">
      <c r="A541" s="14">
        <v>44004</v>
      </c>
      <c r="B541" s="15">
        <v>2020</v>
      </c>
      <c r="C541" s="15">
        <v>6</v>
      </c>
      <c r="D541" s="15">
        <v>5</v>
      </c>
    </row>
    <row r="542" spans="1:4" x14ac:dyDescent="0.25">
      <c r="A542" s="14">
        <v>44005</v>
      </c>
      <c r="B542" s="15">
        <v>2020</v>
      </c>
      <c r="C542" s="15">
        <v>6</v>
      </c>
      <c r="D542" s="15">
        <v>5</v>
      </c>
    </row>
    <row r="543" spans="1:4" x14ac:dyDescent="0.25">
      <c r="A543" s="14">
        <v>44006</v>
      </c>
      <c r="B543" s="15">
        <v>2020</v>
      </c>
      <c r="C543" s="15">
        <v>6</v>
      </c>
      <c r="D543" s="15">
        <v>5</v>
      </c>
    </row>
    <row r="544" spans="1:4" x14ac:dyDescent="0.25">
      <c r="A544" s="14">
        <v>44007</v>
      </c>
      <c r="B544" s="15">
        <v>2020</v>
      </c>
      <c r="C544" s="15">
        <v>6</v>
      </c>
      <c r="D544" s="15">
        <v>5</v>
      </c>
    </row>
    <row r="545" spans="1:4" x14ac:dyDescent="0.25">
      <c r="A545" s="14">
        <v>44008</v>
      </c>
      <c r="B545" s="15">
        <v>2020</v>
      </c>
      <c r="C545" s="15">
        <v>6</v>
      </c>
      <c r="D545" s="15">
        <v>5</v>
      </c>
    </row>
    <row r="546" spans="1:4" x14ac:dyDescent="0.25">
      <c r="A546" s="14">
        <v>44009</v>
      </c>
      <c r="B546" s="15">
        <v>2020</v>
      </c>
      <c r="C546" s="15">
        <v>6</v>
      </c>
      <c r="D546" s="15">
        <v>5</v>
      </c>
    </row>
    <row r="547" spans="1:4" x14ac:dyDescent="0.25">
      <c r="A547" s="14">
        <v>44010</v>
      </c>
      <c r="B547" s="15">
        <v>2020</v>
      </c>
      <c r="C547" s="15">
        <v>6</v>
      </c>
      <c r="D547" s="15">
        <v>5</v>
      </c>
    </row>
    <row r="548" spans="1:4" x14ac:dyDescent="0.25">
      <c r="A548" s="14">
        <v>44011</v>
      </c>
      <c r="B548" s="15">
        <v>2020</v>
      </c>
      <c r="C548" s="15">
        <v>7</v>
      </c>
      <c r="D548" s="15">
        <v>1</v>
      </c>
    </row>
    <row r="549" spans="1:4" x14ac:dyDescent="0.25">
      <c r="A549" s="14">
        <v>44012</v>
      </c>
      <c r="B549" s="15">
        <v>2020</v>
      </c>
      <c r="C549" s="15">
        <v>7</v>
      </c>
      <c r="D549" s="15">
        <v>1</v>
      </c>
    </row>
    <row r="550" spans="1:4" x14ac:dyDescent="0.25">
      <c r="A550" s="14">
        <v>44013</v>
      </c>
      <c r="B550" s="15">
        <v>2020</v>
      </c>
      <c r="C550" s="15">
        <v>7</v>
      </c>
      <c r="D550" s="15">
        <v>1</v>
      </c>
    </row>
    <row r="551" spans="1:4" x14ac:dyDescent="0.25">
      <c r="A551" s="14">
        <v>44014</v>
      </c>
      <c r="B551" s="15">
        <v>2020</v>
      </c>
      <c r="C551" s="15">
        <v>7</v>
      </c>
      <c r="D551" s="15">
        <v>1</v>
      </c>
    </row>
    <row r="552" spans="1:4" x14ac:dyDescent="0.25">
      <c r="A552" s="14">
        <v>44015</v>
      </c>
      <c r="B552" s="15">
        <v>2020</v>
      </c>
      <c r="C552" s="15">
        <v>7</v>
      </c>
      <c r="D552" s="15">
        <v>1</v>
      </c>
    </row>
    <row r="553" spans="1:4" x14ac:dyDescent="0.25">
      <c r="A553" s="14">
        <v>44016</v>
      </c>
      <c r="B553" s="15">
        <v>2020</v>
      </c>
      <c r="C553" s="15">
        <v>7</v>
      </c>
      <c r="D553" s="15">
        <v>1</v>
      </c>
    </row>
    <row r="554" spans="1:4" x14ac:dyDescent="0.25">
      <c r="A554" s="14">
        <v>44017</v>
      </c>
      <c r="B554" s="15">
        <v>2020</v>
      </c>
      <c r="C554" s="15">
        <v>7</v>
      </c>
      <c r="D554" s="15">
        <v>1</v>
      </c>
    </row>
    <row r="555" spans="1:4" x14ac:dyDescent="0.25">
      <c r="A555" s="14">
        <v>44018</v>
      </c>
      <c r="B555" s="15">
        <v>2020</v>
      </c>
      <c r="C555" s="15">
        <v>7</v>
      </c>
      <c r="D555" s="15">
        <v>2</v>
      </c>
    </row>
    <row r="556" spans="1:4" x14ac:dyDescent="0.25">
      <c r="A556" s="14">
        <v>44019</v>
      </c>
      <c r="B556" s="15">
        <v>2020</v>
      </c>
      <c r="C556" s="15">
        <v>7</v>
      </c>
      <c r="D556" s="15">
        <v>2</v>
      </c>
    </row>
    <row r="557" spans="1:4" x14ac:dyDescent="0.25">
      <c r="A557" s="14">
        <v>44020</v>
      </c>
      <c r="B557" s="15">
        <v>2020</v>
      </c>
      <c r="C557" s="15">
        <v>7</v>
      </c>
      <c r="D557" s="15">
        <v>2</v>
      </c>
    </row>
    <row r="558" spans="1:4" x14ac:dyDescent="0.25">
      <c r="A558" s="14">
        <v>44021</v>
      </c>
      <c r="B558" s="15">
        <v>2020</v>
      </c>
      <c r="C558" s="15">
        <v>7</v>
      </c>
      <c r="D558" s="15">
        <v>2</v>
      </c>
    </row>
    <row r="559" spans="1:4" x14ac:dyDescent="0.25">
      <c r="A559" s="14">
        <v>44022</v>
      </c>
      <c r="B559" s="15">
        <v>2020</v>
      </c>
      <c r="C559" s="15">
        <v>7</v>
      </c>
      <c r="D559" s="15">
        <v>2</v>
      </c>
    </row>
    <row r="560" spans="1:4" x14ac:dyDescent="0.25">
      <c r="A560" s="14">
        <v>44023</v>
      </c>
      <c r="B560" s="15">
        <v>2020</v>
      </c>
      <c r="C560" s="15">
        <v>7</v>
      </c>
      <c r="D560" s="15">
        <v>2</v>
      </c>
    </row>
    <row r="561" spans="1:4" x14ac:dyDescent="0.25">
      <c r="A561" s="14">
        <v>44024</v>
      </c>
      <c r="B561" s="15">
        <v>2020</v>
      </c>
      <c r="C561" s="15">
        <v>7</v>
      </c>
      <c r="D561" s="15">
        <v>2</v>
      </c>
    </row>
    <row r="562" spans="1:4" x14ac:dyDescent="0.25">
      <c r="A562" s="14">
        <v>44025</v>
      </c>
      <c r="B562" s="15">
        <v>2020</v>
      </c>
      <c r="C562" s="15">
        <v>7</v>
      </c>
      <c r="D562" s="15">
        <v>3</v>
      </c>
    </row>
    <row r="563" spans="1:4" x14ac:dyDescent="0.25">
      <c r="A563" s="14">
        <v>44026</v>
      </c>
      <c r="B563" s="15">
        <v>2020</v>
      </c>
      <c r="C563" s="15">
        <v>7</v>
      </c>
      <c r="D563" s="15">
        <v>3</v>
      </c>
    </row>
    <row r="564" spans="1:4" x14ac:dyDescent="0.25">
      <c r="A564" s="14">
        <v>44027</v>
      </c>
      <c r="B564" s="15">
        <v>2020</v>
      </c>
      <c r="C564" s="15">
        <v>7</v>
      </c>
      <c r="D564" s="15">
        <v>3</v>
      </c>
    </row>
    <row r="565" spans="1:4" x14ac:dyDescent="0.25">
      <c r="A565" s="14">
        <v>44028</v>
      </c>
      <c r="B565" s="15">
        <v>2020</v>
      </c>
      <c r="C565" s="15">
        <v>7</v>
      </c>
      <c r="D565" s="15">
        <v>3</v>
      </c>
    </row>
    <row r="566" spans="1:4" x14ac:dyDescent="0.25">
      <c r="A566" s="14">
        <v>44029</v>
      </c>
      <c r="B566" s="15">
        <v>2020</v>
      </c>
      <c r="C566" s="15">
        <v>7</v>
      </c>
      <c r="D566" s="15">
        <v>3</v>
      </c>
    </row>
    <row r="567" spans="1:4" x14ac:dyDescent="0.25">
      <c r="A567" s="14">
        <v>44030</v>
      </c>
      <c r="B567" s="15">
        <v>2020</v>
      </c>
      <c r="C567" s="15">
        <v>7</v>
      </c>
      <c r="D567" s="15">
        <v>3</v>
      </c>
    </row>
    <row r="568" spans="1:4" x14ac:dyDescent="0.25">
      <c r="A568" s="14">
        <v>44031</v>
      </c>
      <c r="B568" s="15">
        <v>2020</v>
      </c>
      <c r="C568" s="15">
        <v>7</v>
      </c>
      <c r="D568" s="15">
        <v>3</v>
      </c>
    </row>
    <row r="569" spans="1:4" x14ac:dyDescent="0.25">
      <c r="A569" s="14">
        <v>44032</v>
      </c>
      <c r="B569" s="15">
        <v>2020</v>
      </c>
      <c r="C569" s="15">
        <v>7</v>
      </c>
      <c r="D569" s="15">
        <v>4</v>
      </c>
    </row>
    <row r="570" spans="1:4" x14ac:dyDescent="0.25">
      <c r="A570" s="14">
        <v>44033</v>
      </c>
      <c r="B570" s="15">
        <v>2020</v>
      </c>
      <c r="C570" s="15">
        <v>7</v>
      </c>
      <c r="D570" s="15">
        <v>4</v>
      </c>
    </row>
    <row r="571" spans="1:4" x14ac:dyDescent="0.25">
      <c r="A571" s="14">
        <v>44034</v>
      </c>
      <c r="B571" s="15">
        <v>2020</v>
      </c>
      <c r="C571" s="15">
        <v>7</v>
      </c>
      <c r="D571" s="15">
        <v>4</v>
      </c>
    </row>
    <row r="572" spans="1:4" x14ac:dyDescent="0.25">
      <c r="A572" s="14">
        <v>44035</v>
      </c>
      <c r="B572" s="15">
        <v>2020</v>
      </c>
      <c r="C572" s="15">
        <v>7</v>
      </c>
      <c r="D572" s="15">
        <v>4</v>
      </c>
    </row>
    <row r="573" spans="1:4" x14ac:dyDescent="0.25">
      <c r="A573" s="14">
        <v>44036</v>
      </c>
      <c r="B573" s="15">
        <v>2020</v>
      </c>
      <c r="C573" s="15">
        <v>7</v>
      </c>
      <c r="D573" s="15">
        <v>4</v>
      </c>
    </row>
    <row r="574" spans="1:4" x14ac:dyDescent="0.25">
      <c r="A574" s="14">
        <v>44037</v>
      </c>
      <c r="B574" s="15">
        <v>2020</v>
      </c>
      <c r="C574" s="15">
        <v>7</v>
      </c>
      <c r="D574" s="15">
        <v>4</v>
      </c>
    </row>
    <row r="575" spans="1:4" x14ac:dyDescent="0.25">
      <c r="A575" s="14">
        <v>44038</v>
      </c>
      <c r="B575" s="15">
        <v>2020</v>
      </c>
      <c r="C575" s="15">
        <v>7</v>
      </c>
      <c r="D575" s="15">
        <v>4</v>
      </c>
    </row>
    <row r="576" spans="1:4" x14ac:dyDescent="0.25">
      <c r="A576" s="14">
        <v>44039</v>
      </c>
      <c r="B576" s="15">
        <v>2020</v>
      </c>
      <c r="C576" s="15">
        <v>8</v>
      </c>
      <c r="D576" s="15">
        <v>1</v>
      </c>
    </row>
    <row r="577" spans="1:4" x14ac:dyDescent="0.25">
      <c r="A577" s="14">
        <v>44040</v>
      </c>
      <c r="B577" s="15">
        <v>2020</v>
      </c>
      <c r="C577" s="15">
        <v>8</v>
      </c>
      <c r="D577" s="15">
        <v>1</v>
      </c>
    </row>
    <row r="578" spans="1:4" x14ac:dyDescent="0.25">
      <c r="A578" s="14">
        <v>44041</v>
      </c>
      <c r="B578" s="15">
        <v>2020</v>
      </c>
      <c r="C578" s="15">
        <v>8</v>
      </c>
      <c r="D578" s="15">
        <v>1</v>
      </c>
    </row>
    <row r="579" spans="1:4" x14ac:dyDescent="0.25">
      <c r="A579" s="14">
        <v>44042</v>
      </c>
      <c r="B579" s="15">
        <v>2020</v>
      </c>
      <c r="C579" s="15">
        <v>8</v>
      </c>
      <c r="D579" s="15">
        <v>1</v>
      </c>
    </row>
    <row r="580" spans="1:4" x14ac:dyDescent="0.25">
      <c r="A580" s="14">
        <v>44043</v>
      </c>
      <c r="B580" s="15">
        <v>2020</v>
      </c>
      <c r="C580" s="15">
        <v>8</v>
      </c>
      <c r="D580" s="15">
        <v>1</v>
      </c>
    </row>
    <row r="581" spans="1:4" x14ac:dyDescent="0.25">
      <c r="A581" s="14">
        <v>44044</v>
      </c>
      <c r="B581" s="15">
        <v>2020</v>
      </c>
      <c r="C581" s="15">
        <v>8</v>
      </c>
      <c r="D581" s="15">
        <v>1</v>
      </c>
    </row>
    <row r="582" spans="1:4" x14ac:dyDescent="0.25">
      <c r="A582" s="14">
        <v>44045</v>
      </c>
      <c r="B582" s="15">
        <v>2020</v>
      </c>
      <c r="C582" s="15">
        <v>8</v>
      </c>
      <c r="D582" s="15">
        <v>1</v>
      </c>
    </row>
    <row r="583" spans="1:4" x14ac:dyDescent="0.25">
      <c r="A583" s="14">
        <v>44046</v>
      </c>
      <c r="B583" s="15">
        <v>2020</v>
      </c>
      <c r="C583" s="15">
        <v>8</v>
      </c>
      <c r="D583" s="15">
        <v>2</v>
      </c>
    </row>
    <row r="584" spans="1:4" x14ac:dyDescent="0.25">
      <c r="A584" s="14">
        <v>44047</v>
      </c>
      <c r="B584" s="15">
        <v>2020</v>
      </c>
      <c r="C584" s="15">
        <v>8</v>
      </c>
      <c r="D584" s="15">
        <v>2</v>
      </c>
    </row>
    <row r="585" spans="1:4" x14ac:dyDescent="0.25">
      <c r="A585" s="14">
        <v>44048</v>
      </c>
      <c r="B585" s="15">
        <v>2020</v>
      </c>
      <c r="C585" s="15">
        <v>8</v>
      </c>
      <c r="D585" s="15">
        <v>2</v>
      </c>
    </row>
    <row r="586" spans="1:4" x14ac:dyDescent="0.25">
      <c r="A586" s="14">
        <v>44049</v>
      </c>
      <c r="B586" s="15">
        <v>2020</v>
      </c>
      <c r="C586" s="15">
        <v>8</v>
      </c>
      <c r="D586" s="15">
        <v>2</v>
      </c>
    </row>
    <row r="587" spans="1:4" x14ac:dyDescent="0.25">
      <c r="A587" s="14">
        <v>44050</v>
      </c>
      <c r="B587" s="15">
        <v>2020</v>
      </c>
      <c r="C587" s="15">
        <v>8</v>
      </c>
      <c r="D587" s="15">
        <v>2</v>
      </c>
    </row>
    <row r="588" spans="1:4" x14ac:dyDescent="0.25">
      <c r="A588" s="14">
        <v>44051</v>
      </c>
      <c r="B588" s="15">
        <v>2020</v>
      </c>
      <c r="C588" s="15">
        <v>8</v>
      </c>
      <c r="D588" s="15">
        <v>2</v>
      </c>
    </row>
    <row r="589" spans="1:4" x14ac:dyDescent="0.25">
      <c r="A589" s="14">
        <v>44052</v>
      </c>
      <c r="B589" s="15">
        <v>2020</v>
      </c>
      <c r="C589" s="15">
        <v>8</v>
      </c>
      <c r="D589" s="15">
        <v>2</v>
      </c>
    </row>
    <row r="590" spans="1:4" x14ac:dyDescent="0.25">
      <c r="A590" s="14">
        <v>44053</v>
      </c>
      <c r="B590" s="15">
        <v>2020</v>
      </c>
      <c r="C590" s="15">
        <v>8</v>
      </c>
      <c r="D590" s="15">
        <v>3</v>
      </c>
    </row>
    <row r="591" spans="1:4" x14ac:dyDescent="0.25">
      <c r="A591" s="14">
        <v>44054</v>
      </c>
      <c r="B591" s="15">
        <v>2020</v>
      </c>
      <c r="C591" s="15">
        <v>8</v>
      </c>
      <c r="D591" s="15">
        <v>3</v>
      </c>
    </row>
    <row r="592" spans="1:4" x14ac:dyDescent="0.25">
      <c r="A592" s="14">
        <v>44055</v>
      </c>
      <c r="B592" s="15">
        <v>2020</v>
      </c>
      <c r="C592" s="15">
        <v>8</v>
      </c>
      <c r="D592" s="15">
        <v>3</v>
      </c>
    </row>
    <row r="593" spans="1:4" x14ac:dyDescent="0.25">
      <c r="A593" s="14">
        <v>44056</v>
      </c>
      <c r="B593" s="15">
        <v>2020</v>
      </c>
      <c r="C593" s="15">
        <v>8</v>
      </c>
      <c r="D593" s="15">
        <v>3</v>
      </c>
    </row>
    <row r="594" spans="1:4" x14ac:dyDescent="0.25">
      <c r="A594" s="14">
        <v>44057</v>
      </c>
      <c r="B594" s="15">
        <v>2020</v>
      </c>
      <c r="C594" s="15">
        <v>8</v>
      </c>
      <c r="D594" s="15">
        <v>3</v>
      </c>
    </row>
    <row r="595" spans="1:4" x14ac:dyDescent="0.25">
      <c r="A595" s="14">
        <v>44058</v>
      </c>
      <c r="B595" s="15">
        <v>2020</v>
      </c>
      <c r="C595" s="15">
        <v>8</v>
      </c>
      <c r="D595" s="15">
        <v>3</v>
      </c>
    </row>
    <row r="596" spans="1:4" x14ac:dyDescent="0.25">
      <c r="A596" s="14">
        <v>44059</v>
      </c>
      <c r="B596" s="15">
        <v>2020</v>
      </c>
      <c r="C596" s="15">
        <v>8</v>
      </c>
      <c r="D596" s="15">
        <v>3</v>
      </c>
    </row>
    <row r="597" spans="1:4" x14ac:dyDescent="0.25">
      <c r="A597" s="14">
        <v>44060</v>
      </c>
      <c r="B597" s="15">
        <v>2020</v>
      </c>
      <c r="C597" s="15">
        <v>8</v>
      </c>
      <c r="D597" s="15">
        <v>4</v>
      </c>
    </row>
    <row r="598" spans="1:4" x14ac:dyDescent="0.25">
      <c r="A598" s="14">
        <v>44061</v>
      </c>
      <c r="B598" s="15">
        <v>2020</v>
      </c>
      <c r="C598" s="15">
        <v>8</v>
      </c>
      <c r="D598" s="15">
        <v>4</v>
      </c>
    </row>
    <row r="599" spans="1:4" x14ac:dyDescent="0.25">
      <c r="A599" s="14">
        <v>44062</v>
      </c>
      <c r="B599" s="15">
        <v>2020</v>
      </c>
      <c r="C599" s="15">
        <v>8</v>
      </c>
      <c r="D599" s="15">
        <v>4</v>
      </c>
    </row>
    <row r="600" spans="1:4" x14ac:dyDescent="0.25">
      <c r="A600" s="14">
        <v>44063</v>
      </c>
      <c r="B600" s="15">
        <v>2020</v>
      </c>
      <c r="C600" s="15">
        <v>8</v>
      </c>
      <c r="D600" s="15">
        <v>4</v>
      </c>
    </row>
    <row r="601" spans="1:4" x14ac:dyDescent="0.25">
      <c r="A601" s="14">
        <v>44064</v>
      </c>
      <c r="B601" s="15">
        <v>2020</v>
      </c>
      <c r="C601" s="15">
        <v>8</v>
      </c>
      <c r="D601" s="15">
        <v>4</v>
      </c>
    </row>
    <row r="602" spans="1:4" x14ac:dyDescent="0.25">
      <c r="A602" s="14">
        <v>44065</v>
      </c>
      <c r="B602" s="15">
        <v>2020</v>
      </c>
      <c r="C602" s="15">
        <v>8</v>
      </c>
      <c r="D602" s="15">
        <v>4</v>
      </c>
    </row>
    <row r="603" spans="1:4" x14ac:dyDescent="0.25">
      <c r="A603" s="14">
        <v>44066</v>
      </c>
      <c r="B603" s="15">
        <v>2020</v>
      </c>
      <c r="C603" s="15">
        <v>8</v>
      </c>
      <c r="D603" s="15">
        <v>4</v>
      </c>
    </row>
    <row r="604" spans="1:4" x14ac:dyDescent="0.25">
      <c r="A604" s="14">
        <v>44067</v>
      </c>
      <c r="B604" s="15">
        <v>2020</v>
      </c>
      <c r="C604" s="15">
        <v>9</v>
      </c>
      <c r="D604" s="15">
        <v>1</v>
      </c>
    </row>
    <row r="605" spans="1:4" x14ac:dyDescent="0.25">
      <c r="A605" s="14">
        <v>44068</v>
      </c>
      <c r="B605" s="15">
        <v>2020</v>
      </c>
      <c r="C605" s="15">
        <v>9</v>
      </c>
      <c r="D605" s="15">
        <v>1</v>
      </c>
    </row>
    <row r="606" spans="1:4" x14ac:dyDescent="0.25">
      <c r="A606" s="14">
        <v>44069</v>
      </c>
      <c r="B606" s="15">
        <v>2020</v>
      </c>
      <c r="C606" s="15">
        <v>9</v>
      </c>
      <c r="D606" s="15">
        <v>1</v>
      </c>
    </row>
    <row r="607" spans="1:4" x14ac:dyDescent="0.25">
      <c r="A607" s="14">
        <v>44070</v>
      </c>
      <c r="B607" s="15">
        <v>2020</v>
      </c>
      <c r="C607" s="15">
        <v>9</v>
      </c>
      <c r="D607" s="15">
        <v>1</v>
      </c>
    </row>
    <row r="608" spans="1:4" x14ac:dyDescent="0.25">
      <c r="A608" s="14">
        <v>44071</v>
      </c>
      <c r="B608" s="15">
        <v>2020</v>
      </c>
      <c r="C608" s="15">
        <v>9</v>
      </c>
      <c r="D608" s="15">
        <v>1</v>
      </c>
    </row>
    <row r="609" spans="1:4" x14ac:dyDescent="0.25">
      <c r="A609" s="14">
        <v>44072</v>
      </c>
      <c r="B609" s="15">
        <v>2020</v>
      </c>
      <c r="C609" s="15">
        <v>9</v>
      </c>
      <c r="D609" s="15">
        <v>1</v>
      </c>
    </row>
    <row r="610" spans="1:4" x14ac:dyDescent="0.25">
      <c r="A610" s="14">
        <v>44073</v>
      </c>
      <c r="B610" s="15">
        <v>2020</v>
      </c>
      <c r="C610" s="15">
        <v>9</v>
      </c>
      <c r="D610" s="15">
        <v>1</v>
      </c>
    </row>
    <row r="611" spans="1:4" x14ac:dyDescent="0.25">
      <c r="A611" s="14">
        <v>44074</v>
      </c>
      <c r="B611" s="15">
        <v>2020</v>
      </c>
      <c r="C611" s="15">
        <v>9</v>
      </c>
      <c r="D611" s="15">
        <v>2</v>
      </c>
    </row>
    <row r="612" spans="1:4" x14ac:dyDescent="0.25">
      <c r="A612" s="14">
        <v>44075</v>
      </c>
      <c r="B612" s="15">
        <v>2020</v>
      </c>
      <c r="C612" s="15">
        <v>9</v>
      </c>
      <c r="D612" s="15">
        <v>2</v>
      </c>
    </row>
    <row r="613" spans="1:4" x14ac:dyDescent="0.25">
      <c r="A613" s="14">
        <v>44076</v>
      </c>
      <c r="B613" s="15">
        <v>2020</v>
      </c>
      <c r="C613" s="15">
        <v>9</v>
      </c>
      <c r="D613" s="15">
        <v>2</v>
      </c>
    </row>
    <row r="614" spans="1:4" x14ac:dyDescent="0.25">
      <c r="A614" s="14">
        <v>44077</v>
      </c>
      <c r="B614" s="15">
        <v>2020</v>
      </c>
      <c r="C614" s="15">
        <v>9</v>
      </c>
      <c r="D614" s="15">
        <v>2</v>
      </c>
    </row>
    <row r="615" spans="1:4" x14ac:dyDescent="0.25">
      <c r="A615" s="14">
        <v>44078</v>
      </c>
      <c r="B615" s="15">
        <v>2020</v>
      </c>
      <c r="C615" s="15">
        <v>9</v>
      </c>
      <c r="D615" s="15">
        <v>2</v>
      </c>
    </row>
    <row r="616" spans="1:4" x14ac:dyDescent="0.25">
      <c r="A616" s="14">
        <v>44079</v>
      </c>
      <c r="B616" s="15">
        <v>2020</v>
      </c>
      <c r="C616" s="15">
        <v>9</v>
      </c>
      <c r="D616" s="15">
        <v>2</v>
      </c>
    </row>
    <row r="617" spans="1:4" x14ac:dyDescent="0.25">
      <c r="A617" s="14">
        <v>44080</v>
      </c>
      <c r="B617" s="15">
        <v>2020</v>
      </c>
      <c r="C617" s="15">
        <v>9</v>
      </c>
      <c r="D617" s="15">
        <v>2</v>
      </c>
    </row>
    <row r="618" spans="1:4" x14ac:dyDescent="0.25">
      <c r="A618" s="14">
        <v>44081</v>
      </c>
      <c r="B618" s="15">
        <v>2020</v>
      </c>
      <c r="C618" s="15">
        <v>9</v>
      </c>
      <c r="D618" s="15">
        <v>3</v>
      </c>
    </row>
    <row r="619" spans="1:4" x14ac:dyDescent="0.25">
      <c r="A619" s="14">
        <v>44082</v>
      </c>
      <c r="B619" s="15">
        <v>2020</v>
      </c>
      <c r="C619" s="15">
        <v>9</v>
      </c>
      <c r="D619" s="15">
        <v>3</v>
      </c>
    </row>
    <row r="620" spans="1:4" x14ac:dyDescent="0.25">
      <c r="A620" s="14">
        <v>44083</v>
      </c>
      <c r="B620" s="15">
        <v>2020</v>
      </c>
      <c r="C620" s="15">
        <v>9</v>
      </c>
      <c r="D620" s="15">
        <v>3</v>
      </c>
    </row>
    <row r="621" spans="1:4" x14ac:dyDescent="0.25">
      <c r="A621" s="14">
        <v>44084</v>
      </c>
      <c r="B621" s="15">
        <v>2020</v>
      </c>
      <c r="C621" s="15">
        <v>9</v>
      </c>
      <c r="D621" s="15">
        <v>3</v>
      </c>
    </row>
    <row r="622" spans="1:4" x14ac:dyDescent="0.25">
      <c r="A622" s="14">
        <v>44085</v>
      </c>
      <c r="B622" s="15">
        <v>2020</v>
      </c>
      <c r="C622" s="15">
        <v>9</v>
      </c>
      <c r="D622" s="15">
        <v>3</v>
      </c>
    </row>
    <row r="623" spans="1:4" x14ac:dyDescent="0.25">
      <c r="A623" s="14">
        <v>44086</v>
      </c>
      <c r="B623" s="15">
        <v>2020</v>
      </c>
      <c r="C623" s="15">
        <v>9</v>
      </c>
      <c r="D623" s="15">
        <v>3</v>
      </c>
    </row>
    <row r="624" spans="1:4" x14ac:dyDescent="0.25">
      <c r="A624" s="14">
        <v>44087</v>
      </c>
      <c r="B624" s="15">
        <v>2020</v>
      </c>
      <c r="C624" s="15">
        <v>9</v>
      </c>
      <c r="D624" s="15">
        <v>3</v>
      </c>
    </row>
    <row r="625" spans="1:4" x14ac:dyDescent="0.25">
      <c r="A625" s="14">
        <v>44088</v>
      </c>
      <c r="B625" s="15">
        <v>2020</v>
      </c>
      <c r="C625" s="15">
        <v>9</v>
      </c>
      <c r="D625" s="15">
        <v>4</v>
      </c>
    </row>
    <row r="626" spans="1:4" x14ac:dyDescent="0.25">
      <c r="A626" s="14">
        <v>44089</v>
      </c>
      <c r="B626" s="15">
        <v>2020</v>
      </c>
      <c r="C626" s="15">
        <v>9</v>
      </c>
      <c r="D626" s="15">
        <v>4</v>
      </c>
    </row>
    <row r="627" spans="1:4" x14ac:dyDescent="0.25">
      <c r="A627" s="14">
        <v>44090</v>
      </c>
      <c r="B627" s="15">
        <v>2020</v>
      </c>
      <c r="C627" s="15">
        <v>9</v>
      </c>
      <c r="D627" s="15">
        <v>4</v>
      </c>
    </row>
    <row r="628" spans="1:4" x14ac:dyDescent="0.25">
      <c r="A628" s="14">
        <v>44091</v>
      </c>
      <c r="B628" s="15">
        <v>2020</v>
      </c>
      <c r="C628" s="15">
        <v>9</v>
      </c>
      <c r="D628" s="15">
        <v>4</v>
      </c>
    </row>
    <row r="629" spans="1:4" x14ac:dyDescent="0.25">
      <c r="A629" s="14">
        <v>44092</v>
      </c>
      <c r="B629" s="15">
        <v>2020</v>
      </c>
      <c r="C629" s="15">
        <v>9</v>
      </c>
      <c r="D629" s="15">
        <v>4</v>
      </c>
    </row>
    <row r="630" spans="1:4" x14ac:dyDescent="0.25">
      <c r="A630" s="14">
        <v>44093</v>
      </c>
      <c r="B630" s="15">
        <v>2020</v>
      </c>
      <c r="C630" s="15">
        <v>9</v>
      </c>
      <c r="D630" s="15">
        <v>4</v>
      </c>
    </row>
    <row r="631" spans="1:4" x14ac:dyDescent="0.25">
      <c r="A631" s="14">
        <v>44094</v>
      </c>
      <c r="B631" s="15">
        <v>2020</v>
      </c>
      <c r="C631" s="15">
        <v>9</v>
      </c>
      <c r="D631" s="15">
        <v>4</v>
      </c>
    </row>
    <row r="632" spans="1:4" x14ac:dyDescent="0.25">
      <c r="A632" s="14">
        <v>44095</v>
      </c>
      <c r="B632" s="15">
        <v>2020</v>
      </c>
      <c r="C632" s="15">
        <v>9</v>
      </c>
      <c r="D632" s="15">
        <v>5</v>
      </c>
    </row>
    <row r="633" spans="1:4" x14ac:dyDescent="0.25">
      <c r="A633" s="14">
        <v>44096</v>
      </c>
      <c r="B633" s="15">
        <v>2020</v>
      </c>
      <c r="C633" s="15">
        <v>9</v>
      </c>
      <c r="D633" s="15">
        <v>5</v>
      </c>
    </row>
    <row r="634" spans="1:4" x14ac:dyDescent="0.25">
      <c r="A634" s="14">
        <v>44097</v>
      </c>
      <c r="B634" s="15">
        <v>2020</v>
      </c>
      <c r="C634" s="15">
        <v>9</v>
      </c>
      <c r="D634" s="15">
        <v>5</v>
      </c>
    </row>
    <row r="635" spans="1:4" x14ac:dyDescent="0.25">
      <c r="A635" s="14">
        <v>44098</v>
      </c>
      <c r="B635" s="15">
        <v>2020</v>
      </c>
      <c r="C635" s="15">
        <v>9</v>
      </c>
      <c r="D635" s="15">
        <v>5</v>
      </c>
    </row>
    <row r="636" spans="1:4" x14ac:dyDescent="0.25">
      <c r="A636" s="14">
        <v>44099</v>
      </c>
      <c r="B636" s="15">
        <v>2020</v>
      </c>
      <c r="C636" s="15">
        <v>9</v>
      </c>
      <c r="D636" s="15">
        <v>5</v>
      </c>
    </row>
    <row r="637" spans="1:4" x14ac:dyDescent="0.25">
      <c r="A637" s="14">
        <v>44100</v>
      </c>
      <c r="B637" s="15">
        <v>2020</v>
      </c>
      <c r="C637" s="15">
        <v>9</v>
      </c>
      <c r="D637" s="15">
        <v>5</v>
      </c>
    </row>
    <row r="638" spans="1:4" x14ac:dyDescent="0.25">
      <c r="A638" s="14">
        <v>44101</v>
      </c>
      <c r="B638" s="15">
        <v>2020</v>
      </c>
      <c r="C638" s="15">
        <v>9</v>
      </c>
      <c r="D638" s="15">
        <v>5</v>
      </c>
    </row>
    <row r="639" spans="1:4" x14ac:dyDescent="0.25">
      <c r="A639" s="14">
        <v>44102</v>
      </c>
      <c r="B639" s="15">
        <v>2020</v>
      </c>
      <c r="C639" s="15">
        <v>10</v>
      </c>
      <c r="D639" s="15">
        <v>1</v>
      </c>
    </row>
    <row r="640" spans="1:4" x14ac:dyDescent="0.25">
      <c r="A640" s="14">
        <v>44103</v>
      </c>
      <c r="B640" s="15">
        <v>2020</v>
      </c>
      <c r="C640" s="15">
        <v>10</v>
      </c>
      <c r="D640" s="15">
        <v>1</v>
      </c>
    </row>
    <row r="641" spans="1:4" x14ac:dyDescent="0.25">
      <c r="A641" s="14">
        <v>44104</v>
      </c>
      <c r="B641" s="15">
        <v>2020</v>
      </c>
      <c r="C641" s="15">
        <v>10</v>
      </c>
      <c r="D641" s="15">
        <v>1</v>
      </c>
    </row>
    <row r="642" spans="1:4" x14ac:dyDescent="0.25">
      <c r="A642" s="14">
        <v>44105</v>
      </c>
      <c r="B642" s="15">
        <v>2020</v>
      </c>
      <c r="C642" s="15">
        <v>10</v>
      </c>
      <c r="D642" s="15">
        <v>1</v>
      </c>
    </row>
    <row r="643" spans="1:4" x14ac:dyDescent="0.25">
      <c r="A643" s="14">
        <v>44106</v>
      </c>
      <c r="B643" s="15">
        <v>2020</v>
      </c>
      <c r="C643" s="15">
        <v>10</v>
      </c>
      <c r="D643" s="15">
        <v>1</v>
      </c>
    </row>
    <row r="644" spans="1:4" x14ac:dyDescent="0.25">
      <c r="A644" s="14">
        <v>44107</v>
      </c>
      <c r="B644" s="15">
        <v>2020</v>
      </c>
      <c r="C644" s="15">
        <v>10</v>
      </c>
      <c r="D644" s="15">
        <v>1</v>
      </c>
    </row>
    <row r="645" spans="1:4" x14ac:dyDescent="0.25">
      <c r="A645" s="14">
        <v>44108</v>
      </c>
      <c r="B645" s="15">
        <v>2020</v>
      </c>
      <c r="C645" s="15">
        <v>10</v>
      </c>
      <c r="D645" s="15">
        <v>1</v>
      </c>
    </row>
    <row r="646" spans="1:4" x14ac:dyDescent="0.25">
      <c r="A646" s="14">
        <v>44109</v>
      </c>
      <c r="B646" s="15">
        <v>2020</v>
      </c>
      <c r="C646" s="15">
        <v>10</v>
      </c>
      <c r="D646" s="15">
        <v>2</v>
      </c>
    </row>
    <row r="647" spans="1:4" x14ac:dyDescent="0.25">
      <c r="A647" s="14">
        <v>44110</v>
      </c>
      <c r="B647" s="15">
        <v>2020</v>
      </c>
      <c r="C647" s="15">
        <v>10</v>
      </c>
      <c r="D647" s="15">
        <v>2</v>
      </c>
    </row>
    <row r="648" spans="1:4" x14ac:dyDescent="0.25">
      <c r="A648" s="14">
        <v>44111</v>
      </c>
      <c r="B648" s="15">
        <v>2020</v>
      </c>
      <c r="C648" s="15">
        <v>10</v>
      </c>
      <c r="D648" s="15">
        <v>2</v>
      </c>
    </row>
    <row r="649" spans="1:4" x14ac:dyDescent="0.25">
      <c r="A649" s="14">
        <v>44112</v>
      </c>
      <c r="B649" s="15">
        <v>2020</v>
      </c>
      <c r="C649" s="15">
        <v>10</v>
      </c>
      <c r="D649" s="15">
        <v>2</v>
      </c>
    </row>
    <row r="650" spans="1:4" x14ac:dyDescent="0.25">
      <c r="A650" s="14">
        <v>44113</v>
      </c>
      <c r="B650" s="15">
        <v>2020</v>
      </c>
      <c r="C650" s="15">
        <v>10</v>
      </c>
      <c r="D650" s="15">
        <v>2</v>
      </c>
    </row>
    <row r="651" spans="1:4" x14ac:dyDescent="0.25">
      <c r="A651" s="14">
        <v>44114</v>
      </c>
      <c r="B651" s="15">
        <v>2020</v>
      </c>
      <c r="C651" s="15">
        <v>10</v>
      </c>
      <c r="D651" s="15">
        <v>2</v>
      </c>
    </row>
    <row r="652" spans="1:4" x14ac:dyDescent="0.25">
      <c r="A652" s="14">
        <v>44115</v>
      </c>
      <c r="B652" s="15">
        <v>2020</v>
      </c>
      <c r="C652" s="15">
        <v>10</v>
      </c>
      <c r="D652" s="15">
        <v>2</v>
      </c>
    </row>
    <row r="653" spans="1:4" x14ac:dyDescent="0.25">
      <c r="A653" s="14">
        <v>44116</v>
      </c>
      <c r="B653" s="15">
        <v>2020</v>
      </c>
      <c r="C653" s="15">
        <v>10</v>
      </c>
      <c r="D653" s="15">
        <v>3</v>
      </c>
    </row>
    <row r="654" spans="1:4" x14ac:dyDescent="0.25">
      <c r="A654" s="14">
        <v>44117</v>
      </c>
      <c r="B654" s="15">
        <v>2020</v>
      </c>
      <c r="C654" s="15">
        <v>10</v>
      </c>
      <c r="D654" s="15">
        <v>3</v>
      </c>
    </row>
    <row r="655" spans="1:4" x14ac:dyDescent="0.25">
      <c r="A655" s="14">
        <v>44118</v>
      </c>
      <c r="B655" s="15">
        <v>2020</v>
      </c>
      <c r="C655" s="15">
        <v>10</v>
      </c>
      <c r="D655" s="15">
        <v>3</v>
      </c>
    </row>
    <row r="656" spans="1:4" x14ac:dyDescent="0.25">
      <c r="A656" s="14">
        <v>44119</v>
      </c>
      <c r="B656" s="15">
        <v>2020</v>
      </c>
      <c r="C656" s="15">
        <v>10</v>
      </c>
      <c r="D656" s="15">
        <v>3</v>
      </c>
    </row>
    <row r="657" spans="1:4" x14ac:dyDescent="0.25">
      <c r="A657" s="14">
        <v>44120</v>
      </c>
      <c r="B657" s="15">
        <v>2020</v>
      </c>
      <c r="C657" s="15">
        <v>10</v>
      </c>
      <c r="D657" s="15">
        <v>3</v>
      </c>
    </row>
    <row r="658" spans="1:4" x14ac:dyDescent="0.25">
      <c r="A658" s="14">
        <v>44121</v>
      </c>
      <c r="B658" s="15">
        <v>2020</v>
      </c>
      <c r="C658" s="15">
        <v>10</v>
      </c>
      <c r="D658" s="15">
        <v>3</v>
      </c>
    </row>
    <row r="659" spans="1:4" x14ac:dyDescent="0.25">
      <c r="A659" s="14">
        <v>44122</v>
      </c>
      <c r="B659" s="15">
        <v>2020</v>
      </c>
      <c r="C659" s="15">
        <v>10</v>
      </c>
      <c r="D659" s="15">
        <v>3</v>
      </c>
    </row>
    <row r="660" spans="1:4" x14ac:dyDescent="0.25">
      <c r="A660" s="14">
        <v>44123</v>
      </c>
      <c r="B660" s="15">
        <v>2020</v>
      </c>
      <c r="C660" s="15">
        <v>10</v>
      </c>
      <c r="D660" s="15">
        <v>4</v>
      </c>
    </row>
    <row r="661" spans="1:4" x14ac:dyDescent="0.25">
      <c r="A661" s="14">
        <v>44124</v>
      </c>
      <c r="B661" s="15">
        <v>2020</v>
      </c>
      <c r="C661" s="15">
        <v>10</v>
      </c>
      <c r="D661" s="15">
        <v>4</v>
      </c>
    </row>
    <row r="662" spans="1:4" x14ac:dyDescent="0.25">
      <c r="A662" s="14">
        <v>44125</v>
      </c>
      <c r="B662" s="15">
        <v>2020</v>
      </c>
      <c r="C662" s="15">
        <v>10</v>
      </c>
      <c r="D662" s="15">
        <v>4</v>
      </c>
    </row>
    <row r="663" spans="1:4" x14ac:dyDescent="0.25">
      <c r="A663" s="14">
        <v>44126</v>
      </c>
      <c r="B663" s="15">
        <v>2020</v>
      </c>
      <c r="C663" s="15">
        <v>10</v>
      </c>
      <c r="D663" s="15">
        <v>4</v>
      </c>
    </row>
    <row r="664" spans="1:4" x14ac:dyDescent="0.25">
      <c r="A664" s="14">
        <v>44127</v>
      </c>
      <c r="B664" s="15">
        <v>2020</v>
      </c>
      <c r="C664" s="15">
        <v>10</v>
      </c>
      <c r="D664" s="15">
        <v>4</v>
      </c>
    </row>
    <row r="665" spans="1:4" x14ac:dyDescent="0.25">
      <c r="A665" s="14">
        <v>44128</v>
      </c>
      <c r="B665" s="15">
        <v>2020</v>
      </c>
      <c r="C665" s="15">
        <v>10</v>
      </c>
      <c r="D665" s="15">
        <v>4</v>
      </c>
    </row>
    <row r="666" spans="1:4" x14ac:dyDescent="0.25">
      <c r="A666" s="14">
        <v>44129</v>
      </c>
      <c r="B666" s="15">
        <v>2020</v>
      </c>
      <c r="C666" s="15">
        <v>10</v>
      </c>
      <c r="D666" s="15">
        <v>4</v>
      </c>
    </row>
    <row r="667" spans="1:4" x14ac:dyDescent="0.25">
      <c r="A667" s="14">
        <v>44130</v>
      </c>
      <c r="B667" s="15">
        <v>2020</v>
      </c>
      <c r="C667" s="15">
        <v>11</v>
      </c>
      <c r="D667" s="15">
        <v>1</v>
      </c>
    </row>
    <row r="668" spans="1:4" x14ac:dyDescent="0.25">
      <c r="A668" s="14">
        <v>44131</v>
      </c>
      <c r="B668" s="15">
        <v>2020</v>
      </c>
      <c r="C668" s="15">
        <v>11</v>
      </c>
      <c r="D668" s="15">
        <v>1</v>
      </c>
    </row>
    <row r="669" spans="1:4" x14ac:dyDescent="0.25">
      <c r="A669" s="14">
        <v>44132</v>
      </c>
      <c r="B669" s="15">
        <v>2020</v>
      </c>
      <c r="C669" s="15">
        <v>11</v>
      </c>
      <c r="D669" s="15">
        <v>1</v>
      </c>
    </row>
    <row r="670" spans="1:4" x14ac:dyDescent="0.25">
      <c r="A670" s="14">
        <v>44133</v>
      </c>
      <c r="B670" s="15">
        <v>2020</v>
      </c>
      <c r="C670" s="15">
        <v>11</v>
      </c>
      <c r="D670" s="15">
        <v>1</v>
      </c>
    </row>
    <row r="671" spans="1:4" x14ac:dyDescent="0.25">
      <c r="A671" s="14">
        <v>44134</v>
      </c>
      <c r="B671" s="15">
        <v>2020</v>
      </c>
      <c r="C671" s="15">
        <v>11</v>
      </c>
      <c r="D671" s="15">
        <v>1</v>
      </c>
    </row>
    <row r="672" spans="1:4" x14ac:dyDescent="0.25">
      <c r="A672" s="14">
        <v>44135</v>
      </c>
      <c r="B672" s="15">
        <v>2020</v>
      </c>
      <c r="C672" s="15">
        <v>11</v>
      </c>
      <c r="D672" s="15">
        <v>1</v>
      </c>
    </row>
    <row r="673" spans="1:4" x14ac:dyDescent="0.25">
      <c r="A673" s="14">
        <v>44136</v>
      </c>
      <c r="B673" s="15">
        <v>2020</v>
      </c>
      <c r="C673" s="15">
        <v>11</v>
      </c>
      <c r="D673" s="15">
        <v>1</v>
      </c>
    </row>
    <row r="674" spans="1:4" x14ac:dyDescent="0.25">
      <c r="A674" s="14">
        <v>44137</v>
      </c>
      <c r="B674" s="15">
        <v>2020</v>
      </c>
      <c r="C674" s="15">
        <v>11</v>
      </c>
      <c r="D674" s="15">
        <v>2</v>
      </c>
    </row>
    <row r="675" spans="1:4" x14ac:dyDescent="0.25">
      <c r="A675" s="14">
        <v>44138</v>
      </c>
      <c r="B675" s="15">
        <v>2020</v>
      </c>
      <c r="C675" s="15">
        <v>11</v>
      </c>
      <c r="D675" s="15">
        <v>2</v>
      </c>
    </row>
    <row r="676" spans="1:4" x14ac:dyDescent="0.25">
      <c r="A676" s="14">
        <v>44139</v>
      </c>
      <c r="B676" s="15">
        <v>2020</v>
      </c>
      <c r="C676" s="15">
        <v>11</v>
      </c>
      <c r="D676" s="15">
        <v>2</v>
      </c>
    </row>
    <row r="677" spans="1:4" x14ac:dyDescent="0.25">
      <c r="A677" s="14">
        <v>44140</v>
      </c>
      <c r="B677" s="15">
        <v>2020</v>
      </c>
      <c r="C677" s="15">
        <v>11</v>
      </c>
      <c r="D677" s="15">
        <v>2</v>
      </c>
    </row>
    <row r="678" spans="1:4" x14ac:dyDescent="0.25">
      <c r="A678" s="14">
        <v>44141</v>
      </c>
      <c r="B678" s="15">
        <v>2020</v>
      </c>
      <c r="C678" s="15">
        <v>11</v>
      </c>
      <c r="D678" s="15">
        <v>2</v>
      </c>
    </row>
    <row r="679" spans="1:4" x14ac:dyDescent="0.25">
      <c r="A679" s="14">
        <v>44142</v>
      </c>
      <c r="B679" s="15">
        <v>2020</v>
      </c>
      <c r="C679" s="15">
        <v>11</v>
      </c>
      <c r="D679" s="15">
        <v>2</v>
      </c>
    </row>
    <row r="680" spans="1:4" x14ac:dyDescent="0.25">
      <c r="A680" s="14">
        <v>44143</v>
      </c>
      <c r="B680" s="15">
        <v>2020</v>
      </c>
      <c r="C680" s="15">
        <v>11</v>
      </c>
      <c r="D680" s="15">
        <v>2</v>
      </c>
    </row>
    <row r="681" spans="1:4" x14ac:dyDescent="0.25">
      <c r="A681" s="14">
        <v>44144</v>
      </c>
      <c r="B681" s="15">
        <v>2020</v>
      </c>
      <c r="C681" s="15">
        <v>11</v>
      </c>
      <c r="D681" s="15">
        <v>3</v>
      </c>
    </row>
    <row r="682" spans="1:4" x14ac:dyDescent="0.25">
      <c r="A682" s="14">
        <v>44145</v>
      </c>
      <c r="B682" s="15">
        <v>2020</v>
      </c>
      <c r="C682" s="15">
        <v>11</v>
      </c>
      <c r="D682" s="15">
        <v>3</v>
      </c>
    </row>
    <row r="683" spans="1:4" x14ac:dyDescent="0.25">
      <c r="A683" s="14">
        <v>44146</v>
      </c>
      <c r="B683" s="15">
        <v>2020</v>
      </c>
      <c r="C683" s="15">
        <v>11</v>
      </c>
      <c r="D683" s="15">
        <v>3</v>
      </c>
    </row>
    <row r="684" spans="1:4" x14ac:dyDescent="0.25">
      <c r="A684" s="14">
        <v>44147</v>
      </c>
      <c r="B684" s="15">
        <v>2020</v>
      </c>
      <c r="C684" s="15">
        <v>11</v>
      </c>
      <c r="D684" s="15">
        <v>3</v>
      </c>
    </row>
    <row r="685" spans="1:4" x14ac:dyDescent="0.25">
      <c r="A685" s="14">
        <v>44148</v>
      </c>
      <c r="B685" s="15">
        <v>2020</v>
      </c>
      <c r="C685" s="15">
        <v>11</v>
      </c>
      <c r="D685" s="15">
        <v>3</v>
      </c>
    </row>
    <row r="686" spans="1:4" x14ac:dyDescent="0.25">
      <c r="A686" s="14">
        <v>44149</v>
      </c>
      <c r="B686" s="15">
        <v>2020</v>
      </c>
      <c r="C686" s="15">
        <v>11</v>
      </c>
      <c r="D686" s="15">
        <v>3</v>
      </c>
    </row>
    <row r="687" spans="1:4" x14ac:dyDescent="0.25">
      <c r="A687" s="14">
        <v>44150</v>
      </c>
      <c r="B687" s="15">
        <v>2020</v>
      </c>
      <c r="C687" s="15">
        <v>11</v>
      </c>
      <c r="D687" s="15">
        <v>3</v>
      </c>
    </row>
    <row r="688" spans="1:4" x14ac:dyDescent="0.25">
      <c r="A688" s="14">
        <v>44151</v>
      </c>
      <c r="B688" s="15">
        <v>2020</v>
      </c>
      <c r="C688" s="15">
        <v>11</v>
      </c>
      <c r="D688" s="15">
        <v>4</v>
      </c>
    </row>
    <row r="689" spans="1:4" x14ac:dyDescent="0.25">
      <c r="A689" s="14">
        <v>44152</v>
      </c>
      <c r="B689" s="15">
        <v>2020</v>
      </c>
      <c r="C689" s="15">
        <v>11</v>
      </c>
      <c r="D689" s="15">
        <v>4</v>
      </c>
    </row>
    <row r="690" spans="1:4" x14ac:dyDescent="0.25">
      <c r="A690" s="14">
        <v>44153</v>
      </c>
      <c r="B690" s="15">
        <v>2020</v>
      </c>
      <c r="C690" s="15">
        <v>11</v>
      </c>
      <c r="D690" s="15">
        <v>4</v>
      </c>
    </row>
    <row r="691" spans="1:4" x14ac:dyDescent="0.25">
      <c r="A691" s="14">
        <v>44154</v>
      </c>
      <c r="B691" s="15">
        <v>2020</v>
      </c>
      <c r="C691" s="15">
        <v>11</v>
      </c>
      <c r="D691" s="15">
        <v>4</v>
      </c>
    </row>
    <row r="692" spans="1:4" x14ac:dyDescent="0.25">
      <c r="A692" s="14">
        <v>44155</v>
      </c>
      <c r="B692" s="15">
        <v>2020</v>
      </c>
      <c r="C692" s="15">
        <v>11</v>
      </c>
      <c r="D692" s="15">
        <v>4</v>
      </c>
    </row>
    <row r="693" spans="1:4" x14ac:dyDescent="0.25">
      <c r="A693" s="14">
        <v>44156</v>
      </c>
      <c r="B693" s="15">
        <v>2020</v>
      </c>
      <c r="C693" s="15">
        <v>11</v>
      </c>
      <c r="D693" s="15">
        <v>4</v>
      </c>
    </row>
    <row r="694" spans="1:4" x14ac:dyDescent="0.25">
      <c r="A694" s="14">
        <v>44157</v>
      </c>
      <c r="B694" s="15">
        <v>2020</v>
      </c>
      <c r="C694" s="15">
        <v>11</v>
      </c>
      <c r="D694" s="15">
        <v>4</v>
      </c>
    </row>
    <row r="695" spans="1:4" x14ac:dyDescent="0.25">
      <c r="A695" s="14">
        <v>44158</v>
      </c>
      <c r="B695" s="15">
        <v>2020</v>
      </c>
      <c r="C695" s="15">
        <v>12</v>
      </c>
      <c r="D695" s="15">
        <v>1</v>
      </c>
    </row>
    <row r="696" spans="1:4" x14ac:dyDescent="0.25">
      <c r="A696" s="14">
        <v>44159</v>
      </c>
      <c r="B696" s="15">
        <v>2020</v>
      </c>
      <c r="C696" s="15">
        <v>12</v>
      </c>
      <c r="D696" s="15">
        <v>1</v>
      </c>
    </row>
    <row r="697" spans="1:4" x14ac:dyDescent="0.25">
      <c r="A697" s="14">
        <v>44160</v>
      </c>
      <c r="B697" s="15">
        <v>2020</v>
      </c>
      <c r="C697" s="15">
        <v>12</v>
      </c>
      <c r="D697" s="15">
        <v>1</v>
      </c>
    </row>
    <row r="698" spans="1:4" x14ac:dyDescent="0.25">
      <c r="A698" s="14">
        <v>44161</v>
      </c>
      <c r="B698" s="15">
        <v>2020</v>
      </c>
      <c r="C698" s="15">
        <v>12</v>
      </c>
      <c r="D698" s="15">
        <v>1</v>
      </c>
    </row>
    <row r="699" spans="1:4" x14ac:dyDescent="0.25">
      <c r="A699" s="14">
        <v>44162</v>
      </c>
      <c r="B699" s="15">
        <v>2020</v>
      </c>
      <c r="C699" s="15">
        <v>12</v>
      </c>
      <c r="D699" s="15">
        <v>1</v>
      </c>
    </row>
    <row r="700" spans="1:4" x14ac:dyDescent="0.25">
      <c r="A700" s="14">
        <v>44163</v>
      </c>
      <c r="B700" s="15">
        <v>2020</v>
      </c>
      <c r="C700" s="15">
        <v>12</v>
      </c>
      <c r="D700" s="15">
        <v>1</v>
      </c>
    </row>
    <row r="701" spans="1:4" x14ac:dyDescent="0.25">
      <c r="A701" s="14">
        <v>44164</v>
      </c>
      <c r="B701" s="15">
        <v>2020</v>
      </c>
      <c r="C701" s="15">
        <v>12</v>
      </c>
      <c r="D701" s="15">
        <v>1</v>
      </c>
    </row>
    <row r="702" spans="1:4" x14ac:dyDescent="0.25">
      <c r="A702" s="14">
        <v>44165</v>
      </c>
      <c r="B702" s="15">
        <v>2020</v>
      </c>
      <c r="C702" s="15">
        <v>12</v>
      </c>
      <c r="D702" s="15">
        <v>2</v>
      </c>
    </row>
    <row r="703" spans="1:4" x14ac:dyDescent="0.25">
      <c r="A703" s="14">
        <v>44166</v>
      </c>
      <c r="B703" s="15">
        <v>2020</v>
      </c>
      <c r="C703" s="15">
        <v>12</v>
      </c>
      <c r="D703" s="15">
        <v>2</v>
      </c>
    </row>
    <row r="704" spans="1:4" x14ac:dyDescent="0.25">
      <c r="A704" s="14">
        <v>44167</v>
      </c>
      <c r="B704" s="15">
        <v>2020</v>
      </c>
      <c r="C704" s="15">
        <v>12</v>
      </c>
      <c r="D704" s="15">
        <v>2</v>
      </c>
    </row>
    <row r="705" spans="1:4" x14ac:dyDescent="0.25">
      <c r="A705" s="14">
        <v>44168</v>
      </c>
      <c r="B705" s="15">
        <v>2020</v>
      </c>
      <c r="C705" s="15">
        <v>12</v>
      </c>
      <c r="D705" s="15">
        <v>2</v>
      </c>
    </row>
    <row r="706" spans="1:4" x14ac:dyDescent="0.25">
      <c r="A706" s="14">
        <v>44169</v>
      </c>
      <c r="B706" s="15">
        <v>2020</v>
      </c>
      <c r="C706" s="15">
        <v>12</v>
      </c>
      <c r="D706" s="15">
        <v>2</v>
      </c>
    </row>
    <row r="707" spans="1:4" x14ac:dyDescent="0.25">
      <c r="A707" s="14">
        <v>44170</v>
      </c>
      <c r="B707" s="15">
        <v>2020</v>
      </c>
      <c r="C707" s="15">
        <v>12</v>
      </c>
      <c r="D707" s="15">
        <v>2</v>
      </c>
    </row>
    <row r="708" spans="1:4" x14ac:dyDescent="0.25">
      <c r="A708" s="14">
        <v>44171</v>
      </c>
      <c r="B708" s="15">
        <v>2020</v>
      </c>
      <c r="C708" s="15">
        <v>12</v>
      </c>
      <c r="D708" s="15">
        <v>2</v>
      </c>
    </row>
    <row r="709" spans="1:4" x14ac:dyDescent="0.25">
      <c r="A709" s="14">
        <v>44172</v>
      </c>
      <c r="B709" s="15">
        <v>2020</v>
      </c>
      <c r="C709" s="15">
        <v>12</v>
      </c>
      <c r="D709" s="15">
        <v>3</v>
      </c>
    </row>
    <row r="710" spans="1:4" x14ac:dyDescent="0.25">
      <c r="A710" s="14">
        <v>44173</v>
      </c>
      <c r="B710" s="15">
        <v>2020</v>
      </c>
      <c r="C710" s="15">
        <v>12</v>
      </c>
      <c r="D710" s="15">
        <v>3</v>
      </c>
    </row>
    <row r="711" spans="1:4" x14ac:dyDescent="0.25">
      <c r="A711" s="14">
        <v>44174</v>
      </c>
      <c r="B711" s="15">
        <v>2020</v>
      </c>
      <c r="C711" s="15">
        <v>12</v>
      </c>
      <c r="D711" s="15">
        <v>3</v>
      </c>
    </row>
    <row r="712" spans="1:4" x14ac:dyDescent="0.25">
      <c r="A712" s="14">
        <v>44175</v>
      </c>
      <c r="B712" s="15">
        <v>2020</v>
      </c>
      <c r="C712" s="15">
        <v>12</v>
      </c>
      <c r="D712" s="15">
        <v>3</v>
      </c>
    </row>
    <row r="713" spans="1:4" x14ac:dyDescent="0.25">
      <c r="A713" s="14">
        <v>44176</v>
      </c>
      <c r="B713" s="15">
        <v>2020</v>
      </c>
      <c r="C713" s="15">
        <v>12</v>
      </c>
      <c r="D713" s="15">
        <v>3</v>
      </c>
    </row>
    <row r="714" spans="1:4" x14ac:dyDescent="0.25">
      <c r="A714" s="14">
        <v>44177</v>
      </c>
      <c r="B714" s="15">
        <v>2020</v>
      </c>
      <c r="C714" s="15">
        <v>12</v>
      </c>
      <c r="D714" s="15">
        <v>3</v>
      </c>
    </row>
    <row r="715" spans="1:4" x14ac:dyDescent="0.25">
      <c r="A715" s="14">
        <v>44178</v>
      </c>
      <c r="B715" s="15">
        <v>2020</v>
      </c>
      <c r="C715" s="15">
        <v>12</v>
      </c>
      <c r="D715" s="15">
        <v>3</v>
      </c>
    </row>
    <row r="716" spans="1:4" x14ac:dyDescent="0.25">
      <c r="A716" s="14">
        <v>44179</v>
      </c>
      <c r="B716" s="15">
        <v>2020</v>
      </c>
      <c r="C716" s="15">
        <v>12</v>
      </c>
      <c r="D716" s="15">
        <v>4</v>
      </c>
    </row>
    <row r="717" spans="1:4" x14ac:dyDescent="0.25">
      <c r="A717" s="14">
        <v>44180</v>
      </c>
      <c r="B717" s="15">
        <v>2020</v>
      </c>
      <c r="C717" s="15">
        <v>12</v>
      </c>
      <c r="D717" s="15">
        <v>4</v>
      </c>
    </row>
    <row r="718" spans="1:4" x14ac:dyDescent="0.25">
      <c r="A718" s="14">
        <v>44181</v>
      </c>
      <c r="B718" s="15">
        <v>2020</v>
      </c>
      <c r="C718" s="15">
        <v>12</v>
      </c>
      <c r="D718" s="15">
        <v>4</v>
      </c>
    </row>
    <row r="719" spans="1:4" x14ac:dyDescent="0.25">
      <c r="A719" s="14">
        <v>44182</v>
      </c>
      <c r="B719" s="15">
        <v>2020</v>
      </c>
      <c r="C719" s="15">
        <v>12</v>
      </c>
      <c r="D719" s="15">
        <v>4</v>
      </c>
    </row>
    <row r="720" spans="1:4" x14ac:dyDescent="0.25">
      <c r="A720" s="14">
        <v>44183</v>
      </c>
      <c r="B720" s="15">
        <v>2020</v>
      </c>
      <c r="C720" s="15">
        <v>12</v>
      </c>
      <c r="D720" s="15">
        <v>4</v>
      </c>
    </row>
    <row r="721" spans="1:4" x14ac:dyDescent="0.25">
      <c r="A721" s="14">
        <v>44184</v>
      </c>
      <c r="B721" s="15">
        <v>2020</v>
      </c>
      <c r="C721" s="15">
        <v>12</v>
      </c>
      <c r="D721" s="15">
        <v>4</v>
      </c>
    </row>
    <row r="722" spans="1:4" x14ac:dyDescent="0.25">
      <c r="A722" s="14">
        <v>44185</v>
      </c>
      <c r="B722" s="15">
        <v>2020</v>
      </c>
      <c r="C722" s="15">
        <v>12</v>
      </c>
      <c r="D722" s="15">
        <v>4</v>
      </c>
    </row>
    <row r="723" spans="1:4" x14ac:dyDescent="0.25">
      <c r="A723" s="14">
        <v>44186</v>
      </c>
      <c r="B723" s="15">
        <v>2020</v>
      </c>
      <c r="C723" s="15">
        <v>12</v>
      </c>
      <c r="D723" s="15">
        <v>5</v>
      </c>
    </row>
    <row r="724" spans="1:4" x14ac:dyDescent="0.25">
      <c r="A724" s="14">
        <v>44187</v>
      </c>
      <c r="B724" s="15">
        <v>2020</v>
      </c>
      <c r="C724" s="15">
        <v>12</v>
      </c>
      <c r="D724" s="15">
        <v>5</v>
      </c>
    </row>
    <row r="725" spans="1:4" x14ac:dyDescent="0.25">
      <c r="A725" s="14">
        <v>44188</v>
      </c>
      <c r="B725" s="15">
        <v>2020</v>
      </c>
      <c r="C725" s="15">
        <v>12</v>
      </c>
      <c r="D725" s="15">
        <v>5</v>
      </c>
    </row>
    <row r="726" spans="1:4" x14ac:dyDescent="0.25">
      <c r="A726" s="14">
        <v>44189</v>
      </c>
      <c r="B726" s="15">
        <v>2020</v>
      </c>
      <c r="C726" s="15">
        <v>12</v>
      </c>
      <c r="D726" s="15">
        <v>5</v>
      </c>
    </row>
    <row r="727" spans="1:4" x14ac:dyDescent="0.25">
      <c r="A727" s="14">
        <v>44190</v>
      </c>
      <c r="B727" s="15">
        <v>2020</v>
      </c>
      <c r="C727" s="15">
        <v>12</v>
      </c>
      <c r="D727" s="15">
        <v>5</v>
      </c>
    </row>
    <row r="728" spans="1:4" x14ac:dyDescent="0.25">
      <c r="A728" s="14">
        <v>44191</v>
      </c>
      <c r="B728" s="15">
        <v>2020</v>
      </c>
      <c r="C728" s="15">
        <v>12</v>
      </c>
      <c r="D728" s="15">
        <v>5</v>
      </c>
    </row>
    <row r="729" spans="1:4" x14ac:dyDescent="0.25">
      <c r="A729" s="14">
        <v>44192</v>
      </c>
      <c r="B729" s="15">
        <v>2020</v>
      </c>
      <c r="C729" s="15">
        <v>12</v>
      </c>
      <c r="D729" s="15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Summary</vt:lpstr>
      <vt:lpstr>ControlSheet</vt:lpstr>
      <vt:lpstr>SalesPivot</vt:lpstr>
      <vt:lpstr>SalesData</vt:lpstr>
      <vt:lpstr>CalendarLookup</vt:lpstr>
      <vt:lpstr>CalLookUpColumn</vt:lpstr>
      <vt:lpstr>CalLookUpRow</vt:lpstr>
      <vt:lpstr>CalLookUpTable</vt:lpstr>
      <vt:lpstr>NetSalesColumn</vt:lpstr>
      <vt:lpstr>NetSalesPriorYear</vt:lpstr>
      <vt:lpstr>NetSalesPriorYearColumn</vt:lpstr>
      <vt:lpstr>NetSalesPriorYearRow</vt:lpstr>
      <vt:lpstr>NetSalesRow</vt:lpstr>
      <vt:lpstr>NetSalesTable</vt:lpstr>
      <vt:lpstr>SegmentList</vt:lpstr>
      <vt:lpstr>StoreList</vt:lpstr>
      <vt:lpstr>StoreLookup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Trotter</dc:creator>
  <cp:lastModifiedBy>Tony Trotter</cp:lastModifiedBy>
  <dcterms:created xsi:type="dcterms:W3CDTF">2022-05-16T23:28:45Z</dcterms:created>
  <dcterms:modified xsi:type="dcterms:W3CDTF">2022-05-18T01:50:17Z</dcterms:modified>
</cp:coreProperties>
</file>